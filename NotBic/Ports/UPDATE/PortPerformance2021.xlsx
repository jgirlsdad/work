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joe\work\NotBic\Ports\UPDATE\"/>
    </mc:Choice>
  </mc:AlternateContent>
  <xr:revisionPtr revIDLastSave="0" documentId="13_ncr:1_{56BC5188-CBF9-4299-856B-0197DC93998F}" xr6:coauthVersionLast="47" xr6:coauthVersionMax="47" xr10:uidLastSave="{00000000-0000-0000-0000-000000000000}"/>
  <bookViews>
    <workbookView xWindow="24" yWindow="1038" windowWidth="23184" windowHeight="10998" firstSheet="2" activeTab="3" xr2:uid="{7807CAE7-554A-4BD7-8ED7-2743402AEE2A}"/>
  </bookViews>
  <sheets>
    <sheet name="Top Ports" sheetId="2" r:id="rId1"/>
    <sheet name="Ports by Commodity" sheetId="3" r:id="rId2"/>
    <sheet name="By Port TEUs" sheetId="1" r:id="rId3"/>
    <sheet name="Ports by ICST" sheetId="5" r:id="rId4"/>
    <sheet name="Dry Bulk NON BARGE" sheetId="6" r:id="rId5"/>
    <sheet name="Dry Bulk" sheetId="7" r:id="rId6"/>
  </sheets>
  <definedNames>
    <definedName name="_xlnm._FilterDatabase" localSheetId="1" hidden="1">'Ports by Commodity'!$A$1:$J$8734</definedName>
    <definedName name="_xlnm._FilterDatabase" localSheetId="3" hidden="1">'Ports by ICST'!$A$1:$F$795</definedName>
    <definedName name="_xlnm._FilterDatabase" localSheetId="0" hidden="1">'Top Ports'!$A$1:$H$300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 s="1"/>
  <c r="P1" i="1"/>
  <c r="O4" i="1"/>
  <c r="O6" i="1"/>
  <c r="J1" i="2"/>
  <c r="O3" i="1"/>
  <c r="X4" i="3"/>
  <c r="K4" i="7"/>
  <c r="I4" i="7"/>
  <c r="J2" i="7"/>
</calcChain>
</file>

<file path=xl/sharedStrings.xml><?xml version="1.0" encoding="utf-8"?>
<sst xmlns="http://schemas.openxmlformats.org/spreadsheetml/2006/main" count="29215" uniqueCount="540">
  <si>
    <t>Port of Los Angeles, CA</t>
  </si>
  <si>
    <t>CA</t>
  </si>
  <si>
    <t>Port of Long Beach, CA</t>
  </si>
  <si>
    <t>Port Authority of New York and New Jersey, NY &amp; NJ</t>
  </si>
  <si>
    <t>NY,NJ</t>
  </si>
  <si>
    <t>Port of Savannah, GA</t>
  </si>
  <si>
    <t>GA</t>
  </si>
  <si>
    <t>Port of Virginia, VA</t>
  </si>
  <si>
    <t>VA</t>
  </si>
  <si>
    <t>Port of Houston Authority of Harris County, TX</t>
  </si>
  <si>
    <t>TX</t>
  </si>
  <si>
    <t>Port of Charleston, SC</t>
  </si>
  <si>
    <t>SC</t>
  </si>
  <si>
    <t>Port of Oakland, CA</t>
  </si>
  <si>
    <t>Tacoma, WA</t>
  </si>
  <si>
    <t>WA</t>
  </si>
  <si>
    <t>Port of Seattle, WA</t>
  </si>
  <si>
    <t>Jacksonville, FL</t>
  </si>
  <si>
    <t>FL</t>
  </si>
  <si>
    <t>PortMiami, FL</t>
  </si>
  <si>
    <t>San Juan, PR</t>
  </si>
  <si>
    <t>PR</t>
  </si>
  <si>
    <t>Honolulu, O'ahu, HI</t>
  </si>
  <si>
    <t>HI</t>
  </si>
  <si>
    <t>Baltimore, MD</t>
  </si>
  <si>
    <t>MD</t>
  </si>
  <si>
    <t>Port Everglades, FL</t>
  </si>
  <si>
    <t>Philadelphia Regional Port Authority, PA</t>
  </si>
  <si>
    <t>PA</t>
  </si>
  <si>
    <t>Mobile, AL</t>
  </si>
  <si>
    <t>AL</t>
  </si>
  <si>
    <t>Port of Alaska, AK</t>
  </si>
  <si>
    <t>AK</t>
  </si>
  <si>
    <t>Port of New Orleans, LA</t>
  </si>
  <si>
    <t>LA</t>
  </si>
  <si>
    <t>Wilmington, NC</t>
  </si>
  <si>
    <t>NC</t>
  </si>
  <si>
    <t>Wilmington, DE</t>
  </si>
  <si>
    <t>DE</t>
  </si>
  <si>
    <t>Port of Palm Beach District, FL</t>
  </si>
  <si>
    <t>South Jersey Port Corporation, NJ</t>
  </si>
  <si>
    <t>NJ</t>
  </si>
  <si>
    <t>Boston, MA</t>
  </si>
  <si>
    <t>MA</t>
  </si>
  <si>
    <t>Oxnard Harbor District, CA</t>
  </si>
  <si>
    <t>Port of Gulfport, MS</t>
  </si>
  <si>
    <t>MS</t>
  </si>
  <si>
    <t>Guaynabo, PR</t>
  </si>
  <si>
    <t>Juneau, AK</t>
  </si>
  <si>
    <t>Tampa Port Authority, FL</t>
  </si>
  <si>
    <t>Ketchikan, AK</t>
  </si>
  <si>
    <t>Kahului, Maui, HI</t>
  </si>
  <si>
    <t>Kawaihae, Hawai'i, HI</t>
  </si>
  <si>
    <t>Port of Portland, OR</t>
  </si>
  <si>
    <t>OR</t>
  </si>
  <si>
    <t>San Diego Unified Port District, CA</t>
  </si>
  <si>
    <t>Petersburg, AK</t>
  </si>
  <si>
    <t>Manatee County Port Authority, FL</t>
  </si>
  <si>
    <t>Port Freeport, TX</t>
  </si>
  <si>
    <t>Unalaska Island, AK</t>
  </si>
  <si>
    <t>Port of Everett, WA</t>
  </si>
  <si>
    <t>Nawiliwili, Kaua'i, HI</t>
  </si>
  <si>
    <t>Hilo, Hawai'i, HI</t>
  </si>
  <si>
    <t>Whittier, AK</t>
  </si>
  <si>
    <t>Panama City Port Authority, FL</t>
  </si>
  <si>
    <t>Galveston, TX</t>
  </si>
  <si>
    <t>Port of Vancouver USA, WA</t>
  </si>
  <si>
    <t>Portland, ME</t>
  </si>
  <si>
    <t>ME</t>
  </si>
  <si>
    <t>Kodiak, AK</t>
  </si>
  <si>
    <t>Haines Borough, AK</t>
  </si>
  <si>
    <t>Skagway, AK</t>
  </si>
  <si>
    <t>Old Harbor, AK</t>
  </si>
  <si>
    <t>Cordova, AK</t>
  </si>
  <si>
    <t>Nome, AK</t>
  </si>
  <si>
    <t>Kake, AK</t>
  </si>
  <si>
    <t>Wrangell, AK</t>
  </si>
  <si>
    <t>False Pass, AK</t>
  </si>
  <si>
    <t>Yakutat, AK</t>
  </si>
  <si>
    <t>Kaumalapau, Lana'i, HI</t>
  </si>
  <si>
    <t>Dillingham, AK</t>
  </si>
  <si>
    <t>Bethel, AK</t>
  </si>
  <si>
    <t>Ocean Highway and Port Authority, FL</t>
  </si>
  <si>
    <t>Hoonah, AK</t>
  </si>
  <si>
    <t>Utqiagvik (Barrow), AK</t>
  </si>
  <si>
    <t>Valdez, AK</t>
  </si>
  <si>
    <t>Cleveland-Cuyahoga County, OH</t>
  </si>
  <si>
    <t>OH</t>
  </si>
  <si>
    <t>Kaunakakai, Moloka'i, HI</t>
  </si>
  <si>
    <t>Clallam County Port District, WA</t>
  </si>
  <si>
    <t>Canaveral Port District, FL</t>
  </si>
  <si>
    <t>San Francisco Port Commission, CA</t>
  </si>
  <si>
    <t>Bellingham, WA</t>
  </si>
  <si>
    <t>Corpus Christi, TX</t>
  </si>
  <si>
    <t>Texas City, TX</t>
  </si>
  <si>
    <t>Kivalina, AK</t>
  </si>
  <si>
    <t>King Cove, AK</t>
  </si>
  <si>
    <t>Wainwright, AK</t>
  </si>
  <si>
    <t>Port of Longview, WA</t>
  </si>
  <si>
    <t>Port of Pensacola, FL</t>
  </si>
  <si>
    <t>Metlakatla, AK</t>
  </si>
  <si>
    <t>Searsport, ME</t>
  </si>
  <si>
    <t>Port Arthur, TX</t>
  </si>
  <si>
    <t>Shishmaref, AK</t>
  </si>
  <si>
    <t>Fall River Port Authority, MA</t>
  </si>
  <si>
    <t>Point Hope, AK</t>
  </si>
  <si>
    <t>Port of South Louisiana, LA</t>
  </si>
  <si>
    <t>Port of Green Bay, WI</t>
  </si>
  <si>
    <t>WI</t>
  </si>
  <si>
    <t>Greater Lafourche Port Commission, LA</t>
  </si>
  <si>
    <t>Morehead City, NC</t>
  </si>
  <si>
    <t>Duluth-Superior, MN and WI</t>
  </si>
  <si>
    <t>Brevig Mission, AK</t>
  </si>
  <si>
    <t>Stockton Port District, CA</t>
  </si>
  <si>
    <t>Port Moller, AK</t>
  </si>
  <si>
    <t>Kaktovik, AK</t>
  </si>
  <si>
    <t>Beaumont, TX</t>
  </si>
  <si>
    <t>Rogers City, MI</t>
  </si>
  <si>
    <t>MI</t>
  </si>
  <si>
    <t>Richmond, CA</t>
  </si>
  <si>
    <t>Kalaeloa Barbers Point, O'ahu, HI</t>
  </si>
  <si>
    <t>Plaquemines Port, Harbor and Terminal District, LA</t>
  </si>
  <si>
    <t>Port of Brunswick, GA</t>
  </si>
  <si>
    <t>Lake Charles Harbor and Terminal District, LA</t>
  </si>
  <si>
    <t>Cheboygan, MI</t>
  </si>
  <si>
    <t>Richmond, VA</t>
  </si>
  <si>
    <t>Port of Providence, RI</t>
  </si>
  <si>
    <t>RI</t>
  </si>
  <si>
    <t>Illinois International Port District, IL</t>
  </si>
  <si>
    <t>IL</t>
  </si>
  <si>
    <t>Humboldt Bay Harbor, Recreation and Conservation District, CA</t>
  </si>
  <si>
    <t>Port Milwaukee, WI</t>
  </si>
  <si>
    <t>Yabucoa, PR</t>
  </si>
  <si>
    <t>Rochester, NY</t>
  </si>
  <si>
    <t>NY</t>
  </si>
  <si>
    <t>Oregon International Port of Coos Bay, OR</t>
  </si>
  <si>
    <t>Albany Port District, NY</t>
  </si>
  <si>
    <t>Port of Anacortes, WA</t>
  </si>
  <si>
    <t>Detroit/Wayne County Port Authority, MI</t>
  </si>
  <si>
    <t>Brownsville Navigation District of Cameron County, TX</t>
  </si>
  <si>
    <t>Port of Davisville, RI</t>
  </si>
  <si>
    <t>Port of Pascagoula, MS</t>
  </si>
  <si>
    <t>Ponce Port Authority, PR</t>
  </si>
  <si>
    <t>Port Huron, MI</t>
  </si>
  <si>
    <t>Buffalo, NY</t>
  </si>
  <si>
    <t>Homer, AK</t>
  </si>
  <si>
    <t>RANK</t>
  </si>
  <si>
    <t>TYPE</t>
  </si>
  <si>
    <t>IMPORTS</t>
  </si>
  <si>
    <t>EXPORTS</t>
  </si>
  <si>
    <t>DOMESTIC</t>
  </si>
  <si>
    <t>Coastal</t>
  </si>
  <si>
    <t>Houston Port Authority, TX</t>
  </si>
  <si>
    <t>South Louisiana, LA, Port of</t>
  </si>
  <si>
    <t>New York, NY &amp; NJ</t>
  </si>
  <si>
    <t>New Orleans, LA</t>
  </si>
  <si>
    <t>Port of Greater Baton Rouge, LA</t>
  </si>
  <si>
    <t>Virginia, VA, Port of</t>
  </si>
  <si>
    <t>Plaquemines Port District, LA</t>
  </si>
  <si>
    <t>Lake Charles Harbor District, LA</t>
  </si>
  <si>
    <t>Great Lakes</t>
  </si>
  <si>
    <t>Philadelphia Regional Port, PA</t>
  </si>
  <si>
    <t>Northern Indiana District, IN</t>
  </si>
  <si>
    <t>Internal</t>
  </si>
  <si>
    <t>Southern Indiana District, IN</t>
  </si>
  <si>
    <t>Seattle, WA</t>
  </si>
  <si>
    <t>South Jersey Port Corp, NJ</t>
  </si>
  <si>
    <t>Port of Kalama, WA</t>
  </si>
  <si>
    <t>Pittsburgh, PA Port of</t>
  </si>
  <si>
    <t>Two Harbors, MN</t>
  </si>
  <si>
    <t>Mid-America Port, IA, IL and MO</t>
  </si>
  <si>
    <t>Cleveland-Cuyahoga Port, OH</t>
  </si>
  <si>
    <t>Toledo-Lucas County Port, OH</t>
  </si>
  <si>
    <t>New Bourbon Port Authority, MO</t>
  </si>
  <si>
    <t>Illinois International Port, IL</t>
  </si>
  <si>
    <t>Detroit-Wayne County Port, MI</t>
  </si>
  <si>
    <t>Anacortes, WA</t>
  </si>
  <si>
    <t>Joliet Regional Port, IL</t>
  </si>
  <si>
    <t>Memphis-Shelby County Port, TN</t>
  </si>
  <si>
    <t>Southwest Regional Port, IL</t>
  </si>
  <si>
    <t>Brownsville, TX</t>
  </si>
  <si>
    <t>Louisville-Jefferson Port, KY</t>
  </si>
  <si>
    <t>America's Central Port, IL</t>
  </si>
  <si>
    <t>New Haven, CT</t>
  </si>
  <si>
    <t>St. Louis City Port, MO</t>
  </si>
  <si>
    <t>Paducah-McCracken Riverport, KY</t>
  </si>
  <si>
    <t>Nashville, TN</t>
  </si>
  <si>
    <t>Kalaeloa Barbers Point, HI</t>
  </si>
  <si>
    <t>Greater Lafourche Port, LA</t>
  </si>
  <si>
    <t>Marquette, MI</t>
  </si>
  <si>
    <t>Cincinnati, OH</t>
  </si>
  <si>
    <t>Virgin Islands - St. Croix, VI</t>
  </si>
  <si>
    <t>Silver Bay, MN</t>
  </si>
  <si>
    <t>Kaskaskia Regional Port, IL</t>
  </si>
  <si>
    <t>Stockton, CA</t>
  </si>
  <si>
    <t>Illinois Valley Port, IL</t>
  </si>
  <si>
    <t>Southeast Missouri Port, MO</t>
  </si>
  <si>
    <t>Manatee County Port, FL</t>
  </si>
  <si>
    <t>St. Paul Port Authority, MN</t>
  </si>
  <si>
    <t>Tulsa-Rogers County Port, OK</t>
  </si>
  <si>
    <t>Heart of Illinois Port, IL</t>
  </si>
  <si>
    <t>Conneaut, OH</t>
  </si>
  <si>
    <t>Presque Isle Township, MI</t>
  </si>
  <si>
    <t>Mueller Township, MI</t>
  </si>
  <si>
    <t>Calhoun Port Authority, TX</t>
  </si>
  <si>
    <t>Jefferson County Port, MO</t>
  </si>
  <si>
    <t>West St. Mary Parish Port, LA</t>
  </si>
  <si>
    <t>Nikiski, AK</t>
  </si>
  <si>
    <t>Port of Columbia County, OR</t>
  </si>
  <si>
    <t>Port of Vicksburg, MS</t>
  </si>
  <si>
    <t>Clark Township, MI</t>
  </si>
  <si>
    <t>Sandusky, OH</t>
  </si>
  <si>
    <t>Havana Regional Port, IL</t>
  </si>
  <si>
    <t>Owensboro Riverport, KY</t>
  </si>
  <si>
    <t>Central Louisiana Regional, LA</t>
  </si>
  <si>
    <t>Port Jefferson, NY</t>
  </si>
  <si>
    <t>New Madrid County Port, MO</t>
  </si>
  <si>
    <t>Coos Bay OR, Port of</t>
  </si>
  <si>
    <t>Marblehead, OH</t>
  </si>
  <si>
    <t>Port of Greenville, MS</t>
  </si>
  <si>
    <t>Port of Harlingen Authority, TX</t>
  </si>
  <si>
    <t>Milwaukee, WI</t>
  </si>
  <si>
    <t>San Francisco Port, CA</t>
  </si>
  <si>
    <t>Alpena, MI</t>
  </si>
  <si>
    <t>Orange County Nav District, TX</t>
  </si>
  <si>
    <t>Chattanooga, TN</t>
  </si>
  <si>
    <t>Monroe, MI</t>
  </si>
  <si>
    <t>Green Bay, WI</t>
  </si>
  <si>
    <t>Massac-Metropolis Port, IL</t>
  </si>
  <si>
    <t>Jackson-Union Port District, IL</t>
  </si>
  <si>
    <t>Henderson County Riverport, KY</t>
  </si>
  <si>
    <t>Port of Iberia District, LA</t>
  </si>
  <si>
    <t>Victoria, TX</t>
  </si>
  <si>
    <t>Terrebonne Parish Port, LA</t>
  </si>
  <si>
    <t>Bridgeport, CT</t>
  </si>
  <si>
    <t>Grays Harbor Port District, WA</t>
  </si>
  <si>
    <t>Redwood City, CA</t>
  </si>
  <si>
    <t>San Diego Unified Port, CA</t>
  </si>
  <si>
    <t>Guntersville, AL</t>
  </si>
  <si>
    <t>Pemiscot County Port, MO</t>
  </si>
  <si>
    <t>Ashtabula Port Authority, OH</t>
  </si>
  <si>
    <t>Helena-West Helena Port, AR</t>
  </si>
  <si>
    <t>St. Louis County, MO</t>
  </si>
  <si>
    <t>Port of Rosedale, MS</t>
  </si>
  <si>
    <t>Kansas City Port Authority, MO</t>
  </si>
  <si>
    <t>Hickman-Fulton County Port, KY</t>
  </si>
  <si>
    <t>Ottawa Port District, IL</t>
  </si>
  <si>
    <t>Portsmouth, NH</t>
  </si>
  <si>
    <t>Marine City, MI</t>
  </si>
  <si>
    <t>Alexandria-Cario Port, IL</t>
  </si>
  <si>
    <t>Sacramento-Yolo Port, CA</t>
  </si>
  <si>
    <t>Heartland Port Authority, MO</t>
  </si>
  <si>
    <t>Guayanilla, PR</t>
  </si>
  <si>
    <t>Lake Providence Port, LA</t>
  </si>
  <si>
    <t>Port of Olympia, WA</t>
  </si>
  <si>
    <t>Yellow Bend Port Authority, AR</t>
  </si>
  <si>
    <t>City of Fort Smith Port, AR</t>
  </si>
  <si>
    <t>Sault Ste Marie, MI</t>
  </si>
  <si>
    <t>Muskegon, MI</t>
  </si>
  <si>
    <t>Yellow Creek State Port, MS</t>
  </si>
  <si>
    <t>Hopewell, VA</t>
  </si>
  <si>
    <t>Lorain Port Authority, OH</t>
  </si>
  <si>
    <t>Shawneetown Regional Port, IL</t>
  </si>
  <si>
    <t>Marysville, MI</t>
  </si>
  <si>
    <t>Madison Parish Port, LA</t>
  </si>
  <si>
    <t>St. Charles County Port, MO</t>
  </si>
  <si>
    <t>Port of Bay City Matagorda, TX</t>
  </si>
  <si>
    <t>Erie, PA</t>
  </si>
  <si>
    <t>Grand Haven, MI</t>
  </si>
  <si>
    <t>Natchez-Adams Port Auhority, MS</t>
  </si>
  <si>
    <t>Amory, MS</t>
  </si>
  <si>
    <t>Little Rock Port Authority, AR</t>
  </si>
  <si>
    <t>Aberdeen, MS</t>
  </si>
  <si>
    <t>Clatsop County Port District, OR</t>
  </si>
  <si>
    <t>Holland, MI</t>
  </si>
  <si>
    <t>Lowndes County Port, MS</t>
  </si>
  <si>
    <t>Muskogee City-County Port, OK</t>
  </si>
  <si>
    <t>Osceola, AR</t>
  </si>
  <si>
    <t>Biloxi Port Division, MS</t>
  </si>
  <si>
    <t>Pine Bluff-Jefferson County, AR</t>
  </si>
  <si>
    <t>Seneca Regional Port, IL</t>
  </si>
  <si>
    <t>Fairport Harbor, OH</t>
  </si>
  <si>
    <t>Humboldt Bay Harbor, CA</t>
  </si>
  <si>
    <t>New Bedford Port Authority, MA</t>
  </si>
  <si>
    <t>Eddyville Riverport, KY</t>
  </si>
  <si>
    <t>Guayama, PR</t>
  </si>
  <si>
    <t>Caddo-Bossier Port, LA</t>
  </si>
  <si>
    <t>St. Joseph, MI</t>
  </si>
  <si>
    <t>Ludington, MI</t>
  </si>
  <si>
    <t>Upper Mississippi River Port, IL</t>
  </si>
  <si>
    <t>Taconite, MN</t>
  </si>
  <si>
    <t>Jefferson County Port, WA</t>
  </si>
  <si>
    <t>Morgan City Harbor District, LA</t>
  </si>
  <si>
    <t>Ocean Port Authority, FL</t>
  </si>
  <si>
    <t>Oswego, NY</t>
  </si>
  <si>
    <t>Port Bienville, MS</t>
  </si>
  <si>
    <t>Mississippi County Port, MO</t>
  </si>
  <si>
    <t>Stamford, CT</t>
  </si>
  <si>
    <t>Manistee, MI</t>
  </si>
  <si>
    <t>Waukegan Port District, IL</t>
  </si>
  <si>
    <t>Howard-Cooper Regional Port, MO</t>
  </si>
  <si>
    <t>Alabaster Township, MI</t>
  </si>
  <si>
    <t>Manitowoc Harbor Commission, WI</t>
  </si>
  <si>
    <t>Raymond D. Lucas Port, MS</t>
  </si>
  <si>
    <t>Ogdensburg Port Authority, NY</t>
  </si>
  <si>
    <t>Sabine Pass Port Authority, TX</t>
  </si>
  <si>
    <t>Port Isabel-San Benito, TX</t>
  </si>
  <si>
    <t>Escanaba, MI</t>
  </si>
  <si>
    <t>Saint Joseph Regional Port, MO</t>
  </si>
  <si>
    <t>Rondout, NY</t>
  </si>
  <si>
    <t>Knoxville, TN</t>
  </si>
  <si>
    <t>Mackinac Island, MI</t>
  </si>
  <si>
    <t>Virgin Islands - St. Thomas, VI</t>
  </si>
  <si>
    <t>Aransas County Nav Dist No. 1 TX</t>
  </si>
  <si>
    <t>Mayaguez, PR</t>
  </si>
  <si>
    <t>Bucksport Harbor, ME</t>
  </si>
  <si>
    <t>Washington, DC</t>
  </si>
  <si>
    <t>Arecibo, PR</t>
  </si>
  <si>
    <t>Seward, AK</t>
  </si>
  <si>
    <t>Craig, AK</t>
  </si>
  <si>
    <t>Natchitoches Parish Port, LA</t>
  </si>
  <si>
    <t>Peekskill, NY</t>
  </si>
  <si>
    <t>Norwalk, CT</t>
  </si>
  <si>
    <t>Key West, FL</t>
  </si>
  <si>
    <t>Eastport Port Authority, ME</t>
  </si>
  <si>
    <t>Pearl Harbor, O'ahu, HI</t>
  </si>
  <si>
    <t>Yazoo County Port, MS</t>
  </si>
  <si>
    <t>Munising, MI</t>
  </si>
  <si>
    <t>Klawock, AK</t>
  </si>
  <si>
    <t>Gladstone, MI</t>
  </si>
  <si>
    <t>Claiborne County, MS</t>
  </si>
  <si>
    <t>St. Ignace, MI</t>
  </si>
  <si>
    <t>St. James Township, MI</t>
  </si>
  <si>
    <t>Hydaburg, AK</t>
  </si>
  <si>
    <t>Bayfield, WI</t>
  </si>
  <si>
    <t>Nantucket, MA</t>
  </si>
  <si>
    <t>Charlevoix, MI</t>
  </si>
  <si>
    <t>Stonington, ME</t>
  </si>
  <si>
    <t>Put-In-Bay Township Port, OH</t>
  </si>
  <si>
    <t>Port Lions, AK</t>
  </si>
  <si>
    <t>New London, CT</t>
  </si>
  <si>
    <t>Gloucester, MA</t>
  </si>
  <si>
    <t>Wilmette, IL</t>
  </si>
  <si>
    <t>Southold, NY</t>
  </si>
  <si>
    <t>Seldovia, AK</t>
  </si>
  <si>
    <t>Sitka Ports and Harbor, AK</t>
  </si>
  <si>
    <t>Virgin Islands - St. Johns, VI</t>
  </si>
  <si>
    <t>Petoskey, MI</t>
  </si>
  <si>
    <t>Kenosha, WI</t>
  </si>
  <si>
    <t>Racine, WI</t>
  </si>
  <si>
    <t>Port Graham, AK</t>
  </si>
  <si>
    <t>Itawamba, MS</t>
  </si>
  <si>
    <t>St. Petersburg, FL</t>
  </si>
  <si>
    <t>Hooper Bay, AK</t>
  </si>
  <si>
    <t>Sturgeon Bay, WI</t>
  </si>
  <si>
    <t>Teller, AK</t>
  </si>
  <si>
    <t>Acme, MI</t>
  </si>
  <si>
    <t>Falmouth, MA</t>
  </si>
  <si>
    <t>Leland, MI</t>
  </si>
  <si>
    <t>Fort Pierce, FL</t>
  </si>
  <si>
    <t>Harbor Springs, MI</t>
  </si>
  <si>
    <t>PORT</t>
  </si>
  <si>
    <t>Port Name</t>
  </si>
  <si>
    <t>Commodity Group</t>
  </si>
  <si>
    <t>Commodity Name</t>
  </si>
  <si>
    <t>FOREIGN</t>
  </si>
  <si>
    <t>TOTAL</t>
  </si>
  <si>
    <t>Gasoline</t>
  </si>
  <si>
    <t>Distillate Fuel Oil</t>
  </si>
  <si>
    <t>Residual Fuel Oil</t>
  </si>
  <si>
    <t>Alcohols</t>
  </si>
  <si>
    <t>Machinery (Not Elec)</t>
  </si>
  <si>
    <t>Waterway Improv. Mat</t>
  </si>
  <si>
    <t>Gypsum</t>
  </si>
  <si>
    <t>Kerosene</t>
  </si>
  <si>
    <t>Naphtha &amp; Solvents</t>
  </si>
  <si>
    <t>Asphalt, Tar &amp; Pitch</t>
  </si>
  <si>
    <t>Petroleum Coke</t>
  </si>
  <si>
    <t>Other Hydrocarbons</t>
  </si>
  <si>
    <t>Metallic Salts</t>
  </si>
  <si>
    <t>Pulp &amp; Waste Paper</t>
  </si>
  <si>
    <t>Iron &amp; Steel Scrap</t>
  </si>
  <si>
    <t>Salt</t>
  </si>
  <si>
    <t>Non-Metal. Min. NEC</t>
  </si>
  <si>
    <t>I&amp;S Primary Forms</t>
  </si>
  <si>
    <t>I&amp;S Plates &amp; Sheets</t>
  </si>
  <si>
    <t>Fab. Metal Products</t>
  </si>
  <si>
    <t>Ships &amp; Boats</t>
  </si>
  <si>
    <t>Manufac. Prod. NEC</t>
  </si>
  <si>
    <t>Unknown or NEC</t>
  </si>
  <si>
    <t>Sand &amp; Gravel</t>
  </si>
  <si>
    <t>Wheat</t>
  </si>
  <si>
    <t>Corn</t>
  </si>
  <si>
    <t>Soybeans</t>
  </si>
  <si>
    <t>Oilseeds NEC</t>
  </si>
  <si>
    <t>Vegetable Oils</t>
  </si>
  <si>
    <t>Animal Feed, Prep.</t>
  </si>
  <si>
    <t>Coal &amp; Lignite</t>
  </si>
  <si>
    <t>Limestone</t>
  </si>
  <si>
    <t>Iron Ore</t>
  </si>
  <si>
    <t>Slag</t>
  </si>
  <si>
    <t>Cement &amp; Concrete</t>
  </si>
  <si>
    <t>Coal Coke</t>
  </si>
  <si>
    <t>Crude Petroleum</t>
  </si>
  <si>
    <t>Lube Oil &amp; Greases</t>
  </si>
  <si>
    <t>Nitrogenous Fert.</t>
  </si>
  <si>
    <t>Phosphatic Fert.</t>
  </si>
  <si>
    <t>Potassic Fert.</t>
  </si>
  <si>
    <t>Fert. &amp; Mixes NEC</t>
  </si>
  <si>
    <t>Benzene &amp; Toluene</t>
  </si>
  <si>
    <t>Nitrogen Func. Comp.</t>
  </si>
  <si>
    <t>Ammonia</t>
  </si>
  <si>
    <t>Inorg. Elem., Oxides, &amp; Halogen Salts</t>
  </si>
  <si>
    <t>Starches, Gluten, Glue</t>
  </si>
  <si>
    <t>Clay &amp; Refrac. Mat.</t>
  </si>
  <si>
    <t>Misc. Mineral Prod.</t>
  </si>
  <si>
    <t>Pig Iron</t>
  </si>
  <si>
    <t>Ferro Alloys</t>
  </si>
  <si>
    <t>Primary I&amp;S NEC</t>
  </si>
  <si>
    <t>Vegetables &amp; Prod.</t>
  </si>
  <si>
    <t>Food Products NEC</t>
  </si>
  <si>
    <t>Wood Chips</t>
  </si>
  <si>
    <t>Inorganic Chem. NEC</t>
  </si>
  <si>
    <t>Plastics</t>
  </si>
  <si>
    <t>Wood in the Rough</t>
  </si>
  <si>
    <t>Sulphur, (Dry)</t>
  </si>
  <si>
    <t>Vehicles &amp; Parts</t>
  </si>
  <si>
    <t>Textile Products</t>
  </si>
  <si>
    <t>Non-Ferrous Ores NEC</t>
  </si>
  <si>
    <t>Smelted Prod. NEC</t>
  </si>
  <si>
    <t>Petro. Jelly &amp; Waxes</t>
  </si>
  <si>
    <t>Hydrocarbon &amp; Petrol Gases, Liquefied and Gaseous</t>
  </si>
  <si>
    <t>Petro. Products NEC</t>
  </si>
  <si>
    <t>Acyclic Hydrocarbons</t>
  </si>
  <si>
    <t>Carboxylic Acids</t>
  </si>
  <si>
    <t>Organo - Inorg. Comp.</t>
  </si>
  <si>
    <t>Organic Comp. NEC</t>
  </si>
  <si>
    <t>Sulphur (Liquid)</t>
  </si>
  <si>
    <t>Sodium Hydroxide</t>
  </si>
  <si>
    <t>Radioactive Material</t>
  </si>
  <si>
    <t>Pigments &amp; Paints</t>
  </si>
  <si>
    <t>Coloring Mat. NEC</t>
  </si>
  <si>
    <t>Medicines</t>
  </si>
  <si>
    <t>Perfumes &amp; Cleansers</t>
  </si>
  <si>
    <t>Pesticides</t>
  </si>
  <si>
    <t>Explosives</t>
  </si>
  <si>
    <t>Chemical Additives</t>
  </si>
  <si>
    <t>Wood &amp; Resin Chem.</t>
  </si>
  <si>
    <t>Chem. Products NEC</t>
  </si>
  <si>
    <t>Rubber &amp; Gums</t>
  </si>
  <si>
    <t>Fuel Wood</t>
  </si>
  <si>
    <t>Lumber</t>
  </si>
  <si>
    <t>Forest Products NEC</t>
  </si>
  <si>
    <t>Building Stone</t>
  </si>
  <si>
    <t>Phosphate Rock</t>
  </si>
  <si>
    <t>Marine Shells</t>
  </si>
  <si>
    <t>Copper Ore</t>
  </si>
  <si>
    <t>Aluminum Ore</t>
  </si>
  <si>
    <t>Manganese Ore</t>
  </si>
  <si>
    <t>Non-Ferrous Scrap</t>
  </si>
  <si>
    <t>Newsprint</t>
  </si>
  <si>
    <t>Paper &amp; Paperboard</t>
  </si>
  <si>
    <t>Paper Products NEC</t>
  </si>
  <si>
    <t>Lime</t>
  </si>
  <si>
    <t>Glass &amp; Glass Prod.</t>
  </si>
  <si>
    <t>I&amp;S Bars &amp; Shapes</t>
  </si>
  <si>
    <t>I&amp;S Pipe &amp; Tube</t>
  </si>
  <si>
    <t>Copper</t>
  </si>
  <si>
    <t>Aluminum</t>
  </si>
  <si>
    <t>Primary Wood Prod.</t>
  </si>
  <si>
    <t>Fish (Not Shellfish)</t>
  </si>
  <si>
    <t>Shellfish</t>
  </si>
  <si>
    <t>Rice</t>
  </si>
  <si>
    <t>Barley &amp; Rye</t>
  </si>
  <si>
    <t>Oats</t>
  </si>
  <si>
    <t>Sorghum Grains</t>
  </si>
  <si>
    <t>Peanuts</t>
  </si>
  <si>
    <t>Wheat Flour</t>
  </si>
  <si>
    <t>Grain Mill Products</t>
  </si>
  <si>
    <t>Hay &amp; Fodder</t>
  </si>
  <si>
    <t>Meat, Fresh, Frozen</t>
  </si>
  <si>
    <t>Meat, Prepared</t>
  </si>
  <si>
    <t>Dairy Products</t>
  </si>
  <si>
    <t>Fish, Prepared</t>
  </si>
  <si>
    <t>Tallow, Animal Oils</t>
  </si>
  <si>
    <t>Animals &amp; Prod. NEC</t>
  </si>
  <si>
    <t>Bananas &amp; Plantains</t>
  </si>
  <si>
    <t>Fruit &amp; Nuts NEC</t>
  </si>
  <si>
    <t>Fruit Juices</t>
  </si>
  <si>
    <t>Sugar</t>
  </si>
  <si>
    <t>Molasses</t>
  </si>
  <si>
    <t>Coffee</t>
  </si>
  <si>
    <t>Cocoa Beans</t>
  </si>
  <si>
    <t>Alcoholic Beverages</t>
  </si>
  <si>
    <t>Water &amp; Ice</t>
  </si>
  <si>
    <t>Tobacco &amp; Products</t>
  </si>
  <si>
    <t>Cotton</t>
  </si>
  <si>
    <t>Natural Fibers NEC</t>
  </si>
  <si>
    <t>Farm Products NEC</t>
  </si>
  <si>
    <t>Electrical Machinery</t>
  </si>
  <si>
    <t>Aircraft &amp; Parts</t>
  </si>
  <si>
    <t>Ordnance &amp; Access.</t>
  </si>
  <si>
    <t>Manufac. Wood Prod.</t>
  </si>
  <si>
    <t>Rubber &amp; Plastic Pr.</t>
  </si>
  <si>
    <t>Sulphuric Acid</t>
  </si>
  <si>
    <t>Groceries</t>
  </si>
  <si>
    <t>Waste and Scrap NEC</t>
  </si>
  <si>
    <t>Empty Containers</t>
  </si>
  <si>
    <t>Flaxseed</t>
  </si>
  <si>
    <t>Soil &amp; Fill Dirt</t>
  </si>
  <si>
    <t>PORT NAME</t>
  </si>
  <si>
    <t>STATE</t>
  </si>
  <si>
    <t>Grand</t>
  </si>
  <si>
    <t xml:space="preserve">InBound </t>
  </si>
  <si>
    <t xml:space="preserve">OutBound </t>
  </si>
  <si>
    <t>Total</t>
  </si>
  <si>
    <t>Loaded</t>
  </si>
  <si>
    <t>Empty</t>
  </si>
  <si>
    <t>PORT CODE</t>
  </si>
  <si>
    <t>FOREIGN TOTAL</t>
  </si>
  <si>
    <t>GRAND TOTAL</t>
  </si>
  <si>
    <t>PORT_NAME</t>
  </si>
  <si>
    <t>CATEGORY</t>
  </si>
  <si>
    <t>INBOUND</t>
  </si>
  <si>
    <t>OUTBOUND</t>
  </si>
  <si>
    <t>Other Freight Barge</t>
  </si>
  <si>
    <t>Dry Bulk Barge</t>
  </si>
  <si>
    <t>Other Freight</t>
  </si>
  <si>
    <t>Dry Bulk</t>
  </si>
  <si>
    <t>Container</t>
  </si>
  <si>
    <t>Ventura, CA</t>
  </si>
  <si>
    <t>Manistique, MI</t>
  </si>
  <si>
    <t>Fajardo, PR</t>
  </si>
  <si>
    <t>Row Labels</t>
  </si>
  <si>
    <t>(blank)</t>
  </si>
  <si>
    <t>Grand Total</t>
  </si>
  <si>
    <t>Sum of DOMESTIC</t>
  </si>
  <si>
    <t>Sum of IMPORTS</t>
  </si>
  <si>
    <t>Sum of EXPORTS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</si>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</sst>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1" applyFont="1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5" fillId="0" borderId="0" xfId="0" applyFont="1"/>
    <xf numFmtId="3" fontId="0" fillId="2" borderId="0" xfId="0" applyNumberFormat="1" applyFill="1"/>
    <xf numFmtId="43" fontId="0" fillId="0" borderId="0" xfId="3" applyFont="1"/>
    <xf numFmtId="164" fontId="0" fillId="0" borderId="0" xfId="3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64" fontId="0" fillId="3" borderId="0" xfId="3" applyNumberFormat="1" applyFont="1" applyFill="1"/>
    <xf numFmtId="164" fontId="1" fillId="0" borderId="0" xfId="3" applyNumberFormat="1" applyFont="1"/>
    <xf numFmtId="165" fontId="0" fillId="0" borderId="0" xfId="0" applyNumberFormat="1"/>
    <xf numFmtId="0" fontId="3" fillId="0" borderId="0" xfId="1" applyFont="1" applyAlignment="1">
      <alignment horizontal="center"/>
    </xf>
  </cellXfs>
  <cellStyles count="4">
    <cellStyle name="Comma" xfId="3" builtinId="3"/>
    <cellStyle name="Normal" xfId="0" builtinId="0"/>
    <cellStyle name="Normal 2" xfId="1" xr:uid="{CC9082AC-BA91-4E93-8321-E384CD3584D3}"/>
    <cellStyle name="Normal 3" xfId="2" xr:uid="{9F84E29F-305A-42A8-B7DF-F378BBB14DA3}"/>
  </cellStyles>
  <dxfs count="5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Joseph, Patricia (OST)" refreshedDate="45632.657410416665" createdVersion="8" refreshedVersion="8" minRefreshableVersion="3" recordCount="8735" xr:uid="{55FA9377-8958-4B20-A656-A2FB033C0B79}">
  <cacheSource type="worksheet">
    <worksheetSource ref="A1:J1048576" sheet="Ports by Commodity"/>
  </cacheSource>
  <cacheFields count="10">
    <cacheField name="TYPE" numFmtId="0">
      <sharedItems containsBlank="1"/>
    </cacheField>
    <cacheField name="PORT" numFmtId="0">
      <sharedItems containsString="0" containsBlank="1" containsNumber="1" containsInteger="1" minValue="77" maxValue="7712"/>
    </cacheField>
    <cacheField name="Port Name" numFmtId="0">
      <sharedItems containsBlank="1"/>
    </cacheField>
    <cacheField name="Commodity Group" numFmtId="0">
      <sharedItems containsString="0" containsBlank="1" containsNumber="1" containsInteger="1" minValue="1100" maxValue="9900"/>
    </cacheField>
    <cacheField name="Commodity Name" numFmtId="0">
      <sharedItems containsBlank="1" count="144">
        <s v="Gasoline"/>
        <s v="Distillate Fuel Oil"/>
        <s v="Alcohols"/>
        <s v="Residual Fuel Oil"/>
        <s v="Machinery (Not Elec)"/>
        <s v="Waterway Improv. Mat"/>
        <s v="Gypsum"/>
        <s v="Salt"/>
        <s v="Iron &amp; Steel Scrap"/>
        <s v="Kerosene"/>
        <s v="Pulp &amp; Waste Paper"/>
        <s v="Asphalt, Tar &amp; Pitch"/>
        <s v="Metallic Salts"/>
        <s v="I&amp;S Primary Forms"/>
        <s v="Non-Metal. Min. NEC"/>
        <s v="Petroleum Coke"/>
        <s v="I&amp;S Plates &amp; Sheets"/>
        <s v="Naphtha &amp; Solvents"/>
        <s v="Unknown or NEC"/>
        <s v="Other Hydrocarbons"/>
        <s v="Fab. Metal Products"/>
        <s v="Manufac. Prod. NEC"/>
        <s v="Ships &amp; Boats"/>
        <s v="Oilseeds NEC"/>
        <s v="Vegetable Oils"/>
        <s v="Corn"/>
        <s v="Soybeans"/>
        <s v="Animal Feed, Prep."/>
        <s v="Wheat"/>
        <s v="Sand &amp; Gravel"/>
        <s v="Cement &amp; Concrete"/>
        <s v="Slag"/>
        <s v="Coal &amp; Lignite"/>
        <s v="Limestone"/>
        <s v="Iron Ore"/>
        <s v="Crude Petroleum"/>
        <s v="Nitrogenous Fert."/>
        <s v="Potassic Fert."/>
        <s v="Fert. &amp; Mixes NEC"/>
        <s v="Benzene &amp; Toluene"/>
        <s v="Lube Oil &amp; Greases"/>
        <s v="Phosphatic Fert."/>
        <s v="Food Products NEC"/>
        <s v="Coal Coke"/>
        <s v="Primary I&amp;S NEC"/>
        <s v="Clay &amp; Refrac. Mat."/>
        <s v="Ammonia"/>
        <s v="Inorg. Elem., Oxides, &amp; Halogen Salts"/>
        <s v="Ferro Alloys"/>
        <s v="Misc. Mineral Prod."/>
        <s v="Vegetables &amp; Prod."/>
        <s v="Starches, Gluten, Glue"/>
        <s v="Pig Iron"/>
        <s v="Nitrogen Func. Comp."/>
        <s v="Wood Chips"/>
        <s v="Wood in the Rough"/>
        <s v="Sulphur, (Dry)"/>
        <s v="Plastics"/>
        <s v="Inorganic Chem. NEC"/>
        <s v="Vehicles &amp; Parts"/>
        <s v="Textile Products"/>
        <s v="Smelted Prod. NEC"/>
        <s v="Non-Ferrous Ores NEC"/>
        <s v="Paper &amp; Paperboard"/>
        <s v="Primary Wood Prod."/>
        <s v="Lumber"/>
        <s v="Aluminum"/>
        <s v="Aluminum Ore"/>
        <s v="Rubber &amp; Plastic Pr."/>
        <s v="Sugar"/>
        <s v="Non-Ferrous Scrap"/>
        <s v="Electrical Machinery"/>
        <s v="Alcoholic Beverages"/>
        <s v="Coffee"/>
        <s v="Fruit Juices"/>
        <s v="Molasses"/>
        <s v="Meat, Fresh, Frozen"/>
        <s v="Manufac. Wood Prod."/>
        <s v="Grain Mill Products"/>
        <s v="Chem. Products NEC"/>
        <s v="Carboxylic Acids"/>
        <s v="I&amp;S Pipe &amp; Tube"/>
        <s v="Fish (Not Shellfish)"/>
        <s v="Paper Products NEC"/>
        <s v="Dairy Products"/>
        <s v="Rice"/>
        <s v="Sodium Hydroxide"/>
        <s v="Perfumes &amp; Cleansers"/>
        <s v="Copper"/>
        <s v="Glass &amp; Glass Prod."/>
        <s v="Manganese Ore"/>
        <s v="Pigments &amp; Paints"/>
        <s v="Fish, Prepared"/>
        <s v="Tobacco &amp; Products"/>
        <s v="I&amp;S Bars &amp; Shapes"/>
        <s v="Shellfish"/>
        <s v="Building Stone"/>
        <s v="Medicines"/>
        <s v="Petro. Jelly &amp; Waxes"/>
        <s v="Forest Products NEC"/>
        <s v="Cocoa Beans"/>
        <s v="Fuel Wood"/>
        <s v="Petro. Products NEC"/>
        <s v="Aircraft &amp; Parts"/>
        <s v="Fruit &amp; Nuts NEC"/>
        <s v="Rubber &amp; Gums"/>
        <s v="Animals &amp; Prod. NEC"/>
        <s v="Organic Comp. NEC"/>
        <s v="Organo - Inorg. Comp."/>
        <s v="Water &amp; Ice"/>
        <s v="Hydrocarbon &amp; Petrol Gases, Liquefied and Gaseous"/>
        <s v="Coloring Mat. NEC"/>
        <s v="Newsprint"/>
        <s v="Cotton"/>
        <s v="Farm Products NEC"/>
        <s v="Ordnance &amp; Access."/>
        <s v="Chemical Additives"/>
        <s v="Pesticides"/>
        <s v="Wheat Flour"/>
        <s v="Meat, Prepared"/>
        <s v="Natural Fibers NEC"/>
        <s v="Peanuts"/>
        <s v="Explosives"/>
        <s v="Wood &amp; Resin Chem."/>
        <s v="Acyclic Hydrocarbons"/>
        <s v="Radioactive Material"/>
        <s v="Bananas &amp; Plantains"/>
        <s v="Copper Ore"/>
        <s v="Hay &amp; Fodder"/>
        <s v="Marine Shells"/>
        <s v="Lime"/>
        <s v="Tallow, Animal Oils"/>
        <s v="Sorghum Grains"/>
        <s v="Sulphur (Liquid)"/>
        <s v="Phosphate Rock"/>
        <s v="Barley &amp; Rye"/>
        <s v="Oats"/>
        <s v="Sulphuric Acid"/>
        <s v="Groceries"/>
        <s v="Waste and Scrap NEC"/>
        <s v="Empty Containers"/>
        <s v="Flaxseed"/>
        <s v="Soil &amp; Fill Dirt"/>
        <m/>
      </sharedItems>
    </cacheField>
    <cacheField name="DOMESTIC" numFmtId="0">
      <sharedItems containsString="0" containsBlank="1" containsNumber="1" containsInteger="1" minValue="0" maxValue="28036424" count="3540">
        <n v="302147"/>
        <n v="286536"/>
        <n v="35847"/>
        <n v="693"/>
        <n v="200"/>
        <n v="203967"/>
        <n v="2041975"/>
        <n v="912744"/>
        <n v="584375"/>
        <n v="228142"/>
        <n v="0"/>
        <n v="82966"/>
        <n v="144746"/>
        <n v="49045"/>
        <n v="5965"/>
        <n v="539822"/>
        <n v="219718"/>
        <n v="201785"/>
        <n v="95870"/>
        <n v="71304"/>
        <n v="17777"/>
        <n v="13366"/>
        <n v="8971"/>
        <n v="1576385"/>
        <n v="379317"/>
        <n v="275348"/>
        <n v="54575"/>
        <n v="35439"/>
        <n v="34206"/>
        <n v="5074"/>
        <n v="2301734"/>
        <n v="1116740"/>
        <n v="953410"/>
        <n v="932083"/>
        <n v="477174"/>
        <n v="264347"/>
        <n v="226623"/>
        <n v="222946"/>
        <n v="220875"/>
        <n v="195450"/>
        <n v="184853"/>
        <n v="182490"/>
        <n v="134963"/>
        <n v="103728"/>
        <n v="100288"/>
        <n v="97740"/>
        <n v="93034"/>
        <n v="77007"/>
        <n v="74293"/>
        <n v="69283"/>
        <n v="51772"/>
        <n v="45691"/>
        <n v="38230"/>
        <n v="35319"/>
        <n v="32844"/>
        <n v="26836"/>
        <n v="25835"/>
        <n v="21749"/>
        <n v="21689"/>
        <n v="20604"/>
        <n v="15100"/>
        <n v="8952"/>
        <n v="6898"/>
        <n v="5576"/>
        <n v="4211"/>
        <n v="3731"/>
        <n v="3156"/>
        <n v="2877"/>
        <n v="1841"/>
        <n v="1688"/>
        <n v="1648"/>
        <n v="1558"/>
        <n v="1474"/>
        <n v="1323"/>
        <n v="479612"/>
        <n v="72169"/>
        <n v="53800"/>
        <n v="36700"/>
        <n v="6500"/>
        <n v="1700"/>
        <n v="1600"/>
        <n v="1523"/>
        <n v="4016460"/>
        <n v="826757"/>
        <n v="876406"/>
        <n v="902877"/>
        <n v="272086"/>
        <n v="117120"/>
        <n v="7298"/>
        <n v="45716"/>
        <n v="40"/>
        <n v="20988"/>
        <n v="19214"/>
        <n v="16701"/>
        <n v="13912"/>
        <n v="4378"/>
        <n v="2972"/>
        <n v="649"/>
        <n v="64666"/>
        <n v="732136"/>
        <n v="52550"/>
        <n v="174318"/>
        <n v="110701"/>
        <n v="48727"/>
        <n v="373858"/>
        <n v="558330"/>
        <n v="410296"/>
        <n v="1466"/>
        <n v="720498"/>
        <n v="502872"/>
        <n v="242084"/>
        <n v="88359"/>
        <n v="303012"/>
        <n v="273391"/>
        <n v="168683"/>
        <n v="40987"/>
        <n v="204406"/>
        <n v="190128"/>
        <n v="165617"/>
        <n v="66228"/>
        <n v="105539"/>
        <n v="165"/>
        <n v="32612"/>
        <n v="8215"/>
        <n v="12528"/>
        <n v="501"/>
        <n v="13148"/>
        <n v="685"/>
        <n v="358"/>
        <n v="59"/>
        <n v="30"/>
        <n v="2"/>
        <n v="3927368"/>
        <n v="90401"/>
        <n v="3181515"/>
        <n v="2225455"/>
        <n v="1229927"/>
        <n v="1869141"/>
        <n v="1154316"/>
        <n v="1084968"/>
        <n v="7267"/>
        <n v="728228"/>
        <n v="32933"/>
        <n v="410430"/>
        <n v="571518"/>
        <n v="451216"/>
        <n v="38728"/>
        <n v="62947"/>
        <n v="98068"/>
        <n v="327192"/>
        <n v="247356"/>
        <n v="67000"/>
        <n v="145897"/>
        <n v="126449"/>
        <n v="56372"/>
        <n v="48941"/>
        <n v="470"/>
        <n v="14310"/>
        <n v="10215"/>
        <n v="20190"/>
        <n v="7288"/>
        <n v="2819"/>
        <n v="8557"/>
        <n v="5445"/>
        <n v="4951"/>
        <n v="4461"/>
        <n v="4438"/>
        <n v="3133"/>
        <n v="2347"/>
        <n v="1028"/>
        <n v="919"/>
        <n v="889"/>
        <n v="864"/>
        <n v="801"/>
        <n v="796"/>
        <n v="711"/>
        <n v="607"/>
        <n v="300"/>
        <n v="223"/>
        <n v="78"/>
        <n v="75"/>
        <n v="45"/>
        <n v="31"/>
        <n v="27"/>
        <n v="19"/>
        <n v="16"/>
        <n v="5"/>
        <n v="265054"/>
        <n v="180048"/>
        <n v="65703"/>
        <n v="1370344"/>
        <n v="391602"/>
        <n v="346014"/>
        <n v="645127"/>
        <n v="216168"/>
        <n v="103177"/>
        <n v="49575"/>
        <n v="10835"/>
        <n v="477"/>
        <n v="123"/>
        <n v="73"/>
        <n v="70"/>
        <n v="53"/>
        <n v="719285"/>
        <n v="524626"/>
        <n v="206922"/>
        <n v="163362"/>
        <n v="77047"/>
        <n v="19327"/>
        <n v="1123107"/>
        <n v="1229826"/>
        <n v="59403"/>
        <n v="251113"/>
        <n v="188111"/>
        <n v="8126"/>
        <n v="86513"/>
        <n v="48138"/>
        <n v="32392"/>
        <n v="23196"/>
        <n v="2887"/>
        <n v="18438"/>
        <n v="7093"/>
        <n v="7766"/>
        <n v="7005"/>
        <n v="5892"/>
        <n v="4500"/>
        <n v="2358"/>
        <n v="1625"/>
        <n v="1471"/>
        <n v="1307"/>
        <n v="14800"/>
        <n v="6393"/>
        <n v="242324"/>
        <n v="232682"/>
        <n v="43625"/>
        <n v="136879"/>
        <n v="102312"/>
        <n v="56527"/>
        <n v="47502"/>
        <n v="22444"/>
        <n v="14300"/>
        <n v="5999"/>
        <n v="3446"/>
        <n v="3431"/>
        <n v="2899"/>
        <n v="2747"/>
        <n v="1821"/>
        <n v="1485"/>
        <n v="400"/>
        <n v="50"/>
        <n v="528693"/>
        <n v="200287"/>
        <n v="227199"/>
        <n v="53299"/>
        <n v="9900"/>
        <n v="260968"/>
        <n v="202942"/>
        <n v="120645"/>
        <n v="51007"/>
        <n v="69291"/>
        <n v="45959"/>
        <n v="44172"/>
        <n v="26263"/>
        <n v="21103"/>
        <n v="10376"/>
        <n v="14767"/>
        <n v="14209"/>
        <n v="2470"/>
        <n v="7447"/>
        <n v="2431"/>
        <n v="1551"/>
        <n v="716253"/>
        <n v="195208"/>
        <n v="25529"/>
        <n v="124329"/>
        <n v="25409"/>
        <n v="51439"/>
        <n v="393"/>
        <n v="537"/>
        <n v="286"/>
        <n v="171"/>
        <n v="869554"/>
        <n v="577671"/>
        <n v="449318"/>
        <n v="335769"/>
        <n v="248165"/>
        <n v="210506"/>
        <n v="13345"/>
        <n v="8963"/>
        <n v="4658"/>
        <n v="2921"/>
        <n v="1590"/>
        <n v="8849"/>
        <n v="150"/>
        <n v="1217549"/>
        <n v="117881"/>
        <n v="116343"/>
        <n v="112896"/>
        <n v="100646"/>
        <n v="100553"/>
        <n v="97959"/>
        <n v="92565"/>
        <n v="76387"/>
        <n v="63224"/>
        <n v="61786"/>
        <n v="56355"/>
        <n v="24803"/>
        <n v="21589"/>
        <n v="8486"/>
        <n v="3112"/>
        <n v="3002"/>
        <n v="1575"/>
        <n v="1158"/>
        <n v="107346"/>
        <n v="29834"/>
        <n v="26720"/>
        <n v="18999"/>
        <n v="6600"/>
        <n v="2355"/>
        <n v="859"/>
        <n v="796930"/>
        <n v="778225"/>
        <n v="629690"/>
        <n v="574656"/>
        <n v="451402"/>
        <n v="381046"/>
        <n v="374291"/>
        <n v="266102"/>
        <n v="253710"/>
        <n v="230914"/>
        <n v="222506"/>
        <n v="184705"/>
        <n v="123859"/>
        <n v="111020"/>
        <n v="84631"/>
        <n v="81906"/>
        <n v="72479"/>
        <n v="59349"/>
        <n v="50343"/>
        <n v="49260"/>
        <n v="45055"/>
        <n v="33992"/>
        <n v="31859"/>
        <n v="30430"/>
        <n v="29181"/>
        <n v="27932"/>
        <n v="23465"/>
        <n v="16504"/>
        <n v="15556"/>
        <n v="14831"/>
        <n v="14523"/>
        <n v="11913"/>
        <n v="11023"/>
        <n v="9984"/>
        <n v="9002"/>
        <n v="7858"/>
        <n v="6074"/>
        <n v="4874"/>
        <n v="4622"/>
        <n v="3348"/>
        <n v="2636"/>
        <n v="2487"/>
        <n v="2134"/>
        <n v="1525"/>
        <n v="964100"/>
        <n v="5345"/>
        <n v="4416"/>
        <n v="3082"/>
        <n v="1620"/>
        <n v="21502"/>
        <n v="4327"/>
        <n v="368884"/>
        <n v="2000"/>
        <n v="2556912"/>
        <n v="196434"/>
        <n v="49976"/>
        <n v="26381"/>
        <n v="85"/>
        <n v="390"/>
        <n v="505525"/>
        <n v="82269"/>
        <n v="29018"/>
        <n v="1374"/>
        <n v="7211608"/>
        <n v="2268776"/>
        <n v="495878"/>
        <n v="206912"/>
        <n v="800"/>
        <n v="33385"/>
        <n v="92898"/>
        <n v="28309"/>
        <n v="5753"/>
        <n v="4110326"/>
        <n v="45667"/>
        <n v="42066"/>
        <n v="31003"/>
        <n v="13010"/>
        <n v="7589"/>
        <n v="6681"/>
        <n v="4771"/>
        <n v="4241"/>
        <n v="2593"/>
        <n v="1761"/>
        <n v="1315"/>
        <n v="874"/>
        <n v="663"/>
        <n v="660"/>
        <n v="450"/>
        <n v="285"/>
        <n v="191"/>
        <n v="189"/>
        <n v="152"/>
        <n v="79"/>
        <n v="51"/>
        <n v="37"/>
        <n v="29"/>
        <n v="28"/>
        <n v="26"/>
        <n v="25"/>
        <n v="17"/>
        <n v="11"/>
        <n v="6"/>
        <n v="3"/>
        <n v="1"/>
        <n v="4260582"/>
        <n v="365961"/>
        <n v="4518674"/>
        <n v="2935999"/>
        <n v="1069554"/>
        <n v="1488311"/>
        <n v="538833"/>
        <n v="1508118"/>
        <n v="2338502"/>
        <n v="1083370"/>
        <n v="32466"/>
        <n v="188297"/>
        <n v="590917"/>
        <n v="608734"/>
        <n v="200781"/>
        <n v="9496"/>
        <n v="8442"/>
        <n v="389976"/>
        <n v="193828"/>
        <n v="4233"/>
        <n v="119264"/>
        <n v="114623"/>
        <n v="10088"/>
        <n v="14793"/>
        <n v="3000"/>
        <n v="5566"/>
        <n v="1656"/>
        <n v="1867"/>
        <n v="1773"/>
        <n v="1674"/>
        <n v="3193641"/>
        <n v="1690730"/>
        <n v="1148751"/>
        <n v="347479"/>
        <n v="357848"/>
        <n v="126021"/>
        <n v="87706"/>
        <n v="286743"/>
        <n v="39283"/>
        <n v="23442"/>
        <n v="2317"/>
        <n v="6532"/>
        <n v="3027"/>
        <n v="2513"/>
        <n v="1803"/>
        <n v="1144"/>
        <n v="1101"/>
        <n v="836"/>
        <n v="803"/>
        <n v="707"/>
        <n v="494"/>
        <n v="452"/>
        <n v="425"/>
        <n v="248"/>
        <n v="135"/>
        <n v="124"/>
        <n v="116"/>
        <n v="109"/>
        <n v="22"/>
        <n v="12"/>
        <n v="9"/>
        <n v="4"/>
        <n v="15023670"/>
        <n v="7223399"/>
        <n v="2800583"/>
        <n v="250228"/>
        <n v="116111"/>
        <n v="55548"/>
        <n v="105244"/>
        <n v="180248"/>
        <n v="72394"/>
        <n v="56537"/>
        <n v="900"/>
        <n v="228868"/>
        <n v="91427"/>
        <n v="60041"/>
        <n v="23091"/>
        <n v="22601"/>
        <n v="7728"/>
        <n v="4552"/>
        <n v="1589"/>
        <n v="390178"/>
        <n v="219678"/>
        <n v="35999"/>
        <n v="19278"/>
        <n v="550"/>
        <n v="80"/>
        <n v="362415"/>
        <n v="7000"/>
        <n v="112"/>
        <n v="26973"/>
        <n v="6553"/>
        <n v="4089"/>
        <n v="1449"/>
        <n v="665"/>
        <n v="551"/>
        <n v="453"/>
        <n v="359"/>
        <n v="122"/>
        <n v="32"/>
        <n v="10"/>
        <n v="2577980"/>
        <n v="1401925"/>
        <n v="403813"/>
        <n v="5062"/>
        <n v="34427"/>
        <n v="435070"/>
        <n v="17062"/>
        <n v="921"/>
        <n v="10800"/>
        <n v="132599"/>
        <n v="42439"/>
        <n v="110661"/>
        <n v="80057"/>
        <n v="81000"/>
        <n v="21990"/>
        <n v="7075"/>
        <n v="9610"/>
        <n v="18927"/>
        <n v="110"/>
        <n v="1200"/>
        <n v="3359"/>
        <n v="1428"/>
        <n v="3241"/>
        <n v="3114"/>
        <n v="27006"/>
        <n v="4267"/>
        <n v="526151"/>
        <n v="22531"/>
        <n v="41766"/>
        <n v="18639"/>
        <n v="32135"/>
        <n v="3390160"/>
        <n v="1227982"/>
        <n v="759921"/>
        <n v="401493"/>
        <n v="220619"/>
        <n v="131733"/>
        <n v="62379"/>
        <n v="54723"/>
        <n v="52589"/>
        <n v="48482"/>
        <n v="43214"/>
        <n v="23287"/>
        <n v="21674"/>
        <n v="20782"/>
        <n v="14775"/>
        <n v="9919"/>
        <n v="7624"/>
        <n v="5261"/>
        <n v="395"/>
        <n v="3504"/>
        <n v="1794"/>
        <n v="750"/>
        <n v="102"/>
        <n v="579572"/>
        <n v="412243"/>
        <n v="116477"/>
        <n v="52222"/>
        <n v="17627"/>
        <n v="158579"/>
        <n v="42556"/>
        <n v="12111"/>
        <n v="18947"/>
        <n v="7191"/>
        <n v="100"/>
        <n v="230276"/>
        <n v="200881"/>
        <n v="217535"/>
        <n v="74409"/>
        <n v="625"/>
        <n v="728220"/>
        <n v="441721"/>
        <n v="117579"/>
        <n v="79239"/>
        <n v="61246"/>
        <n v="56580"/>
        <n v="27953"/>
        <n v="27465"/>
        <n v="26034"/>
        <n v="23054"/>
        <n v="18437"/>
        <n v="17826"/>
        <n v="14295"/>
        <n v="13934"/>
        <n v="8685"/>
        <n v="8197"/>
        <n v="7258"/>
        <n v="5751"/>
        <n v="4533"/>
        <n v="2917"/>
        <n v="2815"/>
        <n v="1680"/>
        <n v="1637"/>
        <n v="13920"/>
        <n v="11579"/>
        <n v="8341"/>
        <n v="6628"/>
        <n v="4799"/>
        <n v="368"/>
        <n v="3282"/>
        <n v="2692"/>
        <n v="2611"/>
        <n v="2122"/>
        <n v="2099"/>
        <n v="2056"/>
        <n v="1547"/>
        <n v="1510"/>
        <n v="1400"/>
        <n v="1399"/>
        <n v="1231"/>
        <n v="1064"/>
        <n v="666"/>
        <n v="610"/>
        <n v="585"/>
        <n v="558"/>
        <n v="522"/>
        <n v="361"/>
        <n v="275"/>
        <n v="262"/>
        <n v="118"/>
        <n v="77"/>
        <n v="62"/>
        <n v="48"/>
        <n v="39"/>
        <n v="8"/>
        <n v="7"/>
        <n v="2061085"/>
        <n v="836796"/>
        <n v="34729"/>
        <n v="17116"/>
        <n v="10079"/>
        <n v="4706"/>
        <n v="1740"/>
        <n v="1263824"/>
        <n v="739734"/>
        <n v="564375"/>
        <n v="336130"/>
        <n v="308797"/>
        <n v="161726"/>
        <n v="138655"/>
        <n v="114515"/>
        <n v="103243"/>
        <n v="94799"/>
        <n v="86103"/>
        <n v="78925"/>
        <n v="59423"/>
        <n v="36549"/>
        <n v="34246"/>
        <n v="33127"/>
        <n v="19647"/>
        <n v="18148"/>
        <n v="17010"/>
        <n v="15575"/>
        <n v="9072"/>
        <n v="6604"/>
        <n v="4687"/>
        <n v="4527"/>
        <n v="3101"/>
        <n v="1714"/>
        <n v="1645"/>
        <n v="1614"/>
        <n v="1574"/>
        <n v="946165"/>
        <n v="93222"/>
        <n v="551642"/>
        <n v="409032"/>
        <n v="167412"/>
        <n v="153889"/>
        <n v="64713"/>
        <n v="59470"/>
        <n v="42013"/>
        <n v="26596"/>
        <n v="26212"/>
        <n v="24802"/>
        <n v="22205"/>
        <n v="542621"/>
        <n v="529075"/>
        <n v="236010"/>
        <n v="145621"/>
        <n v="85908"/>
        <n v="83211"/>
        <n v="51887"/>
        <n v="50929"/>
        <n v="48106"/>
        <n v="40000"/>
        <n v="37392"/>
        <n v="34873"/>
        <n v="32188"/>
        <n v="29060"/>
        <n v="26160"/>
        <n v="14595"/>
        <n v="12625"/>
        <n v="6873"/>
        <n v="6695"/>
        <n v="4911"/>
        <n v="3542"/>
        <n v="3384"/>
        <n v="2951"/>
        <n v="1658"/>
        <n v="1438"/>
        <n v="481193"/>
        <n v="466036"/>
        <n v="99163"/>
        <n v="50896"/>
        <n v="44346"/>
        <n v="21337"/>
        <n v="19196"/>
        <n v="17668"/>
        <n v="14183"/>
        <n v="12402"/>
        <n v="9805"/>
        <n v="4873"/>
        <n v="4807"/>
        <n v="4245"/>
        <n v="1964"/>
        <n v="1603"/>
        <n v="1559"/>
        <n v="1744575"/>
        <n v="161930"/>
        <n v="149791"/>
        <n v="119025"/>
        <n v="91052"/>
        <n v="61516"/>
        <n v="39396"/>
        <n v="5106"/>
        <n v="16043"/>
        <n v="1278"/>
        <n v="13754"/>
        <n v="176"/>
        <n v="10673"/>
        <n v="3228"/>
        <n v="2504"/>
        <n v="1153"/>
        <n v="534"/>
        <n v="520"/>
        <n v="268"/>
        <n v="201"/>
        <n v="64"/>
        <n v="238361"/>
        <n v="147561"/>
        <n v="13974"/>
        <n v="8479"/>
        <n v="23232"/>
        <n v="7647"/>
        <n v="7863526"/>
        <n v="2728484"/>
        <n v="636088"/>
        <n v="523491"/>
        <n v="45074"/>
        <n v="253295"/>
        <n v="181483"/>
        <n v="170054"/>
        <n v="114962"/>
        <n v="108103"/>
        <n v="14489"/>
        <n v="90016"/>
        <n v="69040"/>
        <n v="19067"/>
        <n v="29416"/>
        <n v="57730"/>
        <n v="33111"/>
        <n v="5344"/>
        <n v="6549"/>
        <n v="48981"/>
        <n v="43112"/>
        <n v="47570"/>
        <n v="39948"/>
        <n v="36649"/>
        <n v="6867"/>
        <n v="17638"/>
        <n v="17530"/>
        <n v="26242"/>
        <n v="29943"/>
        <n v="29209"/>
        <n v="28961"/>
        <n v="23325"/>
        <n v="22610"/>
        <n v="19399"/>
        <n v="11147"/>
        <n v="17930"/>
        <n v="5396"/>
        <n v="2101"/>
        <n v="325"/>
        <n v="2769"/>
        <n v="207"/>
        <n v="1067"/>
        <n v="5276"/>
        <n v="2229"/>
        <n v="4328"/>
        <n v="3526"/>
        <n v="322"/>
        <n v="143"/>
        <n v="1263"/>
        <n v="914"/>
        <n v="903"/>
        <n v="817"/>
        <n v="575"/>
        <n v="373"/>
        <n v="88"/>
        <n v="35"/>
        <n v="43"/>
        <n v="14"/>
        <n v="849"/>
        <n v="786"/>
        <n v="754"/>
        <n v="725"/>
        <n v="394"/>
        <n v="382"/>
        <n v="377"/>
        <n v="331"/>
        <n v="244"/>
        <n v="206"/>
        <n v="190"/>
        <n v="166"/>
        <n v="155"/>
        <n v="149"/>
        <n v="117"/>
        <n v="101"/>
        <n v="82"/>
        <n v="66"/>
        <n v="54"/>
        <n v="38"/>
        <n v="21"/>
        <n v="13"/>
        <n v="427"/>
        <n v="374952"/>
        <n v="187609"/>
        <n v="6475"/>
        <n v="3498388"/>
        <n v="15178302"/>
        <n v="818488"/>
        <n v="9894095"/>
        <n v="6214592"/>
        <n v="10124711"/>
        <n v="4283525"/>
        <n v="91798"/>
        <n v="159221"/>
        <n v="465714"/>
        <n v="2362664"/>
        <n v="1265878"/>
        <n v="3503164"/>
        <n v="3420016"/>
        <n v="850515"/>
        <n v="2446954"/>
        <n v="1083591"/>
        <n v="10455"/>
        <n v="2074581"/>
        <n v="3408"/>
        <n v="12763"/>
        <n v="1716"/>
        <n v="387093"/>
        <n v="1246596"/>
        <n v="3206"/>
        <n v="601673"/>
        <n v="1167393"/>
        <n v="8164"/>
        <n v="283249"/>
        <n v="427292"/>
        <n v="959677"/>
        <n v="775860"/>
        <n v="13371"/>
        <n v="488043"/>
        <n v="68237"/>
        <n v="148767"/>
        <n v="431201"/>
        <n v="147073"/>
        <n v="28546"/>
        <n v="268561"/>
        <n v="128451"/>
        <n v="3320"/>
        <n v="2960"/>
        <n v="109548"/>
        <n v="73313"/>
        <n v="10561"/>
        <n v="6467"/>
        <n v="71475"/>
        <n v="17883"/>
        <n v="33676"/>
        <n v="2890"/>
        <n v="24745"/>
        <n v="1783"/>
        <n v="10116"/>
        <n v="14745"/>
        <n v="16451"/>
        <n v="20082"/>
        <n v="32142"/>
        <n v="27480"/>
        <n v="23280"/>
        <n v="10998"/>
        <n v="116250"/>
        <n v="94442"/>
        <n v="50818"/>
        <n v="65380"/>
        <n v="24650"/>
        <n v="1097"/>
        <n v="461812"/>
        <n v="1599090"/>
        <n v="1526706"/>
        <n v="1424854"/>
        <n v="621938"/>
        <n v="131714"/>
        <n v="400343"/>
        <n v="326609"/>
        <n v="196400"/>
        <n v="183144"/>
        <n v="212311"/>
        <n v="34327"/>
        <n v="69861"/>
        <n v="108231"/>
        <n v="90006"/>
        <n v="3045"/>
        <n v="60884"/>
        <n v="49913"/>
        <n v="44414"/>
        <n v="10718"/>
        <n v="41926"/>
        <n v="41154"/>
        <n v="36284"/>
        <n v="30899"/>
        <n v="28145"/>
        <n v="27077"/>
        <n v="26473"/>
        <n v="25607"/>
        <n v="23066"/>
        <n v="20313"/>
        <n v="8655"/>
        <n v="1114"/>
        <n v="4731"/>
        <n v="4530"/>
        <n v="4347"/>
        <n v="4333"/>
        <n v="4086"/>
        <n v="3823"/>
        <n v="2375"/>
        <n v="1668"/>
        <n v="1563"/>
        <n v="1468"/>
        <n v="1348"/>
        <n v="2110404"/>
        <n v="1120988"/>
        <n v="569852"/>
        <n v="358783"/>
        <n v="275500"/>
        <n v="272525"/>
        <n v="106119"/>
        <n v="99280"/>
        <n v="83961"/>
        <n v="75438"/>
        <n v="46113"/>
        <n v="40326"/>
        <n v="37048"/>
        <n v="24008"/>
        <n v="18374"/>
        <n v="17500"/>
        <n v="11249"/>
        <n v="4919"/>
        <n v="4722"/>
        <n v="4487"/>
        <n v="1553"/>
        <n v="1000"/>
        <n v="1490226"/>
        <n v="300953"/>
        <n v="256355"/>
        <n v="82130"/>
        <n v="1824"/>
        <n v="2428991"/>
        <n v="1575618"/>
        <n v="881695"/>
        <n v="154454"/>
        <n v="91"/>
        <n v="635034"/>
        <n v="9672"/>
        <n v="309036"/>
        <n v="315415"/>
        <n v="328912"/>
        <n v="202305"/>
        <n v="300698"/>
        <n v="153340"/>
        <n v="6987"/>
        <n v="23525"/>
        <n v="113952"/>
        <n v="194367"/>
        <n v="41543"/>
        <n v="91494"/>
        <n v="4587"/>
        <n v="58540"/>
        <n v="5907"/>
        <n v="131"/>
        <n v="381"/>
        <n v="821"/>
        <n v="1194"/>
        <n v="3690"/>
        <n v="162"/>
        <n v="48195"/>
        <n v="10415"/>
        <n v="4207"/>
        <n v="63191"/>
        <n v="57645"/>
        <n v="2130"/>
        <n v="65776"/>
        <n v="2562"/>
        <n v="15247"/>
        <n v="8748"/>
        <n v="50432"/>
        <n v="42511"/>
        <n v="19546"/>
        <n v="8452"/>
        <n v="11080"/>
        <n v="3039"/>
        <n v="405"/>
        <n v="276"/>
        <n v="4054"/>
        <n v="4739"/>
        <n v="1184"/>
        <n v="18133"/>
        <n v="19346"/>
        <n v="10240"/>
        <n v="4540"/>
        <n v="6517"/>
        <n v="12756"/>
        <n v="9433"/>
        <n v="4021"/>
        <n v="879"/>
        <n v="46"/>
        <n v="2426"/>
        <n v="7583"/>
        <n v="7366"/>
        <n v="47"/>
        <n v="5726"/>
        <n v="3932"/>
        <n v="1165"/>
        <n v="3162"/>
        <n v="2502"/>
        <n v="2874"/>
        <n v="1116"/>
        <n v="1418"/>
        <n v="24"/>
        <n v="1623"/>
        <n v="893"/>
        <n v="115"/>
        <n v="20"/>
        <n v="1963997"/>
        <n v="1223795"/>
        <n v="230504"/>
        <n v="139567"/>
        <n v="122243"/>
        <n v="53588"/>
        <n v="35631"/>
        <n v="19400"/>
        <n v="7899"/>
        <n v="5393"/>
        <n v="3352"/>
        <n v="1676"/>
        <n v="282528"/>
        <n v="19800"/>
        <n v="2103143"/>
        <n v="1878109"/>
        <n v="1167745"/>
        <n v="418275"/>
        <n v="390693"/>
        <n v="381415"/>
        <n v="327706"/>
        <n v="304374"/>
        <n v="216877"/>
        <n v="181601"/>
        <n v="151843"/>
        <n v="98323"/>
        <n v="91761"/>
        <n v="87742"/>
        <n v="72922"/>
        <n v="71215"/>
        <n v="71007"/>
        <n v="67443"/>
        <n v="65731"/>
        <n v="55923"/>
        <n v="52448"/>
        <n v="47857"/>
        <n v="44264"/>
        <n v="30029"/>
        <n v="25564"/>
        <n v="21342"/>
        <n v="13957"/>
        <n v="12632"/>
        <n v="12034"/>
        <n v="10775"/>
        <n v="10628"/>
        <n v="10593"/>
        <n v="10351"/>
        <n v="6159"/>
        <n v="4695"/>
        <n v="3157"/>
        <n v="1653"/>
        <n v="1652"/>
        <n v="1477"/>
        <n v="234721"/>
        <n v="221119"/>
        <n v="65447"/>
        <n v="24286"/>
        <n v="24259"/>
        <n v="12211"/>
        <n v="20863"/>
        <n v="19016"/>
        <n v="16316"/>
        <n v="15483"/>
        <n v="14582"/>
        <n v="13617"/>
        <n v="13175"/>
        <n v="3396"/>
        <n v="10095"/>
        <n v="9412"/>
        <n v="8092"/>
        <n v="5862"/>
        <n v="5684"/>
        <n v="630"/>
        <n v="4440"/>
        <n v="3906"/>
        <n v="3843"/>
        <n v="3703"/>
        <n v="3329"/>
        <n v="2068"/>
        <n v="1942"/>
        <n v="1409"/>
        <n v="1363"/>
        <n v="1244"/>
        <n v="1136"/>
        <n v="741"/>
        <n v="581"/>
        <n v="291"/>
        <n v="281"/>
        <n v="250"/>
        <n v="145"/>
        <n v="99"/>
        <n v="84"/>
        <n v="2628136"/>
        <n v="213541"/>
        <n v="193278"/>
        <n v="177966"/>
        <n v="161916"/>
        <n v="142452"/>
        <n v="74137"/>
        <n v="51417"/>
        <n v="13998"/>
        <n v="32042"/>
        <n v="30217"/>
        <n v="22328"/>
        <n v="11514"/>
        <n v="10860"/>
        <n v="7431"/>
        <n v="7225"/>
        <n v="5920"/>
        <n v="5277"/>
        <n v="5006"/>
        <n v="2950"/>
        <n v="1939"/>
        <n v="1891"/>
        <n v="1883"/>
        <n v="1774"/>
        <n v="1673"/>
        <n v="1328"/>
        <n v="863"/>
        <n v="844"/>
        <n v="709"/>
        <n v="557"/>
        <n v="484"/>
        <n v="205"/>
        <n v="133"/>
        <n v="69"/>
        <n v="34"/>
        <n v="5003"/>
        <n v="4418"/>
        <n v="1607"/>
        <n v="1290"/>
        <n v="568"/>
        <n v="549"/>
        <n v="535"/>
        <n v="530"/>
        <n v="513"/>
        <n v="472"/>
        <n v="445"/>
        <n v="441"/>
        <n v="415"/>
        <n v="326"/>
        <n v="320"/>
        <n v="312"/>
        <n v="278"/>
        <n v="222"/>
        <n v="211"/>
        <n v="175"/>
        <n v="130"/>
        <n v="128"/>
        <n v="2152"/>
        <n v="153"/>
        <n v="140"/>
        <n v="36"/>
        <n v="778539"/>
        <n v="516995"/>
        <n v="309955"/>
        <n v="86420"/>
        <n v="387031"/>
        <n v="142889"/>
        <n v="1762"/>
        <n v="23487"/>
        <n v="15754"/>
        <n v="1189827"/>
        <n v="65290"/>
        <n v="12461"/>
        <n v="10089"/>
        <n v="3646373"/>
        <n v="710893"/>
        <n v="560771"/>
        <n v="346626"/>
        <n v="210977"/>
        <n v="72146"/>
        <n v="51642"/>
        <n v="45787"/>
        <n v="38243"/>
        <n v="36018"/>
        <n v="15203"/>
        <n v="9355"/>
        <n v="6405"/>
        <n v="1351"/>
        <n v="137473"/>
        <n v="22788"/>
        <n v="9997"/>
        <n v="1251"/>
        <n v="945"/>
        <n v="210"/>
        <n v="58"/>
        <n v="44"/>
        <n v="43918"/>
        <n v="19320"/>
        <n v="9164"/>
        <n v="9013"/>
        <n v="2908"/>
        <n v="2107"/>
        <n v="1377"/>
        <n v="366"/>
        <n v="184"/>
        <n v="1625925"/>
        <n v="176985"/>
        <n v="83770"/>
        <n v="71416"/>
        <n v="53114"/>
        <n v="52176"/>
        <n v="47689"/>
        <n v="29968"/>
        <n v="25858"/>
        <n v="20616"/>
        <n v="18785"/>
        <n v="12821"/>
        <n v="12208"/>
        <n v="11299"/>
        <n v="10594"/>
        <n v="7651"/>
        <n v="7281"/>
        <n v="6458"/>
        <n v="6448"/>
        <n v="4010"/>
        <n v="3919"/>
        <n v="3412"/>
        <n v="2352"/>
        <n v="2295"/>
        <n v="1850"/>
        <n v="1799"/>
        <n v="1757"/>
        <n v="1050"/>
        <n v="1044"/>
        <n v="504"/>
        <n v="492"/>
        <n v="490"/>
        <n v="186"/>
        <n v="172"/>
        <n v="76"/>
        <n v="67"/>
        <n v="1304"/>
        <n v="161330"/>
        <n v="90814"/>
        <n v="68692"/>
        <n v="52235"/>
        <n v="29039"/>
        <n v="26226"/>
        <n v="1835"/>
        <n v="9372"/>
        <n v="13886"/>
        <n v="13654"/>
        <n v="13134"/>
        <n v="10639"/>
        <n v="9486"/>
        <n v="8093"/>
        <n v="7537"/>
        <n v="7401"/>
        <n v="6761"/>
        <n v="6690"/>
        <n v="6117"/>
        <n v="1233"/>
        <n v="4997"/>
        <n v="4501"/>
        <n v="3972"/>
        <n v="3086"/>
        <n v="2339"/>
        <n v="2178"/>
        <n v="2138"/>
        <n v="1809"/>
        <n v="1507"/>
        <n v="1483"/>
        <n v="1162"/>
        <n v="947"/>
        <n v="942"/>
        <n v="778"/>
        <n v="562"/>
        <n v="467"/>
        <n v="237"/>
        <n v="218"/>
        <n v="139"/>
        <n v="47347"/>
        <n v="12700"/>
        <n v="3626"/>
        <n v="559"/>
        <n v="347"/>
        <n v="1238490"/>
        <n v="1633"/>
        <n v="506"/>
        <n v="178"/>
        <n v="126"/>
        <n v="60"/>
        <n v="18"/>
        <n v="15"/>
        <n v="87457"/>
        <n v="2880"/>
        <n v="2338"/>
        <n v="45363"/>
        <n v="33772"/>
        <n v="28912"/>
        <n v="25566"/>
        <n v="11647"/>
        <n v="10270"/>
        <n v="8492"/>
        <n v="5178"/>
        <n v="4339"/>
        <n v="3692"/>
        <n v="3628"/>
        <n v="2517"/>
        <n v="1832"/>
        <n v="1453"/>
        <n v="1413"/>
        <n v="1242"/>
        <n v="965"/>
        <n v="765"/>
        <n v="755"/>
        <n v="324"/>
        <n v="316"/>
        <n v="255"/>
        <n v="187"/>
        <n v="170"/>
        <n v="159"/>
        <n v="142"/>
        <n v="120"/>
        <n v="24750"/>
        <n v="4694029"/>
        <n v="4705558"/>
        <n v="3517745"/>
        <n v="1297216"/>
        <n v="570165"/>
        <n v="286951"/>
        <n v="1474190"/>
        <n v="877108"/>
        <n v="527402"/>
        <n v="1199200"/>
        <n v="622555"/>
        <n v="179545"/>
        <n v="425781"/>
        <n v="9045"/>
        <n v="308067"/>
        <n v="224934"/>
        <n v="142572"/>
        <n v="170980"/>
        <n v="149568"/>
        <n v="29668"/>
        <n v="117871"/>
        <n v="98882"/>
        <n v="34632"/>
        <n v="64721"/>
        <n v="15369"/>
        <n v="3316"/>
        <n v="42083"/>
        <n v="24636"/>
        <n v="4990"/>
        <n v="14540"/>
        <n v="12956"/>
        <n v="8246"/>
        <n v="7473"/>
        <n v="1501"/>
        <n v="417637"/>
        <n v="247445"/>
        <n v="113198"/>
        <n v="93123"/>
        <n v="47043"/>
        <n v="20539"/>
        <n v="18487"/>
        <n v="18259"/>
        <n v="8813"/>
        <n v="8227"/>
        <n v="7681"/>
        <n v="6689"/>
        <n v="192357"/>
        <n v="114957"/>
        <n v="87121"/>
        <n v="43595"/>
        <n v="42374"/>
        <n v="34588"/>
        <n v="32529"/>
        <n v="30241"/>
        <n v="27876"/>
        <n v="17949"/>
        <n v="7813"/>
        <n v="4772"/>
        <n v="3278"/>
        <n v="2966"/>
        <n v="2932"/>
        <n v="1461"/>
        <n v="752318"/>
        <n v="17457"/>
        <n v="2344401"/>
        <n v="1733210"/>
        <n v="1391291"/>
        <n v="624760"/>
        <n v="425019"/>
        <n v="376783"/>
        <n v="370202"/>
        <n v="338021"/>
        <n v="301801"/>
        <n v="162391"/>
        <n v="63394"/>
        <n v="50415"/>
        <n v="44210"/>
        <n v="38560"/>
        <n v="37658"/>
        <n v="37454"/>
        <n v="34790"/>
        <n v="32829"/>
        <n v="29392"/>
        <n v="26986"/>
        <n v="23680"/>
        <n v="22021"/>
        <n v="18332"/>
        <n v="17529"/>
        <n v="16287"/>
        <n v="15029"/>
        <n v="14112"/>
        <n v="12566"/>
        <n v="10684"/>
        <n v="5912"/>
        <n v="2787"/>
        <n v="2768"/>
        <n v="1937"/>
        <n v="1912"/>
        <n v="1636"/>
        <n v="840"/>
        <n v="194108"/>
        <n v="141637"/>
        <n v="65413"/>
        <n v="34558"/>
        <n v="31085"/>
        <n v="25400"/>
        <n v="22290"/>
        <n v="16813"/>
        <n v="14500"/>
        <n v="6050"/>
        <n v="4600"/>
        <n v="4300"/>
        <n v="2836"/>
        <n v="1587"/>
        <n v="1500"/>
        <n v="1489"/>
        <n v="219284"/>
        <n v="93363"/>
        <n v="42445"/>
        <n v="4903"/>
        <n v="48521"/>
        <n v="25261"/>
        <n v="13540"/>
        <n v="217279"/>
        <n v="208504"/>
        <n v="125231"/>
        <n v="111032"/>
        <n v="85144"/>
        <n v="61756"/>
        <n v="11319"/>
        <n v="10130"/>
        <n v="3449"/>
        <n v="1955"/>
        <n v="1646"/>
        <n v="1112"/>
        <n v="764685"/>
        <n v="206814"/>
        <n v="85467"/>
        <n v="86406"/>
        <n v="55347"/>
        <n v="125"/>
        <n v="168"/>
        <n v="98113"/>
        <n v="51755"/>
        <n v="37303"/>
        <n v="35331"/>
        <n v="156907"/>
        <n v="15205"/>
        <n v="15080"/>
        <n v="2050"/>
        <n v="2494440"/>
        <n v="1202240"/>
        <n v="10997"/>
        <n v="5687034"/>
        <n v="328196"/>
        <n v="236616"/>
        <n v="16628"/>
        <n v="649550"/>
        <n v="878101"/>
        <n v="641827"/>
        <n v="334044"/>
        <n v="67690"/>
        <n v="50028"/>
        <n v="40993"/>
        <n v="39743"/>
        <n v="37851"/>
        <n v="23408"/>
        <n v="17746"/>
        <n v="4746"/>
        <n v="10385"/>
        <n v="1684485"/>
        <n v="1144005"/>
        <n v="970792"/>
        <n v="913319"/>
        <n v="631700"/>
        <n v="420515"/>
        <n v="400593"/>
        <n v="340797"/>
        <n v="278822"/>
        <n v="266632"/>
        <n v="242463"/>
        <n v="242338"/>
        <n v="193588"/>
        <n v="102500"/>
        <n v="101375"/>
        <n v="101221"/>
        <n v="96362"/>
        <n v="86570"/>
        <n v="79180"/>
        <n v="78838"/>
        <n v="78225"/>
        <n v="70547"/>
        <n v="67330"/>
        <n v="63863"/>
        <n v="54641"/>
        <n v="52510"/>
        <n v="51729"/>
        <n v="41692"/>
        <n v="40088"/>
        <n v="33504"/>
        <n v="26870"/>
        <n v="22821"/>
        <n v="18721"/>
        <n v="12215"/>
        <n v="9942"/>
        <n v="9562"/>
        <n v="6711"/>
        <n v="6004"/>
        <n v="5681"/>
        <n v="5023"/>
        <n v="4762"/>
        <n v="3158"/>
        <n v="2816"/>
        <n v="1758"/>
        <n v="1604"/>
        <n v="1401"/>
        <n v="1271"/>
        <n v="687"/>
        <n v="582"/>
        <n v="1310"/>
        <n v="6476238"/>
        <n v="2544955"/>
        <n v="1093650"/>
        <n v="1069121"/>
        <n v="367533"/>
        <n v="291204"/>
        <n v="209006"/>
        <n v="175621"/>
        <n v="165512"/>
        <n v="153430"/>
        <n v="122634"/>
        <n v="112400"/>
        <n v="105747"/>
        <n v="105399"/>
        <n v="67869"/>
        <n v="61347"/>
        <n v="41258"/>
        <n v="39826"/>
        <n v="26917"/>
        <n v="16150"/>
        <n v="13714"/>
        <n v="12985"/>
        <n v="10568"/>
        <n v="9877"/>
        <n v="4729"/>
        <n v="3980"/>
        <n v="3808"/>
        <n v="3242"/>
        <n v="3171"/>
        <n v="3023"/>
        <n v="2073"/>
        <n v="1601"/>
        <n v="1537"/>
        <n v="1519"/>
        <n v="1513"/>
        <n v="1352"/>
        <n v="131648"/>
        <n v="689487"/>
        <n v="64443"/>
        <n v="46129"/>
        <n v="89429"/>
        <n v="76692"/>
        <n v="56826"/>
        <n v="51782"/>
        <n v="36174"/>
        <n v="13002"/>
        <n v="12543"/>
        <n v="4326"/>
        <n v="3640"/>
        <n v="3791"/>
        <n v="1594"/>
        <n v="1580"/>
        <n v="52"/>
        <n v="111214"/>
        <n v="80667"/>
        <n v="68016"/>
        <n v="17752"/>
        <n v="4080827"/>
        <n v="4547117"/>
        <n v="3399259"/>
        <n v="634632"/>
        <n v="1186767"/>
        <n v="43295"/>
        <n v="347407"/>
        <n v="349"/>
        <n v="504990"/>
        <n v="574300"/>
        <n v="465072"/>
        <n v="442409"/>
        <n v="229048"/>
        <n v="265274"/>
        <n v="49378"/>
        <n v="9205"/>
        <n v="59002"/>
        <n v="162200"/>
        <n v="13916"/>
        <n v="129434"/>
        <n v="10063"/>
        <n v="101168"/>
        <n v="4700"/>
        <n v="1205"/>
        <n v="3100"/>
        <n v="43687"/>
        <n v="14100"/>
        <n v="45100"/>
        <n v="2373"/>
        <n v="21852"/>
        <n v="13174"/>
        <n v="2300"/>
        <n v="15248"/>
        <n v="9300"/>
        <n v="5727"/>
        <n v="3144"/>
        <n v="4606"/>
        <n v="3755"/>
        <n v="1666817"/>
        <n v="320280"/>
        <n v="102926"/>
        <n v="23470"/>
        <n v="330250"/>
        <n v="292500"/>
        <n v="28642"/>
        <n v="13691"/>
        <n v="16500"/>
        <n v="2900"/>
        <n v="92882"/>
        <n v="54401"/>
        <n v="40800"/>
        <n v="27980"/>
        <n v="19215"/>
        <n v="13570"/>
        <n v="3503"/>
        <n v="3400"/>
        <n v="3221"/>
        <n v="1450"/>
        <n v="1360"/>
        <n v="600"/>
        <n v="3906218"/>
        <n v="213161"/>
        <n v="28685"/>
        <n v="371277"/>
        <n v="85292"/>
        <n v="26492"/>
        <n v="101845"/>
        <n v="78376"/>
        <n v="2800"/>
        <n v="129669"/>
        <n v="112121"/>
        <n v="76954"/>
        <n v="74516"/>
        <n v="42498"/>
        <n v="36778"/>
        <n v="17628"/>
        <n v="14985"/>
        <n v="14752"/>
        <n v="9308"/>
        <n v="9213"/>
        <n v="7834"/>
        <n v="6547"/>
        <n v="3281"/>
        <n v="2926"/>
        <n v="1522"/>
        <n v="6518"/>
        <n v="2428"/>
        <n v="500"/>
        <n v="280"/>
        <n v="3598212"/>
        <n v="1157816"/>
        <n v="834151"/>
        <n v="809985"/>
        <n v="302886"/>
        <n v="196249"/>
        <n v="139338"/>
        <n v="113772"/>
        <n v="95082"/>
        <n v="81163"/>
        <n v="54907"/>
        <n v="46352"/>
        <n v="45054"/>
        <n v="38615"/>
        <n v="17262"/>
        <n v="9378"/>
        <n v="6120"/>
        <n v="3065"/>
        <n v="1725"/>
        <n v="145072"/>
        <n v="138957"/>
        <n v="76696"/>
        <n v="59200"/>
        <n v="54685"/>
        <n v="40300"/>
        <n v="37343"/>
        <n v="25503"/>
        <n v="23257"/>
        <n v="16742"/>
        <n v="14315"/>
        <n v="12930"/>
        <n v="12803"/>
        <n v="7420"/>
        <n v="6276"/>
        <n v="5784"/>
        <n v="5740"/>
        <n v="3272"/>
        <n v="3072"/>
        <n v="2866"/>
        <n v="2148"/>
        <n v="1634"/>
        <n v="1286"/>
        <n v="1146"/>
        <n v="59695"/>
        <n v="1649112"/>
        <n v="118954"/>
        <n v="107831"/>
        <n v="79384"/>
        <n v="58676"/>
        <n v="23684"/>
        <n v="17360"/>
        <n v="8518"/>
        <n v="14624"/>
        <n v="13528"/>
        <n v="9587"/>
        <n v="9490"/>
        <n v="9044"/>
        <n v="4949"/>
        <n v="3362"/>
        <n v="2704"/>
        <n v="2334"/>
        <n v="2144"/>
        <n v="1812"/>
        <n v="1711"/>
        <n v="1226"/>
        <n v="1103"/>
        <n v="1100"/>
        <n v="758"/>
        <n v="686"/>
        <n v="465"/>
        <n v="232"/>
        <n v="161"/>
        <n v="95"/>
        <n v="72"/>
        <n v="361401"/>
        <n v="59461"/>
        <n v="6782"/>
        <n v="5534"/>
        <n v="2219"/>
        <n v="1240"/>
        <n v="179"/>
        <n v="5110181"/>
        <n v="3164743"/>
        <n v="1318522"/>
        <n v="692173"/>
        <n v="398572"/>
        <n v="334717"/>
        <n v="172248"/>
        <n v="160488"/>
        <n v="99954"/>
        <n v="74027"/>
        <n v="43556"/>
        <n v="40174"/>
        <n v="16845"/>
        <n v="4133"/>
        <n v="1829"/>
        <n v="1801927"/>
        <n v="938979"/>
        <n v="477911"/>
        <n v="246401"/>
        <n v="56961"/>
        <n v="51900"/>
        <n v="34409"/>
        <n v="22008"/>
        <n v="20574"/>
        <n v="604736"/>
        <n v="556895"/>
        <n v="466234"/>
        <n v="310877"/>
        <n v="156948"/>
        <n v="99582"/>
        <n v="98253"/>
        <n v="58165"/>
        <n v="41423"/>
        <n v="40316"/>
        <n v="37183"/>
        <n v="29767"/>
        <n v="22250"/>
        <n v="17341"/>
        <n v="14980"/>
        <n v="13138"/>
        <n v="8446"/>
        <n v="4768"/>
        <n v="1657"/>
        <n v="5204329"/>
        <n v="6428587"/>
        <n v="2623938"/>
        <n v="4870910"/>
        <n v="1791927"/>
        <n v="2345726"/>
        <n v="2332855"/>
        <n v="1376415"/>
        <n v="1325872"/>
        <n v="1500367"/>
        <n v="261021"/>
        <n v="1489303"/>
        <n v="862879"/>
        <n v="862868"/>
        <n v="648716"/>
        <n v="329496"/>
        <n v="558249"/>
        <n v="747913"/>
        <n v="511134"/>
        <n v="269090"/>
        <n v="532013"/>
        <n v="344874"/>
        <n v="429694"/>
        <n v="313362"/>
        <n v="355965"/>
        <n v="163683"/>
        <n v="314445"/>
        <n v="502580"/>
        <n v="619679"/>
        <n v="480659"/>
        <n v="435669"/>
        <n v="280172"/>
        <n v="314771"/>
        <n v="94051"/>
        <n v="96091"/>
        <n v="218753"/>
        <n v="175381"/>
        <n v="425988"/>
        <n v="392142"/>
        <n v="4678"/>
        <n v="55949"/>
        <n v="3538"/>
        <n v="337800"/>
        <n v="153891"/>
        <n v="24066"/>
        <n v="1661"/>
        <n v="12246"/>
        <n v="278875"/>
        <n v="213060"/>
        <n v="72165"/>
        <n v="183012"/>
        <n v="176938"/>
        <n v="2468"/>
        <n v="131059"/>
        <n v="61250"/>
        <n v="76476"/>
        <n v="141588"/>
        <n v="28105"/>
        <n v="11095"/>
        <n v="104214"/>
        <n v="34037"/>
        <n v="9390"/>
        <n v="27981"/>
        <n v="6349"/>
        <n v="47878"/>
        <n v="9931"/>
        <n v="75816"/>
        <n v="40379"/>
        <n v="25706"/>
        <n v="1464"/>
        <n v="12852"/>
        <n v="27449"/>
        <n v="3128"/>
        <n v="6082"/>
        <n v="6698"/>
        <n v="8132"/>
        <n v="12695630"/>
        <n v="8322963"/>
        <n v="20234"/>
        <n v="8349484"/>
        <n v="352362"/>
        <n v="3330280"/>
        <n v="1017054"/>
        <n v="1393208"/>
        <n v="2294993"/>
        <n v="1257770"/>
        <n v="542721"/>
        <n v="73104"/>
        <n v="408489"/>
        <n v="300269"/>
        <n v="146402"/>
        <n v="158524"/>
        <n v="52797"/>
        <n v="25492"/>
        <n v="7888"/>
        <n v="1980205"/>
        <n v="631244"/>
        <n v="31630"/>
        <n v="291784"/>
        <n v="45204"/>
        <n v="22128"/>
        <n v="1759"/>
        <n v="3611"/>
        <n v="4835"/>
        <n v="8075"/>
        <n v="6022"/>
        <n v="3649"/>
        <n v="3051"/>
        <n v="2885"/>
        <n v="2639"/>
        <n v="2560"/>
        <n v="1635"/>
        <n v="1270"/>
        <n v="435"/>
        <n v="416"/>
        <n v="338"/>
        <n v="292"/>
        <n v="65"/>
        <n v="21856685"/>
        <n v="3131592"/>
        <n v="1620457"/>
        <n v="1117196"/>
        <n v="308142"/>
        <n v="201414"/>
        <n v="74424"/>
        <n v="267096"/>
        <n v="189930"/>
        <n v="175069"/>
        <n v="28784"/>
        <n v="103890"/>
        <n v="73095"/>
        <n v="57320"/>
        <n v="56192"/>
        <n v="53392"/>
        <n v="41874"/>
        <n v="3042"/>
        <n v="39985"/>
        <n v="36420"/>
        <n v="21906"/>
        <n v="16950"/>
        <n v="15680"/>
        <n v="13962"/>
        <n v="10653"/>
        <n v="4696"/>
        <n v="3727"/>
        <n v="49877"/>
        <n v="91632"/>
        <n v="3889"/>
        <n v="372"/>
        <n v="775332"/>
        <n v="221200"/>
        <n v="184613"/>
        <n v="177599"/>
        <n v="153600"/>
        <n v="146448"/>
        <n v="127653"/>
        <n v="130879"/>
        <n v="86251"/>
        <n v="45292"/>
        <n v="22368"/>
        <n v="20523"/>
        <n v="15518"/>
        <n v="6283"/>
        <n v="3402"/>
        <n v="310"/>
        <n v="311949"/>
        <n v="142011"/>
        <n v="61618"/>
        <n v="12527"/>
        <n v="11142"/>
        <n v="4690"/>
        <n v="3579"/>
        <n v="2080"/>
        <n v="1548"/>
        <n v="602431"/>
        <n v="213253"/>
        <n v="70900"/>
        <n v="58043"/>
        <n v="49527"/>
        <n v="40288"/>
        <n v="30840"/>
        <n v="30165"/>
        <n v="27345"/>
        <n v="26700"/>
        <n v="22924"/>
        <n v="15185"/>
        <n v="14287"/>
        <n v="11963"/>
        <n v="9109"/>
        <n v="8182"/>
        <n v="3350"/>
        <n v="3313"/>
        <n v="3108"/>
        <n v="1664"/>
        <n v="1628"/>
        <n v="1225"/>
        <n v="516000"/>
        <n v="491434"/>
        <n v="470953"/>
        <n v="345086"/>
        <n v="255638"/>
        <n v="143292"/>
        <n v="140791"/>
        <n v="76284"/>
        <n v="69433"/>
        <n v="67528"/>
        <n v="40310"/>
        <n v="39232"/>
        <n v="30523"/>
        <n v="27352"/>
        <n v="22916"/>
        <n v="21774"/>
        <n v="17933"/>
        <n v="17164"/>
        <n v="7808"/>
        <n v="6075"/>
        <n v="1894"/>
        <n v="1617"/>
        <n v="1346"/>
        <n v="1327"/>
        <n v="18147"/>
        <n v="3800"/>
        <n v="2904"/>
        <n v="5147346"/>
        <n v="1244458"/>
        <n v="440230"/>
        <n v="348415"/>
        <n v="244927"/>
        <n v="75850"/>
        <n v="46309"/>
        <n v="23388"/>
        <n v="16209"/>
        <n v="13707"/>
        <n v="10954"/>
        <n v="10135"/>
        <n v="6833"/>
        <n v="5636"/>
        <n v="4713"/>
        <n v="4200"/>
        <n v="3254"/>
        <n v="1932"/>
        <n v="280328"/>
        <n v="79370"/>
        <n v="68106"/>
        <n v="54269"/>
        <n v="38700"/>
        <n v="374"/>
        <n v="7479"/>
        <n v="1524"/>
        <n v="39809"/>
        <n v="42547"/>
        <n v="11502"/>
        <n v="581540"/>
        <n v="269961"/>
        <n v="188236"/>
        <n v="181969"/>
        <n v="164760"/>
        <n v="91821"/>
        <n v="55299"/>
        <n v="26557"/>
        <n v="24730"/>
        <n v="21970"/>
        <n v="21590"/>
        <n v="10497"/>
        <n v="8190"/>
        <n v="7140"/>
        <n v="1606"/>
        <n v="118363"/>
        <n v="64905"/>
        <n v="59828"/>
        <n v="45400"/>
        <n v="22251"/>
        <n v="16765"/>
        <n v="13499"/>
        <n v="12879"/>
        <n v="12203"/>
        <n v="11465"/>
        <n v="8481"/>
        <n v="8354"/>
        <n v="8206"/>
        <n v="7943"/>
        <n v="7572"/>
        <n v="7495"/>
        <n v="6188"/>
        <n v="5474"/>
        <n v="4460"/>
        <n v="3535"/>
        <n v="3472"/>
        <n v="2598"/>
        <n v="2081"/>
        <n v="1427"/>
        <n v="1350"/>
        <n v="1309"/>
        <n v="1253"/>
        <n v="999"/>
        <n v="882"/>
        <n v="837"/>
        <n v="546"/>
        <n v="438"/>
        <n v="376"/>
        <n v="309"/>
        <n v="283"/>
        <n v="104"/>
        <n v="5473533"/>
        <n v="1249163"/>
        <n v="409169"/>
        <n v="654477"/>
        <n v="689781"/>
        <n v="539891"/>
        <n v="266224"/>
        <n v="259156"/>
        <n v="22513"/>
        <n v="164370"/>
        <n v="167353"/>
        <n v="538"/>
        <n v="103529"/>
        <n v="7317"/>
        <n v="116429"/>
        <n v="86876"/>
        <n v="52730"/>
        <n v="49033"/>
        <n v="40887"/>
        <n v="26588"/>
        <n v="24255"/>
        <n v="24013"/>
        <n v="18698"/>
        <n v="16457"/>
        <n v="15635"/>
        <n v="8319"/>
        <n v="8111"/>
        <n v="4612"/>
        <n v="3224"/>
        <n v="9541880"/>
        <n v="1556387"/>
        <n v="986284"/>
        <n v="889631"/>
        <n v="620994"/>
        <n v="418363"/>
        <n v="340665"/>
        <n v="222402"/>
        <n v="206101"/>
        <n v="186657"/>
        <n v="173736"/>
        <n v="158852"/>
        <n v="114436"/>
        <n v="110735"/>
        <n v="71250"/>
        <n v="70361"/>
        <n v="66312"/>
        <n v="63968"/>
        <n v="59297"/>
        <n v="54106"/>
        <n v="52676"/>
        <n v="46025"/>
        <n v="42647"/>
        <n v="40227"/>
        <n v="37131"/>
        <n v="34176"/>
        <n v="32712"/>
        <n v="25192"/>
        <n v="22659"/>
        <n v="21861"/>
        <n v="19569"/>
        <n v="18091"/>
        <n v="17067"/>
        <n v="15707"/>
        <n v="11721"/>
        <n v="11494"/>
        <n v="11301"/>
        <n v="9457"/>
        <n v="9343"/>
        <n v="8260"/>
        <n v="6637"/>
        <n v="5952"/>
        <n v="4692"/>
        <n v="4466"/>
        <n v="3226"/>
        <n v="3033"/>
        <n v="1710"/>
        <n v="3345139"/>
        <n v="5360121"/>
        <n v="3806477"/>
        <n v="1992520"/>
        <n v="1930325"/>
        <n v="2912055"/>
        <n v="1533303"/>
        <n v="651364"/>
        <n v="1119512"/>
        <n v="1327885"/>
        <n v="679884"/>
        <n v="240150"/>
        <n v="477633"/>
        <n v="240135"/>
        <n v="222569"/>
        <n v="331211"/>
        <n v="169590"/>
        <n v="72522"/>
        <n v="224027"/>
        <n v="222789"/>
        <n v="169782"/>
        <n v="179325"/>
        <n v="150930"/>
        <n v="182753"/>
        <n v="45905"/>
        <n v="47781"/>
        <n v="82058"/>
        <n v="39256"/>
        <n v="76840"/>
        <n v="86691"/>
        <n v="749"/>
        <n v="41430"/>
        <n v="69415"/>
        <n v="105177"/>
        <n v="98490"/>
        <n v="20670"/>
        <n v="5401"/>
        <n v="72831"/>
        <n v="70801"/>
        <n v="20294"/>
        <n v="7688"/>
        <n v="12378"/>
        <n v="5706"/>
        <n v="11652"/>
        <n v="25752"/>
        <n v="23444"/>
        <n v="11683"/>
        <n v="7136"/>
        <n v="5437"/>
        <n v="3271"/>
        <n v="1155"/>
        <n v="1598"/>
        <n v="802"/>
        <n v="360"/>
        <n v="3910"/>
        <n v="340"/>
        <n v="56"/>
        <n v="3980042"/>
        <n v="5605302"/>
        <n v="169110"/>
        <n v="1432467"/>
        <n v="166015"/>
        <n v="1873711"/>
        <n v="730274"/>
        <n v="468722"/>
        <n v="650287"/>
        <n v="581469"/>
        <n v="442408"/>
        <n v="116634"/>
        <n v="356105"/>
        <n v="34552"/>
        <n v="176855"/>
        <n v="180645"/>
        <n v="123972"/>
        <n v="99959"/>
        <n v="34705"/>
        <n v="1992"/>
        <n v="1197"/>
        <n v="2400"/>
        <n v="16626"/>
        <n v="7175"/>
        <n v="4180"/>
        <n v="4686"/>
        <n v="1678"/>
        <n v="657"/>
        <n v="410"/>
        <n v="109018"/>
        <n v="74143"/>
        <n v="71286"/>
        <n v="18000"/>
        <n v="7388"/>
        <n v="6557560"/>
        <n v="2356960"/>
        <n v="2141412"/>
        <n v="150384"/>
        <n v="157699"/>
        <n v="117766"/>
        <n v="70823"/>
        <n v="23731"/>
        <n v="83939"/>
        <n v="442743"/>
        <n v="250577"/>
        <n v="183218"/>
        <n v="679035"/>
        <n v="255602"/>
        <n v="574485"/>
        <n v="406960"/>
        <n v="80811"/>
        <n v="60212"/>
        <n v="354959"/>
        <n v="325306"/>
        <n v="276140"/>
        <n v="175151"/>
        <n v="156551"/>
        <n v="145739"/>
        <n v="91260"/>
        <n v="26769"/>
        <n v="52700"/>
        <n v="1338"/>
        <n v="45284"/>
        <n v="40149"/>
        <n v="4275"/>
        <n v="25430"/>
        <n v="7228"/>
        <n v="6638"/>
        <n v="1731"/>
        <n v="974"/>
        <n v="53009"/>
        <n v="48242"/>
        <n v="6918"/>
        <n v="1561946"/>
        <n v="466129"/>
        <n v="346505"/>
        <n v="184476"/>
        <n v="38917"/>
        <n v="30117"/>
        <n v="15094"/>
        <n v="3096"/>
        <n v="1163"/>
        <n v="380"/>
        <n v="1984"/>
        <n v="437592"/>
        <n v="726952"/>
        <n v="184477"/>
        <n v="17465"/>
        <n v="299"/>
        <n v="72469"/>
        <n v="72115"/>
        <n v="68531"/>
        <n v="33609"/>
        <n v="33287"/>
        <n v="9147"/>
        <n v="21916"/>
        <n v="19104"/>
        <n v="705"/>
        <n v="13573"/>
        <n v="8545"/>
        <n v="6587"/>
        <n v="5475"/>
        <n v="5257"/>
        <n v="5139"/>
        <n v="5127"/>
        <n v="4585"/>
        <n v="4374"/>
        <n v="2837"/>
        <n v="812"/>
        <n v="2691"/>
        <n v="2585"/>
        <n v="2448"/>
        <n v="2302"/>
        <n v="2129"/>
        <n v="1365"/>
        <n v="1147"/>
        <n v="1092"/>
        <n v="970"/>
        <n v="129"/>
        <n v="351"/>
        <n v="253"/>
        <n v="23"/>
        <n v="312528"/>
        <n v="291014"/>
        <n v="190868"/>
        <n v="4800"/>
        <n v="48494"/>
        <n v="15000"/>
        <n v="294"/>
        <n v="795100"/>
        <n v="389761"/>
        <n v="119964"/>
        <n v="9158"/>
        <n v="133180"/>
        <n v="8114"/>
        <n v="88594"/>
        <n v="958"/>
        <n v="2457127"/>
        <n v="310752"/>
        <n v="53287"/>
        <n v="52856"/>
        <n v="38085"/>
        <n v="24325"/>
        <n v="16369"/>
        <n v="3205"/>
        <n v="12042"/>
        <n v="476500"/>
        <n v="202138"/>
        <n v="148330"/>
        <n v="10300"/>
        <n v="6000"/>
        <n v="2986848"/>
        <n v="3580175"/>
        <n v="2782806"/>
        <n v="4395235"/>
        <n v="2499800"/>
        <n v="1819267"/>
        <n v="683344"/>
        <n v="1251205"/>
        <n v="1899700"/>
        <n v="1438021"/>
        <n v="1218111"/>
        <n v="1831010"/>
        <n v="1807948"/>
        <n v="1860954"/>
        <n v="2047715"/>
        <n v="1604628"/>
        <n v="1849998"/>
        <n v="566858"/>
        <n v="871847"/>
        <n v="856674"/>
        <n v="796311"/>
        <n v="340885"/>
        <n v="559777"/>
        <n v="344753"/>
        <n v="574700"/>
        <n v="677331"/>
        <n v="620565"/>
        <n v="308668"/>
        <n v="488398"/>
        <n v="151734"/>
        <n v="216947"/>
        <n v="266920"/>
        <n v="211868"/>
        <n v="29135"/>
        <n v="80876"/>
        <n v="184363"/>
        <n v="81423"/>
        <n v="144722"/>
        <n v="73568"/>
        <n v="123148"/>
        <n v="39136"/>
        <n v="26341"/>
        <n v="3877"/>
        <n v="29951"/>
        <n v="35499"/>
        <n v="6071"/>
        <n v="38636"/>
        <n v="22877"/>
        <n v="19680"/>
        <n v="13773"/>
        <n v="11277"/>
        <n v="1550"/>
        <n v="2100"/>
        <n v="1798"/>
        <n v="1100632"/>
        <n v="474786"/>
        <n v="199771"/>
        <n v="176533"/>
        <n v="150254"/>
        <n v="90387"/>
        <n v="81131"/>
        <n v="58996"/>
        <n v="29821"/>
        <n v="19775"/>
        <n v="17227"/>
        <n v="11314"/>
        <n v="9414"/>
        <n v="5570"/>
        <n v="4002"/>
        <n v="3560"/>
        <n v="3147"/>
        <n v="2716"/>
        <n v="2031"/>
        <n v="1463"/>
        <n v="1545"/>
        <n v="20363"/>
        <n v="41091"/>
        <n v="18500"/>
        <n v="7700"/>
        <n v="5302"/>
        <n v="96"/>
        <n v="2071406"/>
        <n v="157122"/>
        <n v="112164"/>
        <n v="56095"/>
        <n v="51681"/>
        <n v="4968"/>
        <n v="344"/>
        <n v="1128954"/>
        <n v="246254"/>
        <n v="238945"/>
        <n v="114403"/>
        <n v="77662"/>
        <n v="74951"/>
        <n v="65006"/>
        <n v="10682"/>
        <n v="4039"/>
        <n v="2699"/>
        <n v="1666"/>
        <n v="1429"/>
        <n v="1370697"/>
        <n v="22134"/>
        <n v="59770"/>
        <n v="9596"/>
        <n v="8769384"/>
        <n v="1758255"/>
        <n v="10808"/>
        <n v="779934"/>
        <n v="42"/>
        <n v="5255"/>
        <n v="157"/>
        <n v="32991"/>
        <n v="71358"/>
        <n v="1767359"/>
        <n v="904949"/>
        <n v="3392"/>
        <n v="190200"/>
        <n v="161078"/>
        <n v="11427"/>
        <n v="55165"/>
        <n v="2084"/>
        <n v="2758"/>
        <n v="213"/>
        <n v="3136"/>
        <n v="60154"/>
        <n v="7652"/>
        <n v="54753"/>
        <n v="1213"/>
        <n v="16268"/>
        <n v="146"/>
        <n v="18930"/>
        <n v="16216"/>
        <n v="10367"/>
        <n v="328"/>
        <n v="1960"/>
        <n v="5335"/>
        <n v="12554"/>
        <n v="219"/>
        <n v="394843"/>
        <n v="91435"/>
        <n v="373095"/>
        <n v="29335"/>
        <n v="39497"/>
        <n v="1267115"/>
        <n v="1780"/>
        <n v="1120"/>
        <n v="75093"/>
        <n v="936348"/>
        <n v="140908"/>
        <n v="526161"/>
        <n v="240"/>
        <n v="1362"/>
        <n v="875"/>
        <n v="69503"/>
        <n v="82226"/>
        <n v="3225"/>
        <n v="180"/>
        <n v="261287"/>
        <n v="305"/>
        <n v="379"/>
        <n v="3701"/>
        <n v="26541"/>
        <n v="28179"/>
        <n v="12084"/>
        <n v="92"/>
        <n v="1568"/>
        <n v="356"/>
        <n v="84450"/>
        <n v="14449"/>
        <n v="8613"/>
        <n v="25698"/>
        <n v="14570"/>
        <n v="19224"/>
        <n v="51612"/>
        <n v="2451"/>
        <n v="5076"/>
        <n v="515"/>
        <n v="7409"/>
        <n v="94121"/>
        <n v="2578"/>
        <n v="6965"/>
        <n v="65441"/>
        <n v="19792"/>
        <n v="7016"/>
        <n v="3839"/>
        <n v="71"/>
        <n v="41"/>
        <n v="1632"/>
        <n v="719"/>
        <n v="648"/>
        <n v="207550"/>
        <n v="656786"/>
        <n v="115195"/>
        <n v="77901"/>
        <n v="2013111"/>
        <n v="3282133"/>
        <n v="238421"/>
        <n v="2085626"/>
        <n v="174440"/>
        <n v="323644"/>
        <n v="540918"/>
        <n v="336089"/>
        <n v="229781"/>
        <n v="71266"/>
        <n v="127391"/>
        <n v="80518"/>
        <n v="71295"/>
        <n v="69944"/>
        <n v="27879"/>
        <n v="13400"/>
        <n v="9951"/>
        <n v="8853"/>
        <n v="7588"/>
        <n v="4757"/>
        <n v="323"/>
        <n v="375458"/>
        <n v="11033"/>
        <n v="84177"/>
        <n v="78252"/>
        <n v="64462"/>
        <n v="15200"/>
        <n v="30100"/>
        <n v="8736"/>
        <n v="2038461"/>
        <n v="2461142"/>
        <n v="1468819"/>
        <n v="1220712"/>
        <n v="820590"/>
        <n v="439819"/>
        <n v="107677"/>
        <n v="301315"/>
        <n v="17252"/>
        <n v="136216"/>
        <n v="31427"/>
        <n v="402835"/>
        <n v="812115"/>
        <n v="109321"/>
        <n v="330219"/>
        <n v="171876"/>
        <n v="53670"/>
        <n v="6795"/>
        <n v="5562"/>
        <n v="765067"/>
        <n v="275449"/>
        <n v="173451"/>
        <n v="90153"/>
        <n v="55176"/>
        <n v="45326"/>
        <n v="20727"/>
        <n v="18844"/>
        <n v="18614"/>
        <n v="8603"/>
        <n v="6174"/>
        <n v="5646"/>
        <n v="3277"/>
        <n v="1605"/>
        <n v="1445"/>
        <n v="132340"/>
        <n v="80378"/>
        <n v="113059"/>
        <n v="231281"/>
        <n v="130105"/>
        <n v="75433"/>
        <n v="40334"/>
        <n v="34981"/>
        <n v="1255026"/>
        <n v="446708"/>
        <n v="358125"/>
        <n v="52788"/>
        <n v="42620"/>
        <n v="28291"/>
        <n v="11173"/>
        <n v="559547"/>
        <n v="529196"/>
        <n v="454184"/>
        <n v="274130"/>
        <n v="233277"/>
        <n v="192864"/>
        <n v="167841"/>
        <n v="147045"/>
        <n v="126412"/>
        <n v="111922"/>
        <n v="89488"/>
        <n v="83280"/>
        <n v="63725"/>
        <n v="58412"/>
        <n v="42753"/>
        <n v="30798"/>
        <n v="23316"/>
        <n v="21393"/>
        <n v="20700"/>
        <n v="12811"/>
        <n v="11862"/>
        <n v="8496"/>
        <n v="5959"/>
        <n v="2063"/>
        <n v="1460"/>
        <n v="28703"/>
        <n v="68116"/>
        <n v="263792"/>
        <n v="67471"/>
        <n v="16146"/>
        <n v="126756"/>
        <n v="15530"/>
        <n v="74605"/>
        <n v="16639"/>
        <n v="3553337"/>
        <n v="515405"/>
        <n v="5119"/>
        <n v="270"/>
        <n v="1370"/>
        <n v="76324"/>
        <n v="45064"/>
        <n v="20508"/>
        <n v="11101"/>
        <n v="9196"/>
        <n v="8368"/>
        <n v="7965"/>
        <n v="4942"/>
        <n v="4357"/>
        <n v="3200"/>
        <n v="43286"/>
        <n v="2190726"/>
        <n v="736500"/>
        <n v="556204"/>
        <n v="399879"/>
        <n v="79679"/>
        <n v="36486"/>
        <n v="89057"/>
        <n v="687210"/>
        <n v="154749"/>
        <n v="72965"/>
        <n v="11521"/>
        <n v="7942"/>
        <n v="2705"/>
        <n v="980"/>
        <n v="256"/>
        <n v="6748910"/>
        <n v="194033"/>
        <n v="53150"/>
        <n v="16286"/>
        <n v="93360"/>
        <n v="1959"/>
        <n v="30370"/>
        <n v="22963"/>
        <n v="245"/>
        <n v="92462"/>
        <n v="2976"/>
        <n v="2938"/>
        <n v="231578"/>
        <n v="87802"/>
        <n v="526043"/>
        <n v="7130"/>
        <n v="80154"/>
        <n v="21282"/>
        <n v="16869"/>
        <n v="1792506"/>
        <n v="851858"/>
        <n v="275670"/>
        <n v="350218"/>
        <n v="360782"/>
        <n v="164380"/>
        <n v="341982"/>
        <n v="93293"/>
        <n v="53650"/>
        <n v="42214"/>
        <n v="3297"/>
        <n v="8064"/>
        <n v="2750"/>
        <n v="1424"/>
        <n v="5730"/>
        <n v="86"/>
        <n v="923912"/>
        <n v="18059"/>
        <n v="7595"/>
        <n v="610462"/>
        <n v="134175"/>
        <n v="2360"/>
        <n v="1497"/>
        <n v="30996"/>
        <n v="5075"/>
        <n v="2275"/>
        <n v="315"/>
        <n v="61"/>
        <n v="55"/>
        <n v="56196"/>
        <n v="23741"/>
        <n v="18906"/>
        <n v="5202"/>
        <n v="2806916"/>
        <n v="556610"/>
        <n v="11366"/>
        <n v="15884"/>
        <n v="6179"/>
        <n v="2051"/>
        <n v="22023"/>
        <n v="207755"/>
        <n v="28283"/>
        <n v="23087"/>
        <n v="127137"/>
        <n v="35308"/>
        <n v="27641"/>
        <n v="55889"/>
        <n v="73905"/>
        <n v="128941"/>
        <n v="39885"/>
        <n v="53586"/>
        <n v="3312"/>
        <n v="14418"/>
        <n v="79528"/>
        <n v="5120"/>
        <n v="59675"/>
        <n v="43192"/>
        <n v="7976"/>
        <n v="13618"/>
        <n v="29253"/>
        <n v="3871"/>
        <n v="17865"/>
        <n v="783"/>
        <n v="2445"/>
        <n v="9545"/>
        <n v="9241"/>
        <n v="805"/>
        <n v="2796"/>
        <n v="911"/>
        <n v="1102"/>
        <n v="1023"/>
        <n v="216"/>
        <n v="1772"/>
        <n v="353"/>
        <n v="199778"/>
        <n v="135723"/>
        <n v="35026"/>
        <n v="34174"/>
        <n v="32500"/>
        <n v="22628"/>
        <n v="5905"/>
        <n v="5864"/>
        <n v="4299"/>
        <n v="3091"/>
        <n v="45581"/>
        <n v="13365"/>
        <n v="617160"/>
        <n v="237810"/>
        <n v="11914"/>
        <n v="5563"/>
        <n v="544"/>
        <n v="204"/>
        <n v="90"/>
        <n v="4751129"/>
        <n v="146919"/>
        <n v="2109"/>
        <n v="38353"/>
        <n v="18329"/>
        <n v="638"/>
        <n v="14798"/>
        <n v="9725"/>
        <n v="4810"/>
        <n v="4415"/>
        <n v="3826"/>
        <n v="2192"/>
        <n v="1615"/>
        <n v="1098"/>
        <n v="1010"/>
        <n v="885"/>
        <n v="815"/>
        <n v="640"/>
        <n v="242"/>
        <n v="238"/>
        <n v="236"/>
        <n v="94"/>
        <n v="89"/>
        <n v="38957"/>
        <n v="1948077"/>
        <n v="1569453"/>
        <n v="1037552"/>
        <n v="1044856"/>
        <n v="118127"/>
        <n v="167008"/>
        <n v="595676"/>
        <n v="414576"/>
        <n v="356963"/>
        <n v="286653"/>
        <n v="216824"/>
        <n v="165871"/>
        <n v="137884"/>
        <n v="83536"/>
        <n v="62992"/>
        <n v="51746"/>
        <n v="41284"/>
        <n v="34803"/>
        <n v="10254"/>
        <n v="28036424"/>
        <n v="19075225"/>
        <n v="10482568"/>
        <n v="5810712"/>
        <n v="5984252"/>
        <n v="440689"/>
        <n v="4604968"/>
        <n v="2263711"/>
        <n v="1553582"/>
        <n v="395498"/>
        <n v="2870719"/>
        <n v="2575474"/>
        <n v="3167459"/>
        <n v="2839630"/>
        <n v="2250018"/>
        <n v="1707528"/>
        <n v="2172862"/>
        <n v="1601113"/>
        <n v="2897938"/>
        <n v="2101998"/>
        <n v="1272978"/>
        <n v="548271"/>
        <n v="1372542"/>
        <n v="1061830"/>
        <n v="928418"/>
        <n v="643433"/>
        <n v="577238"/>
        <n v="454897"/>
        <n v="425837"/>
        <n v="376599"/>
        <n v="584188"/>
        <n v="324803"/>
        <n v="644963"/>
        <n v="275933"/>
        <n v="626943"/>
        <n v="559621"/>
        <n v="250498"/>
        <n v="260031"/>
        <n v="250023"/>
        <n v="241757"/>
        <n v="110241"/>
        <n v="22733"/>
        <n v="175262"/>
        <n v="117695"/>
        <n v="107151"/>
        <n v="122582"/>
        <n v="49137"/>
        <n v="9222"/>
        <n v="17503"/>
        <n v="70175"/>
        <n v="37710"/>
        <n v="63227"/>
        <n v="41856"/>
        <n v="56452"/>
        <n v="62578"/>
        <n v="22955"/>
        <n v="20944"/>
        <n v="20120"/>
        <n v="13009"/>
        <n v="12784"/>
        <n v="3121"/>
        <n v="1546"/>
        <n v="9033"/>
        <n v="1538"/>
        <n v="6168"/>
        <n v="3975"/>
        <n v="3561"/>
        <n v="1448"/>
        <n v="2745092"/>
        <n v="631100"/>
        <n v="403150"/>
        <n v="327725"/>
        <n v="182320"/>
        <n v="132053"/>
        <n v="123873"/>
        <n v="98230"/>
        <n v="73154"/>
        <n v="66661"/>
        <n v="59042"/>
        <n v="47891"/>
        <n v="32637"/>
        <n v="28444"/>
        <n v="19337"/>
        <n v="19305"/>
        <n v="18195"/>
        <n v="16157"/>
        <n v="15824"/>
        <n v="11551"/>
        <n v="7015"/>
        <n v="6093"/>
        <n v="4350"/>
        <n v="2535"/>
        <n v="1851"/>
        <n v="1750"/>
        <n v="1662"/>
        <n v="1127"/>
        <n v="5385216"/>
        <n v="5164261"/>
        <n v="2817214"/>
        <n v="1776190"/>
        <n v="1592327"/>
        <n v="1480047"/>
        <n v="1332682"/>
        <n v="660637"/>
        <n v="448786"/>
        <n v="403967"/>
        <n v="370306"/>
        <n v="355858"/>
        <n v="312783"/>
        <n v="303101"/>
        <n v="273107"/>
        <n v="148460"/>
        <n v="143752"/>
        <n v="130912"/>
        <n v="109632"/>
        <n v="103997"/>
        <n v="91381"/>
        <n v="86588"/>
        <n v="85989"/>
        <n v="63284"/>
        <n v="62460"/>
        <n v="56119"/>
        <n v="50655"/>
        <n v="50422"/>
        <n v="45000"/>
        <n v="34334"/>
        <n v="32984"/>
        <n v="32241"/>
        <n v="31886"/>
        <n v="31232"/>
        <n v="21136"/>
        <n v="19574"/>
        <n v="17903"/>
        <n v="14941"/>
        <n v="14137"/>
        <n v="8351"/>
        <n v="6700"/>
        <n v="4301"/>
        <n v="2975"/>
        <n v="3748611"/>
        <n v="1844214"/>
        <n v="952429"/>
        <n v="649605"/>
        <n v="636198"/>
        <n v="342675"/>
        <n v="167160"/>
        <n v="163156"/>
        <n v="125380"/>
        <n v="66597"/>
        <n v="57006"/>
        <n v="47333"/>
        <n v="35560"/>
        <n v="25792"/>
        <n v="15046"/>
        <n v="10262"/>
        <n v="7620"/>
        <n v="7354"/>
        <n v="6083"/>
        <n v="4302"/>
        <n v="3315"/>
        <n v="1584"/>
        <n v="1570"/>
        <n v="740776"/>
        <n v="86641"/>
        <n v="14214"/>
        <n v="1017"/>
        <n v="168552"/>
        <n v="146597"/>
        <n v="3284"/>
        <n v="2354718"/>
        <n v="1151881"/>
        <n v="679895"/>
        <n v="592638"/>
        <n v="574325"/>
        <n v="441695"/>
        <n v="237469"/>
        <n v="232321"/>
        <n v="212617"/>
        <n v="175699"/>
        <n v="173474"/>
        <n v="150548"/>
        <n v="144898"/>
        <n v="120920"/>
        <n v="105902"/>
        <n v="82557"/>
        <n v="66133"/>
        <n v="63212"/>
        <n v="42725"/>
        <n v="41665"/>
        <n v="20537"/>
        <n v="16751"/>
        <n v="15482"/>
        <n v="12584"/>
        <n v="11661"/>
        <n v="10010"/>
        <n v="9746"/>
        <n v="6230"/>
        <n v="6009"/>
        <n v="4567"/>
        <n v="4222"/>
        <n v="1569"/>
        <n v="505"/>
        <n v="1209939"/>
        <n v="59718"/>
        <n v="35054"/>
        <n v="34257"/>
        <n v="33833"/>
        <n v="31424"/>
        <n v="29222"/>
        <n v="27544"/>
        <n v="25096"/>
        <n v="14011"/>
        <n v="13952"/>
        <n v="7513"/>
        <n v="7348"/>
        <n v="3097"/>
        <n v="1476"/>
        <n v="1130530"/>
        <n v="944898"/>
        <n v="552407"/>
        <n v="487736"/>
        <n v="314447"/>
        <n v="309059"/>
        <n v="273318"/>
        <n v="191980"/>
        <n v="55542"/>
        <n v="43090"/>
        <n v="28457"/>
        <n v="28424"/>
        <n v="28210"/>
        <n v="27200"/>
        <n v="25017"/>
        <n v="9589"/>
        <n v="1567"/>
        <n v="1411"/>
        <n v="398"/>
        <n v="193560"/>
        <n v="41606"/>
        <n v="19864"/>
        <n v="9345"/>
        <n v="8437"/>
        <n v="510"/>
        <n v="160"/>
        <n v="751897"/>
        <n v="2039322"/>
        <n v="5116"/>
        <n v="21561"/>
        <n v="86171"/>
        <n v="25620"/>
        <n v="52620"/>
        <n v="31974"/>
        <n v="5204"/>
        <n v="7095"/>
        <n v="298"/>
        <n v="229571"/>
        <n v="68075"/>
        <n v="193774"/>
        <n v="84809"/>
        <n v="198886"/>
        <n v="215977"/>
        <n v="119"/>
        <n v="49884"/>
        <n v="570"/>
        <n v="73489"/>
        <n v="5027"/>
        <n v="257"/>
        <n v="4442"/>
        <n v="408"/>
        <n v="82793"/>
        <n v="24818"/>
        <n v="65526"/>
        <n v="45361"/>
        <n v="1266"/>
        <n v="26024"/>
        <n v="16454"/>
        <n v="4666"/>
        <n v="993"/>
        <n v="5243"/>
        <n v="2499"/>
        <n v="646"/>
        <n v="19729"/>
        <n v="9585"/>
        <n v="12994"/>
        <n v="113"/>
        <n v="5019"/>
        <n v="1911"/>
        <n v="1182"/>
        <n v="4100"/>
        <n v="3373"/>
        <n v="209"/>
        <n v="321312"/>
        <n v="10194969"/>
        <n v="3263612"/>
        <n v="792613"/>
        <n v="19701"/>
        <n v="1752296"/>
        <n v="622430"/>
        <n v="501443"/>
        <n v="397108"/>
        <n v="361765"/>
        <n v="41515"/>
        <n v="56390"/>
        <n v="117784"/>
        <n v="115878"/>
        <n v="81317"/>
        <n v="103164"/>
        <n v="2370"/>
        <n v="57690"/>
        <n v="1933"/>
        <n v="188"/>
        <n v="14400"/>
        <n v="14501"/>
        <n v="6509"/>
        <n v="224"/>
        <n v="1430307"/>
        <n v="144955"/>
        <n v="101599"/>
        <n v="97646"/>
        <n v="7576"/>
        <n v="3193"/>
        <n v="1705"/>
        <n v="225"/>
        <n v="183"/>
        <n v="488849"/>
        <n v="2529149"/>
        <n v="1679716"/>
        <n v="1339192"/>
        <n v="1527957"/>
        <n v="25645"/>
        <n v="688460"/>
        <n v="1015234"/>
        <n v="581776"/>
        <n v="517066"/>
        <n v="241266"/>
        <n v="402000"/>
        <n v="261025"/>
        <n v="55114"/>
        <n v="22446"/>
        <n v="35400"/>
        <n v="28172"/>
        <n v="28593"/>
        <n v="28087"/>
        <n v="16936"/>
        <n v="10252"/>
        <n v="6155"/>
        <n v="5195276"/>
        <n v="1276271"/>
        <n v="14968"/>
        <n v="132000"/>
        <n v="121570"/>
        <n v="299656"/>
        <n v="178673"/>
        <n v="171417"/>
        <n v="17546"/>
        <n v="700"/>
        <n v="60751"/>
        <n v="15882"/>
        <n v="35979"/>
        <n v="1045813"/>
        <n v="711904"/>
        <n v="543933"/>
        <n v="529156"/>
        <n v="270009"/>
        <n v="266613"/>
        <n v="204890"/>
        <n v="146932"/>
        <n v="129907"/>
        <n v="95241"/>
        <n v="90787"/>
        <n v="51173"/>
        <n v="35849"/>
        <n v="29508"/>
        <n v="23491"/>
        <n v="14248"/>
        <n v="9561"/>
        <n v="9362"/>
        <n v="4839"/>
        <n v="4632"/>
        <n v="3126"/>
        <n v="3069"/>
        <n v="2801"/>
        <n v="1534"/>
        <n v="1421"/>
        <n v="1406"/>
        <n v="1186"/>
        <n v="11490110"/>
        <n v="130096"/>
        <n v="26118"/>
        <n v="65166"/>
        <n v="3201"/>
        <n v="3615"/>
        <n v="1042"/>
        <n v="18946"/>
        <n v="17602"/>
        <n v="12235"/>
        <n v="2362"/>
        <n v="6165"/>
        <n v="7456"/>
        <n v="6721"/>
        <n v="6693"/>
        <n v="5719"/>
        <n v="5541"/>
        <n v="3870"/>
        <n v="3354"/>
        <n v="2218"/>
        <n v="1953"/>
        <n v="1596"/>
        <n v="589"/>
        <n v="830"/>
        <n v="548"/>
        <n v="399"/>
        <n v="195"/>
        <n v="254"/>
        <n v="230"/>
        <n v="214"/>
        <n v="108"/>
        <n v="165472"/>
        <n v="126112"/>
        <n v="29880"/>
        <n v="14009"/>
        <n v="6166"/>
        <n v="3256"/>
        <n v="3106"/>
        <n v="3031"/>
        <n v="3825"/>
        <n v="3382"/>
        <n v="3059"/>
        <n v="1540"/>
        <n v="907"/>
        <n v="855"/>
        <n v="767"/>
        <n v="752"/>
        <n v="590"/>
        <n v="287"/>
        <n v="23504748"/>
        <n v="459667"/>
        <n v="54540"/>
        <n v="5271"/>
        <n v="3953"/>
        <n v="2542"/>
        <n v="2065"/>
        <n v="106"/>
        <n v="548875"/>
        <n v="506494"/>
        <n v="205287"/>
        <n v="196200"/>
        <n v="152400"/>
        <n v="149818"/>
        <n v="64387"/>
        <n v="14144"/>
        <n v="8029"/>
        <n v="3600"/>
        <n v="74465"/>
        <n v="44234"/>
        <n v="684"/>
        <n v="412"/>
        <n v="249"/>
        <n v="224628"/>
        <n v="568936"/>
        <n v="2478449"/>
        <n v="250464"/>
        <n v="712719"/>
        <n v="131167"/>
        <n v="67106"/>
        <n v="255871"/>
        <n v="71700"/>
        <n v="73196"/>
        <n v="196626"/>
        <n v="107375"/>
        <n v="40609"/>
        <n v="10915"/>
        <n v="74360"/>
        <n v="31521"/>
        <n v="2291"/>
        <n v="636"/>
        <n v="493"/>
        <n v="173"/>
        <n v="154"/>
        <n v="69858"/>
        <n v="161411"/>
        <n v="48568"/>
        <n v="9845"/>
        <n v="2377"/>
        <n v="420"/>
        <n v="2027340"/>
        <n v="938206"/>
        <n v="556461"/>
        <n v="135040"/>
        <n v="52617"/>
        <n v="33731"/>
        <n v="6302"/>
        <n v="5585"/>
        <n v="1565"/>
        <n v="961"/>
        <n v="742"/>
        <n v="312614"/>
        <n v="41057"/>
        <n v="38979"/>
        <n v="15465"/>
        <n v="14534"/>
        <n v="13593"/>
        <n v="10910"/>
        <n v="10804"/>
        <n v="8083"/>
        <n v="7657"/>
        <n v="6566"/>
        <n v="5885"/>
        <n v="5697"/>
        <n v="4841"/>
        <n v="4287"/>
        <n v="3581"/>
        <n v="3559"/>
        <n v="1949"/>
        <n v="1647"/>
        <n v="662"/>
        <n v="661"/>
        <n v="623"/>
        <n v="541"/>
        <n v="246"/>
        <n v="174"/>
        <n v="134"/>
        <n v="2432"/>
        <n v="1800"/>
        <n v="42891"/>
        <n v="252330"/>
        <n v="252703"/>
        <n v="46322"/>
        <n v="20926"/>
        <n v="131716"/>
        <n v="129627"/>
        <n v="58584"/>
        <n v="122451"/>
        <n v="46533"/>
        <n v="73566"/>
        <n v="44732"/>
        <n v="7126"/>
        <n v="3740"/>
        <n v="1384"/>
        <n v="698"/>
        <n v="592"/>
        <n v="547"/>
        <n v="443"/>
        <n v="391"/>
        <n v="295"/>
        <n v="273"/>
        <n v="265"/>
        <n v="199"/>
        <n v="105"/>
        <n v="68"/>
        <n v="57"/>
        <n v="8738"/>
        <n v="2491"/>
        <n v="2119"/>
        <n v="1642"/>
        <n v="1572"/>
        <n v="1217"/>
        <n v="1004"/>
        <n v="790"/>
        <n v="714"/>
        <n v="671"/>
        <n v="652"/>
        <n v="495"/>
        <n v="332"/>
        <n v="220"/>
        <n v="98"/>
        <n v="33"/>
        <n v="35192"/>
        <n v="433520"/>
        <n v="214975"/>
        <n v="144927"/>
        <n v="63773"/>
        <n v="42712"/>
        <n v="30171"/>
        <n v="20576"/>
        <n v="16124"/>
        <n v="7158"/>
        <n v="6030"/>
        <n v="4478"/>
        <n v="461518"/>
        <n v="190700"/>
        <n v="83899"/>
        <n v="59230"/>
        <n v="32147"/>
        <n v="29900"/>
        <n v="19731"/>
        <n v="12600"/>
        <n v="7194"/>
        <m/>
      </sharedItems>
    </cacheField>
    <cacheField name="FOREIGN" numFmtId="0">
      <sharedItems containsString="0" containsBlank="1" containsNumber="1" containsInteger="1" minValue="0" maxValue="97686387"/>
    </cacheField>
    <cacheField name="IMPORTS" numFmtId="0">
      <sharedItems containsString="0" containsBlank="1" containsNumber="1" containsInteger="1" minValue="0" maxValue="18010678" count="3823">
        <n v="0"/>
        <n v="211264"/>
        <n v="55134"/>
        <n v="43431"/>
        <n v="31408"/>
        <n v="21997"/>
        <n v="19991"/>
        <n v="13557"/>
        <n v="12719"/>
        <n v="5512"/>
        <n v="3555"/>
        <n v="1475"/>
        <n v="1183"/>
        <n v="182"/>
        <n v="11"/>
        <n v="1658557"/>
        <n v="73344"/>
        <n v="7672"/>
        <n v="19643"/>
        <n v="1"/>
        <n v="12"/>
        <n v="160392"/>
        <n v="39986"/>
        <n v="91021"/>
        <n v="47747"/>
        <n v="46421"/>
        <n v="16535"/>
        <n v="8267"/>
        <n v="8001"/>
        <n v="225"/>
        <n v="1183667"/>
        <n v="740397"/>
        <n v="1246768"/>
        <n v="312294"/>
        <n v="603234"/>
        <n v="715316"/>
        <n v="835523"/>
        <n v="776912"/>
        <n v="1818"/>
        <n v="694403"/>
        <n v="133286"/>
        <n v="415521"/>
        <n v="1110"/>
        <n v="469547"/>
        <n v="396813"/>
        <n v="386360"/>
        <n v="292785"/>
        <n v="352770"/>
        <n v="294299"/>
        <n v="287849"/>
        <n v="250128"/>
        <n v="36"/>
        <n v="41794"/>
        <n v="207842"/>
        <n v="49374"/>
        <n v="2361"/>
        <n v="2164"/>
        <n v="158015"/>
        <n v="4168"/>
        <n v="148861"/>
        <n v="103229"/>
        <n v="171291"/>
        <n v="92410"/>
        <n v="86847"/>
        <n v="7280"/>
        <n v="122853"/>
        <n v="782"/>
        <n v="117113"/>
        <n v="115829"/>
        <n v="113954"/>
        <n v="110006"/>
        <n v="41585"/>
        <n v="85841"/>
        <n v="102581"/>
        <n v="103084"/>
        <n v="78504"/>
        <n v="10896"/>
        <n v="85349"/>
        <n v="79386"/>
        <n v="79187"/>
        <n v="47256"/>
        <n v="69848"/>
        <n v="69237"/>
        <n v="16016"/>
        <n v="58970"/>
        <n v="56878"/>
        <n v="46672"/>
        <n v="42904"/>
        <n v="10728"/>
        <n v="41705"/>
        <n v="6200"/>
        <n v="21086"/>
        <n v="28630"/>
        <n v="29722"/>
        <n v="35884"/>
        <n v="15010"/>
        <n v="16497"/>
        <n v="24872"/>
        <n v="17858"/>
        <n v="17321"/>
        <n v="16946"/>
        <n v="16303"/>
        <n v="7780"/>
        <n v="9820"/>
        <n v="13176"/>
        <n v="14740"/>
        <n v="6640"/>
        <n v="9826"/>
        <n v="4597"/>
        <n v="10879"/>
        <n v="10756"/>
        <n v="9910"/>
        <n v="8635"/>
        <n v="8159"/>
        <n v="7265"/>
        <n v="698"/>
        <n v="7241"/>
        <n v="5822"/>
        <n v="6685"/>
        <n v="656"/>
        <n v="3461"/>
        <n v="4584"/>
        <n v="4794"/>
        <n v="923"/>
        <n v="3825"/>
        <n v="3755"/>
        <n v="2169"/>
        <n v="2798"/>
        <n v="2902"/>
        <n v="2199"/>
        <n v="270"/>
        <n v="1093"/>
        <n v="1809"/>
        <n v="446"/>
        <n v="1243"/>
        <n v="1069"/>
        <n v="949"/>
        <n v="338"/>
        <n v="359"/>
        <n v="477"/>
        <n v="362"/>
        <n v="457"/>
        <n v="437"/>
        <n v="384"/>
        <n v="370"/>
        <n v="249"/>
        <n v="133"/>
        <n v="145"/>
        <n v="106"/>
        <n v="96"/>
        <n v="87"/>
        <n v="63"/>
        <n v="32"/>
        <n v="45"/>
        <n v="21"/>
        <n v="12461220"/>
        <n v="1703"/>
        <n v="1634977"/>
        <n v="701489"/>
        <n v="5521"/>
        <n v="24113"/>
        <n v="685330"/>
        <n v="128713"/>
        <n v="1131"/>
        <n v="11949"/>
        <n v="241126"/>
        <n v="146003"/>
        <n v="205859"/>
        <n v="5"/>
        <n v="33690"/>
        <n v="18"/>
        <n v="20240"/>
        <n v="27387"/>
        <n v="13230"/>
        <n v="4980"/>
        <n v="4127"/>
        <n v="74"/>
        <n v="367"/>
        <n v="1413"/>
        <n v="870"/>
        <n v="111"/>
        <n v="65"/>
        <n v="17"/>
        <n v="146"/>
        <n v="5560"/>
        <n v="4494"/>
        <n v="3858"/>
        <n v="1326"/>
        <n v="1104"/>
        <n v="944"/>
        <n v="913"/>
        <n v="716"/>
        <n v="626"/>
        <n v="619"/>
        <n v="617"/>
        <n v="421"/>
        <n v="406"/>
        <n v="371"/>
        <n v="317"/>
        <n v="312"/>
        <n v="296"/>
        <n v="218"/>
        <n v="212"/>
        <n v="176"/>
        <n v="141"/>
        <n v="61"/>
        <n v="51"/>
        <n v="6"/>
        <n v="25"/>
        <n v="23"/>
        <n v="22"/>
        <n v="14"/>
        <n v="2"/>
        <n v="3214452"/>
        <n v="2055595"/>
        <n v="811487"/>
        <n v="1030988"/>
        <n v="1836"/>
        <n v="620118"/>
        <n v="689"/>
        <n v="132386"/>
        <n v="99558"/>
        <n v="99280"/>
        <n v="81567"/>
        <n v="77625"/>
        <n v="57015"/>
        <n v="102"/>
        <n v="57988"/>
        <n v="37309"/>
        <n v="43625"/>
        <n v="52272"/>
        <n v="43085"/>
        <n v="10824"/>
        <n v="33236"/>
        <n v="37661"/>
        <n v="19187"/>
        <n v="30402"/>
        <n v="28754"/>
        <n v="18556"/>
        <n v="14211"/>
        <n v="16032"/>
        <n v="6590"/>
        <n v="13080"/>
        <n v="767"/>
        <n v="11613"/>
        <n v="11931"/>
        <n v="12155"/>
        <n v="8558"/>
        <n v="8036"/>
        <n v="7920"/>
        <n v="1909"/>
        <n v="6536"/>
        <n v="5688"/>
        <n v="4326"/>
        <n v="4396"/>
        <n v="4046"/>
        <n v="3149"/>
        <n v="224"/>
        <n v="2418"/>
        <n v="3577"/>
        <n v="3231"/>
        <n v="3309"/>
        <n v="2808"/>
        <n v="2867"/>
        <n v="2221"/>
        <n v="2540"/>
        <n v="1588"/>
        <n v="625"/>
        <n v="1938"/>
        <n v="1873"/>
        <n v="1840"/>
        <n v="663"/>
        <n v="1334"/>
        <n v="831"/>
        <n v="1153"/>
        <n v="1078"/>
        <n v="519"/>
        <n v="1120"/>
        <n v="936"/>
        <n v="416"/>
        <n v="804"/>
        <n v="856"/>
        <n v="532"/>
        <n v="738"/>
        <n v="692"/>
        <n v="521"/>
        <n v="451"/>
        <n v="320"/>
        <n v="336"/>
        <n v="507"/>
        <n v="415"/>
        <n v="335"/>
        <n v="364"/>
        <n v="132"/>
        <n v="165"/>
        <n v="258"/>
        <n v="219"/>
        <n v="223"/>
        <n v="231"/>
        <n v="115"/>
        <n v="187"/>
        <n v="151"/>
        <n v="119"/>
        <n v="137"/>
        <n v="124"/>
        <n v="114"/>
        <n v="99"/>
        <n v="79"/>
        <n v="44"/>
        <n v="52"/>
        <n v="35"/>
        <n v="7"/>
        <n v="10"/>
        <n v="9"/>
        <n v="40768"/>
        <n v="3799568"/>
        <n v="7900"/>
        <n v="39442"/>
        <n v="631497"/>
        <n v="303934"/>
        <n v="57421"/>
        <n v="207840"/>
        <n v="125417"/>
        <n v="33139"/>
        <n v="26125"/>
        <n v="22426"/>
        <n v="18739"/>
        <n v="6752"/>
        <n v="6994"/>
        <n v="5743"/>
        <n v="5344"/>
        <n v="5075"/>
        <n v="1499"/>
        <n v="104"/>
        <n v="34104"/>
        <n v="14724"/>
        <n v="152561"/>
        <n v="86113"/>
        <n v="23149"/>
        <n v="1102"/>
        <n v="450676"/>
        <n v="11683"/>
        <n v="3305"/>
        <n v="15385"/>
        <n v="73282"/>
        <n v="23185"/>
        <n v="8883"/>
        <n v="5513"/>
        <n v="11574"/>
        <n v="7759"/>
        <n v="5627"/>
        <n v="4348"/>
        <n v="1810"/>
        <n v="1653"/>
        <n v="156"/>
        <n v="727034"/>
        <n v="742948"/>
        <n v="575349"/>
        <n v="493144"/>
        <n v="295539"/>
        <n v="419354"/>
        <n v="317635"/>
        <n v="265257"/>
        <n v="82417"/>
        <n v="31066"/>
        <n v="48862"/>
        <n v="48444"/>
        <n v="12821"/>
        <n v="44885"/>
        <n v="43596"/>
        <n v="17257"/>
        <n v="10473"/>
        <n v="8316"/>
        <n v="6761"/>
        <n v="1581"/>
        <n v="2691"/>
        <n v="2760"/>
        <n v="2679"/>
        <n v="2660"/>
        <n v="1673"/>
        <n v="1508"/>
        <n v="1218"/>
        <n v="1105"/>
        <n v="1050"/>
        <n v="418"/>
        <n v="309"/>
        <n v="221"/>
        <n v="147"/>
        <n v="47"/>
        <n v="100"/>
        <n v="75"/>
        <n v="24"/>
        <n v="50"/>
        <n v="3"/>
        <n v="57900"/>
        <n v="17914"/>
        <n v="8466"/>
        <n v="27588"/>
        <n v="5476"/>
        <n v="1354"/>
        <n v="595"/>
        <n v="589"/>
        <n v="440"/>
        <n v="427"/>
        <n v="345"/>
        <n v="339"/>
        <n v="252"/>
        <n v="155"/>
        <n v="142"/>
        <n v="107"/>
        <n v="105"/>
        <n v="88"/>
        <n v="53"/>
        <n v="42"/>
        <n v="39"/>
        <n v="26"/>
        <n v="20"/>
        <n v="19"/>
        <n v="8"/>
        <n v="63659"/>
        <n v="48802"/>
        <n v="198444"/>
        <n v="573640"/>
        <n v="296422"/>
        <n v="226791"/>
        <n v="121313"/>
        <n v="43565"/>
        <n v="27135"/>
        <n v="10472"/>
        <n v="9057"/>
        <n v="7987"/>
        <n v="1534"/>
        <n v="1470"/>
        <n v="1438"/>
        <n v="1390"/>
        <n v="1072"/>
        <n v="816"/>
        <n v="469"/>
        <n v="390"/>
        <n v="316"/>
        <n v="297"/>
        <n v="259"/>
        <n v="180"/>
        <n v="150"/>
        <n v="130"/>
        <n v="76"/>
        <n v="70"/>
        <n v="67"/>
        <n v="64"/>
        <n v="59"/>
        <n v="57"/>
        <n v="27"/>
        <n v="16"/>
        <n v="13"/>
        <n v="52801"/>
        <n v="42521"/>
        <n v="273997"/>
        <n v="76776"/>
        <n v="2116"/>
        <n v="40"/>
        <n v="6591343"/>
        <n v="1841318"/>
        <n v="119078"/>
        <n v="38494"/>
        <n v="1245777"/>
        <n v="1928440"/>
        <n v="27157"/>
        <n v="15133"/>
        <n v="266802"/>
        <n v="1026391"/>
        <n v="48870"/>
        <n v="19335"/>
        <n v="612227"/>
        <n v="363902"/>
        <n v="416095"/>
        <n v="54"/>
        <n v="118"/>
        <n v="146641"/>
        <n v="177693"/>
        <n v="3748"/>
        <n v="82825"/>
        <n v="75366"/>
        <n v="52633"/>
        <n v="57275"/>
        <n v="46437"/>
        <n v="7674"/>
        <n v="46274"/>
        <n v="27329"/>
        <n v="30543"/>
        <n v="26785"/>
        <n v="21639"/>
        <n v="10688"/>
        <n v="14566"/>
        <n v="208"/>
        <n v="343"/>
        <n v="13006"/>
        <n v="10655"/>
        <n v="7773"/>
        <n v="1035"/>
        <n v="529"/>
        <n v="433"/>
        <n v="241"/>
        <n v="139"/>
        <n v="123"/>
        <n v="4"/>
        <n v="35223"/>
        <n v="14232"/>
        <n v="12988"/>
        <n v="142947"/>
        <n v="318728"/>
        <n v="620545"/>
        <n v="191329"/>
        <n v="261038"/>
        <n v="200478"/>
        <n v="215416"/>
        <n v="136565"/>
        <n v="83224"/>
        <n v="45112"/>
        <n v="30014"/>
        <n v="6000"/>
        <n v="20515"/>
        <n v="12125"/>
        <n v="710"/>
        <n v="30"/>
        <n v="126279"/>
        <n v="235207"/>
        <n v="160427"/>
        <n v="166"/>
        <n v="34531"/>
        <n v="27558"/>
        <n v="5691"/>
        <n v="17417"/>
        <n v="1537"/>
        <n v="1773"/>
        <n v="315"/>
        <n v="321"/>
        <n v="289"/>
        <n v="272"/>
        <n v="243"/>
        <n v="97"/>
        <n v="83"/>
        <n v="19955"/>
        <n v="19842"/>
        <n v="97602"/>
        <n v="2122"/>
        <n v="1127"/>
        <n v="80"/>
        <n v="26455"/>
        <n v="5240"/>
        <n v="33675"/>
        <n v="46530"/>
        <n v="22097"/>
        <n v="261"/>
        <n v="196"/>
        <n v="81"/>
        <n v="33"/>
        <n v="60"/>
        <n v="51788"/>
        <n v="359155"/>
        <n v="18637"/>
        <n v="157"/>
        <n v="459642"/>
        <n v="396319"/>
        <n v="193032"/>
        <n v="47823"/>
        <n v="35925"/>
        <n v="101358"/>
        <n v="131344"/>
        <n v="118327"/>
        <n v="75640"/>
        <n v="80477"/>
        <n v="81436"/>
        <n v="984"/>
        <n v="53406"/>
        <n v="30477"/>
        <n v="39364"/>
        <n v="73"/>
        <n v="9165"/>
        <n v="17442"/>
        <n v="125"/>
        <n v="10752"/>
        <n v="245"/>
        <n v="15278"/>
        <n v="8866"/>
        <n v="8143"/>
        <n v="9462"/>
        <n v="7783"/>
        <n v="8549"/>
        <n v="5601"/>
        <n v="3726"/>
        <n v="436"/>
        <n v="3556"/>
        <n v="544"/>
        <n v="213"/>
        <n v="1522"/>
        <n v="1412"/>
        <n v="162"/>
        <n v="1950"/>
        <n v="1702"/>
        <n v="207"/>
        <n v="1415"/>
        <n v="868"/>
        <n v="704"/>
        <n v="631"/>
        <n v="454"/>
        <n v="34"/>
        <n v="160"/>
        <n v="175"/>
        <n v="247"/>
        <n v="112"/>
        <n v="77"/>
        <n v="72"/>
        <n v="15"/>
        <n v="37"/>
        <n v="111132"/>
        <n v="74965"/>
        <n v="5519"/>
        <n v="760"/>
        <n v="5286"/>
        <n v="3641"/>
        <n v="193"/>
        <n v="46"/>
        <n v="197305"/>
        <n v="228324"/>
        <n v="220196"/>
        <n v="39066"/>
        <n v="34209"/>
        <n v="28238"/>
        <n v="7716"/>
        <n v="2996"/>
        <n v="679167"/>
        <n v="230302"/>
        <n v="66249"/>
        <n v="42701"/>
        <n v="13100"/>
        <n v="553"/>
        <n v="340328"/>
        <n v="332921"/>
        <n v="188934"/>
        <n v="107797"/>
        <n v="72590"/>
        <n v="62171"/>
        <n v="35127"/>
        <n v="32588"/>
        <n v="32017"/>
        <n v="6333"/>
        <n v="5304"/>
        <n v="4862"/>
        <n v="3274"/>
        <n v="3118"/>
        <n v="2167"/>
        <n v="32077"/>
        <n v="12896"/>
        <n v="12781"/>
        <n v="3757"/>
        <n v="168891"/>
        <n v="291491"/>
        <n v="32343"/>
        <n v="27524"/>
        <n v="10780"/>
        <n v="311201"/>
        <n v="299367"/>
        <n v="3358"/>
        <n v="3166"/>
        <n v="8799"/>
        <n v="263"/>
        <n v="9036"/>
        <n v="61226"/>
        <n v="40434"/>
        <n v="29"/>
        <n v="357"/>
        <n v="18985"/>
        <n v="44905"/>
        <n v="44665"/>
        <n v="4930"/>
        <n v="1006"/>
        <n v="18855"/>
        <n v="12309"/>
        <n v="12624"/>
        <n v="4745"/>
        <n v="459"/>
        <n v="49"/>
        <n v="2799"/>
        <n v="332"/>
        <n v="1619"/>
        <n v="7099"/>
        <n v="920"/>
        <n v="2457"/>
        <n v="131"/>
        <n v="4535"/>
        <n v="4724"/>
        <n v="4839"/>
        <n v="8538"/>
        <n v="7016"/>
        <n v="2767"/>
        <n v="129"/>
        <n v="1662"/>
        <n v="3153"/>
        <n v="2870"/>
        <n v="2779"/>
        <n v="1912"/>
        <n v="1293"/>
        <n v="1134"/>
        <n v="777"/>
        <n v="795"/>
        <n v="505"/>
        <n v="483"/>
        <n v="407"/>
        <n v="547"/>
        <n v="455"/>
        <n v="348"/>
        <n v="305"/>
        <n v="288"/>
        <n v="240"/>
        <n v="202"/>
        <n v="177"/>
        <n v="127"/>
        <n v="28"/>
        <n v="62"/>
        <n v="55"/>
        <n v="43"/>
        <n v="43858"/>
        <n v="13703"/>
        <n v="6250"/>
        <n v="14185751"/>
        <n v="6590927"/>
        <n v="4267"/>
        <n v="1907992"/>
        <n v="277975"/>
        <n v="2747216"/>
        <n v="833749"/>
        <n v="790351"/>
        <n v="54254"/>
        <n v="4271446"/>
        <n v="188919"/>
        <n v="191499"/>
        <n v="512131"/>
        <n v="501074"/>
        <n v="518083"/>
        <n v="1009308"/>
        <n v="277923"/>
        <n v="682"/>
        <n v="2647098"/>
        <n v="2376803"/>
        <n v="248"/>
        <n v="2028244"/>
        <n v="1592029"/>
        <n v="327680"/>
        <n v="455921"/>
        <n v="1047644"/>
        <n v="1068392"/>
        <n v="8431"/>
        <n v="10809"/>
        <n v="63233"/>
        <n v="1081894"/>
        <n v="998659"/>
        <n v="191959"/>
        <n v="48192"/>
        <n v="679644"/>
        <n v="560912"/>
        <n v="933685"/>
        <n v="70609"/>
        <n v="798309"/>
        <n v="178386"/>
        <n v="11618"/>
        <n v="416304"/>
        <n v="540116"/>
        <n v="3165"/>
        <n v="606942"/>
        <n v="544327"/>
        <n v="466063"/>
        <n v="239406"/>
        <n v="271355"/>
        <n v="94751"/>
        <n v="234"/>
        <n v="17710"/>
        <n v="150152"/>
        <n v="258739"/>
        <n v="302369"/>
        <n v="86272"/>
        <n v="227693"/>
        <n v="165293"/>
        <n v="341273"/>
        <n v="312002"/>
        <n v="232292"/>
        <n v="9032"/>
        <n v="142781"/>
        <n v="122826"/>
        <n v="205745"/>
        <n v="86328"/>
        <n v="93271"/>
        <n v="157421"/>
        <n v="14562"/>
        <n v="181507"/>
        <n v="178752"/>
        <n v="173967"/>
        <n v="162445"/>
        <n v="122871"/>
        <n v="73826"/>
        <n v="124027"/>
        <n v="129845"/>
        <n v="72224"/>
        <n v="26725"/>
        <n v="35132"/>
        <n v="54635"/>
        <n v="73294"/>
        <n v="99750"/>
        <n v="75868"/>
        <n v="82933"/>
        <n v="8810"/>
        <n v="86414"/>
        <n v="85524"/>
        <n v="59408"/>
        <n v="47335"/>
        <n v="68743"/>
        <n v="64967"/>
        <n v="68231"/>
        <n v="18711"/>
        <n v="15002"/>
        <n v="38"/>
        <n v="15200"/>
        <n v="12724"/>
        <n v="38149"/>
        <n v="39952"/>
        <n v="23635"/>
        <n v="31542"/>
        <n v="28507"/>
        <n v="43587"/>
        <n v="43353"/>
        <n v="34870"/>
        <n v="36387"/>
        <n v="9136"/>
        <n v="10421"/>
        <n v="2045"/>
        <n v="10457"/>
        <n v="12569"/>
        <n v="18054"/>
        <n v="8014"/>
        <n v="154"/>
        <n v="9524"/>
        <n v="15423"/>
        <n v="12465"/>
        <n v="12164"/>
        <n v="3927"/>
        <n v="9914"/>
        <n v="3256"/>
        <n v="3777"/>
        <n v="7989"/>
        <n v="3570"/>
        <n v="4786"/>
        <n v="4633"/>
        <n v="2774"/>
        <n v="1400"/>
        <n v="621"/>
        <n v="643"/>
        <n v="179"/>
        <n v="31"/>
        <n v="1417601"/>
        <n v="249505"/>
        <n v="4069"/>
        <n v="307688"/>
        <n v="10244"/>
        <n v="24913"/>
        <n v="31824"/>
        <n v="94486"/>
        <n v="58947"/>
        <n v="67434"/>
        <n v="33575"/>
        <n v="30528"/>
        <n v="23146"/>
        <n v="16243"/>
        <n v="9251"/>
        <n v="7136"/>
        <n v="7313"/>
        <n v="5171"/>
        <n v="5042"/>
        <n v="1776"/>
        <n v="877"/>
        <n v="392"/>
        <n v="314"/>
        <n v="95"/>
        <n v="668187"/>
        <n v="280255"/>
        <n v="673326"/>
        <n v="831503"/>
        <n v="1139824"/>
        <n v="324677"/>
        <n v="463020"/>
        <n v="120088"/>
        <n v="20046"/>
        <n v="31900"/>
        <n v="119302"/>
        <n v="3768"/>
        <n v="301841"/>
        <n v="136194"/>
        <n v="28172"/>
        <n v="259401"/>
        <n v="186798"/>
        <n v="250313"/>
        <n v="1978"/>
        <n v="11347"/>
        <n v="75233"/>
        <n v="28188"/>
        <n v="107943"/>
        <n v="38921"/>
        <n v="84916"/>
        <n v="95413"/>
        <n v="776"/>
        <n v="116"/>
        <n v="79368"/>
        <n v="84699"/>
        <n v="79035"/>
        <n v="77524"/>
        <n v="10767"/>
        <n v="56951"/>
        <n v="30483"/>
        <n v="12800"/>
        <n v="12804"/>
        <n v="3665"/>
        <n v="3971"/>
        <n v="63702"/>
        <n v="42112"/>
        <n v="33368"/>
        <n v="61482"/>
        <n v="4804"/>
        <n v="1168"/>
        <n v="25128"/>
        <n v="43756"/>
        <n v="24607"/>
        <n v="23886"/>
        <n v="28602"/>
        <n v="33713"/>
        <n v="31476"/>
        <n v="31485"/>
        <n v="28791"/>
        <n v="344"/>
        <n v="19182"/>
        <n v="18168"/>
        <n v="4763"/>
        <n v="452"/>
        <n v="18233"/>
        <n v="2493"/>
        <n v="10292"/>
        <n v="12426"/>
        <n v="2307"/>
        <n v="7902"/>
        <n v="10101"/>
        <n v="1691"/>
        <n v="953"/>
        <n v="1565"/>
        <n v="7495"/>
        <n v="382"/>
        <n v="8769"/>
        <n v="140"/>
        <n v="4454"/>
        <n v="1462"/>
        <n v="3701"/>
        <n v="1728"/>
        <n v="2550"/>
        <n v="3312"/>
        <n v="3739"/>
        <n v="3662"/>
        <n v="311"/>
        <n v="2973"/>
        <n v="2866"/>
        <n v="1365"/>
        <n v="1073"/>
        <n v="1047"/>
        <n v="108"/>
        <n v="430"/>
        <n v="905"/>
        <n v="262"/>
        <n v="549"/>
        <n v="356"/>
        <n v="582"/>
        <n v="220"/>
        <n v="211"/>
        <n v="194"/>
        <n v="11700"/>
        <n v="7605"/>
        <n v="4755"/>
        <n v="2382"/>
        <n v="31224"/>
        <n v="9921"/>
        <n v="3142"/>
        <n v="1017"/>
        <n v="2612651"/>
        <n v="474046"/>
        <n v="397242"/>
        <n v="543359"/>
        <n v="320310"/>
        <n v="19601"/>
        <n v="194579"/>
        <n v="4334"/>
        <n v="25519"/>
        <n v="5282"/>
        <n v="23872"/>
        <n v="11765"/>
        <n v="4596"/>
        <n v="5470"/>
        <n v="1055"/>
        <n v="699"/>
        <n v="381"/>
        <n v="4710"/>
        <n v="1232009"/>
        <n v="11124"/>
        <n v="38883"/>
        <n v="752434"/>
        <n v="6433"/>
        <n v="335413"/>
        <n v="53937"/>
        <n v="47093"/>
        <n v="74584"/>
        <n v="30664"/>
        <n v="40799"/>
        <n v="13488"/>
        <n v="29406"/>
        <n v="21550"/>
        <n v="20981"/>
        <n v="41"/>
        <n v="10487"/>
        <n v="10482"/>
        <n v="5246"/>
        <n v="3065"/>
        <n v="2819"/>
        <n v="1690"/>
        <n v="1319"/>
        <n v="1009"/>
        <n v="36156"/>
        <n v="24030"/>
        <n v="6614"/>
        <n v="4409"/>
        <n v="780951"/>
        <n v="673579"/>
        <n v="461264"/>
        <n v="360525"/>
        <n v="14090"/>
        <n v="192543"/>
        <n v="161037"/>
        <n v="154181"/>
        <n v="117522"/>
        <n v="1084"/>
        <n v="80785"/>
        <n v="79927"/>
        <n v="73856"/>
        <n v="73657"/>
        <n v="69593"/>
        <n v="56769"/>
        <n v="52911"/>
        <n v="1245"/>
        <n v="38766"/>
        <n v="19822"/>
        <n v="20251"/>
        <n v="18130"/>
        <n v="15160"/>
        <n v="12193"/>
        <n v="11879"/>
        <n v="10272"/>
        <n v="8218"/>
        <n v="7062"/>
        <n v="1509"/>
        <n v="5594"/>
        <n v="5111"/>
        <n v="3233"/>
        <n v="4926"/>
        <n v="3877"/>
        <n v="3603"/>
        <n v="2575"/>
        <n v="1232"/>
        <n v="848"/>
        <n v="701"/>
        <n v="700"/>
        <n v="526"/>
        <n v="490"/>
        <n v="481"/>
        <n v="327"/>
        <n v="458"/>
        <n v="423"/>
        <n v="328"/>
        <n v="294"/>
        <n v="290"/>
        <n v="285"/>
        <n v="216"/>
        <n v="167"/>
        <n v="82"/>
        <n v="71"/>
        <n v="69"/>
        <n v="66"/>
        <n v="7496"/>
        <n v="16500"/>
        <n v="8818"/>
        <n v="139940"/>
        <n v="57812"/>
        <n v="13228"/>
        <n v="86576"/>
        <n v="80960"/>
        <n v="35284"/>
        <n v="17657"/>
        <n v="859159"/>
        <n v="115245"/>
        <n v="49620"/>
        <n v="44831"/>
        <n v="22018"/>
        <n v="11781"/>
        <n v="1656"/>
        <n v="1261"/>
        <n v="215"/>
        <n v="1762080"/>
        <n v="5717575"/>
        <n v="2968571"/>
        <n v="1805741"/>
        <n v="210993"/>
        <n v="551404"/>
        <n v="948553"/>
        <n v="199618"/>
        <n v="590948"/>
        <n v="79690"/>
        <n v="5542"/>
        <n v="94106"/>
        <n v="599"/>
        <n v="182904"/>
        <n v="373344"/>
        <n v="108587"/>
        <n v="195342"/>
        <n v="191236"/>
        <n v="1266"/>
        <n v="171030"/>
        <n v="136900"/>
        <n v="183985"/>
        <n v="151744"/>
        <n v="154324"/>
        <n v="28098"/>
        <n v="528"/>
        <n v="127871"/>
        <n v="138194"/>
        <n v="74551"/>
        <n v="90875"/>
        <n v="90211"/>
        <n v="56774"/>
        <n v="83025"/>
        <n v="45918"/>
        <n v="30639"/>
        <n v="67455"/>
        <n v="66914"/>
        <n v="22057"/>
        <n v="1681"/>
        <n v="22804"/>
        <n v="15747"/>
        <n v="3779"/>
        <n v="42824"/>
        <n v="24248"/>
        <n v="32225"/>
        <n v="11969"/>
        <n v="1411"/>
        <n v="8867"/>
        <n v="5252"/>
        <n v="18741"/>
        <n v="1532"/>
        <n v="16371"/>
        <n v="13785"/>
        <n v="8530"/>
        <n v="12644"/>
        <n v="11673"/>
        <n v="5517"/>
        <n v="11421"/>
        <n v="4886"/>
        <n v="9379"/>
        <n v="7027"/>
        <n v="4060"/>
        <n v="498"/>
        <n v="6702"/>
        <n v="3589"/>
        <n v="1726"/>
        <n v="1370"/>
        <n v="4962"/>
        <n v="3157"/>
        <n v="4534"/>
        <n v="4151"/>
        <n v="1999"/>
        <n v="4097"/>
        <n v="2285"/>
        <n v="2972"/>
        <n v="2775"/>
        <n v="1937"/>
        <n v="1133"/>
        <n v="1474"/>
        <n v="608"/>
        <n v="1239"/>
        <n v="1189"/>
        <n v="951"/>
        <n v="832"/>
        <n v="655"/>
        <n v="527"/>
        <n v="499"/>
        <n v="246"/>
        <n v="235"/>
        <n v="201"/>
        <n v="163"/>
        <n v="48"/>
        <n v="92803"/>
        <n v="4650"/>
        <n v="450035"/>
        <n v="135551"/>
        <n v="123753"/>
        <n v="114402"/>
        <n v="60748"/>
        <n v="6061"/>
        <n v="34389"/>
        <n v="27615"/>
        <n v="25398"/>
        <n v="11593"/>
        <n v="7165"/>
        <n v="19673"/>
        <n v="18225"/>
        <n v="8231"/>
        <n v="7699"/>
        <n v="7281"/>
        <n v="4616"/>
        <n v="4277"/>
        <n v="2462"/>
        <n v="171"/>
        <n v="128420"/>
        <n v="51554"/>
        <n v="99759"/>
        <n v="8234"/>
        <n v="4761"/>
        <n v="1966"/>
        <n v="1405"/>
        <n v="2073323"/>
        <n v="1273524"/>
        <n v="12313"/>
        <n v="410950"/>
        <n v="44995"/>
        <n v="115631"/>
        <n v="78038"/>
        <n v="55221"/>
        <n v="48340"/>
        <n v="37599"/>
        <n v="33379"/>
        <n v="29685"/>
        <n v="18436"/>
        <n v="17561"/>
        <n v="15710"/>
        <n v="11088"/>
        <n v="7327"/>
        <n v="3003"/>
        <n v="2475"/>
        <n v="178"/>
        <n v="121"/>
        <n v="58"/>
        <n v="4397"/>
        <n v="1004390"/>
        <n v="13798"/>
        <n v="606606"/>
        <n v="55224"/>
        <n v="1775737"/>
        <n v="1203729"/>
        <n v="414619"/>
        <n v="98826"/>
        <n v="100165"/>
        <n v="1649982"/>
        <n v="39908"/>
        <n v="794312"/>
        <n v="599615"/>
        <n v="779792"/>
        <n v="920584"/>
        <n v="598"/>
        <n v="9489"/>
        <n v="130218"/>
        <n v="527332"/>
        <n v="673750"/>
        <n v="449839"/>
        <n v="628080"/>
        <n v="2766"/>
        <n v="26684"/>
        <n v="162175"/>
        <n v="519942"/>
        <n v="348984"/>
        <n v="141745"/>
        <n v="10250"/>
        <n v="106969"/>
        <n v="5109"/>
        <n v="84141"/>
        <n v="224986"/>
        <n v="433528"/>
        <n v="392803"/>
        <n v="98290"/>
        <n v="269002"/>
        <n v="86537"/>
        <n v="266050"/>
        <n v="345114"/>
        <n v="3806"/>
        <n v="342418"/>
        <n v="1435"/>
        <n v="129888"/>
        <n v="189194"/>
        <n v="21973"/>
        <n v="229575"/>
        <n v="75816"/>
        <n v="113285"/>
        <n v="1501"/>
        <n v="32985"/>
        <n v="106257"/>
        <n v="155730"/>
        <n v="36655"/>
        <n v="571"/>
        <n v="83414"/>
        <n v="11372"/>
        <n v="111172"/>
        <n v="114437"/>
        <n v="107338"/>
        <n v="10970"/>
        <n v="121938"/>
        <n v="119132"/>
        <n v="9352"/>
        <n v="75518"/>
        <n v="107891"/>
        <n v="18221"/>
        <n v="84162"/>
        <n v="67483"/>
        <n v="60630"/>
        <n v="78516"/>
        <n v="7519"/>
        <n v="18419"/>
        <n v="740"/>
        <n v="28918"/>
        <n v="12761"/>
        <n v="35259"/>
        <n v="40713"/>
        <n v="47710"/>
        <n v="27630"/>
        <n v="16628"/>
        <n v="1899"/>
        <n v="8504"/>
        <n v="18803"/>
        <n v="164"/>
        <n v="10591"/>
        <n v="3255"/>
        <n v="5638"/>
        <n v="16482"/>
        <n v="9913"/>
        <n v="15684"/>
        <n v="14728"/>
        <n v="5320"/>
        <n v="11789"/>
        <n v="350"/>
        <n v="9491"/>
        <n v="765"/>
        <n v="4914"/>
        <n v="6066"/>
        <n v="591"/>
        <n v="4363"/>
        <n v="3695"/>
        <n v="3607"/>
        <n v="2127"/>
        <n v="103"/>
        <n v="2075"/>
        <n v="278"/>
        <n v="324"/>
        <n v="253"/>
        <n v="113"/>
        <n v="385"/>
        <n v="200"/>
        <n v="120"/>
        <n v="11144694"/>
        <n v="7598849"/>
        <n v="12722057"/>
        <n v="2192265"/>
        <n v="5506370"/>
        <n v="302729"/>
        <n v="3197195"/>
        <n v="1959890"/>
        <n v="10124"/>
        <n v="1624313"/>
        <n v="607626"/>
        <n v="1651601"/>
        <n v="55696"/>
        <n v="2535104"/>
        <n v="2292824"/>
        <n v="1734536"/>
        <n v="1774681"/>
        <n v="1917168"/>
        <n v="1554296"/>
        <n v="2087897"/>
        <n v="2030801"/>
        <n v="1888973"/>
        <n v="1807208"/>
        <n v="1606495"/>
        <n v="1464698"/>
        <n v="712083"/>
        <n v="717708"/>
        <n v="551578"/>
        <n v="563825"/>
        <n v="647177"/>
        <n v="649963"/>
        <n v="13412"/>
        <n v="601173"/>
        <n v="575281"/>
        <n v="369545"/>
        <n v="177823"/>
        <n v="6884"/>
        <n v="498586"/>
        <n v="168889"/>
        <n v="111782"/>
        <n v="446579"/>
        <n v="460800"/>
        <n v="444216"/>
        <n v="439135"/>
        <n v="372551"/>
        <n v="5480"/>
        <n v="404050"/>
        <n v="276787"/>
        <n v="2408"/>
        <n v="300516"/>
        <n v="145485"/>
        <n v="226024"/>
        <n v="282253"/>
        <n v="263786"/>
        <n v="232238"/>
        <n v="227220"/>
        <n v="228310"/>
        <n v="230712"/>
        <n v="221004"/>
        <n v="210067"/>
        <n v="154804"/>
        <n v="55551"/>
        <n v="191337"/>
        <n v="150099"/>
        <n v="134956"/>
        <n v="10445"/>
        <n v="109297"/>
        <n v="44563"/>
        <n v="153238"/>
        <n v="117175"/>
        <n v="47997"/>
        <n v="121594"/>
        <n v="104532"/>
        <n v="109491"/>
        <n v="79445"/>
        <n v="67833"/>
        <n v="30203"/>
        <n v="34113"/>
        <n v="64820"/>
        <n v="67737"/>
        <n v="49592"/>
        <n v="74252"/>
        <n v="73833"/>
        <n v="62741"/>
        <n v="64581"/>
        <n v="61262"/>
        <n v="46003"/>
        <n v="51302"/>
        <n v="52860"/>
        <n v="41186"/>
        <n v="51887"/>
        <n v="39907"/>
        <n v="6945"/>
        <n v="34709"/>
        <n v="39270"/>
        <n v="30438"/>
        <n v="27906"/>
        <n v="18204"/>
        <n v="30057"/>
        <n v="5946"/>
        <n v="24264"/>
        <n v="17878"/>
        <n v="16180"/>
        <n v="18427"/>
        <n v="11802"/>
        <n v="16230"/>
        <n v="12038"/>
        <n v="4216"/>
        <n v="7727"/>
        <n v="9093"/>
        <n v="4430"/>
        <n v="9156"/>
        <n v="9502"/>
        <n v="8697"/>
        <n v="1713"/>
        <n v="4110"/>
        <n v="578"/>
        <n v="3525"/>
        <n v="2083"/>
        <n v="2399"/>
        <n v="1752"/>
        <n v="1854"/>
        <n v="1844"/>
        <n v="1193"/>
        <n v="1558"/>
        <n v="1446"/>
        <n v="757"/>
        <n v="197"/>
        <n v="126"/>
        <n v="257"/>
        <n v="90"/>
        <n v="175446"/>
        <n v="335203"/>
        <n v="64390"/>
        <n v="18088"/>
        <n v="7695"/>
        <n v="87952"/>
        <n v="19609"/>
        <n v="95807"/>
        <n v="199540"/>
        <n v="119353"/>
        <n v="485"/>
        <n v="70254"/>
        <n v="6775"/>
        <n v="37511"/>
        <n v="14545"/>
        <n v="4518"/>
        <n v="1285"/>
        <n v="1138"/>
        <n v="590"/>
        <n v="103772"/>
        <n v="8022"/>
        <n v="6673"/>
        <n v="2260"/>
        <n v="2931"/>
        <n v="394"/>
        <n v="239"/>
        <n v="465"/>
        <n v="486"/>
        <n v="84"/>
        <n v="178862"/>
        <n v="35119"/>
        <n v="719"/>
        <n v="175689"/>
        <n v="41196"/>
        <n v="39391"/>
        <n v="12230"/>
        <n v="8048"/>
        <n v="4305"/>
        <n v="981"/>
        <n v="713343"/>
        <n v="544646"/>
        <n v="399509"/>
        <n v="143021"/>
        <n v="11557"/>
        <n v="57919"/>
        <n v="12387"/>
        <n v="21321"/>
        <n v="8653"/>
        <n v="13269"/>
        <n v="10392"/>
        <n v="9187"/>
        <n v="4985"/>
        <n v="3823"/>
        <n v="7635"/>
        <n v="4685"/>
        <n v="2891"/>
        <n v="3212"/>
        <n v="3482"/>
        <n v="3104"/>
        <n v="2964"/>
        <n v="1058"/>
        <n v="1493"/>
        <n v="892"/>
        <n v="185"/>
        <n v="828"/>
        <n v="730"/>
        <n v="287"/>
        <n v="922"/>
        <n v="866"/>
        <n v="739"/>
        <n v="506"/>
        <n v="673"/>
        <n v="524"/>
        <n v="445"/>
        <n v="260"/>
        <n v="134"/>
        <n v="56"/>
        <n v="387014"/>
        <n v="748"/>
        <n v="713"/>
        <n v="82680"/>
        <n v="30462"/>
        <n v="27230"/>
        <n v="21976"/>
        <n v="20244"/>
        <n v="4048"/>
        <n v="1930"/>
        <n v="10252"/>
        <n v="9891"/>
        <n v="7600"/>
        <n v="636"/>
        <n v="188"/>
        <n v="3413"/>
        <n v="3477"/>
        <n v="2008"/>
        <n v="2168"/>
        <n v="203"/>
        <n v="2020"/>
        <n v="1352"/>
        <n v="393"/>
        <n v="926"/>
        <n v="995"/>
        <n v="826"/>
        <n v="879"/>
        <n v="85"/>
        <n v="161"/>
        <n v="2843802"/>
        <n v="110"/>
        <n v="653"/>
        <n v="1508759"/>
        <n v="247480"/>
        <n v="201994"/>
        <n v="73543"/>
        <n v="712429"/>
        <n v="500222"/>
        <n v="486244"/>
        <n v="579163"/>
        <n v="21314"/>
        <n v="496938"/>
        <n v="421305"/>
        <n v="389641"/>
        <n v="370452"/>
        <n v="244881"/>
        <n v="255803"/>
        <n v="2259"/>
        <n v="164156"/>
        <n v="221947"/>
        <n v="44526"/>
        <n v="162285"/>
        <n v="188672"/>
        <n v="131811"/>
        <n v="173002"/>
        <n v="156943"/>
        <n v="166426"/>
        <n v="107348"/>
        <n v="107387"/>
        <n v="119911"/>
        <n v="118407"/>
        <n v="94109"/>
        <n v="109747"/>
        <n v="110458"/>
        <n v="104525"/>
        <n v="89085"/>
        <n v="77449"/>
        <n v="16938"/>
        <n v="83881"/>
        <n v="74973"/>
        <n v="72519"/>
        <n v="80784"/>
        <n v="42656"/>
        <n v="63070"/>
        <n v="38862"/>
        <n v="58740"/>
        <n v="64391"/>
        <n v="41108"/>
        <n v="2465"/>
        <n v="21418"/>
        <n v="47169"/>
        <n v="22986"/>
        <n v="28115"/>
        <n v="32136"/>
        <n v="2253"/>
        <n v="27914"/>
        <n v="25897"/>
        <n v="28922"/>
        <n v="27799"/>
        <n v="18498"/>
        <n v="8294"/>
        <n v="12422"/>
        <n v="11641"/>
        <n v="21865"/>
        <n v="11192"/>
        <n v="19229"/>
        <n v="15651"/>
        <n v="1524"/>
        <n v="18280"/>
        <n v="15938"/>
        <n v="13977"/>
        <n v="16477"/>
        <n v="14754"/>
        <n v="14257"/>
        <n v="8661"/>
        <n v="11945"/>
        <n v="4464"/>
        <n v="4635"/>
        <n v="7660"/>
        <n v="2488"/>
        <n v="6080"/>
        <n v="9095"/>
        <n v="8743"/>
        <n v="7430"/>
        <n v="3526"/>
        <n v="5915"/>
        <n v="2922"/>
        <n v="5808"/>
        <n v="4380"/>
        <n v="4032"/>
        <n v="3408"/>
        <n v="1195"/>
        <n v="2764"/>
        <n v="329"/>
        <n v="1893"/>
        <n v="2187"/>
        <n v="987"/>
        <n v="672"/>
        <n v="869"/>
        <n v="681"/>
        <n v="718"/>
        <n v="646"/>
        <n v="566"/>
        <n v="555"/>
        <n v="87403"/>
        <n v="38756"/>
        <n v="1698036"/>
        <n v="59067"/>
        <n v="32886"/>
        <n v="16457"/>
        <n v="103614"/>
        <n v="338562"/>
        <n v="259895"/>
        <n v="2194"/>
        <n v="242377"/>
        <n v="352461"/>
        <n v="243820"/>
        <n v="36456"/>
        <n v="22241"/>
        <n v="117584"/>
        <n v="51793"/>
        <n v="63203"/>
        <n v="65648"/>
        <n v="5443"/>
        <n v="551"/>
        <n v="112593"/>
        <n v="75158"/>
        <n v="37433"/>
        <n v="75178"/>
        <n v="73968"/>
        <n v="20204"/>
        <n v="29122"/>
        <n v="17979"/>
        <n v="22885"/>
        <n v="36242"/>
        <n v="16525"/>
        <n v="1101"/>
        <n v="9222"/>
        <n v="13241"/>
        <n v="17155"/>
        <n v="11766"/>
        <n v="11355"/>
        <n v="11044"/>
        <n v="1862"/>
        <n v="4395"/>
        <n v="1929"/>
        <n v="1646"/>
        <n v="2207"/>
        <n v="1552"/>
        <n v="1257"/>
        <n v="1456201"/>
        <n v="309242"/>
        <n v="104182"/>
        <n v="38551"/>
        <n v="14713"/>
        <n v="5322"/>
        <n v="2876"/>
        <n v="410"/>
        <n v="2161704"/>
        <n v="231441"/>
        <n v="136415"/>
        <n v="916779"/>
        <n v="1733548"/>
        <n v="8657"/>
        <n v="436997"/>
        <n v="1097"/>
        <n v="2370"/>
        <n v="5774"/>
        <n v="11971"/>
        <n v="37834"/>
        <n v="61720"/>
        <n v="58266"/>
        <n v="54994"/>
        <n v="51621"/>
        <n v="38285"/>
        <n v="27590"/>
        <n v="21835"/>
        <n v="958"/>
        <n v="4248"/>
        <n v="596"/>
        <n v="1898"/>
        <n v="1427"/>
        <n v="785"/>
        <n v="226"/>
        <n v="1319884"/>
        <n v="1351936"/>
        <n v="323892"/>
        <n v="1081248"/>
        <n v="379187"/>
        <n v="759426"/>
        <n v="278954"/>
        <n v="412290"/>
        <n v="305186"/>
        <n v="239570"/>
        <n v="46906"/>
        <n v="233378"/>
        <n v="85045"/>
        <n v="240484"/>
        <n v="79873"/>
        <n v="195501"/>
        <n v="52910"/>
        <n v="2705"/>
        <n v="95435"/>
        <n v="151186"/>
        <n v="103354"/>
        <n v="135566"/>
        <n v="58937"/>
        <n v="36627"/>
        <n v="34408"/>
        <n v="94209"/>
        <n v="56771"/>
        <n v="43270"/>
        <n v="67611"/>
        <n v="7410"/>
        <n v="88569"/>
        <n v="52516"/>
        <n v="72095"/>
        <n v="69674"/>
        <n v="24708"/>
        <n v="45678"/>
        <n v="19450"/>
        <n v="15773"/>
        <n v="53250"/>
        <n v="31206"/>
        <n v="11611"/>
        <n v="11780"/>
        <n v="28603"/>
        <n v="15290"/>
        <n v="30861"/>
        <n v="28312"/>
        <n v="23468"/>
        <n v="6818"/>
        <n v="23487"/>
        <n v="17946"/>
        <n v="22785"/>
        <n v="19141"/>
        <n v="17215"/>
        <n v="7562"/>
        <n v="4300"/>
        <n v="14506"/>
        <n v="14590"/>
        <n v="3785"/>
        <n v="12902"/>
        <n v="2023"/>
        <n v="11442"/>
        <n v="4855"/>
        <n v="12056"/>
        <n v="11866"/>
        <n v="11287"/>
        <n v="7142"/>
        <n v="4672"/>
        <n v="8125"/>
        <n v="647"/>
        <n v="8763"/>
        <n v="1931"/>
        <n v="2831"/>
        <n v="3917"/>
        <n v="4104"/>
        <n v="4893"/>
        <n v="629"/>
        <n v="3380"/>
        <n v="3719"/>
        <n v="4136"/>
        <n v="983"/>
        <n v="2038"/>
        <n v="2555"/>
        <n v="1584"/>
        <n v="1672"/>
        <n v="2057"/>
        <n v="667"/>
        <n v="1208"/>
        <n v="901"/>
        <n v="1456"/>
        <n v="190"/>
        <n v="970"/>
        <n v="679"/>
        <n v="966"/>
        <n v="181"/>
        <n v="541"/>
        <n v="374"/>
        <n v="391"/>
        <n v="230"/>
        <n v="68"/>
        <n v="1799"/>
        <n v="3032623"/>
        <n v="21869"/>
        <n v="152569"/>
        <n v="9962"/>
        <n v="13821"/>
        <n v="23820"/>
        <n v="670"/>
        <n v="327265"/>
        <n v="20415"/>
        <n v="4185"/>
        <n v="5387"/>
        <n v="274124"/>
        <n v="275823"/>
        <n v="112187"/>
        <n v="24493"/>
        <n v="83440"/>
        <n v="7188"/>
        <n v="83361"/>
        <n v="65217"/>
        <n v="71127"/>
        <n v="536"/>
        <n v="13838"/>
        <n v="11554"/>
        <n v="23217"/>
        <n v="1648"/>
        <n v="20533"/>
        <n v="1247"/>
        <n v="143"/>
        <n v="14499"/>
        <n v="13086"/>
        <n v="638"/>
        <n v="6520"/>
        <n v="4114"/>
        <n v="5017"/>
        <n v="3989"/>
        <n v="4403"/>
        <n v="825"/>
        <n v="2975"/>
        <n v="3180"/>
        <n v="3418"/>
        <n v="2206"/>
        <n v="78"/>
        <n v="755"/>
        <n v="471"/>
        <n v="633"/>
        <n v="572"/>
        <n v="275"/>
        <n v="168"/>
        <n v="109"/>
        <n v="45017"/>
        <n v="39072"/>
        <n v="19098"/>
        <n v="1289934"/>
        <n v="745"/>
        <n v="101140"/>
        <n v="87964"/>
        <n v="5029"/>
        <n v="18090"/>
        <n v="10362"/>
        <n v="660"/>
        <n v="376"/>
        <n v="158"/>
        <n v="841553"/>
        <n v="120162"/>
        <n v="113137"/>
        <n v="82238"/>
        <n v="8099"/>
        <n v="30631"/>
        <n v="6063"/>
        <n v="8291"/>
        <n v="10301"/>
        <n v="8182"/>
        <n v="2745"/>
        <n v="4346"/>
        <n v="3539"/>
        <n v="1398"/>
        <n v="1368"/>
        <n v="792"/>
        <n v="957"/>
        <n v="725"/>
        <n v="640"/>
        <n v="774"/>
        <n v="306"/>
        <n v="386"/>
        <n v="227"/>
        <n v="2073864"/>
        <n v="779438"/>
        <n v="1054987"/>
        <n v="886759"/>
        <n v="1348677"/>
        <n v="1202922"/>
        <n v="1249926"/>
        <n v="871523"/>
        <n v="60847"/>
        <n v="717182"/>
        <n v="842232"/>
        <n v="639146"/>
        <n v="156635"/>
        <n v="28832"/>
        <n v="265753"/>
        <n v="362866"/>
        <n v="64595"/>
        <n v="4018"/>
        <n v="348926"/>
        <n v="258300"/>
        <n v="354929"/>
        <n v="327789"/>
        <n v="101427"/>
        <n v="235053"/>
        <n v="23281"/>
        <n v="234950"/>
        <n v="109907"/>
        <n v="160011"/>
        <n v="204765"/>
        <n v="89342"/>
        <n v="100884"/>
        <n v="24723"/>
        <n v="188437"/>
        <n v="125662"/>
        <n v="149596"/>
        <n v="155193"/>
        <n v="6517"/>
        <n v="164085"/>
        <n v="113004"/>
        <n v="129851"/>
        <n v="158615"/>
        <n v="158370"/>
        <n v="108502"/>
        <n v="123422"/>
        <n v="68389"/>
        <n v="73456"/>
        <n v="128174"/>
        <n v="106173"/>
        <n v="76372"/>
        <n v="60997"/>
        <n v="66273"/>
        <n v="68305"/>
        <n v="51526"/>
        <n v="17743"/>
        <n v="64413"/>
        <n v="3975"/>
        <n v="63144"/>
        <n v="50177"/>
        <n v="38795"/>
        <n v="31483"/>
        <n v="39134"/>
        <n v="36069"/>
        <n v="40113"/>
        <n v="5080"/>
        <n v="38321"/>
        <n v="42178"/>
        <n v="37984"/>
        <n v="19733"/>
        <n v="24347"/>
        <n v="26678"/>
        <n v="11663"/>
        <n v="3813"/>
        <n v="25974"/>
        <n v="20650"/>
        <n v="9275"/>
        <n v="20707"/>
        <n v="18651"/>
        <n v="19112"/>
        <n v="17635"/>
        <n v="8351"/>
        <n v="13890"/>
        <n v="5651"/>
        <n v="5787"/>
        <n v="12524"/>
        <n v="618"/>
        <n v="2532"/>
        <n v="11207"/>
        <n v="6362"/>
        <n v="930"/>
        <n v="8699"/>
        <n v="8862"/>
        <n v="7534"/>
        <n v="5341"/>
        <n v="2134"/>
        <n v="5669"/>
        <n v="5415"/>
        <n v="5361"/>
        <n v="2953"/>
        <n v="3916"/>
        <n v="1985"/>
        <n v="2782"/>
        <n v="2313"/>
        <n v="2846"/>
        <n v="2932"/>
        <n v="2268"/>
        <n v="431"/>
        <n v="1216"/>
        <n v="616"/>
        <n v="475"/>
        <n v="1178"/>
        <n v="453"/>
        <n v="198"/>
        <n v="251"/>
        <n v="455639"/>
        <n v="4960"/>
        <n v="348953"/>
        <n v="4561"/>
        <n v="1317"/>
        <n v="372"/>
        <n v="148"/>
        <n v="223306"/>
        <n v="6172"/>
        <n v="16266"/>
        <n v="71320"/>
        <n v="52655"/>
        <n v="37037"/>
        <n v="37939"/>
        <n v="30759"/>
        <n v="27202"/>
        <n v="15262"/>
        <n v="1804"/>
        <n v="12917"/>
        <n v="3372"/>
        <n v="7010"/>
        <n v="6825"/>
        <n v="7173"/>
        <n v="5950"/>
        <n v="5790"/>
        <n v="4864"/>
        <n v="4376"/>
        <n v="2623"/>
        <n v="484"/>
        <n v="1250"/>
        <n v="1751"/>
        <n v="1613"/>
        <n v="1419"/>
        <n v="1630"/>
        <n v="1307"/>
        <n v="1382"/>
        <n v="1404"/>
        <n v="934"/>
        <n v="882"/>
        <n v="674"/>
        <n v="758"/>
        <n v="441"/>
        <n v="352"/>
        <n v="603"/>
        <n v="487"/>
        <n v="504"/>
        <n v="474"/>
        <n v="255"/>
        <n v="2281467"/>
        <n v="76139"/>
        <n v="173512"/>
        <n v="1198176"/>
        <n v="12660"/>
        <n v="226314"/>
        <n v="930762"/>
        <n v="281251"/>
        <n v="41993"/>
        <n v="1103"/>
        <n v="845884"/>
        <n v="19972"/>
        <n v="7022"/>
        <n v="12006"/>
        <n v="55116"/>
        <n v="283"/>
        <n v="50216"/>
        <n v="38023"/>
        <n v="65771"/>
        <n v="82924"/>
        <n v="66633"/>
        <n v="39743"/>
        <n v="67563"/>
        <n v="64767"/>
        <n v="42014"/>
        <n v="43736"/>
        <n v="26676"/>
        <n v="4006"/>
        <n v="2730"/>
        <n v="35444"/>
        <n v="5391"/>
        <n v="11023"/>
        <n v="23724"/>
        <n v="16540"/>
        <n v="13025"/>
        <n v="6657"/>
        <n v="18083"/>
        <n v="4314"/>
        <n v="11560"/>
        <n v="6975"/>
        <n v="2173"/>
        <n v="588445"/>
        <n v="558323"/>
        <n v="77722"/>
        <n v="26838"/>
        <n v="55308"/>
        <n v="9590"/>
        <n v="11488"/>
        <n v="13212"/>
        <n v="12507"/>
        <n v="7237"/>
        <n v="3269"/>
        <n v="1251"/>
        <n v="1594"/>
        <n v="3520"/>
        <n v="3579"/>
        <n v="3296"/>
        <n v="159"/>
        <n v="1956"/>
        <n v="279"/>
        <n v="705"/>
        <n v="172"/>
        <n v="94"/>
        <n v="775"/>
        <n v="581"/>
        <n v="310444"/>
        <n v="93889"/>
        <n v="15118"/>
        <n v="12568"/>
        <n v="18010678"/>
        <n v="7846296"/>
        <n v="3794324"/>
        <n v="2035994"/>
        <n v="2885883"/>
        <n v="2853426"/>
        <n v="2106109"/>
        <n v="1884981"/>
        <n v="1698721"/>
        <n v="36309"/>
        <n v="79331"/>
        <n v="291"/>
        <n v="1530524"/>
        <n v="529441"/>
        <n v="101990"/>
        <n v="974750"/>
        <n v="834140"/>
        <n v="8691"/>
        <n v="408696"/>
        <n v="3393"/>
        <n v="58609"/>
        <n v="3490"/>
        <n v="70807"/>
        <n v="122151"/>
        <n v="254099"/>
        <n v="427548"/>
        <n v="386506"/>
        <n v="8018"/>
        <n v="446744"/>
        <n v="356084"/>
        <n v="323565"/>
        <n v="244715"/>
        <n v="335324"/>
        <n v="278201"/>
        <n v="343513"/>
        <n v="216660"/>
        <n v="324403"/>
        <n v="15776"/>
        <n v="244274"/>
        <n v="3509"/>
        <n v="287870"/>
        <n v="271389"/>
        <n v="263433"/>
        <n v="55098"/>
        <n v="120287"/>
        <n v="107872"/>
        <n v="84704"/>
        <n v="142724"/>
        <n v="185213"/>
        <n v="139700"/>
        <n v="152785"/>
        <n v="104477"/>
        <n v="133655"/>
        <n v="130914"/>
        <n v="78310"/>
        <n v="108511"/>
        <n v="107522"/>
        <n v="100795"/>
        <n v="104058"/>
        <n v="104160"/>
        <n v="103132"/>
        <n v="3456"/>
        <n v="81605"/>
        <n v="88707"/>
        <n v="61213"/>
        <n v="46157"/>
        <n v="55535"/>
        <n v="58486"/>
        <n v="57012"/>
        <n v="18176"/>
        <n v="34137"/>
        <n v="45534"/>
        <n v="26197"/>
        <n v="38618"/>
        <n v="32006"/>
        <n v="35948"/>
        <n v="33733"/>
        <n v="35201"/>
        <n v="22353"/>
        <n v="13177"/>
        <n v="25759"/>
        <n v="13995"/>
        <n v="28322"/>
        <n v="16507"/>
        <n v="23299"/>
        <n v="3620"/>
        <n v="9772"/>
        <n v="432"/>
        <n v="3088"/>
        <n v="9553"/>
        <n v="4194"/>
        <n v="14282"/>
        <n v="10481"/>
        <n v="11961"/>
        <n v="12446"/>
        <n v="11100"/>
        <n v="9195"/>
        <n v="4863"/>
        <n v="4783"/>
        <n v="7009"/>
        <n v="5537"/>
        <n v="6193"/>
        <n v="6365"/>
        <n v="6487"/>
        <n v="5015"/>
        <n v="3978"/>
        <n v="3654"/>
        <n v="3304"/>
        <n v="990"/>
        <n v="520"/>
        <n v="1249"/>
        <n v="1202"/>
        <n v="513"/>
        <n v="563"/>
        <n v="561"/>
        <n v="662"/>
        <n v="615"/>
        <n v="136"/>
        <n v="281"/>
        <n v="5696"/>
        <n v="90500"/>
        <n v="78000"/>
        <n v="73461"/>
        <n v="52000"/>
        <n v="42469"/>
        <n v="15135"/>
        <n v="3954"/>
        <n v="18242"/>
        <n v="13185"/>
        <n v="11016"/>
        <n v="3512"/>
        <n v="3405"/>
        <n v="2628"/>
        <n v="10060684"/>
        <n v="3975716"/>
        <n v="3391553"/>
        <n v="3279310"/>
        <n v="1712411"/>
        <n v="2770378"/>
        <n v="2554282"/>
        <n v="2330416"/>
        <n v="2075074"/>
        <n v="77110"/>
        <n v="38716"/>
        <n v="1120220"/>
        <n v="2910"/>
        <n v="8041"/>
        <n v="331992"/>
        <n v="1128803"/>
        <n v="1188"/>
        <n v="951361"/>
        <n v="474103"/>
        <n v="945980"/>
        <n v="7459"/>
        <n v="52209"/>
        <n v="484528"/>
        <n v="284373"/>
        <n v="581805"/>
        <n v="48742"/>
        <n v="63034"/>
        <n v="397955"/>
        <n v="502818"/>
        <n v="447563"/>
        <n v="341221"/>
        <n v="241318"/>
        <n v="284590"/>
        <n v="395368"/>
        <n v="370765"/>
        <n v="341142"/>
        <n v="292986"/>
        <n v="124358"/>
        <n v="159904"/>
        <n v="284090"/>
        <n v="43843"/>
        <n v="21995"/>
        <n v="117443"/>
        <n v="161791"/>
        <n v="194724"/>
        <n v="3710"/>
        <n v="184165"/>
        <n v="125657"/>
        <n v="160012"/>
        <n v="119281"/>
        <n v="106483"/>
        <n v="78160"/>
        <n v="86792"/>
        <n v="83665"/>
        <n v="65209"/>
        <n v="97087"/>
        <n v="55914"/>
        <n v="10689"/>
        <n v="74611"/>
        <n v="81502"/>
        <n v="8905"/>
        <n v="36035"/>
        <n v="63243"/>
        <n v="53336"/>
        <n v="69874"/>
        <n v="67228"/>
        <n v="42067"/>
        <n v="35575"/>
        <n v="183"/>
        <n v="9615"/>
        <n v="41057"/>
        <n v="10595"/>
        <n v="19296"/>
        <n v="31184"/>
        <n v="36450"/>
        <n v="25848"/>
        <n v="23558"/>
        <n v="25964"/>
        <n v="25918"/>
        <n v="23772"/>
        <n v="7285"/>
        <n v="728"/>
        <n v="27238"/>
        <n v="25420"/>
        <n v="14089"/>
        <n v="19204"/>
        <n v="21139"/>
        <n v="16870"/>
        <n v="18230"/>
        <n v="6028"/>
        <n v="7030"/>
        <n v="16332"/>
        <n v="15729"/>
        <n v="12329"/>
        <n v="12464"/>
        <n v="10115"/>
        <n v="9527"/>
        <n v="1077"/>
        <n v="10112"/>
        <n v="911"/>
        <n v="8495"/>
        <n v="1119"/>
        <n v="4523"/>
        <n v="896"/>
        <n v="883"/>
        <n v="3414"/>
        <n v="2994"/>
        <n v="1901"/>
        <n v="2343"/>
        <n v="2562"/>
        <n v="863"/>
        <n v="2205"/>
        <n v="2192"/>
        <n v="170"/>
        <n v="1609"/>
        <n v="1142"/>
        <n v="1100"/>
        <n v="612"/>
        <n v="1489581"/>
        <n v="16216"/>
        <n v="80196"/>
        <n v="917"/>
        <n v="679150"/>
        <n v="76584"/>
        <n v="240943"/>
        <n v="588619"/>
        <n v="553914"/>
        <n v="505788"/>
        <n v="210395"/>
        <n v="423297"/>
        <n v="378086"/>
        <n v="15812"/>
        <n v="389014"/>
        <n v="178117"/>
        <n v="277238"/>
        <n v="79109"/>
        <n v="306276"/>
        <n v="796"/>
        <n v="200460"/>
        <n v="161915"/>
        <n v="68554"/>
        <n v="116659"/>
        <n v="157440"/>
        <n v="66543"/>
        <n v="135817"/>
        <n v="99913"/>
        <n v="115673"/>
        <n v="65732"/>
        <n v="104980"/>
        <n v="59456"/>
        <n v="95116"/>
        <n v="13601"/>
        <n v="2587"/>
        <n v="37896"/>
        <n v="4581"/>
        <n v="72767"/>
        <n v="6668"/>
        <n v="46697"/>
        <n v="353"/>
        <n v="17591"/>
        <n v="37983"/>
        <n v="34140"/>
        <n v="43700"/>
        <n v="45232"/>
        <n v="19018"/>
        <n v="27389"/>
        <n v="40559"/>
        <n v="32686"/>
        <n v="20210"/>
        <n v="16866"/>
        <n v="30177"/>
        <n v="30976"/>
        <n v="18349"/>
        <n v="2032"/>
        <n v="19914"/>
        <n v="24652"/>
        <n v="21387"/>
        <n v="14454"/>
        <n v="18409"/>
        <n v="12958"/>
        <n v="6642"/>
        <n v="15117"/>
        <n v="13409"/>
        <n v="7700"/>
        <n v="7913"/>
        <n v="10968"/>
        <n v="9020"/>
        <n v="8408"/>
        <n v="5855"/>
        <n v="5440"/>
        <n v="5597"/>
        <n v="2003"/>
        <n v="6069"/>
        <n v="4438"/>
        <n v="5297"/>
        <n v="5196"/>
        <n v="4728"/>
        <n v="1572"/>
        <n v="2106"/>
        <n v="1287"/>
        <n v="925"/>
        <n v="1296"/>
        <n v="2788"/>
        <n v="593"/>
        <n v="2661"/>
        <n v="2449"/>
        <n v="1997"/>
        <n v="1547"/>
        <n v="1618"/>
        <n v="1914"/>
        <n v="1698"/>
        <n v="538"/>
        <n v="1428"/>
        <n v="1298"/>
        <n v="492"/>
        <n v="841"/>
        <n v="533"/>
        <n v="586"/>
        <n v="402"/>
        <n v="414"/>
        <n v="191"/>
        <n v="2655"/>
        <n v="126157"/>
        <n v="68524"/>
        <n v="15076"/>
        <n v="1894"/>
        <n v="8585"/>
        <n v="1697"/>
        <n v="2401"/>
        <n v="5087"/>
        <n v="57388"/>
        <n v="26070"/>
        <n v="600"/>
        <n v="4752"/>
        <n v="4575"/>
        <n v="5668"/>
        <n v="2813"/>
        <n v="556"/>
        <n v="4478"/>
        <n v="2726"/>
        <n v="8327"/>
        <n v="5092"/>
        <n v="1625"/>
        <n v="10868"/>
        <n v="1205"/>
        <n v="322"/>
        <n v="16796"/>
        <n v="3106"/>
        <n v="14065"/>
        <n v="11341"/>
        <n v="11841"/>
        <n v="4240"/>
        <n v="1469"/>
        <n v="3047"/>
        <n v="4587"/>
        <n v="1388"/>
        <n v="818"/>
        <n v="128"/>
        <n v="1286"/>
        <n v="2496"/>
        <n v="1444"/>
        <n v="2200"/>
        <n v="2461"/>
        <n v="570"/>
        <n v="280"/>
        <n v="516"/>
        <n v="351"/>
        <n v="117"/>
        <n v="307"/>
        <n v="1858689"/>
        <n v="140685"/>
        <n v="3625111"/>
        <n v="1282638"/>
        <n v="168440"/>
        <n v="4611"/>
        <n v="3802"/>
        <n v="2145"/>
        <n v="229"/>
        <n v="138"/>
        <n v="124010"/>
        <n v="124906"/>
        <n v="46220"/>
        <n v="11047"/>
        <n v="1063"/>
        <n v="4458"/>
        <n v="2802"/>
        <n v="1457"/>
        <n v="3403"/>
        <n v="41503"/>
        <n v="193907"/>
        <n v="115454"/>
        <n v="1068412"/>
        <n v="3804"/>
        <n v="31296"/>
        <n v="442352"/>
        <n v="416022"/>
        <n v="360616"/>
        <n v="3876"/>
        <n v="611"/>
        <n v="11304"/>
        <n v="111346"/>
        <n v="65054"/>
        <n v="30163"/>
        <n v="53138"/>
        <n v="40367"/>
        <n v="30577"/>
        <n v="5621"/>
        <n v="20940"/>
        <n v="19285"/>
        <n v="15146"/>
        <n v="14497"/>
        <n v="12241"/>
        <n v="11196"/>
        <n v="6451"/>
        <n v="9426"/>
        <n v="7708"/>
        <n v="6820"/>
        <n v="442"/>
        <n v="3273"/>
        <n v="6511"/>
        <n v="6234"/>
        <n v="5176"/>
        <n v="4063"/>
        <n v="3562"/>
        <n v="1663"/>
        <n v="2982"/>
        <n v="928"/>
        <n v="783"/>
        <n v="865"/>
        <n v="2239"/>
        <n v="2178"/>
        <n v="1248"/>
        <n v="1238"/>
        <n v="807"/>
        <n v="778"/>
        <n v="769"/>
        <n v="742"/>
        <n v="661"/>
        <n v="562"/>
        <n v="347"/>
        <n v="334"/>
        <n v="195"/>
        <n v="189"/>
        <n v="93"/>
        <n v="1386912"/>
        <n v="407726"/>
        <n v="610740"/>
        <n v="573904"/>
        <n v="161809"/>
        <n v="80503"/>
        <n v="62761"/>
        <n v="15036"/>
        <n v="53344"/>
        <n v="47829"/>
        <n v="42192"/>
        <n v="38581"/>
        <n v="16448"/>
        <n v="7128"/>
        <n v="6675"/>
        <n v="4814"/>
        <n v="1611"/>
        <n v="1687"/>
        <n v="685"/>
        <n v="637"/>
        <n v="86"/>
        <n v="3950549"/>
        <n v="284424"/>
        <n v="2449270"/>
        <n v="2070113"/>
        <n v="12384"/>
        <n v="3140"/>
        <n v="193241"/>
        <n v="1612334"/>
        <n v="1234857"/>
        <n v="1417383"/>
        <n v="22913"/>
        <n v="1329081"/>
        <n v="1255989"/>
        <n v="2144"/>
        <n v="723839"/>
        <n v="28632"/>
        <n v="989776"/>
        <n v="32239"/>
        <n v="716896"/>
        <n v="603689"/>
        <n v="44964"/>
        <n v="150850"/>
        <n v="481032"/>
        <n v="580133"/>
        <n v="576274"/>
        <n v="321125"/>
        <n v="250675"/>
        <n v="307167"/>
        <n v="11318"/>
        <n v="296777"/>
        <n v="216913"/>
        <n v="284966"/>
        <n v="254629"/>
        <n v="84463"/>
        <n v="240751"/>
        <n v="259077"/>
        <n v="174263"/>
        <n v="218946"/>
        <n v="240976"/>
        <n v="15033"/>
        <n v="120945"/>
        <n v="10162"/>
        <n v="202180"/>
        <n v="200341"/>
        <n v="180172"/>
        <n v="53095"/>
        <n v="158624"/>
        <n v="111653"/>
        <n v="143002"/>
        <n v="1553"/>
        <n v="66019"/>
        <n v="97737"/>
        <n v="5043"/>
        <n v="100826"/>
        <n v="114079"/>
        <n v="112220"/>
        <n v="86781"/>
        <n v="77314"/>
        <n v="48421"/>
        <n v="22403"/>
        <n v="85702"/>
        <n v="73046"/>
        <n v="86445"/>
        <n v="85766"/>
        <n v="81165"/>
        <n v="84896"/>
        <n v="38347"/>
        <n v="43076"/>
        <n v="22792"/>
        <n v="67493"/>
        <n v="56855"/>
        <n v="7666"/>
        <n v="60088"/>
        <n v="56132"/>
        <n v="62842"/>
        <n v="55337"/>
        <n v="41905"/>
        <n v="37985"/>
        <n v="9599"/>
        <n v="36848"/>
        <n v="31114"/>
        <n v="31732"/>
        <n v="16310"/>
        <n v="9733"/>
        <n v="34704"/>
        <n v="29772"/>
        <n v="22842"/>
        <n v="24004"/>
        <n v="23296"/>
        <n v="23408"/>
        <n v="22522"/>
        <n v="11803"/>
        <n v="4555"/>
        <n v="13277"/>
        <n v="12658"/>
        <n v="12243"/>
        <n v="10996"/>
        <n v="308"/>
        <n v="10866"/>
        <n v="4700"/>
        <n v="6806"/>
        <n v="859"/>
        <n v="6025"/>
        <n v="5734"/>
        <n v="4001"/>
        <n v="4375"/>
        <n v="2142"/>
        <n v="2265"/>
        <n v="3342"/>
        <n v="3444"/>
        <n v="1640"/>
        <n v="2128"/>
        <n v="1724"/>
        <n v="1053"/>
        <n v="1466"/>
        <n v="1089"/>
        <n v="798"/>
        <n v="217"/>
        <n v="248808"/>
        <n v="181869"/>
        <n v="119820"/>
        <n v="399"/>
        <n v="61782"/>
        <n v="8331"/>
        <n v="58474"/>
        <n v="45333"/>
        <n v="27956"/>
        <n v="26675"/>
        <n v="448"/>
        <n v="9613"/>
        <n v="8104"/>
        <n v="3311"/>
        <n v="3174"/>
        <n v="2761"/>
        <n v="1416"/>
        <n v="1148"/>
        <n v="340"/>
        <n v="1716124"/>
        <n v="1134715"/>
        <n v="373282"/>
        <n v="147887"/>
        <n v="91432"/>
        <n v="84878"/>
        <n v="8944"/>
        <n v="74757"/>
        <n v="65300"/>
        <n v="53006"/>
        <n v="10023"/>
        <n v="8348"/>
        <n v="6887"/>
        <n v="6240"/>
        <n v="4157"/>
        <n v="4291"/>
        <n v="4263"/>
        <n v="3899"/>
        <n v="3023"/>
        <n v="2986"/>
        <n v="2967"/>
        <n v="2836"/>
        <n v="2473"/>
        <n v="1917"/>
        <n v="1536"/>
        <n v="1510"/>
        <n v="1403"/>
        <n v="1386"/>
        <n v="1236"/>
        <n v="1152"/>
        <n v="836"/>
        <n v="737"/>
        <n v="303"/>
        <n v="205"/>
        <n v="192"/>
        <n v="765799"/>
        <n v="1103091"/>
        <n v="369707"/>
        <n v="434130"/>
        <n v="102495"/>
        <n v="248888"/>
        <n v="259218"/>
        <n v="206069"/>
        <n v="165803"/>
        <n v="233816"/>
        <n v="114528"/>
        <n v="11254"/>
        <n v="6664"/>
        <n v="148453"/>
        <n v="185233"/>
        <n v="119022"/>
        <n v="56655"/>
        <n v="64778"/>
        <n v="1984"/>
        <n v="51675"/>
        <n v="70978"/>
        <n v="88115"/>
        <n v="71428"/>
        <n v="84009"/>
        <n v="86791"/>
        <n v="19321"/>
        <n v="75722"/>
        <n v="43590"/>
        <n v="33176"/>
        <n v="49734"/>
        <n v="47634"/>
        <n v="19718"/>
        <n v="26592"/>
        <n v="2896"/>
        <n v="35117"/>
        <n v="25636"/>
        <n v="14915"/>
        <n v="11162"/>
        <n v="26547"/>
        <n v="16751"/>
        <n v="22048"/>
        <n v="20224"/>
        <n v="22708"/>
        <n v="21374"/>
        <n v="12553"/>
        <n v="7467"/>
        <n v="20588"/>
        <n v="4842"/>
        <n v="13980"/>
        <n v="6485"/>
        <n v="2651"/>
        <n v="9007"/>
        <n v="2690"/>
        <n v="10353"/>
        <n v="7827"/>
        <n v="5988"/>
        <n v="5125"/>
        <n v="5736"/>
        <n v="5649"/>
        <n v="3604"/>
        <n v="3243"/>
        <n v="5437"/>
        <n v="2298"/>
        <n v="1835"/>
        <n v="5798"/>
        <n v="1916"/>
        <n v="2629"/>
        <n v="2177"/>
        <n v="3172"/>
        <n v="3000"/>
        <n v="3144"/>
        <n v="3495"/>
        <n v="3554"/>
        <n v="337"/>
        <n v="2040"/>
        <n v="2625"/>
        <n v="1258"/>
        <n v="2332"/>
        <n v="1498"/>
        <n v="2216"/>
        <n v="1831"/>
        <n v="2152"/>
        <n v="801"/>
        <n v="222"/>
        <n v="238"/>
        <n v="1563"/>
        <n v="1264"/>
        <n v="497"/>
        <n v="1013"/>
        <n v="360"/>
        <n v="101"/>
        <n v="683"/>
        <n v="242"/>
        <n v="575652"/>
        <n v="328079"/>
        <n v="227627"/>
        <n v="5607"/>
        <n v="52360"/>
        <n v="10000"/>
        <n v="1067411"/>
        <n v="276354"/>
        <n v="101669"/>
        <n v="10355165"/>
        <n v="1263336"/>
        <n v="18607"/>
        <n v="61674"/>
        <n v="533193"/>
        <n v="25883"/>
        <n v="263348"/>
        <n v="212525"/>
        <n v="94924"/>
        <n v="94662"/>
        <n v="39694"/>
        <n v="14490"/>
        <n v="1543"/>
        <n v="405"/>
        <n v="6899"/>
        <n v="1155"/>
        <n v="88157"/>
        <n v="20944"/>
        <n v="91"/>
        <n v="773222"/>
        <n v="81412"/>
        <n v="59626"/>
        <n v="585543"/>
        <n v="224006"/>
        <n v="135426"/>
        <n v="109101"/>
        <n v="106842"/>
        <n v="36628"/>
        <n v="25317"/>
        <n v="19166"/>
        <n v="18408"/>
        <n v="10690"/>
        <n v="13049"/>
        <n v="12579"/>
        <n v="3956"/>
        <n v="9923"/>
        <n v="4341"/>
        <n v="3881"/>
        <n v="3527"/>
        <n v="363"/>
        <n v="2929"/>
        <n v="1882"/>
        <n v="237"/>
        <n v="985"/>
        <n v="380"/>
        <n v="856847"/>
        <n v="244325"/>
        <n v="169152"/>
        <n v="79740"/>
        <n v="105979"/>
        <n v="57083"/>
        <n v="57277"/>
        <n v="13987"/>
        <n v="216177"/>
        <n v="953926"/>
        <n v="606315"/>
        <n v="265221"/>
        <n v="467682"/>
        <n v="75855"/>
        <n v="56455"/>
        <n v="218037"/>
        <n v="10018"/>
        <n v="95194"/>
        <n v="195107"/>
        <n v="70222"/>
        <n v="162115"/>
        <n v="161514"/>
        <n v="111123"/>
        <n v="102401"/>
        <n v="143373"/>
        <n v="126836"/>
        <n v="1272"/>
        <n v="927"/>
        <n v="7755"/>
        <n v="73419"/>
        <n v="82549"/>
        <n v="35596"/>
        <n v="91619"/>
        <n v="37642"/>
        <n v="38468"/>
        <n v="12473"/>
        <n v="63861"/>
        <n v="52790"/>
        <n v="65461"/>
        <n v="52262"/>
        <n v="59208"/>
        <n v="8863"/>
        <n v="33500"/>
        <n v="41972"/>
        <n v="48788"/>
        <n v="40691"/>
        <n v="37168"/>
        <n v="35868"/>
        <n v="45598"/>
        <n v="40018"/>
        <n v="24635"/>
        <n v="34812"/>
        <n v="25278"/>
        <n v="30613"/>
        <n v="19852"/>
        <n v="28775"/>
        <n v="20005"/>
        <n v="10834"/>
        <n v="9448"/>
        <n v="9074"/>
        <n v="14134"/>
        <n v="10905"/>
        <n v="12702"/>
        <n v="4796"/>
        <n v="11651"/>
        <n v="4233"/>
        <n v="10735"/>
        <n v="10695"/>
        <n v="10004"/>
        <n v="7647"/>
        <n v="7912"/>
        <n v="8191"/>
        <n v="7610"/>
        <n v="7013"/>
        <n v="1878"/>
        <n v="5338"/>
        <n v="5212"/>
        <n v="1299"/>
        <n v="2707"/>
        <n v="4818"/>
        <n v="508"/>
        <n v="4198"/>
        <n v="3987"/>
        <n v="4045"/>
        <n v="3510"/>
        <n v="3822"/>
        <n v="2315"/>
        <n v="342"/>
        <n v="3108"/>
        <n v="2607"/>
        <n v="3081"/>
        <n v="1423"/>
        <n v="2511"/>
        <n v="2323"/>
        <n v="2507"/>
        <n v="993"/>
        <n v="2068"/>
        <n v="1295"/>
        <n v="1067"/>
        <n v="1259"/>
        <n v="1196"/>
        <n v="1115"/>
        <n v="1046"/>
        <n v="731"/>
        <n v="752"/>
        <n v="400"/>
        <n v="236"/>
        <n v="49544"/>
        <n v="17637"/>
        <n v="84356"/>
        <n v="37478"/>
        <n v="18590"/>
        <n v="316662"/>
        <n v="223142"/>
        <n v="218331"/>
        <n v="98702"/>
        <n v="31910"/>
        <n v="50885"/>
        <n v="48502"/>
        <n v="36290"/>
        <n v="34677"/>
        <n v="27453"/>
        <n v="648294"/>
        <n v="793"/>
        <n v="3267"/>
        <n v="1207220"/>
        <n v="1125422"/>
        <n v="908048"/>
        <n v="964"/>
        <n v="65667"/>
        <n v="568462"/>
        <n v="377894"/>
        <n v="406794"/>
        <n v="372001"/>
        <n v="37263"/>
        <n v="328832"/>
        <n v="324992"/>
        <n v="34511"/>
        <n v="48143"/>
        <n v="316545"/>
        <n v="295859"/>
        <n v="231115"/>
        <n v="72940"/>
        <n v="184990"/>
        <n v="47181"/>
        <n v="147605"/>
        <n v="36280"/>
        <n v="62288"/>
        <n v="57906"/>
        <n v="6071"/>
        <n v="81356"/>
        <n v="101724"/>
        <n v="98818"/>
        <n v="844"/>
        <n v="100138"/>
        <n v="31440"/>
        <n v="70237"/>
        <n v="33894"/>
        <n v="83887"/>
        <n v="73879"/>
        <n v="68729"/>
        <n v="68354"/>
        <n v="63823"/>
        <n v="10681"/>
        <n v="41649"/>
        <n v="1129"/>
        <n v="41048"/>
        <n v="43154"/>
        <n v="2574"/>
        <n v="17826"/>
        <n v="26656"/>
        <n v="7869"/>
        <n v="32475"/>
        <n v="28796"/>
        <n v="27907"/>
        <n v="4933"/>
        <n v="5181"/>
        <n v="13460"/>
        <n v="18201"/>
        <n v="25325"/>
        <n v="24684"/>
        <n v="2748"/>
        <n v="15057"/>
        <n v="16362"/>
        <n v="14660"/>
        <n v="8740"/>
        <n v="14095"/>
        <n v="16665"/>
        <n v="8489"/>
        <n v="13450"/>
        <n v="13775"/>
        <n v="10619"/>
        <n v="12076"/>
        <n v="11267"/>
        <n v="9559"/>
        <n v="8134"/>
        <n v="8318"/>
        <n v="8762"/>
        <n v="4368"/>
        <n v="3708"/>
        <n v="7924"/>
        <n v="5219"/>
        <n v="2904"/>
        <n v="1942"/>
        <n v="2448"/>
        <n v="2348"/>
        <n v="1998"/>
        <n v="4898"/>
        <n v="3103"/>
        <n v="2519"/>
        <n v="411"/>
        <n v="658"/>
        <n v="2893"/>
        <n v="1870"/>
        <n v="843"/>
        <n v="1180"/>
        <n v="1392"/>
        <n v="955"/>
        <n v="1421"/>
        <n v="747"/>
        <n v="668"/>
        <n v="135"/>
        <n v="548"/>
        <n v="790"/>
        <n v="649"/>
        <n v="424"/>
        <n v="4493"/>
        <n v="15997"/>
        <n v="9197"/>
        <n v="5896"/>
        <n v="4612564"/>
        <n v="773877"/>
        <n v="263267"/>
        <n v="1550061"/>
        <n v="173240"/>
        <n v="73485"/>
        <n v="482838"/>
        <n v="541974"/>
        <n v="29779"/>
        <n v="414313"/>
        <n v="407857"/>
        <n v="384488"/>
        <n v="332270"/>
        <n v="155244"/>
        <n v="14779"/>
        <n v="34360"/>
        <n v="147616"/>
        <n v="133777"/>
        <n v="9210"/>
        <n v="58912"/>
        <n v="55469"/>
        <n v="12036"/>
        <n v="53242"/>
        <n v="47932"/>
        <n v="50096"/>
        <n v="7673"/>
        <n v="23600"/>
        <n v="17598"/>
        <n v="7055"/>
        <n v="6035"/>
        <n v="3937"/>
        <n v="273"/>
        <n v="3553"/>
        <n v="5030"/>
        <n v="1852"/>
        <n v="2962"/>
        <n v="4638"/>
        <n v="3053"/>
        <n v="3139"/>
        <n v="1884"/>
        <n v="331"/>
        <n v="387"/>
        <n v="996"/>
        <n v="1165"/>
        <n v="377"/>
        <n v="355"/>
        <n v="210"/>
        <n v="149"/>
        <n v="24718"/>
        <n v="6244840"/>
        <n v="3705514"/>
        <n v="140799"/>
        <n v="12175"/>
        <n v="2037648"/>
        <n v="5775"/>
        <n v="4322002"/>
        <n v="3440054"/>
        <n v="2166065"/>
        <n v="2109271"/>
        <n v="14986"/>
        <n v="996027"/>
        <n v="122155"/>
        <n v="619935"/>
        <n v="1452632"/>
        <n v="3307"/>
        <n v="1542081"/>
        <n v="999323"/>
        <n v="212637"/>
        <n v="166297"/>
        <n v="450196"/>
        <n v="311185"/>
        <n v="58091"/>
        <n v="371533"/>
        <n v="281618"/>
        <n v="368183"/>
        <n v="10277"/>
        <n v="7464"/>
        <n v="304687"/>
        <n v="172454"/>
        <n v="38894"/>
        <n v="121254"/>
        <n v="16196"/>
        <n v="79661"/>
        <n v="85112"/>
        <n v="4721"/>
        <n v="17702"/>
        <n v="35898"/>
        <n v="25147"/>
        <n v="57772"/>
        <n v="58909"/>
        <n v="12163"/>
        <n v="2979"/>
        <n v="13752"/>
        <n v="5236"/>
        <n v="8460"/>
        <n v="4643"/>
        <n v="4497"/>
        <n v="2864"/>
        <n v="607"/>
        <n v="588"/>
        <n v="45746"/>
        <n v="1378310"/>
        <n v="767618"/>
        <n v="117436"/>
        <n v="244746"/>
        <n v="199453"/>
        <n v="36122"/>
        <n v="144000"/>
        <n v="142209"/>
        <n v="126777"/>
        <n v="74310"/>
        <n v="73504"/>
        <n v="71813"/>
        <n v="56193"/>
        <n v="34675"/>
        <n v="32289"/>
        <n v="20680"/>
        <n v="25633"/>
        <n v="24900"/>
        <n v="24141"/>
        <n v="16727"/>
        <n v="12068"/>
        <n v="8356"/>
        <n v="7956"/>
        <n v="6120"/>
        <n v="5522"/>
        <n v="5241"/>
        <n v="3395"/>
        <n v="3197"/>
        <n v="3113"/>
        <n v="2648"/>
        <n v="2098"/>
        <n v="1715"/>
        <n v="606"/>
        <n v="554"/>
        <n v="1390985"/>
        <n v="209"/>
        <n v="17102"/>
        <n v="1175"/>
        <n v="415714"/>
        <n v="751043"/>
        <n v="42685"/>
        <n v="587305"/>
        <n v="43888"/>
        <n v="566619"/>
        <n v="510832"/>
        <n v="496723"/>
        <n v="3609"/>
        <n v="351631"/>
        <n v="357563"/>
        <n v="26648"/>
        <n v="49744"/>
        <n v="15164"/>
        <n v="83277"/>
        <n v="9624"/>
        <n v="27169"/>
        <n v="202007"/>
        <n v="15598"/>
        <n v="9627"/>
        <n v="69806"/>
        <n v="3253"/>
        <n v="35235"/>
        <n v="105228"/>
        <n v="1324"/>
        <n v="83990"/>
        <n v="47833"/>
        <n v="49188"/>
        <n v="50226"/>
        <n v="62566"/>
        <n v="65003"/>
        <n v="1260"/>
        <n v="6422"/>
        <n v="52354"/>
        <n v="10723"/>
        <n v="23277"/>
        <n v="32175"/>
        <n v="37198"/>
        <n v="32687"/>
        <n v="3257"/>
        <n v="3586"/>
        <n v="33735"/>
        <n v="21731"/>
        <n v="4369"/>
        <n v="24725"/>
        <n v="7493"/>
        <n v="14873"/>
        <n v="786"/>
        <n v="10458"/>
        <n v="13964"/>
        <n v="5859"/>
        <n v="9849"/>
        <n v="11208"/>
        <n v="11172"/>
        <n v="2316"/>
        <n v="10087"/>
        <n v="8357"/>
        <n v="7049"/>
        <n v="6135"/>
        <n v="8277"/>
        <n v="8083"/>
        <n v="6526"/>
        <n v="2673"/>
        <n v="7808"/>
        <n v="7164"/>
        <n v="2193"/>
        <n v="6223"/>
        <n v="5400"/>
        <n v="3494"/>
        <n v="4551"/>
        <n v="4201"/>
        <n v="3792"/>
        <n v="3602"/>
        <n v="3291"/>
        <n v="323"/>
        <n v="1725"/>
        <n v="1459"/>
        <n v="1309"/>
        <n v="1233"/>
        <n v="802"/>
        <n v="300"/>
        <n v="301"/>
        <n v="365"/>
        <n v="366"/>
        <n v="266"/>
        <n v="20392"/>
        <n v="18041"/>
        <n v="115664"/>
        <n v="2357919"/>
        <n v="42827"/>
        <n v="1145947"/>
        <n v="919405"/>
        <n v="714733"/>
        <n v="581087"/>
        <n v="509"/>
        <n v="489548"/>
        <n v="283899"/>
        <n v="11187"/>
        <n v="162198"/>
        <n v="147988"/>
        <n v="26553"/>
        <n v="172781"/>
        <n v="158568"/>
        <n v="151180"/>
        <n v="146593"/>
        <n v="31404"/>
        <n v="77743"/>
        <n v="69963"/>
        <n v="63228"/>
        <n v="57504"/>
        <n v="53339"/>
        <n v="43220"/>
        <n v="51231"/>
        <n v="37154"/>
        <n v="43049"/>
        <n v="39133"/>
        <n v="1869"/>
        <n v="31420"/>
        <n v="24893"/>
        <n v="28457"/>
        <n v="27878"/>
        <n v="4503"/>
        <n v="13756"/>
        <n v="17731"/>
        <n v="2210"/>
        <n v="11214"/>
        <n v="13118"/>
        <n v="9536"/>
        <n v="5916"/>
        <n v="6763"/>
        <n v="6772"/>
        <n v="5008"/>
        <n v="4928"/>
        <n v="4691"/>
        <n v="2991"/>
        <n v="502"/>
        <n v="2539"/>
        <n v="1628"/>
        <n v="412"/>
        <n v="1483"/>
        <n v="823"/>
        <n v="1336"/>
        <n v="897"/>
        <n v="630"/>
        <n v="298"/>
        <n v="6520328"/>
        <n v="1434120"/>
        <n v="6757"/>
        <n v="407667"/>
        <n v="22179"/>
        <n v="857"/>
        <n v="22967"/>
        <n v="13078"/>
        <n v="13094"/>
        <n v="23380"/>
        <n v="1990"/>
        <n v="4704"/>
        <n v="773"/>
        <n v="6089"/>
        <n v="3238"/>
        <n v="1722"/>
        <n v="1749"/>
        <n v="131794"/>
        <n v="250714"/>
        <n v="296407"/>
        <n v="284730"/>
        <n v="26944"/>
        <n v="108406"/>
        <n v="76831"/>
        <n v="19393"/>
        <n v="75834"/>
        <n v="71839"/>
        <n v="65739"/>
        <n v="30313"/>
        <n v="34721"/>
        <n v="23039"/>
        <n v="5177"/>
        <n v="4750"/>
        <n v="3314"/>
        <n v="2541"/>
        <n v="3435"/>
        <n v="129497"/>
        <n v="29599"/>
        <n v="24881"/>
        <n v="20237"/>
        <n v="3474"/>
        <n v="693"/>
        <n v="1740"/>
        <n v="373"/>
        <n v="1073946"/>
        <n v="271905"/>
        <n v="632941"/>
        <n v="3986"/>
        <n v="41997"/>
        <n v="11105"/>
        <n v="8679"/>
        <n v="3299"/>
        <n v="686"/>
        <n v="650"/>
        <n v="302"/>
        <n v="19677"/>
        <n v="4866"/>
        <n v="732"/>
        <n v="677"/>
        <n v="144"/>
        <n v="6584"/>
        <n v="149559"/>
        <n v="2077088"/>
        <n v="23769"/>
        <n v="1297252"/>
        <n v="96781"/>
        <n v="35501"/>
        <n v="2002"/>
        <n v="681813"/>
        <n v="1003305"/>
        <n v="916345"/>
        <n v="920603"/>
        <n v="808079"/>
        <n v="727489"/>
        <n v="788361"/>
        <n v="370761"/>
        <n v="453737"/>
        <n v="302613"/>
        <n v="182762"/>
        <n v="1275"/>
        <n v="315778"/>
        <n v="16454"/>
        <n v="309360"/>
        <n v="487100"/>
        <n v="28845"/>
        <n v="214687"/>
        <n v="9005"/>
        <n v="40507"/>
        <n v="93095"/>
        <n v="98785"/>
        <n v="166246"/>
        <n v="141065"/>
        <n v="3955"/>
        <n v="2069"/>
        <n v="147829"/>
        <n v="206260"/>
        <n v="199444"/>
        <n v="124973"/>
        <n v="131173"/>
        <n v="109622"/>
        <n v="33117"/>
        <n v="142408"/>
        <n v="151855"/>
        <n v="155082"/>
        <n v="146134"/>
        <n v="116925"/>
        <n v="82492"/>
        <n v="87438"/>
        <n v="50341"/>
        <n v="106581"/>
        <n v="82464"/>
        <n v="76605"/>
        <n v="106617"/>
        <n v="99215"/>
        <n v="67076"/>
        <n v="43048"/>
        <n v="88281"/>
        <n v="95155"/>
        <n v="77049"/>
        <n v="79337"/>
        <n v="9266"/>
        <n v="76393"/>
        <n v="1987"/>
        <n v="32874"/>
        <n v="43039"/>
        <n v="13198"/>
        <n v="70748"/>
        <n v="58156"/>
        <n v="67218"/>
        <n v="64468"/>
        <n v="15140"/>
        <n v="11146"/>
        <n v="49349"/>
        <n v="48119"/>
        <n v="33473"/>
        <n v="46653"/>
        <n v="31251"/>
        <n v="30454"/>
        <n v="26341"/>
        <n v="40854"/>
        <n v="34602"/>
        <n v="35999"/>
        <n v="23922"/>
        <n v="2078"/>
        <n v="31593"/>
        <n v="22046"/>
        <n v="7450"/>
        <n v="25509"/>
        <n v="23190"/>
        <n v="6567"/>
        <n v="10219"/>
        <n v="5224"/>
        <n v="17411"/>
        <n v="6908"/>
        <n v="15823"/>
        <n v="12808"/>
        <n v="4858"/>
        <n v="3453"/>
        <n v="3218"/>
        <n v="8181"/>
        <n v="2392"/>
        <n v="3376"/>
        <n v="577"/>
        <n v="2154"/>
        <n v="3025"/>
        <n v="3900"/>
        <n v="1439"/>
        <n v="2861"/>
        <n v="2165"/>
        <n v="854"/>
        <n v="184"/>
        <n v="269"/>
        <n v="1496229"/>
        <n v="1019665"/>
        <n v="563767"/>
        <n v="293693"/>
        <n v="477962"/>
        <n v="450324"/>
        <n v="198659"/>
        <n v="30992"/>
        <n v="73477"/>
        <n v="70400"/>
        <n v="68072"/>
        <n v="58583"/>
        <n v="44203"/>
        <n v="41736"/>
        <n v="8156"/>
        <n v="15247"/>
        <n v="13962"/>
        <n v="13339"/>
        <n v="12462"/>
        <n v="10962"/>
        <n v="9936"/>
        <n v="6967"/>
        <n v="6695"/>
        <n v="2112"/>
        <n v="5454"/>
        <n v="1094"/>
        <n v="1276"/>
        <n v="2406"/>
        <n v="2407"/>
        <n v="2071"/>
        <n v="491"/>
        <n v="1376"/>
        <n v="858"/>
        <n v="969"/>
        <n v="837"/>
        <n v="568"/>
        <n v="326"/>
        <n v="460"/>
        <n v="619679"/>
        <n v="391399"/>
        <n v="27147"/>
        <n v="282029"/>
        <n v="4590"/>
        <n v="113267"/>
        <n v="56783"/>
        <n v="143314"/>
        <n v="139423"/>
        <n v="121804"/>
        <n v="79420"/>
        <n v="119354"/>
        <n v="114719"/>
        <n v="64162"/>
        <n v="120421"/>
        <n v="69919"/>
        <n v="102306"/>
        <n v="79212"/>
        <n v="59922"/>
        <n v="27469"/>
        <n v="60918"/>
        <n v="33783"/>
        <n v="60857"/>
        <n v="63981"/>
        <n v="57258"/>
        <n v="48992"/>
        <n v="20049"/>
        <n v="5099"/>
        <n v="49178"/>
        <n v="49416"/>
        <n v="1441"/>
        <n v="30355"/>
        <n v="35728"/>
        <n v="25657"/>
        <n v="32138"/>
        <n v="20616"/>
        <n v="17159"/>
        <n v="27283"/>
        <n v="17715"/>
        <n v="22988"/>
        <n v="20932"/>
        <n v="8926"/>
        <n v="7444"/>
        <n v="8376"/>
        <n v="17125"/>
        <n v="12766"/>
        <n v="15527"/>
        <n v="3995"/>
        <n v="398"/>
        <n v="948"/>
        <n v="4989"/>
        <n v="2235"/>
        <n v="5225"/>
        <n v="10387"/>
        <n v="5586"/>
        <n v="7947"/>
        <n v="7522"/>
        <n v="7320"/>
        <n v="6228"/>
        <n v="2754"/>
        <n v="5617"/>
        <n v="3092"/>
        <n v="4072"/>
        <n v="1330"/>
        <n v="2763"/>
        <n v="3134"/>
        <n v="1661"/>
        <n v="2469"/>
        <n v="2713"/>
        <n v="2074"/>
        <n v="1721"/>
        <n v="1277"/>
        <n v="462"/>
        <n v="763"/>
        <n v="776351"/>
        <n v="637060"/>
        <n v="87338"/>
        <n v="28010"/>
        <n v="3141"/>
        <n v="601"/>
        <m/>
      </sharedItems>
    </cacheField>
    <cacheField name="EXPORTS" numFmtId="0">
      <sharedItems containsString="0" containsBlank="1" containsNumber="1" containsInteger="1" minValue="0" maxValue="91095044" count="2961">
        <n v="0"/>
        <n v="106511"/>
        <n v="358616"/>
        <n v="71305"/>
        <n v="209545"/>
        <n v="77805"/>
        <n v="41578"/>
        <n v="11568"/>
        <n v="8387"/>
        <n v="4410"/>
        <n v="3326"/>
        <n v="1653"/>
        <n v="129"/>
        <n v="19842"/>
        <n v="47000"/>
        <n v="15870833"/>
        <n v="475559"/>
        <n v="99827"/>
        <n v="3035"/>
        <n v="828239"/>
        <n v="52"/>
        <n v="234807"/>
        <n v="88"/>
        <n v="31517"/>
        <n v="1282"/>
        <n v="2904"/>
        <n v="59"/>
        <n v="125902"/>
        <n v="288156"/>
        <n v="11214"/>
        <n v="45419"/>
        <n v="2146"/>
        <n v="387"/>
        <n v="5559"/>
        <n v="48933"/>
        <n v="22037"/>
        <n v="41550"/>
        <n v="1426"/>
        <n v="55704"/>
        <n v="25619"/>
        <n v="120684"/>
        <n v="889"/>
        <n v="1153"/>
        <n v="26928"/>
        <n v="179682"/>
        <n v="32006"/>
        <n v="72553"/>
        <n v="3117"/>
        <n v="3283"/>
        <n v="62163"/>
        <n v="29180"/>
        <n v="12320"/>
        <n v="123519"/>
        <n v="1778"/>
        <n v="2546"/>
        <n v="3049"/>
        <n v="927"/>
        <n v="69203"/>
        <n v="24006"/>
        <n v="2341"/>
        <n v="22231"/>
        <n v="85348"/>
        <n v="3672"/>
        <n v="1716"/>
        <n v="1795"/>
        <n v="26583"/>
        <n v="619"/>
        <n v="422"/>
        <n v="44302"/>
        <n v="904"/>
        <n v="1832"/>
        <n v="2392"/>
        <n v="4951"/>
        <n v="32237"/>
        <n v="688"/>
        <n v="282"/>
        <n v="17485"/>
        <n v="9579"/>
        <n v="7522"/>
        <n v="84"/>
        <n v="19518"/>
        <n v="8727"/>
        <n v="46"/>
        <n v="397"/>
        <n v="779"/>
        <n v="177"/>
        <n v="23"/>
        <n v="5800"/>
        <n v="2124"/>
        <n v="267"/>
        <n v="8236"/>
        <n v="4565"/>
        <n v="9480"/>
        <n v="179"/>
        <n v="316"/>
        <n v="404"/>
        <n v="369"/>
        <n v="1030"/>
        <n v="486"/>
        <n v="1110"/>
        <n v="7674"/>
        <n v="6805"/>
        <n v="201"/>
        <n v="1317"/>
        <n v="157"/>
        <n v="6115"/>
        <n v="3144"/>
        <n v="1255"/>
        <n v="417"/>
        <n v="4018"/>
        <n v="923"/>
        <n v="181"/>
        <n v="1463"/>
        <n v="675"/>
        <n v="505"/>
        <n v="446"/>
        <n v="2349"/>
        <n v="1092"/>
        <n v="285"/>
        <n v="63"/>
        <n v="161"/>
        <n v="539"/>
        <n v="241"/>
        <n v="190"/>
        <n v="45"/>
        <n v="20"/>
        <n v="54"/>
        <n v="131"/>
        <n v="3"/>
        <n v="21"/>
        <n v="42"/>
        <n v="6"/>
        <n v="37"/>
        <n v="17"/>
        <n v="16"/>
        <n v="13548327"/>
        <n v="13594075"/>
        <n v="4886616"/>
        <n v="2450722"/>
        <n v="2632524"/>
        <n v="515065"/>
        <n v="843719"/>
        <n v="49499"/>
        <n v="106825"/>
        <n v="353892"/>
        <n v="316526"/>
        <n v="275134"/>
        <n v="59527"/>
        <n v="12521"/>
        <n v="193157"/>
        <n v="38757"/>
        <n v="3407"/>
        <n v="20764"/>
        <n v="33069"/>
        <n v="2469"/>
        <n v="12071"/>
        <n v="8929"/>
        <n v="3132"/>
        <n v="87"/>
        <n v="15916"/>
        <n v="26"/>
        <n v="335"/>
        <n v="117"/>
        <n v="601575"/>
        <n v="366576"/>
        <n v="302"/>
        <n v="7"/>
        <n v="1134"/>
        <n v="645"/>
        <n v="13006"/>
        <n v="5845"/>
        <n v="24415"/>
        <n v="67725"/>
        <n v="4537"/>
        <n v="20715"/>
        <n v="12616"/>
        <n v="856"/>
        <n v="3679"/>
        <n v="46736"/>
        <n v="34430"/>
        <n v="5164"/>
        <n v="736"/>
        <n v="15198"/>
        <n v="3708"/>
        <n v="4316"/>
        <n v="375"/>
        <n v="3369"/>
        <n v="1139"/>
        <n v="8784"/>
        <n v="1475"/>
        <n v="12870"/>
        <n v="1034"/>
        <n v="615"/>
        <n v="76"/>
        <n v="706"/>
        <n v="263"/>
        <n v="5979"/>
        <n v="877"/>
        <n v="1217"/>
        <n v="944"/>
        <n v="603"/>
        <n v="917"/>
        <n v="1382"/>
        <n v="3482"/>
        <n v="1242"/>
        <n v="33"/>
        <n v="322"/>
        <n v="154"/>
        <n v="158"/>
        <n v="71"/>
        <n v="475"/>
        <n v="551"/>
        <n v="1477"/>
        <n v="68"/>
        <n v="53"/>
        <n v="689"/>
        <n v="495"/>
        <n v="143"/>
        <n v="192"/>
        <n v="641"/>
        <n v="15"/>
        <n v="519"/>
        <n v="92"/>
        <n v="252"/>
        <n v="64"/>
        <n v="130"/>
        <n v="194"/>
        <n v="174"/>
        <n v="61"/>
        <n v="105"/>
        <n v="152"/>
        <n v="106"/>
        <n v="8"/>
        <n v="103"/>
        <n v="28"/>
        <n v="19"/>
        <n v="24"/>
        <n v="4"/>
        <n v="10"/>
        <n v="434185"/>
        <n v="9003"/>
        <n v="1758"/>
        <n v="391793"/>
        <n v="345842"/>
        <n v="296935"/>
        <n v="314593"/>
        <n v="14350"/>
        <n v="3307"/>
        <n v="79120"/>
        <n v="73"/>
        <n v="1543"/>
        <n v="8302"/>
        <n v="6602"/>
        <n v="810"/>
        <n v="1964"/>
        <n v="121"/>
        <n v="86"/>
        <n v="85"/>
        <n v="5"/>
        <n v="453"/>
        <n v="1229"/>
        <n v="7716"/>
        <n v="112"/>
        <n v="25"/>
        <n v="1436"/>
        <n v="104"/>
        <n v="204"/>
        <n v="1281"/>
        <n v="60"/>
        <n v="207"/>
        <n v="65"/>
        <n v="27"/>
        <n v="41"/>
        <n v="31"/>
        <n v="11"/>
        <n v="9"/>
        <n v="1"/>
        <n v="22046"/>
        <n v="243650"/>
        <n v="57760"/>
        <n v="15102"/>
        <n v="67"/>
        <n v="149871"/>
        <n v="23000"/>
        <n v="2"/>
        <n v="466508"/>
        <n v="2028000"/>
        <n v="104106"/>
        <n v="9313"/>
        <n v="3153"/>
        <n v="91095044"/>
        <n v="16549795"/>
        <n v="2196985"/>
        <n v="3306153"/>
        <n v="4044090"/>
        <n v="3586659"/>
        <n v="52985"/>
        <n v="193242"/>
        <n v="1086919"/>
        <n v="872685"/>
        <n v="1370380"/>
        <n v="863844"/>
        <n v="10239"/>
        <n v="536711"/>
        <n v="25533"/>
        <n v="30370"/>
        <n v="341086"/>
        <n v="34266"/>
        <n v="12292"/>
        <n v="67214"/>
        <n v="3317"/>
        <n v="41600"/>
        <n v="41617"/>
        <n v="6782"/>
        <n v="14300"/>
        <n v="13512"/>
        <n v="6976"/>
        <n v="2359"/>
        <n v="57023"/>
        <n v="26455"/>
        <n v="19882"/>
        <n v="4955367"/>
        <n v="426052"/>
        <n v="357623"/>
        <n v="95644"/>
        <n v="50532"/>
        <n v="20276"/>
        <n v="9485"/>
        <n v="45050"/>
        <n v="9552"/>
        <n v="6393"/>
        <n v="174707"/>
        <n v="444833"/>
        <n v="999971"/>
        <n v="728228"/>
        <n v="501293"/>
        <n v="419473"/>
        <n v="59593"/>
        <n v="251551"/>
        <n v="127211"/>
        <n v="8850"/>
        <n v="4153"/>
        <n v="14740"/>
        <n v="564"/>
        <n v="22504"/>
        <n v="92473"/>
        <n v="7976"/>
        <n v="3328"/>
        <n v="1432"/>
        <n v="81753"/>
        <n v="261"/>
        <n v="490"/>
        <n v="23299"/>
        <n v="45749"/>
        <n v="1203"/>
        <n v="18428"/>
        <n v="39246"/>
        <n v="37371"/>
        <n v="17311"/>
        <n v="176"/>
        <n v="22047"/>
        <n v="15746"/>
        <n v="4826"/>
        <n v="164"/>
        <n v="5727"/>
        <n v="40"/>
        <n v="1105"/>
        <n v="4726"/>
        <n v="4713"/>
        <n v="2946"/>
        <n v="1774"/>
        <n v="1779"/>
        <n v="749"/>
        <n v="1988"/>
        <n v="1521"/>
        <n v="260"/>
        <n v="39"/>
        <n v="360"/>
        <n v="420"/>
        <n v="340"/>
        <n v="187"/>
        <n v="247"/>
        <n v="264"/>
        <n v="22"/>
        <n v="77"/>
        <n v="55"/>
        <n v="1618110"/>
        <n v="19970"/>
        <n v="1587"/>
        <n v="6428"/>
        <n v="577"/>
        <n v="1102"/>
        <n v="575"/>
        <n v="1295"/>
        <n v="374"/>
        <n v="682"/>
        <n v="3696"/>
        <n v="2758"/>
        <n v="132"/>
        <n v="663"/>
        <n v="740"/>
        <n v="345"/>
        <n v="249"/>
        <n v="185"/>
        <n v="162"/>
        <n v="118"/>
        <n v="96"/>
        <n v="83"/>
        <n v="70"/>
        <n v="34"/>
        <n v="32"/>
        <n v="14"/>
        <n v="10310"/>
        <n v="11550"/>
        <n v="22210"/>
        <n v="2468"/>
        <n v="3103"/>
        <n v="960"/>
        <n v="969"/>
        <n v="320"/>
        <n v="89419"/>
        <n v="910"/>
        <n v="588"/>
        <n v="29969"/>
        <n v="946"/>
        <n v="113"/>
        <n v="1591"/>
        <n v="402"/>
        <n v="10669"/>
        <n v="5667"/>
        <n v="1862"/>
        <n v="1712"/>
        <n v="24191"/>
        <n v="30"/>
        <n v="816"/>
        <n v="11209"/>
        <n v="14641"/>
        <n v="12730"/>
        <n v="14399"/>
        <n v="6913"/>
        <n v="3440"/>
        <n v="4470"/>
        <n v="91"/>
        <n v="7029"/>
        <n v="1682"/>
        <n v="295"/>
        <n v="484"/>
        <n v="1797"/>
        <n v="57"/>
        <n v="44"/>
        <n v="172"/>
        <n v="136"/>
        <n v="89"/>
        <n v="145"/>
        <n v="18"/>
        <n v="137787"/>
        <n v="130265"/>
        <n v="28351192"/>
        <n v="10603286"/>
        <n v="27884011"/>
        <n v="12811254"/>
        <n v="7771740"/>
        <n v="800896"/>
        <n v="1669203"/>
        <n v="5504272"/>
        <n v="5037963"/>
        <n v="1734"/>
        <n v="2060637"/>
        <n v="3103748"/>
        <n v="320782"/>
        <n v="221664"/>
        <n v="2572810"/>
        <n v="367968"/>
        <n v="1819976"/>
        <n v="3023217"/>
        <n v="956108"/>
        <n v="368602"/>
        <n v="59332"/>
        <n v="2309345"/>
        <n v="90794"/>
        <n v="252571"/>
        <n v="1079373"/>
        <n v="51965"/>
        <n v="615747"/>
        <n v="582658"/>
        <n v="902003"/>
        <n v="256672"/>
        <n v="1263157"/>
        <n v="250501"/>
        <n v="16745"/>
        <n v="673732"/>
        <n v="232245"/>
        <n v="426086"/>
        <n v="484806"/>
        <n v="4499"/>
        <n v="13303"/>
        <n v="5194"/>
        <n v="230"/>
        <n v="645976"/>
        <n v="226735"/>
        <n v="80426"/>
        <n v="612464"/>
        <n v="6508"/>
        <n v="19197"/>
        <n v="348"/>
        <n v="97093"/>
        <n v="212294"/>
        <n v="357390"/>
        <n v="376195"/>
        <n v="92629"/>
        <n v="115810"/>
        <n v="41485"/>
        <n v="5626"/>
        <n v="108"/>
        <n v="187567"/>
        <n v="12779"/>
        <n v="70586"/>
        <n v="258535"/>
        <n v="119498"/>
        <n v="132610"/>
        <n v="27481"/>
        <n v="30347"/>
        <n v="48494"/>
        <n v="44866"/>
        <n v="179062"/>
        <n v="971"/>
        <n v="11946"/>
        <n v="10430"/>
        <n v="7377"/>
        <n v="39654"/>
        <n v="73761"/>
        <n v="8046"/>
        <n v="1562"/>
        <n v="50145"/>
        <n v="23180"/>
        <n v="84709"/>
        <n v="35543"/>
        <n v="98"/>
        <n v="339"/>
        <n v="21399"/>
        <n v="10451"/>
        <n v="81247"/>
        <n v="4081"/>
        <n v="36"/>
        <n v="695"/>
        <n v="26366"/>
        <n v="2432"/>
        <n v="4144"/>
        <n v="46901"/>
        <n v="50370"/>
        <n v="52396"/>
        <n v="45773"/>
        <n v="43100"/>
        <n v="11003"/>
        <n v="25565"/>
        <n v="586"/>
        <n v="19729"/>
        <n v="46634"/>
        <n v="1172"/>
        <n v="278"/>
        <n v="6100"/>
        <n v="6958"/>
        <n v="24683"/>
        <n v="20581"/>
        <n v="12629"/>
        <n v="424"/>
        <n v="10171"/>
        <n v="16596"/>
        <n v="6703"/>
        <n v="200"/>
        <n v="138"/>
        <n v="6090"/>
        <n v="48"/>
        <n v="6503"/>
        <n v="5971"/>
        <n v="1234"/>
        <n v="5448"/>
        <n v="1140"/>
        <n v="833"/>
        <n v="423"/>
        <n v="231"/>
        <n v="405"/>
        <n v="125"/>
        <n v="311442"/>
        <n v="14602"/>
        <n v="86211"/>
        <n v="21274"/>
        <n v="197881"/>
        <n v="202306"/>
        <n v="35071"/>
        <n v="54125"/>
        <n v="26383"/>
        <n v="12184"/>
        <n v="7666"/>
        <n v="8305"/>
        <n v="17886"/>
        <n v="1488"/>
        <n v="44238"/>
        <n v="114374"/>
        <n v="135"/>
        <n v="10742"/>
        <n v="2498"/>
        <n v="4193"/>
        <n v="10436"/>
        <n v="13805"/>
        <n v="90518"/>
        <n v="88116"/>
        <n v="7025"/>
        <n v="2271"/>
        <n v="2112"/>
        <n v="18789"/>
        <n v="9885"/>
        <n v="41873"/>
        <n v="5284"/>
        <n v="69060"/>
        <n v="1318"/>
        <n v="218"/>
        <n v="7630"/>
        <n v="20571"/>
        <n v="62"/>
        <n v="44843"/>
        <n v="2137"/>
        <n v="521"/>
        <n v="246"/>
        <n v="10506"/>
        <n v="2563"/>
        <n v="3605"/>
        <n v="954"/>
        <n v="883"/>
        <n v="25028"/>
        <n v="1709"/>
        <n v="5948"/>
        <n v="2157"/>
        <n v="4046"/>
        <n v="4189"/>
        <n v="436"/>
        <n v="1020"/>
        <n v="4614"/>
        <n v="445"/>
        <n v="2294"/>
        <n v="871"/>
        <n v="10026"/>
        <n v="10562"/>
        <n v="6314"/>
        <n v="499"/>
        <n v="964"/>
        <n v="2931"/>
        <n v="5135"/>
        <n v="2429"/>
        <n v="826"/>
        <n v="1693"/>
        <n v="1530"/>
        <n v="584"/>
        <n v="3028"/>
        <n v="425"/>
        <n v="1451"/>
        <n v="443"/>
        <n v="813"/>
        <n v="1638"/>
        <n v="1424"/>
        <n v="973"/>
        <n v="326"/>
        <n v="1198"/>
        <n v="918"/>
        <n v="198"/>
        <n v="298"/>
        <n v="126"/>
        <n v="50"/>
        <n v="56331"/>
        <n v="120058"/>
        <n v="54844"/>
        <n v="27807"/>
        <n v="3951"/>
        <n v="13239030"/>
        <n v="4196350"/>
        <n v="1678183"/>
        <n v="745326"/>
        <n v="1051515"/>
        <n v="1312696"/>
        <n v="73744"/>
        <n v="478848"/>
        <n v="57230"/>
        <n v="499919"/>
        <n v="35023"/>
        <n v="154687"/>
        <n v="2057"/>
        <n v="57477"/>
        <n v="418"/>
        <n v="31769"/>
        <n v="48286"/>
        <n v="17471"/>
        <n v="2342"/>
        <n v="266"/>
        <n v="28109"/>
        <n v="2214"/>
        <n v="1061"/>
        <n v="106621"/>
        <n v="48501"/>
        <n v="38309"/>
        <n v="450"/>
        <n v="82"/>
        <n v="4446"/>
        <n v="1747"/>
        <n v="151"/>
        <n v="43"/>
        <n v="49614"/>
        <n v="8885015"/>
        <n v="24059"/>
        <n v="35855"/>
        <n v="1000838"/>
        <n v="1146925"/>
        <n v="293324"/>
        <n v="54403"/>
        <n v="638531"/>
        <n v="598881"/>
        <n v="6494"/>
        <n v="366481"/>
        <n v="464"/>
        <n v="3857"/>
        <n v="6463"/>
        <n v="215283"/>
        <n v="126268"/>
        <n v="44820"/>
        <n v="222272"/>
        <n v="16639"/>
        <n v="1328"/>
        <n v="30627"/>
        <n v="20738"/>
        <n v="141422"/>
        <n v="23126"/>
        <n v="132413"/>
        <n v="143907"/>
        <n v="210"/>
        <n v="58914"/>
        <n v="9512"/>
        <n v="18670"/>
        <n v="93112"/>
        <n v="28190"/>
        <n v="128"/>
        <n v="35199"/>
        <n v="46832"/>
        <n v="62224"/>
        <n v="24647"/>
        <n v="37114"/>
        <n v="894"/>
        <n v="19684"/>
        <n v="22021"/>
        <n v="5061"/>
        <n v="175"/>
        <n v="14237"/>
        <n v="19323"/>
        <n v="69"/>
        <n v="16933"/>
        <n v="1723"/>
        <n v="802"/>
        <n v="4587"/>
        <n v="515"/>
        <n v="6619"/>
        <n v="66"/>
        <n v="5195"/>
        <n v="1831"/>
        <n v="4763"/>
        <n v="7278"/>
        <n v="7252"/>
        <n v="398"/>
        <n v="1116"/>
        <n v="248"/>
        <n v="4746"/>
        <n v="1505"/>
        <n v="2126"/>
        <n v="1310"/>
        <n v="188"/>
        <n v="149"/>
        <n v="366"/>
        <n v="1148"/>
        <n v="1309"/>
        <n v="137"/>
        <n v="144612"/>
        <n v="3755"/>
        <n v="2310"/>
        <n v="1377"/>
        <n v="94"/>
        <n v="22933"/>
        <n v="46000"/>
        <n v="348949"/>
        <n v="11927"/>
        <n v="7032106"/>
        <n v="2263730"/>
        <n v="4593050"/>
        <n v="7568"/>
        <n v="2979921"/>
        <n v="43944"/>
        <n v="16834"/>
        <n v="866227"/>
        <n v="556271"/>
        <n v="343209"/>
        <n v="154866"/>
        <n v="6858"/>
        <n v="31817"/>
        <n v="8748"/>
        <n v="175114"/>
        <n v="590020"/>
        <n v="387601"/>
        <n v="910497"/>
        <n v="1036"/>
        <n v="43707"/>
        <n v="408440"/>
        <n v="497354"/>
        <n v="178326"/>
        <n v="3495"/>
        <n v="22225"/>
        <n v="2475"/>
        <n v="15112"/>
        <n v="158481"/>
        <n v="220243"/>
        <n v="469"/>
        <n v="989"/>
        <n v="13521"/>
        <n v="150972"/>
        <n v="150"/>
        <n v="10330"/>
        <n v="299978"/>
        <n v="34886"/>
        <n v="517"/>
        <n v="3983"/>
        <n v="2512"/>
        <n v="326681"/>
        <n v="30829"/>
        <n v="86498"/>
        <n v="269056"/>
        <n v="58561"/>
        <n v="210332"/>
        <n v="153476"/>
        <n v="86578"/>
        <n v="63966"/>
        <n v="9940"/>
        <n v="101567"/>
        <n v="1440"/>
        <n v="7927"/>
        <n v="31498"/>
        <n v="20887"/>
        <n v="121130"/>
        <n v="426"/>
        <n v="2352"/>
        <n v="80323"/>
        <n v="4406"/>
        <n v="2228"/>
        <n v="33509"/>
        <n v="4709"/>
        <n v="68010"/>
        <n v="13368"/>
        <n v="75660"/>
        <n v="37404"/>
        <n v="20750"/>
        <n v="20112"/>
        <n v="6716"/>
        <n v="11088"/>
        <n v="24110"/>
        <n v="20598"/>
        <n v="30228"/>
        <n v="20664"/>
        <n v="7017"/>
        <n v="23086"/>
        <n v="10965"/>
        <n v="18174"/>
        <n v="11408"/>
        <n v="11851"/>
        <n v="879"/>
        <n v="520"/>
        <n v="1275"/>
        <n v="549"/>
        <n v="11020"/>
        <n v="5358"/>
        <n v="8574"/>
        <n v="2230"/>
        <n v="943"/>
        <n v="6259"/>
        <n v="628"/>
        <n v="3046"/>
        <n v="268"/>
        <n v="2051"/>
        <n v="836"/>
        <n v="775"/>
        <n v="315"/>
        <n v="79"/>
        <n v="123"/>
        <n v="98441"/>
        <n v="932006"/>
        <n v="30163"/>
        <n v="82952"/>
        <n v="815025"/>
        <n v="385514"/>
        <n v="1264507"/>
        <n v="2006157"/>
        <n v="48829"/>
        <n v="8226"/>
        <n v="2812398"/>
        <n v="302970"/>
        <n v="95596"/>
        <n v="1131"/>
        <n v="453667"/>
        <n v="242504"/>
        <n v="575434"/>
        <n v="8276"/>
        <n v="55559"/>
        <n v="178724"/>
        <n v="145386"/>
        <n v="119557"/>
        <n v="47731"/>
        <n v="206308"/>
        <n v="238242"/>
        <n v="210950"/>
        <n v="130236"/>
        <n v="46518"/>
        <n v="19089"/>
        <n v="634245"/>
        <n v="30175"/>
        <n v="45302"/>
        <n v="216542"/>
        <n v="379400"/>
        <n v="524334"/>
        <n v="30538"/>
        <n v="355627"/>
        <n v="2639"/>
        <n v="35118"/>
        <n v="7787"/>
        <n v="9364"/>
        <n v="5516"/>
        <n v="58000"/>
        <n v="412677"/>
        <n v="5232"/>
        <n v="127873"/>
        <n v="16986"/>
        <n v="15978"/>
        <n v="4968"/>
        <n v="68023"/>
        <n v="6522"/>
        <n v="3902"/>
        <n v="27506"/>
        <n v="10994"/>
        <n v="8108"/>
        <n v="1575"/>
        <n v="8856"/>
        <n v="1552"/>
        <n v="56481"/>
        <n v="145166"/>
        <n v="32214"/>
        <n v="45709"/>
        <n v="10009"/>
        <n v="58780"/>
        <n v="120579"/>
        <n v="25128"/>
        <n v="87164"/>
        <n v="10611"/>
        <n v="18689"/>
        <n v="8389"/>
        <n v="28162"/>
        <n v="24673"/>
        <n v="4513"/>
        <n v="50654"/>
        <n v="19412"/>
        <n v="12398"/>
        <n v="28718"/>
        <n v="3984"/>
        <n v="7417"/>
        <n v="3527"/>
        <n v="213"/>
        <n v="12947"/>
        <n v="7037"/>
        <n v="4459"/>
        <n v="13188"/>
        <n v="2253"/>
        <n v="11402"/>
        <n v="37073"/>
        <n v="6305"/>
        <n v="996"/>
        <n v="7895"/>
        <n v="5630"/>
        <n v="15009"/>
        <n v="1695"/>
        <n v="5753"/>
        <n v="7596"/>
        <n v="3663"/>
        <n v="1154"/>
        <n v="5816"/>
        <n v="502"/>
        <n v="3364"/>
        <n v="11059"/>
        <n v="5712"/>
        <n v="3446"/>
        <n v="7267"/>
        <n v="2338"/>
        <n v="1889"/>
        <n v="690"/>
        <n v="3174"/>
        <n v="595"/>
        <n v="3642"/>
        <n v="589"/>
        <n v="1093"/>
        <n v="748"/>
        <n v="413"/>
        <n v="712"/>
        <n v="547"/>
        <n v="470"/>
        <n v="233"/>
        <n v="114"/>
        <n v="72"/>
        <n v="12"/>
        <n v="17231"/>
        <n v="16582"/>
        <n v="2419"/>
        <n v="3996"/>
        <n v="3516"/>
        <n v="723"/>
        <n v="2579"/>
        <n v="2053"/>
        <n v="1573"/>
        <n v="1346"/>
        <n v="828"/>
        <n v="905"/>
        <n v="1033"/>
        <n v="992"/>
        <n v="829"/>
        <n v="380"/>
        <n v="841"/>
        <n v="674"/>
        <n v="665"/>
        <n v="251"/>
        <n v="226"/>
        <n v="140"/>
        <n v="189"/>
        <n v="183"/>
        <n v="167"/>
        <n v="134"/>
        <n v="110"/>
        <n v="107"/>
        <n v="49"/>
        <n v="35"/>
        <n v="13"/>
        <n v="67823"/>
        <n v="2488"/>
        <n v="14931"/>
        <n v="5965"/>
        <n v="4870"/>
        <n v="16868"/>
        <n v="16575"/>
        <n v="35044"/>
        <n v="35738"/>
        <n v="4660"/>
        <n v="38768"/>
        <n v="27813"/>
        <n v="5922"/>
        <n v="1000"/>
        <n v="12920"/>
        <n v="342"/>
        <n v="10316"/>
        <n v="1170"/>
        <n v="8291"/>
        <n v="3189"/>
        <n v="3988"/>
        <n v="2306"/>
        <n v="2314"/>
        <n v="471"/>
        <n v="1126"/>
        <n v="818"/>
        <n v="786"/>
        <n v="651"/>
        <n v="116"/>
        <n v="147"/>
        <n v="293"/>
        <n v="378"/>
        <n v="271"/>
        <n v="99"/>
        <n v="29"/>
        <n v="826501"/>
        <n v="223768"/>
        <n v="106322"/>
        <n v="119"/>
        <n v="2919"/>
        <n v="2289"/>
        <n v="5680"/>
        <n v="5997"/>
        <n v="11144"/>
        <n v="14659"/>
        <n v="8722"/>
        <n v="2162"/>
        <n v="6561"/>
        <n v="4591"/>
        <n v="4964"/>
        <n v="4912"/>
        <n v="483"/>
        <n v="235"/>
        <n v="1205"/>
        <n v="739"/>
        <n v="2366"/>
        <n v="2029"/>
        <n v="1655"/>
        <n v="1499"/>
        <n v="945"/>
        <n v="323"/>
        <n v="685"/>
        <n v="543"/>
        <n v="457"/>
        <n v="448"/>
        <n v="427"/>
        <n v="392"/>
        <n v="165"/>
        <n v="273"/>
        <n v="182"/>
        <n v="156"/>
        <n v="146"/>
        <n v="120"/>
        <n v="4470841"/>
        <n v="1571008"/>
        <n v="2319"/>
        <n v="430"/>
        <n v="129718"/>
        <n v="1848"/>
        <n v="1960"/>
        <n v="98307"/>
        <n v="109554"/>
        <n v="186"/>
        <n v="5039"/>
        <n v="7012"/>
        <n v="28487"/>
        <n v="37184"/>
        <n v="66500"/>
        <n v="532"/>
        <n v="51"/>
        <n v="1864"/>
        <n v="225683"/>
        <n v="62038"/>
        <n v="1077"/>
        <n v="46318"/>
        <n v="4659"/>
        <n v="7154"/>
        <n v="53732"/>
        <n v="13488"/>
        <n v="2492"/>
        <n v="27264"/>
        <n v="24737"/>
        <n v="336"/>
        <n v="504"/>
        <n v="21394"/>
        <n v="4733"/>
        <n v="8852"/>
        <n v="934"/>
        <n v="9625"/>
        <n v="19054"/>
        <n v="10159"/>
        <n v="6113"/>
        <n v="8181"/>
        <n v="10371"/>
        <n v="38110"/>
        <n v="1195"/>
        <n v="29306"/>
        <n v="9056"/>
        <n v="796"/>
        <n v="20095"/>
        <n v="56946"/>
        <n v="34532"/>
        <n v="511"/>
        <n v="19008"/>
        <n v="10352"/>
        <n v="27779"/>
        <n v="1675"/>
        <n v="3682"/>
        <n v="396"/>
        <n v="1049"/>
        <n v="9977"/>
        <n v="19073"/>
        <n v="11909"/>
        <n v="12030"/>
        <n v="1108"/>
        <n v="10699"/>
        <n v="1046"/>
        <n v="3938"/>
        <n v="17806"/>
        <n v="351"/>
        <n v="2801"/>
        <n v="751"/>
        <n v="1032"/>
        <n v="4435"/>
        <n v="722"/>
        <n v="6266"/>
        <n v="6091"/>
        <n v="2698"/>
        <n v="7682"/>
        <n v="3382"/>
        <n v="221"/>
        <n v="38"/>
        <n v="2261"/>
        <n v="2612"/>
        <n v="163"/>
        <n v="3123"/>
        <n v="312"/>
        <n v="350"/>
        <n v="728"/>
        <n v="2486"/>
        <n v="858"/>
        <n v="2963"/>
        <n v="2921"/>
        <n v="518"/>
        <n v="74"/>
        <n v="352"/>
        <n v="222"/>
        <n v="166"/>
        <n v="6084140"/>
        <n v="2276079"/>
        <n v="3794413"/>
        <n v="1478275"/>
        <n v="134083"/>
        <n v="1341269"/>
        <n v="1571651"/>
        <n v="969186"/>
        <n v="441220"/>
        <n v="557506"/>
        <n v="477593"/>
        <n v="43618"/>
        <n v="79753"/>
        <n v="17489"/>
        <n v="37556"/>
        <n v="61864"/>
        <n v="24263"/>
        <n v="45806"/>
        <n v="34335"/>
        <n v="7183"/>
        <n v="5857"/>
        <n v="44633"/>
        <n v="41971"/>
        <n v="16510"/>
        <n v="34172"/>
        <n v="13154"/>
        <n v="6187"/>
        <n v="2324"/>
        <n v="25074"/>
        <n v="6462"/>
        <n v="7358"/>
        <n v="5464"/>
        <n v="2476"/>
        <n v="2120"/>
        <n v="386"/>
        <n v="55226"/>
        <n v="5996111"/>
        <n v="3243096"/>
        <n v="5980290"/>
        <n v="66682"/>
        <n v="80938"/>
        <n v="102213"/>
        <n v="314234"/>
        <n v="100117"/>
        <n v="34199"/>
        <n v="313029"/>
        <n v="301524"/>
        <n v="300860"/>
        <n v="6636"/>
        <n v="52148"/>
        <n v="43874"/>
        <n v="1376"/>
        <n v="2626"/>
        <n v="3825"/>
        <n v="2641"/>
        <n v="334"/>
        <n v="155"/>
        <n v="10656"/>
        <n v="11646"/>
        <n v="55883"/>
        <n v="37445"/>
        <n v="433660"/>
        <n v="35729"/>
        <n v="316575"/>
        <n v="9880"/>
        <n v="4736"/>
        <n v="46356"/>
        <n v="231109"/>
        <n v="29073"/>
        <n v="174956"/>
        <n v="25243"/>
        <n v="153475"/>
        <n v="45438"/>
        <n v="109253"/>
        <n v="48273"/>
        <n v="87479"/>
        <n v="41332"/>
        <n v="97551"/>
        <n v="119273"/>
        <n v="86808"/>
        <n v="2750"/>
        <n v="23769"/>
        <n v="58794"/>
        <n v="66514"/>
        <n v="26753"/>
        <n v="81780"/>
        <n v="26178"/>
        <n v="2240"/>
        <n v="627"/>
        <n v="43552"/>
        <n v="38956"/>
        <n v="38826"/>
        <n v="531"/>
        <n v="11921"/>
        <n v="24910"/>
        <n v="7383"/>
        <n v="22348"/>
        <n v="4467"/>
        <n v="16447"/>
        <n v="1813"/>
        <n v="5738"/>
        <n v="21804"/>
        <n v="3128"/>
        <n v="8667"/>
        <n v="2725"/>
        <n v="25146"/>
        <n v="1788"/>
        <n v="3661"/>
        <n v="10252"/>
        <n v="13044"/>
        <n v="1472"/>
        <n v="1100"/>
        <n v="11498"/>
        <n v="2331"/>
        <n v="12666"/>
        <n v="2328"/>
        <n v="8525"/>
        <n v="3766"/>
        <n v="5765"/>
        <n v="1711"/>
        <n v="9076"/>
        <n v="805"/>
        <n v="7217"/>
        <n v="7531"/>
        <n v="1150"/>
        <n v="5825"/>
        <n v="4105"/>
        <n v="2718"/>
        <n v="1289"/>
        <n v="5335"/>
        <n v="2069"/>
        <n v="709"/>
        <n v="3648"/>
        <n v="2510"/>
        <n v="1901"/>
        <n v="1888"/>
        <n v="2542"/>
        <n v="2379"/>
        <n v="781"/>
        <n v="1390"/>
        <n v="1404"/>
        <n v="522"/>
        <n v="766"/>
        <n v="1188"/>
        <n v="371"/>
        <n v="1269"/>
        <n v="541"/>
        <n v="777"/>
        <n v="479"/>
        <n v="173"/>
        <n v="153"/>
        <n v="274"/>
        <n v="243"/>
        <n v="227"/>
        <n v="124"/>
        <n v="22203306"/>
        <n v="5299498"/>
        <n v="1072557"/>
        <n v="1037756"/>
        <n v="1095520"/>
        <n v="174578"/>
        <n v="679457"/>
        <n v="307203"/>
        <n v="48391"/>
        <n v="322775"/>
        <n v="1857"/>
        <n v="98511"/>
        <n v="20997"/>
        <n v="106158"/>
        <n v="20199"/>
        <n v="37648"/>
        <n v="19337"/>
        <n v="2234"/>
        <n v="14255"/>
        <n v="18814"/>
        <n v="3102"/>
        <n v="122"/>
        <n v="19055"/>
        <n v="18892"/>
        <n v="11874"/>
        <n v="683"/>
        <n v="11163"/>
        <n v="10334"/>
        <n v="2595"/>
        <n v="9082"/>
        <n v="2892"/>
        <n v="5844"/>
        <n v="1686"/>
        <n v="908"/>
        <n v="3915"/>
        <n v="757"/>
        <n v="3472"/>
        <n v="1998"/>
        <n v="1085"/>
        <n v="1056"/>
        <n v="851"/>
        <n v="433"/>
        <n v="159"/>
        <n v="109"/>
        <n v="78"/>
        <n v="148"/>
        <n v="142"/>
        <n v="95"/>
        <n v="11623"/>
        <n v="1966"/>
        <n v="195"/>
        <n v="399"/>
        <n v="386270"/>
        <n v="338584"/>
        <n v="14156"/>
        <n v="61091"/>
        <n v="60495"/>
        <n v="37862"/>
        <n v="22000"/>
        <n v="15984"/>
        <n v="15804"/>
        <n v="3395"/>
        <n v="2327"/>
        <n v="4280"/>
        <n v="621"/>
        <n v="3332"/>
        <n v="1212"/>
        <n v="764"/>
        <n v="290"/>
        <n v="407"/>
        <n v="432"/>
        <n v="715"/>
        <n v="297"/>
        <n v="1243653"/>
        <n v="719855"/>
        <n v="11634"/>
        <n v="264224"/>
        <n v="325812"/>
        <n v="168909"/>
        <n v="313567"/>
        <n v="1056942"/>
        <n v="69385"/>
        <n v="112377"/>
        <n v="442818"/>
        <n v="569751"/>
        <n v="266992"/>
        <n v="16716"/>
        <n v="334375"/>
        <n v="368204"/>
        <n v="17035"/>
        <n v="96697"/>
        <n v="20329"/>
        <n v="177596"/>
        <n v="8768"/>
        <n v="216398"/>
        <n v="3957"/>
        <n v="110449"/>
        <n v="46480"/>
        <n v="114277"/>
        <n v="88350"/>
        <n v="164412"/>
        <n v="237"/>
        <n v="58478"/>
        <n v="21832"/>
        <n v="12815"/>
        <n v="158522"/>
        <n v="593"/>
        <n v="50256"/>
        <n v="31576"/>
        <n v="617"/>
        <n v="48479"/>
        <n v="31680"/>
        <n v="73655"/>
        <n v="65838"/>
        <n v="6082"/>
        <n v="13173"/>
        <n v="32737"/>
        <n v="35470"/>
        <n v="29116"/>
        <n v="14234"/>
        <n v="25852"/>
        <n v="56665"/>
        <n v="8142"/>
        <n v="62029"/>
        <n v="2559"/>
        <n v="6051"/>
        <n v="16385"/>
        <n v="20454"/>
        <n v="10050"/>
        <n v="10419"/>
        <n v="39429"/>
        <n v="4357"/>
        <n v="1689"/>
        <n v="16975"/>
        <n v="3789"/>
        <n v="5042"/>
        <n v="16443"/>
        <n v="24274"/>
        <n v="2075"/>
        <n v="3831"/>
        <n v="14010"/>
        <n v="1043"/>
        <n v="1237"/>
        <n v="9102"/>
        <n v="3175"/>
        <n v="9744"/>
        <n v="13613"/>
        <n v="7853"/>
        <n v="12834"/>
        <n v="10572"/>
        <n v="4401"/>
        <n v="9369"/>
        <n v="926"/>
        <n v="613"/>
        <n v="2435"/>
        <n v="4218"/>
        <n v="488"/>
        <n v="1159"/>
        <n v="2115"/>
        <n v="1566"/>
        <n v="578"/>
        <n v="939"/>
        <n v="567"/>
        <n v="2671"/>
        <n v="2036"/>
        <n v="729"/>
        <n v="1796"/>
        <n v="1183"/>
        <n v="1095"/>
        <n v="217"/>
        <n v="257"/>
        <n v="197"/>
        <n v="4490"/>
        <n v="2021"/>
        <n v="21026"/>
        <n v="73324"/>
        <n v="835"/>
        <n v="23260"/>
        <n v="23021"/>
        <n v="761"/>
        <n v="13403"/>
        <n v="193"/>
        <n v="8013"/>
        <n v="4202"/>
        <n v="1728"/>
        <n v="900"/>
        <n v="6505"/>
        <n v="5227"/>
        <n v="4412"/>
        <n v="3208"/>
        <n v="440"/>
        <n v="2161"/>
        <n v="236"/>
        <n v="346"/>
        <n v="1576"/>
        <n v="1433"/>
        <n v="1301"/>
        <n v="1158"/>
        <n v="191"/>
        <n v="942"/>
        <n v="286"/>
        <n v="562"/>
        <n v="2360965"/>
        <n v="2692752"/>
        <n v="2455650"/>
        <n v="520113"/>
        <n v="27065"/>
        <n v="1517829"/>
        <n v="2408796"/>
        <n v="1495414"/>
        <n v="850302"/>
        <n v="862630"/>
        <n v="33526"/>
        <n v="327429"/>
        <n v="232333"/>
        <n v="73965"/>
        <n v="280626"/>
        <n v="1726984"/>
        <n v="49911"/>
        <n v="28005"/>
        <n v="390178"/>
        <n v="124731"/>
        <n v="344156"/>
        <n v="113824"/>
        <n v="231292"/>
        <n v="181079"/>
        <n v="103220"/>
        <n v="109185"/>
        <n v="128277"/>
        <n v="12463"/>
        <n v="13455"/>
        <n v="18709"/>
        <n v="10155"/>
        <n v="40247"/>
        <n v="6035"/>
        <n v="8243"/>
        <n v="4607"/>
        <n v="6322"/>
        <n v="9165"/>
        <n v="8203"/>
        <n v="2811"/>
        <n v="4161"/>
        <n v="2717"/>
        <n v="1612"/>
        <n v="1378"/>
        <n v="1182"/>
        <n v="8684"/>
        <n v="184866"/>
        <n v="66227"/>
        <n v="97853"/>
        <n v="47540"/>
        <n v="40558"/>
        <n v="4536"/>
        <n v="16012"/>
        <n v="15402"/>
        <n v="3747"/>
        <n v="11423"/>
        <n v="3611"/>
        <n v="5445"/>
        <n v="6572"/>
        <n v="6015"/>
        <n v="3751"/>
        <n v="1458"/>
        <n v="530"/>
        <n v="444"/>
        <n v="3222"/>
        <n v="1016"/>
        <n v="2920"/>
        <n v="2767"/>
        <n v="1396"/>
        <n v="1631"/>
        <n v="1665"/>
        <n v="1409"/>
        <n v="662"/>
        <n v="1089"/>
        <n v="1121"/>
        <n v="793"/>
        <n v="590"/>
        <n v="730"/>
        <n v="80"/>
        <n v="347"/>
        <n v="437"/>
        <n v="169"/>
        <n v="133"/>
        <n v="127"/>
        <n v="5357419"/>
        <n v="6322909"/>
        <n v="4654668"/>
        <n v="145505"/>
        <n v="11161"/>
        <n v="279"/>
        <n v="842573"/>
        <n v="4910766"/>
        <n v="82591"/>
        <n v="213411"/>
        <n v="126087"/>
        <n v="134560"/>
        <n v="87370"/>
        <n v="230465"/>
        <n v="329658"/>
        <n v="1865461"/>
        <n v="1770579"/>
        <n v="21058"/>
        <n v="1386"/>
        <n v="1179097"/>
        <n v="1323"/>
        <n v="320169"/>
        <n v="1017681"/>
        <n v="826529"/>
        <n v="152777"/>
        <n v="665564"/>
        <n v="610228"/>
        <n v="660446"/>
        <n v="537646"/>
        <n v="441577"/>
        <n v="320186"/>
        <n v="29022"/>
        <n v="84962"/>
        <n v="498625"/>
        <n v="15834"/>
        <n v="434518"/>
        <n v="36349"/>
        <n v="38816"/>
        <n v="109129"/>
        <n v="9455"/>
        <n v="68660"/>
        <n v="127035"/>
        <n v="7107"/>
        <n v="303235"/>
        <n v="4914"/>
        <n v="305453"/>
        <n v="4332"/>
        <n v="10984"/>
        <n v="2367"/>
        <n v="195066"/>
        <n v="117755"/>
        <n v="109662"/>
        <n v="72441"/>
        <n v="51198"/>
        <n v="3185"/>
        <n v="26355"/>
        <n v="11655"/>
        <n v="48229"/>
        <n v="9517"/>
        <n v="676"/>
        <n v="26190"/>
        <n v="5606"/>
        <n v="3432"/>
        <n v="6470"/>
        <n v="2195"/>
        <n v="1582"/>
        <n v="91264"/>
        <n v="12678"/>
        <n v="1745"/>
        <n v="1243"/>
        <n v="13875"/>
        <n v="10635"/>
        <n v="10472"/>
        <n v="15291"/>
        <n v="2783"/>
        <n v="825"/>
        <n v="17911"/>
        <n v="1194"/>
        <n v="6536"/>
        <n v="2077"/>
        <n v="3768"/>
        <n v="36376"/>
        <n v="11803"/>
        <n v="19769"/>
        <n v="4462"/>
        <n v="15223"/>
        <n v="8070"/>
        <n v="219"/>
        <n v="19565"/>
        <n v="13254"/>
        <n v="22249"/>
        <n v="19382"/>
        <n v="12291"/>
        <n v="20633"/>
        <n v="3214"/>
        <n v="6024"/>
        <n v="4111"/>
        <n v="291"/>
        <n v="822"/>
        <n v="4850"/>
        <n v="3985"/>
        <n v="1252"/>
        <n v="300"/>
        <n v="5282"/>
        <n v="414"/>
        <n v="2809"/>
        <n v="2292"/>
        <n v="2242"/>
        <n v="935"/>
        <n v="299"/>
        <n v="721"/>
        <n v="895"/>
        <n v="390"/>
        <n v="726"/>
        <n v="2867370"/>
        <n v="2856101"/>
        <n v="1430794"/>
        <n v="1551166"/>
        <n v="788814"/>
        <n v="683562"/>
        <n v="495263"/>
        <n v="228179"/>
        <n v="99841"/>
        <n v="45341"/>
        <n v="15213"/>
        <n v="17125"/>
        <n v="5172"/>
        <n v="553863"/>
        <n v="156035"/>
        <n v="214213"/>
        <n v="140221"/>
        <n v="175499"/>
        <n v="160157"/>
        <n v="213197"/>
        <n v="21093"/>
        <n v="217491"/>
        <n v="1672854"/>
        <n v="1563795"/>
        <n v="469612"/>
        <n v="1541431"/>
        <n v="1278902"/>
        <n v="245"/>
        <n v="1093954"/>
        <n v="1670"/>
        <n v="17391"/>
        <n v="747566"/>
        <n v="643830"/>
        <n v="166988"/>
        <n v="341157"/>
        <n v="14481"/>
        <n v="538912"/>
        <n v="445560"/>
        <n v="110252"/>
        <n v="5333"/>
        <n v="59853"/>
        <n v="130557"/>
        <n v="207429"/>
        <n v="150034"/>
        <n v="15258"/>
        <n v="2687"/>
        <n v="11513"/>
        <n v="50494"/>
        <n v="177088"/>
        <n v="132759"/>
        <n v="5597"/>
        <n v="240147"/>
        <n v="223923"/>
        <n v="96432"/>
        <n v="49797"/>
        <n v="2034"/>
        <n v="192886"/>
        <n v="8170"/>
        <n v="57272"/>
        <n v="3653"/>
        <n v="4577"/>
        <n v="14349"/>
        <n v="36713"/>
        <n v="23606"/>
        <n v="104176"/>
        <n v="20118"/>
        <n v="38496"/>
        <n v="847"/>
        <n v="38584"/>
        <n v="5280"/>
        <n v="9570"/>
        <n v="812"/>
        <n v="73393"/>
        <n v="42508"/>
        <n v="13942"/>
        <n v="75867"/>
        <n v="71477"/>
        <n v="18218"/>
        <n v="870"/>
        <n v="1801"/>
        <n v="19913"/>
        <n v="18025"/>
        <n v="47342"/>
        <n v="35488"/>
        <n v="2284"/>
        <n v="32099"/>
        <n v="20406"/>
        <n v="7656"/>
        <n v="1952"/>
        <n v="12495"/>
        <n v="12955"/>
        <n v="4841"/>
        <n v="7852"/>
        <n v="8970"/>
        <n v="22988"/>
        <n v="28723"/>
        <n v="1962"/>
        <n v="3077"/>
        <n v="28121"/>
        <n v="13536"/>
        <n v="5935"/>
        <n v="265"/>
        <n v="21123"/>
        <n v="3838"/>
        <n v="11055"/>
        <n v="9929"/>
        <n v="1484"/>
        <n v="638"/>
        <n v="9491"/>
        <n v="318"/>
        <n v="8924"/>
        <n v="8212"/>
        <n v="7437"/>
        <n v="1717"/>
        <n v="3587"/>
        <n v="3462"/>
        <n v="373"/>
        <n v="2712"/>
        <n v="938"/>
        <n v="406"/>
        <n v="1691"/>
        <n v="2514"/>
        <n v="442"/>
        <n v="489"/>
        <n v="115"/>
        <n v="75"/>
        <n v="192899"/>
        <n v="1624704"/>
        <n v="1498275"/>
        <n v="1152982"/>
        <n v="333098"/>
        <n v="903137"/>
        <n v="424318"/>
        <n v="46099"/>
        <n v="39380"/>
        <n v="16719"/>
        <n v="195877"/>
        <n v="62418"/>
        <n v="36403"/>
        <n v="404487"/>
        <n v="6515"/>
        <n v="204186"/>
        <n v="66161"/>
        <n v="344965"/>
        <n v="260301"/>
        <n v="11421"/>
        <n v="300979"/>
        <n v="50432"/>
        <n v="63450"/>
        <n v="108376"/>
        <n v="3365"/>
        <n v="6709"/>
        <n v="86869"/>
        <n v="2816"/>
        <n v="14689"/>
        <n v="3356"/>
        <n v="46235"/>
        <n v="12967"/>
        <n v="50031"/>
        <n v="12130"/>
        <n v="92733"/>
        <n v="896"/>
        <n v="55480"/>
        <n v="67487"/>
        <n v="5258"/>
        <n v="61861"/>
        <n v="66140"/>
        <n v="21002"/>
        <n v="65370"/>
        <n v="48196"/>
        <n v="13572"/>
        <n v="10373"/>
        <n v="13395"/>
        <n v="2100"/>
        <n v="17589"/>
        <n v="15532"/>
        <n v="2024"/>
        <n v="496"/>
        <n v="12789"/>
        <n v="15965"/>
        <n v="2117"/>
        <n v="337"/>
        <n v="11587"/>
        <n v="24351"/>
        <n v="6230"/>
        <n v="2836"/>
        <n v="4998"/>
        <n v="506"/>
        <n v="4601"/>
        <n v="9994"/>
        <n v="6529"/>
        <n v="4773"/>
        <n v="2210"/>
        <n v="632"/>
        <n v="1722"/>
        <n v="4857"/>
        <n v="1474"/>
        <n v="568"/>
        <n v="3243"/>
        <n v="2685"/>
        <n v="2250"/>
        <n v="2776"/>
        <n v="2166"/>
        <n v="558"/>
        <n v="2748"/>
        <n v="438"/>
        <n v="170"/>
        <n v="314"/>
        <n v="1072"/>
        <n v="1162"/>
        <n v="579"/>
        <n v="1044"/>
        <n v="97"/>
        <n v="308"/>
        <n v="763"/>
        <n v="56"/>
        <n v="605"/>
        <n v="478"/>
        <n v="764915"/>
        <n v="9837"/>
        <n v="7774"/>
        <n v="5891"/>
        <n v="200216"/>
        <n v="112018"/>
        <n v="130282"/>
        <n v="108238"/>
        <n v="96823"/>
        <n v="7117"/>
        <n v="83944"/>
        <n v="80232"/>
        <n v="8003"/>
        <n v="36195"/>
        <n v="56413"/>
        <n v="40670"/>
        <n v="37860"/>
        <n v="36182"/>
        <n v="32831"/>
        <n v="34839"/>
        <n v="30505"/>
        <n v="31887"/>
        <n v="31690"/>
        <n v="28344"/>
        <n v="21712"/>
        <n v="24933"/>
        <n v="28215"/>
        <n v="26306"/>
        <n v="14865"/>
        <n v="24242"/>
        <n v="23911"/>
        <n v="20694"/>
        <n v="3640"/>
        <n v="15312"/>
        <n v="1865"/>
        <n v="15589"/>
        <n v="3807"/>
        <n v="2171"/>
        <n v="11653"/>
        <n v="10774"/>
        <n v="11654"/>
        <n v="11093"/>
        <n v="11245"/>
        <n v="6936"/>
        <n v="8407"/>
        <n v="7115"/>
        <n v="5155"/>
        <n v="3181"/>
        <n v="6167"/>
        <n v="6550"/>
        <n v="5801"/>
        <n v="4671"/>
        <n v="4985"/>
        <n v="3776"/>
        <n v="2246"/>
        <n v="2680"/>
        <n v="3719"/>
        <n v="3870"/>
        <n v="3410"/>
        <n v="3234"/>
        <n v="493"/>
        <n v="2326"/>
        <n v="1625"/>
        <n v="976"/>
        <n v="1416"/>
        <n v="1333"/>
        <n v="1231"/>
        <n v="1394"/>
        <n v="1019"/>
        <n v="1185"/>
        <n v="319"/>
        <n v="957"/>
        <n v="843"/>
        <n v="698"/>
        <n v="866"/>
        <n v="754"/>
        <n v="434"/>
        <n v="514"/>
        <n v="461"/>
        <n v="330"/>
        <n v="327"/>
        <n v="280"/>
        <n v="141"/>
        <n v="47"/>
        <n v="2277301"/>
        <n v="1332670"/>
        <n v="554220"/>
        <n v="1959806"/>
        <n v="562406"/>
        <n v="91712"/>
        <n v="72224"/>
        <n v="43051"/>
        <n v="25177"/>
        <n v="9565"/>
        <n v="1798"/>
        <n v="4837"/>
        <n v="3700"/>
        <n v="2087"/>
        <n v="1401"/>
        <n v="1155"/>
        <n v="882"/>
        <n v="1213"/>
        <n v="9124"/>
        <n v="203"/>
        <n v="3359257"/>
        <n v="4012185"/>
        <n v="3182835"/>
        <n v="9268"/>
        <n v="197751"/>
        <n v="295632"/>
        <n v="215185"/>
        <n v="181188"/>
        <n v="111752"/>
        <n v="5457"/>
        <n v="26674"/>
        <n v="1681"/>
        <n v="23200"/>
        <n v="22044"/>
        <n v="305"/>
        <n v="289"/>
        <n v="11205"/>
        <n v="6221"/>
        <n v="3373"/>
        <n v="1732"/>
        <n v="1413"/>
        <n v="788"/>
        <n v="714"/>
        <n v="267188"/>
        <n v="44476"/>
        <n v="415"/>
        <n v="397188"/>
        <n v="2455677"/>
        <n v="203729"/>
        <n v="175616"/>
        <n v="2042701"/>
        <n v="1919650"/>
        <n v="1687506"/>
        <n v="243110"/>
        <n v="559703"/>
        <n v="82473"/>
        <n v="1460052"/>
        <n v="112415"/>
        <n v="102488"/>
        <n v="1339164"/>
        <n v="544973"/>
        <n v="1055710"/>
        <n v="82174"/>
        <n v="1004449"/>
        <n v="42725"/>
        <n v="1399"/>
        <n v="683859"/>
        <n v="474726"/>
        <n v="29140"/>
        <n v="196354"/>
        <n v="108640"/>
        <n v="45007"/>
        <n v="320957"/>
        <n v="17768"/>
        <n v="88202"/>
        <n v="18016"/>
        <n v="46373"/>
        <n v="204204"/>
        <n v="31648"/>
        <n v="8781"/>
        <n v="80883"/>
        <n v="27483"/>
        <n v="283"/>
        <n v="224816"/>
        <n v="1350"/>
        <n v="214777"/>
        <n v="2681"/>
        <n v="10637"/>
        <n v="510"/>
        <n v="24341"/>
        <n v="69889"/>
        <n v="37814"/>
        <n v="151614"/>
        <n v="79562"/>
        <n v="38188"/>
        <n v="124753"/>
        <n v="26603"/>
        <n v="9551"/>
        <n v="3213"/>
        <n v="26027"/>
        <n v="53440"/>
        <n v="3468"/>
        <n v="11531"/>
        <n v="17500"/>
        <n v="4811"/>
        <n v="807"/>
        <n v="40769"/>
        <n v="32894"/>
        <n v="4818"/>
        <n v="9678"/>
        <n v="57895"/>
        <n v="4840"/>
        <n v="8338"/>
        <n v="924"/>
        <n v="3712"/>
        <n v="9221"/>
        <n v="9688"/>
        <n v="37847"/>
        <n v="9659"/>
        <n v="12674"/>
        <n v="11663"/>
        <n v="26213"/>
        <n v="28916"/>
        <n v="2765"/>
        <n v="5562"/>
        <n v="4403"/>
        <n v="2739"/>
        <n v="2382"/>
        <n v="902"/>
        <n v="20582"/>
        <n v="8573"/>
        <n v="14430"/>
        <n v="614"/>
        <n v="790"/>
        <n v="1461"/>
        <n v="11135"/>
        <n v="4398"/>
        <n v="2048"/>
        <n v="6886"/>
        <n v="1730"/>
        <n v="256"/>
        <n v="2149"/>
        <n v="1840"/>
        <n v="1149"/>
        <n v="301"/>
        <n v="325"/>
        <n v="3084184"/>
        <n v="1566559"/>
        <n v="948538"/>
        <n v="471188"/>
        <n v="15384"/>
        <n v="196186"/>
        <n v="148373"/>
        <n v="111008"/>
        <n v="103753"/>
        <n v="50078"/>
        <n v="14040"/>
        <n v="1762"/>
        <n v="391480"/>
        <n v="26952"/>
        <n v="304185"/>
        <n v="62125"/>
        <n v="353077"/>
        <n v="74871"/>
        <n v="34942"/>
        <n v="76341"/>
        <n v="114219"/>
        <n v="20091"/>
        <n v="123924"/>
        <n v="211173"/>
        <n v="202772"/>
        <n v="57657"/>
        <n v="20805"/>
        <n v="66570"/>
        <n v="103703"/>
        <n v="151907"/>
        <n v="59411"/>
        <n v="39672"/>
        <n v="76879"/>
        <n v="6903"/>
        <n v="23118"/>
        <n v="5066"/>
        <n v="58597"/>
        <n v="612"/>
        <n v="28176"/>
        <n v="31144"/>
        <n v="5326"/>
        <n v="6362"/>
        <n v="33469"/>
        <n v="22433"/>
        <n v="25916"/>
        <n v="8081"/>
        <n v="12254"/>
        <n v="18086"/>
        <n v="20558"/>
        <n v="5054"/>
        <n v="12240"/>
        <n v="5298"/>
        <n v="6902"/>
        <n v="2667"/>
        <n v="3815"/>
        <n v="10840"/>
        <n v="15888"/>
        <n v="16130"/>
        <n v="1637"/>
        <n v="933"/>
        <n v="6343"/>
        <n v="10150"/>
        <n v="2297"/>
        <n v="8532"/>
        <n v="2599"/>
        <n v="9452"/>
        <n v="7810"/>
        <n v="2721"/>
        <n v="2074"/>
        <n v="1980"/>
        <n v="4022"/>
        <n v="3215"/>
        <n v="998"/>
        <n v="4129"/>
        <n v="5824"/>
        <n v="4240"/>
        <n v="4012"/>
        <n v="5377"/>
        <n v="2993"/>
        <n v="2940"/>
        <n v="1616"/>
        <n v="1369"/>
        <n v="660"/>
        <n v="3226"/>
        <n v="1517"/>
        <n v="849"/>
        <n v="1972"/>
        <n v="743"/>
        <n v="1560"/>
        <n v="1083"/>
        <n v="2574"/>
        <n v="548"/>
        <n v="2500"/>
        <n v="2045"/>
        <n v="372"/>
        <n v="1535"/>
        <n v="497"/>
        <n v="716"/>
        <n v="462"/>
        <n v="240"/>
        <n v="321"/>
        <n v="253"/>
        <n v="376"/>
        <n v="367"/>
        <n v="93"/>
        <n v="25944"/>
        <n v="26000"/>
        <n v="18949"/>
        <n v="241208"/>
        <n v="801654"/>
        <n v="837782"/>
        <n v="202351"/>
        <n v="415876"/>
        <n v="428399"/>
        <n v="322091"/>
        <n v="249258"/>
        <n v="276306"/>
        <n v="550"/>
        <n v="207412"/>
        <n v="30906"/>
        <n v="7663"/>
        <n v="6220"/>
        <n v="5245"/>
        <n v="24399"/>
        <n v="4279"/>
        <n v="128254"/>
        <n v="69424"/>
        <n v="218068"/>
        <n v="7235"/>
        <n v="707"/>
        <n v="2911"/>
        <n v="7511"/>
        <n v="344"/>
        <n v="746"/>
        <n v="720"/>
        <n v="4016"/>
        <n v="296"/>
        <n v="3194"/>
        <n v="196"/>
        <n v="1347"/>
        <n v="574"/>
        <n v="277"/>
        <n v="101"/>
        <n v="27803"/>
        <n v="49604"/>
        <n v="35494"/>
        <n v="13270"/>
        <n v="2554"/>
        <n v="868"/>
        <n v="363"/>
        <n v="353"/>
        <n v="66103"/>
        <n v="61119"/>
        <n v="8576"/>
        <n v="29075"/>
        <n v="24379"/>
        <n v="13358"/>
        <n v="2211"/>
        <n v="2307"/>
        <n v="3927"/>
        <n v="10224"/>
        <n v="2478"/>
        <n v="19502"/>
        <n v="8342"/>
        <n v="44204"/>
        <n v="5504"/>
        <n v="124940"/>
        <n v="107995"/>
        <n v="553"/>
        <n v="6521"/>
        <n v="2482"/>
        <n v="6767"/>
        <n v="2027"/>
        <n v="3412"/>
        <n v="7604"/>
        <n v="6466"/>
        <n v="5045"/>
        <n v="774"/>
        <n v="7932"/>
        <n v="3651"/>
        <n v="2522"/>
        <n v="610"/>
        <n v="2312"/>
        <n v="727"/>
        <n v="20186"/>
        <n v="857"/>
        <n v="5004"/>
        <n v="466"/>
        <n v="1825"/>
        <n v="250"/>
        <n v="1968"/>
        <n v="1316"/>
        <n v="2980"/>
        <n v="90"/>
        <n v="1184"/>
        <n v="160"/>
        <n v="359"/>
        <n v="572"/>
        <n v="1531"/>
        <n v="1857136"/>
        <n v="52359"/>
        <n v="31267"/>
        <n v="12125"/>
        <n v="27077"/>
        <n v="18828"/>
        <n v="2244100"/>
        <n v="1997288"/>
        <n v="129277"/>
        <n v="96517"/>
        <n v="789654"/>
        <n v="641914"/>
        <n v="44301"/>
        <n v="496119"/>
        <n v="36331"/>
        <n v="15856"/>
        <n v="358541"/>
        <n v="50716"/>
        <n v="33145"/>
        <n v="117515"/>
        <n v="263843"/>
        <n v="18994"/>
        <n v="12804"/>
        <n v="42779"/>
        <n v="77536"/>
        <n v="6813"/>
        <n v="140423"/>
        <n v="10257"/>
        <n v="147147"/>
        <n v="50992"/>
        <n v="161474"/>
        <n v="17382"/>
        <n v="8527"/>
        <n v="25346"/>
        <n v="27752"/>
        <n v="120672"/>
        <n v="18724"/>
        <n v="83874"/>
        <n v="29348"/>
        <n v="3466"/>
        <n v="1830"/>
        <n v="4742"/>
        <n v="8510"/>
        <n v="13966"/>
        <n v="2042"/>
        <n v="54492"/>
        <n v="21251"/>
        <n v="56201"/>
        <n v="59512"/>
        <n v="57323"/>
        <n v="17212"/>
        <n v="6854"/>
        <n v="44672"/>
        <n v="17206"/>
        <n v="3688"/>
        <n v="6708"/>
        <n v="29263"/>
        <n v="30334"/>
        <n v="13362"/>
        <n v="3474"/>
        <n v="8040"/>
        <n v="4305"/>
        <n v="5951"/>
        <n v="9282"/>
        <n v="3094"/>
        <n v="508"/>
        <n v="17086"/>
        <n v="1025"/>
        <n v="1892"/>
        <n v="633"/>
        <n v="604"/>
        <n v="713"/>
        <n v="8664"/>
        <n v="4110"/>
        <n v="4341"/>
        <n v="1672"/>
        <n v="3832"/>
        <n v="3149"/>
        <n v="1430"/>
        <n v="3639"/>
        <n v="658"/>
        <n v="1193"/>
        <n v="2985"/>
        <n v="1527"/>
        <n v="307"/>
        <n v="2080"/>
        <n v="1088"/>
        <n v="523"/>
        <n v="1022"/>
        <n v="431"/>
        <n v="58"/>
        <n v="941593"/>
        <n v="20933"/>
        <n v="17929"/>
        <n v="116416"/>
        <n v="29629"/>
        <n v="595843"/>
        <n v="11466"/>
        <n v="536"/>
        <n v="79915"/>
        <n v="3953"/>
        <n v="1890"/>
        <n v="1721"/>
        <n v="3757"/>
        <n v="2893"/>
        <n v="1516"/>
        <n v="13990"/>
        <n v="385"/>
        <n v="5311"/>
        <n v="1882"/>
        <n v="3070"/>
        <n v="1851"/>
        <n v="2015"/>
        <n v="1438"/>
        <n v="1769"/>
        <n v="1658"/>
        <n v="1071"/>
        <n v="1008"/>
        <n v="474"/>
        <n v="81"/>
        <n v="220"/>
        <n v="29029715"/>
        <n v="16801155"/>
        <n v="5967318"/>
        <n v="1825503"/>
        <n v="2678457"/>
        <n v="6461702"/>
        <n v="21558"/>
        <n v="4312261"/>
        <n v="3190"/>
        <n v="1605024"/>
        <n v="800139"/>
        <n v="52936"/>
        <n v="1269952"/>
        <n v="1562868"/>
        <n v="447631"/>
        <n v="10355"/>
        <n v="272332"/>
        <n v="742578"/>
        <n v="14346"/>
        <n v="80500"/>
        <n v="123039"/>
        <n v="366506"/>
        <n v="136235"/>
        <n v="162985"/>
        <n v="353804"/>
        <n v="49407"/>
        <n v="1137"/>
        <n v="156673"/>
        <n v="51755"/>
        <n v="35506"/>
        <n v="17938"/>
        <n v="37048"/>
        <n v="68890"/>
        <n v="6614"/>
        <n v="2547"/>
        <n v="27636"/>
        <n v="30313"/>
        <n v="2863"/>
        <n v="18739"/>
        <n v="7312"/>
        <n v="7285"/>
        <n v="4147"/>
        <n v="3320"/>
        <n v="370"/>
        <n v="1330"/>
        <n v="393"/>
        <n v="1351367"/>
        <n v="161599"/>
        <n v="132016"/>
        <n v="142084"/>
        <n v="50706"/>
        <n v="40400"/>
        <n v="38779"/>
        <n v="17256"/>
        <n v="3735076"/>
        <n v="284785"/>
        <n v="2227662"/>
        <n v="8679"/>
        <n v="1363923"/>
        <n v="629482"/>
        <n v="32975"/>
        <n v="658060"/>
        <n v="41086"/>
        <n v="555191"/>
        <n v="9573"/>
        <n v="26258"/>
        <n v="10216"/>
        <n v="379229"/>
        <n v="24921"/>
        <n v="8362"/>
        <n v="321205"/>
        <n v="37212"/>
        <n v="205211"/>
        <n v="5823"/>
        <n v="181256"/>
        <n v="19390"/>
        <n v="98192"/>
        <n v="136037"/>
        <n v="1939"/>
        <n v="126400"/>
        <n v="79464"/>
        <n v="6004"/>
        <n v="95055"/>
        <n v="13367"/>
        <n v="35125"/>
        <n v="4097"/>
        <n v="24530"/>
        <n v="4996"/>
        <n v="62216"/>
        <n v="5593"/>
        <n v="1388"/>
        <n v="10261"/>
        <n v="7129"/>
        <n v="8782"/>
        <n v="36816"/>
        <n v="30285"/>
        <n v="4404"/>
        <n v="12918"/>
        <n v="30125"/>
        <n v="4219"/>
        <n v="21478"/>
        <n v="16955"/>
        <n v="16670"/>
        <n v="16080"/>
        <n v="4909"/>
        <n v="703"/>
        <n v="1045"/>
        <n v="8431"/>
        <n v="3119"/>
        <n v="10302"/>
        <n v="1641"/>
        <n v="2493"/>
        <n v="3099"/>
        <n v="214"/>
        <n v="537"/>
        <n v="4474"/>
        <n v="1532"/>
        <n v="3762"/>
        <n v="3051"/>
        <n v="412"/>
        <n v="4100"/>
        <n v="2212"/>
        <n v="585"/>
        <n v="1288"/>
        <n v="294"/>
        <n v="408"/>
        <n v="111"/>
        <n v="10585"/>
        <n v="2106184"/>
        <n v="1818"/>
        <n v="263587"/>
        <n v="201189"/>
        <n v="44899"/>
        <n v="41331"/>
        <n v="11471"/>
        <n v="1383"/>
        <n v="18130"/>
        <n v="292"/>
        <n v="644"/>
        <n v="9854"/>
        <n v="4442"/>
        <n v="912"/>
        <n v="1856"/>
        <n v="30344"/>
        <n v="5265"/>
        <n v="441"/>
        <n v="25706"/>
        <n v="24251"/>
        <n v="17622"/>
        <n v="3703"/>
        <n v="9968"/>
        <n v="5699"/>
        <n v="3405"/>
        <n v="8661"/>
        <n v="1525"/>
        <n v="4216"/>
        <n v="3045"/>
        <n v="2821"/>
        <n v="559"/>
        <n v="784"/>
        <n v="416"/>
        <n v="262"/>
        <n v="79381"/>
        <n v="3007192"/>
        <n v="1836423"/>
        <n v="59183"/>
        <n v="77718"/>
        <n v="1478937"/>
        <n v="652096"/>
        <n v="70293"/>
        <n v="1673"/>
        <n v="5917"/>
        <n v="206666"/>
        <n v="55949"/>
        <n v="71568"/>
        <n v="61790"/>
        <n v="50168"/>
        <n v="7246"/>
        <n v="3428"/>
        <n v="26875"/>
        <n v="25821"/>
        <n v="22287"/>
        <n v="16007"/>
        <n v="1152"/>
        <n v="8354"/>
        <n v="8332"/>
        <n v="6891"/>
        <n v="7169"/>
        <n v="6088"/>
        <n v="2532"/>
        <n v="1035"/>
        <n v="3578"/>
        <n v="1706"/>
        <n v="1503"/>
        <n v="2022"/>
        <n v="225"/>
        <n v="180"/>
        <n v="1417552"/>
        <n v="524795"/>
        <n v="424405"/>
        <n v="112125"/>
        <n v="2205"/>
        <n v="14478"/>
        <n v="28860"/>
        <n v="13228"/>
        <n v="133123"/>
        <n v="56978"/>
        <n v="69179"/>
        <n v="3110"/>
        <n v="19291"/>
        <n v="31967"/>
        <n v="30314"/>
        <n v="6078"/>
        <n v="4083910"/>
        <n v="155304"/>
        <n v="33531"/>
        <n v="499698"/>
        <n v="7800"/>
        <n v="58596"/>
        <n v="11730"/>
        <n v="10834"/>
        <n v="3897"/>
        <n v="5718"/>
        <n v="2883"/>
        <n v="1999"/>
        <n v="455"/>
        <n v="258"/>
        <n v="1462864"/>
        <n v="1313153"/>
        <n v="1029530"/>
        <n v="648671"/>
        <n v="711225"/>
        <n v="138983"/>
        <n v="77040"/>
        <n v="6562"/>
        <n v="1308"/>
        <n v="26647257"/>
        <n v="2913171"/>
        <n v="290205"/>
        <n v="6451"/>
        <n v="408551"/>
        <n v="1294697"/>
        <n v="1333972"/>
        <n v="1338641"/>
        <n v="577123"/>
        <n v="193981"/>
        <n v="165319"/>
        <n v="89912"/>
        <n v="118613"/>
        <n v="174389"/>
        <n v="109024"/>
        <n v="92378"/>
        <n v="182019"/>
        <n v="310578"/>
        <n v="427507"/>
        <n v="550911"/>
        <n v="208445"/>
        <n v="358471"/>
        <n v="191131"/>
        <n v="852"/>
        <n v="419631"/>
        <n v="214263"/>
        <n v="395818"/>
        <n v="346134"/>
        <n v="349600"/>
        <n v="178096"/>
        <n v="169547"/>
        <n v="101534"/>
        <n v="125978"/>
        <n v="195206"/>
        <n v="246074"/>
        <n v="96579"/>
        <n v="30989"/>
        <n v="36562"/>
        <n v="147306"/>
        <n v="90800"/>
        <n v="771"/>
        <n v="1509"/>
        <n v="81636"/>
        <n v="46478"/>
        <n v="43632"/>
        <n v="24105"/>
        <n v="18183"/>
        <n v="26354"/>
        <n v="50986"/>
        <n v="63419"/>
        <n v="51262"/>
        <n v="74859"/>
        <n v="51952"/>
        <n v="7766"/>
        <n v="30812"/>
        <n v="33686"/>
        <n v="5180"/>
        <n v="36009"/>
        <n v="19124"/>
        <n v="10267"/>
        <n v="2207"/>
        <n v="9358"/>
        <n v="7024"/>
        <n v="74199"/>
        <n v="3809"/>
        <n v="76387"/>
        <n v="45383"/>
        <n v="33575"/>
        <n v="60943"/>
        <n v="492"/>
        <n v="12823"/>
        <n v="3126"/>
        <n v="50220"/>
        <n v="49352"/>
        <n v="6219"/>
        <n v="1334"/>
        <n v="14848"/>
        <n v="15005"/>
        <n v="14314"/>
        <n v="14964"/>
        <n v="3519"/>
        <n v="1366"/>
        <n v="12909"/>
        <n v="7855"/>
        <n v="19917"/>
        <n v="1822"/>
        <n v="16272"/>
        <n v="8433"/>
        <n v="12532"/>
        <n v="9592"/>
        <n v="609"/>
        <n v="463"/>
        <n v="7262"/>
        <n v="5506"/>
        <n v="5709"/>
        <n v="542"/>
        <n v="6290"/>
        <n v="3752"/>
        <n v="2278"/>
        <n v="284"/>
        <n v="2091"/>
        <n v="1846"/>
        <n v="582"/>
        <n v="556"/>
        <n v="381"/>
        <n v="144"/>
        <n v="527"/>
        <n v="46196"/>
        <n v="386878"/>
        <n v="60513"/>
        <n v="1221"/>
        <n v="6242"/>
        <n v="63341"/>
        <n v="17785"/>
        <n v="13223"/>
        <n v="734"/>
        <n v="732"/>
        <n v="3591"/>
        <n v="4288"/>
        <n v="869"/>
        <n v="3225"/>
        <n v="1803"/>
        <n v="1618"/>
        <n v="1216"/>
        <n v="1167"/>
        <n v="814"/>
        <n v="1018"/>
        <n v="1004"/>
        <n v="329"/>
        <n v="903243"/>
        <n v="2357"/>
        <n v="328207"/>
        <n v="280651"/>
        <n v="273791"/>
        <n v="164766"/>
        <n v="26592"/>
        <n v="17680"/>
        <n v="59470"/>
        <n v="19311"/>
        <n v="18838"/>
        <n v="46187"/>
        <n v="16141"/>
        <n v="228"/>
        <n v="5731"/>
        <n v="32840"/>
        <n v="4562"/>
        <n v="3781"/>
        <n v="10453"/>
        <n v="38319"/>
        <n v="52272"/>
        <n v="328"/>
        <n v="43220"/>
        <n v="569"/>
        <n v="8686"/>
        <n v="756"/>
        <n v="14274"/>
        <n v="1559"/>
        <n v="12708"/>
        <n v="13085"/>
        <n v="11628"/>
        <n v="5070"/>
        <n v="16885"/>
        <n v="10876"/>
        <n v="13563"/>
        <n v="11894"/>
        <n v="7681"/>
        <n v="10183"/>
        <n v="6905"/>
        <n v="1363"/>
        <n v="4944"/>
        <n v="865"/>
        <n v="624"/>
        <n v="5670"/>
        <n v="3267"/>
        <n v="288"/>
        <n v="2465"/>
        <n v="3290"/>
        <n v="1091"/>
        <n v="3675"/>
        <n v="1529"/>
        <n v="601"/>
        <n v="1371"/>
        <n v="528"/>
        <n v="1263"/>
        <n v="1546"/>
        <n v="1259"/>
        <n v="916"/>
        <n v="907"/>
        <n v="890"/>
        <n v="491"/>
        <n v="281"/>
        <n v="171"/>
        <n v="100963"/>
        <n v="175077"/>
        <n v="2742"/>
        <m/>
      </sharedItems>
    </cacheField>
    <cacheField name="TOTAL" numFmtId="0">
      <sharedItems containsString="0" containsBlank="1" containsNumber="1" containsInteger="1" minValue="1" maxValue="1019469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35">
  <r>
    <s v="Internal"/>
    <n v="2359"/>
    <s v="Aberdeen, MS"/>
    <n v="2211"/>
    <x v="0"/>
    <x v="0"/>
    <n v="0"/>
    <x v="0"/>
    <x v="0"/>
    <n v="302147"/>
  </r>
  <r>
    <s v="Internal"/>
    <n v="2359"/>
    <s v="Aberdeen, MS"/>
    <n v="2330"/>
    <x v="1"/>
    <x v="1"/>
    <n v="0"/>
    <x v="0"/>
    <x v="0"/>
    <n v="286536"/>
  </r>
  <r>
    <s v="Internal"/>
    <n v="2359"/>
    <s v="Aberdeen, MS"/>
    <n v="3220"/>
    <x v="2"/>
    <x v="2"/>
    <n v="0"/>
    <x v="0"/>
    <x v="0"/>
    <n v="35847"/>
  </r>
  <r>
    <s v="Internal"/>
    <n v="2359"/>
    <s v="Aberdeen, MS"/>
    <n v="2340"/>
    <x v="3"/>
    <x v="3"/>
    <n v="0"/>
    <x v="0"/>
    <x v="0"/>
    <n v="693"/>
  </r>
  <r>
    <s v="Internal"/>
    <n v="2359"/>
    <s v="Aberdeen, MS"/>
    <n v="7110"/>
    <x v="4"/>
    <x v="4"/>
    <n v="0"/>
    <x v="0"/>
    <x v="0"/>
    <n v="200"/>
  </r>
  <r>
    <s v="Great Lakes"/>
    <n v="3712"/>
    <s v="Acme, MI"/>
    <n v="4335"/>
    <x v="5"/>
    <x v="4"/>
    <n v="0"/>
    <x v="0"/>
    <x v="0"/>
    <n v="200"/>
  </r>
  <r>
    <s v="Great Lakes"/>
    <n v="3612"/>
    <s v="Alabaster Township, MI"/>
    <n v="4323"/>
    <x v="6"/>
    <x v="5"/>
    <n v="0"/>
    <x v="0"/>
    <x v="0"/>
    <n v="203967"/>
  </r>
  <r>
    <s v="Coastal"/>
    <n v="505"/>
    <s v="Albany Port District, NY"/>
    <n v="2211"/>
    <x v="0"/>
    <x v="6"/>
    <n v="0"/>
    <x v="0"/>
    <x v="0"/>
    <n v="2041975"/>
  </r>
  <r>
    <s v="Coastal"/>
    <n v="505"/>
    <s v="Albany Port District, NY"/>
    <n v="2330"/>
    <x v="1"/>
    <x v="7"/>
    <n v="0"/>
    <x v="0"/>
    <x v="0"/>
    <n v="912744"/>
  </r>
  <r>
    <s v="Coastal"/>
    <n v="505"/>
    <s v="Albany Port District, NY"/>
    <n v="3220"/>
    <x v="2"/>
    <x v="8"/>
    <n v="0"/>
    <x v="0"/>
    <x v="0"/>
    <n v="584375"/>
  </r>
  <r>
    <s v="Coastal"/>
    <n v="505"/>
    <s v="Albany Port District, NY"/>
    <n v="2340"/>
    <x v="3"/>
    <x v="9"/>
    <n v="0"/>
    <x v="0"/>
    <x v="0"/>
    <n v="228142"/>
  </r>
  <r>
    <s v="Coastal"/>
    <n v="505"/>
    <s v="Albany Port District, NY"/>
    <n v="4783"/>
    <x v="7"/>
    <x v="10"/>
    <n v="211264"/>
    <x v="1"/>
    <x v="0"/>
    <n v="211264"/>
  </r>
  <r>
    <s v="Coastal"/>
    <n v="505"/>
    <s v="Albany Port District, NY"/>
    <n v="4420"/>
    <x v="8"/>
    <x v="11"/>
    <n v="106511"/>
    <x v="0"/>
    <x v="1"/>
    <n v="189477"/>
  </r>
  <r>
    <s v="Coastal"/>
    <n v="505"/>
    <s v="Albany Port District, NY"/>
    <n v="2221"/>
    <x v="9"/>
    <x v="12"/>
    <n v="0"/>
    <x v="0"/>
    <x v="0"/>
    <n v="144746"/>
  </r>
  <r>
    <s v="Coastal"/>
    <n v="505"/>
    <s v="Albany Port District, NY"/>
    <n v="4225"/>
    <x v="10"/>
    <x v="10"/>
    <n v="55134"/>
    <x v="2"/>
    <x v="0"/>
    <n v="55134"/>
  </r>
  <r>
    <s v="Coastal"/>
    <n v="505"/>
    <s v="Albany Port District, NY"/>
    <n v="2430"/>
    <x v="11"/>
    <x v="13"/>
    <n v="0"/>
    <x v="0"/>
    <x v="0"/>
    <n v="49045"/>
  </r>
  <r>
    <s v="Coastal"/>
    <n v="505"/>
    <s v="Albany Port District, NY"/>
    <n v="4323"/>
    <x v="6"/>
    <x v="10"/>
    <n v="43431"/>
    <x v="3"/>
    <x v="0"/>
    <n v="43431"/>
  </r>
  <r>
    <s v="Coastal"/>
    <n v="505"/>
    <s v="Albany Port District, NY"/>
    <n v="3276"/>
    <x v="12"/>
    <x v="10"/>
    <n v="31408"/>
    <x v="4"/>
    <x v="0"/>
    <n v="31408"/>
  </r>
  <r>
    <s v="Coastal"/>
    <n v="505"/>
    <s v="Albany Port District, NY"/>
    <n v="5320"/>
    <x v="13"/>
    <x v="10"/>
    <n v="21997"/>
    <x v="5"/>
    <x v="0"/>
    <n v="21997"/>
  </r>
  <r>
    <s v="Coastal"/>
    <n v="505"/>
    <s v="Albany Port District, NY"/>
    <n v="4900"/>
    <x v="14"/>
    <x v="10"/>
    <n v="19991"/>
    <x v="6"/>
    <x v="0"/>
    <n v="19991"/>
  </r>
  <r>
    <s v="Coastal"/>
    <n v="505"/>
    <s v="Albany Port District, NY"/>
    <n v="2540"/>
    <x v="15"/>
    <x v="10"/>
    <n v="13557"/>
    <x v="7"/>
    <x v="0"/>
    <n v="13557"/>
  </r>
  <r>
    <s v="Coastal"/>
    <n v="505"/>
    <s v="Albany Port District, NY"/>
    <n v="5330"/>
    <x v="16"/>
    <x v="10"/>
    <n v="12719"/>
    <x v="8"/>
    <x v="0"/>
    <n v="12719"/>
  </r>
  <r>
    <s v="Coastal"/>
    <n v="505"/>
    <s v="Albany Port District, NY"/>
    <n v="2429"/>
    <x v="17"/>
    <x v="14"/>
    <n v="0"/>
    <x v="0"/>
    <x v="0"/>
    <n v="5965"/>
  </r>
  <r>
    <s v="Coastal"/>
    <n v="505"/>
    <s v="Albany Port District, NY"/>
    <n v="9900"/>
    <x v="18"/>
    <x v="10"/>
    <n v="5512"/>
    <x v="9"/>
    <x v="0"/>
    <n v="5512"/>
  </r>
  <r>
    <s v="Coastal"/>
    <n v="505"/>
    <s v="Albany Port District, NY"/>
    <n v="3219"/>
    <x v="19"/>
    <x v="10"/>
    <n v="3555"/>
    <x v="10"/>
    <x v="0"/>
    <n v="3555"/>
  </r>
  <r>
    <s v="Coastal"/>
    <n v="505"/>
    <s v="Albany Port District, NY"/>
    <n v="5480"/>
    <x v="20"/>
    <x v="10"/>
    <n v="1475"/>
    <x v="11"/>
    <x v="0"/>
    <n v="1475"/>
  </r>
  <r>
    <s v="Coastal"/>
    <n v="505"/>
    <s v="Albany Port District, NY"/>
    <n v="7110"/>
    <x v="4"/>
    <x v="10"/>
    <n v="1183"/>
    <x v="12"/>
    <x v="0"/>
    <n v="1183"/>
  </r>
  <r>
    <s v="Coastal"/>
    <n v="505"/>
    <s v="Albany Port District, NY"/>
    <n v="7900"/>
    <x v="21"/>
    <x v="10"/>
    <n v="182"/>
    <x v="13"/>
    <x v="0"/>
    <n v="182"/>
  </r>
  <r>
    <s v="Coastal"/>
    <n v="505"/>
    <s v="Albany Port District, NY"/>
    <n v="7230"/>
    <x v="22"/>
    <x v="10"/>
    <n v="11"/>
    <x v="14"/>
    <x v="0"/>
    <n v="11"/>
  </r>
  <r>
    <s v="Internal"/>
    <n v="2308"/>
    <s v="Alexandria-Cario Port, IL"/>
    <n v="6590"/>
    <x v="23"/>
    <x v="15"/>
    <n v="0"/>
    <x v="0"/>
    <x v="0"/>
    <n v="539822"/>
  </r>
  <r>
    <s v="Internal"/>
    <n v="2308"/>
    <s v="Alexandria-Cario Port, IL"/>
    <n v="2540"/>
    <x v="15"/>
    <x v="16"/>
    <n v="0"/>
    <x v="0"/>
    <x v="0"/>
    <n v="219718"/>
  </r>
  <r>
    <s v="Internal"/>
    <n v="2308"/>
    <s v="Alexandria-Cario Port, IL"/>
    <n v="6653"/>
    <x v="24"/>
    <x v="17"/>
    <n v="0"/>
    <x v="0"/>
    <x v="0"/>
    <n v="201785"/>
  </r>
  <r>
    <s v="Internal"/>
    <n v="2308"/>
    <s v="Alexandria-Cario Port, IL"/>
    <n v="6344"/>
    <x v="25"/>
    <x v="18"/>
    <n v="0"/>
    <x v="0"/>
    <x v="0"/>
    <n v="95870"/>
  </r>
  <r>
    <s v="Internal"/>
    <n v="2308"/>
    <s v="Alexandria-Cario Port, IL"/>
    <n v="6522"/>
    <x v="26"/>
    <x v="19"/>
    <n v="0"/>
    <x v="0"/>
    <x v="0"/>
    <n v="71304"/>
  </r>
  <r>
    <s v="Internal"/>
    <n v="2308"/>
    <s v="Alexandria-Cario Port, IL"/>
    <n v="6782"/>
    <x v="27"/>
    <x v="20"/>
    <n v="0"/>
    <x v="0"/>
    <x v="0"/>
    <n v="17777"/>
  </r>
  <r>
    <s v="Internal"/>
    <n v="2308"/>
    <s v="Alexandria-Cario Port, IL"/>
    <n v="6241"/>
    <x v="28"/>
    <x v="21"/>
    <n v="0"/>
    <x v="0"/>
    <x v="0"/>
    <n v="13366"/>
  </r>
  <r>
    <s v="Internal"/>
    <n v="2308"/>
    <s v="Alexandria-Cario Port, IL"/>
    <n v="4331"/>
    <x v="29"/>
    <x v="22"/>
    <n v="0"/>
    <x v="0"/>
    <x v="0"/>
    <n v="8971"/>
  </r>
  <r>
    <s v="Great Lakes"/>
    <n v="3617"/>
    <s v="Alpena, MI"/>
    <n v="5220"/>
    <x v="30"/>
    <x v="23"/>
    <n v="0"/>
    <x v="0"/>
    <x v="0"/>
    <n v="1576385"/>
  </r>
  <r>
    <s v="Great Lakes"/>
    <n v="3617"/>
    <s v="Alpena, MI"/>
    <n v="4860"/>
    <x v="31"/>
    <x v="24"/>
    <n v="0"/>
    <x v="0"/>
    <x v="0"/>
    <n v="379317"/>
  </r>
  <r>
    <s v="Great Lakes"/>
    <n v="3617"/>
    <s v="Alpena, MI"/>
    <n v="2540"/>
    <x v="15"/>
    <x v="25"/>
    <n v="0"/>
    <x v="0"/>
    <x v="0"/>
    <n v="275348"/>
  </r>
  <r>
    <s v="Great Lakes"/>
    <n v="3617"/>
    <s v="Alpena, MI"/>
    <n v="1100"/>
    <x v="32"/>
    <x v="26"/>
    <n v="0"/>
    <x v="0"/>
    <x v="0"/>
    <n v="54575"/>
  </r>
  <r>
    <s v="Great Lakes"/>
    <n v="3617"/>
    <s v="Alpena, MI"/>
    <n v="4322"/>
    <x v="33"/>
    <x v="27"/>
    <n v="0"/>
    <x v="0"/>
    <x v="0"/>
    <n v="35439"/>
  </r>
  <r>
    <s v="Great Lakes"/>
    <n v="3617"/>
    <s v="Alpena, MI"/>
    <n v="4410"/>
    <x v="34"/>
    <x v="28"/>
    <n v="0"/>
    <x v="0"/>
    <x v="0"/>
    <n v="34206"/>
  </r>
  <r>
    <s v="Great Lakes"/>
    <n v="3617"/>
    <s v="Alpena, MI"/>
    <n v="4323"/>
    <x v="6"/>
    <x v="29"/>
    <n v="0"/>
    <x v="0"/>
    <x v="0"/>
    <n v="5074"/>
  </r>
  <r>
    <s v="Internal"/>
    <n v="2309"/>
    <s v="America's Central Port, IL"/>
    <n v="2100"/>
    <x v="35"/>
    <x v="30"/>
    <n v="0"/>
    <x v="0"/>
    <x v="0"/>
    <n v="2301734"/>
  </r>
  <r>
    <s v="Internal"/>
    <n v="2309"/>
    <s v="America's Central Port, IL"/>
    <n v="2430"/>
    <x v="11"/>
    <x v="31"/>
    <n v="0"/>
    <x v="0"/>
    <x v="0"/>
    <n v="1116740"/>
  </r>
  <r>
    <s v="Internal"/>
    <n v="2309"/>
    <s v="America's Central Port, IL"/>
    <n v="2540"/>
    <x v="15"/>
    <x v="32"/>
    <n v="0"/>
    <x v="0"/>
    <x v="0"/>
    <n v="953410"/>
  </r>
  <r>
    <s v="Internal"/>
    <n v="2309"/>
    <s v="America's Central Port, IL"/>
    <n v="6590"/>
    <x v="23"/>
    <x v="33"/>
    <n v="0"/>
    <x v="0"/>
    <x v="0"/>
    <n v="932083"/>
  </r>
  <r>
    <s v="Internal"/>
    <n v="2309"/>
    <s v="America's Central Port, IL"/>
    <n v="6782"/>
    <x v="27"/>
    <x v="34"/>
    <n v="0"/>
    <x v="0"/>
    <x v="0"/>
    <n v="477174"/>
  </r>
  <r>
    <s v="Internal"/>
    <n v="2309"/>
    <s v="America's Central Port, IL"/>
    <n v="4420"/>
    <x v="8"/>
    <x v="35"/>
    <n v="0"/>
    <x v="0"/>
    <x v="0"/>
    <n v="264347"/>
  </r>
  <r>
    <s v="Internal"/>
    <n v="2309"/>
    <s v="America's Central Port, IL"/>
    <n v="2340"/>
    <x v="3"/>
    <x v="36"/>
    <n v="0"/>
    <x v="0"/>
    <x v="0"/>
    <n v="226623"/>
  </r>
  <r>
    <s v="Internal"/>
    <n v="2309"/>
    <s v="America's Central Port, IL"/>
    <n v="3110"/>
    <x v="36"/>
    <x v="37"/>
    <n v="0"/>
    <x v="0"/>
    <x v="0"/>
    <n v="222946"/>
  </r>
  <r>
    <s v="Internal"/>
    <n v="2309"/>
    <s v="America's Central Port, IL"/>
    <n v="3130"/>
    <x v="37"/>
    <x v="38"/>
    <n v="0"/>
    <x v="0"/>
    <x v="0"/>
    <n v="220875"/>
  </r>
  <r>
    <s v="Internal"/>
    <n v="2309"/>
    <s v="America's Central Port, IL"/>
    <n v="4783"/>
    <x v="7"/>
    <x v="39"/>
    <n v="0"/>
    <x v="0"/>
    <x v="0"/>
    <n v="195450"/>
  </r>
  <r>
    <s v="Internal"/>
    <n v="2309"/>
    <s v="America's Central Port, IL"/>
    <n v="3190"/>
    <x v="38"/>
    <x v="40"/>
    <n v="0"/>
    <x v="0"/>
    <x v="0"/>
    <n v="184853"/>
  </r>
  <r>
    <s v="Internal"/>
    <n v="2309"/>
    <s v="America's Central Port, IL"/>
    <n v="6344"/>
    <x v="25"/>
    <x v="41"/>
    <n v="0"/>
    <x v="0"/>
    <x v="0"/>
    <n v="182490"/>
  </r>
  <r>
    <s v="Internal"/>
    <n v="2309"/>
    <s v="America's Central Port, IL"/>
    <n v="3212"/>
    <x v="39"/>
    <x v="42"/>
    <n v="0"/>
    <x v="0"/>
    <x v="0"/>
    <n v="134963"/>
  </r>
  <r>
    <s v="Internal"/>
    <n v="2309"/>
    <s v="America's Central Port, IL"/>
    <n v="5330"/>
    <x v="16"/>
    <x v="43"/>
    <n v="0"/>
    <x v="0"/>
    <x v="0"/>
    <n v="103728"/>
  </r>
  <r>
    <s v="Internal"/>
    <n v="2309"/>
    <s v="America's Central Port, IL"/>
    <n v="2350"/>
    <x v="40"/>
    <x v="44"/>
    <n v="0"/>
    <x v="0"/>
    <x v="0"/>
    <n v="100288"/>
  </r>
  <r>
    <s v="Internal"/>
    <n v="2309"/>
    <s v="America's Central Port, IL"/>
    <n v="6241"/>
    <x v="28"/>
    <x v="45"/>
    <n v="0"/>
    <x v="0"/>
    <x v="0"/>
    <n v="97740"/>
  </r>
  <r>
    <s v="Internal"/>
    <n v="2309"/>
    <s v="America's Central Port, IL"/>
    <n v="2330"/>
    <x v="1"/>
    <x v="46"/>
    <n v="0"/>
    <x v="0"/>
    <x v="0"/>
    <n v="93034"/>
  </r>
  <r>
    <s v="Internal"/>
    <n v="2309"/>
    <s v="America's Central Port, IL"/>
    <n v="4322"/>
    <x v="33"/>
    <x v="47"/>
    <n v="0"/>
    <x v="0"/>
    <x v="0"/>
    <n v="77007"/>
  </r>
  <r>
    <s v="Internal"/>
    <n v="2309"/>
    <s v="America's Central Port, IL"/>
    <n v="4860"/>
    <x v="31"/>
    <x v="48"/>
    <n v="0"/>
    <x v="0"/>
    <x v="0"/>
    <n v="74293"/>
  </r>
  <r>
    <s v="Internal"/>
    <n v="2309"/>
    <s v="America's Central Port, IL"/>
    <n v="3120"/>
    <x v="41"/>
    <x v="49"/>
    <n v="0"/>
    <x v="0"/>
    <x v="0"/>
    <n v="69283"/>
  </r>
  <r>
    <s v="Internal"/>
    <n v="2309"/>
    <s v="America's Central Port, IL"/>
    <n v="3276"/>
    <x v="12"/>
    <x v="50"/>
    <n v="0"/>
    <x v="0"/>
    <x v="0"/>
    <n v="51772"/>
  </r>
  <r>
    <s v="Internal"/>
    <n v="2309"/>
    <s v="America's Central Port, IL"/>
    <n v="6889"/>
    <x v="42"/>
    <x v="51"/>
    <n v="0"/>
    <x v="0"/>
    <x v="0"/>
    <n v="45691"/>
  </r>
  <r>
    <s v="Internal"/>
    <n v="2309"/>
    <s v="America's Central Port, IL"/>
    <n v="6522"/>
    <x v="26"/>
    <x v="52"/>
    <n v="0"/>
    <x v="0"/>
    <x v="0"/>
    <n v="38230"/>
  </r>
  <r>
    <s v="Internal"/>
    <n v="2309"/>
    <s v="America's Central Port, IL"/>
    <n v="1200"/>
    <x v="43"/>
    <x v="53"/>
    <n v="0"/>
    <x v="0"/>
    <x v="0"/>
    <n v="35319"/>
  </r>
  <r>
    <s v="Internal"/>
    <n v="2309"/>
    <s v="America's Central Port, IL"/>
    <n v="2211"/>
    <x v="0"/>
    <x v="54"/>
    <n v="0"/>
    <x v="0"/>
    <x v="0"/>
    <n v="32844"/>
  </r>
  <r>
    <s v="Internal"/>
    <n v="2309"/>
    <s v="America's Central Port, IL"/>
    <n v="2429"/>
    <x v="17"/>
    <x v="55"/>
    <n v="0"/>
    <x v="0"/>
    <x v="0"/>
    <n v="26836"/>
  </r>
  <r>
    <s v="Internal"/>
    <n v="2309"/>
    <s v="America's Central Port, IL"/>
    <n v="5390"/>
    <x v="44"/>
    <x v="56"/>
    <n v="0"/>
    <x v="0"/>
    <x v="0"/>
    <n v="25835"/>
  </r>
  <r>
    <s v="Internal"/>
    <n v="2309"/>
    <s v="America's Central Port, IL"/>
    <n v="4782"/>
    <x v="45"/>
    <x v="57"/>
    <n v="0"/>
    <x v="0"/>
    <x v="0"/>
    <n v="21749"/>
  </r>
  <r>
    <s v="Internal"/>
    <n v="2309"/>
    <s v="America's Central Port, IL"/>
    <n v="4331"/>
    <x v="29"/>
    <x v="58"/>
    <n v="0"/>
    <x v="0"/>
    <x v="0"/>
    <n v="21689"/>
  </r>
  <r>
    <s v="Internal"/>
    <n v="2309"/>
    <s v="America's Central Port, IL"/>
    <n v="3273"/>
    <x v="46"/>
    <x v="59"/>
    <n v="0"/>
    <x v="0"/>
    <x v="0"/>
    <n v="20604"/>
  </r>
  <r>
    <s v="Internal"/>
    <n v="2309"/>
    <s v="America's Central Port, IL"/>
    <n v="5220"/>
    <x v="30"/>
    <x v="60"/>
    <n v="0"/>
    <x v="0"/>
    <x v="0"/>
    <n v="15100"/>
  </r>
  <r>
    <s v="Internal"/>
    <n v="2309"/>
    <s v="America's Central Port, IL"/>
    <n v="4323"/>
    <x v="6"/>
    <x v="61"/>
    <n v="0"/>
    <x v="0"/>
    <x v="0"/>
    <n v="8952"/>
  </r>
  <r>
    <s v="Internal"/>
    <n v="2309"/>
    <s v="America's Central Port, IL"/>
    <n v="3219"/>
    <x v="19"/>
    <x v="62"/>
    <n v="0"/>
    <x v="0"/>
    <x v="0"/>
    <n v="6898"/>
  </r>
  <r>
    <s v="Internal"/>
    <n v="2309"/>
    <s v="America's Central Port, IL"/>
    <n v="3275"/>
    <x v="47"/>
    <x v="63"/>
    <n v="0"/>
    <x v="0"/>
    <x v="0"/>
    <n v="5576"/>
  </r>
  <r>
    <s v="Internal"/>
    <n v="2309"/>
    <s v="America's Central Port, IL"/>
    <n v="5315"/>
    <x v="48"/>
    <x v="64"/>
    <n v="0"/>
    <x v="0"/>
    <x v="0"/>
    <n v="4211"/>
  </r>
  <r>
    <s v="Internal"/>
    <n v="2309"/>
    <s v="America's Central Port, IL"/>
    <n v="4410"/>
    <x v="34"/>
    <x v="65"/>
    <n v="0"/>
    <x v="0"/>
    <x v="0"/>
    <n v="3731"/>
  </r>
  <r>
    <s v="Internal"/>
    <n v="2309"/>
    <s v="America's Central Port, IL"/>
    <n v="5290"/>
    <x v="49"/>
    <x v="66"/>
    <n v="0"/>
    <x v="0"/>
    <x v="0"/>
    <n v="3156"/>
  </r>
  <r>
    <s v="Internal"/>
    <n v="2309"/>
    <s v="America's Central Port, IL"/>
    <n v="6654"/>
    <x v="50"/>
    <x v="67"/>
    <n v="0"/>
    <x v="0"/>
    <x v="0"/>
    <n v="2877"/>
  </r>
  <r>
    <s v="Internal"/>
    <n v="2309"/>
    <s v="America's Central Port, IL"/>
    <n v="1100"/>
    <x v="32"/>
    <x v="68"/>
    <n v="0"/>
    <x v="0"/>
    <x v="0"/>
    <n v="1841"/>
  </r>
  <r>
    <s v="Internal"/>
    <n v="2309"/>
    <s v="America's Central Port, IL"/>
    <n v="3292"/>
    <x v="51"/>
    <x v="69"/>
    <n v="0"/>
    <x v="0"/>
    <x v="0"/>
    <n v="1688"/>
  </r>
  <r>
    <s v="Internal"/>
    <n v="2309"/>
    <s v="America's Central Port, IL"/>
    <n v="5320"/>
    <x v="13"/>
    <x v="70"/>
    <n v="0"/>
    <x v="0"/>
    <x v="0"/>
    <n v="1648"/>
  </r>
  <r>
    <s v="Internal"/>
    <n v="2309"/>
    <s v="America's Central Port, IL"/>
    <n v="5480"/>
    <x v="20"/>
    <x v="71"/>
    <n v="0"/>
    <x v="0"/>
    <x v="0"/>
    <n v="1558"/>
  </r>
  <r>
    <s v="Internal"/>
    <n v="2309"/>
    <s v="America's Central Port, IL"/>
    <n v="5312"/>
    <x v="52"/>
    <x v="72"/>
    <n v="0"/>
    <x v="0"/>
    <x v="0"/>
    <n v="1474"/>
  </r>
  <r>
    <s v="Internal"/>
    <n v="2309"/>
    <s v="America's Central Port, IL"/>
    <n v="3240"/>
    <x v="53"/>
    <x v="73"/>
    <n v="0"/>
    <x v="0"/>
    <x v="0"/>
    <n v="1323"/>
  </r>
  <r>
    <s v="Internal"/>
    <n v="2360"/>
    <s v="Amory, MS"/>
    <n v="4161"/>
    <x v="54"/>
    <x v="74"/>
    <n v="0"/>
    <x v="0"/>
    <x v="0"/>
    <n v="479612"/>
  </r>
  <r>
    <s v="Internal"/>
    <n v="2360"/>
    <s v="Amory, MS"/>
    <n v="1200"/>
    <x v="43"/>
    <x v="75"/>
    <n v="0"/>
    <x v="0"/>
    <x v="0"/>
    <n v="72169"/>
  </r>
  <r>
    <s v="Internal"/>
    <n v="2360"/>
    <s v="Amory, MS"/>
    <n v="4331"/>
    <x v="29"/>
    <x v="76"/>
    <n v="0"/>
    <x v="0"/>
    <x v="0"/>
    <n v="53800"/>
  </r>
  <r>
    <s v="Internal"/>
    <n v="2360"/>
    <s v="Amory, MS"/>
    <n v="4783"/>
    <x v="7"/>
    <x v="77"/>
    <n v="0"/>
    <x v="0"/>
    <x v="0"/>
    <n v="36700"/>
  </r>
  <r>
    <s v="Internal"/>
    <n v="2360"/>
    <s v="Amory, MS"/>
    <n v="1100"/>
    <x v="32"/>
    <x v="78"/>
    <n v="0"/>
    <x v="0"/>
    <x v="0"/>
    <n v="6500"/>
  </r>
  <r>
    <s v="Internal"/>
    <n v="2360"/>
    <s v="Amory, MS"/>
    <n v="4860"/>
    <x v="31"/>
    <x v="79"/>
    <n v="0"/>
    <x v="0"/>
    <x v="0"/>
    <n v="1700"/>
  </r>
  <r>
    <s v="Internal"/>
    <n v="2360"/>
    <s v="Amory, MS"/>
    <n v="3275"/>
    <x v="47"/>
    <x v="80"/>
    <n v="0"/>
    <x v="0"/>
    <x v="0"/>
    <n v="1600"/>
  </r>
  <r>
    <s v="Internal"/>
    <n v="2360"/>
    <s v="Amory, MS"/>
    <n v="2540"/>
    <x v="15"/>
    <x v="81"/>
    <n v="0"/>
    <x v="0"/>
    <x v="0"/>
    <n v="1523"/>
  </r>
  <r>
    <s v="Coastal"/>
    <n v="4730"/>
    <s v="Anacortes, WA"/>
    <n v="2100"/>
    <x v="35"/>
    <x v="82"/>
    <n v="1658557"/>
    <x v="15"/>
    <x v="0"/>
    <n v="5675017"/>
  </r>
  <r>
    <s v="Coastal"/>
    <n v="4730"/>
    <s v="Anacortes, WA"/>
    <n v="2211"/>
    <x v="0"/>
    <x v="83"/>
    <n v="358616"/>
    <x v="0"/>
    <x v="2"/>
    <n v="1185373"/>
  </r>
  <r>
    <s v="Coastal"/>
    <n v="4730"/>
    <s v="Anacortes, WA"/>
    <n v="2330"/>
    <x v="1"/>
    <x v="84"/>
    <n v="144649"/>
    <x v="16"/>
    <x v="3"/>
    <n v="1021055"/>
  </r>
  <r>
    <s v="Coastal"/>
    <n v="4730"/>
    <s v="Anacortes, WA"/>
    <n v="2340"/>
    <x v="3"/>
    <x v="85"/>
    <n v="7672"/>
    <x v="17"/>
    <x v="0"/>
    <n v="910549"/>
  </r>
  <r>
    <s v="Coastal"/>
    <n v="4730"/>
    <s v="Anacortes, WA"/>
    <n v="2221"/>
    <x v="9"/>
    <x v="86"/>
    <n v="0"/>
    <x v="0"/>
    <x v="0"/>
    <n v="272086"/>
  </r>
  <r>
    <s v="Coastal"/>
    <n v="4730"/>
    <s v="Anacortes, WA"/>
    <n v="2540"/>
    <x v="15"/>
    <x v="10"/>
    <n v="209545"/>
    <x v="0"/>
    <x v="4"/>
    <n v="209545"/>
  </r>
  <r>
    <s v="Coastal"/>
    <n v="4730"/>
    <s v="Anacortes, WA"/>
    <n v="4170"/>
    <x v="55"/>
    <x v="87"/>
    <n v="19643"/>
    <x v="18"/>
    <x v="0"/>
    <n v="136763"/>
  </r>
  <r>
    <s v="Coastal"/>
    <n v="4730"/>
    <s v="Anacortes, WA"/>
    <n v="2429"/>
    <x v="17"/>
    <x v="88"/>
    <n v="77805"/>
    <x v="0"/>
    <x v="5"/>
    <n v="85103"/>
  </r>
  <r>
    <s v="Coastal"/>
    <n v="4730"/>
    <s v="Anacortes, WA"/>
    <n v="2350"/>
    <x v="40"/>
    <x v="89"/>
    <n v="0"/>
    <x v="0"/>
    <x v="0"/>
    <n v="45716"/>
  </r>
  <r>
    <s v="Coastal"/>
    <n v="4730"/>
    <s v="Anacortes, WA"/>
    <n v="4741"/>
    <x v="56"/>
    <x v="10"/>
    <n v="41578"/>
    <x v="0"/>
    <x v="6"/>
    <n v="41578"/>
  </r>
  <r>
    <s v="Coastal"/>
    <n v="4730"/>
    <s v="Anacortes, WA"/>
    <n v="3286"/>
    <x v="57"/>
    <x v="10"/>
    <n v="11568"/>
    <x v="0"/>
    <x v="7"/>
    <n v="11568"/>
  </r>
  <r>
    <s v="Coastal"/>
    <n v="4730"/>
    <s v="Anacortes, WA"/>
    <n v="7900"/>
    <x v="21"/>
    <x v="10"/>
    <n v="8387"/>
    <x v="0"/>
    <x v="8"/>
    <n v="8387"/>
  </r>
  <r>
    <s v="Coastal"/>
    <n v="4730"/>
    <s v="Anacortes, WA"/>
    <n v="3279"/>
    <x v="58"/>
    <x v="10"/>
    <n v="4410"/>
    <x v="0"/>
    <x v="9"/>
    <n v="4410"/>
  </r>
  <r>
    <s v="Coastal"/>
    <n v="4730"/>
    <s v="Anacortes, WA"/>
    <n v="6654"/>
    <x v="50"/>
    <x v="10"/>
    <n v="3326"/>
    <x v="0"/>
    <x v="10"/>
    <n v="3326"/>
  </r>
  <r>
    <s v="Coastal"/>
    <n v="4730"/>
    <s v="Anacortes, WA"/>
    <n v="6522"/>
    <x v="26"/>
    <x v="10"/>
    <n v="1653"/>
    <x v="0"/>
    <x v="11"/>
    <n v="1653"/>
  </r>
  <r>
    <s v="Coastal"/>
    <n v="4730"/>
    <s v="Anacortes, WA"/>
    <n v="5480"/>
    <x v="20"/>
    <x v="10"/>
    <n v="129"/>
    <x v="0"/>
    <x v="12"/>
    <n v="129"/>
  </r>
  <r>
    <s v="Coastal"/>
    <n v="4730"/>
    <s v="Anacortes, WA"/>
    <n v="7110"/>
    <x v="4"/>
    <x v="90"/>
    <n v="1"/>
    <x v="19"/>
    <x v="0"/>
    <n v="41"/>
  </r>
  <r>
    <s v="Coastal"/>
    <n v="4730"/>
    <s v="Anacortes, WA"/>
    <n v="7210"/>
    <x v="59"/>
    <x v="90"/>
    <n v="0"/>
    <x v="0"/>
    <x v="0"/>
    <n v="40"/>
  </r>
  <r>
    <s v="Coastal"/>
    <n v="4730"/>
    <s v="Anacortes, WA"/>
    <n v="7500"/>
    <x v="60"/>
    <x v="10"/>
    <n v="12"/>
    <x v="20"/>
    <x v="0"/>
    <n v="12"/>
  </r>
  <r>
    <s v="Coastal"/>
    <n v="2412"/>
    <s v="Aransas County Nav Dist No. 1 TX"/>
    <n v="4410"/>
    <x v="34"/>
    <x v="91"/>
    <n v="0"/>
    <x v="0"/>
    <x v="0"/>
    <n v="20988"/>
  </r>
  <r>
    <s v="Coastal"/>
    <n v="2412"/>
    <s v="Aransas County Nav Dist No. 1 TX"/>
    <n v="2340"/>
    <x v="3"/>
    <x v="92"/>
    <n v="0"/>
    <x v="0"/>
    <x v="0"/>
    <n v="19214"/>
  </r>
  <r>
    <s v="Coastal"/>
    <n v="2412"/>
    <s v="Aransas County Nav Dist No. 1 TX"/>
    <n v="2330"/>
    <x v="1"/>
    <x v="93"/>
    <n v="0"/>
    <x v="0"/>
    <x v="0"/>
    <n v="16701"/>
  </r>
  <r>
    <s v="Coastal"/>
    <n v="2412"/>
    <s v="Aransas County Nav Dist No. 1 TX"/>
    <n v="2100"/>
    <x v="35"/>
    <x v="94"/>
    <n v="0"/>
    <x v="0"/>
    <x v="0"/>
    <n v="13912"/>
  </r>
  <r>
    <s v="Coastal"/>
    <n v="2412"/>
    <s v="Aransas County Nav Dist No. 1 TX"/>
    <n v="7110"/>
    <x v="4"/>
    <x v="95"/>
    <n v="0"/>
    <x v="0"/>
    <x v="0"/>
    <n v="4378"/>
  </r>
  <r>
    <s v="Coastal"/>
    <n v="2412"/>
    <s v="Aransas County Nav Dist No. 1 TX"/>
    <n v="5330"/>
    <x v="16"/>
    <x v="96"/>
    <n v="0"/>
    <x v="0"/>
    <x v="0"/>
    <n v="2972"/>
  </r>
  <r>
    <s v="Coastal"/>
    <n v="2412"/>
    <s v="Aransas County Nav Dist No. 1 TX"/>
    <n v="7900"/>
    <x v="21"/>
    <x v="97"/>
    <n v="0"/>
    <x v="0"/>
    <x v="0"/>
    <n v="649"/>
  </r>
  <r>
    <s v="Coastal"/>
    <n v="2444"/>
    <s v="Arecibo, PR"/>
    <n v="2330"/>
    <x v="1"/>
    <x v="98"/>
    <n v="0"/>
    <x v="0"/>
    <x v="0"/>
    <n v="64666"/>
  </r>
  <r>
    <s v="Great Lakes"/>
    <n v="3219"/>
    <s v="Ashtabula Port Authority, OH"/>
    <n v="4322"/>
    <x v="33"/>
    <x v="99"/>
    <n v="0"/>
    <x v="0"/>
    <x v="0"/>
    <n v="732136"/>
  </r>
  <r>
    <s v="Great Lakes"/>
    <n v="3219"/>
    <s v="Ashtabula Port Authority, OH"/>
    <n v="4783"/>
    <x v="7"/>
    <x v="100"/>
    <n v="180234"/>
    <x v="21"/>
    <x v="13"/>
    <n v="232784"/>
  </r>
  <r>
    <s v="Great Lakes"/>
    <n v="3219"/>
    <s v="Ashtabula Port Authority, OH"/>
    <n v="4410"/>
    <x v="34"/>
    <x v="101"/>
    <n v="0"/>
    <x v="0"/>
    <x v="0"/>
    <n v="174318"/>
  </r>
  <r>
    <s v="Great Lakes"/>
    <n v="3219"/>
    <s v="Ashtabula Port Authority, OH"/>
    <n v="4331"/>
    <x v="29"/>
    <x v="102"/>
    <n v="39986"/>
    <x v="22"/>
    <x v="0"/>
    <n v="150687"/>
  </r>
  <r>
    <s v="Great Lakes"/>
    <n v="3219"/>
    <s v="Ashtabula Port Authority, OH"/>
    <n v="1100"/>
    <x v="32"/>
    <x v="103"/>
    <n v="47000"/>
    <x v="0"/>
    <x v="14"/>
    <n v="95727"/>
  </r>
  <r>
    <s v="Great Lakes"/>
    <n v="3219"/>
    <s v="Ashtabula Port Authority, OH"/>
    <n v="5429"/>
    <x v="61"/>
    <x v="10"/>
    <n v="91021"/>
    <x v="23"/>
    <x v="0"/>
    <n v="91021"/>
  </r>
  <r>
    <s v="Great Lakes"/>
    <n v="3219"/>
    <s v="Ashtabula Port Authority, OH"/>
    <n v="4690"/>
    <x v="62"/>
    <x v="10"/>
    <n v="47747"/>
    <x v="24"/>
    <x v="0"/>
    <n v="47747"/>
  </r>
  <r>
    <s v="Great Lakes"/>
    <n v="3219"/>
    <s v="Ashtabula Port Authority, OH"/>
    <n v="4860"/>
    <x v="31"/>
    <x v="10"/>
    <n v="46421"/>
    <x v="25"/>
    <x v="0"/>
    <n v="46421"/>
  </r>
  <r>
    <s v="Great Lakes"/>
    <n v="3219"/>
    <s v="Ashtabula Port Authority, OH"/>
    <n v="5315"/>
    <x v="48"/>
    <x v="10"/>
    <n v="16535"/>
    <x v="26"/>
    <x v="0"/>
    <n v="16535"/>
  </r>
  <r>
    <s v="Great Lakes"/>
    <n v="3219"/>
    <s v="Ashtabula Port Authority, OH"/>
    <n v="3130"/>
    <x v="37"/>
    <x v="10"/>
    <n v="8267"/>
    <x v="27"/>
    <x v="0"/>
    <n v="8267"/>
  </r>
  <r>
    <s v="Great Lakes"/>
    <n v="3219"/>
    <s v="Ashtabula Port Authority, OH"/>
    <n v="3276"/>
    <x v="12"/>
    <x v="10"/>
    <n v="8001"/>
    <x v="28"/>
    <x v="0"/>
    <n v="8001"/>
  </r>
  <r>
    <s v="Coastal"/>
    <n v="700"/>
    <s v="Baltimore, MD"/>
    <n v="1100"/>
    <x v="32"/>
    <x v="104"/>
    <n v="15871058"/>
    <x v="29"/>
    <x v="15"/>
    <n v="16244916"/>
  </r>
  <r>
    <s v="Coastal"/>
    <n v="700"/>
    <s v="Baltimore, MD"/>
    <n v="7210"/>
    <x v="59"/>
    <x v="10"/>
    <n v="1659226"/>
    <x v="30"/>
    <x v="16"/>
    <n v="1659226"/>
  </r>
  <r>
    <s v="Coastal"/>
    <n v="700"/>
    <s v="Baltimore, MD"/>
    <n v="7900"/>
    <x v="21"/>
    <x v="105"/>
    <n v="840224"/>
    <x v="31"/>
    <x v="17"/>
    <n v="1398554"/>
  </r>
  <r>
    <s v="Coastal"/>
    <n v="700"/>
    <s v="Baltimore, MD"/>
    <n v="4783"/>
    <x v="7"/>
    <x v="10"/>
    <n v="1249803"/>
    <x v="32"/>
    <x v="18"/>
    <n v="1249803"/>
  </r>
  <r>
    <s v="Coastal"/>
    <n v="700"/>
    <s v="Baltimore, MD"/>
    <n v="4225"/>
    <x v="10"/>
    <x v="10"/>
    <n v="1140533"/>
    <x v="33"/>
    <x v="19"/>
    <n v="1140533"/>
  </r>
  <r>
    <s v="Coastal"/>
    <n v="700"/>
    <s v="Baltimore, MD"/>
    <n v="4860"/>
    <x v="31"/>
    <x v="106"/>
    <n v="603286"/>
    <x v="34"/>
    <x v="20"/>
    <n v="1013582"/>
  </r>
  <r>
    <s v="Coastal"/>
    <n v="700"/>
    <s v="Baltimore, MD"/>
    <n v="7110"/>
    <x v="4"/>
    <x v="107"/>
    <n v="950123"/>
    <x v="35"/>
    <x v="21"/>
    <n v="951589"/>
  </r>
  <r>
    <s v="Coastal"/>
    <n v="700"/>
    <s v="Baltimore, MD"/>
    <n v="4323"/>
    <x v="6"/>
    <x v="10"/>
    <n v="835611"/>
    <x v="36"/>
    <x v="22"/>
    <n v="835611"/>
  </r>
  <r>
    <s v="Coastal"/>
    <n v="700"/>
    <s v="Baltimore, MD"/>
    <n v="5120"/>
    <x v="63"/>
    <x v="10"/>
    <n v="808429"/>
    <x v="37"/>
    <x v="23"/>
    <n v="808429"/>
  </r>
  <r>
    <s v="Coastal"/>
    <n v="700"/>
    <s v="Baltimore, MD"/>
    <n v="4331"/>
    <x v="29"/>
    <x v="108"/>
    <n v="3100"/>
    <x v="38"/>
    <x v="24"/>
    <n v="723598"/>
  </r>
  <r>
    <s v="Coastal"/>
    <n v="700"/>
    <s v="Baltimore, MD"/>
    <n v="5540"/>
    <x v="64"/>
    <x v="10"/>
    <n v="697307"/>
    <x v="39"/>
    <x v="25"/>
    <n v="697307"/>
  </r>
  <r>
    <s v="Coastal"/>
    <n v="700"/>
    <s v="Baltimore, MD"/>
    <n v="2211"/>
    <x v="0"/>
    <x v="109"/>
    <n v="133345"/>
    <x v="40"/>
    <x v="26"/>
    <n v="636217"/>
  </r>
  <r>
    <s v="Coastal"/>
    <n v="700"/>
    <s v="Baltimore, MD"/>
    <n v="4189"/>
    <x v="65"/>
    <x v="10"/>
    <n v="541423"/>
    <x v="41"/>
    <x v="27"/>
    <n v="541423"/>
  </r>
  <r>
    <s v="Coastal"/>
    <n v="700"/>
    <s v="Baltimore, MD"/>
    <n v="4420"/>
    <x v="8"/>
    <x v="110"/>
    <n v="289266"/>
    <x v="42"/>
    <x v="28"/>
    <n v="531350"/>
  </r>
  <r>
    <s v="Coastal"/>
    <n v="700"/>
    <s v="Baltimore, MD"/>
    <n v="5422"/>
    <x v="66"/>
    <x v="10"/>
    <n v="480761"/>
    <x v="43"/>
    <x v="29"/>
    <n v="480761"/>
  </r>
  <r>
    <s v="Coastal"/>
    <n v="700"/>
    <s v="Baltimore, MD"/>
    <n v="5290"/>
    <x v="49"/>
    <x v="10"/>
    <n v="442232"/>
    <x v="44"/>
    <x v="30"/>
    <n v="442232"/>
  </r>
  <r>
    <s v="Coastal"/>
    <n v="700"/>
    <s v="Baltimore, MD"/>
    <n v="4650"/>
    <x v="67"/>
    <x v="10"/>
    <n v="388506"/>
    <x v="45"/>
    <x v="31"/>
    <n v="388506"/>
  </r>
  <r>
    <s v="Coastal"/>
    <n v="700"/>
    <s v="Baltimore, MD"/>
    <n v="3110"/>
    <x v="36"/>
    <x v="111"/>
    <n v="293172"/>
    <x v="46"/>
    <x v="32"/>
    <n v="381531"/>
  </r>
  <r>
    <s v="Coastal"/>
    <n v="700"/>
    <s v="Baltimore, MD"/>
    <n v="5429"/>
    <x v="61"/>
    <x v="10"/>
    <n v="358329"/>
    <x v="47"/>
    <x v="33"/>
    <n v="358329"/>
  </r>
  <r>
    <s v="Coastal"/>
    <n v="700"/>
    <s v="Baltimore, MD"/>
    <n v="7600"/>
    <x v="68"/>
    <x v="10"/>
    <n v="343232"/>
    <x v="48"/>
    <x v="34"/>
    <n v="343232"/>
  </r>
  <r>
    <s v="Coastal"/>
    <n v="700"/>
    <s v="Baltimore, MD"/>
    <n v="6889"/>
    <x v="42"/>
    <x v="10"/>
    <n v="309886"/>
    <x v="49"/>
    <x v="35"/>
    <n v="309886"/>
  </r>
  <r>
    <s v="Coastal"/>
    <n v="700"/>
    <s v="Baltimore, MD"/>
    <n v="2340"/>
    <x v="3"/>
    <x v="112"/>
    <n v="0"/>
    <x v="0"/>
    <x v="0"/>
    <n v="303012"/>
  </r>
  <r>
    <s v="Coastal"/>
    <n v="700"/>
    <s v="Baltimore, MD"/>
    <n v="5480"/>
    <x v="20"/>
    <x v="10"/>
    <n v="291678"/>
    <x v="50"/>
    <x v="36"/>
    <n v="291678"/>
  </r>
  <r>
    <s v="Coastal"/>
    <n v="700"/>
    <s v="Baltimore, MD"/>
    <n v="2350"/>
    <x v="40"/>
    <x v="113"/>
    <n v="1462"/>
    <x v="51"/>
    <x v="37"/>
    <n v="274853"/>
  </r>
  <r>
    <s v="Coastal"/>
    <n v="700"/>
    <s v="Baltimore, MD"/>
    <n v="2330"/>
    <x v="1"/>
    <x v="114"/>
    <n v="97498"/>
    <x v="52"/>
    <x v="38"/>
    <n v="266181"/>
  </r>
  <r>
    <s v="Coastal"/>
    <n v="700"/>
    <s v="Baltimore, MD"/>
    <n v="5330"/>
    <x v="16"/>
    <x v="10"/>
    <n v="233461"/>
    <x v="53"/>
    <x v="39"/>
    <n v="233461"/>
  </r>
  <r>
    <s v="Coastal"/>
    <n v="700"/>
    <s v="Baltimore, MD"/>
    <n v="6522"/>
    <x v="26"/>
    <x v="115"/>
    <n v="170058"/>
    <x v="54"/>
    <x v="40"/>
    <n v="211045"/>
  </r>
  <r>
    <s v="Coastal"/>
    <n v="700"/>
    <s v="Baltimore, MD"/>
    <n v="3220"/>
    <x v="2"/>
    <x v="116"/>
    <n v="3250"/>
    <x v="55"/>
    <x v="41"/>
    <n v="207656"/>
  </r>
  <r>
    <s v="Coastal"/>
    <n v="700"/>
    <s v="Baltimore, MD"/>
    <n v="6861"/>
    <x v="69"/>
    <x v="117"/>
    <n v="3317"/>
    <x v="56"/>
    <x v="42"/>
    <n v="193445"/>
  </r>
  <r>
    <s v="Coastal"/>
    <n v="700"/>
    <s v="Baltimore, MD"/>
    <n v="6782"/>
    <x v="27"/>
    <x v="10"/>
    <n v="184943"/>
    <x v="57"/>
    <x v="43"/>
    <n v="184943"/>
  </r>
  <r>
    <s v="Coastal"/>
    <n v="700"/>
    <s v="Baltimore, MD"/>
    <n v="4680"/>
    <x v="70"/>
    <x v="10"/>
    <n v="183850"/>
    <x v="58"/>
    <x v="44"/>
    <n v="183850"/>
  </r>
  <r>
    <s v="Coastal"/>
    <n v="700"/>
    <s v="Baltimore, MD"/>
    <n v="7120"/>
    <x v="71"/>
    <x v="10"/>
    <n v="180867"/>
    <x v="59"/>
    <x v="45"/>
    <n v="180867"/>
  </r>
  <r>
    <s v="Coastal"/>
    <n v="700"/>
    <s v="Baltimore, MD"/>
    <n v="7500"/>
    <x v="60"/>
    <x v="10"/>
    <n v="175782"/>
    <x v="60"/>
    <x v="46"/>
    <n v="175782"/>
  </r>
  <r>
    <s v="Coastal"/>
    <n v="700"/>
    <s v="Baltimore, MD"/>
    <n v="6885"/>
    <x v="72"/>
    <x v="10"/>
    <n v="174408"/>
    <x v="61"/>
    <x v="47"/>
    <n v="174408"/>
  </r>
  <r>
    <s v="Coastal"/>
    <n v="700"/>
    <s v="Baltimore, MD"/>
    <n v="2221"/>
    <x v="9"/>
    <x v="118"/>
    <n v="0"/>
    <x v="0"/>
    <x v="0"/>
    <n v="165617"/>
  </r>
  <r>
    <s v="Coastal"/>
    <n v="700"/>
    <s v="Baltimore, MD"/>
    <n v="3276"/>
    <x v="12"/>
    <x v="119"/>
    <n v="95693"/>
    <x v="62"/>
    <x v="48"/>
    <n v="161921"/>
  </r>
  <r>
    <s v="Coastal"/>
    <n v="700"/>
    <s v="Baltimore, MD"/>
    <n v="9900"/>
    <x v="18"/>
    <x v="10"/>
    <n v="149010"/>
    <x v="63"/>
    <x v="49"/>
    <n v="149010"/>
  </r>
  <r>
    <s v="Coastal"/>
    <n v="700"/>
    <s v="Baltimore, MD"/>
    <n v="2430"/>
    <x v="11"/>
    <x v="120"/>
    <n v="36460"/>
    <x v="64"/>
    <x v="50"/>
    <n v="141999"/>
  </r>
  <r>
    <s v="Coastal"/>
    <n v="700"/>
    <s v="Baltimore, MD"/>
    <n v="6654"/>
    <x v="50"/>
    <x v="10"/>
    <n v="135173"/>
    <x v="65"/>
    <x v="51"/>
    <n v="135173"/>
  </r>
  <r>
    <s v="Coastal"/>
    <n v="700"/>
    <s v="Baltimore, MD"/>
    <n v="4170"/>
    <x v="55"/>
    <x v="10"/>
    <n v="124301"/>
    <x v="66"/>
    <x v="52"/>
    <n v="124301"/>
  </r>
  <r>
    <s v="Coastal"/>
    <n v="700"/>
    <s v="Baltimore, MD"/>
    <n v="5315"/>
    <x v="48"/>
    <x v="10"/>
    <n v="118891"/>
    <x v="67"/>
    <x v="53"/>
    <n v="118891"/>
  </r>
  <r>
    <s v="Coastal"/>
    <n v="700"/>
    <s v="Baltimore, MD"/>
    <n v="6344"/>
    <x v="25"/>
    <x v="10"/>
    <n v="118375"/>
    <x v="68"/>
    <x v="54"/>
    <n v="118375"/>
  </r>
  <r>
    <s v="Coastal"/>
    <n v="700"/>
    <s v="Baltimore, MD"/>
    <n v="6871"/>
    <x v="73"/>
    <x v="10"/>
    <n v="117003"/>
    <x v="69"/>
    <x v="55"/>
    <n v="117003"/>
  </r>
  <r>
    <s v="Coastal"/>
    <n v="700"/>
    <s v="Baltimore, MD"/>
    <n v="2540"/>
    <x v="15"/>
    <x v="10"/>
    <n v="110933"/>
    <x v="70"/>
    <x v="56"/>
    <n v="110933"/>
  </r>
  <r>
    <s v="Coastal"/>
    <n v="700"/>
    <s v="Baltimore, MD"/>
    <n v="6590"/>
    <x v="23"/>
    <x v="10"/>
    <n v="110788"/>
    <x v="71"/>
    <x v="57"/>
    <n v="110788"/>
  </r>
  <r>
    <s v="Coastal"/>
    <n v="700"/>
    <s v="Baltimore, MD"/>
    <n v="3275"/>
    <x v="47"/>
    <x v="10"/>
    <n v="109847"/>
    <x v="72"/>
    <x v="58"/>
    <n v="109847"/>
  </r>
  <r>
    <s v="Coastal"/>
    <n v="700"/>
    <s v="Baltimore, MD"/>
    <n v="6858"/>
    <x v="74"/>
    <x v="10"/>
    <n v="104922"/>
    <x v="73"/>
    <x v="59"/>
    <n v="104922"/>
  </r>
  <r>
    <s v="Coastal"/>
    <n v="700"/>
    <s v="Baltimore, MD"/>
    <n v="6865"/>
    <x v="75"/>
    <x v="10"/>
    <n v="103084"/>
    <x v="74"/>
    <x v="0"/>
    <n v="103084"/>
  </r>
  <r>
    <s v="Coastal"/>
    <n v="700"/>
    <s v="Baltimore, MD"/>
    <n v="3286"/>
    <x v="57"/>
    <x v="10"/>
    <n v="100735"/>
    <x v="75"/>
    <x v="60"/>
    <n v="100735"/>
  </r>
  <r>
    <s v="Coastal"/>
    <n v="700"/>
    <s v="Baltimore, MD"/>
    <n v="6811"/>
    <x v="76"/>
    <x v="10"/>
    <n v="96244"/>
    <x v="76"/>
    <x v="61"/>
    <n v="96244"/>
  </r>
  <r>
    <s v="Coastal"/>
    <n v="700"/>
    <s v="Baltimore, MD"/>
    <n v="4782"/>
    <x v="45"/>
    <x v="10"/>
    <n v="89021"/>
    <x v="77"/>
    <x v="62"/>
    <n v="89021"/>
  </r>
  <r>
    <s v="Coastal"/>
    <n v="700"/>
    <s v="Baltimore, MD"/>
    <n v="3219"/>
    <x v="19"/>
    <x v="10"/>
    <n v="81102"/>
    <x v="78"/>
    <x v="63"/>
    <n v="81102"/>
  </r>
  <r>
    <s v="Coastal"/>
    <n v="700"/>
    <s v="Baltimore, MD"/>
    <n v="7400"/>
    <x v="77"/>
    <x v="10"/>
    <n v="80982"/>
    <x v="79"/>
    <x v="64"/>
    <n v="80982"/>
  </r>
  <r>
    <s v="Coastal"/>
    <n v="700"/>
    <s v="Baltimore, MD"/>
    <n v="6747"/>
    <x v="78"/>
    <x v="10"/>
    <n v="73839"/>
    <x v="80"/>
    <x v="65"/>
    <n v="73839"/>
  </r>
  <r>
    <s v="Coastal"/>
    <n v="700"/>
    <s v="Baltimore, MD"/>
    <n v="4900"/>
    <x v="14"/>
    <x v="10"/>
    <n v="70467"/>
    <x v="81"/>
    <x v="66"/>
    <n v="70467"/>
  </r>
  <r>
    <s v="Coastal"/>
    <n v="700"/>
    <s v="Baltimore, MD"/>
    <n v="6653"/>
    <x v="24"/>
    <x v="10"/>
    <n v="69659"/>
    <x v="82"/>
    <x v="67"/>
    <n v="69659"/>
  </r>
  <r>
    <s v="Coastal"/>
    <n v="700"/>
    <s v="Baltimore, MD"/>
    <n v="3299"/>
    <x v="79"/>
    <x v="10"/>
    <n v="60318"/>
    <x v="83"/>
    <x v="68"/>
    <n v="60318"/>
  </r>
  <r>
    <s v="Coastal"/>
    <n v="700"/>
    <s v="Baltimore, MD"/>
    <n v="3230"/>
    <x v="80"/>
    <x v="10"/>
    <n v="59874"/>
    <x v="84"/>
    <x v="69"/>
    <n v="59874"/>
  </r>
  <r>
    <s v="Coastal"/>
    <n v="700"/>
    <s v="Baltimore, MD"/>
    <n v="5370"/>
    <x v="81"/>
    <x v="121"/>
    <n v="58710"/>
    <x v="85"/>
    <x v="70"/>
    <n v="58875"/>
  </r>
  <r>
    <s v="Coastal"/>
    <n v="700"/>
    <s v="Baltimore, MD"/>
    <n v="6134"/>
    <x v="82"/>
    <x v="10"/>
    <n v="49064"/>
    <x v="86"/>
    <x v="71"/>
    <n v="49064"/>
  </r>
  <r>
    <s v="Coastal"/>
    <n v="700"/>
    <s v="Baltimore, MD"/>
    <n v="5190"/>
    <x v="83"/>
    <x v="10"/>
    <n v="47855"/>
    <x v="87"/>
    <x v="72"/>
    <n v="47855"/>
  </r>
  <r>
    <s v="Coastal"/>
    <n v="700"/>
    <s v="Baltimore, MD"/>
    <n v="6822"/>
    <x v="84"/>
    <x v="10"/>
    <n v="42965"/>
    <x v="88"/>
    <x v="73"/>
    <n v="42965"/>
  </r>
  <r>
    <s v="Coastal"/>
    <n v="700"/>
    <s v="Baltimore, MD"/>
    <n v="6442"/>
    <x v="85"/>
    <x v="10"/>
    <n v="42393"/>
    <x v="89"/>
    <x v="74"/>
    <n v="42393"/>
  </r>
  <r>
    <s v="Coastal"/>
    <n v="700"/>
    <s v="Baltimore, MD"/>
    <n v="3274"/>
    <x v="86"/>
    <x v="122"/>
    <n v="6482"/>
    <x v="90"/>
    <x v="75"/>
    <n v="39094"/>
  </r>
  <r>
    <s v="Coastal"/>
    <n v="700"/>
    <s v="Baltimore, MD"/>
    <n v="3285"/>
    <x v="87"/>
    <x v="10"/>
    <n v="38571"/>
    <x v="91"/>
    <x v="76"/>
    <n v="38571"/>
  </r>
  <r>
    <s v="Coastal"/>
    <n v="700"/>
    <s v="Baltimore, MD"/>
    <n v="5421"/>
    <x v="88"/>
    <x v="10"/>
    <n v="38209"/>
    <x v="92"/>
    <x v="77"/>
    <n v="38209"/>
  </r>
  <r>
    <s v="Coastal"/>
    <n v="700"/>
    <s v="Baltimore, MD"/>
    <n v="5240"/>
    <x v="89"/>
    <x v="10"/>
    <n v="37244"/>
    <x v="93"/>
    <x v="78"/>
    <n v="37244"/>
  </r>
  <r>
    <s v="Coastal"/>
    <n v="700"/>
    <s v="Baltimore, MD"/>
    <n v="4670"/>
    <x v="90"/>
    <x v="10"/>
    <n v="35968"/>
    <x v="94"/>
    <x v="79"/>
    <n v="35968"/>
  </r>
  <r>
    <s v="Coastal"/>
    <n v="700"/>
    <s v="Baltimore, MD"/>
    <n v="4690"/>
    <x v="62"/>
    <x v="10"/>
    <n v="34528"/>
    <x v="95"/>
    <x v="80"/>
    <n v="34528"/>
  </r>
  <r>
    <s v="Coastal"/>
    <n v="700"/>
    <s v="Baltimore, MD"/>
    <n v="3282"/>
    <x v="91"/>
    <x v="10"/>
    <n v="25224"/>
    <x v="96"/>
    <x v="81"/>
    <n v="25224"/>
  </r>
  <r>
    <s v="Coastal"/>
    <n v="700"/>
    <s v="Baltimore, MD"/>
    <n v="6835"/>
    <x v="92"/>
    <x v="10"/>
    <n v="24918"/>
    <x v="97"/>
    <x v="82"/>
    <n v="24918"/>
  </r>
  <r>
    <s v="Coastal"/>
    <n v="700"/>
    <s v="Baltimore, MD"/>
    <n v="6891"/>
    <x v="93"/>
    <x v="10"/>
    <n v="18255"/>
    <x v="98"/>
    <x v="83"/>
    <n v="18255"/>
  </r>
  <r>
    <s v="Coastal"/>
    <n v="700"/>
    <s v="Baltimore, MD"/>
    <n v="5360"/>
    <x v="94"/>
    <x v="10"/>
    <n v="18100"/>
    <x v="99"/>
    <x v="84"/>
    <n v="18100"/>
  </r>
  <r>
    <s v="Coastal"/>
    <n v="700"/>
    <s v="Baltimore, MD"/>
    <n v="3130"/>
    <x v="37"/>
    <x v="10"/>
    <n v="16946"/>
    <x v="100"/>
    <x v="0"/>
    <n v="16946"/>
  </r>
  <r>
    <s v="Coastal"/>
    <n v="700"/>
    <s v="Baltimore, MD"/>
    <n v="6136"/>
    <x v="95"/>
    <x v="10"/>
    <n v="16480"/>
    <x v="101"/>
    <x v="85"/>
    <n v="16480"/>
  </r>
  <r>
    <s v="Coastal"/>
    <n v="700"/>
    <s v="Baltimore, MD"/>
    <n v="5220"/>
    <x v="30"/>
    <x v="123"/>
    <n v="7803"/>
    <x v="102"/>
    <x v="86"/>
    <n v="16018"/>
  </r>
  <r>
    <s v="Coastal"/>
    <n v="700"/>
    <s v="Baltimore, MD"/>
    <n v="3292"/>
    <x v="51"/>
    <x v="10"/>
    <n v="15620"/>
    <x v="103"/>
    <x v="87"/>
    <n v="15620"/>
  </r>
  <r>
    <s v="Coastal"/>
    <n v="700"/>
    <s v="Baltimore, MD"/>
    <n v="3190"/>
    <x v="38"/>
    <x v="10"/>
    <n v="15300"/>
    <x v="104"/>
    <x v="88"/>
    <n v="15300"/>
  </r>
  <r>
    <s v="Coastal"/>
    <n v="700"/>
    <s v="Baltimore, MD"/>
    <n v="4310"/>
    <x v="96"/>
    <x v="10"/>
    <n v="15007"/>
    <x v="105"/>
    <x v="89"/>
    <n v="15007"/>
  </r>
  <r>
    <s v="Coastal"/>
    <n v="700"/>
    <s v="Baltimore, MD"/>
    <n v="3284"/>
    <x v="97"/>
    <x v="10"/>
    <n v="14876"/>
    <x v="106"/>
    <x v="90"/>
    <n v="14876"/>
  </r>
  <r>
    <s v="Coastal"/>
    <n v="700"/>
    <s v="Baltimore, MD"/>
    <n v="2410"/>
    <x v="98"/>
    <x v="10"/>
    <n v="14391"/>
    <x v="107"/>
    <x v="91"/>
    <n v="14391"/>
  </r>
  <r>
    <s v="Coastal"/>
    <n v="700"/>
    <s v="Baltimore, MD"/>
    <n v="3240"/>
    <x v="53"/>
    <x v="10"/>
    <n v="14077"/>
    <x v="108"/>
    <x v="92"/>
    <n v="14077"/>
  </r>
  <r>
    <s v="Coastal"/>
    <n v="700"/>
    <s v="Baltimore, MD"/>
    <n v="2429"/>
    <x v="17"/>
    <x v="124"/>
    <n v="179"/>
    <x v="0"/>
    <x v="93"/>
    <n v="12707"/>
  </r>
  <r>
    <s v="Coastal"/>
    <n v="700"/>
    <s v="Baltimore, MD"/>
    <n v="4190"/>
    <x v="99"/>
    <x v="10"/>
    <n v="11195"/>
    <x v="109"/>
    <x v="94"/>
    <n v="11195"/>
  </r>
  <r>
    <s v="Coastal"/>
    <n v="700"/>
    <s v="Baltimore, MD"/>
    <n v="5390"/>
    <x v="44"/>
    <x v="10"/>
    <n v="11160"/>
    <x v="110"/>
    <x v="95"/>
    <n v="11160"/>
  </r>
  <r>
    <s v="Coastal"/>
    <n v="700"/>
    <s v="Baltimore, MD"/>
    <n v="3279"/>
    <x v="58"/>
    <x v="10"/>
    <n v="10279"/>
    <x v="111"/>
    <x v="96"/>
    <n v="10279"/>
  </r>
  <r>
    <s v="Coastal"/>
    <n v="700"/>
    <s v="Baltimore, MD"/>
    <n v="6872"/>
    <x v="100"/>
    <x v="10"/>
    <n v="9665"/>
    <x v="112"/>
    <x v="97"/>
    <n v="9665"/>
  </r>
  <r>
    <s v="Coastal"/>
    <n v="700"/>
    <s v="Baltimore, MD"/>
    <n v="4150"/>
    <x v="101"/>
    <x v="10"/>
    <n v="8645"/>
    <x v="113"/>
    <x v="98"/>
    <n v="8645"/>
  </r>
  <r>
    <s v="Coastal"/>
    <n v="700"/>
    <s v="Baltimore, MD"/>
    <n v="5312"/>
    <x v="52"/>
    <x v="10"/>
    <n v="8375"/>
    <x v="114"/>
    <x v="99"/>
    <n v="8375"/>
  </r>
  <r>
    <s v="Coastal"/>
    <n v="700"/>
    <s v="Baltimore, MD"/>
    <n v="2990"/>
    <x v="102"/>
    <x v="10"/>
    <n v="7674"/>
    <x v="0"/>
    <x v="100"/>
    <n v="7674"/>
  </r>
  <r>
    <s v="Coastal"/>
    <n v="700"/>
    <s v="Baltimore, MD"/>
    <n v="7220"/>
    <x v="103"/>
    <x v="10"/>
    <n v="7503"/>
    <x v="115"/>
    <x v="101"/>
    <n v="7503"/>
  </r>
  <r>
    <s v="Coastal"/>
    <n v="700"/>
    <s v="Baltimore, MD"/>
    <n v="5320"/>
    <x v="13"/>
    <x v="10"/>
    <n v="7442"/>
    <x v="116"/>
    <x v="102"/>
    <n v="7442"/>
  </r>
  <r>
    <s v="Coastal"/>
    <n v="700"/>
    <s v="Baltimore, MD"/>
    <n v="6857"/>
    <x v="104"/>
    <x v="10"/>
    <n v="7139"/>
    <x v="117"/>
    <x v="103"/>
    <n v="7139"/>
  </r>
  <r>
    <s v="Coastal"/>
    <n v="700"/>
    <s v="Baltimore, MD"/>
    <n v="4110"/>
    <x v="105"/>
    <x v="10"/>
    <n v="6842"/>
    <x v="118"/>
    <x v="104"/>
    <n v="6842"/>
  </r>
  <r>
    <s v="Coastal"/>
    <n v="700"/>
    <s v="Baltimore, MD"/>
    <n v="6839"/>
    <x v="106"/>
    <x v="10"/>
    <n v="6771"/>
    <x v="119"/>
    <x v="105"/>
    <n v="6771"/>
  </r>
  <r>
    <s v="Coastal"/>
    <n v="700"/>
    <s v="Baltimore, MD"/>
    <n v="3260"/>
    <x v="107"/>
    <x v="10"/>
    <n v="6605"/>
    <x v="120"/>
    <x v="106"/>
    <n v="6605"/>
  </r>
  <r>
    <s v="Coastal"/>
    <n v="700"/>
    <s v="Baltimore, MD"/>
    <n v="3250"/>
    <x v="108"/>
    <x v="10"/>
    <n v="5839"/>
    <x v="121"/>
    <x v="107"/>
    <n v="5839"/>
  </r>
  <r>
    <s v="Coastal"/>
    <n v="700"/>
    <s v="Baltimore, MD"/>
    <n v="6888"/>
    <x v="109"/>
    <x v="10"/>
    <n v="5211"/>
    <x v="122"/>
    <x v="108"/>
    <n v="5211"/>
  </r>
  <r>
    <s v="Coastal"/>
    <n v="700"/>
    <s v="Baltimore, MD"/>
    <n v="2640"/>
    <x v="110"/>
    <x v="10"/>
    <n v="4941"/>
    <x v="123"/>
    <x v="109"/>
    <n v="4941"/>
  </r>
  <r>
    <s v="Coastal"/>
    <n v="700"/>
    <s v="Baltimore, MD"/>
    <n v="3283"/>
    <x v="111"/>
    <x v="10"/>
    <n v="4748"/>
    <x v="124"/>
    <x v="110"/>
    <n v="4748"/>
  </r>
  <r>
    <s v="Coastal"/>
    <n v="700"/>
    <s v="Baltimore, MD"/>
    <n v="5110"/>
    <x v="112"/>
    <x v="10"/>
    <n v="3936"/>
    <x v="125"/>
    <x v="111"/>
    <n v="3936"/>
  </r>
  <r>
    <s v="Coastal"/>
    <n v="700"/>
    <s v="Baltimore, MD"/>
    <n v="6893"/>
    <x v="113"/>
    <x v="10"/>
    <n v="3632"/>
    <x v="126"/>
    <x v="112"/>
    <n v="3632"/>
  </r>
  <r>
    <s v="Coastal"/>
    <n v="700"/>
    <s v="Baltimore, MD"/>
    <n v="6899"/>
    <x v="114"/>
    <x v="10"/>
    <n v="3473"/>
    <x v="127"/>
    <x v="113"/>
    <n v="3473"/>
  </r>
  <r>
    <s v="Coastal"/>
    <n v="700"/>
    <s v="Baltimore, MD"/>
    <n v="7230"/>
    <x v="22"/>
    <x v="10"/>
    <n v="3407"/>
    <x v="128"/>
    <x v="114"/>
    <n v="3407"/>
  </r>
  <r>
    <s v="Coastal"/>
    <n v="700"/>
    <s v="Baltimore, MD"/>
    <n v="7300"/>
    <x v="115"/>
    <x v="10"/>
    <n v="2645"/>
    <x v="129"/>
    <x v="115"/>
    <n v="2645"/>
  </r>
  <r>
    <s v="Coastal"/>
    <n v="700"/>
    <s v="Baltimore, MD"/>
    <n v="3297"/>
    <x v="116"/>
    <x v="10"/>
    <n v="2619"/>
    <x v="130"/>
    <x v="116"/>
    <n v="2619"/>
  </r>
  <r>
    <s v="Coastal"/>
    <n v="700"/>
    <s v="Baltimore, MD"/>
    <n v="3291"/>
    <x v="117"/>
    <x v="10"/>
    <n v="2185"/>
    <x v="131"/>
    <x v="117"/>
    <n v="2185"/>
  </r>
  <r>
    <s v="Coastal"/>
    <n v="700"/>
    <s v="Baltimore, MD"/>
    <n v="6746"/>
    <x v="118"/>
    <x v="10"/>
    <n v="2094"/>
    <x v="132"/>
    <x v="118"/>
    <n v="2094"/>
  </r>
  <r>
    <s v="Coastal"/>
    <n v="700"/>
    <s v="Baltimore, MD"/>
    <n v="6817"/>
    <x v="119"/>
    <x v="10"/>
    <n v="1335"/>
    <x v="133"/>
    <x v="41"/>
    <n v="1335"/>
  </r>
  <r>
    <s v="Coastal"/>
    <n v="700"/>
    <s v="Baltimore, MD"/>
    <n v="1200"/>
    <x v="43"/>
    <x v="10"/>
    <n v="1331"/>
    <x v="134"/>
    <x v="22"/>
    <n v="1331"/>
  </r>
  <r>
    <s v="Coastal"/>
    <n v="700"/>
    <s v="Baltimore, MD"/>
    <n v="6894"/>
    <x v="120"/>
    <x v="10"/>
    <n v="1069"/>
    <x v="135"/>
    <x v="0"/>
    <n v="1069"/>
  </r>
  <r>
    <s v="Coastal"/>
    <n v="700"/>
    <s v="Baltimore, MD"/>
    <n v="6521"/>
    <x v="121"/>
    <x v="10"/>
    <n v="1012"/>
    <x v="136"/>
    <x v="119"/>
    <n v="1012"/>
  </r>
  <r>
    <s v="Coastal"/>
    <n v="700"/>
    <s v="Baltimore, MD"/>
    <n v="3293"/>
    <x v="122"/>
    <x v="125"/>
    <n v="499"/>
    <x v="137"/>
    <x v="120"/>
    <n v="1000"/>
  </r>
  <r>
    <s v="Coastal"/>
    <n v="700"/>
    <s v="Baltimore, MD"/>
    <n v="3298"/>
    <x v="123"/>
    <x v="10"/>
    <n v="898"/>
    <x v="138"/>
    <x v="121"/>
    <n v="898"/>
  </r>
  <r>
    <s v="Coastal"/>
    <n v="700"/>
    <s v="Baltimore, MD"/>
    <n v="3211"/>
    <x v="124"/>
    <x v="10"/>
    <n v="718"/>
    <x v="139"/>
    <x v="122"/>
    <n v="718"/>
  </r>
  <r>
    <s v="Coastal"/>
    <n v="700"/>
    <s v="Baltimore, MD"/>
    <n v="4322"/>
    <x v="33"/>
    <x v="10"/>
    <n v="552"/>
    <x v="140"/>
    <x v="123"/>
    <n v="552"/>
  </r>
  <r>
    <s v="Coastal"/>
    <n v="700"/>
    <s v="Baltimore, MD"/>
    <n v="4161"/>
    <x v="54"/>
    <x v="10"/>
    <n v="502"/>
    <x v="141"/>
    <x v="124"/>
    <n v="502"/>
  </r>
  <r>
    <s v="Coastal"/>
    <n v="700"/>
    <s v="Baltimore, MD"/>
    <n v="3281"/>
    <x v="125"/>
    <x v="10"/>
    <n v="437"/>
    <x v="142"/>
    <x v="0"/>
    <n v="437"/>
  </r>
  <r>
    <s v="Coastal"/>
    <n v="700"/>
    <s v="Baltimore, MD"/>
    <n v="4410"/>
    <x v="34"/>
    <x v="10"/>
    <n v="384"/>
    <x v="143"/>
    <x v="0"/>
    <n v="384"/>
  </r>
  <r>
    <s v="Coastal"/>
    <n v="700"/>
    <s v="Baltimore, MD"/>
    <n v="6856"/>
    <x v="126"/>
    <x v="10"/>
    <n v="370"/>
    <x v="144"/>
    <x v="0"/>
    <n v="370"/>
  </r>
  <r>
    <s v="Coastal"/>
    <n v="700"/>
    <s v="Baltimore, MD"/>
    <n v="4630"/>
    <x v="127"/>
    <x v="10"/>
    <n v="269"/>
    <x v="145"/>
    <x v="125"/>
    <n v="269"/>
  </r>
  <r>
    <s v="Coastal"/>
    <n v="700"/>
    <s v="Baltimore, MD"/>
    <n v="6781"/>
    <x v="128"/>
    <x v="10"/>
    <n v="187"/>
    <x v="146"/>
    <x v="126"/>
    <n v="187"/>
  </r>
  <r>
    <s v="Coastal"/>
    <n v="700"/>
    <s v="Baltimore, MD"/>
    <n v="4515"/>
    <x v="129"/>
    <x v="10"/>
    <n v="145"/>
    <x v="147"/>
    <x v="0"/>
    <n v="145"/>
  </r>
  <r>
    <s v="Coastal"/>
    <n v="700"/>
    <s v="Baltimore, MD"/>
    <n v="3212"/>
    <x v="39"/>
    <x v="10"/>
    <n v="131"/>
    <x v="0"/>
    <x v="127"/>
    <n v="131"/>
  </r>
  <r>
    <s v="Coastal"/>
    <n v="700"/>
    <s v="Baltimore, MD"/>
    <n v="5210"/>
    <x v="130"/>
    <x v="10"/>
    <n v="106"/>
    <x v="148"/>
    <x v="0"/>
    <n v="106"/>
  </r>
  <r>
    <s v="Coastal"/>
    <n v="700"/>
    <s v="Baltimore, MD"/>
    <n v="6241"/>
    <x v="28"/>
    <x v="10"/>
    <n v="99"/>
    <x v="149"/>
    <x v="128"/>
    <n v="99"/>
  </r>
  <r>
    <s v="Coastal"/>
    <n v="700"/>
    <s v="Baltimore, MD"/>
    <n v="2100"/>
    <x v="35"/>
    <x v="10"/>
    <n v="87"/>
    <x v="150"/>
    <x v="0"/>
    <n v="87"/>
  </r>
  <r>
    <s v="Coastal"/>
    <n v="700"/>
    <s v="Baltimore, MD"/>
    <n v="4741"/>
    <x v="56"/>
    <x v="10"/>
    <n v="84"/>
    <x v="151"/>
    <x v="129"/>
    <n v="84"/>
  </r>
  <r>
    <s v="Coastal"/>
    <n v="700"/>
    <s v="Baltimore, MD"/>
    <n v="6838"/>
    <x v="131"/>
    <x v="10"/>
    <n v="74"/>
    <x v="152"/>
    <x v="130"/>
    <n v="74"/>
  </r>
  <r>
    <s v="Coastal"/>
    <n v="700"/>
    <s v="Baltimore, MD"/>
    <n v="6447"/>
    <x v="132"/>
    <x v="10"/>
    <n v="51"/>
    <x v="153"/>
    <x v="131"/>
    <n v="51"/>
  </r>
  <r>
    <s v="Coastal"/>
    <n v="700"/>
    <s v="Baltimore, MD"/>
    <n v="3273"/>
    <x v="46"/>
    <x v="10"/>
    <n v="37"/>
    <x v="0"/>
    <x v="132"/>
    <n v="37"/>
  </r>
  <r>
    <s v="Coastal"/>
    <n v="700"/>
    <s v="Baltimore, MD"/>
    <n v="3271"/>
    <x v="133"/>
    <x v="10"/>
    <n v="36"/>
    <x v="51"/>
    <x v="0"/>
    <n v="36"/>
  </r>
  <r>
    <s v="Coastal"/>
    <n v="700"/>
    <s v="Baltimore, MD"/>
    <n v="4327"/>
    <x v="134"/>
    <x v="10"/>
    <n v="21"/>
    <x v="154"/>
    <x v="0"/>
    <n v="21"/>
  </r>
  <r>
    <s v="Coastal"/>
    <n v="700"/>
    <s v="Baltimore, MD"/>
    <n v="6443"/>
    <x v="135"/>
    <x v="10"/>
    <n v="17"/>
    <x v="0"/>
    <x v="133"/>
    <n v="17"/>
  </r>
  <r>
    <s v="Coastal"/>
    <n v="700"/>
    <s v="Baltimore, MD"/>
    <n v="6445"/>
    <x v="136"/>
    <x v="10"/>
    <n v="16"/>
    <x v="0"/>
    <x v="134"/>
    <n v="16"/>
  </r>
  <r>
    <s v="Great Lakes"/>
    <n v="3867"/>
    <s v="Bayfield, WI"/>
    <n v="7900"/>
    <x v="21"/>
    <x v="126"/>
    <n v="0"/>
    <x v="0"/>
    <x v="0"/>
    <n v="13148"/>
  </r>
  <r>
    <s v="Great Lakes"/>
    <n v="3867"/>
    <s v="Bayfield, WI"/>
    <n v="2640"/>
    <x v="110"/>
    <x v="127"/>
    <n v="0"/>
    <x v="0"/>
    <x v="0"/>
    <n v="685"/>
  </r>
  <r>
    <s v="Great Lakes"/>
    <n v="3867"/>
    <s v="Bayfield, WI"/>
    <n v="2211"/>
    <x v="0"/>
    <x v="128"/>
    <n v="0"/>
    <x v="0"/>
    <x v="0"/>
    <n v="358"/>
  </r>
  <r>
    <s v="Great Lakes"/>
    <n v="3867"/>
    <s v="Bayfield, WI"/>
    <n v="2330"/>
    <x v="1"/>
    <x v="129"/>
    <n v="0"/>
    <x v="0"/>
    <x v="0"/>
    <n v="59"/>
  </r>
  <r>
    <s v="Great Lakes"/>
    <n v="3867"/>
    <s v="Bayfield, WI"/>
    <n v="4331"/>
    <x v="29"/>
    <x v="130"/>
    <n v="0"/>
    <x v="0"/>
    <x v="0"/>
    <n v="30"/>
  </r>
  <r>
    <s v="Great Lakes"/>
    <n v="3867"/>
    <s v="Bayfield, WI"/>
    <n v="4189"/>
    <x v="65"/>
    <x v="131"/>
    <n v="0"/>
    <x v="0"/>
    <x v="0"/>
    <n v="2"/>
  </r>
  <r>
    <s v="Coastal"/>
    <n v="2393"/>
    <s v="Beaumont, TX"/>
    <n v="2100"/>
    <x v="35"/>
    <x v="132"/>
    <n v="26009547"/>
    <x v="155"/>
    <x v="135"/>
    <n v="29936915"/>
  </r>
  <r>
    <s v="Coastal"/>
    <n v="2393"/>
    <s v="Beaumont, TX"/>
    <n v="2640"/>
    <x v="110"/>
    <x v="133"/>
    <n v="13594075"/>
    <x v="0"/>
    <x v="136"/>
    <n v="13684476"/>
  </r>
  <r>
    <s v="Coastal"/>
    <n v="2393"/>
    <s v="Beaumont, TX"/>
    <n v="2211"/>
    <x v="0"/>
    <x v="134"/>
    <n v="4888319"/>
    <x v="156"/>
    <x v="137"/>
    <n v="8069834"/>
  </r>
  <r>
    <s v="Coastal"/>
    <n v="2393"/>
    <s v="Beaumont, TX"/>
    <n v="2330"/>
    <x v="1"/>
    <x v="135"/>
    <n v="4085699"/>
    <x v="157"/>
    <x v="138"/>
    <n v="6311154"/>
  </r>
  <r>
    <s v="Coastal"/>
    <n v="2393"/>
    <s v="Beaumont, TX"/>
    <n v="2429"/>
    <x v="17"/>
    <x v="136"/>
    <n v="2632524"/>
    <x v="0"/>
    <x v="139"/>
    <n v="3862451"/>
  </r>
  <r>
    <s v="Coastal"/>
    <n v="2393"/>
    <s v="Beaumont, TX"/>
    <n v="2430"/>
    <x v="11"/>
    <x v="137"/>
    <n v="0"/>
    <x v="0"/>
    <x v="0"/>
    <n v="1869141"/>
  </r>
  <r>
    <s v="Coastal"/>
    <n v="2393"/>
    <s v="Beaumont, TX"/>
    <n v="2340"/>
    <x v="3"/>
    <x v="138"/>
    <n v="701489"/>
    <x v="158"/>
    <x v="0"/>
    <n v="1855805"/>
  </r>
  <r>
    <s v="Coastal"/>
    <n v="2393"/>
    <s v="Beaumont, TX"/>
    <n v="3220"/>
    <x v="2"/>
    <x v="139"/>
    <n v="520586"/>
    <x v="159"/>
    <x v="140"/>
    <n v="1605554"/>
  </r>
  <r>
    <s v="Coastal"/>
    <n v="2393"/>
    <s v="Beaumont, TX"/>
    <n v="2540"/>
    <x v="15"/>
    <x v="140"/>
    <n v="867832"/>
    <x v="160"/>
    <x v="141"/>
    <n v="875099"/>
  </r>
  <r>
    <s v="Coastal"/>
    <n v="2393"/>
    <s v="Beaumont, TX"/>
    <n v="3212"/>
    <x v="39"/>
    <x v="141"/>
    <n v="0"/>
    <x v="0"/>
    <x v="0"/>
    <n v="728228"/>
  </r>
  <r>
    <s v="Coastal"/>
    <n v="2393"/>
    <s v="Beaumont, TX"/>
    <n v="4322"/>
    <x v="33"/>
    <x v="142"/>
    <n v="685330"/>
    <x v="161"/>
    <x v="0"/>
    <n v="718263"/>
  </r>
  <r>
    <s v="Coastal"/>
    <n v="2393"/>
    <s v="Beaumont, TX"/>
    <n v="3273"/>
    <x v="46"/>
    <x v="143"/>
    <n v="178212"/>
    <x v="162"/>
    <x v="142"/>
    <n v="588642"/>
  </r>
  <r>
    <s v="Coastal"/>
    <n v="2393"/>
    <s v="Beaumont, TX"/>
    <n v="2990"/>
    <x v="102"/>
    <x v="144"/>
    <n v="1131"/>
    <x v="163"/>
    <x v="0"/>
    <n v="572649"/>
  </r>
  <r>
    <s v="Coastal"/>
    <n v="2393"/>
    <s v="Beaumont, TX"/>
    <n v="2350"/>
    <x v="40"/>
    <x v="145"/>
    <n v="106825"/>
    <x v="0"/>
    <x v="143"/>
    <n v="558041"/>
  </r>
  <r>
    <s v="Coastal"/>
    <n v="2393"/>
    <s v="Beaumont, TX"/>
    <n v="3219"/>
    <x v="19"/>
    <x v="146"/>
    <n v="353892"/>
    <x v="0"/>
    <x v="144"/>
    <n v="392620"/>
  </r>
  <r>
    <s v="Coastal"/>
    <n v="2393"/>
    <s v="Beaumont, TX"/>
    <n v="3260"/>
    <x v="107"/>
    <x v="147"/>
    <n v="316526"/>
    <x v="0"/>
    <x v="145"/>
    <n v="379473"/>
  </r>
  <r>
    <s v="Coastal"/>
    <n v="2393"/>
    <s v="Beaumont, TX"/>
    <n v="2221"/>
    <x v="9"/>
    <x v="148"/>
    <n v="275134"/>
    <x v="0"/>
    <x v="146"/>
    <n v="373202"/>
  </r>
  <r>
    <s v="Coastal"/>
    <n v="2393"/>
    <s v="Beaumont, TX"/>
    <n v="3297"/>
    <x v="116"/>
    <x v="149"/>
    <n v="0"/>
    <x v="0"/>
    <x v="0"/>
    <n v="327192"/>
  </r>
  <r>
    <s v="Coastal"/>
    <n v="2393"/>
    <s v="Beaumont, TX"/>
    <n v="3211"/>
    <x v="124"/>
    <x v="150"/>
    <n v="71476"/>
    <x v="164"/>
    <x v="147"/>
    <n v="318832"/>
  </r>
  <r>
    <s v="Coastal"/>
    <n v="2393"/>
    <s v="Beaumont, TX"/>
    <n v="4331"/>
    <x v="29"/>
    <x v="10"/>
    <n v="241126"/>
    <x v="165"/>
    <x v="0"/>
    <n v="241126"/>
  </r>
  <r>
    <s v="Coastal"/>
    <n v="2393"/>
    <s v="Beaumont, TX"/>
    <n v="3272"/>
    <x v="137"/>
    <x v="151"/>
    <n v="158524"/>
    <x v="166"/>
    <x v="148"/>
    <n v="225524"/>
  </r>
  <r>
    <s v="Coastal"/>
    <n v="2393"/>
    <s v="Beaumont, TX"/>
    <n v="4225"/>
    <x v="10"/>
    <x v="10"/>
    <n v="205859"/>
    <x v="167"/>
    <x v="0"/>
    <n v="205859"/>
  </r>
  <r>
    <s v="Coastal"/>
    <n v="2393"/>
    <s v="Beaumont, TX"/>
    <n v="4741"/>
    <x v="56"/>
    <x v="10"/>
    <n v="193157"/>
    <x v="0"/>
    <x v="149"/>
    <n v="193157"/>
  </r>
  <r>
    <s v="Coastal"/>
    <n v="2393"/>
    <s v="Beaumont, TX"/>
    <n v="3240"/>
    <x v="53"/>
    <x v="152"/>
    <n v="0"/>
    <x v="0"/>
    <x v="0"/>
    <n v="145897"/>
  </r>
  <r>
    <s v="Coastal"/>
    <n v="2393"/>
    <s v="Beaumont, TX"/>
    <n v="3274"/>
    <x v="86"/>
    <x v="153"/>
    <n v="0"/>
    <x v="0"/>
    <x v="0"/>
    <n v="126449"/>
  </r>
  <r>
    <s v="Coastal"/>
    <n v="2393"/>
    <s v="Beaumont, TX"/>
    <n v="3110"/>
    <x v="36"/>
    <x v="154"/>
    <n v="0"/>
    <x v="0"/>
    <x v="0"/>
    <n v="56372"/>
  </r>
  <r>
    <s v="Coastal"/>
    <n v="2393"/>
    <s v="Beaumont, TX"/>
    <n v="3271"/>
    <x v="133"/>
    <x v="155"/>
    <n v="0"/>
    <x v="0"/>
    <x v="0"/>
    <n v="48941"/>
  </r>
  <r>
    <s v="Coastal"/>
    <n v="2393"/>
    <s v="Beaumont, TX"/>
    <n v="9900"/>
    <x v="18"/>
    <x v="10"/>
    <n v="38762"/>
    <x v="168"/>
    <x v="150"/>
    <n v="38762"/>
  </r>
  <r>
    <s v="Coastal"/>
    <n v="2393"/>
    <s v="Beaumont, TX"/>
    <n v="7900"/>
    <x v="21"/>
    <x v="156"/>
    <n v="37097"/>
    <x v="169"/>
    <x v="151"/>
    <n v="37567"/>
  </r>
  <r>
    <s v="Coastal"/>
    <n v="2393"/>
    <s v="Beaumont, TX"/>
    <n v="3276"/>
    <x v="12"/>
    <x v="157"/>
    <n v="20764"/>
    <x v="0"/>
    <x v="152"/>
    <n v="35074"/>
  </r>
  <r>
    <s v="Coastal"/>
    <n v="2393"/>
    <s v="Beaumont, TX"/>
    <n v="7500"/>
    <x v="60"/>
    <x v="10"/>
    <n v="33087"/>
    <x v="170"/>
    <x v="153"/>
    <n v="33087"/>
  </r>
  <r>
    <s v="Coastal"/>
    <n v="2393"/>
    <s v="Beaumont, TX"/>
    <n v="7110"/>
    <x v="4"/>
    <x v="158"/>
    <n v="22709"/>
    <x v="171"/>
    <x v="154"/>
    <n v="32924"/>
  </r>
  <r>
    <s v="Coastal"/>
    <n v="2393"/>
    <s v="Beaumont, TX"/>
    <n v="5422"/>
    <x v="66"/>
    <x v="10"/>
    <n v="27387"/>
    <x v="172"/>
    <x v="0"/>
    <n v="27387"/>
  </r>
  <r>
    <s v="Coastal"/>
    <n v="2393"/>
    <s v="Beaumont, TX"/>
    <n v="3230"/>
    <x v="80"/>
    <x v="159"/>
    <n v="0"/>
    <x v="0"/>
    <x v="0"/>
    <n v="20190"/>
  </r>
  <r>
    <s v="Coastal"/>
    <n v="2393"/>
    <s v="Beaumont, TX"/>
    <n v="6653"/>
    <x v="24"/>
    <x v="10"/>
    <n v="13230"/>
    <x v="173"/>
    <x v="0"/>
    <n v="13230"/>
  </r>
  <r>
    <s v="Coastal"/>
    <n v="2393"/>
    <s v="Beaumont, TX"/>
    <n v="4900"/>
    <x v="14"/>
    <x v="10"/>
    <n v="12071"/>
    <x v="0"/>
    <x v="155"/>
    <n v="12071"/>
  </r>
  <r>
    <s v="Coastal"/>
    <n v="2393"/>
    <s v="Beaumont, TX"/>
    <n v="3286"/>
    <x v="57"/>
    <x v="10"/>
    <n v="8929"/>
    <x v="0"/>
    <x v="156"/>
    <n v="8929"/>
  </r>
  <r>
    <s v="Coastal"/>
    <n v="2393"/>
    <s v="Beaumont, TX"/>
    <n v="5370"/>
    <x v="81"/>
    <x v="160"/>
    <n v="0"/>
    <x v="0"/>
    <x v="0"/>
    <n v="7288"/>
  </r>
  <r>
    <s v="Coastal"/>
    <n v="2393"/>
    <s v="Beaumont, TX"/>
    <n v="7120"/>
    <x v="71"/>
    <x v="10"/>
    <n v="4980"/>
    <x v="174"/>
    <x v="0"/>
    <n v="4980"/>
  </r>
  <r>
    <s v="Coastal"/>
    <n v="2393"/>
    <s v="Beaumont, TX"/>
    <n v="7210"/>
    <x v="59"/>
    <x v="10"/>
    <n v="4147"/>
    <x v="175"/>
    <x v="125"/>
    <n v="4147"/>
  </r>
  <r>
    <s v="Coastal"/>
    <n v="2393"/>
    <s v="Beaumont, TX"/>
    <n v="7220"/>
    <x v="103"/>
    <x v="10"/>
    <n v="3206"/>
    <x v="176"/>
    <x v="157"/>
    <n v="3206"/>
  </r>
  <r>
    <s v="Coastal"/>
    <n v="2393"/>
    <s v="Beaumont, TX"/>
    <n v="5360"/>
    <x v="94"/>
    <x v="161"/>
    <n v="367"/>
    <x v="177"/>
    <x v="0"/>
    <n v="3186"/>
  </r>
  <r>
    <s v="Coastal"/>
    <n v="2393"/>
    <s v="Beaumont, TX"/>
    <n v="5480"/>
    <x v="20"/>
    <x v="10"/>
    <n v="1413"/>
    <x v="178"/>
    <x v="0"/>
    <n v="1413"/>
  </r>
  <r>
    <s v="Coastal"/>
    <n v="2393"/>
    <s v="Beaumont, TX"/>
    <n v="6811"/>
    <x v="76"/>
    <x v="10"/>
    <n v="870"/>
    <x v="179"/>
    <x v="0"/>
    <n v="870"/>
  </r>
  <r>
    <s v="Coastal"/>
    <n v="2393"/>
    <s v="Beaumont, TX"/>
    <n v="7230"/>
    <x v="22"/>
    <x v="10"/>
    <n v="111"/>
    <x v="180"/>
    <x v="0"/>
    <n v="111"/>
  </r>
  <r>
    <s v="Coastal"/>
    <n v="2393"/>
    <s v="Beaumont, TX"/>
    <n v="7600"/>
    <x v="68"/>
    <x v="10"/>
    <n v="87"/>
    <x v="0"/>
    <x v="158"/>
    <n v="87"/>
  </r>
  <r>
    <s v="Coastal"/>
    <n v="2393"/>
    <s v="Beaumont, TX"/>
    <n v="6654"/>
    <x v="50"/>
    <x v="10"/>
    <n v="65"/>
    <x v="181"/>
    <x v="0"/>
    <n v="65"/>
  </r>
  <r>
    <s v="Coastal"/>
    <n v="2393"/>
    <s v="Beaumont, TX"/>
    <n v="5190"/>
    <x v="83"/>
    <x v="10"/>
    <n v="17"/>
    <x v="182"/>
    <x v="0"/>
    <n v="17"/>
  </r>
  <r>
    <s v="Coastal"/>
    <n v="2393"/>
    <s v="Beaumont, TX"/>
    <n v="3299"/>
    <x v="79"/>
    <x v="10"/>
    <n v="1"/>
    <x v="19"/>
    <x v="0"/>
    <n v="1"/>
  </r>
  <r>
    <s v="Coastal"/>
    <n v="4736"/>
    <s v="Bellingham, WA"/>
    <n v="6134"/>
    <x v="82"/>
    <x v="162"/>
    <n v="16062"/>
    <x v="183"/>
    <x v="159"/>
    <n v="24619"/>
  </r>
  <r>
    <s v="Coastal"/>
    <n v="4736"/>
    <s v="Bellingham, WA"/>
    <n v="7500"/>
    <x v="60"/>
    <x v="10"/>
    <n v="5560"/>
    <x v="184"/>
    <x v="0"/>
    <n v="5560"/>
  </r>
  <r>
    <s v="Coastal"/>
    <n v="4736"/>
    <s v="Bellingham, WA"/>
    <n v="4331"/>
    <x v="29"/>
    <x v="163"/>
    <n v="0"/>
    <x v="0"/>
    <x v="0"/>
    <n v="5445"/>
  </r>
  <r>
    <s v="Coastal"/>
    <n v="4736"/>
    <s v="Bellingham, WA"/>
    <n v="6811"/>
    <x v="76"/>
    <x v="10"/>
    <n v="4494"/>
    <x v="185"/>
    <x v="0"/>
    <n v="4494"/>
  </r>
  <r>
    <s v="Coastal"/>
    <n v="4736"/>
    <s v="Bellingham, WA"/>
    <n v="4322"/>
    <x v="33"/>
    <x v="10"/>
    <n v="3858"/>
    <x v="186"/>
    <x v="0"/>
    <n v="3858"/>
  </r>
  <r>
    <s v="Coastal"/>
    <n v="4736"/>
    <s v="Bellingham, WA"/>
    <n v="5290"/>
    <x v="49"/>
    <x v="10"/>
    <n v="1326"/>
    <x v="187"/>
    <x v="0"/>
    <n v="1326"/>
  </r>
  <r>
    <s v="Coastal"/>
    <n v="4736"/>
    <s v="Bellingham, WA"/>
    <n v="6857"/>
    <x v="104"/>
    <x v="10"/>
    <n v="1104"/>
    <x v="188"/>
    <x v="0"/>
    <n v="1104"/>
  </r>
  <r>
    <s v="Coastal"/>
    <n v="4736"/>
    <s v="Bellingham, WA"/>
    <n v="6871"/>
    <x v="73"/>
    <x v="10"/>
    <n v="944"/>
    <x v="189"/>
    <x v="0"/>
    <n v="944"/>
  </r>
  <r>
    <s v="Coastal"/>
    <n v="4736"/>
    <s v="Bellingham, WA"/>
    <n v="6136"/>
    <x v="95"/>
    <x v="10"/>
    <n v="913"/>
    <x v="190"/>
    <x v="0"/>
    <n v="913"/>
  </r>
  <r>
    <s v="Coastal"/>
    <n v="4736"/>
    <s v="Bellingham, WA"/>
    <n v="6858"/>
    <x v="74"/>
    <x v="10"/>
    <n v="716"/>
    <x v="191"/>
    <x v="0"/>
    <n v="716"/>
  </r>
  <r>
    <s v="Coastal"/>
    <n v="4736"/>
    <s v="Bellingham, WA"/>
    <n v="7210"/>
    <x v="59"/>
    <x v="10"/>
    <n v="626"/>
    <x v="192"/>
    <x v="0"/>
    <n v="626"/>
  </r>
  <r>
    <s v="Coastal"/>
    <n v="4736"/>
    <s v="Bellingham, WA"/>
    <n v="7900"/>
    <x v="21"/>
    <x v="10"/>
    <n v="619"/>
    <x v="193"/>
    <x v="0"/>
    <n v="619"/>
  </r>
  <r>
    <s v="Coastal"/>
    <n v="4736"/>
    <s v="Bellingham, WA"/>
    <n v="5540"/>
    <x v="64"/>
    <x v="10"/>
    <n v="617"/>
    <x v="194"/>
    <x v="0"/>
    <n v="617"/>
  </r>
  <r>
    <s v="Coastal"/>
    <n v="4736"/>
    <s v="Bellingham, WA"/>
    <n v="6654"/>
    <x v="50"/>
    <x v="10"/>
    <n v="421"/>
    <x v="195"/>
    <x v="0"/>
    <n v="421"/>
  </r>
  <r>
    <s v="Coastal"/>
    <n v="4736"/>
    <s v="Bellingham, WA"/>
    <n v="7400"/>
    <x v="77"/>
    <x v="10"/>
    <n v="406"/>
    <x v="196"/>
    <x v="0"/>
    <n v="406"/>
  </r>
  <r>
    <s v="Coastal"/>
    <n v="4736"/>
    <s v="Bellingham, WA"/>
    <n v="6885"/>
    <x v="72"/>
    <x v="10"/>
    <n v="371"/>
    <x v="197"/>
    <x v="0"/>
    <n v="371"/>
  </r>
  <r>
    <s v="Coastal"/>
    <n v="4736"/>
    <s v="Bellingham, WA"/>
    <n v="6888"/>
    <x v="109"/>
    <x v="10"/>
    <n v="317"/>
    <x v="198"/>
    <x v="0"/>
    <n v="317"/>
  </r>
  <r>
    <s v="Coastal"/>
    <n v="4736"/>
    <s v="Bellingham, WA"/>
    <n v="4225"/>
    <x v="10"/>
    <x v="10"/>
    <n v="312"/>
    <x v="199"/>
    <x v="0"/>
    <n v="312"/>
  </r>
  <r>
    <s v="Coastal"/>
    <n v="4736"/>
    <s v="Bellingham, WA"/>
    <n v="6856"/>
    <x v="126"/>
    <x v="10"/>
    <n v="296"/>
    <x v="200"/>
    <x v="0"/>
    <n v="296"/>
  </r>
  <r>
    <s v="Coastal"/>
    <n v="4736"/>
    <s v="Bellingham, WA"/>
    <n v="3275"/>
    <x v="47"/>
    <x v="10"/>
    <n v="218"/>
    <x v="201"/>
    <x v="0"/>
    <n v="218"/>
  </r>
  <r>
    <s v="Coastal"/>
    <n v="4736"/>
    <s v="Bellingham, WA"/>
    <n v="4189"/>
    <x v="65"/>
    <x v="10"/>
    <n v="212"/>
    <x v="202"/>
    <x v="0"/>
    <n v="212"/>
  </r>
  <r>
    <s v="Coastal"/>
    <n v="4736"/>
    <s v="Bellingham, WA"/>
    <n v="7110"/>
    <x v="4"/>
    <x v="10"/>
    <n v="176"/>
    <x v="203"/>
    <x v="0"/>
    <n v="176"/>
  </r>
  <r>
    <s v="Coastal"/>
    <n v="4736"/>
    <s v="Bellingham, WA"/>
    <n v="5190"/>
    <x v="83"/>
    <x v="10"/>
    <n v="145"/>
    <x v="147"/>
    <x v="0"/>
    <n v="145"/>
  </r>
  <r>
    <s v="Coastal"/>
    <n v="4736"/>
    <s v="Bellingham, WA"/>
    <n v="7600"/>
    <x v="68"/>
    <x v="10"/>
    <n v="141"/>
    <x v="204"/>
    <x v="0"/>
    <n v="141"/>
  </r>
  <r>
    <s v="Coastal"/>
    <n v="4736"/>
    <s v="Bellingham, WA"/>
    <n v="3286"/>
    <x v="57"/>
    <x v="10"/>
    <n v="61"/>
    <x v="205"/>
    <x v="0"/>
    <n v="61"/>
  </r>
  <r>
    <s v="Coastal"/>
    <n v="4736"/>
    <s v="Bellingham, WA"/>
    <n v="6653"/>
    <x v="24"/>
    <x v="10"/>
    <n v="51"/>
    <x v="206"/>
    <x v="0"/>
    <n v="51"/>
  </r>
  <r>
    <s v="Coastal"/>
    <n v="4736"/>
    <s v="Bellingham, WA"/>
    <n v="6899"/>
    <x v="114"/>
    <x v="10"/>
    <n v="32"/>
    <x v="152"/>
    <x v="0"/>
    <n v="32"/>
  </r>
  <r>
    <s v="Coastal"/>
    <n v="4736"/>
    <s v="Bellingham, WA"/>
    <n v="6835"/>
    <x v="92"/>
    <x v="10"/>
    <n v="26"/>
    <x v="0"/>
    <x v="160"/>
    <n v="26"/>
  </r>
  <r>
    <s v="Coastal"/>
    <n v="4736"/>
    <s v="Bellingham, WA"/>
    <n v="9900"/>
    <x v="18"/>
    <x v="10"/>
    <n v="26"/>
    <x v="207"/>
    <x v="125"/>
    <n v="26"/>
  </r>
  <r>
    <s v="Coastal"/>
    <n v="4736"/>
    <s v="Bellingham, WA"/>
    <n v="4310"/>
    <x v="96"/>
    <x v="10"/>
    <n v="25"/>
    <x v="208"/>
    <x v="0"/>
    <n v="25"/>
  </r>
  <r>
    <s v="Coastal"/>
    <n v="4736"/>
    <s v="Bellingham, WA"/>
    <n v="3285"/>
    <x v="87"/>
    <x v="10"/>
    <n v="23"/>
    <x v="209"/>
    <x v="0"/>
    <n v="23"/>
  </r>
  <r>
    <s v="Coastal"/>
    <n v="4736"/>
    <s v="Bellingham, WA"/>
    <n v="3292"/>
    <x v="51"/>
    <x v="10"/>
    <n v="22"/>
    <x v="210"/>
    <x v="0"/>
    <n v="22"/>
  </r>
  <r>
    <s v="Coastal"/>
    <n v="4736"/>
    <s v="Bellingham, WA"/>
    <n v="5480"/>
    <x v="20"/>
    <x v="10"/>
    <n v="21"/>
    <x v="154"/>
    <x v="0"/>
    <n v="21"/>
  </r>
  <r>
    <s v="Coastal"/>
    <n v="4736"/>
    <s v="Bellingham, WA"/>
    <n v="7120"/>
    <x v="71"/>
    <x v="10"/>
    <n v="14"/>
    <x v="211"/>
    <x v="0"/>
    <n v="14"/>
  </r>
  <r>
    <s v="Coastal"/>
    <n v="4736"/>
    <s v="Bellingham, WA"/>
    <n v="6889"/>
    <x v="42"/>
    <x v="10"/>
    <n v="12"/>
    <x v="20"/>
    <x v="0"/>
    <n v="12"/>
  </r>
  <r>
    <s v="Coastal"/>
    <n v="4736"/>
    <s v="Bellingham, WA"/>
    <n v="5240"/>
    <x v="89"/>
    <x v="10"/>
    <n v="2"/>
    <x v="212"/>
    <x v="0"/>
    <n v="2"/>
  </r>
  <r>
    <s v="Coastal"/>
    <n v="4904"/>
    <s v="Bethel, AK"/>
    <n v="7900"/>
    <x v="21"/>
    <x v="164"/>
    <n v="0"/>
    <x v="0"/>
    <x v="0"/>
    <n v="4951"/>
  </r>
  <r>
    <s v="Coastal"/>
    <n v="4904"/>
    <s v="Bethel, AK"/>
    <n v="2211"/>
    <x v="0"/>
    <x v="165"/>
    <n v="0"/>
    <x v="0"/>
    <x v="0"/>
    <n v="4461"/>
  </r>
  <r>
    <s v="Coastal"/>
    <n v="4904"/>
    <s v="Bethel, AK"/>
    <n v="2330"/>
    <x v="1"/>
    <x v="166"/>
    <n v="0"/>
    <x v="0"/>
    <x v="0"/>
    <n v="4438"/>
  </r>
  <r>
    <s v="Coastal"/>
    <n v="4904"/>
    <s v="Bethel, AK"/>
    <n v="7400"/>
    <x v="77"/>
    <x v="167"/>
    <n v="0"/>
    <x v="0"/>
    <x v="0"/>
    <n v="3133"/>
  </r>
  <r>
    <s v="Coastal"/>
    <n v="4904"/>
    <s v="Bethel, AK"/>
    <n v="2990"/>
    <x v="102"/>
    <x v="168"/>
    <n v="0"/>
    <x v="0"/>
    <x v="0"/>
    <n v="2347"/>
  </r>
  <r>
    <s v="Coastal"/>
    <n v="4904"/>
    <s v="Bethel, AK"/>
    <n v="5360"/>
    <x v="94"/>
    <x v="169"/>
    <n v="0"/>
    <x v="0"/>
    <x v="0"/>
    <n v="1028"/>
  </r>
  <r>
    <s v="Coastal"/>
    <n v="4904"/>
    <s v="Bethel, AK"/>
    <n v="7210"/>
    <x v="59"/>
    <x v="170"/>
    <n v="0"/>
    <x v="0"/>
    <x v="0"/>
    <n v="919"/>
  </r>
  <r>
    <s v="Coastal"/>
    <n v="4904"/>
    <s v="Bethel, AK"/>
    <n v="2221"/>
    <x v="9"/>
    <x v="171"/>
    <n v="0"/>
    <x v="0"/>
    <x v="0"/>
    <n v="889"/>
  </r>
  <r>
    <s v="Coastal"/>
    <n v="4904"/>
    <s v="Bethel, AK"/>
    <n v="7110"/>
    <x v="4"/>
    <x v="172"/>
    <n v="0"/>
    <x v="0"/>
    <x v="0"/>
    <n v="864"/>
  </r>
  <r>
    <s v="Coastal"/>
    <n v="4904"/>
    <s v="Bethel, AK"/>
    <n v="6887"/>
    <x v="138"/>
    <x v="173"/>
    <n v="0"/>
    <x v="0"/>
    <x v="0"/>
    <n v="801"/>
  </r>
  <r>
    <s v="Coastal"/>
    <n v="4904"/>
    <s v="Bethel, AK"/>
    <n v="4189"/>
    <x v="65"/>
    <x v="174"/>
    <n v="0"/>
    <x v="0"/>
    <x v="0"/>
    <n v="796"/>
  </r>
  <r>
    <s v="Coastal"/>
    <n v="4904"/>
    <s v="Bethel, AK"/>
    <n v="3220"/>
    <x v="2"/>
    <x v="175"/>
    <n v="0"/>
    <x v="0"/>
    <x v="0"/>
    <n v="711"/>
  </r>
  <r>
    <s v="Coastal"/>
    <n v="4904"/>
    <s v="Bethel, AK"/>
    <n v="5480"/>
    <x v="20"/>
    <x v="176"/>
    <n v="0"/>
    <x v="0"/>
    <x v="0"/>
    <n v="607"/>
  </r>
  <r>
    <s v="Coastal"/>
    <n v="4904"/>
    <s v="Bethel, AK"/>
    <n v="4783"/>
    <x v="7"/>
    <x v="177"/>
    <n v="0"/>
    <x v="0"/>
    <x v="0"/>
    <n v="300"/>
  </r>
  <r>
    <s v="Coastal"/>
    <n v="4904"/>
    <s v="Bethel, AK"/>
    <n v="4331"/>
    <x v="29"/>
    <x v="178"/>
    <n v="0"/>
    <x v="0"/>
    <x v="0"/>
    <n v="223"/>
  </r>
  <r>
    <s v="Coastal"/>
    <n v="4904"/>
    <s v="Bethel, AK"/>
    <n v="7230"/>
    <x v="22"/>
    <x v="179"/>
    <n v="0"/>
    <x v="0"/>
    <x v="0"/>
    <n v="78"/>
  </r>
  <r>
    <s v="Coastal"/>
    <n v="4904"/>
    <s v="Bethel, AK"/>
    <n v="5190"/>
    <x v="83"/>
    <x v="180"/>
    <n v="0"/>
    <x v="0"/>
    <x v="0"/>
    <n v="75"/>
  </r>
  <r>
    <s v="Coastal"/>
    <n v="4904"/>
    <s v="Bethel, AK"/>
    <n v="5370"/>
    <x v="81"/>
    <x v="180"/>
    <n v="0"/>
    <x v="0"/>
    <x v="0"/>
    <n v="75"/>
  </r>
  <r>
    <s v="Coastal"/>
    <n v="4904"/>
    <s v="Bethel, AK"/>
    <n v="6885"/>
    <x v="72"/>
    <x v="129"/>
    <n v="0"/>
    <x v="0"/>
    <x v="0"/>
    <n v="59"/>
  </r>
  <r>
    <s v="Coastal"/>
    <n v="4904"/>
    <s v="Bethel, AK"/>
    <n v="7500"/>
    <x v="60"/>
    <x v="181"/>
    <n v="0"/>
    <x v="0"/>
    <x v="0"/>
    <n v="45"/>
  </r>
  <r>
    <s v="Coastal"/>
    <n v="4904"/>
    <s v="Bethel, AK"/>
    <n v="6782"/>
    <x v="27"/>
    <x v="182"/>
    <n v="0"/>
    <x v="0"/>
    <x v="0"/>
    <n v="31"/>
  </r>
  <r>
    <s v="Coastal"/>
    <n v="4904"/>
    <s v="Bethel, AK"/>
    <n v="5540"/>
    <x v="64"/>
    <x v="183"/>
    <n v="0"/>
    <x v="0"/>
    <x v="0"/>
    <n v="27"/>
  </r>
  <r>
    <s v="Coastal"/>
    <n v="4904"/>
    <s v="Bethel, AK"/>
    <n v="5240"/>
    <x v="89"/>
    <x v="184"/>
    <n v="0"/>
    <x v="0"/>
    <x v="0"/>
    <n v="19"/>
  </r>
  <r>
    <s v="Coastal"/>
    <n v="4904"/>
    <s v="Bethel, AK"/>
    <n v="7120"/>
    <x v="71"/>
    <x v="185"/>
    <n v="0"/>
    <x v="0"/>
    <x v="0"/>
    <n v="16"/>
  </r>
  <r>
    <s v="Coastal"/>
    <n v="4904"/>
    <s v="Bethel, AK"/>
    <n v="3282"/>
    <x v="91"/>
    <x v="186"/>
    <n v="0"/>
    <x v="0"/>
    <x v="0"/>
    <n v="5"/>
  </r>
  <r>
    <s v="Coastal"/>
    <n v="4904"/>
    <s v="Bethel, AK"/>
    <n v="4420"/>
    <x v="8"/>
    <x v="186"/>
    <n v="0"/>
    <x v="0"/>
    <x v="0"/>
    <n v="5"/>
  </r>
  <r>
    <s v="Coastal"/>
    <n v="4904"/>
    <s v="Bethel, AK"/>
    <n v="5290"/>
    <x v="49"/>
    <x v="186"/>
    <n v="0"/>
    <x v="0"/>
    <x v="0"/>
    <n v="5"/>
  </r>
  <r>
    <s v="Coastal"/>
    <n v="1990"/>
    <s v="Biloxi Port Division, MS"/>
    <n v="4322"/>
    <x v="33"/>
    <x v="187"/>
    <n v="0"/>
    <x v="0"/>
    <x v="0"/>
    <n v="265054"/>
  </r>
  <r>
    <s v="Coastal"/>
    <n v="1990"/>
    <s v="Biloxi Port Division, MS"/>
    <n v="4331"/>
    <x v="29"/>
    <x v="188"/>
    <n v="0"/>
    <x v="0"/>
    <x v="0"/>
    <n v="180048"/>
  </r>
  <r>
    <s v="Coastal"/>
    <n v="1990"/>
    <s v="Biloxi Port Division, MS"/>
    <n v="4335"/>
    <x v="5"/>
    <x v="189"/>
    <n v="0"/>
    <x v="0"/>
    <x v="0"/>
    <n v="65703"/>
  </r>
  <r>
    <s v="Coastal"/>
    <n v="149"/>
    <s v="Boston, MA"/>
    <n v="2211"/>
    <x v="0"/>
    <x v="190"/>
    <n v="3214452"/>
    <x v="213"/>
    <x v="0"/>
    <n v="4584796"/>
  </r>
  <r>
    <s v="Coastal"/>
    <n v="149"/>
    <s v="Boston, MA"/>
    <n v="2330"/>
    <x v="1"/>
    <x v="191"/>
    <n v="2055930"/>
    <x v="214"/>
    <x v="161"/>
    <n v="2447532"/>
  </r>
  <r>
    <s v="Coastal"/>
    <n v="149"/>
    <s v="Boston, MA"/>
    <n v="2221"/>
    <x v="9"/>
    <x v="192"/>
    <n v="811487"/>
    <x v="215"/>
    <x v="0"/>
    <n v="1157501"/>
  </r>
  <r>
    <s v="Coastal"/>
    <n v="149"/>
    <s v="Boston, MA"/>
    <n v="4783"/>
    <x v="7"/>
    <x v="10"/>
    <n v="1030988"/>
    <x v="216"/>
    <x v="0"/>
    <n v="1030988"/>
  </r>
  <r>
    <s v="Coastal"/>
    <n v="149"/>
    <s v="Boston, MA"/>
    <n v="3220"/>
    <x v="2"/>
    <x v="193"/>
    <n v="1953"/>
    <x v="217"/>
    <x v="162"/>
    <n v="647080"/>
  </r>
  <r>
    <s v="Coastal"/>
    <n v="149"/>
    <s v="Boston, MA"/>
    <n v="2640"/>
    <x v="110"/>
    <x v="10"/>
    <n v="620118"/>
    <x v="218"/>
    <x v="0"/>
    <n v="620118"/>
  </r>
  <r>
    <s v="Coastal"/>
    <n v="149"/>
    <s v="Boston, MA"/>
    <n v="4420"/>
    <x v="8"/>
    <x v="10"/>
    <n v="601596"/>
    <x v="154"/>
    <x v="163"/>
    <n v="601596"/>
  </r>
  <r>
    <s v="Coastal"/>
    <n v="149"/>
    <s v="Boston, MA"/>
    <n v="4225"/>
    <x v="10"/>
    <x v="10"/>
    <n v="367265"/>
    <x v="219"/>
    <x v="164"/>
    <n v="367265"/>
  </r>
  <r>
    <s v="Coastal"/>
    <n v="149"/>
    <s v="Boston, MA"/>
    <n v="2340"/>
    <x v="3"/>
    <x v="194"/>
    <n v="0"/>
    <x v="0"/>
    <x v="0"/>
    <n v="216168"/>
  </r>
  <r>
    <s v="Coastal"/>
    <n v="149"/>
    <s v="Boston, MA"/>
    <n v="6885"/>
    <x v="72"/>
    <x v="10"/>
    <n v="132688"/>
    <x v="220"/>
    <x v="165"/>
    <n v="132688"/>
  </r>
  <r>
    <s v="Coastal"/>
    <n v="149"/>
    <s v="Boston, MA"/>
    <n v="5220"/>
    <x v="30"/>
    <x v="195"/>
    <n v="32"/>
    <x v="208"/>
    <x v="166"/>
    <n v="103209"/>
  </r>
  <r>
    <s v="Coastal"/>
    <n v="149"/>
    <s v="Boston, MA"/>
    <n v="5290"/>
    <x v="49"/>
    <x v="10"/>
    <n v="100692"/>
    <x v="221"/>
    <x v="167"/>
    <n v="100692"/>
  </r>
  <r>
    <s v="Coastal"/>
    <n v="149"/>
    <s v="Boston, MA"/>
    <n v="6653"/>
    <x v="24"/>
    <x v="10"/>
    <n v="99925"/>
    <x v="222"/>
    <x v="168"/>
    <n v="99925"/>
  </r>
  <r>
    <s v="Coastal"/>
    <n v="149"/>
    <s v="Boston, MA"/>
    <n v="7900"/>
    <x v="21"/>
    <x v="10"/>
    <n v="94573"/>
    <x v="223"/>
    <x v="169"/>
    <n v="94573"/>
  </r>
  <r>
    <s v="Coastal"/>
    <n v="149"/>
    <s v="Boston, MA"/>
    <n v="7210"/>
    <x v="59"/>
    <x v="10"/>
    <n v="83470"/>
    <x v="224"/>
    <x v="170"/>
    <n v="83470"/>
  </r>
  <r>
    <s v="Coastal"/>
    <n v="149"/>
    <s v="Boston, MA"/>
    <n v="7500"/>
    <x v="60"/>
    <x v="10"/>
    <n v="81430"/>
    <x v="225"/>
    <x v="171"/>
    <n v="81430"/>
  </r>
  <r>
    <s v="Coastal"/>
    <n v="149"/>
    <s v="Boston, MA"/>
    <n v="4170"/>
    <x v="55"/>
    <x v="10"/>
    <n v="67827"/>
    <x v="226"/>
    <x v="172"/>
    <n v="67827"/>
  </r>
  <r>
    <s v="Coastal"/>
    <n v="149"/>
    <s v="Boston, MA"/>
    <n v="7600"/>
    <x v="68"/>
    <x v="10"/>
    <n v="62525"/>
    <x v="227"/>
    <x v="173"/>
    <n v="62525"/>
  </r>
  <r>
    <s v="Coastal"/>
    <n v="149"/>
    <s v="Boston, MA"/>
    <n v="5120"/>
    <x v="63"/>
    <x v="10"/>
    <n v="58024"/>
    <x v="228"/>
    <x v="174"/>
    <n v="58024"/>
  </r>
  <r>
    <s v="Coastal"/>
    <n v="149"/>
    <s v="Boston, MA"/>
    <n v="3286"/>
    <x v="57"/>
    <x v="10"/>
    <n v="56241"/>
    <x v="229"/>
    <x v="175"/>
    <n v="56241"/>
  </r>
  <r>
    <s v="Coastal"/>
    <n v="149"/>
    <s v="Boston, MA"/>
    <n v="4900"/>
    <x v="14"/>
    <x v="10"/>
    <n v="53128"/>
    <x v="230"/>
    <x v="176"/>
    <n v="53128"/>
  </r>
  <r>
    <s v="Coastal"/>
    <n v="149"/>
    <s v="Boston, MA"/>
    <n v="4860"/>
    <x v="31"/>
    <x v="196"/>
    <n v="0"/>
    <x v="0"/>
    <x v="0"/>
    <n v="49575"/>
  </r>
  <r>
    <s v="Coastal"/>
    <n v="149"/>
    <s v="Boston, MA"/>
    <n v="5480"/>
    <x v="20"/>
    <x v="10"/>
    <n v="46764"/>
    <x v="231"/>
    <x v="177"/>
    <n v="46764"/>
  </r>
  <r>
    <s v="Coastal"/>
    <n v="149"/>
    <s v="Boston, MA"/>
    <n v="4680"/>
    <x v="70"/>
    <x v="10"/>
    <n v="46757"/>
    <x v="154"/>
    <x v="178"/>
    <n v="46757"/>
  </r>
  <r>
    <s v="Coastal"/>
    <n v="149"/>
    <s v="Boston, MA"/>
    <n v="4189"/>
    <x v="65"/>
    <x v="10"/>
    <n v="45254"/>
    <x v="232"/>
    <x v="179"/>
    <n v="45254"/>
  </r>
  <r>
    <s v="Coastal"/>
    <n v="149"/>
    <s v="Boston, MA"/>
    <n v="6134"/>
    <x v="82"/>
    <x v="10"/>
    <n v="38400"/>
    <x v="233"/>
    <x v="180"/>
    <n v="38400"/>
  </r>
  <r>
    <s v="Coastal"/>
    <n v="149"/>
    <s v="Boston, MA"/>
    <n v="6747"/>
    <x v="78"/>
    <x v="10"/>
    <n v="38397"/>
    <x v="234"/>
    <x v="181"/>
    <n v="38397"/>
  </r>
  <r>
    <s v="Coastal"/>
    <n v="149"/>
    <s v="Boston, MA"/>
    <n v="6136"/>
    <x v="95"/>
    <x v="10"/>
    <n v="34385"/>
    <x v="235"/>
    <x v="182"/>
    <n v="34385"/>
  </r>
  <r>
    <s v="Coastal"/>
    <n v="149"/>
    <s v="Boston, MA"/>
    <n v="7110"/>
    <x v="4"/>
    <x v="10"/>
    <n v="34110"/>
    <x v="236"/>
    <x v="183"/>
    <n v="34110"/>
  </r>
  <r>
    <s v="Coastal"/>
    <n v="149"/>
    <s v="Boston, MA"/>
    <n v="7120"/>
    <x v="71"/>
    <x v="10"/>
    <n v="33070"/>
    <x v="237"/>
    <x v="184"/>
    <n v="33070"/>
  </r>
  <r>
    <s v="Coastal"/>
    <n v="149"/>
    <s v="Boston, MA"/>
    <n v="6654"/>
    <x v="50"/>
    <x v="10"/>
    <n v="18931"/>
    <x v="238"/>
    <x v="185"/>
    <n v="18931"/>
  </r>
  <r>
    <s v="Coastal"/>
    <n v="149"/>
    <s v="Boston, MA"/>
    <n v="6889"/>
    <x v="42"/>
    <x v="10"/>
    <n v="17580"/>
    <x v="239"/>
    <x v="186"/>
    <n v="17580"/>
  </r>
  <r>
    <s v="Coastal"/>
    <n v="149"/>
    <s v="Boston, MA"/>
    <n v="5240"/>
    <x v="89"/>
    <x v="10"/>
    <n v="17171"/>
    <x v="240"/>
    <x v="187"/>
    <n v="17171"/>
  </r>
  <r>
    <s v="Coastal"/>
    <n v="149"/>
    <s v="Boston, MA"/>
    <n v="9900"/>
    <x v="18"/>
    <x v="10"/>
    <n v="15374"/>
    <x v="241"/>
    <x v="188"/>
    <n v="15374"/>
  </r>
  <r>
    <s v="Coastal"/>
    <n v="149"/>
    <s v="Boston, MA"/>
    <n v="3299"/>
    <x v="79"/>
    <x v="10"/>
    <n v="14555"/>
    <x v="242"/>
    <x v="189"/>
    <n v="14555"/>
  </r>
  <r>
    <s v="Coastal"/>
    <n v="149"/>
    <s v="Boston, MA"/>
    <n v="6839"/>
    <x v="106"/>
    <x v="10"/>
    <n v="13637"/>
    <x v="243"/>
    <x v="190"/>
    <n v="13637"/>
  </r>
  <r>
    <s v="Coastal"/>
    <n v="149"/>
    <s v="Boston, MA"/>
    <n v="5422"/>
    <x v="66"/>
    <x v="10"/>
    <n v="12647"/>
    <x v="244"/>
    <x v="191"/>
    <n v="12647"/>
  </r>
  <r>
    <s v="Coastal"/>
    <n v="149"/>
    <s v="Boston, MA"/>
    <n v="5540"/>
    <x v="64"/>
    <x v="10"/>
    <n v="12546"/>
    <x v="245"/>
    <x v="192"/>
    <n v="12546"/>
  </r>
  <r>
    <s v="Coastal"/>
    <n v="149"/>
    <s v="Boston, MA"/>
    <n v="4310"/>
    <x v="96"/>
    <x v="10"/>
    <n v="12231"/>
    <x v="246"/>
    <x v="193"/>
    <n v="12231"/>
  </r>
  <r>
    <s v="Coastal"/>
    <n v="149"/>
    <s v="Boston, MA"/>
    <n v="2429"/>
    <x v="17"/>
    <x v="197"/>
    <n v="0"/>
    <x v="0"/>
    <x v="0"/>
    <n v="10835"/>
  </r>
  <r>
    <s v="Coastal"/>
    <n v="149"/>
    <s v="Boston, MA"/>
    <n v="7400"/>
    <x v="77"/>
    <x v="10"/>
    <n v="9264"/>
    <x v="247"/>
    <x v="194"/>
    <n v="9264"/>
  </r>
  <r>
    <s v="Coastal"/>
    <n v="149"/>
    <s v="Boston, MA"/>
    <n v="5190"/>
    <x v="83"/>
    <x v="10"/>
    <n v="8458"/>
    <x v="248"/>
    <x v="67"/>
    <n v="8458"/>
  </r>
  <r>
    <s v="Coastal"/>
    <n v="149"/>
    <s v="Boston, MA"/>
    <n v="6835"/>
    <x v="92"/>
    <x v="10"/>
    <n v="8183"/>
    <x v="249"/>
    <x v="195"/>
    <n v="8183"/>
  </r>
  <r>
    <s v="Coastal"/>
    <n v="149"/>
    <s v="Boston, MA"/>
    <n v="6822"/>
    <x v="84"/>
    <x v="10"/>
    <n v="7888"/>
    <x v="250"/>
    <x v="196"/>
    <n v="7888"/>
  </r>
  <r>
    <s v="Coastal"/>
    <n v="149"/>
    <s v="Boston, MA"/>
    <n v="5421"/>
    <x v="88"/>
    <x v="10"/>
    <n v="7413"/>
    <x v="251"/>
    <x v="197"/>
    <n v="7413"/>
  </r>
  <r>
    <s v="Coastal"/>
    <n v="149"/>
    <s v="Boston, MA"/>
    <n v="6858"/>
    <x v="74"/>
    <x v="10"/>
    <n v="6905"/>
    <x v="252"/>
    <x v="198"/>
    <n v="6905"/>
  </r>
  <r>
    <s v="Coastal"/>
    <n v="149"/>
    <s v="Boston, MA"/>
    <n v="3276"/>
    <x v="12"/>
    <x v="10"/>
    <n v="5270"/>
    <x v="253"/>
    <x v="199"/>
    <n v="5270"/>
  </r>
  <r>
    <s v="Coastal"/>
    <n v="149"/>
    <s v="Boston, MA"/>
    <n v="3292"/>
    <x v="51"/>
    <x v="10"/>
    <n v="4999"/>
    <x v="254"/>
    <x v="200"/>
    <n v="4999"/>
  </r>
  <r>
    <s v="Coastal"/>
    <n v="149"/>
    <s v="Boston, MA"/>
    <n v="3285"/>
    <x v="87"/>
    <x v="10"/>
    <n v="4963"/>
    <x v="255"/>
    <x v="201"/>
    <n v="4963"/>
  </r>
  <r>
    <s v="Coastal"/>
    <n v="149"/>
    <s v="Boston, MA"/>
    <n v="3275"/>
    <x v="47"/>
    <x v="10"/>
    <n v="4531"/>
    <x v="256"/>
    <x v="202"/>
    <n v="4531"/>
  </r>
  <r>
    <s v="Coastal"/>
    <n v="149"/>
    <s v="Boston, MA"/>
    <n v="4331"/>
    <x v="29"/>
    <x v="10"/>
    <n v="3706"/>
    <x v="257"/>
    <x v="203"/>
    <n v="3706"/>
  </r>
  <r>
    <s v="Coastal"/>
    <n v="149"/>
    <s v="Boston, MA"/>
    <n v="3282"/>
    <x v="91"/>
    <x v="10"/>
    <n v="3660"/>
    <x v="258"/>
    <x v="204"/>
    <n v="3660"/>
  </r>
  <r>
    <s v="Coastal"/>
    <n v="149"/>
    <s v="Boston, MA"/>
    <n v="3230"/>
    <x v="80"/>
    <x v="10"/>
    <n v="3610"/>
    <x v="259"/>
    <x v="205"/>
    <n v="3610"/>
  </r>
  <r>
    <s v="Coastal"/>
    <n v="149"/>
    <s v="Boston, MA"/>
    <n v="6782"/>
    <x v="27"/>
    <x v="10"/>
    <n v="3553"/>
    <x v="260"/>
    <x v="206"/>
    <n v="3553"/>
  </r>
  <r>
    <s v="Coastal"/>
    <n v="149"/>
    <s v="Boston, MA"/>
    <n v="5360"/>
    <x v="94"/>
    <x v="10"/>
    <n v="3463"/>
    <x v="261"/>
    <x v="207"/>
    <n v="3463"/>
  </r>
  <r>
    <s v="Coastal"/>
    <n v="149"/>
    <s v="Boston, MA"/>
    <n v="5370"/>
    <x v="81"/>
    <x v="10"/>
    <n v="2966"/>
    <x v="262"/>
    <x v="208"/>
    <n v="2966"/>
  </r>
  <r>
    <s v="Coastal"/>
    <n v="149"/>
    <s v="Boston, MA"/>
    <n v="4190"/>
    <x v="99"/>
    <x v="10"/>
    <n v="2938"/>
    <x v="263"/>
    <x v="209"/>
    <n v="2938"/>
  </r>
  <r>
    <s v="Coastal"/>
    <n v="149"/>
    <s v="Boston, MA"/>
    <n v="5429"/>
    <x v="61"/>
    <x v="10"/>
    <n v="2696"/>
    <x v="264"/>
    <x v="210"/>
    <n v="2696"/>
  </r>
  <r>
    <s v="Coastal"/>
    <n v="149"/>
    <s v="Boston, MA"/>
    <n v="6888"/>
    <x v="109"/>
    <x v="10"/>
    <n v="2540"/>
    <x v="265"/>
    <x v="0"/>
    <n v="2540"/>
  </r>
  <r>
    <s v="Coastal"/>
    <n v="149"/>
    <s v="Boston, MA"/>
    <n v="5330"/>
    <x v="16"/>
    <x v="10"/>
    <n v="2139"/>
    <x v="266"/>
    <x v="211"/>
    <n v="2139"/>
  </r>
  <r>
    <s v="Coastal"/>
    <n v="149"/>
    <s v="Boston, MA"/>
    <n v="3283"/>
    <x v="111"/>
    <x v="10"/>
    <n v="2102"/>
    <x v="267"/>
    <x v="212"/>
    <n v="2102"/>
  </r>
  <r>
    <s v="Coastal"/>
    <n v="149"/>
    <s v="Boston, MA"/>
    <n v="6442"/>
    <x v="85"/>
    <x v="10"/>
    <n v="1961"/>
    <x v="268"/>
    <x v="86"/>
    <n v="1961"/>
  </r>
  <r>
    <s v="Coastal"/>
    <n v="149"/>
    <s v="Boston, MA"/>
    <n v="2410"/>
    <x v="98"/>
    <x v="10"/>
    <n v="1941"/>
    <x v="269"/>
    <x v="213"/>
    <n v="1941"/>
  </r>
  <r>
    <s v="Coastal"/>
    <n v="149"/>
    <s v="Boston, MA"/>
    <n v="3279"/>
    <x v="58"/>
    <x v="10"/>
    <n v="1893"/>
    <x v="270"/>
    <x v="214"/>
    <n v="1893"/>
  </r>
  <r>
    <s v="Coastal"/>
    <n v="149"/>
    <s v="Boston, MA"/>
    <n v="6893"/>
    <x v="113"/>
    <x v="10"/>
    <n v="1352"/>
    <x v="271"/>
    <x v="215"/>
    <n v="1352"/>
  </r>
  <r>
    <s v="Coastal"/>
    <n v="149"/>
    <s v="Boston, MA"/>
    <n v="6894"/>
    <x v="120"/>
    <x v="10"/>
    <n v="1334"/>
    <x v="272"/>
    <x v="0"/>
    <n v="1334"/>
  </r>
  <r>
    <s v="Coastal"/>
    <n v="149"/>
    <s v="Boston, MA"/>
    <n v="6590"/>
    <x v="23"/>
    <x v="10"/>
    <n v="1326"/>
    <x v="273"/>
    <x v="216"/>
    <n v="1326"/>
  </r>
  <r>
    <s v="Coastal"/>
    <n v="149"/>
    <s v="Boston, MA"/>
    <n v="3240"/>
    <x v="53"/>
    <x v="10"/>
    <n v="1296"/>
    <x v="274"/>
    <x v="217"/>
    <n v="1296"/>
  </r>
  <r>
    <s v="Coastal"/>
    <n v="149"/>
    <s v="Boston, MA"/>
    <n v="6811"/>
    <x v="76"/>
    <x v="10"/>
    <n v="1270"/>
    <x v="275"/>
    <x v="218"/>
    <n v="1270"/>
  </r>
  <r>
    <s v="Coastal"/>
    <n v="149"/>
    <s v="Boston, MA"/>
    <n v="3297"/>
    <x v="116"/>
    <x v="10"/>
    <n v="1160"/>
    <x v="276"/>
    <x v="219"/>
    <n v="1160"/>
  </r>
  <r>
    <s v="Coastal"/>
    <n v="149"/>
    <s v="Boston, MA"/>
    <n v="5390"/>
    <x v="44"/>
    <x v="10"/>
    <n v="1135"/>
    <x v="277"/>
    <x v="220"/>
    <n v="1135"/>
  </r>
  <r>
    <s v="Coastal"/>
    <n v="149"/>
    <s v="Boston, MA"/>
    <n v="6871"/>
    <x v="73"/>
    <x v="10"/>
    <n v="943"/>
    <x v="278"/>
    <x v="166"/>
    <n v="943"/>
  </r>
  <r>
    <s v="Coastal"/>
    <n v="149"/>
    <s v="Boston, MA"/>
    <n v="4650"/>
    <x v="67"/>
    <x v="10"/>
    <n v="935"/>
    <x v="279"/>
    <x v="221"/>
    <n v="935"/>
  </r>
  <r>
    <s v="Coastal"/>
    <n v="149"/>
    <s v="Boston, MA"/>
    <n v="6857"/>
    <x v="104"/>
    <x v="10"/>
    <n v="896"/>
    <x v="280"/>
    <x v="222"/>
    <n v="896"/>
  </r>
  <r>
    <s v="Coastal"/>
    <n v="149"/>
    <s v="Boston, MA"/>
    <n v="6861"/>
    <x v="69"/>
    <x v="10"/>
    <n v="856"/>
    <x v="281"/>
    <x v="0"/>
    <n v="856"/>
  </r>
  <r>
    <s v="Coastal"/>
    <n v="149"/>
    <s v="Boston, MA"/>
    <n v="3219"/>
    <x v="19"/>
    <x v="10"/>
    <n v="784"/>
    <x v="282"/>
    <x v="223"/>
    <n v="784"/>
  </r>
  <r>
    <s v="Coastal"/>
    <n v="149"/>
    <s v="Boston, MA"/>
    <n v="3274"/>
    <x v="86"/>
    <x v="10"/>
    <n v="759"/>
    <x v="283"/>
    <x v="129"/>
    <n v="759"/>
  </r>
  <r>
    <s v="Coastal"/>
    <n v="149"/>
    <s v="Boston, MA"/>
    <n v="7230"/>
    <x v="22"/>
    <x v="10"/>
    <n v="725"/>
    <x v="284"/>
    <x v="205"/>
    <n v="725"/>
  </r>
  <r>
    <s v="Coastal"/>
    <n v="149"/>
    <s v="Boston, MA"/>
    <n v="4782"/>
    <x v="45"/>
    <x v="10"/>
    <n v="585"/>
    <x v="285"/>
    <x v="224"/>
    <n v="585"/>
  </r>
  <r>
    <s v="Coastal"/>
    <n v="149"/>
    <s v="Boston, MA"/>
    <n v="3284"/>
    <x v="97"/>
    <x v="10"/>
    <n v="581"/>
    <x v="286"/>
    <x v="225"/>
    <n v="581"/>
  </r>
  <r>
    <s v="Coastal"/>
    <n v="149"/>
    <s v="Boston, MA"/>
    <n v="3260"/>
    <x v="107"/>
    <x v="10"/>
    <n v="514"/>
    <x v="287"/>
    <x v="226"/>
    <n v="514"/>
  </r>
  <r>
    <s v="Coastal"/>
    <n v="149"/>
    <s v="Boston, MA"/>
    <n v="3190"/>
    <x v="38"/>
    <x v="10"/>
    <n v="510"/>
    <x v="288"/>
    <x v="227"/>
    <n v="510"/>
  </r>
  <r>
    <s v="Coastal"/>
    <n v="149"/>
    <s v="Boston, MA"/>
    <n v="6746"/>
    <x v="118"/>
    <x v="10"/>
    <n v="507"/>
    <x v="289"/>
    <x v="0"/>
    <n v="507"/>
  </r>
  <r>
    <s v="Coastal"/>
    <n v="149"/>
    <s v="Boston, MA"/>
    <n v="3250"/>
    <x v="108"/>
    <x v="10"/>
    <n v="476"/>
    <x v="290"/>
    <x v="228"/>
    <n v="476"/>
  </r>
  <r>
    <s v="Coastal"/>
    <n v="149"/>
    <s v="Boston, MA"/>
    <n v="7220"/>
    <x v="103"/>
    <x v="10"/>
    <n v="440"/>
    <x v="291"/>
    <x v="229"/>
    <n v="440"/>
  </r>
  <r>
    <s v="Coastal"/>
    <n v="149"/>
    <s v="Boston, MA"/>
    <n v="6872"/>
    <x v="100"/>
    <x v="10"/>
    <n v="415"/>
    <x v="290"/>
    <x v="0"/>
    <n v="415"/>
  </r>
  <r>
    <s v="Coastal"/>
    <n v="149"/>
    <s v="Boston, MA"/>
    <n v="6899"/>
    <x v="114"/>
    <x v="10"/>
    <n v="364"/>
    <x v="292"/>
    <x v="0"/>
    <n v="364"/>
  </r>
  <r>
    <s v="Coastal"/>
    <n v="149"/>
    <s v="Boston, MA"/>
    <n v="6522"/>
    <x v="26"/>
    <x v="10"/>
    <n v="284"/>
    <x v="293"/>
    <x v="230"/>
    <n v="284"/>
  </r>
  <r>
    <s v="Coastal"/>
    <n v="149"/>
    <s v="Boston, MA"/>
    <n v="5312"/>
    <x v="52"/>
    <x v="10"/>
    <n v="271"/>
    <x v="294"/>
    <x v="231"/>
    <n v="271"/>
  </r>
  <r>
    <s v="Coastal"/>
    <n v="149"/>
    <s v="Boston, MA"/>
    <n v="4690"/>
    <x v="62"/>
    <x v="10"/>
    <n v="258"/>
    <x v="295"/>
    <x v="0"/>
    <n v="258"/>
  </r>
  <r>
    <s v="Coastal"/>
    <n v="149"/>
    <s v="Boston, MA"/>
    <n v="3110"/>
    <x v="36"/>
    <x v="10"/>
    <n v="242"/>
    <x v="296"/>
    <x v="86"/>
    <n v="242"/>
  </r>
  <r>
    <s v="Coastal"/>
    <n v="149"/>
    <s v="Boston, MA"/>
    <n v="4110"/>
    <x v="105"/>
    <x v="10"/>
    <n v="231"/>
    <x v="297"/>
    <x v="232"/>
    <n v="231"/>
  </r>
  <r>
    <s v="Coastal"/>
    <n v="149"/>
    <s v="Boston, MA"/>
    <n v="4150"/>
    <x v="101"/>
    <x v="10"/>
    <n v="231"/>
    <x v="298"/>
    <x v="0"/>
    <n v="231"/>
  </r>
  <r>
    <s v="Coastal"/>
    <n v="149"/>
    <s v="Boston, MA"/>
    <n v="6817"/>
    <x v="119"/>
    <x v="10"/>
    <n v="218"/>
    <x v="299"/>
    <x v="233"/>
    <n v="218"/>
  </r>
  <r>
    <s v="Coastal"/>
    <n v="149"/>
    <s v="Boston, MA"/>
    <n v="4515"/>
    <x v="129"/>
    <x v="10"/>
    <n v="187"/>
    <x v="300"/>
    <x v="0"/>
    <n v="187"/>
  </r>
  <r>
    <s v="Coastal"/>
    <n v="149"/>
    <s v="Boston, MA"/>
    <n v="3291"/>
    <x v="117"/>
    <x v="10"/>
    <n v="179"/>
    <x v="301"/>
    <x v="234"/>
    <n v="179"/>
  </r>
  <r>
    <s v="Coastal"/>
    <n v="149"/>
    <s v="Boston, MA"/>
    <n v="6891"/>
    <x v="93"/>
    <x v="10"/>
    <n v="147"/>
    <x v="302"/>
    <x v="234"/>
    <n v="147"/>
  </r>
  <r>
    <s v="Coastal"/>
    <n v="149"/>
    <s v="Boston, MA"/>
    <n v="6838"/>
    <x v="131"/>
    <x v="10"/>
    <n v="137"/>
    <x v="303"/>
    <x v="0"/>
    <n v="137"/>
  </r>
  <r>
    <s v="Coastal"/>
    <n v="149"/>
    <s v="Boston, MA"/>
    <n v="5110"/>
    <x v="112"/>
    <x v="10"/>
    <n v="129"/>
    <x v="0"/>
    <x v="12"/>
    <n v="129"/>
  </r>
  <r>
    <s v="Coastal"/>
    <n v="149"/>
    <s v="Boston, MA"/>
    <n v="6344"/>
    <x v="25"/>
    <x v="10"/>
    <n v="124"/>
    <x v="304"/>
    <x v="0"/>
    <n v="124"/>
  </r>
  <r>
    <s v="Coastal"/>
    <n v="149"/>
    <s v="Boston, MA"/>
    <n v="7300"/>
    <x v="115"/>
    <x v="10"/>
    <n v="114"/>
    <x v="305"/>
    <x v="0"/>
    <n v="114"/>
  </r>
  <r>
    <s v="Coastal"/>
    <n v="149"/>
    <s v="Boston, MA"/>
    <n v="4322"/>
    <x v="33"/>
    <x v="10"/>
    <n v="99"/>
    <x v="306"/>
    <x v="0"/>
    <n v="99"/>
  </r>
  <r>
    <s v="Coastal"/>
    <n v="149"/>
    <s v="Boston, MA"/>
    <n v="6856"/>
    <x v="126"/>
    <x v="10"/>
    <n v="79"/>
    <x v="307"/>
    <x v="0"/>
    <n v="79"/>
  </r>
  <r>
    <s v="Coastal"/>
    <n v="149"/>
    <s v="Boston, MA"/>
    <n v="1100"/>
    <x v="32"/>
    <x v="10"/>
    <n v="63"/>
    <x v="308"/>
    <x v="235"/>
    <n v="63"/>
  </r>
  <r>
    <s v="Coastal"/>
    <n v="149"/>
    <s v="Boston, MA"/>
    <n v="3293"/>
    <x v="122"/>
    <x v="10"/>
    <n v="52"/>
    <x v="309"/>
    <x v="0"/>
    <n v="52"/>
  </r>
  <r>
    <s v="Coastal"/>
    <n v="149"/>
    <s v="Boston, MA"/>
    <n v="3130"/>
    <x v="37"/>
    <x v="10"/>
    <n v="41"/>
    <x v="182"/>
    <x v="236"/>
    <n v="41"/>
  </r>
  <r>
    <s v="Coastal"/>
    <n v="149"/>
    <s v="Boston, MA"/>
    <n v="3211"/>
    <x v="124"/>
    <x v="10"/>
    <n v="36"/>
    <x v="51"/>
    <x v="0"/>
    <n v="36"/>
  </r>
  <r>
    <s v="Coastal"/>
    <n v="149"/>
    <s v="Boston, MA"/>
    <n v="3298"/>
    <x v="123"/>
    <x v="10"/>
    <n v="36"/>
    <x v="51"/>
    <x v="0"/>
    <n v="36"/>
  </r>
  <r>
    <s v="Coastal"/>
    <n v="149"/>
    <s v="Boston, MA"/>
    <n v="6781"/>
    <x v="128"/>
    <x v="10"/>
    <n v="36"/>
    <x v="51"/>
    <x v="0"/>
    <n v="36"/>
  </r>
  <r>
    <s v="Coastal"/>
    <n v="149"/>
    <s v="Boston, MA"/>
    <n v="3271"/>
    <x v="133"/>
    <x v="10"/>
    <n v="35"/>
    <x v="310"/>
    <x v="0"/>
    <n v="35"/>
  </r>
  <r>
    <s v="Coastal"/>
    <n v="149"/>
    <s v="Boston, MA"/>
    <n v="2430"/>
    <x v="11"/>
    <x v="10"/>
    <n v="22"/>
    <x v="170"/>
    <x v="237"/>
    <n v="22"/>
  </r>
  <r>
    <s v="Coastal"/>
    <n v="149"/>
    <s v="Boston, MA"/>
    <n v="2540"/>
    <x v="15"/>
    <x v="10"/>
    <n v="20"/>
    <x v="0"/>
    <x v="125"/>
    <n v="20"/>
  </r>
  <r>
    <s v="Coastal"/>
    <n v="149"/>
    <s v="Boston, MA"/>
    <n v="5210"/>
    <x v="130"/>
    <x v="10"/>
    <n v="17"/>
    <x v="182"/>
    <x v="0"/>
    <n v="17"/>
  </r>
  <r>
    <s v="Coastal"/>
    <n v="149"/>
    <s v="Boston, MA"/>
    <n v="5320"/>
    <x v="13"/>
    <x v="10"/>
    <n v="17"/>
    <x v="311"/>
    <x v="238"/>
    <n v="17"/>
  </r>
  <r>
    <s v="Coastal"/>
    <n v="149"/>
    <s v="Boston, MA"/>
    <n v="4161"/>
    <x v="54"/>
    <x v="10"/>
    <n v="10"/>
    <x v="312"/>
    <x v="0"/>
    <n v="10"/>
  </r>
  <r>
    <s v="Coastal"/>
    <n v="149"/>
    <s v="Boston, MA"/>
    <n v="6241"/>
    <x v="28"/>
    <x v="10"/>
    <n v="9"/>
    <x v="313"/>
    <x v="0"/>
    <n v="9"/>
  </r>
  <r>
    <s v="Coastal"/>
    <n v="149"/>
    <s v="Boston, MA"/>
    <n v="2350"/>
    <x v="40"/>
    <x v="10"/>
    <n v="8"/>
    <x v="0"/>
    <x v="232"/>
    <n v="8"/>
  </r>
  <r>
    <s v="Coastal"/>
    <n v="4973"/>
    <s v="Brevig Mission, AK"/>
    <n v="2330"/>
    <x v="1"/>
    <x v="198"/>
    <n v="0"/>
    <x v="0"/>
    <x v="0"/>
    <n v="477"/>
  </r>
  <r>
    <s v="Coastal"/>
    <n v="4973"/>
    <s v="Brevig Mission, AK"/>
    <n v="2211"/>
    <x v="0"/>
    <x v="199"/>
    <n v="0"/>
    <x v="0"/>
    <x v="0"/>
    <n v="123"/>
  </r>
  <r>
    <s v="Coastal"/>
    <n v="4973"/>
    <s v="Brevig Mission, AK"/>
    <n v="7900"/>
    <x v="21"/>
    <x v="200"/>
    <n v="0"/>
    <x v="0"/>
    <x v="0"/>
    <n v="73"/>
  </r>
  <r>
    <s v="Coastal"/>
    <n v="4973"/>
    <s v="Brevig Mission, AK"/>
    <n v="7400"/>
    <x v="77"/>
    <x v="201"/>
    <n v="0"/>
    <x v="0"/>
    <x v="0"/>
    <n v="70"/>
  </r>
  <r>
    <s v="Coastal"/>
    <n v="4973"/>
    <s v="Brevig Mission, AK"/>
    <n v="7110"/>
    <x v="4"/>
    <x v="202"/>
    <n v="0"/>
    <x v="0"/>
    <x v="0"/>
    <n v="53"/>
  </r>
  <r>
    <s v="Coastal"/>
    <n v="4973"/>
    <s v="Brevig Mission, AK"/>
    <n v="7210"/>
    <x v="59"/>
    <x v="131"/>
    <n v="0"/>
    <x v="0"/>
    <x v="0"/>
    <n v="2"/>
  </r>
  <r>
    <s v="Coastal"/>
    <n v="272"/>
    <s v="Bridgeport, CT"/>
    <n v="2211"/>
    <x v="0"/>
    <x v="203"/>
    <n v="0"/>
    <x v="0"/>
    <x v="0"/>
    <n v="719285"/>
  </r>
  <r>
    <s v="Coastal"/>
    <n v="272"/>
    <s v="Bridgeport, CT"/>
    <n v="4331"/>
    <x v="29"/>
    <x v="204"/>
    <n v="0"/>
    <x v="0"/>
    <x v="0"/>
    <n v="524626"/>
  </r>
  <r>
    <s v="Coastal"/>
    <n v="272"/>
    <s v="Bridgeport, CT"/>
    <n v="2330"/>
    <x v="1"/>
    <x v="205"/>
    <n v="0"/>
    <x v="0"/>
    <x v="0"/>
    <n v="206922"/>
  </r>
  <r>
    <s v="Coastal"/>
    <n v="272"/>
    <s v="Bridgeport, CT"/>
    <n v="2340"/>
    <x v="3"/>
    <x v="206"/>
    <n v="0"/>
    <x v="0"/>
    <x v="0"/>
    <n v="163362"/>
  </r>
  <r>
    <s v="Coastal"/>
    <n v="272"/>
    <s v="Bridgeport, CT"/>
    <n v="3220"/>
    <x v="2"/>
    <x v="207"/>
    <n v="0"/>
    <x v="0"/>
    <x v="0"/>
    <n v="77047"/>
  </r>
  <r>
    <s v="Coastal"/>
    <n v="272"/>
    <s v="Bridgeport, CT"/>
    <n v="4900"/>
    <x v="14"/>
    <x v="10"/>
    <n v="40768"/>
    <x v="314"/>
    <x v="0"/>
    <n v="40768"/>
  </r>
  <r>
    <s v="Coastal"/>
    <n v="272"/>
    <s v="Bridgeport, CT"/>
    <n v="2430"/>
    <x v="11"/>
    <x v="208"/>
    <n v="0"/>
    <x v="0"/>
    <x v="0"/>
    <n v="19327"/>
  </r>
  <r>
    <s v="Coastal"/>
    <n v="2420"/>
    <s v="Brownsville, TX"/>
    <n v="5320"/>
    <x v="13"/>
    <x v="10"/>
    <n v="3799568"/>
    <x v="315"/>
    <x v="0"/>
    <n v="3799568"/>
  </r>
  <r>
    <s v="Coastal"/>
    <n v="2420"/>
    <s v="Brownsville, TX"/>
    <n v="2330"/>
    <x v="1"/>
    <x v="209"/>
    <n v="442085"/>
    <x v="316"/>
    <x v="239"/>
    <n v="1565192"/>
  </r>
  <r>
    <s v="Coastal"/>
    <n v="2420"/>
    <s v="Brownsville, TX"/>
    <n v="2211"/>
    <x v="0"/>
    <x v="210"/>
    <n v="39442"/>
    <x v="317"/>
    <x v="0"/>
    <n v="1269268"/>
  </r>
  <r>
    <s v="Coastal"/>
    <n v="2420"/>
    <s v="Brownsville, TX"/>
    <n v="4322"/>
    <x v="33"/>
    <x v="10"/>
    <n v="631497"/>
    <x v="318"/>
    <x v="0"/>
    <n v="631497"/>
  </r>
  <r>
    <s v="Coastal"/>
    <n v="2420"/>
    <s v="Brownsville, TX"/>
    <n v="5330"/>
    <x v="16"/>
    <x v="211"/>
    <n v="303934"/>
    <x v="319"/>
    <x v="0"/>
    <n v="363337"/>
  </r>
  <r>
    <s v="Coastal"/>
    <n v="2420"/>
    <s v="Brownsville, TX"/>
    <n v="2350"/>
    <x v="40"/>
    <x v="212"/>
    <n v="66424"/>
    <x v="320"/>
    <x v="240"/>
    <n v="317537"/>
  </r>
  <r>
    <s v="Coastal"/>
    <n v="2420"/>
    <s v="Brownsville, TX"/>
    <n v="4860"/>
    <x v="31"/>
    <x v="10"/>
    <n v="207840"/>
    <x v="321"/>
    <x v="0"/>
    <n v="207840"/>
  </r>
  <r>
    <s v="Coastal"/>
    <n v="2420"/>
    <s v="Brownsville, TX"/>
    <n v="2429"/>
    <x v="17"/>
    <x v="213"/>
    <n v="0"/>
    <x v="0"/>
    <x v="0"/>
    <n v="188111"/>
  </r>
  <r>
    <s v="Coastal"/>
    <n v="2420"/>
    <s v="Brownsville, TX"/>
    <n v="5422"/>
    <x v="66"/>
    <x v="214"/>
    <n v="125417"/>
    <x v="322"/>
    <x v="0"/>
    <n v="133543"/>
  </r>
  <r>
    <s v="Coastal"/>
    <n v="2420"/>
    <s v="Brownsville, TX"/>
    <n v="2340"/>
    <x v="3"/>
    <x v="215"/>
    <n v="0"/>
    <x v="0"/>
    <x v="0"/>
    <n v="86513"/>
  </r>
  <r>
    <s v="Coastal"/>
    <n v="2420"/>
    <s v="Brownsville, TX"/>
    <n v="2430"/>
    <x v="11"/>
    <x v="216"/>
    <n v="0"/>
    <x v="0"/>
    <x v="0"/>
    <n v="48138"/>
  </r>
  <r>
    <s v="Coastal"/>
    <n v="2420"/>
    <s v="Brownsville, TX"/>
    <n v="5220"/>
    <x v="30"/>
    <x v="10"/>
    <n v="33139"/>
    <x v="323"/>
    <x v="0"/>
    <n v="33139"/>
  </r>
  <r>
    <s v="Coastal"/>
    <n v="2420"/>
    <s v="Brownsville, TX"/>
    <n v="2221"/>
    <x v="9"/>
    <x v="217"/>
    <n v="0"/>
    <x v="0"/>
    <x v="0"/>
    <n v="32392"/>
  </r>
  <r>
    <s v="Coastal"/>
    <n v="2420"/>
    <s v="Brownsville, TX"/>
    <n v="1100"/>
    <x v="32"/>
    <x v="10"/>
    <n v="26125"/>
    <x v="324"/>
    <x v="0"/>
    <n v="26125"/>
  </r>
  <r>
    <s v="Coastal"/>
    <n v="2420"/>
    <s v="Brownsville, TX"/>
    <n v="4420"/>
    <x v="8"/>
    <x v="218"/>
    <n v="0"/>
    <x v="0"/>
    <x v="0"/>
    <n v="23196"/>
  </r>
  <r>
    <s v="Coastal"/>
    <n v="2420"/>
    <s v="Brownsville, TX"/>
    <n v="2410"/>
    <x v="98"/>
    <x v="10"/>
    <n v="22426"/>
    <x v="325"/>
    <x v="0"/>
    <n v="22426"/>
  </r>
  <r>
    <s v="Coastal"/>
    <n v="2420"/>
    <s v="Brownsville, TX"/>
    <n v="4650"/>
    <x v="67"/>
    <x v="219"/>
    <n v="18739"/>
    <x v="326"/>
    <x v="0"/>
    <n v="21626"/>
  </r>
  <r>
    <s v="Coastal"/>
    <n v="2420"/>
    <s v="Brownsville, TX"/>
    <n v="1200"/>
    <x v="43"/>
    <x v="220"/>
    <n v="0"/>
    <x v="0"/>
    <x v="0"/>
    <n v="18438"/>
  </r>
  <r>
    <s v="Coastal"/>
    <n v="2420"/>
    <s v="Brownsville, TX"/>
    <n v="2100"/>
    <x v="35"/>
    <x v="221"/>
    <n v="6752"/>
    <x v="327"/>
    <x v="0"/>
    <n v="13845"/>
  </r>
  <r>
    <s v="Coastal"/>
    <n v="2420"/>
    <s v="Brownsville, TX"/>
    <n v="3275"/>
    <x v="47"/>
    <x v="222"/>
    <n v="0"/>
    <x v="0"/>
    <x v="0"/>
    <n v="7766"/>
  </r>
  <r>
    <s v="Coastal"/>
    <n v="2420"/>
    <s v="Brownsville, TX"/>
    <n v="4690"/>
    <x v="62"/>
    <x v="223"/>
    <n v="0"/>
    <x v="0"/>
    <x v="0"/>
    <n v="7005"/>
  </r>
  <r>
    <s v="Coastal"/>
    <n v="2420"/>
    <s v="Brownsville, TX"/>
    <n v="5360"/>
    <x v="94"/>
    <x v="10"/>
    <n v="6994"/>
    <x v="328"/>
    <x v="0"/>
    <n v="6994"/>
  </r>
  <r>
    <s v="Coastal"/>
    <n v="2420"/>
    <s v="Brownsville, TX"/>
    <n v="3211"/>
    <x v="124"/>
    <x v="224"/>
    <n v="0"/>
    <x v="0"/>
    <x v="0"/>
    <n v="5892"/>
  </r>
  <r>
    <s v="Coastal"/>
    <n v="2420"/>
    <s v="Brownsville, TX"/>
    <n v="3260"/>
    <x v="107"/>
    <x v="10"/>
    <n v="5743"/>
    <x v="329"/>
    <x v="0"/>
    <n v="5743"/>
  </r>
  <r>
    <s v="Coastal"/>
    <n v="2420"/>
    <s v="Brownsville, TX"/>
    <n v="5480"/>
    <x v="20"/>
    <x v="10"/>
    <n v="5344"/>
    <x v="330"/>
    <x v="0"/>
    <n v="5344"/>
  </r>
  <r>
    <s v="Coastal"/>
    <n v="2420"/>
    <s v="Brownsville, TX"/>
    <n v="7110"/>
    <x v="4"/>
    <x v="10"/>
    <n v="5075"/>
    <x v="331"/>
    <x v="0"/>
    <n v="5075"/>
  </r>
  <r>
    <s v="Coastal"/>
    <n v="2420"/>
    <s v="Brownsville, TX"/>
    <n v="3276"/>
    <x v="12"/>
    <x v="225"/>
    <n v="0"/>
    <x v="0"/>
    <x v="0"/>
    <n v="4500"/>
  </r>
  <r>
    <s v="Coastal"/>
    <n v="2420"/>
    <s v="Brownsville, TX"/>
    <n v="4900"/>
    <x v="14"/>
    <x v="226"/>
    <n v="0"/>
    <x v="0"/>
    <x v="0"/>
    <n v="2358"/>
  </r>
  <r>
    <s v="Coastal"/>
    <n v="2420"/>
    <s v="Brownsville, TX"/>
    <n v="3297"/>
    <x v="116"/>
    <x v="10"/>
    <n v="1758"/>
    <x v="0"/>
    <x v="241"/>
    <n v="1758"/>
  </r>
  <r>
    <s v="Coastal"/>
    <n v="2420"/>
    <s v="Brownsville, TX"/>
    <n v="6861"/>
    <x v="69"/>
    <x v="227"/>
    <n v="0"/>
    <x v="0"/>
    <x v="0"/>
    <n v="1625"/>
  </r>
  <r>
    <s v="Coastal"/>
    <n v="2420"/>
    <s v="Brownsville, TX"/>
    <n v="5370"/>
    <x v="81"/>
    <x v="10"/>
    <n v="1499"/>
    <x v="332"/>
    <x v="0"/>
    <n v="1499"/>
  </r>
  <r>
    <s v="Coastal"/>
    <n v="2420"/>
    <s v="Brownsville, TX"/>
    <n v="5312"/>
    <x v="52"/>
    <x v="228"/>
    <n v="0"/>
    <x v="0"/>
    <x v="0"/>
    <n v="1471"/>
  </r>
  <r>
    <s v="Coastal"/>
    <n v="2420"/>
    <s v="Brownsville, TX"/>
    <n v="6782"/>
    <x v="27"/>
    <x v="229"/>
    <n v="0"/>
    <x v="0"/>
    <x v="0"/>
    <n v="1307"/>
  </r>
  <r>
    <s v="Coastal"/>
    <n v="2420"/>
    <s v="Brownsville, TX"/>
    <n v="2990"/>
    <x v="102"/>
    <x v="10"/>
    <n v="104"/>
    <x v="333"/>
    <x v="0"/>
    <n v="104"/>
  </r>
  <r>
    <s v="Coastal"/>
    <n v="2420"/>
    <s v="Brownsville, TX"/>
    <n v="3291"/>
    <x v="117"/>
    <x v="10"/>
    <n v="11"/>
    <x v="14"/>
    <x v="0"/>
    <n v="11"/>
  </r>
  <r>
    <s v="Coastal"/>
    <n v="2420"/>
    <s v="Brownsville, TX"/>
    <n v="7500"/>
    <x v="60"/>
    <x v="10"/>
    <n v="9"/>
    <x v="313"/>
    <x v="0"/>
    <n v="9"/>
  </r>
  <r>
    <s v="Coastal"/>
    <n v="2420"/>
    <s v="Brownsville, TX"/>
    <n v="7900"/>
    <x v="21"/>
    <x v="10"/>
    <n v="5"/>
    <x v="168"/>
    <x v="0"/>
    <n v="5"/>
  </r>
  <r>
    <s v="Coastal"/>
    <n v="2420"/>
    <s v="Brownsville, TX"/>
    <n v="7230"/>
    <x v="22"/>
    <x v="10"/>
    <n v="2"/>
    <x v="212"/>
    <x v="0"/>
    <n v="2"/>
  </r>
  <r>
    <s v="Coastal"/>
    <n v="96"/>
    <s v="Bucksport Harbor, ME"/>
    <n v="2330"/>
    <x v="1"/>
    <x v="230"/>
    <n v="34104"/>
    <x v="334"/>
    <x v="0"/>
    <n v="48904"/>
  </r>
  <r>
    <s v="Coastal"/>
    <n v="96"/>
    <s v="Bucksport Harbor, ME"/>
    <n v="2221"/>
    <x v="9"/>
    <x v="231"/>
    <n v="14724"/>
    <x v="335"/>
    <x v="0"/>
    <n v="21117"/>
  </r>
  <r>
    <s v="Great Lakes"/>
    <n v="3230"/>
    <s v="Buffalo, NY"/>
    <n v="4331"/>
    <x v="29"/>
    <x v="232"/>
    <n v="0"/>
    <x v="0"/>
    <x v="0"/>
    <n v="242324"/>
  </r>
  <r>
    <s v="Great Lakes"/>
    <n v="3230"/>
    <s v="Buffalo, NY"/>
    <n v="6241"/>
    <x v="28"/>
    <x v="233"/>
    <n v="0"/>
    <x v="0"/>
    <x v="0"/>
    <n v="232682"/>
  </r>
  <r>
    <s v="Great Lakes"/>
    <n v="3230"/>
    <s v="Buffalo, NY"/>
    <n v="6747"/>
    <x v="78"/>
    <x v="10"/>
    <n v="152561"/>
    <x v="336"/>
    <x v="0"/>
    <n v="152561"/>
  </r>
  <r>
    <s v="Great Lakes"/>
    <n v="3230"/>
    <s v="Buffalo, NY"/>
    <n v="5220"/>
    <x v="30"/>
    <x v="10"/>
    <n v="86113"/>
    <x v="337"/>
    <x v="0"/>
    <n v="86113"/>
  </r>
  <r>
    <s v="Great Lakes"/>
    <n v="3230"/>
    <s v="Buffalo, NY"/>
    <n v="4322"/>
    <x v="33"/>
    <x v="234"/>
    <n v="0"/>
    <x v="0"/>
    <x v="0"/>
    <n v="43625"/>
  </r>
  <r>
    <s v="Great Lakes"/>
    <n v="3230"/>
    <s v="Buffalo, NY"/>
    <n v="4783"/>
    <x v="7"/>
    <x v="10"/>
    <n v="23149"/>
    <x v="338"/>
    <x v="0"/>
    <n v="23149"/>
  </r>
  <r>
    <s v="Great Lakes"/>
    <n v="3230"/>
    <s v="Buffalo, NY"/>
    <n v="7500"/>
    <x v="60"/>
    <x v="10"/>
    <n v="1102"/>
    <x v="339"/>
    <x v="0"/>
    <n v="1102"/>
  </r>
  <r>
    <s v="Great Lakes"/>
    <n v="3230"/>
    <s v="Buffalo, NY"/>
    <n v="7900"/>
    <x v="21"/>
    <x v="10"/>
    <n v="8"/>
    <x v="0"/>
    <x v="232"/>
    <n v="8"/>
  </r>
  <r>
    <s v="Internal"/>
    <n v="2225"/>
    <s v="Caddo-Bossier Port, LA"/>
    <n v="5330"/>
    <x v="16"/>
    <x v="235"/>
    <n v="0"/>
    <x v="0"/>
    <x v="0"/>
    <n v="136879"/>
  </r>
  <r>
    <s v="Internal"/>
    <n v="2225"/>
    <s v="Caddo-Bossier Port, LA"/>
    <n v="2330"/>
    <x v="1"/>
    <x v="236"/>
    <n v="0"/>
    <x v="0"/>
    <x v="0"/>
    <n v="102312"/>
  </r>
  <r>
    <s v="Internal"/>
    <n v="2225"/>
    <s v="Caddo-Bossier Port, LA"/>
    <n v="2100"/>
    <x v="35"/>
    <x v="237"/>
    <n v="0"/>
    <x v="0"/>
    <x v="0"/>
    <n v="56527"/>
  </r>
  <r>
    <s v="Internal"/>
    <n v="2225"/>
    <s v="Caddo-Bossier Port, LA"/>
    <n v="3274"/>
    <x v="86"/>
    <x v="238"/>
    <n v="0"/>
    <x v="0"/>
    <x v="0"/>
    <n v="47502"/>
  </r>
  <r>
    <s v="Internal"/>
    <n v="2225"/>
    <s v="Caddo-Bossier Port, LA"/>
    <n v="2430"/>
    <x v="11"/>
    <x v="239"/>
    <n v="0"/>
    <x v="0"/>
    <x v="0"/>
    <n v="22444"/>
  </r>
  <r>
    <s v="Internal"/>
    <n v="2225"/>
    <s v="Caddo-Bossier Port, LA"/>
    <n v="4420"/>
    <x v="8"/>
    <x v="240"/>
    <n v="0"/>
    <x v="0"/>
    <x v="0"/>
    <n v="14300"/>
  </r>
  <r>
    <s v="Internal"/>
    <n v="2225"/>
    <s v="Caddo-Bossier Port, LA"/>
    <n v="3110"/>
    <x v="36"/>
    <x v="241"/>
    <n v="0"/>
    <x v="0"/>
    <x v="0"/>
    <n v="5999"/>
  </r>
  <r>
    <s v="Internal"/>
    <n v="2225"/>
    <s v="Caddo-Bossier Port, LA"/>
    <n v="6857"/>
    <x v="104"/>
    <x v="242"/>
    <n v="0"/>
    <x v="0"/>
    <x v="0"/>
    <n v="3446"/>
  </r>
  <r>
    <s v="Internal"/>
    <n v="2225"/>
    <s v="Caddo-Bossier Port, LA"/>
    <n v="2340"/>
    <x v="3"/>
    <x v="243"/>
    <n v="0"/>
    <x v="0"/>
    <x v="0"/>
    <n v="3431"/>
  </r>
  <r>
    <s v="Internal"/>
    <n v="2225"/>
    <s v="Caddo-Bossier Port, LA"/>
    <n v="3130"/>
    <x v="37"/>
    <x v="244"/>
    <n v="0"/>
    <x v="0"/>
    <x v="0"/>
    <n v="2899"/>
  </r>
  <r>
    <s v="Internal"/>
    <n v="2225"/>
    <s v="Caddo-Bossier Port, LA"/>
    <n v="7600"/>
    <x v="68"/>
    <x v="245"/>
    <n v="0"/>
    <x v="0"/>
    <x v="0"/>
    <n v="2747"/>
  </r>
  <r>
    <s v="Internal"/>
    <n v="2225"/>
    <s v="Caddo-Bossier Port, LA"/>
    <n v="6522"/>
    <x v="26"/>
    <x v="246"/>
    <n v="0"/>
    <x v="0"/>
    <x v="0"/>
    <n v="1821"/>
  </r>
  <r>
    <s v="Internal"/>
    <n v="2225"/>
    <s v="Caddo-Bossier Port, LA"/>
    <n v="5480"/>
    <x v="20"/>
    <x v="247"/>
    <n v="0"/>
    <x v="0"/>
    <x v="0"/>
    <n v="1485"/>
  </r>
  <r>
    <s v="Internal"/>
    <n v="2225"/>
    <s v="Caddo-Bossier Port, LA"/>
    <n v="7110"/>
    <x v="4"/>
    <x v="248"/>
    <n v="0"/>
    <x v="0"/>
    <x v="0"/>
    <n v="400"/>
  </r>
  <r>
    <s v="Internal"/>
    <n v="2225"/>
    <s v="Caddo-Bossier Port, LA"/>
    <n v="7900"/>
    <x v="21"/>
    <x v="249"/>
    <n v="0"/>
    <x v="0"/>
    <x v="0"/>
    <n v="50"/>
  </r>
  <r>
    <s v="Coastal"/>
    <n v="2427"/>
    <s v="Calhoun Port Authority, TX"/>
    <n v="3274"/>
    <x v="86"/>
    <x v="250"/>
    <n v="391793"/>
    <x v="0"/>
    <x v="242"/>
    <n v="920486"/>
  </r>
  <r>
    <s v="Coastal"/>
    <n v="2427"/>
    <s v="Calhoun Port Authority, TX"/>
    <n v="3273"/>
    <x v="46"/>
    <x v="251"/>
    <n v="450676"/>
    <x v="340"/>
    <x v="0"/>
    <n v="650963"/>
  </r>
  <r>
    <s v="Coastal"/>
    <n v="2427"/>
    <s v="Calhoun Port Authority, TX"/>
    <n v="3219"/>
    <x v="19"/>
    <x v="252"/>
    <n v="345842"/>
    <x v="0"/>
    <x v="243"/>
    <n v="573041"/>
  </r>
  <r>
    <s v="Coastal"/>
    <n v="2427"/>
    <s v="Calhoun Port Authority, TX"/>
    <n v="3220"/>
    <x v="2"/>
    <x v="253"/>
    <n v="308618"/>
    <x v="341"/>
    <x v="244"/>
    <n v="361917"/>
  </r>
  <r>
    <s v="Coastal"/>
    <n v="2427"/>
    <s v="Calhoun Port Authority, TX"/>
    <n v="3240"/>
    <x v="53"/>
    <x v="254"/>
    <n v="317898"/>
    <x v="342"/>
    <x v="245"/>
    <n v="327798"/>
  </r>
  <r>
    <s v="Coastal"/>
    <n v="2427"/>
    <s v="Calhoun Port Authority, TX"/>
    <n v="2100"/>
    <x v="35"/>
    <x v="255"/>
    <n v="14350"/>
    <x v="0"/>
    <x v="246"/>
    <n v="275318"/>
  </r>
  <r>
    <s v="Coastal"/>
    <n v="2427"/>
    <s v="Calhoun Port Authority, TX"/>
    <n v="3110"/>
    <x v="36"/>
    <x v="256"/>
    <n v="15385"/>
    <x v="343"/>
    <x v="0"/>
    <n v="218327"/>
  </r>
  <r>
    <s v="Coastal"/>
    <n v="2427"/>
    <s v="Calhoun Port Authority, TX"/>
    <n v="3211"/>
    <x v="124"/>
    <x v="257"/>
    <n v="76589"/>
    <x v="344"/>
    <x v="247"/>
    <n v="197234"/>
  </r>
  <r>
    <s v="Coastal"/>
    <n v="2427"/>
    <s v="Calhoun Port Authority, TX"/>
    <n v="2540"/>
    <x v="15"/>
    <x v="10"/>
    <n v="79120"/>
    <x v="0"/>
    <x v="248"/>
    <n v="79120"/>
  </r>
  <r>
    <s v="Coastal"/>
    <n v="2427"/>
    <s v="Calhoun Port Authority, TX"/>
    <n v="3212"/>
    <x v="39"/>
    <x v="258"/>
    <n v="23185"/>
    <x v="345"/>
    <x v="0"/>
    <n v="74192"/>
  </r>
  <r>
    <s v="Coastal"/>
    <n v="2427"/>
    <s v="Calhoun Port Authority, TX"/>
    <n v="4331"/>
    <x v="29"/>
    <x v="259"/>
    <n v="0"/>
    <x v="0"/>
    <x v="0"/>
    <n v="69291"/>
  </r>
  <r>
    <s v="Coastal"/>
    <n v="2427"/>
    <s v="Calhoun Port Authority, TX"/>
    <n v="2640"/>
    <x v="110"/>
    <x v="260"/>
    <n v="73"/>
    <x v="0"/>
    <x v="249"/>
    <n v="46032"/>
  </r>
  <r>
    <s v="Coastal"/>
    <n v="2427"/>
    <s v="Calhoun Port Authority, TX"/>
    <n v="1200"/>
    <x v="43"/>
    <x v="261"/>
    <n v="0"/>
    <x v="0"/>
    <x v="0"/>
    <n v="44172"/>
  </r>
  <r>
    <s v="Coastal"/>
    <n v="2427"/>
    <s v="Calhoun Port Authority, TX"/>
    <n v="2330"/>
    <x v="1"/>
    <x v="262"/>
    <n v="1543"/>
    <x v="0"/>
    <x v="250"/>
    <n v="27806"/>
  </r>
  <r>
    <s v="Coastal"/>
    <n v="2427"/>
    <s v="Calhoun Port Authority, TX"/>
    <n v="2340"/>
    <x v="3"/>
    <x v="263"/>
    <n v="0"/>
    <x v="0"/>
    <x v="0"/>
    <n v="21103"/>
  </r>
  <r>
    <s v="Coastal"/>
    <n v="2427"/>
    <s v="Calhoun Port Authority, TX"/>
    <n v="3260"/>
    <x v="107"/>
    <x v="10"/>
    <n v="17185"/>
    <x v="346"/>
    <x v="251"/>
    <n v="17185"/>
  </r>
  <r>
    <s v="Coastal"/>
    <n v="2427"/>
    <s v="Calhoun Port Authority, TX"/>
    <n v="2211"/>
    <x v="0"/>
    <x v="264"/>
    <n v="5513"/>
    <x v="347"/>
    <x v="0"/>
    <n v="15889"/>
  </r>
  <r>
    <s v="Coastal"/>
    <n v="2427"/>
    <s v="Calhoun Port Authority, TX"/>
    <n v="2430"/>
    <x v="11"/>
    <x v="265"/>
    <n v="0"/>
    <x v="0"/>
    <x v="0"/>
    <n v="14767"/>
  </r>
  <r>
    <s v="Coastal"/>
    <n v="2427"/>
    <s v="Calhoun Port Authority, TX"/>
    <n v="3130"/>
    <x v="37"/>
    <x v="266"/>
    <n v="0"/>
    <x v="0"/>
    <x v="0"/>
    <n v="14209"/>
  </r>
  <r>
    <s v="Coastal"/>
    <n v="2427"/>
    <s v="Calhoun Port Authority, TX"/>
    <n v="6865"/>
    <x v="75"/>
    <x v="10"/>
    <n v="11574"/>
    <x v="348"/>
    <x v="0"/>
    <n v="11574"/>
  </r>
  <r>
    <s v="Coastal"/>
    <n v="2427"/>
    <s v="Calhoun Port Authority, TX"/>
    <n v="2429"/>
    <x v="17"/>
    <x v="267"/>
    <n v="6602"/>
    <x v="0"/>
    <x v="252"/>
    <n v="9072"/>
  </r>
  <r>
    <s v="Coastal"/>
    <n v="2427"/>
    <s v="Calhoun Port Authority, TX"/>
    <n v="7900"/>
    <x v="21"/>
    <x v="10"/>
    <n v="7759"/>
    <x v="349"/>
    <x v="0"/>
    <n v="7759"/>
  </r>
  <r>
    <s v="Coastal"/>
    <n v="2427"/>
    <s v="Calhoun Port Authority, TX"/>
    <n v="3190"/>
    <x v="38"/>
    <x v="268"/>
    <n v="0"/>
    <x v="0"/>
    <x v="0"/>
    <n v="7447"/>
  </r>
  <r>
    <s v="Coastal"/>
    <n v="2427"/>
    <s v="Calhoun Port Authority, TX"/>
    <n v="3230"/>
    <x v="80"/>
    <x v="10"/>
    <n v="6437"/>
    <x v="350"/>
    <x v="253"/>
    <n v="6437"/>
  </r>
  <r>
    <s v="Coastal"/>
    <n v="2427"/>
    <s v="Calhoun Port Authority, TX"/>
    <n v="3286"/>
    <x v="57"/>
    <x v="10"/>
    <n v="6312"/>
    <x v="351"/>
    <x v="254"/>
    <n v="6312"/>
  </r>
  <r>
    <s v="Coastal"/>
    <n v="2427"/>
    <s v="Calhoun Port Authority, TX"/>
    <n v="3279"/>
    <x v="58"/>
    <x v="10"/>
    <n v="2867"/>
    <x v="263"/>
    <x v="0"/>
    <n v="2867"/>
  </r>
  <r>
    <s v="Coastal"/>
    <n v="2427"/>
    <s v="Calhoun Port Authority, TX"/>
    <n v="6344"/>
    <x v="25"/>
    <x v="269"/>
    <n v="0"/>
    <x v="0"/>
    <x v="0"/>
    <n v="2431"/>
  </r>
  <r>
    <s v="Coastal"/>
    <n v="2427"/>
    <s v="Calhoun Port Authority, TX"/>
    <n v="2410"/>
    <x v="98"/>
    <x v="10"/>
    <n v="1810"/>
    <x v="352"/>
    <x v="0"/>
    <n v="1810"/>
  </r>
  <r>
    <s v="Coastal"/>
    <n v="2427"/>
    <s v="Calhoun Port Authority, TX"/>
    <n v="3299"/>
    <x v="79"/>
    <x v="10"/>
    <n v="1653"/>
    <x v="353"/>
    <x v="0"/>
    <n v="1653"/>
  </r>
  <r>
    <s v="Coastal"/>
    <n v="2427"/>
    <s v="Calhoun Port Authority, TX"/>
    <n v="3120"/>
    <x v="41"/>
    <x v="270"/>
    <n v="0"/>
    <x v="0"/>
    <x v="0"/>
    <n v="1551"/>
  </r>
  <r>
    <s v="Coastal"/>
    <n v="2427"/>
    <s v="Calhoun Port Authority, TX"/>
    <n v="2990"/>
    <x v="102"/>
    <x v="10"/>
    <n v="156"/>
    <x v="354"/>
    <x v="0"/>
    <n v="156"/>
  </r>
  <r>
    <s v="Coastal"/>
    <n v="2427"/>
    <s v="Calhoun Port Authority, TX"/>
    <n v="3275"/>
    <x v="47"/>
    <x v="10"/>
    <n v="121"/>
    <x v="0"/>
    <x v="255"/>
    <n v="121"/>
  </r>
  <r>
    <s v="Coastal"/>
    <n v="2160"/>
    <s v="Canaveral Port District, FL"/>
    <n v="2211"/>
    <x v="0"/>
    <x v="271"/>
    <n v="727041"/>
    <x v="355"/>
    <x v="166"/>
    <n v="1443294"/>
  </r>
  <r>
    <s v="Coastal"/>
    <n v="2160"/>
    <s v="Canaveral Port District, FL"/>
    <n v="4860"/>
    <x v="31"/>
    <x v="10"/>
    <n v="743034"/>
    <x v="356"/>
    <x v="256"/>
    <n v="743034"/>
  </r>
  <r>
    <s v="Coastal"/>
    <n v="2160"/>
    <s v="Canaveral Port District, FL"/>
    <n v="4189"/>
    <x v="65"/>
    <x v="10"/>
    <n v="575372"/>
    <x v="357"/>
    <x v="86"/>
    <n v="575372"/>
  </r>
  <r>
    <s v="Coastal"/>
    <n v="2160"/>
    <s v="Canaveral Port District, FL"/>
    <n v="4322"/>
    <x v="33"/>
    <x v="10"/>
    <n v="493144"/>
    <x v="358"/>
    <x v="0"/>
    <n v="493144"/>
  </r>
  <r>
    <s v="Coastal"/>
    <n v="2160"/>
    <s v="Canaveral Port District, FL"/>
    <n v="2330"/>
    <x v="1"/>
    <x v="272"/>
    <n v="295624"/>
    <x v="359"/>
    <x v="257"/>
    <n v="490832"/>
  </r>
  <r>
    <s v="Coastal"/>
    <n v="2160"/>
    <s v="Canaveral Port District, FL"/>
    <n v="4331"/>
    <x v="29"/>
    <x v="10"/>
    <n v="419354"/>
    <x v="360"/>
    <x v="0"/>
    <n v="419354"/>
  </r>
  <r>
    <s v="Coastal"/>
    <n v="2160"/>
    <s v="Canaveral Port District, FL"/>
    <n v="2221"/>
    <x v="9"/>
    <x v="273"/>
    <n v="317635"/>
    <x v="361"/>
    <x v="0"/>
    <n v="343164"/>
  </r>
  <r>
    <s v="Coastal"/>
    <n v="2160"/>
    <s v="Canaveral Port District, FL"/>
    <n v="4783"/>
    <x v="7"/>
    <x v="10"/>
    <n v="265257"/>
    <x v="362"/>
    <x v="0"/>
    <n v="265257"/>
  </r>
  <r>
    <s v="Coastal"/>
    <n v="2160"/>
    <s v="Canaveral Port District, FL"/>
    <n v="3220"/>
    <x v="2"/>
    <x v="274"/>
    <n v="5"/>
    <x v="0"/>
    <x v="258"/>
    <n v="124334"/>
  </r>
  <r>
    <s v="Coastal"/>
    <n v="2160"/>
    <s v="Canaveral Port District, FL"/>
    <n v="2429"/>
    <x v="17"/>
    <x v="10"/>
    <n v="82417"/>
    <x v="363"/>
    <x v="0"/>
    <n v="82417"/>
  </r>
  <r>
    <s v="Coastal"/>
    <n v="2160"/>
    <s v="Canaveral Port District, FL"/>
    <n v="2340"/>
    <x v="3"/>
    <x v="275"/>
    <n v="31066"/>
    <x v="364"/>
    <x v="0"/>
    <n v="56475"/>
  </r>
  <r>
    <s v="Coastal"/>
    <n v="2160"/>
    <s v="Canaveral Port District, FL"/>
    <n v="2430"/>
    <x v="11"/>
    <x v="276"/>
    <n v="0"/>
    <x v="0"/>
    <x v="0"/>
    <n v="51439"/>
  </r>
  <r>
    <s v="Coastal"/>
    <n v="2160"/>
    <s v="Canaveral Port District, FL"/>
    <n v="3276"/>
    <x v="12"/>
    <x v="10"/>
    <n v="48862"/>
    <x v="365"/>
    <x v="0"/>
    <n v="48862"/>
  </r>
  <r>
    <s v="Coastal"/>
    <n v="2160"/>
    <s v="Canaveral Port District, FL"/>
    <n v="2100"/>
    <x v="35"/>
    <x v="10"/>
    <n v="48444"/>
    <x v="366"/>
    <x v="0"/>
    <n v="48444"/>
  </r>
  <r>
    <s v="Coastal"/>
    <n v="2160"/>
    <s v="Canaveral Port District, FL"/>
    <n v="3190"/>
    <x v="38"/>
    <x v="10"/>
    <n v="45890"/>
    <x v="367"/>
    <x v="153"/>
    <n v="45890"/>
  </r>
  <r>
    <s v="Coastal"/>
    <n v="2160"/>
    <s v="Canaveral Port District, FL"/>
    <n v="4225"/>
    <x v="10"/>
    <x v="10"/>
    <n v="45338"/>
    <x v="368"/>
    <x v="259"/>
    <n v="45338"/>
  </r>
  <r>
    <s v="Coastal"/>
    <n v="2160"/>
    <s v="Canaveral Port District, FL"/>
    <n v="5220"/>
    <x v="30"/>
    <x v="10"/>
    <n v="44825"/>
    <x v="369"/>
    <x v="260"/>
    <n v="44825"/>
  </r>
  <r>
    <s v="Coastal"/>
    <n v="2160"/>
    <s v="Canaveral Port District, FL"/>
    <n v="6858"/>
    <x v="74"/>
    <x v="10"/>
    <n v="17257"/>
    <x v="370"/>
    <x v="0"/>
    <n v="17257"/>
  </r>
  <r>
    <s v="Coastal"/>
    <n v="2160"/>
    <s v="Canaveral Port District, FL"/>
    <n v="4323"/>
    <x v="6"/>
    <x v="10"/>
    <n v="16535"/>
    <x v="26"/>
    <x v="0"/>
    <n v="16535"/>
  </r>
  <r>
    <s v="Coastal"/>
    <n v="2160"/>
    <s v="Canaveral Port District, FL"/>
    <n v="6653"/>
    <x v="24"/>
    <x v="10"/>
    <n v="10473"/>
    <x v="371"/>
    <x v="0"/>
    <n v="10473"/>
  </r>
  <r>
    <s v="Coastal"/>
    <n v="2160"/>
    <s v="Canaveral Port District, FL"/>
    <n v="9900"/>
    <x v="18"/>
    <x v="10"/>
    <n v="8369"/>
    <x v="372"/>
    <x v="214"/>
    <n v="8369"/>
  </r>
  <r>
    <s v="Coastal"/>
    <n v="2160"/>
    <s v="Canaveral Port District, FL"/>
    <n v="4741"/>
    <x v="56"/>
    <x v="10"/>
    <n v="7716"/>
    <x v="0"/>
    <x v="261"/>
    <n v="7716"/>
  </r>
  <r>
    <s v="Coastal"/>
    <n v="2160"/>
    <s v="Canaveral Port District, FL"/>
    <n v="7110"/>
    <x v="4"/>
    <x v="277"/>
    <n v="6873"/>
    <x v="373"/>
    <x v="262"/>
    <n v="7266"/>
  </r>
  <r>
    <s v="Coastal"/>
    <n v="2160"/>
    <s v="Canaveral Port District, FL"/>
    <n v="6654"/>
    <x v="50"/>
    <x v="10"/>
    <n v="3780"/>
    <x v="125"/>
    <x v="263"/>
    <n v="3780"/>
  </r>
  <r>
    <s v="Coastal"/>
    <n v="2160"/>
    <s v="Canaveral Port District, FL"/>
    <n v="7900"/>
    <x v="21"/>
    <x v="278"/>
    <n v="3017"/>
    <x v="374"/>
    <x v="264"/>
    <n v="3554"/>
  </r>
  <r>
    <s v="Coastal"/>
    <n v="2160"/>
    <s v="Canaveral Port District, FL"/>
    <n v="7600"/>
    <x v="68"/>
    <x v="10"/>
    <n v="2795"/>
    <x v="375"/>
    <x v="265"/>
    <n v="2795"/>
  </r>
  <r>
    <s v="Coastal"/>
    <n v="2160"/>
    <s v="Canaveral Port District, FL"/>
    <n v="3279"/>
    <x v="58"/>
    <x v="10"/>
    <n v="2760"/>
    <x v="376"/>
    <x v="0"/>
    <n v="2760"/>
  </r>
  <r>
    <s v="Coastal"/>
    <n v="2160"/>
    <s v="Canaveral Port District, FL"/>
    <n v="7210"/>
    <x v="59"/>
    <x v="10"/>
    <n v="2699"/>
    <x v="377"/>
    <x v="125"/>
    <n v="2699"/>
  </r>
  <r>
    <s v="Coastal"/>
    <n v="2160"/>
    <s v="Canaveral Port District, FL"/>
    <n v="5240"/>
    <x v="89"/>
    <x v="10"/>
    <n v="2684"/>
    <x v="378"/>
    <x v="236"/>
    <n v="2684"/>
  </r>
  <r>
    <s v="Coastal"/>
    <n v="2160"/>
    <s v="Canaveral Port District, FL"/>
    <n v="3275"/>
    <x v="47"/>
    <x v="10"/>
    <n v="1673"/>
    <x v="379"/>
    <x v="0"/>
    <n v="1673"/>
  </r>
  <r>
    <s v="Coastal"/>
    <n v="2160"/>
    <s v="Canaveral Port District, FL"/>
    <n v="4150"/>
    <x v="101"/>
    <x v="10"/>
    <n v="1508"/>
    <x v="380"/>
    <x v="0"/>
    <n v="1508"/>
  </r>
  <r>
    <s v="Coastal"/>
    <n v="2160"/>
    <s v="Canaveral Port District, FL"/>
    <n v="7500"/>
    <x v="60"/>
    <x v="10"/>
    <n v="1422"/>
    <x v="381"/>
    <x v="266"/>
    <n v="1422"/>
  </r>
  <r>
    <s v="Coastal"/>
    <n v="2160"/>
    <s v="Canaveral Port District, FL"/>
    <n v="2540"/>
    <x v="15"/>
    <x v="10"/>
    <n v="1281"/>
    <x v="0"/>
    <x v="267"/>
    <n v="1281"/>
  </r>
  <r>
    <s v="Coastal"/>
    <n v="2160"/>
    <s v="Canaveral Port District, FL"/>
    <n v="4650"/>
    <x v="67"/>
    <x v="10"/>
    <n v="1105"/>
    <x v="382"/>
    <x v="0"/>
    <n v="1105"/>
  </r>
  <r>
    <s v="Coastal"/>
    <n v="2160"/>
    <s v="Canaveral Port District, FL"/>
    <n v="3110"/>
    <x v="36"/>
    <x v="10"/>
    <n v="1050"/>
    <x v="383"/>
    <x v="0"/>
    <n v="1050"/>
  </r>
  <r>
    <s v="Coastal"/>
    <n v="2160"/>
    <s v="Canaveral Port District, FL"/>
    <n v="3130"/>
    <x v="37"/>
    <x v="10"/>
    <n v="663"/>
    <x v="271"/>
    <x v="0"/>
    <n v="663"/>
  </r>
  <r>
    <s v="Coastal"/>
    <n v="2160"/>
    <s v="Canaveral Port District, FL"/>
    <n v="4680"/>
    <x v="70"/>
    <x v="10"/>
    <n v="520"/>
    <x v="208"/>
    <x v="216"/>
    <n v="520"/>
  </r>
  <r>
    <s v="Coastal"/>
    <n v="2160"/>
    <s v="Canaveral Port District, FL"/>
    <n v="5370"/>
    <x v="81"/>
    <x v="10"/>
    <n v="418"/>
    <x v="384"/>
    <x v="0"/>
    <n v="418"/>
  </r>
  <r>
    <s v="Coastal"/>
    <n v="2160"/>
    <s v="Canaveral Port District, FL"/>
    <n v="6857"/>
    <x v="104"/>
    <x v="10"/>
    <n v="362"/>
    <x v="385"/>
    <x v="214"/>
    <n v="362"/>
  </r>
  <r>
    <s v="Coastal"/>
    <n v="2160"/>
    <s v="Canaveral Port District, FL"/>
    <n v="7400"/>
    <x v="77"/>
    <x v="279"/>
    <n v="0"/>
    <x v="0"/>
    <x v="0"/>
    <n v="286"/>
  </r>
  <r>
    <s v="Coastal"/>
    <n v="2160"/>
    <s v="Canaveral Port District, FL"/>
    <n v="5480"/>
    <x v="20"/>
    <x v="280"/>
    <n v="71"/>
    <x v="14"/>
    <x v="268"/>
    <n v="242"/>
  </r>
  <r>
    <s v="Coastal"/>
    <n v="2160"/>
    <s v="Canaveral Port District, FL"/>
    <n v="4782"/>
    <x v="45"/>
    <x v="10"/>
    <n v="221"/>
    <x v="386"/>
    <x v="0"/>
    <n v="221"/>
  </r>
  <r>
    <s v="Coastal"/>
    <n v="2160"/>
    <s v="Canaveral Port District, FL"/>
    <n v="4420"/>
    <x v="8"/>
    <x v="10"/>
    <n v="207"/>
    <x v="0"/>
    <x v="269"/>
    <n v="207"/>
  </r>
  <r>
    <s v="Coastal"/>
    <n v="2160"/>
    <s v="Canaveral Port District, FL"/>
    <n v="7120"/>
    <x v="71"/>
    <x v="10"/>
    <n v="150"/>
    <x v="387"/>
    <x v="128"/>
    <n v="150"/>
  </r>
  <r>
    <s v="Coastal"/>
    <n v="2160"/>
    <s v="Canaveral Port District, FL"/>
    <n v="6747"/>
    <x v="78"/>
    <x v="10"/>
    <n v="110"/>
    <x v="388"/>
    <x v="119"/>
    <n v="110"/>
  </r>
  <r>
    <s v="Coastal"/>
    <n v="2160"/>
    <s v="Canaveral Port District, FL"/>
    <n v="3299"/>
    <x v="79"/>
    <x v="10"/>
    <n v="105"/>
    <x v="389"/>
    <x v="258"/>
    <n v="105"/>
  </r>
  <r>
    <s v="Coastal"/>
    <n v="2160"/>
    <s v="Canaveral Port District, FL"/>
    <n v="3285"/>
    <x v="87"/>
    <x v="10"/>
    <n v="94"/>
    <x v="307"/>
    <x v="220"/>
    <n v="94"/>
  </r>
  <r>
    <s v="Coastal"/>
    <n v="2160"/>
    <s v="Canaveral Port District, FL"/>
    <n v="6888"/>
    <x v="109"/>
    <x v="10"/>
    <n v="75"/>
    <x v="390"/>
    <x v="0"/>
    <n v="75"/>
  </r>
  <r>
    <s v="Coastal"/>
    <n v="2160"/>
    <s v="Canaveral Port District, FL"/>
    <n v="4170"/>
    <x v="55"/>
    <x v="10"/>
    <n v="73"/>
    <x v="0"/>
    <x v="249"/>
    <n v="73"/>
  </r>
  <r>
    <s v="Coastal"/>
    <n v="2160"/>
    <s v="Canaveral Port District, FL"/>
    <n v="5120"/>
    <x v="63"/>
    <x v="10"/>
    <n v="65"/>
    <x v="0"/>
    <x v="270"/>
    <n v="65"/>
  </r>
  <r>
    <s v="Coastal"/>
    <n v="2160"/>
    <s v="Canaveral Port District, FL"/>
    <n v="6889"/>
    <x v="42"/>
    <x v="10"/>
    <n v="51"/>
    <x v="391"/>
    <x v="271"/>
    <n v="51"/>
  </r>
  <r>
    <s v="Coastal"/>
    <n v="2160"/>
    <s v="Canaveral Port District, FL"/>
    <n v="6134"/>
    <x v="82"/>
    <x v="10"/>
    <n v="50"/>
    <x v="392"/>
    <x v="0"/>
    <n v="50"/>
  </r>
  <r>
    <s v="Coastal"/>
    <n v="2160"/>
    <s v="Canaveral Port District, FL"/>
    <n v="6782"/>
    <x v="27"/>
    <x v="10"/>
    <n v="41"/>
    <x v="0"/>
    <x v="272"/>
    <n v="41"/>
  </r>
  <r>
    <s v="Coastal"/>
    <n v="2160"/>
    <s v="Canaveral Port District, FL"/>
    <n v="3286"/>
    <x v="57"/>
    <x v="10"/>
    <n v="31"/>
    <x v="0"/>
    <x v="273"/>
    <n v="31"/>
  </r>
  <r>
    <s v="Coastal"/>
    <n v="2160"/>
    <s v="Canaveral Port District, FL"/>
    <n v="6839"/>
    <x v="106"/>
    <x v="10"/>
    <n v="21"/>
    <x v="0"/>
    <x v="129"/>
    <n v="21"/>
  </r>
  <r>
    <s v="Coastal"/>
    <n v="2160"/>
    <s v="Canaveral Port District, FL"/>
    <n v="6899"/>
    <x v="114"/>
    <x v="10"/>
    <n v="21"/>
    <x v="154"/>
    <x v="0"/>
    <n v="21"/>
  </r>
  <r>
    <s v="Coastal"/>
    <n v="2160"/>
    <s v="Canaveral Port District, FL"/>
    <n v="6893"/>
    <x v="113"/>
    <x v="10"/>
    <n v="15"/>
    <x v="0"/>
    <x v="220"/>
    <n v="15"/>
  </r>
  <r>
    <s v="Coastal"/>
    <n v="2160"/>
    <s v="Canaveral Port District, FL"/>
    <n v="5190"/>
    <x v="83"/>
    <x v="10"/>
    <n v="14"/>
    <x v="393"/>
    <x v="274"/>
    <n v="14"/>
  </r>
  <r>
    <s v="Coastal"/>
    <n v="2160"/>
    <s v="Canaveral Port District, FL"/>
    <n v="7230"/>
    <x v="22"/>
    <x v="10"/>
    <n v="11"/>
    <x v="14"/>
    <x v="0"/>
    <n v="11"/>
  </r>
  <r>
    <s v="Coastal"/>
    <n v="2160"/>
    <s v="Canaveral Port District, FL"/>
    <n v="6885"/>
    <x v="72"/>
    <x v="10"/>
    <n v="9"/>
    <x v="0"/>
    <x v="275"/>
    <n v="9"/>
  </r>
  <r>
    <s v="Coastal"/>
    <n v="2160"/>
    <s v="Canaveral Port District, FL"/>
    <n v="6817"/>
    <x v="119"/>
    <x v="10"/>
    <n v="6"/>
    <x v="0"/>
    <x v="131"/>
    <n v="6"/>
  </r>
  <r>
    <s v="Coastal"/>
    <n v="2160"/>
    <s v="Canaveral Port District, FL"/>
    <n v="2350"/>
    <x v="40"/>
    <x v="10"/>
    <n v="4"/>
    <x v="0"/>
    <x v="237"/>
    <n v="4"/>
  </r>
  <r>
    <s v="Coastal"/>
    <n v="2160"/>
    <s v="Canaveral Port District, FL"/>
    <n v="5360"/>
    <x v="94"/>
    <x v="10"/>
    <n v="2"/>
    <x v="212"/>
    <x v="0"/>
    <n v="2"/>
  </r>
  <r>
    <s v="Coastal"/>
    <n v="2160"/>
    <s v="Canaveral Port District, FL"/>
    <n v="3272"/>
    <x v="137"/>
    <x v="10"/>
    <n v="1"/>
    <x v="19"/>
    <x v="0"/>
    <n v="1"/>
  </r>
  <r>
    <s v="Coastal"/>
    <n v="2160"/>
    <s v="Canaveral Port District, FL"/>
    <n v="5290"/>
    <x v="49"/>
    <x v="10"/>
    <n v="1"/>
    <x v="0"/>
    <x v="276"/>
    <n v="1"/>
  </r>
  <r>
    <s v="Internal"/>
    <n v="2227"/>
    <s v="Central Louisiana Regional, LA"/>
    <n v="2540"/>
    <x v="15"/>
    <x v="281"/>
    <n v="0"/>
    <x v="0"/>
    <x v="0"/>
    <n v="869554"/>
  </r>
  <r>
    <s v="Internal"/>
    <n v="2227"/>
    <s v="Central Louisiana Regional, LA"/>
    <n v="4322"/>
    <x v="33"/>
    <x v="282"/>
    <n v="0"/>
    <x v="0"/>
    <x v="0"/>
    <n v="577671"/>
  </r>
  <r>
    <s v="Internal"/>
    <n v="2227"/>
    <s v="Central Louisiana Regional, LA"/>
    <n v="4331"/>
    <x v="29"/>
    <x v="283"/>
    <n v="0"/>
    <x v="0"/>
    <x v="0"/>
    <n v="449318"/>
  </r>
  <r>
    <s v="Internal"/>
    <n v="2227"/>
    <s v="Central Louisiana Regional, LA"/>
    <n v="1100"/>
    <x v="32"/>
    <x v="284"/>
    <n v="0"/>
    <x v="0"/>
    <x v="0"/>
    <n v="335769"/>
  </r>
  <r>
    <s v="Internal"/>
    <n v="2227"/>
    <s v="Central Louisiana Regional, LA"/>
    <n v="2211"/>
    <x v="0"/>
    <x v="285"/>
    <n v="0"/>
    <x v="0"/>
    <x v="0"/>
    <n v="248165"/>
  </r>
  <r>
    <s v="Internal"/>
    <n v="2227"/>
    <s v="Central Louisiana Regional, LA"/>
    <n v="2330"/>
    <x v="1"/>
    <x v="286"/>
    <n v="0"/>
    <x v="0"/>
    <x v="0"/>
    <n v="210506"/>
  </r>
  <r>
    <s v="Internal"/>
    <n v="2227"/>
    <s v="Central Louisiana Regional, LA"/>
    <n v="3110"/>
    <x v="36"/>
    <x v="287"/>
    <n v="0"/>
    <x v="0"/>
    <x v="0"/>
    <n v="13345"/>
  </r>
  <r>
    <s v="Internal"/>
    <n v="2227"/>
    <s v="Central Louisiana Regional, LA"/>
    <n v="3130"/>
    <x v="37"/>
    <x v="288"/>
    <n v="0"/>
    <x v="0"/>
    <x v="0"/>
    <n v="8963"/>
  </r>
  <r>
    <s v="Internal"/>
    <n v="2227"/>
    <s v="Central Louisiana Regional, LA"/>
    <n v="3190"/>
    <x v="38"/>
    <x v="289"/>
    <n v="0"/>
    <x v="0"/>
    <x v="0"/>
    <n v="4658"/>
  </r>
  <r>
    <s v="Internal"/>
    <n v="2227"/>
    <s v="Central Louisiana Regional, LA"/>
    <n v="3120"/>
    <x v="41"/>
    <x v="290"/>
    <n v="0"/>
    <x v="0"/>
    <x v="0"/>
    <n v="2921"/>
  </r>
  <r>
    <s v="Internal"/>
    <n v="2227"/>
    <s v="Central Louisiana Regional, LA"/>
    <n v="4310"/>
    <x v="96"/>
    <x v="291"/>
    <n v="0"/>
    <x v="0"/>
    <x v="0"/>
    <n v="1590"/>
  </r>
  <r>
    <s v="Great Lakes"/>
    <n v="3650"/>
    <s v="Charlevoix, MI"/>
    <n v="7900"/>
    <x v="21"/>
    <x v="292"/>
    <n v="0"/>
    <x v="0"/>
    <x v="0"/>
    <n v="8849"/>
  </r>
  <r>
    <s v="Great Lakes"/>
    <n v="3650"/>
    <s v="Charlevoix, MI"/>
    <n v="3293"/>
    <x v="122"/>
    <x v="293"/>
    <n v="0"/>
    <x v="0"/>
    <x v="0"/>
    <n v="150"/>
  </r>
  <r>
    <s v="Internal"/>
    <n v="2372"/>
    <s v="Chattanooga, TN"/>
    <n v="4322"/>
    <x v="33"/>
    <x v="294"/>
    <n v="0"/>
    <x v="0"/>
    <x v="0"/>
    <n v="1217549"/>
  </r>
  <r>
    <s v="Internal"/>
    <n v="2372"/>
    <s v="Chattanooga, TN"/>
    <n v="4420"/>
    <x v="8"/>
    <x v="295"/>
    <n v="0"/>
    <x v="0"/>
    <x v="0"/>
    <n v="117881"/>
  </r>
  <r>
    <s v="Internal"/>
    <n v="2372"/>
    <s v="Chattanooga, TN"/>
    <n v="2430"/>
    <x v="11"/>
    <x v="296"/>
    <n v="0"/>
    <x v="0"/>
    <x v="0"/>
    <n v="116343"/>
  </r>
  <r>
    <s v="Internal"/>
    <n v="2372"/>
    <s v="Chattanooga, TN"/>
    <n v="4900"/>
    <x v="14"/>
    <x v="297"/>
    <n v="0"/>
    <x v="0"/>
    <x v="0"/>
    <n v="112896"/>
  </r>
  <r>
    <s v="Internal"/>
    <n v="2372"/>
    <s v="Chattanooga, TN"/>
    <n v="5220"/>
    <x v="30"/>
    <x v="298"/>
    <n v="0"/>
    <x v="0"/>
    <x v="0"/>
    <n v="100646"/>
  </r>
  <r>
    <s v="Internal"/>
    <n v="2372"/>
    <s v="Chattanooga, TN"/>
    <n v="3275"/>
    <x v="47"/>
    <x v="299"/>
    <n v="0"/>
    <x v="0"/>
    <x v="0"/>
    <n v="100553"/>
  </r>
  <r>
    <s v="Internal"/>
    <n v="2372"/>
    <s v="Chattanooga, TN"/>
    <n v="3274"/>
    <x v="86"/>
    <x v="300"/>
    <n v="0"/>
    <x v="0"/>
    <x v="0"/>
    <n v="97959"/>
  </r>
  <r>
    <s v="Internal"/>
    <n v="2372"/>
    <s v="Chattanooga, TN"/>
    <n v="6241"/>
    <x v="28"/>
    <x v="301"/>
    <n v="0"/>
    <x v="0"/>
    <x v="0"/>
    <n v="92565"/>
  </r>
  <r>
    <s v="Internal"/>
    <n v="2372"/>
    <s v="Chattanooga, TN"/>
    <n v="5330"/>
    <x v="16"/>
    <x v="302"/>
    <n v="0"/>
    <x v="0"/>
    <x v="0"/>
    <n v="76387"/>
  </r>
  <r>
    <s v="Internal"/>
    <n v="2372"/>
    <s v="Chattanooga, TN"/>
    <n v="3219"/>
    <x v="19"/>
    <x v="303"/>
    <n v="0"/>
    <x v="0"/>
    <x v="0"/>
    <n v="63224"/>
  </r>
  <r>
    <s v="Internal"/>
    <n v="2372"/>
    <s v="Chattanooga, TN"/>
    <n v="5390"/>
    <x v="44"/>
    <x v="304"/>
    <n v="0"/>
    <x v="0"/>
    <x v="0"/>
    <n v="61786"/>
  </r>
  <r>
    <s v="Internal"/>
    <n v="2372"/>
    <s v="Chattanooga, TN"/>
    <n v="2540"/>
    <x v="15"/>
    <x v="305"/>
    <n v="0"/>
    <x v="0"/>
    <x v="0"/>
    <n v="56355"/>
  </r>
  <r>
    <s v="Internal"/>
    <n v="2372"/>
    <s v="Chattanooga, TN"/>
    <n v="1100"/>
    <x v="32"/>
    <x v="306"/>
    <n v="0"/>
    <x v="0"/>
    <x v="0"/>
    <n v="24803"/>
  </r>
  <r>
    <s v="Internal"/>
    <n v="2372"/>
    <s v="Chattanooga, TN"/>
    <n v="5312"/>
    <x v="52"/>
    <x v="307"/>
    <n v="0"/>
    <x v="0"/>
    <x v="0"/>
    <n v="21589"/>
  </r>
  <r>
    <s v="Internal"/>
    <n v="2372"/>
    <s v="Chattanooga, TN"/>
    <n v="4860"/>
    <x v="31"/>
    <x v="308"/>
    <n v="0"/>
    <x v="0"/>
    <x v="0"/>
    <n v="8486"/>
  </r>
  <r>
    <s v="Internal"/>
    <n v="2372"/>
    <s v="Chattanooga, TN"/>
    <n v="5290"/>
    <x v="49"/>
    <x v="66"/>
    <n v="0"/>
    <x v="0"/>
    <x v="0"/>
    <n v="3156"/>
  </r>
  <r>
    <s v="Internal"/>
    <n v="2372"/>
    <s v="Chattanooga, TN"/>
    <n v="3190"/>
    <x v="38"/>
    <x v="309"/>
    <n v="0"/>
    <x v="0"/>
    <x v="0"/>
    <n v="3112"/>
  </r>
  <r>
    <s v="Internal"/>
    <n v="2372"/>
    <s v="Chattanooga, TN"/>
    <n v="5360"/>
    <x v="94"/>
    <x v="310"/>
    <n v="0"/>
    <x v="0"/>
    <x v="0"/>
    <n v="3002"/>
  </r>
  <r>
    <s v="Internal"/>
    <n v="2372"/>
    <s v="Chattanooga, TN"/>
    <n v="4331"/>
    <x v="29"/>
    <x v="311"/>
    <n v="0"/>
    <x v="0"/>
    <x v="0"/>
    <n v="1575"/>
  </r>
  <r>
    <s v="Internal"/>
    <n v="2372"/>
    <s v="Chattanooga, TN"/>
    <n v="5480"/>
    <x v="20"/>
    <x v="312"/>
    <n v="0"/>
    <x v="0"/>
    <x v="0"/>
    <n v="1158"/>
  </r>
  <r>
    <s v="Great Lakes"/>
    <n v="3629"/>
    <s v="Cheboygan, MI"/>
    <n v="2211"/>
    <x v="0"/>
    <x v="313"/>
    <n v="57900"/>
    <x v="394"/>
    <x v="0"/>
    <n v="165246"/>
  </r>
  <r>
    <s v="Great Lakes"/>
    <n v="3629"/>
    <s v="Cheboygan, MI"/>
    <n v="2330"/>
    <x v="1"/>
    <x v="314"/>
    <n v="17914"/>
    <x v="395"/>
    <x v="0"/>
    <n v="47748"/>
  </r>
  <r>
    <s v="Great Lakes"/>
    <n v="3629"/>
    <s v="Cheboygan, MI"/>
    <n v="4322"/>
    <x v="33"/>
    <x v="315"/>
    <n v="0"/>
    <x v="0"/>
    <x v="0"/>
    <n v="26720"/>
  </r>
  <r>
    <s v="Great Lakes"/>
    <n v="3629"/>
    <s v="Cheboygan, MI"/>
    <n v="5290"/>
    <x v="49"/>
    <x v="10"/>
    <n v="22046"/>
    <x v="0"/>
    <x v="277"/>
    <n v="22046"/>
  </r>
  <r>
    <s v="Great Lakes"/>
    <n v="3629"/>
    <s v="Cheboygan, MI"/>
    <n v="3220"/>
    <x v="2"/>
    <x v="316"/>
    <n v="0"/>
    <x v="0"/>
    <x v="0"/>
    <n v="18999"/>
  </r>
  <r>
    <s v="Great Lakes"/>
    <n v="3629"/>
    <s v="Cheboygan, MI"/>
    <n v="4331"/>
    <x v="29"/>
    <x v="317"/>
    <n v="0"/>
    <x v="0"/>
    <x v="0"/>
    <n v="6600"/>
  </r>
  <r>
    <s v="Great Lakes"/>
    <n v="3629"/>
    <s v="Cheboygan, MI"/>
    <n v="7110"/>
    <x v="4"/>
    <x v="318"/>
    <n v="0"/>
    <x v="0"/>
    <x v="0"/>
    <n v="2355"/>
  </r>
  <r>
    <s v="Great Lakes"/>
    <n v="3629"/>
    <s v="Cheboygan, MI"/>
    <n v="7900"/>
    <x v="21"/>
    <x v="319"/>
    <n v="0"/>
    <x v="0"/>
    <x v="0"/>
    <n v="859"/>
  </r>
  <r>
    <s v="Internal"/>
    <n v="2445"/>
    <s v="Cincinnati, OH"/>
    <n v="6344"/>
    <x v="25"/>
    <x v="320"/>
    <n v="0"/>
    <x v="0"/>
    <x v="0"/>
    <n v="796930"/>
  </r>
  <r>
    <s v="Internal"/>
    <n v="2445"/>
    <s v="Cincinnati, OH"/>
    <n v="2211"/>
    <x v="0"/>
    <x v="321"/>
    <n v="0"/>
    <x v="0"/>
    <x v="0"/>
    <n v="778225"/>
  </r>
  <r>
    <s v="Internal"/>
    <n v="2445"/>
    <s v="Cincinnati, OH"/>
    <n v="6522"/>
    <x v="26"/>
    <x v="322"/>
    <n v="0"/>
    <x v="0"/>
    <x v="0"/>
    <n v="629690"/>
  </r>
  <r>
    <s v="Internal"/>
    <n v="2445"/>
    <s v="Cincinnati, OH"/>
    <n v="5312"/>
    <x v="52"/>
    <x v="323"/>
    <n v="0"/>
    <x v="0"/>
    <x v="0"/>
    <n v="574656"/>
  </r>
  <r>
    <s v="Internal"/>
    <n v="2445"/>
    <s v="Cincinnati, OH"/>
    <n v="5220"/>
    <x v="30"/>
    <x v="324"/>
    <n v="0"/>
    <x v="0"/>
    <x v="0"/>
    <n v="451402"/>
  </r>
  <r>
    <s v="Internal"/>
    <n v="2445"/>
    <s v="Cincinnati, OH"/>
    <n v="3110"/>
    <x v="36"/>
    <x v="325"/>
    <n v="0"/>
    <x v="0"/>
    <x v="0"/>
    <n v="381046"/>
  </r>
  <r>
    <s v="Internal"/>
    <n v="2445"/>
    <s v="Cincinnati, OH"/>
    <n v="2330"/>
    <x v="1"/>
    <x v="326"/>
    <n v="0"/>
    <x v="0"/>
    <x v="0"/>
    <n v="374291"/>
  </r>
  <r>
    <s v="Internal"/>
    <n v="2445"/>
    <s v="Cincinnati, OH"/>
    <n v="3220"/>
    <x v="2"/>
    <x v="327"/>
    <n v="0"/>
    <x v="0"/>
    <x v="0"/>
    <n v="266102"/>
  </r>
  <r>
    <s v="Internal"/>
    <n v="2445"/>
    <s v="Cincinnati, OH"/>
    <n v="3274"/>
    <x v="86"/>
    <x v="328"/>
    <n v="0"/>
    <x v="0"/>
    <x v="0"/>
    <n v="253710"/>
  </r>
  <r>
    <s v="Internal"/>
    <n v="2445"/>
    <s v="Cincinnati, OH"/>
    <n v="4783"/>
    <x v="7"/>
    <x v="329"/>
    <n v="0"/>
    <x v="0"/>
    <x v="0"/>
    <n v="230914"/>
  </r>
  <r>
    <s v="Internal"/>
    <n v="2445"/>
    <s v="Cincinnati, OH"/>
    <n v="6782"/>
    <x v="27"/>
    <x v="330"/>
    <n v="0"/>
    <x v="0"/>
    <x v="0"/>
    <n v="222506"/>
  </r>
  <r>
    <s v="Internal"/>
    <n v="2445"/>
    <s v="Cincinnati, OH"/>
    <n v="4420"/>
    <x v="8"/>
    <x v="331"/>
    <n v="0"/>
    <x v="0"/>
    <x v="0"/>
    <n v="184705"/>
  </r>
  <r>
    <s v="Internal"/>
    <n v="2445"/>
    <s v="Cincinnati, OH"/>
    <n v="2350"/>
    <x v="40"/>
    <x v="332"/>
    <n v="0"/>
    <x v="0"/>
    <x v="0"/>
    <n v="123859"/>
  </r>
  <r>
    <s v="Internal"/>
    <n v="2445"/>
    <s v="Cincinnati, OH"/>
    <n v="3130"/>
    <x v="37"/>
    <x v="333"/>
    <n v="0"/>
    <x v="0"/>
    <x v="0"/>
    <n v="111020"/>
  </r>
  <r>
    <s v="Internal"/>
    <n v="2445"/>
    <s v="Cincinnati, OH"/>
    <n v="3190"/>
    <x v="38"/>
    <x v="334"/>
    <n v="0"/>
    <x v="0"/>
    <x v="0"/>
    <n v="84631"/>
  </r>
  <r>
    <s v="Internal"/>
    <n v="2445"/>
    <s v="Cincinnati, OH"/>
    <n v="4410"/>
    <x v="34"/>
    <x v="335"/>
    <n v="0"/>
    <x v="0"/>
    <x v="0"/>
    <n v="81906"/>
  </r>
  <r>
    <s v="Internal"/>
    <n v="2445"/>
    <s v="Cincinnati, OH"/>
    <n v="5330"/>
    <x v="16"/>
    <x v="336"/>
    <n v="0"/>
    <x v="0"/>
    <x v="0"/>
    <n v="72479"/>
  </r>
  <r>
    <s v="Internal"/>
    <n v="2445"/>
    <s v="Cincinnati, OH"/>
    <n v="2430"/>
    <x v="11"/>
    <x v="337"/>
    <n v="0"/>
    <x v="0"/>
    <x v="0"/>
    <n v="59349"/>
  </r>
  <r>
    <s v="Internal"/>
    <n v="2445"/>
    <s v="Cincinnati, OH"/>
    <n v="4331"/>
    <x v="29"/>
    <x v="338"/>
    <n v="0"/>
    <x v="0"/>
    <x v="0"/>
    <n v="50343"/>
  </r>
  <r>
    <s v="Internal"/>
    <n v="2445"/>
    <s v="Cincinnati, OH"/>
    <n v="5360"/>
    <x v="94"/>
    <x v="339"/>
    <n v="0"/>
    <x v="0"/>
    <x v="0"/>
    <n v="49260"/>
  </r>
  <r>
    <s v="Internal"/>
    <n v="2445"/>
    <s v="Cincinnati, OH"/>
    <n v="3120"/>
    <x v="41"/>
    <x v="340"/>
    <n v="0"/>
    <x v="0"/>
    <x v="0"/>
    <n v="45055"/>
  </r>
  <r>
    <s v="Internal"/>
    <n v="2445"/>
    <s v="Cincinnati, OH"/>
    <n v="5390"/>
    <x v="44"/>
    <x v="341"/>
    <n v="0"/>
    <x v="0"/>
    <x v="0"/>
    <n v="33992"/>
  </r>
  <r>
    <s v="Internal"/>
    <n v="2445"/>
    <s v="Cincinnati, OH"/>
    <n v="1100"/>
    <x v="32"/>
    <x v="342"/>
    <n v="0"/>
    <x v="0"/>
    <x v="0"/>
    <n v="31859"/>
  </r>
  <r>
    <s v="Internal"/>
    <n v="2445"/>
    <s v="Cincinnati, OH"/>
    <n v="3219"/>
    <x v="19"/>
    <x v="343"/>
    <n v="0"/>
    <x v="0"/>
    <x v="0"/>
    <n v="30430"/>
  </r>
  <r>
    <s v="Internal"/>
    <n v="2445"/>
    <s v="Cincinnati, OH"/>
    <n v="3230"/>
    <x v="80"/>
    <x v="344"/>
    <n v="0"/>
    <x v="0"/>
    <x v="0"/>
    <n v="29181"/>
  </r>
  <r>
    <s v="Internal"/>
    <n v="2445"/>
    <s v="Cincinnati, OH"/>
    <n v="2540"/>
    <x v="15"/>
    <x v="345"/>
    <n v="0"/>
    <x v="0"/>
    <x v="0"/>
    <n v="27932"/>
  </r>
  <r>
    <s v="Internal"/>
    <n v="2445"/>
    <s v="Cincinnati, OH"/>
    <n v="4860"/>
    <x v="31"/>
    <x v="346"/>
    <n v="0"/>
    <x v="0"/>
    <x v="0"/>
    <n v="23465"/>
  </r>
  <r>
    <s v="Internal"/>
    <n v="2445"/>
    <s v="Cincinnati, OH"/>
    <n v="6865"/>
    <x v="75"/>
    <x v="347"/>
    <n v="0"/>
    <x v="0"/>
    <x v="0"/>
    <n v="16504"/>
  </r>
  <r>
    <s v="Internal"/>
    <n v="2445"/>
    <s v="Cincinnati, OH"/>
    <n v="6241"/>
    <x v="28"/>
    <x v="348"/>
    <n v="0"/>
    <x v="0"/>
    <x v="0"/>
    <n v="15556"/>
  </r>
  <r>
    <s v="Internal"/>
    <n v="2445"/>
    <s v="Cincinnati, OH"/>
    <n v="2340"/>
    <x v="3"/>
    <x v="349"/>
    <n v="0"/>
    <x v="0"/>
    <x v="0"/>
    <n v="14831"/>
  </r>
  <r>
    <s v="Internal"/>
    <n v="2445"/>
    <s v="Cincinnati, OH"/>
    <n v="4782"/>
    <x v="45"/>
    <x v="350"/>
    <n v="0"/>
    <x v="0"/>
    <x v="0"/>
    <n v="14523"/>
  </r>
  <r>
    <s v="Internal"/>
    <n v="2445"/>
    <s v="Cincinnati, OH"/>
    <n v="6590"/>
    <x v="23"/>
    <x v="351"/>
    <n v="0"/>
    <x v="0"/>
    <x v="0"/>
    <n v="11913"/>
  </r>
  <r>
    <s v="Internal"/>
    <n v="2445"/>
    <s v="Cincinnati, OH"/>
    <n v="3275"/>
    <x v="47"/>
    <x v="352"/>
    <n v="0"/>
    <x v="0"/>
    <x v="0"/>
    <n v="11023"/>
  </r>
  <r>
    <s v="Internal"/>
    <n v="2445"/>
    <s v="Cincinnati, OH"/>
    <n v="4322"/>
    <x v="33"/>
    <x v="353"/>
    <n v="0"/>
    <x v="0"/>
    <x v="0"/>
    <n v="9984"/>
  </r>
  <r>
    <s v="Internal"/>
    <n v="2445"/>
    <s v="Cincinnati, OH"/>
    <n v="2429"/>
    <x v="17"/>
    <x v="354"/>
    <n v="0"/>
    <x v="0"/>
    <x v="0"/>
    <n v="9002"/>
  </r>
  <r>
    <s v="Internal"/>
    <n v="2445"/>
    <s v="Cincinnati, OH"/>
    <n v="1200"/>
    <x v="43"/>
    <x v="355"/>
    <n v="0"/>
    <x v="0"/>
    <x v="0"/>
    <n v="7858"/>
  </r>
  <r>
    <s v="Internal"/>
    <n v="2445"/>
    <s v="Cincinnati, OH"/>
    <n v="2221"/>
    <x v="9"/>
    <x v="356"/>
    <n v="0"/>
    <x v="0"/>
    <x v="0"/>
    <n v="6074"/>
  </r>
  <r>
    <s v="Internal"/>
    <n v="2445"/>
    <s v="Cincinnati, OH"/>
    <n v="5315"/>
    <x v="48"/>
    <x v="357"/>
    <n v="0"/>
    <x v="0"/>
    <x v="0"/>
    <n v="4874"/>
  </r>
  <r>
    <s v="Internal"/>
    <n v="2445"/>
    <s v="Cincinnati, OH"/>
    <n v="5480"/>
    <x v="20"/>
    <x v="358"/>
    <n v="0"/>
    <x v="0"/>
    <x v="0"/>
    <n v="4622"/>
  </r>
  <r>
    <s v="Internal"/>
    <n v="2445"/>
    <s v="Cincinnati, OH"/>
    <n v="3276"/>
    <x v="12"/>
    <x v="359"/>
    <n v="0"/>
    <x v="0"/>
    <x v="0"/>
    <n v="3348"/>
  </r>
  <r>
    <s v="Internal"/>
    <n v="2445"/>
    <s v="Cincinnati, OH"/>
    <n v="4650"/>
    <x v="67"/>
    <x v="360"/>
    <n v="0"/>
    <x v="0"/>
    <x v="0"/>
    <n v="2636"/>
  </r>
  <r>
    <s v="Internal"/>
    <n v="2445"/>
    <s v="Cincinnati, OH"/>
    <n v="5370"/>
    <x v="81"/>
    <x v="361"/>
    <n v="0"/>
    <x v="0"/>
    <x v="0"/>
    <n v="2487"/>
  </r>
  <r>
    <s v="Internal"/>
    <n v="2445"/>
    <s v="Cincinnati, OH"/>
    <n v="5320"/>
    <x v="13"/>
    <x v="362"/>
    <n v="0"/>
    <x v="0"/>
    <x v="0"/>
    <n v="2134"/>
  </r>
  <r>
    <s v="Internal"/>
    <n v="2445"/>
    <s v="Cincinnati, OH"/>
    <n v="5422"/>
    <x v="66"/>
    <x v="363"/>
    <n v="0"/>
    <x v="0"/>
    <x v="0"/>
    <n v="1525"/>
  </r>
  <r>
    <s v="Internal"/>
    <n v="6112"/>
    <s v="City of Fort Smith Port, AR"/>
    <n v="4331"/>
    <x v="29"/>
    <x v="364"/>
    <n v="0"/>
    <x v="0"/>
    <x v="0"/>
    <n v="964100"/>
  </r>
  <r>
    <s v="Internal"/>
    <n v="6112"/>
    <s v="City of Fort Smith Port, AR"/>
    <n v="6782"/>
    <x v="27"/>
    <x v="365"/>
    <n v="0"/>
    <x v="0"/>
    <x v="0"/>
    <n v="5345"/>
  </r>
  <r>
    <s v="Internal"/>
    <n v="6112"/>
    <s v="City of Fort Smith Port, AR"/>
    <n v="6344"/>
    <x v="25"/>
    <x v="366"/>
    <n v="0"/>
    <x v="0"/>
    <x v="0"/>
    <n v="4416"/>
  </r>
  <r>
    <s v="Internal"/>
    <n v="6112"/>
    <s v="City of Fort Smith Port, AR"/>
    <n v="4860"/>
    <x v="31"/>
    <x v="367"/>
    <n v="0"/>
    <x v="0"/>
    <x v="0"/>
    <n v="3082"/>
  </r>
  <r>
    <s v="Internal"/>
    <n v="6112"/>
    <s v="City of Fort Smith Port, AR"/>
    <n v="4420"/>
    <x v="8"/>
    <x v="368"/>
    <n v="0"/>
    <x v="0"/>
    <x v="0"/>
    <n v="1620"/>
  </r>
  <r>
    <s v="Internal"/>
    <n v="2447"/>
    <s v="Claiborne County, MS"/>
    <n v="4322"/>
    <x v="33"/>
    <x v="369"/>
    <n v="0"/>
    <x v="0"/>
    <x v="0"/>
    <n v="21502"/>
  </r>
  <r>
    <s v="Internal"/>
    <n v="2447"/>
    <s v="Claiborne County, MS"/>
    <n v="4331"/>
    <x v="29"/>
    <x v="370"/>
    <n v="0"/>
    <x v="0"/>
    <x v="0"/>
    <n v="4327"/>
  </r>
  <r>
    <s v="Coastal"/>
    <n v="4707"/>
    <s v="Clallam County Port District, WA"/>
    <n v="2340"/>
    <x v="3"/>
    <x v="371"/>
    <n v="0"/>
    <x v="0"/>
    <x v="0"/>
    <n v="368884"/>
  </r>
  <r>
    <s v="Coastal"/>
    <n v="4707"/>
    <s v="Clallam County Port District, WA"/>
    <n v="4170"/>
    <x v="55"/>
    <x v="10"/>
    <n v="252116"/>
    <x v="396"/>
    <x v="278"/>
    <n v="252116"/>
  </r>
  <r>
    <s v="Coastal"/>
    <n v="4707"/>
    <s v="Clallam County Port District, WA"/>
    <n v="4161"/>
    <x v="54"/>
    <x v="10"/>
    <n v="57760"/>
    <x v="0"/>
    <x v="279"/>
    <n v="57760"/>
  </r>
  <r>
    <s v="Coastal"/>
    <n v="4707"/>
    <s v="Clallam County Port District, WA"/>
    <n v="6653"/>
    <x v="24"/>
    <x v="10"/>
    <n v="27588"/>
    <x v="397"/>
    <x v="0"/>
    <n v="27588"/>
  </r>
  <r>
    <s v="Coastal"/>
    <n v="4707"/>
    <s v="Clallam County Port District, WA"/>
    <n v="4150"/>
    <x v="101"/>
    <x v="10"/>
    <n v="15102"/>
    <x v="0"/>
    <x v="280"/>
    <n v="15102"/>
  </r>
  <r>
    <s v="Coastal"/>
    <n v="4707"/>
    <s v="Clallam County Port District, WA"/>
    <n v="7900"/>
    <x v="21"/>
    <x v="10"/>
    <n v="5476"/>
    <x v="398"/>
    <x v="0"/>
    <n v="5476"/>
  </r>
  <r>
    <s v="Coastal"/>
    <n v="4707"/>
    <s v="Clallam County Port District, WA"/>
    <n v="2330"/>
    <x v="1"/>
    <x v="372"/>
    <n v="0"/>
    <x v="0"/>
    <x v="0"/>
    <n v="2000"/>
  </r>
  <r>
    <s v="Coastal"/>
    <n v="4707"/>
    <s v="Clallam County Port District, WA"/>
    <n v="7110"/>
    <x v="4"/>
    <x v="10"/>
    <n v="1354"/>
    <x v="399"/>
    <x v="0"/>
    <n v="1354"/>
  </r>
  <r>
    <s v="Coastal"/>
    <n v="4707"/>
    <s v="Clallam County Port District, WA"/>
    <n v="6885"/>
    <x v="72"/>
    <x v="10"/>
    <n v="595"/>
    <x v="400"/>
    <x v="0"/>
    <n v="595"/>
  </r>
  <r>
    <s v="Coastal"/>
    <n v="4707"/>
    <s v="Clallam County Port District, WA"/>
    <n v="6811"/>
    <x v="76"/>
    <x v="10"/>
    <n v="589"/>
    <x v="401"/>
    <x v="0"/>
    <n v="589"/>
  </r>
  <r>
    <s v="Coastal"/>
    <n v="4707"/>
    <s v="Clallam County Port District, WA"/>
    <n v="3292"/>
    <x v="51"/>
    <x v="10"/>
    <n v="440"/>
    <x v="402"/>
    <x v="0"/>
    <n v="440"/>
  </r>
  <r>
    <s v="Coastal"/>
    <n v="4707"/>
    <s v="Clallam County Port District, WA"/>
    <n v="7120"/>
    <x v="71"/>
    <x v="10"/>
    <n v="427"/>
    <x v="403"/>
    <x v="0"/>
    <n v="427"/>
  </r>
  <r>
    <s v="Coastal"/>
    <n v="4707"/>
    <s v="Clallam County Port District, WA"/>
    <n v="7500"/>
    <x v="60"/>
    <x v="10"/>
    <n v="364"/>
    <x v="292"/>
    <x v="0"/>
    <n v="364"/>
  </r>
  <r>
    <s v="Coastal"/>
    <n v="4707"/>
    <s v="Clallam County Port District, WA"/>
    <n v="6857"/>
    <x v="104"/>
    <x v="10"/>
    <n v="345"/>
    <x v="404"/>
    <x v="0"/>
    <n v="345"/>
  </r>
  <r>
    <s v="Coastal"/>
    <n v="4707"/>
    <s v="Clallam County Port District, WA"/>
    <n v="4189"/>
    <x v="65"/>
    <x v="10"/>
    <n v="339"/>
    <x v="405"/>
    <x v="0"/>
    <n v="339"/>
  </r>
  <r>
    <s v="Coastal"/>
    <n v="4707"/>
    <s v="Clallam County Port District, WA"/>
    <n v="5540"/>
    <x v="64"/>
    <x v="10"/>
    <n v="252"/>
    <x v="406"/>
    <x v="0"/>
    <n v="252"/>
  </r>
  <r>
    <s v="Coastal"/>
    <n v="4707"/>
    <s v="Clallam County Port District, WA"/>
    <n v="6654"/>
    <x v="50"/>
    <x v="10"/>
    <n v="155"/>
    <x v="407"/>
    <x v="0"/>
    <n v="155"/>
  </r>
  <r>
    <s v="Coastal"/>
    <n v="4707"/>
    <s v="Clallam County Port District, WA"/>
    <n v="6899"/>
    <x v="114"/>
    <x v="10"/>
    <n v="142"/>
    <x v="408"/>
    <x v="0"/>
    <n v="142"/>
  </r>
  <r>
    <s v="Coastal"/>
    <n v="4707"/>
    <s v="Clallam County Port District, WA"/>
    <n v="5480"/>
    <x v="20"/>
    <x v="10"/>
    <n v="107"/>
    <x v="409"/>
    <x v="0"/>
    <n v="107"/>
  </r>
  <r>
    <s v="Coastal"/>
    <n v="4707"/>
    <s v="Clallam County Port District, WA"/>
    <n v="7210"/>
    <x v="59"/>
    <x v="10"/>
    <n v="106"/>
    <x v="148"/>
    <x v="0"/>
    <n v="106"/>
  </r>
  <r>
    <s v="Coastal"/>
    <n v="4707"/>
    <s v="Clallam County Port District, WA"/>
    <n v="7600"/>
    <x v="68"/>
    <x v="10"/>
    <n v="105"/>
    <x v="410"/>
    <x v="0"/>
    <n v="105"/>
  </r>
  <r>
    <s v="Coastal"/>
    <n v="4707"/>
    <s v="Clallam County Port District, WA"/>
    <n v="6782"/>
    <x v="27"/>
    <x v="10"/>
    <n v="103"/>
    <x v="51"/>
    <x v="281"/>
    <n v="103"/>
  </r>
  <r>
    <s v="Coastal"/>
    <n v="4707"/>
    <s v="Clallam County Port District, WA"/>
    <n v="5240"/>
    <x v="89"/>
    <x v="10"/>
    <n v="88"/>
    <x v="411"/>
    <x v="0"/>
    <n v="88"/>
  </r>
  <r>
    <s v="Coastal"/>
    <n v="4707"/>
    <s v="Clallam County Port District, WA"/>
    <n v="7220"/>
    <x v="103"/>
    <x v="10"/>
    <n v="53"/>
    <x v="412"/>
    <x v="0"/>
    <n v="53"/>
  </r>
  <r>
    <s v="Coastal"/>
    <n v="4707"/>
    <s v="Clallam County Port District, WA"/>
    <n v="6889"/>
    <x v="42"/>
    <x v="10"/>
    <n v="45"/>
    <x v="153"/>
    <x v="0"/>
    <n v="45"/>
  </r>
  <r>
    <s v="Coastal"/>
    <n v="4707"/>
    <s v="Clallam County Port District, WA"/>
    <n v="3250"/>
    <x v="108"/>
    <x v="10"/>
    <n v="42"/>
    <x v="413"/>
    <x v="0"/>
    <n v="42"/>
  </r>
  <r>
    <s v="Coastal"/>
    <n v="4707"/>
    <s v="Clallam County Port District, WA"/>
    <n v="3190"/>
    <x v="38"/>
    <x v="10"/>
    <n v="39"/>
    <x v="414"/>
    <x v="0"/>
    <n v="39"/>
  </r>
  <r>
    <s v="Coastal"/>
    <n v="4707"/>
    <s v="Clallam County Port District, WA"/>
    <n v="5190"/>
    <x v="83"/>
    <x v="10"/>
    <n v="26"/>
    <x v="415"/>
    <x v="0"/>
    <n v="26"/>
  </r>
  <r>
    <s v="Coastal"/>
    <n v="4707"/>
    <s v="Clallam County Port District, WA"/>
    <n v="6822"/>
    <x v="84"/>
    <x v="10"/>
    <n v="20"/>
    <x v="416"/>
    <x v="0"/>
    <n v="20"/>
  </r>
  <r>
    <s v="Coastal"/>
    <n v="4707"/>
    <s v="Clallam County Port District, WA"/>
    <n v="6893"/>
    <x v="113"/>
    <x v="10"/>
    <n v="20"/>
    <x v="416"/>
    <x v="0"/>
    <n v="20"/>
  </r>
  <r>
    <s v="Coastal"/>
    <n v="4707"/>
    <s v="Clallam County Port District, WA"/>
    <n v="7230"/>
    <x v="22"/>
    <x v="10"/>
    <n v="19"/>
    <x v="417"/>
    <x v="0"/>
    <n v="19"/>
  </r>
  <r>
    <s v="Coastal"/>
    <n v="4707"/>
    <s v="Clallam County Port District, WA"/>
    <n v="6888"/>
    <x v="109"/>
    <x v="10"/>
    <n v="18"/>
    <x v="170"/>
    <x v="0"/>
    <n v="18"/>
  </r>
  <r>
    <s v="Coastal"/>
    <n v="4707"/>
    <s v="Clallam County Port District, WA"/>
    <n v="5390"/>
    <x v="44"/>
    <x v="10"/>
    <n v="10"/>
    <x v="312"/>
    <x v="0"/>
    <n v="10"/>
  </r>
  <r>
    <s v="Coastal"/>
    <n v="4707"/>
    <s v="Clallam County Port District, WA"/>
    <n v="3286"/>
    <x v="57"/>
    <x v="10"/>
    <n v="9"/>
    <x v="313"/>
    <x v="0"/>
    <n v="9"/>
  </r>
  <r>
    <s v="Coastal"/>
    <n v="4707"/>
    <s v="Clallam County Port District, WA"/>
    <n v="4783"/>
    <x v="7"/>
    <x v="10"/>
    <n v="8"/>
    <x v="418"/>
    <x v="0"/>
    <n v="8"/>
  </r>
  <r>
    <s v="Coastal"/>
    <n v="4707"/>
    <s v="Clallam County Port District, WA"/>
    <n v="9900"/>
    <x v="18"/>
    <x v="10"/>
    <n v="7"/>
    <x v="311"/>
    <x v="0"/>
    <n v="7"/>
  </r>
  <r>
    <s v="Coastal"/>
    <n v="4707"/>
    <s v="Clallam County Port District, WA"/>
    <n v="3230"/>
    <x v="80"/>
    <x v="10"/>
    <n v="1"/>
    <x v="19"/>
    <x v="0"/>
    <n v="1"/>
  </r>
  <r>
    <s v="Great Lakes"/>
    <n v="3627"/>
    <s v="Clark Township, MI"/>
    <n v="4322"/>
    <x v="33"/>
    <x v="373"/>
    <n v="149871"/>
    <x v="0"/>
    <x v="282"/>
    <n v="2706783"/>
  </r>
  <r>
    <s v="Great Lakes"/>
    <n v="3627"/>
    <s v="Clark Township, MI"/>
    <n v="4331"/>
    <x v="29"/>
    <x v="374"/>
    <n v="63659"/>
    <x v="419"/>
    <x v="0"/>
    <n v="260093"/>
  </r>
  <r>
    <s v="Great Lakes"/>
    <n v="3627"/>
    <s v="Clark Township, MI"/>
    <n v="4782"/>
    <x v="45"/>
    <x v="375"/>
    <n v="0"/>
    <x v="0"/>
    <x v="0"/>
    <n v="49976"/>
  </r>
  <r>
    <s v="Great Lakes"/>
    <n v="3627"/>
    <s v="Clark Township, MI"/>
    <n v="4410"/>
    <x v="34"/>
    <x v="376"/>
    <n v="0"/>
    <x v="0"/>
    <x v="0"/>
    <n v="26381"/>
  </r>
  <r>
    <s v="Great Lakes"/>
    <n v="3627"/>
    <s v="Clark Township, MI"/>
    <n v="5290"/>
    <x v="49"/>
    <x v="377"/>
    <n v="23000"/>
    <x v="0"/>
    <x v="283"/>
    <n v="23085"/>
  </r>
  <r>
    <s v="Great Lakes"/>
    <n v="3627"/>
    <s v="Clark Township, MI"/>
    <n v="7110"/>
    <x v="4"/>
    <x v="378"/>
    <n v="0"/>
    <x v="0"/>
    <x v="0"/>
    <n v="390"/>
  </r>
  <r>
    <s v="Coastal"/>
    <n v="4610"/>
    <s v="Clatsop County Port District, OR"/>
    <n v="5190"/>
    <x v="83"/>
    <x v="379"/>
    <n v="0"/>
    <x v="0"/>
    <x v="0"/>
    <n v="505525"/>
  </r>
  <r>
    <s v="Coastal"/>
    <n v="4610"/>
    <s v="Clatsop County Port District, OR"/>
    <n v="4161"/>
    <x v="54"/>
    <x v="380"/>
    <n v="0"/>
    <x v="0"/>
    <x v="0"/>
    <n v="82269"/>
  </r>
  <r>
    <s v="Coastal"/>
    <n v="4610"/>
    <s v="Clatsop County Port District, OR"/>
    <n v="2340"/>
    <x v="3"/>
    <x v="381"/>
    <n v="0"/>
    <x v="0"/>
    <x v="0"/>
    <n v="29018"/>
  </r>
  <r>
    <s v="Coastal"/>
    <n v="4610"/>
    <s v="Clatsop County Port District, OR"/>
    <n v="7210"/>
    <x v="59"/>
    <x v="382"/>
    <n v="0"/>
    <x v="0"/>
    <x v="0"/>
    <n v="1374"/>
  </r>
  <r>
    <s v="Coastal"/>
    <n v="4610"/>
    <s v="Clatsop County Port District, OR"/>
    <n v="7230"/>
    <x v="22"/>
    <x v="10"/>
    <n v="2"/>
    <x v="0"/>
    <x v="284"/>
    <n v="2"/>
  </r>
  <r>
    <s v="Great Lakes"/>
    <n v="3217"/>
    <s v="Cleveland-Cuyahoga Port, OH"/>
    <n v="4410"/>
    <x v="34"/>
    <x v="383"/>
    <n v="0"/>
    <x v="0"/>
    <x v="0"/>
    <n v="7211608"/>
  </r>
  <r>
    <s v="Great Lakes"/>
    <n v="3217"/>
    <s v="Cleveland-Cuyahoga Port, OH"/>
    <n v="4322"/>
    <x v="33"/>
    <x v="384"/>
    <n v="48802"/>
    <x v="420"/>
    <x v="0"/>
    <n v="2317578"/>
  </r>
  <r>
    <s v="Great Lakes"/>
    <n v="3217"/>
    <s v="Cleveland-Cuyahoga Port, OH"/>
    <n v="4783"/>
    <x v="7"/>
    <x v="385"/>
    <n v="664952"/>
    <x v="421"/>
    <x v="285"/>
    <n v="1160830"/>
  </r>
  <r>
    <s v="Great Lakes"/>
    <n v="3217"/>
    <s v="Cleveland-Cuyahoga Port, OH"/>
    <n v="5220"/>
    <x v="30"/>
    <x v="386"/>
    <n v="573640"/>
    <x v="422"/>
    <x v="0"/>
    <n v="780552"/>
  </r>
  <r>
    <s v="Great Lakes"/>
    <n v="3217"/>
    <s v="Cleveland-Cuyahoga Port, OH"/>
    <n v="5330"/>
    <x v="16"/>
    <x v="387"/>
    <n v="296422"/>
    <x v="423"/>
    <x v="0"/>
    <n v="297222"/>
  </r>
  <r>
    <s v="Great Lakes"/>
    <n v="3217"/>
    <s v="Cleveland-Cuyahoga Port, OH"/>
    <n v="4331"/>
    <x v="29"/>
    <x v="388"/>
    <n v="226791"/>
    <x v="424"/>
    <x v="0"/>
    <n v="260176"/>
  </r>
  <r>
    <s v="Great Lakes"/>
    <n v="3217"/>
    <s v="Cleveland-Cuyahoga Port, OH"/>
    <n v="5360"/>
    <x v="94"/>
    <x v="10"/>
    <n v="121313"/>
    <x v="425"/>
    <x v="0"/>
    <n v="121313"/>
  </r>
  <r>
    <s v="Great Lakes"/>
    <n v="3217"/>
    <s v="Cleveland-Cuyahoga Port, OH"/>
    <n v="2430"/>
    <x v="11"/>
    <x v="389"/>
    <n v="0"/>
    <x v="0"/>
    <x v="0"/>
    <n v="92898"/>
  </r>
  <r>
    <s v="Great Lakes"/>
    <n v="3217"/>
    <s v="Cleveland-Cuyahoga Port, OH"/>
    <n v="1200"/>
    <x v="43"/>
    <x v="10"/>
    <n v="43565"/>
    <x v="426"/>
    <x v="0"/>
    <n v="43565"/>
  </r>
  <r>
    <s v="Great Lakes"/>
    <n v="3217"/>
    <s v="Cleveland-Cuyahoga Port, OH"/>
    <n v="4860"/>
    <x v="31"/>
    <x v="390"/>
    <n v="0"/>
    <x v="0"/>
    <x v="0"/>
    <n v="28309"/>
  </r>
  <r>
    <s v="Great Lakes"/>
    <n v="3217"/>
    <s v="Cleveland-Cuyahoga Port, OH"/>
    <n v="4782"/>
    <x v="45"/>
    <x v="10"/>
    <n v="27135"/>
    <x v="427"/>
    <x v="0"/>
    <n v="27135"/>
  </r>
  <r>
    <s v="Great Lakes"/>
    <n v="3217"/>
    <s v="Cleveland-Cuyahoga Port, OH"/>
    <n v="2540"/>
    <x v="15"/>
    <x v="10"/>
    <n v="10472"/>
    <x v="428"/>
    <x v="0"/>
    <n v="10472"/>
  </r>
  <r>
    <s v="Great Lakes"/>
    <n v="3217"/>
    <s v="Cleveland-Cuyahoga Port, OH"/>
    <n v="3130"/>
    <x v="37"/>
    <x v="10"/>
    <n v="9057"/>
    <x v="429"/>
    <x v="0"/>
    <n v="9057"/>
  </r>
  <r>
    <s v="Great Lakes"/>
    <n v="3217"/>
    <s v="Cleveland-Cuyahoga Port, OH"/>
    <n v="5480"/>
    <x v="20"/>
    <x v="10"/>
    <n v="7987"/>
    <x v="430"/>
    <x v="0"/>
    <n v="7987"/>
  </r>
  <r>
    <s v="Great Lakes"/>
    <n v="3217"/>
    <s v="Cleveland-Cuyahoga Port, OH"/>
    <n v="4420"/>
    <x v="8"/>
    <x v="391"/>
    <n v="0"/>
    <x v="0"/>
    <x v="0"/>
    <n v="5753"/>
  </r>
  <r>
    <s v="Great Lakes"/>
    <n v="3217"/>
    <s v="Cleveland-Cuyahoga Port, OH"/>
    <n v="7900"/>
    <x v="21"/>
    <x v="10"/>
    <n v="1534"/>
    <x v="431"/>
    <x v="0"/>
    <n v="1534"/>
  </r>
  <r>
    <s v="Great Lakes"/>
    <n v="3217"/>
    <s v="Cleveland-Cuyahoga Port, OH"/>
    <n v="7210"/>
    <x v="59"/>
    <x v="10"/>
    <n v="1470"/>
    <x v="432"/>
    <x v="0"/>
    <n v="1470"/>
  </r>
  <r>
    <s v="Great Lakes"/>
    <n v="3217"/>
    <s v="Cleveland-Cuyahoga Port, OH"/>
    <n v="7110"/>
    <x v="4"/>
    <x v="10"/>
    <n v="1438"/>
    <x v="433"/>
    <x v="0"/>
    <n v="1438"/>
  </r>
  <r>
    <s v="Great Lakes"/>
    <n v="3217"/>
    <s v="Cleveland-Cuyahoga Port, OH"/>
    <n v="3275"/>
    <x v="47"/>
    <x v="10"/>
    <n v="1390"/>
    <x v="434"/>
    <x v="0"/>
    <n v="1390"/>
  </r>
  <r>
    <s v="Great Lakes"/>
    <n v="3217"/>
    <s v="Cleveland-Cuyahoga Port, OH"/>
    <n v="5370"/>
    <x v="81"/>
    <x v="10"/>
    <n v="1243"/>
    <x v="134"/>
    <x v="0"/>
    <n v="1243"/>
  </r>
  <r>
    <s v="Great Lakes"/>
    <n v="3217"/>
    <s v="Cleveland-Cuyahoga Port, OH"/>
    <n v="7600"/>
    <x v="68"/>
    <x v="10"/>
    <n v="1072"/>
    <x v="435"/>
    <x v="0"/>
    <n v="1072"/>
  </r>
  <r>
    <s v="Great Lakes"/>
    <n v="3217"/>
    <s v="Cleveland-Cuyahoga Port, OH"/>
    <n v="7120"/>
    <x v="71"/>
    <x v="10"/>
    <n v="816"/>
    <x v="436"/>
    <x v="0"/>
    <n v="816"/>
  </r>
  <r>
    <s v="Great Lakes"/>
    <n v="3217"/>
    <s v="Cleveland-Cuyahoga Port, OH"/>
    <n v="5312"/>
    <x v="52"/>
    <x v="10"/>
    <n v="469"/>
    <x v="437"/>
    <x v="0"/>
    <n v="469"/>
  </r>
  <r>
    <s v="Great Lakes"/>
    <n v="3217"/>
    <s v="Cleveland-Cuyahoga Port, OH"/>
    <n v="1100"/>
    <x v="32"/>
    <x v="10"/>
    <n v="390"/>
    <x v="438"/>
    <x v="0"/>
    <n v="390"/>
  </r>
  <r>
    <s v="Great Lakes"/>
    <n v="3217"/>
    <s v="Cleveland-Cuyahoga Port, OH"/>
    <n v="4150"/>
    <x v="101"/>
    <x v="10"/>
    <n v="316"/>
    <x v="439"/>
    <x v="0"/>
    <n v="316"/>
  </r>
  <r>
    <s v="Great Lakes"/>
    <n v="3217"/>
    <s v="Cleveland-Cuyahoga Port, OH"/>
    <n v="5390"/>
    <x v="44"/>
    <x v="10"/>
    <n v="297"/>
    <x v="440"/>
    <x v="0"/>
    <n v="297"/>
  </r>
  <r>
    <s v="Great Lakes"/>
    <n v="3217"/>
    <s v="Cleveland-Cuyahoga Port, OH"/>
    <n v="7230"/>
    <x v="22"/>
    <x v="10"/>
    <n v="259"/>
    <x v="441"/>
    <x v="0"/>
    <n v="259"/>
  </r>
  <r>
    <s v="Great Lakes"/>
    <n v="3217"/>
    <s v="Cleveland-Cuyahoga Port, OH"/>
    <n v="3240"/>
    <x v="53"/>
    <x v="10"/>
    <n v="258"/>
    <x v="295"/>
    <x v="0"/>
    <n v="258"/>
  </r>
  <r>
    <s v="Great Lakes"/>
    <n v="3217"/>
    <s v="Cleveland-Cuyahoga Port, OH"/>
    <n v="3299"/>
    <x v="79"/>
    <x v="10"/>
    <n v="252"/>
    <x v="406"/>
    <x v="0"/>
    <n v="252"/>
  </r>
  <r>
    <s v="Great Lakes"/>
    <n v="3217"/>
    <s v="Cleveland-Cuyahoga Port, OH"/>
    <n v="5290"/>
    <x v="49"/>
    <x v="10"/>
    <n v="180"/>
    <x v="442"/>
    <x v="0"/>
    <n v="180"/>
  </r>
  <r>
    <s v="Great Lakes"/>
    <n v="3217"/>
    <s v="Cleveland-Cuyahoga Port, OH"/>
    <n v="5120"/>
    <x v="63"/>
    <x v="10"/>
    <n v="165"/>
    <x v="294"/>
    <x v="0"/>
    <n v="165"/>
  </r>
  <r>
    <s v="Great Lakes"/>
    <n v="3217"/>
    <s v="Cleveland-Cuyahoga Port, OH"/>
    <n v="3286"/>
    <x v="57"/>
    <x v="10"/>
    <n v="150"/>
    <x v="443"/>
    <x v="0"/>
    <n v="150"/>
  </r>
  <r>
    <s v="Great Lakes"/>
    <n v="3217"/>
    <s v="Cleveland-Cuyahoga Port, OH"/>
    <n v="5540"/>
    <x v="64"/>
    <x v="10"/>
    <n v="130"/>
    <x v="444"/>
    <x v="0"/>
    <n v="130"/>
  </r>
  <r>
    <s v="Great Lakes"/>
    <n v="3217"/>
    <s v="Cleveland-Cuyahoga Port, OH"/>
    <n v="3230"/>
    <x v="80"/>
    <x v="10"/>
    <n v="105"/>
    <x v="410"/>
    <x v="0"/>
    <n v="105"/>
  </r>
  <r>
    <s v="Great Lakes"/>
    <n v="3217"/>
    <s v="Cleveland-Cuyahoga Port, OH"/>
    <n v="7500"/>
    <x v="60"/>
    <x v="10"/>
    <n v="76"/>
    <x v="445"/>
    <x v="0"/>
    <n v="76"/>
  </r>
  <r>
    <s v="Great Lakes"/>
    <n v="3217"/>
    <s v="Cleveland-Cuyahoga Port, OH"/>
    <n v="3283"/>
    <x v="111"/>
    <x v="10"/>
    <n v="70"/>
    <x v="446"/>
    <x v="0"/>
    <n v="70"/>
  </r>
  <r>
    <s v="Great Lakes"/>
    <n v="3217"/>
    <s v="Cleveland-Cuyahoga Port, OH"/>
    <n v="3285"/>
    <x v="87"/>
    <x v="10"/>
    <n v="67"/>
    <x v="447"/>
    <x v="0"/>
    <n v="67"/>
  </r>
  <r>
    <s v="Great Lakes"/>
    <n v="3217"/>
    <s v="Cleveland-Cuyahoga Port, OH"/>
    <n v="9900"/>
    <x v="18"/>
    <x v="10"/>
    <n v="64"/>
    <x v="448"/>
    <x v="0"/>
    <n v="64"/>
  </r>
  <r>
    <s v="Great Lakes"/>
    <n v="3217"/>
    <s v="Cleveland-Cuyahoga Port, OH"/>
    <n v="3282"/>
    <x v="91"/>
    <x v="10"/>
    <n v="59"/>
    <x v="449"/>
    <x v="0"/>
    <n v="59"/>
  </r>
  <r>
    <s v="Great Lakes"/>
    <n v="3217"/>
    <s v="Cleveland-Cuyahoga Port, OH"/>
    <n v="5422"/>
    <x v="66"/>
    <x v="10"/>
    <n v="57"/>
    <x v="450"/>
    <x v="0"/>
    <n v="57"/>
  </r>
  <r>
    <s v="Great Lakes"/>
    <n v="3217"/>
    <s v="Cleveland-Cuyahoga Port, OH"/>
    <n v="3297"/>
    <x v="116"/>
    <x v="10"/>
    <n v="27"/>
    <x v="451"/>
    <x v="0"/>
    <n v="27"/>
  </r>
  <r>
    <s v="Great Lakes"/>
    <n v="3217"/>
    <s v="Cleveland-Cuyahoga Port, OH"/>
    <n v="3284"/>
    <x v="97"/>
    <x v="10"/>
    <n v="25"/>
    <x v="208"/>
    <x v="0"/>
    <n v="25"/>
  </r>
  <r>
    <s v="Great Lakes"/>
    <n v="3217"/>
    <s v="Cleveland-Cuyahoga Port, OH"/>
    <n v="6654"/>
    <x v="50"/>
    <x v="10"/>
    <n v="25"/>
    <x v="208"/>
    <x v="0"/>
    <n v="25"/>
  </r>
  <r>
    <s v="Great Lakes"/>
    <n v="3217"/>
    <s v="Cleveland-Cuyahoga Port, OH"/>
    <n v="3276"/>
    <x v="12"/>
    <x v="10"/>
    <n v="16"/>
    <x v="452"/>
    <x v="0"/>
    <n v="16"/>
  </r>
  <r>
    <s v="Great Lakes"/>
    <n v="3217"/>
    <s v="Cleveland-Cuyahoga Port, OH"/>
    <n v="6889"/>
    <x v="42"/>
    <x v="10"/>
    <n v="13"/>
    <x v="453"/>
    <x v="0"/>
    <n v="13"/>
  </r>
  <r>
    <s v="Great Lakes"/>
    <n v="3217"/>
    <s v="Cleveland-Cuyahoga Port, OH"/>
    <n v="7300"/>
    <x v="115"/>
    <x v="10"/>
    <n v="12"/>
    <x v="20"/>
    <x v="0"/>
    <n v="12"/>
  </r>
  <r>
    <s v="Great Lakes"/>
    <n v="3217"/>
    <s v="Cleveland-Cuyahoga Port, OH"/>
    <n v="5240"/>
    <x v="89"/>
    <x v="10"/>
    <n v="11"/>
    <x v="14"/>
    <x v="0"/>
    <n v="11"/>
  </r>
  <r>
    <s v="Great Lakes"/>
    <n v="3217"/>
    <s v="Cleveland-Cuyahoga Port, OH"/>
    <n v="7400"/>
    <x v="77"/>
    <x v="10"/>
    <n v="10"/>
    <x v="312"/>
    <x v="0"/>
    <n v="10"/>
  </r>
  <r>
    <s v="Great Lakes"/>
    <n v="3227"/>
    <s v="Conneaut, OH"/>
    <n v="4410"/>
    <x v="34"/>
    <x v="392"/>
    <n v="0"/>
    <x v="0"/>
    <x v="0"/>
    <n v="4110326"/>
  </r>
  <r>
    <s v="Great Lakes"/>
    <n v="3227"/>
    <s v="Conneaut, OH"/>
    <n v="4860"/>
    <x v="31"/>
    <x v="10"/>
    <n v="52801"/>
    <x v="454"/>
    <x v="0"/>
    <n v="52801"/>
  </r>
  <r>
    <s v="Great Lakes"/>
    <n v="3227"/>
    <s v="Conneaut, OH"/>
    <n v="4322"/>
    <x v="33"/>
    <x v="393"/>
    <n v="25"/>
    <x v="208"/>
    <x v="0"/>
    <n v="45692"/>
  </r>
  <r>
    <s v="Great Lakes"/>
    <n v="3227"/>
    <s v="Conneaut, OH"/>
    <n v="4783"/>
    <x v="7"/>
    <x v="10"/>
    <n v="42521"/>
    <x v="455"/>
    <x v="0"/>
    <n v="42521"/>
  </r>
  <r>
    <s v="Coastal"/>
    <n v="4659"/>
    <s v="Coos Bay OR, Port of"/>
    <n v="4161"/>
    <x v="54"/>
    <x v="394"/>
    <n v="2028000"/>
    <x v="0"/>
    <x v="286"/>
    <n v="2070066"/>
  </r>
  <r>
    <s v="Coastal"/>
    <n v="4659"/>
    <s v="Coos Bay OR, Port of"/>
    <n v="4170"/>
    <x v="55"/>
    <x v="10"/>
    <n v="378103"/>
    <x v="456"/>
    <x v="287"/>
    <n v="378103"/>
  </r>
  <r>
    <s v="Coastal"/>
    <n v="4659"/>
    <s v="Coos Bay OR, Port of"/>
    <n v="4331"/>
    <x v="29"/>
    <x v="10"/>
    <n v="76776"/>
    <x v="457"/>
    <x v="0"/>
    <n v="76776"/>
  </r>
  <r>
    <s v="Coastal"/>
    <n v="4659"/>
    <s v="Coos Bay OR, Port of"/>
    <n v="4150"/>
    <x v="101"/>
    <x v="10"/>
    <n v="9313"/>
    <x v="0"/>
    <x v="288"/>
    <n v="9313"/>
  </r>
  <r>
    <s v="Coastal"/>
    <n v="4659"/>
    <s v="Coos Bay OR, Port of"/>
    <n v="4690"/>
    <x v="62"/>
    <x v="10"/>
    <n v="3153"/>
    <x v="0"/>
    <x v="289"/>
    <n v="3153"/>
  </r>
  <r>
    <s v="Coastal"/>
    <n v="4659"/>
    <s v="Coos Bay OR, Port of"/>
    <n v="7900"/>
    <x v="21"/>
    <x v="10"/>
    <n v="3153"/>
    <x v="0"/>
    <x v="289"/>
    <n v="3153"/>
  </r>
  <r>
    <s v="Coastal"/>
    <n v="4659"/>
    <s v="Coos Bay OR, Port of"/>
    <n v="4189"/>
    <x v="65"/>
    <x v="10"/>
    <n v="2116"/>
    <x v="458"/>
    <x v="0"/>
    <n v="2116"/>
  </r>
  <r>
    <s v="Coastal"/>
    <n v="4659"/>
    <s v="Coos Bay OR, Port of"/>
    <n v="7110"/>
    <x v="4"/>
    <x v="10"/>
    <n v="40"/>
    <x v="459"/>
    <x v="0"/>
    <n v="40"/>
  </r>
  <r>
    <s v="Coastal"/>
    <n v="4659"/>
    <s v="Coos Bay OR, Port of"/>
    <n v="6839"/>
    <x v="106"/>
    <x v="10"/>
    <n v="7"/>
    <x v="311"/>
    <x v="0"/>
    <n v="7"/>
  </r>
  <r>
    <s v="Coastal"/>
    <n v="4659"/>
    <s v="Coos Bay OR, Port of"/>
    <n v="5480"/>
    <x v="20"/>
    <x v="10"/>
    <n v="3"/>
    <x v="393"/>
    <x v="0"/>
    <n v="3"/>
  </r>
  <r>
    <s v="Coastal"/>
    <n v="4799"/>
    <s v="Cordova, AK"/>
    <n v="6134"/>
    <x v="82"/>
    <x v="395"/>
    <n v="0"/>
    <x v="0"/>
    <x v="0"/>
    <n v="31003"/>
  </r>
  <r>
    <s v="Coastal"/>
    <n v="4799"/>
    <s v="Cordova, AK"/>
    <n v="2330"/>
    <x v="1"/>
    <x v="396"/>
    <n v="0"/>
    <x v="0"/>
    <x v="0"/>
    <n v="13010"/>
  </r>
  <r>
    <s v="Coastal"/>
    <n v="4799"/>
    <s v="Cordova, AK"/>
    <n v="2221"/>
    <x v="9"/>
    <x v="397"/>
    <n v="0"/>
    <x v="0"/>
    <x v="0"/>
    <n v="7589"/>
  </r>
  <r>
    <s v="Coastal"/>
    <n v="4799"/>
    <s v="Cordova, AK"/>
    <n v="2211"/>
    <x v="0"/>
    <x v="398"/>
    <n v="0"/>
    <x v="0"/>
    <x v="0"/>
    <n v="6681"/>
  </r>
  <r>
    <s v="Coastal"/>
    <n v="4799"/>
    <s v="Cordova, AK"/>
    <n v="7900"/>
    <x v="21"/>
    <x v="399"/>
    <n v="0"/>
    <x v="0"/>
    <x v="0"/>
    <n v="4771"/>
  </r>
  <r>
    <s v="Coastal"/>
    <n v="4799"/>
    <s v="Cordova, AK"/>
    <n v="6782"/>
    <x v="27"/>
    <x v="400"/>
    <n v="0"/>
    <x v="0"/>
    <x v="0"/>
    <n v="4241"/>
  </r>
  <r>
    <s v="Coastal"/>
    <n v="4799"/>
    <s v="Cordova, AK"/>
    <n v="5480"/>
    <x v="20"/>
    <x v="401"/>
    <n v="0"/>
    <x v="0"/>
    <x v="0"/>
    <n v="2593"/>
  </r>
  <r>
    <s v="Coastal"/>
    <n v="4799"/>
    <s v="Cordova, AK"/>
    <n v="6887"/>
    <x v="138"/>
    <x v="402"/>
    <n v="0"/>
    <x v="0"/>
    <x v="0"/>
    <n v="1761"/>
  </r>
  <r>
    <s v="Coastal"/>
    <n v="4799"/>
    <s v="Cordova, AK"/>
    <n v="7400"/>
    <x v="77"/>
    <x v="403"/>
    <n v="0"/>
    <x v="0"/>
    <x v="0"/>
    <n v="1315"/>
  </r>
  <r>
    <s v="Coastal"/>
    <n v="4799"/>
    <s v="Cordova, AK"/>
    <n v="8900"/>
    <x v="139"/>
    <x v="404"/>
    <n v="0"/>
    <x v="0"/>
    <x v="0"/>
    <n v="874"/>
  </r>
  <r>
    <s v="Coastal"/>
    <n v="4799"/>
    <s v="Cordova, AK"/>
    <n v="7110"/>
    <x v="4"/>
    <x v="405"/>
    <n v="0"/>
    <x v="0"/>
    <x v="0"/>
    <n v="663"/>
  </r>
  <r>
    <s v="Coastal"/>
    <n v="4799"/>
    <s v="Cordova, AK"/>
    <n v="5190"/>
    <x v="83"/>
    <x v="406"/>
    <n v="0"/>
    <x v="0"/>
    <x v="0"/>
    <n v="660"/>
  </r>
  <r>
    <s v="Coastal"/>
    <n v="4799"/>
    <s v="Cordova, AK"/>
    <n v="5360"/>
    <x v="94"/>
    <x v="407"/>
    <n v="0"/>
    <x v="0"/>
    <x v="0"/>
    <n v="450"/>
  </r>
  <r>
    <s v="Coastal"/>
    <n v="4799"/>
    <s v="Cordova, AK"/>
    <n v="4783"/>
    <x v="7"/>
    <x v="408"/>
    <n v="0"/>
    <x v="0"/>
    <x v="0"/>
    <n v="285"/>
  </r>
  <r>
    <s v="Coastal"/>
    <n v="4799"/>
    <s v="Cordova, AK"/>
    <n v="4189"/>
    <x v="65"/>
    <x v="409"/>
    <n v="0"/>
    <x v="0"/>
    <x v="0"/>
    <n v="191"/>
  </r>
  <r>
    <s v="Coastal"/>
    <n v="4799"/>
    <s v="Cordova, AK"/>
    <n v="7210"/>
    <x v="59"/>
    <x v="410"/>
    <n v="0"/>
    <x v="0"/>
    <x v="0"/>
    <n v="189"/>
  </r>
  <r>
    <s v="Coastal"/>
    <n v="4799"/>
    <s v="Cordova, AK"/>
    <n v="5540"/>
    <x v="64"/>
    <x v="411"/>
    <n v="0"/>
    <x v="0"/>
    <x v="0"/>
    <n v="152"/>
  </r>
  <r>
    <s v="Coastal"/>
    <n v="4799"/>
    <s v="Cordova, AK"/>
    <n v="2990"/>
    <x v="102"/>
    <x v="412"/>
    <n v="0"/>
    <x v="0"/>
    <x v="0"/>
    <n v="79"/>
  </r>
  <r>
    <s v="Coastal"/>
    <n v="4799"/>
    <s v="Cordova, AK"/>
    <n v="6838"/>
    <x v="131"/>
    <x v="413"/>
    <n v="0"/>
    <x v="0"/>
    <x v="0"/>
    <n v="51"/>
  </r>
  <r>
    <s v="Coastal"/>
    <n v="4799"/>
    <s v="Cordova, AK"/>
    <n v="3299"/>
    <x v="79"/>
    <x v="414"/>
    <n v="0"/>
    <x v="0"/>
    <x v="0"/>
    <n v="37"/>
  </r>
  <r>
    <s v="Coastal"/>
    <n v="4799"/>
    <s v="Cordova, AK"/>
    <n v="2640"/>
    <x v="110"/>
    <x v="130"/>
    <n v="0"/>
    <x v="0"/>
    <x v="0"/>
    <n v="30"/>
  </r>
  <r>
    <s v="Coastal"/>
    <n v="4799"/>
    <s v="Cordova, AK"/>
    <n v="7120"/>
    <x v="71"/>
    <x v="415"/>
    <n v="0"/>
    <x v="0"/>
    <x v="0"/>
    <n v="29"/>
  </r>
  <r>
    <s v="Coastal"/>
    <n v="4799"/>
    <s v="Cordova, AK"/>
    <n v="7230"/>
    <x v="22"/>
    <x v="416"/>
    <n v="0"/>
    <x v="0"/>
    <x v="0"/>
    <n v="28"/>
  </r>
  <r>
    <s v="Coastal"/>
    <n v="4799"/>
    <s v="Cordova, AK"/>
    <n v="5290"/>
    <x v="49"/>
    <x v="417"/>
    <n v="0"/>
    <x v="0"/>
    <x v="0"/>
    <n v="26"/>
  </r>
  <r>
    <s v="Coastal"/>
    <n v="4799"/>
    <s v="Cordova, AK"/>
    <n v="2340"/>
    <x v="3"/>
    <x v="418"/>
    <n v="0"/>
    <x v="0"/>
    <x v="0"/>
    <n v="25"/>
  </r>
  <r>
    <s v="Coastal"/>
    <n v="4799"/>
    <s v="Cordova, AK"/>
    <n v="4225"/>
    <x v="10"/>
    <x v="419"/>
    <n v="0"/>
    <x v="0"/>
    <x v="0"/>
    <n v="17"/>
  </r>
  <r>
    <s v="Coastal"/>
    <n v="4799"/>
    <s v="Cordova, AK"/>
    <n v="5240"/>
    <x v="89"/>
    <x v="420"/>
    <n v="0"/>
    <x v="0"/>
    <x v="0"/>
    <n v="11"/>
  </r>
  <r>
    <s v="Coastal"/>
    <n v="4799"/>
    <s v="Cordova, AK"/>
    <n v="5370"/>
    <x v="81"/>
    <x v="421"/>
    <n v="0"/>
    <x v="0"/>
    <x v="0"/>
    <n v="6"/>
  </r>
  <r>
    <s v="Coastal"/>
    <n v="4799"/>
    <s v="Cordova, AK"/>
    <n v="3220"/>
    <x v="2"/>
    <x v="422"/>
    <n v="0"/>
    <x v="0"/>
    <x v="0"/>
    <n v="3"/>
  </r>
  <r>
    <s v="Coastal"/>
    <n v="4799"/>
    <s v="Cordova, AK"/>
    <n v="3282"/>
    <x v="91"/>
    <x v="422"/>
    <n v="0"/>
    <x v="0"/>
    <x v="0"/>
    <n v="3"/>
  </r>
  <r>
    <s v="Coastal"/>
    <n v="4799"/>
    <s v="Cordova, AK"/>
    <n v="6885"/>
    <x v="72"/>
    <x v="131"/>
    <n v="0"/>
    <x v="0"/>
    <x v="0"/>
    <n v="2"/>
  </r>
  <r>
    <s v="Coastal"/>
    <n v="4799"/>
    <s v="Cordova, AK"/>
    <n v="7500"/>
    <x v="60"/>
    <x v="131"/>
    <n v="0"/>
    <x v="0"/>
    <x v="0"/>
    <n v="2"/>
  </r>
  <r>
    <s v="Coastal"/>
    <n v="4799"/>
    <s v="Cordova, AK"/>
    <n v="4331"/>
    <x v="29"/>
    <x v="423"/>
    <n v="0"/>
    <x v="0"/>
    <x v="0"/>
    <n v="1"/>
  </r>
  <r>
    <s v="Coastal"/>
    <n v="2436"/>
    <s v="Corpus Christi, TX"/>
    <n v="2100"/>
    <x v="35"/>
    <x v="424"/>
    <n v="97686387"/>
    <x v="460"/>
    <x v="290"/>
    <n v="101946969"/>
  </r>
  <r>
    <s v="Coastal"/>
    <n v="2436"/>
    <s v="Corpus Christi, TX"/>
    <n v="2640"/>
    <x v="110"/>
    <x v="425"/>
    <n v="16549795"/>
    <x v="0"/>
    <x v="291"/>
    <n v="16915756"/>
  </r>
  <r>
    <s v="Coastal"/>
    <n v="2436"/>
    <s v="Corpus Christi, TX"/>
    <n v="2330"/>
    <x v="1"/>
    <x v="426"/>
    <n v="4038303"/>
    <x v="461"/>
    <x v="292"/>
    <n v="8556977"/>
  </r>
  <r>
    <s v="Coastal"/>
    <n v="2436"/>
    <s v="Corpus Christi, TX"/>
    <n v="2211"/>
    <x v="0"/>
    <x v="427"/>
    <n v="3425231"/>
    <x v="462"/>
    <x v="293"/>
    <n v="6361230"/>
  </r>
  <r>
    <s v="Coastal"/>
    <n v="2436"/>
    <s v="Corpus Christi, TX"/>
    <n v="2429"/>
    <x v="17"/>
    <x v="428"/>
    <n v="4082584"/>
    <x v="463"/>
    <x v="294"/>
    <n v="5152138"/>
  </r>
  <r>
    <s v="Coastal"/>
    <n v="2436"/>
    <s v="Corpus Christi, TX"/>
    <n v="6447"/>
    <x v="132"/>
    <x v="10"/>
    <n v="3586659"/>
    <x v="0"/>
    <x v="295"/>
    <n v="3586659"/>
  </r>
  <r>
    <s v="Coastal"/>
    <n v="2436"/>
    <s v="Corpus Christi, TX"/>
    <n v="2340"/>
    <x v="3"/>
    <x v="429"/>
    <n v="1298762"/>
    <x v="464"/>
    <x v="296"/>
    <n v="2787073"/>
  </r>
  <r>
    <s v="Coastal"/>
    <n v="2436"/>
    <s v="Corpus Christi, TX"/>
    <n v="4410"/>
    <x v="34"/>
    <x v="430"/>
    <n v="2121682"/>
    <x v="465"/>
    <x v="297"/>
    <n v="2660515"/>
  </r>
  <r>
    <s v="Coastal"/>
    <n v="2436"/>
    <s v="Corpus Christi, TX"/>
    <n v="3219"/>
    <x v="19"/>
    <x v="431"/>
    <n v="1114076"/>
    <x v="466"/>
    <x v="298"/>
    <n v="2622194"/>
  </r>
  <r>
    <s v="Coastal"/>
    <n v="2436"/>
    <s v="Corpus Christi, TX"/>
    <n v="2430"/>
    <x v="11"/>
    <x v="432"/>
    <n v="15133"/>
    <x v="467"/>
    <x v="0"/>
    <n v="2353635"/>
  </r>
  <r>
    <s v="Coastal"/>
    <n v="2436"/>
    <s v="Corpus Christi, TX"/>
    <n v="2221"/>
    <x v="9"/>
    <x v="433"/>
    <n v="872685"/>
    <x v="0"/>
    <x v="299"/>
    <n v="1956055"/>
  </r>
  <r>
    <s v="Coastal"/>
    <n v="2436"/>
    <s v="Corpus Christi, TX"/>
    <n v="3274"/>
    <x v="86"/>
    <x v="434"/>
    <n v="1370380"/>
    <x v="0"/>
    <x v="300"/>
    <n v="1402846"/>
  </r>
  <r>
    <s v="Coastal"/>
    <n v="2436"/>
    <s v="Corpus Christi, TX"/>
    <n v="5312"/>
    <x v="52"/>
    <x v="435"/>
    <n v="1130646"/>
    <x v="468"/>
    <x v="301"/>
    <n v="1318943"/>
  </r>
  <r>
    <s v="Coastal"/>
    <n v="2436"/>
    <s v="Corpus Christi, TX"/>
    <n v="4322"/>
    <x v="33"/>
    <x v="10"/>
    <n v="1026391"/>
    <x v="469"/>
    <x v="0"/>
    <n v="1026391"/>
  </r>
  <r>
    <s v="Coastal"/>
    <n v="2436"/>
    <s v="Corpus Christi, TX"/>
    <n v="2990"/>
    <x v="102"/>
    <x v="436"/>
    <n v="48870"/>
    <x v="470"/>
    <x v="0"/>
    <n v="639787"/>
  </r>
  <r>
    <s v="Coastal"/>
    <n v="2436"/>
    <s v="Corpus Christi, TX"/>
    <n v="3212"/>
    <x v="39"/>
    <x v="437"/>
    <n v="29574"/>
    <x v="471"/>
    <x v="302"/>
    <n v="638308"/>
  </r>
  <r>
    <s v="Coastal"/>
    <n v="2436"/>
    <s v="Corpus Christi, TX"/>
    <n v="5220"/>
    <x v="30"/>
    <x v="10"/>
    <n v="612227"/>
    <x v="472"/>
    <x v="0"/>
    <n v="612227"/>
  </r>
  <r>
    <s v="Coastal"/>
    <n v="2436"/>
    <s v="Corpus Christi, TX"/>
    <n v="4331"/>
    <x v="29"/>
    <x v="438"/>
    <n v="363902"/>
    <x v="473"/>
    <x v="0"/>
    <n v="564683"/>
  </r>
  <r>
    <s v="Coastal"/>
    <n v="2436"/>
    <s v="Corpus Christi, TX"/>
    <n v="2540"/>
    <x v="15"/>
    <x v="439"/>
    <n v="536719"/>
    <x v="418"/>
    <x v="303"/>
    <n v="546215"/>
  </r>
  <r>
    <s v="Coastal"/>
    <n v="2436"/>
    <s v="Corpus Christi, TX"/>
    <n v="4900"/>
    <x v="14"/>
    <x v="440"/>
    <n v="441628"/>
    <x v="474"/>
    <x v="304"/>
    <n v="450070"/>
  </r>
  <r>
    <s v="Coastal"/>
    <n v="2436"/>
    <s v="Corpus Christi, TX"/>
    <n v="3220"/>
    <x v="2"/>
    <x v="441"/>
    <n v="30424"/>
    <x v="475"/>
    <x v="305"/>
    <n v="420400"/>
  </r>
  <r>
    <s v="Coastal"/>
    <n v="2436"/>
    <s v="Corpus Christi, TX"/>
    <n v="3286"/>
    <x v="57"/>
    <x v="10"/>
    <n v="341204"/>
    <x v="476"/>
    <x v="306"/>
    <n v="341204"/>
  </r>
  <r>
    <s v="Coastal"/>
    <n v="2436"/>
    <s v="Corpus Christi, TX"/>
    <n v="3110"/>
    <x v="36"/>
    <x v="442"/>
    <n v="146641"/>
    <x v="477"/>
    <x v="0"/>
    <n v="340469"/>
  </r>
  <r>
    <s v="Coastal"/>
    <n v="2436"/>
    <s v="Corpus Christi, TX"/>
    <n v="7110"/>
    <x v="4"/>
    <x v="443"/>
    <n v="211959"/>
    <x v="478"/>
    <x v="307"/>
    <n v="216192"/>
  </r>
  <r>
    <s v="Coastal"/>
    <n v="2436"/>
    <s v="Corpus Christi, TX"/>
    <n v="3271"/>
    <x v="133"/>
    <x v="444"/>
    <n v="0"/>
    <x v="0"/>
    <x v="0"/>
    <n v="119264"/>
  </r>
  <r>
    <s v="Coastal"/>
    <n v="2436"/>
    <s v="Corpus Christi, TX"/>
    <n v="3211"/>
    <x v="124"/>
    <x v="445"/>
    <n v="3748"/>
    <x v="479"/>
    <x v="0"/>
    <n v="118371"/>
  </r>
  <r>
    <s v="Coastal"/>
    <n v="2436"/>
    <s v="Corpus Christi, TX"/>
    <n v="5480"/>
    <x v="20"/>
    <x v="10"/>
    <n v="95117"/>
    <x v="480"/>
    <x v="308"/>
    <n v="95117"/>
  </r>
  <r>
    <s v="Coastal"/>
    <n v="2436"/>
    <s v="Corpus Christi, TX"/>
    <n v="2350"/>
    <x v="40"/>
    <x v="446"/>
    <n v="67214"/>
    <x v="0"/>
    <x v="309"/>
    <n v="77302"/>
  </r>
  <r>
    <s v="Coastal"/>
    <n v="2436"/>
    <s v="Corpus Christi, TX"/>
    <n v="7230"/>
    <x v="22"/>
    <x v="10"/>
    <n v="75366"/>
    <x v="481"/>
    <x v="0"/>
    <n v="75366"/>
  </r>
  <r>
    <s v="Coastal"/>
    <n v="2436"/>
    <s v="Corpus Christi, TX"/>
    <n v="7900"/>
    <x v="21"/>
    <x v="447"/>
    <n v="55950"/>
    <x v="482"/>
    <x v="310"/>
    <n v="70743"/>
  </r>
  <r>
    <s v="Coastal"/>
    <n v="2436"/>
    <s v="Corpus Christi, TX"/>
    <n v="7120"/>
    <x v="71"/>
    <x v="10"/>
    <n v="57275"/>
    <x v="483"/>
    <x v="0"/>
    <n v="57275"/>
  </r>
  <r>
    <s v="Coastal"/>
    <n v="2436"/>
    <s v="Corpus Christi, TX"/>
    <n v="3230"/>
    <x v="80"/>
    <x v="448"/>
    <n v="46437"/>
    <x v="484"/>
    <x v="0"/>
    <n v="49437"/>
  </r>
  <r>
    <s v="Coastal"/>
    <n v="2436"/>
    <s v="Corpus Christi, TX"/>
    <n v="5190"/>
    <x v="83"/>
    <x v="10"/>
    <n v="49274"/>
    <x v="485"/>
    <x v="311"/>
    <n v="49274"/>
  </r>
  <r>
    <s v="Coastal"/>
    <n v="2436"/>
    <s v="Corpus Christi, TX"/>
    <n v="5330"/>
    <x v="16"/>
    <x v="10"/>
    <n v="46274"/>
    <x v="486"/>
    <x v="0"/>
    <n v="46274"/>
  </r>
  <r>
    <s v="Coastal"/>
    <n v="2436"/>
    <s v="Corpus Christi, TX"/>
    <n v="9900"/>
    <x v="18"/>
    <x v="10"/>
    <n v="41732"/>
    <x v="299"/>
    <x v="312"/>
    <n v="41732"/>
  </r>
  <r>
    <s v="Coastal"/>
    <n v="2436"/>
    <s v="Corpus Christi, TX"/>
    <n v="3276"/>
    <x v="12"/>
    <x v="449"/>
    <n v="27329"/>
    <x v="487"/>
    <x v="0"/>
    <n v="32895"/>
  </r>
  <r>
    <s v="Coastal"/>
    <n v="2436"/>
    <s v="Corpus Christi, TX"/>
    <n v="5370"/>
    <x v="81"/>
    <x v="10"/>
    <n v="30543"/>
    <x v="488"/>
    <x v="0"/>
    <n v="30543"/>
  </r>
  <r>
    <s v="Coastal"/>
    <n v="2436"/>
    <s v="Corpus Christi, TX"/>
    <n v="1100"/>
    <x v="32"/>
    <x v="10"/>
    <n v="26785"/>
    <x v="489"/>
    <x v="0"/>
    <n v="26785"/>
  </r>
  <r>
    <s v="Coastal"/>
    <n v="2436"/>
    <s v="Corpus Christi, TX"/>
    <n v="3275"/>
    <x v="47"/>
    <x v="450"/>
    <n v="21639"/>
    <x v="490"/>
    <x v="0"/>
    <n v="23295"/>
  </r>
  <r>
    <s v="Coastal"/>
    <n v="2436"/>
    <s v="Corpus Christi, TX"/>
    <n v="7210"/>
    <x v="59"/>
    <x v="10"/>
    <n v="17470"/>
    <x v="491"/>
    <x v="313"/>
    <n v="17470"/>
  </r>
  <r>
    <s v="Coastal"/>
    <n v="2436"/>
    <s v="Corpus Christi, TX"/>
    <n v="5360"/>
    <x v="94"/>
    <x v="10"/>
    <n v="14566"/>
    <x v="492"/>
    <x v="0"/>
    <n v="14566"/>
  </r>
  <r>
    <s v="Coastal"/>
    <n v="2436"/>
    <s v="Corpus Christi, TX"/>
    <n v="3285"/>
    <x v="87"/>
    <x v="10"/>
    <n v="14508"/>
    <x v="493"/>
    <x v="314"/>
    <n v="14508"/>
  </r>
  <r>
    <s v="Coastal"/>
    <n v="2436"/>
    <s v="Corpus Christi, TX"/>
    <n v="7500"/>
    <x v="60"/>
    <x v="10"/>
    <n v="13855"/>
    <x v="494"/>
    <x v="315"/>
    <n v="13855"/>
  </r>
  <r>
    <s v="Coastal"/>
    <n v="2436"/>
    <s v="Corpus Christi, TX"/>
    <n v="4650"/>
    <x v="67"/>
    <x v="10"/>
    <n v="13006"/>
    <x v="495"/>
    <x v="0"/>
    <n v="13006"/>
  </r>
  <r>
    <s v="Coastal"/>
    <n v="2436"/>
    <s v="Corpus Christi, TX"/>
    <n v="5422"/>
    <x v="66"/>
    <x v="10"/>
    <n v="10655"/>
    <x v="496"/>
    <x v="0"/>
    <n v="10655"/>
  </r>
  <r>
    <s v="Coastal"/>
    <n v="2436"/>
    <s v="Corpus Christi, TX"/>
    <n v="7300"/>
    <x v="115"/>
    <x v="10"/>
    <n v="7773"/>
    <x v="497"/>
    <x v="0"/>
    <n v="7773"/>
  </r>
  <r>
    <s v="Coastal"/>
    <n v="2436"/>
    <s v="Corpus Christi, TX"/>
    <n v="3299"/>
    <x v="79"/>
    <x v="10"/>
    <n v="6978"/>
    <x v="212"/>
    <x v="316"/>
    <n v="6978"/>
  </r>
  <r>
    <s v="Coastal"/>
    <n v="2436"/>
    <s v="Corpus Christi, TX"/>
    <n v="7600"/>
    <x v="68"/>
    <x v="10"/>
    <n v="5476"/>
    <x v="398"/>
    <x v="0"/>
    <n v="5476"/>
  </r>
  <r>
    <s v="Coastal"/>
    <n v="2436"/>
    <s v="Corpus Christi, TX"/>
    <n v="3240"/>
    <x v="53"/>
    <x v="448"/>
    <n v="0"/>
    <x v="0"/>
    <x v="0"/>
    <n v="3000"/>
  </r>
  <r>
    <s v="Coastal"/>
    <n v="2436"/>
    <s v="Corpus Christi, TX"/>
    <n v="3260"/>
    <x v="107"/>
    <x v="10"/>
    <n v="2367"/>
    <x v="418"/>
    <x v="317"/>
    <n v="2367"/>
  </r>
  <r>
    <s v="Coastal"/>
    <n v="2436"/>
    <s v="Corpus Christi, TX"/>
    <n v="3297"/>
    <x v="116"/>
    <x v="451"/>
    <n v="0"/>
    <x v="0"/>
    <x v="0"/>
    <n v="1867"/>
  </r>
  <r>
    <s v="Coastal"/>
    <n v="2436"/>
    <s v="Corpus Christi, TX"/>
    <n v="4420"/>
    <x v="8"/>
    <x v="452"/>
    <n v="0"/>
    <x v="0"/>
    <x v="0"/>
    <n v="1773"/>
  </r>
  <r>
    <s v="Coastal"/>
    <n v="2436"/>
    <s v="Corpus Christi, TX"/>
    <n v="3190"/>
    <x v="38"/>
    <x v="453"/>
    <n v="0"/>
    <x v="0"/>
    <x v="0"/>
    <n v="1674"/>
  </r>
  <r>
    <s v="Coastal"/>
    <n v="2436"/>
    <s v="Corpus Christi, TX"/>
    <n v="7400"/>
    <x v="77"/>
    <x v="10"/>
    <n v="1035"/>
    <x v="498"/>
    <x v="0"/>
    <n v="1035"/>
  </r>
  <r>
    <s v="Coastal"/>
    <n v="2436"/>
    <s v="Corpus Christi, TX"/>
    <n v="7220"/>
    <x v="103"/>
    <x v="10"/>
    <n v="548"/>
    <x v="499"/>
    <x v="235"/>
    <n v="548"/>
  </r>
  <r>
    <s v="Coastal"/>
    <n v="2436"/>
    <s v="Corpus Christi, TX"/>
    <n v="6134"/>
    <x v="82"/>
    <x v="10"/>
    <n v="433"/>
    <x v="500"/>
    <x v="0"/>
    <n v="433"/>
  </r>
  <r>
    <s v="Coastal"/>
    <n v="2436"/>
    <s v="Corpus Christi, TX"/>
    <n v="6889"/>
    <x v="42"/>
    <x v="10"/>
    <n v="241"/>
    <x v="501"/>
    <x v="0"/>
    <n v="241"/>
  </r>
  <r>
    <s v="Coastal"/>
    <n v="2436"/>
    <s v="Corpus Christi, TX"/>
    <n v="6885"/>
    <x v="72"/>
    <x v="10"/>
    <n v="139"/>
    <x v="502"/>
    <x v="0"/>
    <n v="139"/>
  </r>
  <r>
    <s v="Coastal"/>
    <n v="2436"/>
    <s v="Corpus Christi, TX"/>
    <n v="6746"/>
    <x v="118"/>
    <x v="10"/>
    <n v="123"/>
    <x v="503"/>
    <x v="0"/>
    <n v="123"/>
  </r>
  <r>
    <s v="Coastal"/>
    <n v="2436"/>
    <s v="Corpus Christi, TX"/>
    <n v="5290"/>
    <x v="49"/>
    <x v="10"/>
    <n v="87"/>
    <x v="150"/>
    <x v="0"/>
    <n v="87"/>
  </r>
  <r>
    <s v="Coastal"/>
    <n v="2436"/>
    <s v="Corpus Christi, TX"/>
    <n v="5429"/>
    <x v="61"/>
    <x v="10"/>
    <n v="76"/>
    <x v="445"/>
    <x v="0"/>
    <n v="76"/>
  </r>
  <r>
    <s v="Coastal"/>
    <n v="2436"/>
    <s v="Corpus Christi, TX"/>
    <n v="6654"/>
    <x v="50"/>
    <x v="10"/>
    <n v="40"/>
    <x v="459"/>
    <x v="0"/>
    <n v="40"/>
  </r>
  <r>
    <s v="Coastal"/>
    <n v="2436"/>
    <s v="Corpus Christi, TX"/>
    <n v="4310"/>
    <x v="96"/>
    <x v="10"/>
    <n v="25"/>
    <x v="208"/>
    <x v="0"/>
    <n v="25"/>
  </r>
  <r>
    <s v="Coastal"/>
    <n v="2436"/>
    <s v="Corpus Christi, TX"/>
    <n v="3282"/>
    <x v="91"/>
    <x v="10"/>
    <n v="24"/>
    <x v="391"/>
    <x v="0"/>
    <n v="24"/>
  </r>
  <r>
    <s v="Coastal"/>
    <n v="2436"/>
    <s v="Corpus Christi, TX"/>
    <n v="3293"/>
    <x v="122"/>
    <x v="10"/>
    <n v="18"/>
    <x v="170"/>
    <x v="0"/>
    <n v="18"/>
  </r>
  <r>
    <s v="Coastal"/>
    <n v="2436"/>
    <s v="Corpus Christi, TX"/>
    <n v="5240"/>
    <x v="89"/>
    <x v="10"/>
    <n v="9"/>
    <x v="313"/>
    <x v="0"/>
    <n v="9"/>
  </r>
  <r>
    <s v="Coastal"/>
    <n v="2436"/>
    <s v="Corpus Christi, TX"/>
    <n v="3284"/>
    <x v="97"/>
    <x v="10"/>
    <n v="7"/>
    <x v="311"/>
    <x v="0"/>
    <n v="7"/>
  </r>
  <r>
    <s v="Coastal"/>
    <n v="2436"/>
    <s v="Corpus Christi, TX"/>
    <n v="6822"/>
    <x v="84"/>
    <x v="10"/>
    <n v="7"/>
    <x v="311"/>
    <x v="0"/>
    <n v="7"/>
  </r>
  <r>
    <s v="Coastal"/>
    <n v="2436"/>
    <s v="Corpus Christi, TX"/>
    <n v="3250"/>
    <x v="108"/>
    <x v="10"/>
    <n v="4"/>
    <x v="504"/>
    <x v="0"/>
    <n v="4"/>
  </r>
  <r>
    <s v="Coastal"/>
    <n v="4869"/>
    <s v="Craig, AK"/>
    <n v="2330"/>
    <x v="1"/>
    <x v="10"/>
    <n v="35223"/>
    <x v="505"/>
    <x v="0"/>
    <n v="35223"/>
  </r>
  <r>
    <s v="Coastal"/>
    <n v="4869"/>
    <s v="Craig, AK"/>
    <n v="2211"/>
    <x v="0"/>
    <x v="10"/>
    <n v="14232"/>
    <x v="506"/>
    <x v="0"/>
    <n v="14232"/>
  </r>
  <r>
    <s v="Coastal"/>
    <n v="4869"/>
    <s v="Craig, AK"/>
    <n v="2221"/>
    <x v="9"/>
    <x v="10"/>
    <n v="12988"/>
    <x v="507"/>
    <x v="0"/>
    <n v="12988"/>
  </r>
  <r>
    <s v="Great Lakes"/>
    <n v="3321"/>
    <s v="Detroit-Wayne County Port, MI"/>
    <n v="4410"/>
    <x v="34"/>
    <x v="454"/>
    <n v="0"/>
    <x v="0"/>
    <x v="0"/>
    <n v="3193641"/>
  </r>
  <r>
    <s v="Great Lakes"/>
    <n v="3321"/>
    <s v="Detroit-Wayne County Port, MI"/>
    <n v="4322"/>
    <x v="33"/>
    <x v="455"/>
    <n v="199970"/>
    <x v="508"/>
    <x v="318"/>
    <n v="1890700"/>
  </r>
  <r>
    <s v="Great Lakes"/>
    <n v="3321"/>
    <s v="Detroit-Wayne County Port, MI"/>
    <n v="1100"/>
    <x v="32"/>
    <x v="456"/>
    <n v="318728"/>
    <x v="509"/>
    <x v="0"/>
    <n v="1467479"/>
  </r>
  <r>
    <s v="Great Lakes"/>
    <n v="3321"/>
    <s v="Detroit-Wayne County Port, MI"/>
    <n v="5220"/>
    <x v="30"/>
    <x v="457"/>
    <n v="620545"/>
    <x v="510"/>
    <x v="0"/>
    <n v="968024"/>
  </r>
  <r>
    <s v="Great Lakes"/>
    <n v="3321"/>
    <s v="Detroit-Wayne County Port, MI"/>
    <n v="4783"/>
    <x v="7"/>
    <x v="458"/>
    <n v="191329"/>
    <x v="511"/>
    <x v="0"/>
    <n v="549177"/>
  </r>
  <r>
    <s v="Great Lakes"/>
    <n v="3321"/>
    <s v="Detroit-Wayne County Port, MI"/>
    <n v="4331"/>
    <x v="29"/>
    <x v="459"/>
    <n v="287493"/>
    <x v="512"/>
    <x v="319"/>
    <n v="413514"/>
  </r>
  <r>
    <s v="Great Lakes"/>
    <n v="3321"/>
    <s v="Detroit-Wayne County Port, MI"/>
    <n v="4860"/>
    <x v="31"/>
    <x v="460"/>
    <n v="200478"/>
    <x v="513"/>
    <x v="0"/>
    <n v="288184"/>
  </r>
  <r>
    <s v="Great Lakes"/>
    <n v="3321"/>
    <s v="Detroit-Wayne County Port, MI"/>
    <n v="2430"/>
    <x v="11"/>
    <x v="461"/>
    <n v="0"/>
    <x v="0"/>
    <x v="0"/>
    <n v="286743"/>
  </r>
  <r>
    <s v="Great Lakes"/>
    <n v="3321"/>
    <s v="Detroit-Wayne County Port, MI"/>
    <n v="4900"/>
    <x v="14"/>
    <x v="10"/>
    <n v="215416"/>
    <x v="514"/>
    <x v="0"/>
    <n v="215416"/>
  </r>
  <r>
    <s v="Great Lakes"/>
    <n v="3321"/>
    <s v="Detroit-Wayne County Port, MI"/>
    <n v="5330"/>
    <x v="16"/>
    <x v="10"/>
    <n v="136565"/>
    <x v="515"/>
    <x v="0"/>
    <n v="136565"/>
  </r>
  <r>
    <s v="Great Lakes"/>
    <n v="3321"/>
    <s v="Detroit-Wayne County Port, MI"/>
    <n v="4323"/>
    <x v="6"/>
    <x v="10"/>
    <n v="83224"/>
    <x v="516"/>
    <x v="0"/>
    <n v="83224"/>
  </r>
  <r>
    <s v="Great Lakes"/>
    <n v="3321"/>
    <s v="Detroit-Wayne County Port, MI"/>
    <n v="5360"/>
    <x v="94"/>
    <x v="10"/>
    <n v="45112"/>
    <x v="517"/>
    <x v="0"/>
    <n v="45112"/>
  </r>
  <r>
    <s v="Great Lakes"/>
    <n v="3321"/>
    <s v="Detroit-Wayne County Port, MI"/>
    <n v="1200"/>
    <x v="43"/>
    <x v="462"/>
    <n v="0"/>
    <x v="0"/>
    <x v="0"/>
    <n v="39283"/>
  </r>
  <r>
    <s v="Great Lakes"/>
    <n v="3321"/>
    <s v="Detroit-Wayne County Port, MI"/>
    <n v="7110"/>
    <x v="4"/>
    <x v="10"/>
    <n v="30014"/>
    <x v="518"/>
    <x v="0"/>
    <n v="30014"/>
  </r>
  <r>
    <s v="Great Lakes"/>
    <n v="3321"/>
    <s v="Detroit-Wayne County Port, MI"/>
    <n v="2330"/>
    <x v="1"/>
    <x v="463"/>
    <n v="6000"/>
    <x v="519"/>
    <x v="0"/>
    <n v="29442"/>
  </r>
  <r>
    <s v="Great Lakes"/>
    <n v="3321"/>
    <s v="Detroit-Wayne County Port, MI"/>
    <n v="3219"/>
    <x v="19"/>
    <x v="10"/>
    <n v="20515"/>
    <x v="520"/>
    <x v="0"/>
    <n v="20515"/>
  </r>
  <r>
    <s v="Great Lakes"/>
    <n v="3321"/>
    <s v="Detroit-Wayne County Port, MI"/>
    <n v="2540"/>
    <x v="15"/>
    <x v="10"/>
    <n v="19882"/>
    <x v="0"/>
    <x v="320"/>
    <n v="19882"/>
  </r>
  <r>
    <s v="Great Lakes"/>
    <n v="3321"/>
    <s v="Detroit-Wayne County Port, MI"/>
    <n v="4690"/>
    <x v="62"/>
    <x v="10"/>
    <n v="12125"/>
    <x v="521"/>
    <x v="0"/>
    <n v="12125"/>
  </r>
  <r>
    <s v="Great Lakes"/>
    <n v="3321"/>
    <s v="Detroit-Wayne County Port, MI"/>
    <n v="2340"/>
    <x v="3"/>
    <x v="464"/>
    <n v="6000"/>
    <x v="519"/>
    <x v="0"/>
    <n v="8317"/>
  </r>
  <r>
    <s v="Great Lakes"/>
    <n v="3321"/>
    <s v="Detroit-Wayne County Port, MI"/>
    <n v="7900"/>
    <x v="21"/>
    <x v="10"/>
    <n v="710"/>
    <x v="522"/>
    <x v="0"/>
    <n v="710"/>
  </r>
  <r>
    <s v="Great Lakes"/>
    <n v="3321"/>
    <s v="Detroit-Wayne County Port, MI"/>
    <n v="5480"/>
    <x v="20"/>
    <x v="293"/>
    <n v="0"/>
    <x v="0"/>
    <x v="0"/>
    <n v="150"/>
  </r>
  <r>
    <s v="Great Lakes"/>
    <n v="3321"/>
    <s v="Detroit-Wayne County Port, MI"/>
    <n v="7120"/>
    <x v="71"/>
    <x v="10"/>
    <n v="65"/>
    <x v="181"/>
    <x v="0"/>
    <n v="65"/>
  </r>
  <r>
    <s v="Great Lakes"/>
    <n v="3321"/>
    <s v="Detroit-Wayne County Port, MI"/>
    <n v="2211"/>
    <x v="0"/>
    <x v="10"/>
    <n v="30"/>
    <x v="523"/>
    <x v="0"/>
    <n v="30"/>
  </r>
  <r>
    <s v="Great Lakes"/>
    <n v="3321"/>
    <s v="Detroit-Wayne County Port, MI"/>
    <n v="5312"/>
    <x v="52"/>
    <x v="10"/>
    <n v="1"/>
    <x v="19"/>
    <x v="0"/>
    <n v="1"/>
  </r>
  <r>
    <s v="Coastal"/>
    <n v="4875"/>
    <s v="Dillingham, AK"/>
    <n v="6134"/>
    <x v="82"/>
    <x v="465"/>
    <n v="0"/>
    <x v="0"/>
    <x v="0"/>
    <n v="6532"/>
  </r>
  <r>
    <s v="Coastal"/>
    <n v="4875"/>
    <s v="Dillingham, AK"/>
    <n v="6887"/>
    <x v="138"/>
    <x v="466"/>
    <n v="0"/>
    <x v="0"/>
    <x v="0"/>
    <n v="3027"/>
  </r>
  <r>
    <s v="Coastal"/>
    <n v="4875"/>
    <s v="Dillingham, AK"/>
    <n v="7900"/>
    <x v="21"/>
    <x v="467"/>
    <n v="0"/>
    <x v="0"/>
    <x v="0"/>
    <n v="2513"/>
  </r>
  <r>
    <s v="Coastal"/>
    <n v="4875"/>
    <s v="Dillingham, AK"/>
    <n v="7400"/>
    <x v="77"/>
    <x v="468"/>
    <n v="0"/>
    <x v="0"/>
    <x v="0"/>
    <n v="1803"/>
  </r>
  <r>
    <s v="Coastal"/>
    <n v="4875"/>
    <s v="Dillingham, AK"/>
    <n v="7210"/>
    <x v="59"/>
    <x v="469"/>
    <n v="0"/>
    <x v="0"/>
    <x v="0"/>
    <n v="1144"/>
  </r>
  <r>
    <s v="Coastal"/>
    <n v="4875"/>
    <s v="Dillingham, AK"/>
    <n v="2330"/>
    <x v="1"/>
    <x v="470"/>
    <n v="0"/>
    <x v="0"/>
    <x v="0"/>
    <n v="1101"/>
  </r>
  <r>
    <s v="Coastal"/>
    <n v="4875"/>
    <s v="Dillingham, AK"/>
    <n v="4783"/>
    <x v="7"/>
    <x v="471"/>
    <n v="0"/>
    <x v="0"/>
    <x v="0"/>
    <n v="836"/>
  </r>
  <r>
    <s v="Coastal"/>
    <n v="4875"/>
    <s v="Dillingham, AK"/>
    <n v="6885"/>
    <x v="72"/>
    <x v="472"/>
    <n v="0"/>
    <x v="0"/>
    <x v="0"/>
    <n v="803"/>
  </r>
  <r>
    <s v="Coastal"/>
    <n v="4875"/>
    <s v="Dillingham, AK"/>
    <n v="7110"/>
    <x v="4"/>
    <x v="473"/>
    <n v="0"/>
    <x v="0"/>
    <x v="0"/>
    <n v="707"/>
  </r>
  <r>
    <s v="Coastal"/>
    <n v="4875"/>
    <s v="Dillingham, AK"/>
    <n v="2990"/>
    <x v="102"/>
    <x v="474"/>
    <n v="0"/>
    <x v="0"/>
    <x v="0"/>
    <n v="494"/>
  </r>
  <r>
    <s v="Coastal"/>
    <n v="4875"/>
    <s v="Dillingham, AK"/>
    <n v="5190"/>
    <x v="83"/>
    <x v="475"/>
    <n v="0"/>
    <x v="0"/>
    <x v="0"/>
    <n v="452"/>
  </r>
  <r>
    <s v="Coastal"/>
    <n v="4875"/>
    <s v="Dillingham, AK"/>
    <n v="4189"/>
    <x v="65"/>
    <x v="476"/>
    <n v="0"/>
    <x v="0"/>
    <x v="0"/>
    <n v="425"/>
  </r>
  <r>
    <s v="Coastal"/>
    <n v="4875"/>
    <s v="Dillingham, AK"/>
    <n v="5360"/>
    <x v="94"/>
    <x v="477"/>
    <n v="0"/>
    <x v="0"/>
    <x v="0"/>
    <n v="248"/>
  </r>
  <r>
    <s v="Coastal"/>
    <n v="4875"/>
    <s v="Dillingham, AK"/>
    <n v="2211"/>
    <x v="0"/>
    <x v="478"/>
    <n v="0"/>
    <x v="0"/>
    <x v="0"/>
    <n v="135"/>
  </r>
  <r>
    <s v="Coastal"/>
    <n v="4875"/>
    <s v="Dillingham, AK"/>
    <n v="5480"/>
    <x v="20"/>
    <x v="479"/>
    <n v="0"/>
    <x v="0"/>
    <x v="0"/>
    <n v="124"/>
  </r>
  <r>
    <s v="Coastal"/>
    <n v="4875"/>
    <s v="Dillingham, AK"/>
    <n v="7230"/>
    <x v="22"/>
    <x v="480"/>
    <n v="0"/>
    <x v="0"/>
    <x v="0"/>
    <n v="116"/>
  </r>
  <r>
    <s v="Coastal"/>
    <n v="4875"/>
    <s v="Dillingham, AK"/>
    <n v="3220"/>
    <x v="2"/>
    <x v="481"/>
    <n v="0"/>
    <x v="0"/>
    <x v="0"/>
    <n v="109"/>
  </r>
  <r>
    <s v="Coastal"/>
    <n v="4875"/>
    <s v="Dillingham, AK"/>
    <n v="5240"/>
    <x v="89"/>
    <x v="415"/>
    <n v="0"/>
    <x v="0"/>
    <x v="0"/>
    <n v="29"/>
  </r>
  <r>
    <s v="Coastal"/>
    <n v="4875"/>
    <s v="Dillingham, AK"/>
    <n v="7120"/>
    <x v="71"/>
    <x v="418"/>
    <n v="0"/>
    <x v="0"/>
    <x v="0"/>
    <n v="25"/>
  </r>
  <r>
    <s v="Coastal"/>
    <n v="4875"/>
    <s v="Dillingham, AK"/>
    <n v="7500"/>
    <x v="60"/>
    <x v="418"/>
    <n v="0"/>
    <x v="0"/>
    <x v="0"/>
    <n v="25"/>
  </r>
  <r>
    <s v="Coastal"/>
    <n v="4875"/>
    <s v="Dillingham, AK"/>
    <n v="5370"/>
    <x v="81"/>
    <x v="482"/>
    <n v="0"/>
    <x v="0"/>
    <x v="0"/>
    <n v="22"/>
  </r>
  <r>
    <s v="Coastal"/>
    <n v="4875"/>
    <s v="Dillingham, AK"/>
    <n v="3282"/>
    <x v="91"/>
    <x v="483"/>
    <n v="0"/>
    <x v="0"/>
    <x v="0"/>
    <n v="12"/>
  </r>
  <r>
    <s v="Coastal"/>
    <n v="4875"/>
    <s v="Dillingham, AK"/>
    <n v="4331"/>
    <x v="29"/>
    <x v="420"/>
    <n v="0"/>
    <x v="0"/>
    <x v="0"/>
    <n v="11"/>
  </r>
  <r>
    <s v="Coastal"/>
    <n v="4875"/>
    <s v="Dillingham, AK"/>
    <n v="5540"/>
    <x v="64"/>
    <x v="420"/>
    <n v="0"/>
    <x v="0"/>
    <x v="0"/>
    <n v="11"/>
  </r>
  <r>
    <s v="Coastal"/>
    <n v="4875"/>
    <s v="Dillingham, AK"/>
    <n v="6782"/>
    <x v="27"/>
    <x v="484"/>
    <n v="0"/>
    <x v="0"/>
    <x v="0"/>
    <n v="9"/>
  </r>
  <r>
    <s v="Coastal"/>
    <n v="4875"/>
    <s v="Dillingham, AK"/>
    <n v="5290"/>
    <x v="49"/>
    <x v="485"/>
    <n v="0"/>
    <x v="0"/>
    <x v="0"/>
    <n v="4"/>
  </r>
  <r>
    <s v="Great Lakes"/>
    <n v="3924"/>
    <s v="Duluth-Superior, MN and WI"/>
    <n v="4410"/>
    <x v="34"/>
    <x v="486"/>
    <n v="4955367"/>
    <x v="0"/>
    <x v="321"/>
    <n v="19979037"/>
  </r>
  <r>
    <s v="Great Lakes"/>
    <n v="3924"/>
    <s v="Duluth-Superior, MN and WI"/>
    <n v="1100"/>
    <x v="32"/>
    <x v="487"/>
    <n v="0"/>
    <x v="0"/>
    <x v="0"/>
    <n v="7223399"/>
  </r>
  <r>
    <s v="Great Lakes"/>
    <n v="3924"/>
    <s v="Duluth-Superior, MN and WI"/>
    <n v="4322"/>
    <x v="33"/>
    <x v="488"/>
    <n v="126279"/>
    <x v="524"/>
    <x v="0"/>
    <n v="2926862"/>
  </r>
  <r>
    <s v="Great Lakes"/>
    <n v="3924"/>
    <s v="Duluth-Superior, MN and WI"/>
    <n v="6241"/>
    <x v="28"/>
    <x v="489"/>
    <n v="426052"/>
    <x v="0"/>
    <x v="322"/>
    <n v="676280"/>
  </r>
  <r>
    <s v="Great Lakes"/>
    <n v="3924"/>
    <s v="Duluth-Superior, MN and WI"/>
    <n v="2540"/>
    <x v="15"/>
    <x v="490"/>
    <n v="357623"/>
    <x v="0"/>
    <x v="323"/>
    <n v="473734"/>
  </r>
  <r>
    <s v="Great Lakes"/>
    <n v="3924"/>
    <s v="Duluth-Superior, MN and WI"/>
    <n v="4783"/>
    <x v="7"/>
    <x v="491"/>
    <n v="235207"/>
    <x v="525"/>
    <x v="0"/>
    <n v="290755"/>
  </r>
  <r>
    <s v="Great Lakes"/>
    <n v="3924"/>
    <s v="Duluth-Superior, MN and WI"/>
    <n v="5220"/>
    <x v="30"/>
    <x v="492"/>
    <n v="160427"/>
    <x v="526"/>
    <x v="0"/>
    <n v="265671"/>
  </r>
  <r>
    <s v="Great Lakes"/>
    <n v="3924"/>
    <s v="Duluth-Superior, MN and WI"/>
    <n v="4331"/>
    <x v="29"/>
    <x v="493"/>
    <n v="0"/>
    <x v="0"/>
    <x v="0"/>
    <n v="180248"/>
  </r>
  <r>
    <s v="Great Lakes"/>
    <n v="3924"/>
    <s v="Duluth-Superior, MN and WI"/>
    <n v="6782"/>
    <x v="27"/>
    <x v="10"/>
    <n v="95644"/>
    <x v="0"/>
    <x v="324"/>
    <n v="95644"/>
  </r>
  <r>
    <s v="Great Lakes"/>
    <n v="3924"/>
    <s v="Duluth-Superior, MN and WI"/>
    <n v="4900"/>
    <x v="14"/>
    <x v="494"/>
    <n v="0"/>
    <x v="0"/>
    <x v="0"/>
    <n v="72394"/>
  </r>
  <r>
    <s v="Great Lakes"/>
    <n v="3924"/>
    <s v="Duluth-Superior, MN and WI"/>
    <n v="3276"/>
    <x v="12"/>
    <x v="495"/>
    <n v="166"/>
    <x v="527"/>
    <x v="0"/>
    <n v="56703"/>
  </r>
  <r>
    <s v="Great Lakes"/>
    <n v="3924"/>
    <s v="Duluth-Superior, MN and WI"/>
    <n v="3299"/>
    <x v="79"/>
    <x v="10"/>
    <n v="50532"/>
    <x v="0"/>
    <x v="325"/>
    <n v="50532"/>
  </r>
  <r>
    <s v="Great Lakes"/>
    <n v="3924"/>
    <s v="Duluth-Superior, MN and WI"/>
    <n v="4782"/>
    <x v="45"/>
    <x v="375"/>
    <n v="0"/>
    <x v="0"/>
    <x v="0"/>
    <n v="49976"/>
  </r>
  <r>
    <s v="Great Lakes"/>
    <n v="3924"/>
    <s v="Duluth-Superior, MN and WI"/>
    <n v="5290"/>
    <x v="49"/>
    <x v="10"/>
    <n v="34531"/>
    <x v="528"/>
    <x v="0"/>
    <n v="34531"/>
  </r>
  <r>
    <s v="Great Lakes"/>
    <n v="3924"/>
    <s v="Duluth-Superior, MN and WI"/>
    <n v="6445"/>
    <x v="136"/>
    <x v="10"/>
    <n v="27558"/>
    <x v="529"/>
    <x v="0"/>
    <n v="27558"/>
  </r>
  <r>
    <s v="Great Lakes"/>
    <n v="3924"/>
    <s v="Duluth-Superior, MN and WI"/>
    <n v="3230"/>
    <x v="80"/>
    <x v="10"/>
    <n v="25967"/>
    <x v="530"/>
    <x v="326"/>
    <n v="25967"/>
  </r>
  <r>
    <s v="Great Lakes"/>
    <n v="3924"/>
    <s v="Duluth-Superior, MN and WI"/>
    <n v="6747"/>
    <x v="78"/>
    <x v="10"/>
    <n v="17417"/>
    <x v="531"/>
    <x v="0"/>
    <n v="17417"/>
  </r>
  <r>
    <s v="Great Lakes"/>
    <n v="3924"/>
    <s v="Duluth-Superior, MN and WI"/>
    <n v="7120"/>
    <x v="71"/>
    <x v="10"/>
    <n v="11022"/>
    <x v="532"/>
    <x v="327"/>
    <n v="11022"/>
  </r>
  <r>
    <s v="Great Lakes"/>
    <n v="3924"/>
    <s v="Duluth-Superior, MN and WI"/>
    <n v="7900"/>
    <x v="21"/>
    <x v="10"/>
    <n v="1773"/>
    <x v="533"/>
    <x v="0"/>
    <n v="1773"/>
  </r>
  <r>
    <s v="Great Lakes"/>
    <n v="3924"/>
    <s v="Duluth-Superior, MN and WI"/>
    <n v="7110"/>
    <x v="4"/>
    <x v="496"/>
    <n v="315"/>
    <x v="534"/>
    <x v="0"/>
    <n v="1215"/>
  </r>
  <r>
    <s v="Great Lakes"/>
    <n v="3924"/>
    <s v="Duluth-Superior, MN and WI"/>
    <n v="6136"/>
    <x v="95"/>
    <x v="10"/>
    <n v="362"/>
    <x v="140"/>
    <x v="0"/>
    <n v="362"/>
  </r>
  <r>
    <s v="Great Lakes"/>
    <n v="3924"/>
    <s v="Duluth-Superior, MN and WI"/>
    <n v="5480"/>
    <x v="20"/>
    <x v="10"/>
    <n v="321"/>
    <x v="535"/>
    <x v="0"/>
    <n v="321"/>
  </r>
  <r>
    <s v="Great Lakes"/>
    <n v="3924"/>
    <s v="Duluth-Superior, MN and WI"/>
    <n v="3293"/>
    <x v="122"/>
    <x v="10"/>
    <n v="289"/>
    <x v="536"/>
    <x v="0"/>
    <n v="289"/>
  </r>
  <r>
    <s v="Great Lakes"/>
    <n v="3924"/>
    <s v="Duluth-Superior, MN and WI"/>
    <n v="3286"/>
    <x v="57"/>
    <x v="10"/>
    <n v="272"/>
    <x v="537"/>
    <x v="0"/>
    <n v="272"/>
  </r>
  <r>
    <s v="Great Lakes"/>
    <n v="3924"/>
    <s v="Duluth-Superior, MN and WI"/>
    <n v="7500"/>
    <x v="60"/>
    <x v="10"/>
    <n v="272"/>
    <x v="537"/>
    <x v="0"/>
    <n v="272"/>
  </r>
  <r>
    <s v="Great Lakes"/>
    <n v="3924"/>
    <s v="Duluth-Superior, MN and WI"/>
    <n v="7600"/>
    <x v="68"/>
    <x v="10"/>
    <n v="243"/>
    <x v="538"/>
    <x v="0"/>
    <n v="243"/>
  </r>
  <r>
    <s v="Great Lakes"/>
    <n v="3924"/>
    <s v="Duluth-Superior, MN and WI"/>
    <n v="3219"/>
    <x v="19"/>
    <x v="10"/>
    <n v="97"/>
    <x v="539"/>
    <x v="0"/>
    <n v="97"/>
  </r>
  <r>
    <s v="Great Lakes"/>
    <n v="3924"/>
    <s v="Duluth-Superior, MN and WI"/>
    <n v="3220"/>
    <x v="2"/>
    <x v="10"/>
    <n v="83"/>
    <x v="540"/>
    <x v="0"/>
    <n v="83"/>
  </r>
  <r>
    <s v="Great Lakes"/>
    <n v="3924"/>
    <s v="Duluth-Superior, MN and WI"/>
    <n v="3275"/>
    <x v="47"/>
    <x v="10"/>
    <n v="83"/>
    <x v="540"/>
    <x v="0"/>
    <n v="83"/>
  </r>
  <r>
    <s v="Great Lakes"/>
    <n v="3924"/>
    <s v="Duluth-Superior, MN and WI"/>
    <n v="3285"/>
    <x v="87"/>
    <x v="10"/>
    <n v="83"/>
    <x v="540"/>
    <x v="0"/>
    <n v="83"/>
  </r>
  <r>
    <s v="Great Lakes"/>
    <n v="3924"/>
    <s v="Duluth-Superior, MN and WI"/>
    <n v="7210"/>
    <x v="59"/>
    <x v="10"/>
    <n v="83"/>
    <x v="540"/>
    <x v="0"/>
    <n v="83"/>
  </r>
  <r>
    <s v="Great Lakes"/>
    <n v="3924"/>
    <s v="Duluth-Superior, MN and WI"/>
    <n v="7400"/>
    <x v="77"/>
    <x v="10"/>
    <n v="83"/>
    <x v="540"/>
    <x v="0"/>
    <n v="83"/>
  </r>
  <r>
    <s v="Great Lakes"/>
    <n v="3924"/>
    <s v="Duluth-Superior, MN and WI"/>
    <n v="6885"/>
    <x v="72"/>
    <x v="10"/>
    <n v="4"/>
    <x v="504"/>
    <x v="0"/>
    <n v="4"/>
  </r>
  <r>
    <s v="Coastal"/>
    <n v="97"/>
    <s v="Eastport Port Authority, ME"/>
    <n v="4225"/>
    <x v="10"/>
    <x v="10"/>
    <n v="45050"/>
    <x v="0"/>
    <x v="328"/>
    <n v="45050"/>
  </r>
  <r>
    <s v="Coastal"/>
    <n v="97"/>
    <s v="Eastport Port Authority, ME"/>
    <n v="5480"/>
    <x v="20"/>
    <x v="10"/>
    <n v="20"/>
    <x v="416"/>
    <x v="0"/>
    <n v="20"/>
  </r>
  <r>
    <s v="Internal"/>
    <n v="2369"/>
    <s v="Eddyville Riverport, KY"/>
    <n v="6344"/>
    <x v="25"/>
    <x v="497"/>
    <n v="0"/>
    <x v="0"/>
    <x v="0"/>
    <n v="228868"/>
  </r>
  <r>
    <s v="Internal"/>
    <n v="2369"/>
    <s v="Eddyville Riverport, KY"/>
    <n v="6522"/>
    <x v="26"/>
    <x v="498"/>
    <n v="0"/>
    <x v="0"/>
    <x v="0"/>
    <n v="91427"/>
  </r>
  <r>
    <s v="Internal"/>
    <n v="2369"/>
    <s v="Eddyville Riverport, KY"/>
    <n v="6241"/>
    <x v="28"/>
    <x v="499"/>
    <n v="0"/>
    <x v="0"/>
    <x v="0"/>
    <n v="60041"/>
  </r>
  <r>
    <s v="Internal"/>
    <n v="2369"/>
    <s v="Eddyville Riverport, KY"/>
    <n v="3190"/>
    <x v="38"/>
    <x v="500"/>
    <n v="0"/>
    <x v="0"/>
    <x v="0"/>
    <n v="23091"/>
  </r>
  <r>
    <s v="Internal"/>
    <n v="2369"/>
    <s v="Eddyville Riverport, KY"/>
    <n v="3130"/>
    <x v="37"/>
    <x v="501"/>
    <n v="0"/>
    <x v="0"/>
    <x v="0"/>
    <n v="22601"/>
  </r>
  <r>
    <s v="Internal"/>
    <n v="2369"/>
    <s v="Eddyville Riverport, KY"/>
    <n v="3110"/>
    <x v="36"/>
    <x v="502"/>
    <n v="0"/>
    <x v="0"/>
    <x v="0"/>
    <n v="7728"/>
  </r>
  <r>
    <s v="Internal"/>
    <n v="2369"/>
    <s v="Eddyville Riverport, KY"/>
    <n v="3120"/>
    <x v="41"/>
    <x v="503"/>
    <n v="0"/>
    <x v="0"/>
    <x v="0"/>
    <n v="4552"/>
  </r>
  <r>
    <s v="Internal"/>
    <n v="2369"/>
    <s v="Eddyville Riverport, KY"/>
    <n v="6590"/>
    <x v="23"/>
    <x v="504"/>
    <n v="0"/>
    <x v="0"/>
    <x v="0"/>
    <n v="1589"/>
  </r>
  <r>
    <s v="Great Lakes"/>
    <n v="3221"/>
    <s v="Erie, PA"/>
    <n v="4322"/>
    <x v="33"/>
    <x v="505"/>
    <n v="19955"/>
    <x v="541"/>
    <x v="0"/>
    <n v="410133"/>
  </r>
  <r>
    <s v="Great Lakes"/>
    <n v="3221"/>
    <s v="Erie, PA"/>
    <n v="4331"/>
    <x v="29"/>
    <x v="506"/>
    <n v="19842"/>
    <x v="542"/>
    <x v="0"/>
    <n v="239520"/>
  </r>
  <r>
    <s v="Great Lakes"/>
    <n v="3221"/>
    <s v="Erie, PA"/>
    <n v="4783"/>
    <x v="7"/>
    <x v="507"/>
    <n v="97602"/>
    <x v="543"/>
    <x v="0"/>
    <n v="133601"/>
  </r>
  <r>
    <s v="Great Lakes"/>
    <n v="3221"/>
    <s v="Erie, PA"/>
    <n v="5480"/>
    <x v="20"/>
    <x v="10"/>
    <n v="2122"/>
    <x v="544"/>
    <x v="0"/>
    <n v="2122"/>
  </r>
  <r>
    <s v="Great Lakes"/>
    <n v="3221"/>
    <s v="Erie, PA"/>
    <n v="7600"/>
    <x v="68"/>
    <x v="10"/>
    <n v="1127"/>
    <x v="545"/>
    <x v="0"/>
    <n v="1127"/>
  </r>
  <r>
    <s v="Great Lakes"/>
    <n v="3221"/>
    <s v="Erie, PA"/>
    <n v="7210"/>
    <x v="59"/>
    <x v="10"/>
    <n v="80"/>
    <x v="546"/>
    <x v="0"/>
    <n v="80"/>
  </r>
  <r>
    <s v="Great Lakes"/>
    <n v="3795"/>
    <s v="Escanaba, MI"/>
    <n v="4410"/>
    <x v="34"/>
    <x v="50"/>
    <n v="0"/>
    <x v="0"/>
    <x v="0"/>
    <n v="51772"/>
  </r>
  <r>
    <s v="Great Lakes"/>
    <n v="3795"/>
    <s v="Escanaba, MI"/>
    <n v="4783"/>
    <x v="7"/>
    <x v="10"/>
    <n v="26455"/>
    <x v="547"/>
    <x v="0"/>
    <n v="26455"/>
  </r>
  <r>
    <s v="Great Lakes"/>
    <n v="3795"/>
    <s v="Escanaba, MI"/>
    <n v="1100"/>
    <x v="32"/>
    <x v="508"/>
    <n v="0"/>
    <x v="0"/>
    <x v="0"/>
    <n v="19278"/>
  </r>
  <r>
    <s v="Great Lakes"/>
    <n v="3795"/>
    <s v="Escanaba, MI"/>
    <n v="4420"/>
    <x v="8"/>
    <x v="10"/>
    <n v="5240"/>
    <x v="548"/>
    <x v="0"/>
    <n v="5240"/>
  </r>
  <r>
    <s v="Great Lakes"/>
    <n v="3795"/>
    <s v="Escanaba, MI"/>
    <n v="7900"/>
    <x v="21"/>
    <x v="509"/>
    <n v="0"/>
    <x v="0"/>
    <x v="0"/>
    <n v="550"/>
  </r>
  <r>
    <s v="Great Lakes"/>
    <n v="3795"/>
    <s v="Escanaba, MI"/>
    <n v="7110"/>
    <x v="4"/>
    <x v="510"/>
    <n v="0"/>
    <x v="0"/>
    <x v="0"/>
    <n v="80"/>
  </r>
  <r>
    <s v="Great Lakes"/>
    <n v="3795"/>
    <s v="Escanaba, MI"/>
    <n v="5422"/>
    <x v="66"/>
    <x v="90"/>
    <n v="0"/>
    <x v="0"/>
    <x v="0"/>
    <n v="40"/>
  </r>
  <r>
    <s v="Great Lakes"/>
    <n v="3228"/>
    <s v="Fairport Harbor, OH"/>
    <n v="4322"/>
    <x v="33"/>
    <x v="511"/>
    <n v="0"/>
    <x v="0"/>
    <x v="0"/>
    <n v="362415"/>
  </r>
  <r>
    <s v="Great Lakes"/>
    <n v="3228"/>
    <s v="Fairport Harbor, OH"/>
    <n v="4331"/>
    <x v="29"/>
    <x v="512"/>
    <n v="43227"/>
    <x v="549"/>
    <x v="329"/>
    <n v="50227"/>
  </r>
  <r>
    <s v="Great Lakes"/>
    <n v="3228"/>
    <s v="Fairport Harbor, OH"/>
    <n v="4782"/>
    <x v="45"/>
    <x v="10"/>
    <n v="46530"/>
    <x v="550"/>
    <x v="0"/>
    <n v="46530"/>
  </r>
  <r>
    <s v="Coastal"/>
    <n v="232"/>
    <s v="Fall River Port Authority, MA"/>
    <n v="3274"/>
    <x v="86"/>
    <x v="10"/>
    <n v="22097"/>
    <x v="551"/>
    <x v="0"/>
    <n v="22097"/>
  </r>
  <r>
    <s v="Coastal"/>
    <n v="232"/>
    <s v="Fall River Port Authority, MA"/>
    <n v="3299"/>
    <x v="79"/>
    <x v="10"/>
    <n v="6393"/>
    <x v="0"/>
    <x v="330"/>
    <n v="6393"/>
  </r>
  <r>
    <s v="Coastal"/>
    <n v="232"/>
    <s v="Fall River Port Authority, MA"/>
    <n v="6835"/>
    <x v="92"/>
    <x v="10"/>
    <n v="261"/>
    <x v="552"/>
    <x v="0"/>
    <n v="261"/>
  </r>
  <r>
    <s v="Coastal"/>
    <n v="232"/>
    <s v="Fall River Port Authority, MA"/>
    <n v="7900"/>
    <x v="21"/>
    <x v="10"/>
    <n v="196"/>
    <x v="553"/>
    <x v="0"/>
    <n v="196"/>
  </r>
  <r>
    <s v="Coastal"/>
    <n v="232"/>
    <s v="Fall River Port Authority, MA"/>
    <n v="3276"/>
    <x v="12"/>
    <x v="10"/>
    <n v="105"/>
    <x v="410"/>
    <x v="0"/>
    <n v="105"/>
  </r>
  <r>
    <s v="Coastal"/>
    <n v="232"/>
    <s v="Fall River Port Authority, MA"/>
    <n v="6885"/>
    <x v="72"/>
    <x v="10"/>
    <n v="81"/>
    <x v="554"/>
    <x v="0"/>
    <n v="81"/>
  </r>
  <r>
    <s v="Coastal"/>
    <n v="232"/>
    <s v="Fall River Port Authority, MA"/>
    <n v="6747"/>
    <x v="78"/>
    <x v="10"/>
    <n v="50"/>
    <x v="392"/>
    <x v="0"/>
    <n v="50"/>
  </r>
  <r>
    <s v="Coastal"/>
    <n v="232"/>
    <s v="Fall River Port Authority, MA"/>
    <n v="3240"/>
    <x v="53"/>
    <x v="10"/>
    <n v="33"/>
    <x v="555"/>
    <x v="0"/>
    <n v="33"/>
  </r>
  <r>
    <s v="Coastal"/>
    <n v="232"/>
    <s v="Fall River Port Authority, MA"/>
    <n v="7210"/>
    <x v="59"/>
    <x v="10"/>
    <n v="30"/>
    <x v="523"/>
    <x v="0"/>
    <n v="30"/>
  </r>
  <r>
    <s v="Coastal"/>
    <n v="232"/>
    <s v="Fall River Port Authority, MA"/>
    <n v="6654"/>
    <x v="50"/>
    <x v="10"/>
    <n v="13"/>
    <x v="453"/>
    <x v="0"/>
    <n v="13"/>
  </r>
  <r>
    <s v="Coastal"/>
    <n v="232"/>
    <s v="Fall River Port Authority, MA"/>
    <n v="3230"/>
    <x v="80"/>
    <x v="10"/>
    <n v="12"/>
    <x v="20"/>
    <x v="0"/>
    <n v="12"/>
  </r>
  <r>
    <s v="Coastal"/>
    <n v="232"/>
    <s v="Fall River Port Authority, MA"/>
    <n v="7600"/>
    <x v="68"/>
    <x v="10"/>
    <n v="7"/>
    <x v="311"/>
    <x v="0"/>
    <n v="7"/>
  </r>
  <r>
    <s v="Coastal"/>
    <n v="232"/>
    <s v="Fall River Port Authority, MA"/>
    <n v="6822"/>
    <x v="84"/>
    <x v="10"/>
    <n v="2"/>
    <x v="212"/>
    <x v="0"/>
    <n v="2"/>
  </r>
  <r>
    <s v="Coastal"/>
    <n v="232"/>
    <s v="Fall River Port Authority, MA"/>
    <n v="9900"/>
    <x v="18"/>
    <x v="10"/>
    <n v="1"/>
    <x v="19"/>
    <x v="0"/>
    <n v="1"/>
  </r>
  <r>
    <s v="Coastal"/>
    <n v="95"/>
    <s v="Falmouth, MA"/>
    <n v="7900"/>
    <x v="21"/>
    <x v="513"/>
    <n v="0"/>
    <x v="0"/>
    <x v="0"/>
    <n v="112"/>
  </r>
  <r>
    <s v="Coastal"/>
    <n v="4905"/>
    <s v="False Pass, AK"/>
    <n v="6134"/>
    <x v="82"/>
    <x v="514"/>
    <n v="0"/>
    <x v="0"/>
    <x v="0"/>
    <n v="26973"/>
  </r>
  <r>
    <s v="Coastal"/>
    <n v="4905"/>
    <s v="False Pass, AK"/>
    <n v="7900"/>
    <x v="21"/>
    <x v="515"/>
    <n v="0"/>
    <x v="0"/>
    <x v="0"/>
    <n v="6553"/>
  </r>
  <r>
    <s v="Coastal"/>
    <n v="4905"/>
    <s v="False Pass, AK"/>
    <n v="6835"/>
    <x v="92"/>
    <x v="516"/>
    <n v="0"/>
    <x v="0"/>
    <x v="0"/>
    <n v="4089"/>
  </r>
  <r>
    <s v="Coastal"/>
    <n v="4905"/>
    <s v="False Pass, AK"/>
    <n v="2990"/>
    <x v="102"/>
    <x v="517"/>
    <n v="0"/>
    <x v="0"/>
    <x v="0"/>
    <n v="1449"/>
  </r>
  <r>
    <s v="Coastal"/>
    <n v="4905"/>
    <s v="False Pass, AK"/>
    <n v="6887"/>
    <x v="138"/>
    <x v="518"/>
    <n v="0"/>
    <x v="0"/>
    <x v="0"/>
    <n v="665"/>
  </r>
  <r>
    <s v="Coastal"/>
    <n v="4905"/>
    <s v="False Pass, AK"/>
    <n v="6782"/>
    <x v="27"/>
    <x v="519"/>
    <n v="0"/>
    <x v="0"/>
    <x v="0"/>
    <n v="551"/>
  </r>
  <r>
    <s v="Coastal"/>
    <n v="4905"/>
    <s v="False Pass, AK"/>
    <n v="7400"/>
    <x v="77"/>
    <x v="520"/>
    <n v="0"/>
    <x v="0"/>
    <x v="0"/>
    <n v="453"/>
  </r>
  <r>
    <s v="Coastal"/>
    <n v="4905"/>
    <s v="False Pass, AK"/>
    <n v="5190"/>
    <x v="83"/>
    <x v="521"/>
    <n v="0"/>
    <x v="0"/>
    <x v="0"/>
    <n v="359"/>
  </r>
  <r>
    <s v="Coastal"/>
    <n v="4905"/>
    <s v="False Pass, AK"/>
    <n v="6136"/>
    <x v="95"/>
    <x v="522"/>
    <n v="0"/>
    <x v="0"/>
    <x v="0"/>
    <n v="122"/>
  </r>
  <r>
    <s v="Coastal"/>
    <n v="4905"/>
    <s v="False Pass, AK"/>
    <n v="4420"/>
    <x v="8"/>
    <x v="523"/>
    <n v="0"/>
    <x v="0"/>
    <x v="0"/>
    <n v="32"/>
  </r>
  <r>
    <s v="Coastal"/>
    <n v="4905"/>
    <s v="False Pass, AK"/>
    <n v="5480"/>
    <x v="20"/>
    <x v="483"/>
    <n v="0"/>
    <x v="0"/>
    <x v="0"/>
    <n v="12"/>
  </r>
  <r>
    <s v="Coastal"/>
    <n v="4905"/>
    <s v="False Pass, AK"/>
    <n v="7210"/>
    <x v="59"/>
    <x v="524"/>
    <n v="0"/>
    <x v="0"/>
    <x v="0"/>
    <n v="10"/>
  </r>
  <r>
    <s v="Coastal"/>
    <n v="1986"/>
    <s v="Fort Pierce, FL"/>
    <n v="4331"/>
    <x v="29"/>
    <x v="10"/>
    <n v="60"/>
    <x v="556"/>
    <x v="0"/>
    <n v="60"/>
  </r>
  <r>
    <s v="Coastal"/>
    <n v="2417"/>
    <s v="Galveston, TX"/>
    <n v="2340"/>
    <x v="3"/>
    <x v="525"/>
    <n v="226495"/>
    <x v="557"/>
    <x v="331"/>
    <n v="2804475"/>
  </r>
  <r>
    <s v="Coastal"/>
    <n v="2417"/>
    <s v="Galveston, TX"/>
    <n v="2330"/>
    <x v="1"/>
    <x v="526"/>
    <n v="803988"/>
    <x v="558"/>
    <x v="332"/>
    <n v="2205913"/>
  </r>
  <r>
    <s v="Coastal"/>
    <n v="2417"/>
    <s v="Galveston, TX"/>
    <n v="3220"/>
    <x v="2"/>
    <x v="527"/>
    <n v="1018608"/>
    <x v="559"/>
    <x v="333"/>
    <n v="1422421"/>
  </r>
  <r>
    <s v="Coastal"/>
    <n v="2417"/>
    <s v="Galveston, TX"/>
    <n v="6241"/>
    <x v="28"/>
    <x v="10"/>
    <n v="728228"/>
    <x v="0"/>
    <x v="334"/>
    <n v="728228"/>
  </r>
  <r>
    <s v="Coastal"/>
    <n v="2417"/>
    <s v="Galveston, TX"/>
    <n v="3276"/>
    <x v="12"/>
    <x v="528"/>
    <n v="501450"/>
    <x v="560"/>
    <x v="335"/>
    <n v="506512"/>
  </r>
  <r>
    <s v="Coastal"/>
    <n v="2417"/>
    <s v="Galveston, TX"/>
    <n v="3110"/>
    <x v="36"/>
    <x v="529"/>
    <n v="459642"/>
    <x v="561"/>
    <x v="0"/>
    <n v="494069"/>
  </r>
  <r>
    <s v="Coastal"/>
    <n v="2417"/>
    <s v="Galveston, TX"/>
    <n v="3271"/>
    <x v="133"/>
    <x v="530"/>
    <n v="0"/>
    <x v="0"/>
    <x v="0"/>
    <n v="435070"/>
  </r>
  <r>
    <s v="Coastal"/>
    <n v="2417"/>
    <s v="Galveston, TX"/>
    <n v="6522"/>
    <x v="26"/>
    <x v="10"/>
    <n v="419473"/>
    <x v="0"/>
    <x v="336"/>
    <n v="419473"/>
  </r>
  <r>
    <s v="Coastal"/>
    <n v="2417"/>
    <s v="Galveston, TX"/>
    <n v="6856"/>
    <x v="126"/>
    <x v="10"/>
    <n v="396319"/>
    <x v="562"/>
    <x v="0"/>
    <n v="396319"/>
  </r>
  <r>
    <s v="Coastal"/>
    <n v="2417"/>
    <s v="Galveston, TX"/>
    <n v="7110"/>
    <x v="4"/>
    <x v="531"/>
    <n v="252625"/>
    <x v="563"/>
    <x v="337"/>
    <n v="269687"/>
  </r>
  <r>
    <s v="Coastal"/>
    <n v="2417"/>
    <s v="Galveston, TX"/>
    <n v="2640"/>
    <x v="110"/>
    <x v="532"/>
    <n v="251553"/>
    <x v="212"/>
    <x v="338"/>
    <n v="252474"/>
  </r>
  <r>
    <s v="Coastal"/>
    <n v="2417"/>
    <s v="Galveston, TX"/>
    <n v="2211"/>
    <x v="0"/>
    <x v="533"/>
    <n v="175034"/>
    <x v="564"/>
    <x v="339"/>
    <n v="185834"/>
  </r>
  <r>
    <s v="Coastal"/>
    <n v="2417"/>
    <s v="Galveston, TX"/>
    <n v="7900"/>
    <x v="21"/>
    <x v="534"/>
    <n v="44775"/>
    <x v="565"/>
    <x v="340"/>
    <n v="177374"/>
  </r>
  <r>
    <s v="Coastal"/>
    <n v="2417"/>
    <s v="Galveston, TX"/>
    <n v="3190"/>
    <x v="38"/>
    <x v="535"/>
    <n v="101378"/>
    <x v="566"/>
    <x v="125"/>
    <n v="143817"/>
  </r>
  <r>
    <s v="Coastal"/>
    <n v="2417"/>
    <s v="Galveston, TX"/>
    <n v="5480"/>
    <x v="20"/>
    <x v="10"/>
    <n v="135497"/>
    <x v="567"/>
    <x v="341"/>
    <n v="135497"/>
  </r>
  <r>
    <s v="Coastal"/>
    <n v="2417"/>
    <s v="Galveston, TX"/>
    <n v="3130"/>
    <x v="37"/>
    <x v="536"/>
    <n v="14740"/>
    <x v="0"/>
    <x v="342"/>
    <n v="125401"/>
  </r>
  <r>
    <s v="Coastal"/>
    <n v="2417"/>
    <s v="Galveston, TX"/>
    <n v="6857"/>
    <x v="104"/>
    <x v="10"/>
    <n v="118891"/>
    <x v="568"/>
    <x v="343"/>
    <n v="118891"/>
  </r>
  <r>
    <s v="Coastal"/>
    <n v="2417"/>
    <s v="Galveston, TX"/>
    <n v="7210"/>
    <x v="59"/>
    <x v="10"/>
    <n v="98144"/>
    <x v="569"/>
    <x v="344"/>
    <n v="98144"/>
  </r>
  <r>
    <s v="Coastal"/>
    <n v="2417"/>
    <s v="Galveston, TX"/>
    <n v="6344"/>
    <x v="25"/>
    <x v="10"/>
    <n v="92473"/>
    <x v="0"/>
    <x v="345"/>
    <n v="92473"/>
  </r>
  <r>
    <s v="Coastal"/>
    <n v="2417"/>
    <s v="Galveston, TX"/>
    <n v="2430"/>
    <x v="11"/>
    <x v="537"/>
    <n v="7976"/>
    <x v="0"/>
    <x v="346"/>
    <n v="88033"/>
  </r>
  <r>
    <s v="Coastal"/>
    <n v="2417"/>
    <s v="Galveston, TX"/>
    <n v="2990"/>
    <x v="102"/>
    <x v="10"/>
    <n v="83805"/>
    <x v="570"/>
    <x v="347"/>
    <n v="83805"/>
  </r>
  <r>
    <s v="Coastal"/>
    <n v="2417"/>
    <s v="Galveston, TX"/>
    <n v="2100"/>
    <x v="35"/>
    <x v="10"/>
    <n v="82868"/>
    <x v="571"/>
    <x v="348"/>
    <n v="82868"/>
  </r>
  <r>
    <s v="Coastal"/>
    <n v="2417"/>
    <s v="Galveston, TX"/>
    <n v="3286"/>
    <x v="57"/>
    <x v="10"/>
    <n v="82737"/>
    <x v="572"/>
    <x v="349"/>
    <n v="82737"/>
  </r>
  <r>
    <s v="Coastal"/>
    <n v="2417"/>
    <s v="Galveston, TX"/>
    <n v="4331"/>
    <x v="29"/>
    <x v="538"/>
    <n v="261"/>
    <x v="0"/>
    <x v="350"/>
    <n v="81261"/>
  </r>
  <r>
    <s v="Coastal"/>
    <n v="2417"/>
    <s v="Galveston, TX"/>
    <n v="3275"/>
    <x v="47"/>
    <x v="10"/>
    <n v="53896"/>
    <x v="573"/>
    <x v="351"/>
    <n v="53896"/>
  </r>
  <r>
    <s v="Coastal"/>
    <n v="2417"/>
    <s v="Galveston, TX"/>
    <n v="9900"/>
    <x v="18"/>
    <x v="10"/>
    <n v="53776"/>
    <x v="574"/>
    <x v="352"/>
    <n v="53776"/>
  </r>
  <r>
    <s v="Coastal"/>
    <n v="2417"/>
    <s v="Galveston, TX"/>
    <n v="4741"/>
    <x v="56"/>
    <x v="10"/>
    <n v="45749"/>
    <x v="0"/>
    <x v="353"/>
    <n v="45749"/>
  </r>
  <r>
    <s v="Coastal"/>
    <n v="2417"/>
    <s v="Galveston, TX"/>
    <n v="7120"/>
    <x v="71"/>
    <x v="10"/>
    <n v="40567"/>
    <x v="575"/>
    <x v="354"/>
    <n v="40567"/>
  </r>
  <r>
    <s v="Coastal"/>
    <n v="2417"/>
    <s v="Galveston, TX"/>
    <n v="3219"/>
    <x v="19"/>
    <x v="539"/>
    <n v="18501"/>
    <x v="576"/>
    <x v="355"/>
    <n v="40491"/>
  </r>
  <r>
    <s v="Coastal"/>
    <n v="2417"/>
    <s v="Galveston, TX"/>
    <n v="2540"/>
    <x v="15"/>
    <x v="10"/>
    <n v="39246"/>
    <x v="0"/>
    <x v="356"/>
    <n v="39246"/>
  </r>
  <r>
    <s v="Coastal"/>
    <n v="2417"/>
    <s v="Galveston, TX"/>
    <n v="5120"/>
    <x v="63"/>
    <x v="10"/>
    <n v="37376"/>
    <x v="168"/>
    <x v="357"/>
    <n v="37376"/>
  </r>
  <r>
    <s v="Coastal"/>
    <n v="2417"/>
    <s v="Galveston, TX"/>
    <n v="7600"/>
    <x v="68"/>
    <x v="10"/>
    <n v="26476"/>
    <x v="577"/>
    <x v="358"/>
    <n v="26476"/>
  </r>
  <r>
    <s v="Coastal"/>
    <n v="2417"/>
    <s v="Galveston, TX"/>
    <n v="2350"/>
    <x v="40"/>
    <x v="540"/>
    <n v="17618"/>
    <x v="578"/>
    <x v="359"/>
    <n v="24693"/>
  </r>
  <r>
    <s v="Coastal"/>
    <n v="2417"/>
    <s v="Galveston, TX"/>
    <n v="3250"/>
    <x v="108"/>
    <x v="10"/>
    <n v="22172"/>
    <x v="579"/>
    <x v="360"/>
    <n v="22172"/>
  </r>
  <r>
    <s v="Coastal"/>
    <n v="2417"/>
    <s v="Galveston, TX"/>
    <n v="3212"/>
    <x v="39"/>
    <x v="541"/>
    <n v="10752"/>
    <x v="580"/>
    <x v="0"/>
    <n v="20362"/>
  </r>
  <r>
    <s v="Coastal"/>
    <n v="2417"/>
    <s v="Galveston, TX"/>
    <n v="4900"/>
    <x v="14"/>
    <x v="542"/>
    <n v="245"/>
    <x v="581"/>
    <x v="0"/>
    <n v="19172"/>
  </r>
  <r>
    <s v="Coastal"/>
    <n v="2417"/>
    <s v="Galveston, TX"/>
    <n v="4782"/>
    <x v="45"/>
    <x v="496"/>
    <n v="15805"/>
    <x v="449"/>
    <x v="361"/>
    <n v="16705"/>
  </r>
  <r>
    <s v="Coastal"/>
    <n v="2417"/>
    <s v="Galveston, TX"/>
    <n v="5540"/>
    <x v="64"/>
    <x v="10"/>
    <n v="15278"/>
    <x v="582"/>
    <x v="0"/>
    <n v="15278"/>
  </r>
  <r>
    <s v="Coastal"/>
    <n v="2417"/>
    <s v="Galveston, TX"/>
    <n v="5421"/>
    <x v="88"/>
    <x v="10"/>
    <n v="13692"/>
    <x v="583"/>
    <x v="362"/>
    <n v="13692"/>
  </r>
  <r>
    <s v="Coastal"/>
    <n v="2417"/>
    <s v="Galveston, TX"/>
    <n v="5370"/>
    <x v="81"/>
    <x v="543"/>
    <n v="9569"/>
    <x v="584"/>
    <x v="37"/>
    <n v="9679"/>
  </r>
  <r>
    <s v="Coastal"/>
    <n v="2417"/>
    <s v="Galveston, TX"/>
    <n v="6865"/>
    <x v="75"/>
    <x v="10"/>
    <n v="9462"/>
    <x v="585"/>
    <x v="0"/>
    <n v="9462"/>
  </r>
  <r>
    <s v="Coastal"/>
    <n v="2417"/>
    <s v="Galveston, TX"/>
    <n v="3211"/>
    <x v="124"/>
    <x v="544"/>
    <n v="7947"/>
    <x v="586"/>
    <x v="363"/>
    <n v="9147"/>
  </r>
  <r>
    <s v="Coastal"/>
    <n v="2417"/>
    <s v="Galveston, TX"/>
    <n v="3260"/>
    <x v="107"/>
    <x v="545"/>
    <n v="5727"/>
    <x v="0"/>
    <x v="364"/>
    <n v="9086"/>
  </r>
  <r>
    <s v="Coastal"/>
    <n v="2417"/>
    <s v="Galveston, TX"/>
    <n v="6782"/>
    <x v="27"/>
    <x v="10"/>
    <n v="8573"/>
    <x v="587"/>
    <x v="236"/>
    <n v="8573"/>
  </r>
  <r>
    <s v="Coastal"/>
    <n v="2417"/>
    <s v="Galveston, TX"/>
    <n v="7400"/>
    <x v="77"/>
    <x v="10"/>
    <n v="5641"/>
    <x v="588"/>
    <x v="365"/>
    <n v="5641"/>
  </r>
  <r>
    <s v="Coastal"/>
    <n v="2417"/>
    <s v="Galveston, TX"/>
    <n v="3230"/>
    <x v="80"/>
    <x v="519"/>
    <n v="4831"/>
    <x v="589"/>
    <x v="366"/>
    <n v="5382"/>
  </r>
  <r>
    <s v="Coastal"/>
    <n v="2417"/>
    <s v="Galveston, TX"/>
    <n v="5190"/>
    <x v="83"/>
    <x v="10"/>
    <n v="5162"/>
    <x v="590"/>
    <x v="367"/>
    <n v="5162"/>
  </r>
  <r>
    <s v="Coastal"/>
    <n v="2417"/>
    <s v="Galveston, TX"/>
    <n v="6811"/>
    <x v="76"/>
    <x v="10"/>
    <n v="4752"/>
    <x v="414"/>
    <x v="368"/>
    <n v="4752"/>
  </r>
  <r>
    <s v="Coastal"/>
    <n v="2417"/>
    <s v="Galveston, TX"/>
    <n v="4189"/>
    <x v="65"/>
    <x v="10"/>
    <n v="3566"/>
    <x v="591"/>
    <x v="238"/>
    <n v="3566"/>
  </r>
  <r>
    <s v="Coastal"/>
    <n v="2417"/>
    <s v="Galveston, TX"/>
    <n v="5290"/>
    <x v="49"/>
    <x v="10"/>
    <n v="3490"/>
    <x v="592"/>
    <x v="369"/>
    <n v="3490"/>
  </r>
  <r>
    <s v="Coastal"/>
    <n v="2417"/>
    <s v="Galveston, TX"/>
    <n v="3299"/>
    <x v="79"/>
    <x v="546"/>
    <n v="1987"/>
    <x v="593"/>
    <x v="370"/>
    <n v="3415"/>
  </r>
  <r>
    <s v="Coastal"/>
    <n v="2417"/>
    <s v="Galveston, TX"/>
    <n v="6889"/>
    <x v="42"/>
    <x v="10"/>
    <n v="3301"/>
    <x v="594"/>
    <x v="371"/>
    <n v="3301"/>
  </r>
  <r>
    <s v="Coastal"/>
    <n v="2417"/>
    <s v="Galveston, TX"/>
    <n v="2429"/>
    <x v="17"/>
    <x v="547"/>
    <n v="0"/>
    <x v="0"/>
    <x v="0"/>
    <n v="3241"/>
  </r>
  <r>
    <s v="Coastal"/>
    <n v="2417"/>
    <s v="Galveston, TX"/>
    <n v="3120"/>
    <x v="41"/>
    <x v="548"/>
    <n v="0"/>
    <x v="0"/>
    <x v="0"/>
    <n v="3114"/>
  </r>
  <r>
    <s v="Coastal"/>
    <n v="2417"/>
    <s v="Galveston, TX"/>
    <n v="2221"/>
    <x v="9"/>
    <x v="448"/>
    <n v="0"/>
    <x v="0"/>
    <x v="0"/>
    <n v="3000"/>
  </r>
  <r>
    <s v="Coastal"/>
    <n v="2417"/>
    <s v="Galveston, TX"/>
    <n v="7500"/>
    <x v="60"/>
    <x v="10"/>
    <n v="2161"/>
    <x v="595"/>
    <x v="372"/>
    <n v="2161"/>
  </r>
  <r>
    <s v="Coastal"/>
    <n v="2417"/>
    <s v="Galveston, TX"/>
    <n v="7220"/>
    <x v="103"/>
    <x v="10"/>
    <n v="2150"/>
    <x v="596"/>
    <x v="373"/>
    <n v="2150"/>
  </r>
  <r>
    <s v="Coastal"/>
    <n v="2417"/>
    <s v="Galveston, TX"/>
    <n v="5422"/>
    <x v="66"/>
    <x v="10"/>
    <n v="1950"/>
    <x v="597"/>
    <x v="0"/>
    <n v="1950"/>
  </r>
  <r>
    <s v="Coastal"/>
    <n v="2417"/>
    <s v="Galveston, TX"/>
    <n v="6654"/>
    <x v="50"/>
    <x v="10"/>
    <n v="1901"/>
    <x v="132"/>
    <x v="222"/>
    <n v="1901"/>
  </r>
  <r>
    <s v="Coastal"/>
    <n v="2417"/>
    <s v="Galveston, TX"/>
    <n v="3282"/>
    <x v="91"/>
    <x v="10"/>
    <n v="1814"/>
    <x v="598"/>
    <x v="262"/>
    <n v="1814"/>
  </r>
  <r>
    <s v="Coastal"/>
    <n v="2417"/>
    <s v="Galveston, TX"/>
    <n v="3285"/>
    <x v="87"/>
    <x v="10"/>
    <n v="1728"/>
    <x v="599"/>
    <x v="374"/>
    <n v="1728"/>
  </r>
  <r>
    <s v="Coastal"/>
    <n v="2417"/>
    <s v="Galveston, TX"/>
    <n v="4690"/>
    <x v="62"/>
    <x v="10"/>
    <n v="1567"/>
    <x v="600"/>
    <x v="230"/>
    <n v="1567"/>
  </r>
  <r>
    <s v="Coastal"/>
    <n v="2417"/>
    <s v="Galveston, TX"/>
    <n v="5240"/>
    <x v="89"/>
    <x v="10"/>
    <n v="1128"/>
    <x v="601"/>
    <x v="375"/>
    <n v="1128"/>
  </r>
  <r>
    <s v="Coastal"/>
    <n v="2417"/>
    <s v="Galveston, TX"/>
    <n v="6858"/>
    <x v="74"/>
    <x v="10"/>
    <n v="743"/>
    <x v="602"/>
    <x v="376"/>
    <n v="743"/>
  </r>
  <r>
    <s v="Coastal"/>
    <n v="2417"/>
    <s v="Galveston, TX"/>
    <n v="6590"/>
    <x v="23"/>
    <x v="10"/>
    <n v="631"/>
    <x v="603"/>
    <x v="0"/>
    <n v="631"/>
  </r>
  <r>
    <s v="Coastal"/>
    <n v="2417"/>
    <s v="Galveston, TX"/>
    <n v="3293"/>
    <x v="122"/>
    <x v="10"/>
    <n v="609"/>
    <x v="145"/>
    <x v="377"/>
    <n v="609"/>
  </r>
  <r>
    <s v="Coastal"/>
    <n v="2417"/>
    <s v="Galveston, TX"/>
    <n v="5220"/>
    <x v="30"/>
    <x v="10"/>
    <n v="454"/>
    <x v="604"/>
    <x v="0"/>
    <n v="454"/>
  </r>
  <r>
    <s v="Coastal"/>
    <n v="2417"/>
    <s v="Galveston, TX"/>
    <n v="3240"/>
    <x v="53"/>
    <x v="10"/>
    <n v="428"/>
    <x v="418"/>
    <x v="378"/>
    <n v="428"/>
  </r>
  <r>
    <s v="Coastal"/>
    <n v="2417"/>
    <s v="Galveston, TX"/>
    <n v="6839"/>
    <x v="106"/>
    <x v="10"/>
    <n v="374"/>
    <x v="605"/>
    <x v="379"/>
    <n v="374"/>
  </r>
  <r>
    <s v="Coastal"/>
    <n v="2417"/>
    <s v="Galveston, TX"/>
    <n v="5330"/>
    <x v="16"/>
    <x v="10"/>
    <n v="347"/>
    <x v="606"/>
    <x v="380"/>
    <n v="347"/>
  </r>
  <r>
    <s v="Coastal"/>
    <n v="2417"/>
    <s v="Galveston, TX"/>
    <n v="6822"/>
    <x v="84"/>
    <x v="10"/>
    <n v="297"/>
    <x v="392"/>
    <x v="381"/>
    <n v="297"/>
  </r>
  <r>
    <s v="Coastal"/>
    <n v="2417"/>
    <s v="Galveston, TX"/>
    <n v="3297"/>
    <x v="116"/>
    <x v="10"/>
    <n v="289"/>
    <x v="208"/>
    <x v="382"/>
    <n v="289"/>
  </r>
  <r>
    <s v="Coastal"/>
    <n v="2417"/>
    <s v="Galveston, TX"/>
    <n v="5312"/>
    <x v="52"/>
    <x v="10"/>
    <n v="288"/>
    <x v="537"/>
    <x v="134"/>
    <n v="288"/>
  </r>
  <r>
    <s v="Coastal"/>
    <n v="2417"/>
    <s v="Galveston, TX"/>
    <n v="6885"/>
    <x v="72"/>
    <x v="10"/>
    <n v="277"/>
    <x v="503"/>
    <x v="207"/>
    <n v="277"/>
  </r>
  <r>
    <s v="Coastal"/>
    <n v="2417"/>
    <s v="Galveston, TX"/>
    <n v="7230"/>
    <x v="22"/>
    <x v="10"/>
    <n v="263"/>
    <x v="607"/>
    <x v="22"/>
    <n v="263"/>
  </r>
  <r>
    <s v="Coastal"/>
    <n v="2417"/>
    <s v="Galveston, TX"/>
    <n v="4670"/>
    <x v="90"/>
    <x v="10"/>
    <n v="247"/>
    <x v="608"/>
    <x v="0"/>
    <n v="247"/>
  </r>
  <r>
    <s v="Coastal"/>
    <n v="2417"/>
    <s v="Galveston, TX"/>
    <n v="5360"/>
    <x v="94"/>
    <x v="10"/>
    <n v="206"/>
    <x v="305"/>
    <x v="222"/>
    <n v="206"/>
  </r>
  <r>
    <s v="Coastal"/>
    <n v="2417"/>
    <s v="Galveston, TX"/>
    <n v="3291"/>
    <x v="117"/>
    <x v="10"/>
    <n v="198"/>
    <x v="609"/>
    <x v="256"/>
    <n v="198"/>
  </r>
  <r>
    <s v="Coastal"/>
    <n v="2417"/>
    <s v="Galveston, TX"/>
    <n v="6747"/>
    <x v="78"/>
    <x v="10"/>
    <n v="118"/>
    <x v="305"/>
    <x v="237"/>
    <n v="118"/>
  </r>
  <r>
    <s v="Coastal"/>
    <n v="2417"/>
    <s v="Galveston, TX"/>
    <n v="6653"/>
    <x v="24"/>
    <x v="10"/>
    <n v="99"/>
    <x v="610"/>
    <x v="383"/>
    <n v="99"/>
  </r>
  <r>
    <s v="Coastal"/>
    <n v="2417"/>
    <s v="Galveston, TX"/>
    <n v="3284"/>
    <x v="97"/>
    <x v="10"/>
    <n v="83"/>
    <x v="445"/>
    <x v="166"/>
    <n v="83"/>
  </r>
  <r>
    <s v="Coastal"/>
    <n v="2417"/>
    <s v="Galveston, TX"/>
    <n v="6442"/>
    <x v="85"/>
    <x v="10"/>
    <n v="79"/>
    <x v="307"/>
    <x v="0"/>
    <n v="79"/>
  </r>
  <r>
    <s v="Coastal"/>
    <n v="2417"/>
    <s v="Galveston, TX"/>
    <n v="6817"/>
    <x v="119"/>
    <x v="10"/>
    <n v="77"/>
    <x v="0"/>
    <x v="384"/>
    <n v="77"/>
  </r>
  <r>
    <s v="Coastal"/>
    <n v="2417"/>
    <s v="Galveston, TX"/>
    <n v="4420"/>
    <x v="8"/>
    <x v="10"/>
    <n v="72"/>
    <x v="611"/>
    <x v="0"/>
    <n v="72"/>
  </r>
  <r>
    <s v="Coastal"/>
    <n v="2417"/>
    <s v="Galveston, TX"/>
    <n v="4150"/>
    <x v="101"/>
    <x v="10"/>
    <n v="71"/>
    <x v="0"/>
    <x v="209"/>
    <n v="71"/>
  </r>
  <r>
    <s v="Coastal"/>
    <n v="2417"/>
    <s v="Galveston, TX"/>
    <n v="5390"/>
    <x v="44"/>
    <x v="10"/>
    <n v="65"/>
    <x v="207"/>
    <x v="26"/>
    <n v="65"/>
  </r>
  <r>
    <s v="Coastal"/>
    <n v="2417"/>
    <s v="Galveston, TX"/>
    <n v="4860"/>
    <x v="31"/>
    <x v="10"/>
    <n v="64"/>
    <x v="0"/>
    <x v="224"/>
    <n v="64"/>
  </r>
  <r>
    <s v="Coastal"/>
    <n v="2417"/>
    <s v="Galveston, TX"/>
    <n v="3279"/>
    <x v="58"/>
    <x v="10"/>
    <n v="56"/>
    <x v="19"/>
    <x v="385"/>
    <n v="56"/>
  </r>
  <r>
    <s v="Coastal"/>
    <n v="2417"/>
    <s v="Galveston, TX"/>
    <n v="4310"/>
    <x v="96"/>
    <x v="10"/>
    <n v="54"/>
    <x v="475"/>
    <x v="0"/>
    <n v="54"/>
  </r>
  <r>
    <s v="Coastal"/>
    <n v="2417"/>
    <s v="Galveston, TX"/>
    <n v="6861"/>
    <x v="69"/>
    <x v="10"/>
    <n v="53"/>
    <x v="412"/>
    <x v="0"/>
    <n v="53"/>
  </r>
  <r>
    <s v="Coastal"/>
    <n v="2417"/>
    <s v="Galveston, TX"/>
    <n v="4323"/>
    <x v="6"/>
    <x v="10"/>
    <n v="45"/>
    <x v="0"/>
    <x v="124"/>
    <n v="45"/>
  </r>
  <r>
    <s v="Coastal"/>
    <n v="2417"/>
    <s v="Galveston, TX"/>
    <n v="4650"/>
    <x v="67"/>
    <x v="10"/>
    <n v="40"/>
    <x v="612"/>
    <x v="263"/>
    <n v="40"/>
  </r>
  <r>
    <s v="Coastal"/>
    <n v="2417"/>
    <s v="Galveston, TX"/>
    <n v="6871"/>
    <x v="73"/>
    <x v="10"/>
    <n v="40"/>
    <x v="459"/>
    <x v="0"/>
    <n v="40"/>
  </r>
  <r>
    <s v="Coastal"/>
    <n v="2417"/>
    <s v="Galveston, TX"/>
    <n v="7300"/>
    <x v="115"/>
    <x v="10"/>
    <n v="37"/>
    <x v="613"/>
    <x v="0"/>
    <n v="37"/>
  </r>
  <r>
    <s v="Coastal"/>
    <n v="2417"/>
    <s v="Galveston, TX"/>
    <n v="6888"/>
    <x v="109"/>
    <x v="10"/>
    <n v="35"/>
    <x v="170"/>
    <x v="133"/>
    <n v="35"/>
  </r>
  <r>
    <s v="Coastal"/>
    <n v="2417"/>
    <s v="Galveston, TX"/>
    <n v="3283"/>
    <x v="111"/>
    <x v="10"/>
    <n v="32"/>
    <x v="152"/>
    <x v="0"/>
    <n v="32"/>
  </r>
  <r>
    <s v="Coastal"/>
    <n v="2417"/>
    <s v="Galveston, TX"/>
    <n v="6891"/>
    <x v="93"/>
    <x v="10"/>
    <n v="31"/>
    <x v="415"/>
    <x v="258"/>
    <n v="31"/>
  </r>
  <r>
    <s v="Coastal"/>
    <n v="2417"/>
    <s v="Galveston, TX"/>
    <n v="4783"/>
    <x v="7"/>
    <x v="10"/>
    <n v="30"/>
    <x v="523"/>
    <x v="0"/>
    <n v="30"/>
  </r>
  <r>
    <s v="Coastal"/>
    <n v="2417"/>
    <s v="Galveston, TX"/>
    <n v="3281"/>
    <x v="125"/>
    <x v="10"/>
    <n v="23"/>
    <x v="209"/>
    <x v="0"/>
    <n v="23"/>
  </r>
  <r>
    <s v="Coastal"/>
    <n v="2417"/>
    <s v="Galveston, TX"/>
    <n v="2410"/>
    <x v="98"/>
    <x v="10"/>
    <n v="22"/>
    <x v="210"/>
    <x v="0"/>
    <n v="22"/>
  </r>
  <r>
    <s v="Coastal"/>
    <n v="2417"/>
    <s v="Galveston, TX"/>
    <n v="3298"/>
    <x v="123"/>
    <x v="10"/>
    <n v="22"/>
    <x v="0"/>
    <x v="383"/>
    <n v="22"/>
  </r>
  <r>
    <s v="Coastal"/>
    <n v="2417"/>
    <s v="Galveston, TX"/>
    <n v="4680"/>
    <x v="70"/>
    <x v="10"/>
    <n v="21"/>
    <x v="154"/>
    <x v="0"/>
    <n v="21"/>
  </r>
  <r>
    <s v="Coastal"/>
    <n v="2417"/>
    <s v="Galveston, TX"/>
    <n v="6893"/>
    <x v="113"/>
    <x v="10"/>
    <n v="19"/>
    <x v="0"/>
    <x v="235"/>
    <n v="19"/>
  </r>
  <r>
    <s v="Coastal"/>
    <n v="2417"/>
    <s v="Galveston, TX"/>
    <n v="4225"/>
    <x v="10"/>
    <x v="10"/>
    <n v="11"/>
    <x v="14"/>
    <x v="0"/>
    <n v="11"/>
  </r>
  <r>
    <s v="Coastal"/>
    <n v="2417"/>
    <s v="Galveston, TX"/>
    <n v="6835"/>
    <x v="92"/>
    <x v="10"/>
    <n v="8"/>
    <x v="418"/>
    <x v="0"/>
    <n v="8"/>
  </r>
  <r>
    <s v="Coastal"/>
    <n v="2417"/>
    <s v="Galveston, TX"/>
    <n v="3274"/>
    <x v="86"/>
    <x v="10"/>
    <n v="7"/>
    <x v="311"/>
    <x v="0"/>
    <n v="7"/>
  </r>
  <r>
    <s v="Coastal"/>
    <n v="2417"/>
    <s v="Galveston, TX"/>
    <n v="3292"/>
    <x v="51"/>
    <x v="10"/>
    <n v="7"/>
    <x v="0"/>
    <x v="166"/>
    <n v="7"/>
  </r>
  <r>
    <s v="Coastal"/>
    <n v="2417"/>
    <s v="Galveston, TX"/>
    <n v="5429"/>
    <x v="61"/>
    <x v="10"/>
    <n v="6"/>
    <x v="207"/>
    <x v="0"/>
    <n v="6"/>
  </r>
  <r>
    <s v="Coastal"/>
    <n v="2417"/>
    <s v="Galveston, TX"/>
    <n v="4515"/>
    <x v="129"/>
    <x v="10"/>
    <n v="5"/>
    <x v="168"/>
    <x v="0"/>
    <n v="5"/>
  </r>
  <r>
    <s v="Coastal"/>
    <n v="2417"/>
    <s v="Galveston, TX"/>
    <n v="4190"/>
    <x v="99"/>
    <x v="10"/>
    <n v="3"/>
    <x v="393"/>
    <x v="0"/>
    <n v="3"/>
  </r>
  <r>
    <s v="Coastal"/>
    <n v="2417"/>
    <s v="Galveston, TX"/>
    <n v="6894"/>
    <x v="120"/>
    <x v="10"/>
    <n v="2"/>
    <x v="212"/>
    <x v="0"/>
    <n v="2"/>
  </r>
  <r>
    <s v="Coastal"/>
    <n v="2417"/>
    <s v="Galveston, TX"/>
    <n v="5320"/>
    <x v="13"/>
    <x v="10"/>
    <n v="1"/>
    <x v="19"/>
    <x v="0"/>
    <n v="1"/>
  </r>
  <r>
    <s v="Great Lakes"/>
    <n v="3794"/>
    <s v="Gladstone, MI"/>
    <n v="2430"/>
    <x v="11"/>
    <x v="549"/>
    <n v="0"/>
    <x v="0"/>
    <x v="0"/>
    <n v="27006"/>
  </r>
  <r>
    <s v="Coastal"/>
    <n v="91"/>
    <s v="Gloucester, MA"/>
    <n v="2330"/>
    <x v="1"/>
    <x v="550"/>
    <n v="0"/>
    <x v="0"/>
    <x v="0"/>
    <n v="4267"/>
  </r>
  <r>
    <s v="Great Lakes"/>
    <n v="3726"/>
    <s v="Grand Haven, MI"/>
    <n v="4860"/>
    <x v="31"/>
    <x v="551"/>
    <n v="0"/>
    <x v="0"/>
    <x v="0"/>
    <n v="526151"/>
  </r>
  <r>
    <s v="Great Lakes"/>
    <n v="3726"/>
    <s v="Grand Haven, MI"/>
    <n v="4331"/>
    <x v="29"/>
    <x v="552"/>
    <n v="111132"/>
    <x v="614"/>
    <x v="0"/>
    <n v="133663"/>
  </r>
  <r>
    <s v="Great Lakes"/>
    <n v="3726"/>
    <s v="Grand Haven, MI"/>
    <n v="4410"/>
    <x v="34"/>
    <x v="553"/>
    <n v="0"/>
    <x v="0"/>
    <x v="0"/>
    <n v="41766"/>
  </r>
  <r>
    <s v="Great Lakes"/>
    <n v="3726"/>
    <s v="Grand Haven, MI"/>
    <n v="4322"/>
    <x v="33"/>
    <x v="554"/>
    <n v="0"/>
    <x v="0"/>
    <x v="0"/>
    <n v="18639"/>
  </r>
  <r>
    <s v="Coastal"/>
    <n v="4709"/>
    <s v="Grays Harbor Port District, WA"/>
    <n v="6782"/>
    <x v="27"/>
    <x v="10"/>
    <n v="1618110"/>
    <x v="0"/>
    <x v="386"/>
    <n v="1618110"/>
  </r>
  <r>
    <s v="Coastal"/>
    <n v="4709"/>
    <s v="Grays Harbor Port District, WA"/>
    <n v="6653"/>
    <x v="24"/>
    <x v="10"/>
    <n v="74965"/>
    <x v="615"/>
    <x v="0"/>
    <n v="74965"/>
  </r>
  <r>
    <s v="Coastal"/>
    <n v="4709"/>
    <s v="Grays Harbor Port District, WA"/>
    <n v="4161"/>
    <x v="54"/>
    <x v="555"/>
    <n v="4"/>
    <x v="0"/>
    <x v="237"/>
    <n v="32139"/>
  </r>
  <r>
    <s v="Coastal"/>
    <n v="4709"/>
    <s v="Grays Harbor Port District, WA"/>
    <n v="4170"/>
    <x v="55"/>
    <x v="10"/>
    <n v="19970"/>
    <x v="0"/>
    <x v="387"/>
    <n v="19970"/>
  </r>
  <r>
    <s v="Coastal"/>
    <n v="4709"/>
    <s v="Grays Harbor Port District, WA"/>
    <n v="3286"/>
    <x v="57"/>
    <x v="10"/>
    <n v="5519"/>
    <x v="616"/>
    <x v="0"/>
    <n v="5519"/>
  </r>
  <r>
    <s v="Coastal"/>
    <n v="1910"/>
    <s v="Greater Lafourche Port, LA"/>
    <n v="7900"/>
    <x v="21"/>
    <x v="556"/>
    <n v="1654"/>
    <x v="447"/>
    <x v="388"/>
    <n v="3391814"/>
  </r>
  <r>
    <s v="Coastal"/>
    <n v="1910"/>
    <s v="Greater Lafourche Port, LA"/>
    <n v="7110"/>
    <x v="4"/>
    <x v="557"/>
    <n v="7188"/>
    <x v="617"/>
    <x v="389"/>
    <n v="1235170"/>
  </r>
  <r>
    <s v="Coastal"/>
    <n v="1910"/>
    <s v="Greater Lafourche Port, LA"/>
    <n v="2330"/>
    <x v="1"/>
    <x v="558"/>
    <n v="577"/>
    <x v="0"/>
    <x v="390"/>
    <n v="760498"/>
  </r>
  <r>
    <s v="Coastal"/>
    <n v="1910"/>
    <s v="Greater Lafourche Port, LA"/>
    <n v="4900"/>
    <x v="14"/>
    <x v="559"/>
    <n v="1102"/>
    <x v="0"/>
    <x v="391"/>
    <n v="402595"/>
  </r>
  <r>
    <s v="Coastal"/>
    <n v="1910"/>
    <s v="Greater Lafourche Port, LA"/>
    <n v="3299"/>
    <x v="79"/>
    <x v="560"/>
    <n v="575"/>
    <x v="0"/>
    <x v="392"/>
    <n v="221194"/>
  </r>
  <r>
    <s v="Coastal"/>
    <n v="1910"/>
    <s v="Greater Lafourche Port, LA"/>
    <n v="4782"/>
    <x v="45"/>
    <x v="561"/>
    <n v="0"/>
    <x v="0"/>
    <x v="0"/>
    <n v="131733"/>
  </r>
  <r>
    <s v="Coastal"/>
    <n v="1910"/>
    <s v="Greater Lafourche Port, LA"/>
    <n v="4783"/>
    <x v="7"/>
    <x v="562"/>
    <n v="5286"/>
    <x v="618"/>
    <x v="0"/>
    <n v="67665"/>
  </r>
  <r>
    <s v="Coastal"/>
    <n v="1910"/>
    <s v="Greater Lafourche Port, LA"/>
    <n v="2340"/>
    <x v="3"/>
    <x v="563"/>
    <n v="1295"/>
    <x v="0"/>
    <x v="393"/>
    <n v="56018"/>
  </r>
  <r>
    <s v="Coastal"/>
    <n v="1910"/>
    <s v="Greater Lafourche Port, LA"/>
    <n v="8900"/>
    <x v="139"/>
    <x v="564"/>
    <n v="0"/>
    <x v="0"/>
    <x v="0"/>
    <n v="52589"/>
  </r>
  <r>
    <s v="Coastal"/>
    <n v="1910"/>
    <s v="Greater Lafourche Port, LA"/>
    <n v="4322"/>
    <x v="33"/>
    <x v="565"/>
    <n v="0"/>
    <x v="0"/>
    <x v="0"/>
    <n v="48482"/>
  </r>
  <r>
    <s v="Coastal"/>
    <n v="1910"/>
    <s v="Greater Lafourche Port, LA"/>
    <n v="3276"/>
    <x v="12"/>
    <x v="566"/>
    <n v="8"/>
    <x v="0"/>
    <x v="232"/>
    <n v="43222"/>
  </r>
  <r>
    <s v="Coastal"/>
    <n v="1910"/>
    <s v="Greater Lafourche Port, LA"/>
    <n v="2350"/>
    <x v="40"/>
    <x v="567"/>
    <n v="374"/>
    <x v="0"/>
    <x v="394"/>
    <n v="23661"/>
  </r>
  <r>
    <s v="Coastal"/>
    <n v="1910"/>
    <s v="Greater Lafourche Port, LA"/>
    <n v="4331"/>
    <x v="29"/>
    <x v="568"/>
    <n v="105"/>
    <x v="0"/>
    <x v="229"/>
    <n v="21779"/>
  </r>
  <r>
    <s v="Coastal"/>
    <n v="1910"/>
    <s v="Greater Lafourche Port, LA"/>
    <n v="3211"/>
    <x v="124"/>
    <x v="569"/>
    <n v="682"/>
    <x v="0"/>
    <x v="395"/>
    <n v="21464"/>
  </r>
  <r>
    <s v="Coastal"/>
    <n v="1910"/>
    <s v="Greater Lafourche Port, LA"/>
    <n v="6782"/>
    <x v="27"/>
    <x v="570"/>
    <n v="0"/>
    <x v="0"/>
    <x v="0"/>
    <n v="14775"/>
  </r>
  <r>
    <s v="Coastal"/>
    <n v="1910"/>
    <s v="Greater Lafourche Port, LA"/>
    <n v="6888"/>
    <x v="109"/>
    <x v="571"/>
    <n v="0"/>
    <x v="0"/>
    <x v="0"/>
    <n v="9919"/>
  </r>
  <r>
    <s v="Coastal"/>
    <n v="1910"/>
    <s v="Greater Lafourche Port, LA"/>
    <n v="4420"/>
    <x v="8"/>
    <x v="572"/>
    <n v="13"/>
    <x v="453"/>
    <x v="0"/>
    <n v="7637"/>
  </r>
  <r>
    <s v="Coastal"/>
    <n v="1910"/>
    <s v="Greater Lafourche Port, LA"/>
    <n v="5220"/>
    <x v="30"/>
    <x v="573"/>
    <n v="0"/>
    <x v="0"/>
    <x v="0"/>
    <n v="5261"/>
  </r>
  <r>
    <s v="Coastal"/>
    <n v="1910"/>
    <s v="Greater Lafourche Port, LA"/>
    <n v="5480"/>
    <x v="20"/>
    <x v="574"/>
    <n v="3861"/>
    <x v="294"/>
    <x v="396"/>
    <n v="4256"/>
  </r>
  <r>
    <s v="Coastal"/>
    <n v="1910"/>
    <s v="Greater Lafourche Port, LA"/>
    <n v="9900"/>
    <x v="18"/>
    <x v="10"/>
    <n v="3668"/>
    <x v="619"/>
    <x v="271"/>
    <n v="3668"/>
  </r>
  <r>
    <s v="Coastal"/>
    <n v="1910"/>
    <s v="Greater Lafourche Port, LA"/>
    <n v="2100"/>
    <x v="35"/>
    <x v="575"/>
    <n v="0"/>
    <x v="0"/>
    <x v="0"/>
    <n v="3504"/>
  </r>
  <r>
    <s v="Coastal"/>
    <n v="1910"/>
    <s v="Greater Lafourche Port, LA"/>
    <n v="7230"/>
    <x v="22"/>
    <x v="10"/>
    <n v="2760"/>
    <x v="212"/>
    <x v="397"/>
    <n v="2760"/>
  </r>
  <r>
    <s v="Coastal"/>
    <n v="1910"/>
    <s v="Greater Lafourche Port, LA"/>
    <n v="4335"/>
    <x v="5"/>
    <x v="576"/>
    <n v="0"/>
    <x v="0"/>
    <x v="0"/>
    <n v="1794"/>
  </r>
  <r>
    <s v="Coastal"/>
    <n v="1910"/>
    <s v="Greater Lafourche Port, LA"/>
    <n v="5370"/>
    <x v="81"/>
    <x v="577"/>
    <n v="140"/>
    <x v="418"/>
    <x v="398"/>
    <n v="890"/>
  </r>
  <r>
    <s v="Coastal"/>
    <n v="1910"/>
    <s v="Greater Lafourche Port, LA"/>
    <n v="7500"/>
    <x v="60"/>
    <x v="10"/>
    <n v="856"/>
    <x v="620"/>
    <x v="399"/>
    <n v="856"/>
  </r>
  <r>
    <s v="Coastal"/>
    <n v="1910"/>
    <s v="Greater Lafourche Port, LA"/>
    <n v="7120"/>
    <x v="71"/>
    <x v="10"/>
    <n v="773"/>
    <x v="555"/>
    <x v="400"/>
    <n v="773"/>
  </r>
  <r>
    <s v="Coastal"/>
    <n v="1910"/>
    <s v="Greater Lafourche Port, LA"/>
    <n v="3275"/>
    <x v="47"/>
    <x v="10"/>
    <n v="345"/>
    <x v="0"/>
    <x v="401"/>
    <n v="345"/>
  </r>
  <r>
    <s v="Coastal"/>
    <n v="1910"/>
    <s v="Greater Lafourche Port, LA"/>
    <n v="3220"/>
    <x v="2"/>
    <x v="10"/>
    <n v="249"/>
    <x v="0"/>
    <x v="402"/>
    <n v="249"/>
  </r>
  <r>
    <s v="Coastal"/>
    <n v="1910"/>
    <s v="Greater Lafourche Port, LA"/>
    <n v="1100"/>
    <x v="32"/>
    <x v="10"/>
    <n v="185"/>
    <x v="0"/>
    <x v="403"/>
    <n v="185"/>
  </r>
  <r>
    <s v="Coastal"/>
    <n v="1910"/>
    <s v="Greater Lafourche Port, LA"/>
    <n v="5290"/>
    <x v="49"/>
    <x v="10"/>
    <n v="181"/>
    <x v="0"/>
    <x v="111"/>
    <n v="181"/>
  </r>
  <r>
    <s v="Coastal"/>
    <n v="1910"/>
    <s v="Greater Lafourche Port, LA"/>
    <n v="5330"/>
    <x v="16"/>
    <x v="10"/>
    <n v="162"/>
    <x v="0"/>
    <x v="404"/>
    <n v="162"/>
  </r>
  <r>
    <s v="Coastal"/>
    <n v="1910"/>
    <s v="Greater Lafourche Port, LA"/>
    <n v="5320"/>
    <x v="13"/>
    <x v="10"/>
    <n v="118"/>
    <x v="0"/>
    <x v="405"/>
    <n v="118"/>
  </r>
  <r>
    <s v="Coastal"/>
    <n v="1910"/>
    <s v="Greater Lafourche Port, LA"/>
    <n v="2430"/>
    <x v="11"/>
    <x v="578"/>
    <n v="0"/>
    <x v="0"/>
    <x v="0"/>
    <n v="102"/>
  </r>
  <r>
    <s v="Coastal"/>
    <n v="1910"/>
    <s v="Greater Lafourche Port, LA"/>
    <n v="7210"/>
    <x v="59"/>
    <x v="10"/>
    <n v="96"/>
    <x v="0"/>
    <x v="406"/>
    <n v="96"/>
  </r>
  <r>
    <s v="Coastal"/>
    <n v="1910"/>
    <s v="Greater Lafourche Port, LA"/>
    <n v="5421"/>
    <x v="88"/>
    <x v="10"/>
    <n v="88"/>
    <x v="0"/>
    <x v="22"/>
    <n v="88"/>
  </r>
  <r>
    <s v="Coastal"/>
    <n v="1910"/>
    <s v="Greater Lafourche Port, LA"/>
    <n v="5390"/>
    <x v="44"/>
    <x v="10"/>
    <n v="83"/>
    <x v="0"/>
    <x v="407"/>
    <n v="83"/>
  </r>
  <r>
    <s v="Coastal"/>
    <n v="1910"/>
    <s v="Greater Lafourche Port, LA"/>
    <n v="7600"/>
    <x v="68"/>
    <x v="10"/>
    <n v="73"/>
    <x v="621"/>
    <x v="271"/>
    <n v="73"/>
  </r>
  <r>
    <s v="Coastal"/>
    <n v="1910"/>
    <s v="Greater Lafourche Port, LA"/>
    <n v="3286"/>
    <x v="57"/>
    <x v="10"/>
    <n v="70"/>
    <x v="0"/>
    <x v="408"/>
    <n v="70"/>
  </r>
  <r>
    <s v="Coastal"/>
    <n v="1910"/>
    <s v="Greater Lafourche Port, LA"/>
    <n v="2211"/>
    <x v="0"/>
    <x v="10"/>
    <n v="60"/>
    <x v="0"/>
    <x v="268"/>
    <n v="60"/>
  </r>
  <r>
    <s v="Coastal"/>
    <n v="1910"/>
    <s v="Greater Lafourche Port, LA"/>
    <n v="6654"/>
    <x v="50"/>
    <x v="10"/>
    <n v="55"/>
    <x v="0"/>
    <x v="385"/>
    <n v="55"/>
  </r>
  <r>
    <s v="Coastal"/>
    <n v="1910"/>
    <s v="Greater Lafourche Port, LA"/>
    <n v="6747"/>
    <x v="78"/>
    <x v="10"/>
    <n v="44"/>
    <x v="308"/>
    <x v="0"/>
    <n v="44"/>
  </r>
  <r>
    <s v="Coastal"/>
    <n v="1910"/>
    <s v="Greater Lafourche Port, LA"/>
    <n v="5190"/>
    <x v="83"/>
    <x v="10"/>
    <n v="34"/>
    <x v="0"/>
    <x v="409"/>
    <n v="34"/>
  </r>
  <r>
    <s v="Coastal"/>
    <n v="1910"/>
    <s v="Greater Lafourche Port, LA"/>
    <n v="5360"/>
    <x v="94"/>
    <x v="10"/>
    <n v="33"/>
    <x v="0"/>
    <x v="205"/>
    <n v="33"/>
  </r>
  <r>
    <s v="Coastal"/>
    <n v="1910"/>
    <s v="Greater Lafourche Port, LA"/>
    <n v="4189"/>
    <x v="65"/>
    <x v="10"/>
    <n v="32"/>
    <x v="0"/>
    <x v="410"/>
    <n v="32"/>
  </r>
  <r>
    <s v="Coastal"/>
    <n v="1910"/>
    <s v="Greater Lafourche Port, LA"/>
    <n v="6839"/>
    <x v="106"/>
    <x v="10"/>
    <n v="23"/>
    <x v="0"/>
    <x v="86"/>
    <n v="23"/>
  </r>
  <r>
    <s v="Coastal"/>
    <n v="1910"/>
    <s v="Greater Lafourche Port, LA"/>
    <n v="6858"/>
    <x v="74"/>
    <x v="10"/>
    <n v="21"/>
    <x v="154"/>
    <x v="0"/>
    <n v="21"/>
  </r>
  <r>
    <s v="Coastal"/>
    <n v="1910"/>
    <s v="Greater Lafourche Port, LA"/>
    <n v="6889"/>
    <x v="42"/>
    <x v="10"/>
    <n v="21"/>
    <x v="417"/>
    <x v="284"/>
    <n v="21"/>
  </r>
  <r>
    <s v="Coastal"/>
    <n v="1910"/>
    <s v="Greater Lafourche Port, LA"/>
    <n v="3297"/>
    <x v="116"/>
    <x v="10"/>
    <n v="15"/>
    <x v="0"/>
    <x v="220"/>
    <n v="15"/>
  </r>
  <r>
    <s v="Coastal"/>
    <n v="1910"/>
    <s v="Greater Lafourche Port, LA"/>
    <n v="2640"/>
    <x v="110"/>
    <x v="10"/>
    <n v="14"/>
    <x v="0"/>
    <x v="411"/>
    <n v="14"/>
  </r>
  <r>
    <s v="Coastal"/>
    <n v="1910"/>
    <s v="Greater Lafourche Port, LA"/>
    <n v="3282"/>
    <x v="91"/>
    <x v="10"/>
    <n v="11"/>
    <x v="0"/>
    <x v="274"/>
    <n v="11"/>
  </r>
  <r>
    <s v="Coastal"/>
    <n v="1910"/>
    <s v="Greater Lafourche Port, LA"/>
    <n v="4190"/>
    <x v="99"/>
    <x v="10"/>
    <n v="11"/>
    <x v="0"/>
    <x v="274"/>
    <n v="11"/>
  </r>
  <r>
    <s v="Coastal"/>
    <n v="1910"/>
    <s v="Greater Lafourche Port, LA"/>
    <n v="5240"/>
    <x v="89"/>
    <x v="10"/>
    <n v="11"/>
    <x v="14"/>
    <x v="0"/>
    <n v="11"/>
  </r>
  <r>
    <s v="Coastal"/>
    <n v="1910"/>
    <s v="Greater Lafourche Port, LA"/>
    <n v="5120"/>
    <x v="63"/>
    <x v="10"/>
    <n v="6"/>
    <x v="0"/>
    <x v="131"/>
    <n v="6"/>
  </r>
  <r>
    <s v="Coastal"/>
    <n v="1910"/>
    <s v="Greater Lafourche Port, LA"/>
    <n v="4170"/>
    <x v="55"/>
    <x v="10"/>
    <n v="3"/>
    <x v="0"/>
    <x v="128"/>
    <n v="3"/>
  </r>
  <r>
    <s v="Coastal"/>
    <n v="1910"/>
    <s v="Greater Lafourche Port, LA"/>
    <n v="2429"/>
    <x v="17"/>
    <x v="10"/>
    <n v="2"/>
    <x v="0"/>
    <x v="284"/>
    <n v="2"/>
  </r>
  <r>
    <s v="Coastal"/>
    <n v="1910"/>
    <s v="Greater Lafourche Port, LA"/>
    <n v="2990"/>
    <x v="102"/>
    <x v="10"/>
    <n v="2"/>
    <x v="0"/>
    <x v="284"/>
    <n v="2"/>
  </r>
  <r>
    <s v="Coastal"/>
    <n v="1910"/>
    <s v="Greater Lafourche Port, LA"/>
    <n v="5540"/>
    <x v="64"/>
    <x v="10"/>
    <n v="2"/>
    <x v="0"/>
    <x v="284"/>
    <n v="2"/>
  </r>
  <r>
    <s v="Coastal"/>
    <n v="1910"/>
    <s v="Greater Lafourche Port, LA"/>
    <n v="6811"/>
    <x v="76"/>
    <x v="10"/>
    <n v="2"/>
    <x v="0"/>
    <x v="284"/>
    <n v="2"/>
  </r>
  <r>
    <s v="Coastal"/>
    <n v="1910"/>
    <s v="Greater Lafourche Port, LA"/>
    <n v="3285"/>
    <x v="87"/>
    <x v="10"/>
    <n v="1"/>
    <x v="0"/>
    <x v="276"/>
    <n v="1"/>
  </r>
  <r>
    <s v="Coastal"/>
    <n v="1910"/>
    <s v="Greater Lafourche Port, LA"/>
    <n v="3292"/>
    <x v="51"/>
    <x v="10"/>
    <n v="1"/>
    <x v="0"/>
    <x v="276"/>
    <n v="1"/>
  </r>
  <r>
    <s v="Coastal"/>
    <n v="1910"/>
    <s v="Greater Lafourche Port, LA"/>
    <n v="4650"/>
    <x v="67"/>
    <x v="10"/>
    <n v="1"/>
    <x v="0"/>
    <x v="276"/>
    <n v="1"/>
  </r>
  <r>
    <s v="Coastal"/>
    <n v="1910"/>
    <s v="Greater Lafourche Port, LA"/>
    <n v="5422"/>
    <x v="66"/>
    <x v="10"/>
    <n v="1"/>
    <x v="0"/>
    <x v="276"/>
    <n v="1"/>
  </r>
  <r>
    <s v="Great Lakes"/>
    <n v="3778"/>
    <s v="Green Bay, WI"/>
    <n v="4322"/>
    <x v="33"/>
    <x v="579"/>
    <n v="26455"/>
    <x v="547"/>
    <x v="0"/>
    <n v="606027"/>
  </r>
  <r>
    <s v="Great Lakes"/>
    <n v="3778"/>
    <s v="Green Bay, WI"/>
    <n v="5220"/>
    <x v="30"/>
    <x v="580"/>
    <n v="0"/>
    <x v="0"/>
    <x v="0"/>
    <n v="412243"/>
  </r>
  <r>
    <s v="Great Lakes"/>
    <n v="3778"/>
    <s v="Green Bay, WI"/>
    <n v="2211"/>
    <x v="0"/>
    <x v="581"/>
    <n v="197305"/>
    <x v="622"/>
    <x v="0"/>
    <n v="313782"/>
  </r>
  <r>
    <s v="Great Lakes"/>
    <n v="3778"/>
    <s v="Green Bay, WI"/>
    <n v="4783"/>
    <x v="7"/>
    <x v="582"/>
    <n v="228324"/>
    <x v="623"/>
    <x v="0"/>
    <n v="280546"/>
  </r>
  <r>
    <s v="Great Lakes"/>
    <n v="3778"/>
    <s v="Green Bay, WI"/>
    <n v="2330"/>
    <x v="1"/>
    <x v="583"/>
    <n v="220196"/>
    <x v="624"/>
    <x v="0"/>
    <n v="237823"/>
  </r>
  <r>
    <s v="Great Lakes"/>
    <n v="3778"/>
    <s v="Green Bay, WI"/>
    <n v="1100"/>
    <x v="32"/>
    <x v="584"/>
    <n v="0"/>
    <x v="0"/>
    <x v="0"/>
    <n v="158579"/>
  </r>
  <r>
    <s v="Great Lakes"/>
    <n v="3778"/>
    <s v="Green Bay, WI"/>
    <n v="4323"/>
    <x v="6"/>
    <x v="585"/>
    <n v="0"/>
    <x v="0"/>
    <x v="0"/>
    <n v="42556"/>
  </r>
  <r>
    <s v="Great Lakes"/>
    <n v="3778"/>
    <s v="Green Bay, WI"/>
    <n v="4225"/>
    <x v="10"/>
    <x v="10"/>
    <n v="39066"/>
    <x v="625"/>
    <x v="0"/>
    <n v="39066"/>
  </r>
  <r>
    <s v="Great Lakes"/>
    <n v="3778"/>
    <s v="Green Bay, WI"/>
    <n v="4331"/>
    <x v="29"/>
    <x v="10"/>
    <n v="34209"/>
    <x v="626"/>
    <x v="0"/>
    <n v="34209"/>
  </r>
  <r>
    <s v="Great Lakes"/>
    <n v="3778"/>
    <s v="Green Bay, WI"/>
    <n v="4782"/>
    <x v="45"/>
    <x v="10"/>
    <n v="28238"/>
    <x v="627"/>
    <x v="0"/>
    <n v="28238"/>
  </r>
  <r>
    <s v="Great Lakes"/>
    <n v="3778"/>
    <s v="Green Bay, WI"/>
    <n v="4860"/>
    <x v="31"/>
    <x v="586"/>
    <n v="7716"/>
    <x v="628"/>
    <x v="0"/>
    <n v="19827"/>
  </r>
  <r>
    <s v="Great Lakes"/>
    <n v="3778"/>
    <s v="Green Bay, WI"/>
    <n v="3220"/>
    <x v="2"/>
    <x v="587"/>
    <n v="0"/>
    <x v="0"/>
    <x v="0"/>
    <n v="18947"/>
  </r>
  <r>
    <s v="Great Lakes"/>
    <n v="3778"/>
    <s v="Green Bay, WI"/>
    <n v="2430"/>
    <x v="11"/>
    <x v="588"/>
    <n v="0"/>
    <x v="0"/>
    <x v="0"/>
    <n v="7191"/>
  </r>
  <r>
    <s v="Great Lakes"/>
    <n v="3778"/>
    <s v="Green Bay, WI"/>
    <n v="7900"/>
    <x v="21"/>
    <x v="10"/>
    <n v="2996"/>
    <x v="629"/>
    <x v="0"/>
    <n v="2996"/>
  </r>
  <r>
    <s v="Great Lakes"/>
    <n v="3778"/>
    <s v="Green Bay, WI"/>
    <n v="5422"/>
    <x v="66"/>
    <x v="589"/>
    <n v="0"/>
    <x v="0"/>
    <x v="0"/>
    <n v="100"/>
  </r>
  <r>
    <s v="Coastal"/>
    <n v="1981"/>
    <s v="Guayama, PR"/>
    <n v="4860"/>
    <x v="31"/>
    <x v="590"/>
    <n v="0"/>
    <x v="0"/>
    <x v="0"/>
    <n v="230276"/>
  </r>
  <r>
    <s v="Coastal"/>
    <n v="1981"/>
    <s v="Guayama, PR"/>
    <n v="4331"/>
    <x v="29"/>
    <x v="591"/>
    <n v="0"/>
    <x v="0"/>
    <x v="0"/>
    <n v="200881"/>
  </r>
  <r>
    <s v="Coastal"/>
    <n v="1980"/>
    <s v="Guayanilla, PR"/>
    <n v="2640"/>
    <x v="110"/>
    <x v="10"/>
    <n v="679167"/>
    <x v="630"/>
    <x v="0"/>
    <n v="679167"/>
  </r>
  <r>
    <s v="Coastal"/>
    <n v="1980"/>
    <s v="Guayanilla, PR"/>
    <n v="2330"/>
    <x v="1"/>
    <x v="10"/>
    <n v="230302"/>
    <x v="631"/>
    <x v="0"/>
    <n v="230302"/>
  </r>
  <r>
    <s v="Coastal"/>
    <n v="1980"/>
    <s v="Guayanilla, PR"/>
    <n v="2211"/>
    <x v="0"/>
    <x v="10"/>
    <n v="66249"/>
    <x v="632"/>
    <x v="0"/>
    <n v="66249"/>
  </r>
  <r>
    <s v="Coastal"/>
    <n v="1980"/>
    <s v="Guayanilla, PR"/>
    <n v="6865"/>
    <x v="75"/>
    <x v="10"/>
    <n v="42701"/>
    <x v="633"/>
    <x v="0"/>
    <n v="42701"/>
  </r>
  <r>
    <s v="Coastal"/>
    <n v="1980"/>
    <s v="Guayanilla, PR"/>
    <n v="4900"/>
    <x v="14"/>
    <x v="10"/>
    <n v="13100"/>
    <x v="634"/>
    <x v="0"/>
    <n v="13100"/>
  </r>
  <r>
    <s v="Coastal"/>
    <n v="1980"/>
    <s v="Guayanilla, PR"/>
    <n v="7900"/>
    <x v="21"/>
    <x v="10"/>
    <n v="553"/>
    <x v="635"/>
    <x v="0"/>
    <n v="553"/>
  </r>
  <r>
    <s v="Coastal"/>
    <n v="1912"/>
    <s v="Guaynabo, PR"/>
    <n v="2330"/>
    <x v="1"/>
    <x v="592"/>
    <n v="350638"/>
    <x v="636"/>
    <x v="412"/>
    <n v="568173"/>
  </r>
  <r>
    <s v="Coastal"/>
    <n v="1912"/>
    <s v="Guaynabo, PR"/>
    <n v="2211"/>
    <x v="0"/>
    <x v="10"/>
    <n v="344471"/>
    <x v="637"/>
    <x v="413"/>
    <n v="344471"/>
  </r>
  <r>
    <s v="Coastal"/>
    <n v="1912"/>
    <s v="Guaynabo, PR"/>
    <n v="2221"/>
    <x v="9"/>
    <x v="10"/>
    <n v="211144"/>
    <x v="638"/>
    <x v="414"/>
    <n v="211144"/>
  </r>
  <r>
    <s v="Coastal"/>
    <n v="1912"/>
    <s v="Guaynabo, PR"/>
    <n v="6344"/>
    <x v="25"/>
    <x v="10"/>
    <n v="107797"/>
    <x v="639"/>
    <x v="0"/>
    <n v="107797"/>
  </r>
  <r>
    <s v="Coastal"/>
    <n v="1912"/>
    <s v="Guaynabo, PR"/>
    <n v="6747"/>
    <x v="78"/>
    <x v="593"/>
    <n v="0"/>
    <x v="0"/>
    <x v="0"/>
    <n v="74409"/>
  </r>
  <r>
    <s v="Coastal"/>
    <n v="1912"/>
    <s v="Guaynabo, PR"/>
    <n v="2340"/>
    <x v="3"/>
    <x v="10"/>
    <n v="72590"/>
    <x v="640"/>
    <x v="0"/>
    <n v="72590"/>
  </r>
  <r>
    <s v="Coastal"/>
    <n v="1912"/>
    <s v="Guaynabo, PR"/>
    <n v="6782"/>
    <x v="27"/>
    <x v="10"/>
    <n v="62171"/>
    <x v="641"/>
    <x v="0"/>
    <n v="62171"/>
  </r>
  <r>
    <s v="Coastal"/>
    <n v="1912"/>
    <s v="Guaynabo, PR"/>
    <n v="6241"/>
    <x v="28"/>
    <x v="10"/>
    <n v="35127"/>
    <x v="642"/>
    <x v="0"/>
    <n v="35127"/>
  </r>
  <r>
    <s v="Coastal"/>
    <n v="1912"/>
    <s v="Guaynabo, PR"/>
    <n v="2640"/>
    <x v="110"/>
    <x v="10"/>
    <n v="32588"/>
    <x v="643"/>
    <x v="0"/>
    <n v="32588"/>
  </r>
  <r>
    <s v="Coastal"/>
    <n v="1912"/>
    <s v="Guaynabo, PR"/>
    <n v="6654"/>
    <x v="50"/>
    <x v="10"/>
    <n v="32017"/>
    <x v="644"/>
    <x v="0"/>
    <n v="32017"/>
  </r>
  <r>
    <s v="Coastal"/>
    <n v="1912"/>
    <s v="Guaynabo, PR"/>
    <n v="6442"/>
    <x v="85"/>
    <x v="10"/>
    <n v="23149"/>
    <x v="338"/>
    <x v="0"/>
    <n v="23149"/>
  </r>
  <r>
    <s v="Coastal"/>
    <n v="1912"/>
    <s v="Guaynabo, PR"/>
    <n v="6445"/>
    <x v="136"/>
    <x v="10"/>
    <n v="6333"/>
    <x v="645"/>
    <x v="0"/>
    <n v="6333"/>
  </r>
  <r>
    <s v="Coastal"/>
    <n v="1912"/>
    <s v="Guaynabo, PR"/>
    <n v="7110"/>
    <x v="4"/>
    <x v="10"/>
    <n v="5304"/>
    <x v="646"/>
    <x v="0"/>
    <n v="5304"/>
  </r>
  <r>
    <s v="Coastal"/>
    <n v="1912"/>
    <s v="Guaynabo, PR"/>
    <n v="4650"/>
    <x v="67"/>
    <x v="10"/>
    <n v="4862"/>
    <x v="647"/>
    <x v="0"/>
    <n v="4862"/>
  </r>
  <r>
    <s v="Coastal"/>
    <n v="1912"/>
    <s v="Guaynabo, PR"/>
    <n v="7900"/>
    <x v="21"/>
    <x v="594"/>
    <n v="0"/>
    <x v="0"/>
    <x v="0"/>
    <n v="625"/>
  </r>
  <r>
    <s v="Coastal"/>
    <n v="1912"/>
    <s v="Guaynabo, PR"/>
    <n v="7210"/>
    <x v="59"/>
    <x v="412"/>
    <n v="0"/>
    <x v="0"/>
    <x v="0"/>
    <n v="79"/>
  </r>
  <r>
    <s v="Internal"/>
    <n v="2371"/>
    <s v="Guntersville, AL"/>
    <n v="6344"/>
    <x v="25"/>
    <x v="595"/>
    <n v="0"/>
    <x v="0"/>
    <x v="0"/>
    <n v="728220"/>
  </r>
  <r>
    <s v="Internal"/>
    <n v="2371"/>
    <s v="Guntersville, AL"/>
    <n v="6522"/>
    <x v="26"/>
    <x v="596"/>
    <n v="0"/>
    <x v="0"/>
    <x v="0"/>
    <n v="441721"/>
  </r>
  <r>
    <s v="Internal"/>
    <n v="2371"/>
    <s v="Guntersville, AL"/>
    <n v="6653"/>
    <x v="24"/>
    <x v="597"/>
    <n v="0"/>
    <x v="0"/>
    <x v="0"/>
    <n v="117579"/>
  </r>
  <r>
    <s v="Internal"/>
    <n v="2371"/>
    <s v="Guntersville, AL"/>
    <n v="3274"/>
    <x v="86"/>
    <x v="598"/>
    <n v="0"/>
    <x v="0"/>
    <x v="0"/>
    <n v="79239"/>
  </r>
  <r>
    <s v="Internal"/>
    <n v="2371"/>
    <s v="Guntersville, AL"/>
    <n v="6590"/>
    <x v="23"/>
    <x v="599"/>
    <n v="0"/>
    <x v="0"/>
    <x v="0"/>
    <n v="61246"/>
  </r>
  <r>
    <s v="Internal"/>
    <n v="2371"/>
    <s v="Guntersville, AL"/>
    <n v="4323"/>
    <x v="6"/>
    <x v="600"/>
    <n v="0"/>
    <x v="0"/>
    <x v="0"/>
    <n v="56580"/>
  </r>
  <r>
    <s v="Internal"/>
    <n v="2371"/>
    <s v="Guntersville, AL"/>
    <n v="5312"/>
    <x v="52"/>
    <x v="601"/>
    <n v="0"/>
    <x v="0"/>
    <x v="0"/>
    <n v="27953"/>
  </r>
  <r>
    <s v="Internal"/>
    <n v="2371"/>
    <s v="Guntersville, AL"/>
    <n v="3120"/>
    <x v="41"/>
    <x v="602"/>
    <n v="0"/>
    <x v="0"/>
    <x v="0"/>
    <n v="27465"/>
  </r>
  <r>
    <s v="Internal"/>
    <n v="2371"/>
    <s v="Guntersville, AL"/>
    <n v="1100"/>
    <x v="32"/>
    <x v="603"/>
    <n v="0"/>
    <x v="0"/>
    <x v="0"/>
    <n v="26034"/>
  </r>
  <r>
    <s v="Internal"/>
    <n v="2371"/>
    <s v="Guntersville, AL"/>
    <n v="4331"/>
    <x v="29"/>
    <x v="604"/>
    <n v="0"/>
    <x v="0"/>
    <x v="0"/>
    <n v="23054"/>
  </r>
  <r>
    <s v="Internal"/>
    <n v="2371"/>
    <s v="Guntersville, AL"/>
    <n v="6241"/>
    <x v="28"/>
    <x v="605"/>
    <n v="0"/>
    <x v="0"/>
    <x v="0"/>
    <n v="18437"/>
  </r>
  <r>
    <s v="Internal"/>
    <n v="2371"/>
    <s v="Guntersville, AL"/>
    <n v="1200"/>
    <x v="43"/>
    <x v="606"/>
    <n v="0"/>
    <x v="0"/>
    <x v="0"/>
    <n v="17826"/>
  </r>
  <r>
    <s v="Internal"/>
    <n v="2371"/>
    <s v="Guntersville, AL"/>
    <n v="4170"/>
    <x v="55"/>
    <x v="607"/>
    <n v="0"/>
    <x v="0"/>
    <x v="0"/>
    <n v="14295"/>
  </r>
  <r>
    <s v="Internal"/>
    <n v="2371"/>
    <s v="Guntersville, AL"/>
    <n v="4783"/>
    <x v="7"/>
    <x v="608"/>
    <n v="0"/>
    <x v="0"/>
    <x v="0"/>
    <n v="13934"/>
  </r>
  <r>
    <s v="Internal"/>
    <n v="2371"/>
    <s v="Guntersville, AL"/>
    <n v="2350"/>
    <x v="40"/>
    <x v="609"/>
    <n v="0"/>
    <x v="0"/>
    <x v="0"/>
    <n v="8685"/>
  </r>
  <r>
    <s v="Internal"/>
    <n v="2371"/>
    <s v="Guntersville, AL"/>
    <n v="3190"/>
    <x v="38"/>
    <x v="610"/>
    <n v="0"/>
    <x v="0"/>
    <x v="0"/>
    <n v="8197"/>
  </r>
  <r>
    <s v="Internal"/>
    <n v="2371"/>
    <s v="Guntersville, AL"/>
    <n v="3276"/>
    <x v="12"/>
    <x v="611"/>
    <n v="0"/>
    <x v="0"/>
    <x v="0"/>
    <n v="7258"/>
  </r>
  <r>
    <s v="Internal"/>
    <n v="2371"/>
    <s v="Guntersville, AL"/>
    <n v="4327"/>
    <x v="134"/>
    <x v="612"/>
    <n v="0"/>
    <x v="0"/>
    <x v="0"/>
    <n v="5751"/>
  </r>
  <r>
    <s v="Internal"/>
    <n v="2371"/>
    <s v="Guntersville, AL"/>
    <n v="6747"/>
    <x v="78"/>
    <x v="613"/>
    <n v="0"/>
    <x v="0"/>
    <x v="0"/>
    <n v="4533"/>
  </r>
  <r>
    <s v="Internal"/>
    <n v="2371"/>
    <s v="Guntersville, AL"/>
    <n v="2211"/>
    <x v="0"/>
    <x v="614"/>
    <n v="0"/>
    <x v="0"/>
    <x v="0"/>
    <n v="2917"/>
  </r>
  <r>
    <s v="Internal"/>
    <n v="2371"/>
    <s v="Guntersville, AL"/>
    <n v="6782"/>
    <x v="27"/>
    <x v="615"/>
    <n v="0"/>
    <x v="0"/>
    <x v="0"/>
    <n v="2815"/>
  </r>
  <r>
    <s v="Internal"/>
    <n v="2371"/>
    <s v="Guntersville, AL"/>
    <n v="5315"/>
    <x v="48"/>
    <x v="616"/>
    <n v="0"/>
    <x v="0"/>
    <x v="0"/>
    <n v="1680"/>
  </r>
  <r>
    <s v="Internal"/>
    <n v="2371"/>
    <s v="Guntersville, AL"/>
    <n v="3275"/>
    <x v="47"/>
    <x v="617"/>
    <n v="0"/>
    <x v="0"/>
    <x v="0"/>
    <n v="1637"/>
  </r>
  <r>
    <s v="Coastal"/>
    <n v="5005"/>
    <s v="Haines Borough, AK"/>
    <n v="7900"/>
    <x v="21"/>
    <x v="618"/>
    <n v="0"/>
    <x v="0"/>
    <x v="0"/>
    <n v="13920"/>
  </r>
  <r>
    <s v="Coastal"/>
    <n v="5005"/>
    <s v="Haines Borough, AK"/>
    <n v="4331"/>
    <x v="29"/>
    <x v="619"/>
    <n v="0"/>
    <x v="0"/>
    <x v="0"/>
    <n v="11579"/>
  </r>
  <r>
    <s v="Coastal"/>
    <n v="5005"/>
    <s v="Haines Borough, AK"/>
    <n v="6887"/>
    <x v="138"/>
    <x v="620"/>
    <n v="0"/>
    <x v="0"/>
    <x v="0"/>
    <n v="8341"/>
  </r>
  <r>
    <s v="Coastal"/>
    <n v="5005"/>
    <s v="Haines Borough, AK"/>
    <n v="2430"/>
    <x v="11"/>
    <x v="621"/>
    <n v="0"/>
    <x v="0"/>
    <x v="0"/>
    <n v="6628"/>
  </r>
  <r>
    <s v="Coastal"/>
    <n v="5005"/>
    <s v="Haines Borough, AK"/>
    <n v="4783"/>
    <x v="7"/>
    <x v="622"/>
    <n v="0"/>
    <x v="0"/>
    <x v="0"/>
    <n v="4799"/>
  </r>
  <r>
    <s v="Coastal"/>
    <n v="5005"/>
    <s v="Haines Borough, AK"/>
    <n v="2211"/>
    <x v="0"/>
    <x v="623"/>
    <n v="3274"/>
    <x v="648"/>
    <x v="0"/>
    <n v="3642"/>
  </r>
  <r>
    <s v="Coastal"/>
    <n v="5005"/>
    <s v="Haines Borough, AK"/>
    <n v="6889"/>
    <x v="42"/>
    <x v="624"/>
    <n v="0"/>
    <x v="0"/>
    <x v="0"/>
    <n v="3282"/>
  </r>
  <r>
    <s v="Coastal"/>
    <n v="5005"/>
    <s v="Haines Borough, AK"/>
    <n v="2330"/>
    <x v="1"/>
    <x v="10"/>
    <n v="3118"/>
    <x v="649"/>
    <x v="0"/>
    <n v="3118"/>
  </r>
  <r>
    <s v="Coastal"/>
    <n v="5005"/>
    <s v="Haines Borough, AK"/>
    <n v="7400"/>
    <x v="77"/>
    <x v="625"/>
    <n v="0"/>
    <x v="0"/>
    <x v="0"/>
    <n v="2692"/>
  </r>
  <r>
    <s v="Coastal"/>
    <n v="5005"/>
    <s v="Haines Borough, AK"/>
    <n v="7110"/>
    <x v="4"/>
    <x v="626"/>
    <n v="0"/>
    <x v="0"/>
    <x v="0"/>
    <n v="2611"/>
  </r>
  <r>
    <s v="Coastal"/>
    <n v="5005"/>
    <s v="Haines Borough, AK"/>
    <n v="2221"/>
    <x v="9"/>
    <x v="10"/>
    <n v="2167"/>
    <x v="650"/>
    <x v="0"/>
    <n v="2167"/>
  </r>
  <r>
    <s v="Coastal"/>
    <n v="5005"/>
    <s v="Haines Borough, AK"/>
    <n v="5360"/>
    <x v="94"/>
    <x v="627"/>
    <n v="0"/>
    <x v="0"/>
    <x v="0"/>
    <n v="2122"/>
  </r>
  <r>
    <s v="Coastal"/>
    <n v="5005"/>
    <s v="Haines Borough, AK"/>
    <n v="5540"/>
    <x v="64"/>
    <x v="628"/>
    <n v="0"/>
    <x v="0"/>
    <x v="0"/>
    <n v="2099"/>
  </r>
  <r>
    <s v="Coastal"/>
    <n v="5005"/>
    <s v="Haines Borough, AK"/>
    <n v="3293"/>
    <x v="122"/>
    <x v="629"/>
    <n v="0"/>
    <x v="0"/>
    <x v="0"/>
    <n v="2056"/>
  </r>
  <r>
    <s v="Coastal"/>
    <n v="5005"/>
    <s v="Haines Borough, AK"/>
    <n v="6782"/>
    <x v="27"/>
    <x v="450"/>
    <n v="0"/>
    <x v="0"/>
    <x v="0"/>
    <n v="1656"/>
  </r>
  <r>
    <s v="Coastal"/>
    <n v="5005"/>
    <s v="Haines Borough, AK"/>
    <n v="3299"/>
    <x v="79"/>
    <x v="630"/>
    <n v="0"/>
    <x v="0"/>
    <x v="0"/>
    <n v="1547"/>
  </r>
  <r>
    <s v="Coastal"/>
    <n v="5005"/>
    <s v="Haines Borough, AK"/>
    <n v="7210"/>
    <x v="59"/>
    <x v="631"/>
    <n v="0"/>
    <x v="0"/>
    <x v="0"/>
    <n v="1510"/>
  </r>
  <r>
    <s v="Coastal"/>
    <n v="5005"/>
    <s v="Haines Borough, AK"/>
    <n v="5480"/>
    <x v="20"/>
    <x v="632"/>
    <n v="0"/>
    <x v="0"/>
    <x v="0"/>
    <n v="1400"/>
  </r>
  <r>
    <s v="Coastal"/>
    <n v="5005"/>
    <s v="Haines Borough, AK"/>
    <n v="6885"/>
    <x v="72"/>
    <x v="633"/>
    <n v="0"/>
    <x v="0"/>
    <x v="0"/>
    <n v="1399"/>
  </r>
  <r>
    <s v="Coastal"/>
    <n v="5005"/>
    <s v="Haines Borough, AK"/>
    <n v="4189"/>
    <x v="65"/>
    <x v="634"/>
    <n v="0"/>
    <x v="0"/>
    <x v="0"/>
    <n v="1231"/>
  </r>
  <r>
    <s v="Coastal"/>
    <n v="5005"/>
    <s v="Haines Borough, AK"/>
    <n v="7120"/>
    <x v="71"/>
    <x v="635"/>
    <n v="0"/>
    <x v="0"/>
    <x v="0"/>
    <n v="1064"/>
  </r>
  <r>
    <s v="Coastal"/>
    <n v="5005"/>
    <s v="Haines Borough, AK"/>
    <n v="2990"/>
    <x v="102"/>
    <x v="636"/>
    <n v="0"/>
    <x v="0"/>
    <x v="0"/>
    <n v="666"/>
  </r>
  <r>
    <s v="Coastal"/>
    <n v="5005"/>
    <s v="Haines Borough, AK"/>
    <n v="5240"/>
    <x v="89"/>
    <x v="637"/>
    <n v="0"/>
    <x v="0"/>
    <x v="0"/>
    <n v="610"/>
  </r>
  <r>
    <s v="Coastal"/>
    <n v="5005"/>
    <s v="Haines Borough, AK"/>
    <n v="5290"/>
    <x v="49"/>
    <x v="638"/>
    <n v="0"/>
    <x v="0"/>
    <x v="0"/>
    <n v="585"/>
  </r>
  <r>
    <s v="Coastal"/>
    <n v="5005"/>
    <s v="Haines Borough, AK"/>
    <n v="6134"/>
    <x v="82"/>
    <x v="639"/>
    <n v="5"/>
    <x v="168"/>
    <x v="0"/>
    <n v="563"/>
  </r>
  <r>
    <s v="Coastal"/>
    <n v="5005"/>
    <s v="Haines Borough, AK"/>
    <n v="2340"/>
    <x v="3"/>
    <x v="519"/>
    <n v="0"/>
    <x v="0"/>
    <x v="0"/>
    <n v="551"/>
  </r>
  <r>
    <s v="Coastal"/>
    <n v="5005"/>
    <s v="Haines Borough, AK"/>
    <n v="5190"/>
    <x v="83"/>
    <x v="640"/>
    <n v="0"/>
    <x v="0"/>
    <x v="0"/>
    <n v="522"/>
  </r>
  <r>
    <s v="Coastal"/>
    <n v="5005"/>
    <s v="Haines Borough, AK"/>
    <n v="5370"/>
    <x v="81"/>
    <x v="641"/>
    <n v="0"/>
    <x v="0"/>
    <x v="0"/>
    <n v="361"/>
  </r>
  <r>
    <s v="Coastal"/>
    <n v="5005"/>
    <s v="Haines Borough, AK"/>
    <n v="3282"/>
    <x v="91"/>
    <x v="642"/>
    <n v="0"/>
    <x v="0"/>
    <x v="0"/>
    <n v="275"/>
  </r>
  <r>
    <s v="Coastal"/>
    <n v="5005"/>
    <s v="Haines Borough, AK"/>
    <n v="7500"/>
    <x v="60"/>
    <x v="643"/>
    <n v="0"/>
    <x v="0"/>
    <x v="0"/>
    <n v="262"/>
  </r>
  <r>
    <s v="Coastal"/>
    <n v="5005"/>
    <s v="Haines Borough, AK"/>
    <n v="4420"/>
    <x v="8"/>
    <x v="644"/>
    <n v="0"/>
    <x v="0"/>
    <x v="0"/>
    <n v="118"/>
  </r>
  <r>
    <s v="Coastal"/>
    <n v="5005"/>
    <s v="Haines Borough, AK"/>
    <n v="3220"/>
    <x v="2"/>
    <x v="645"/>
    <n v="0"/>
    <x v="0"/>
    <x v="0"/>
    <n v="77"/>
  </r>
  <r>
    <s v="Coastal"/>
    <n v="5005"/>
    <s v="Haines Borough, AK"/>
    <n v="7230"/>
    <x v="22"/>
    <x v="646"/>
    <n v="0"/>
    <x v="0"/>
    <x v="0"/>
    <n v="62"/>
  </r>
  <r>
    <s v="Coastal"/>
    <n v="5005"/>
    <s v="Haines Borough, AK"/>
    <n v="6136"/>
    <x v="95"/>
    <x v="647"/>
    <n v="0"/>
    <x v="0"/>
    <x v="0"/>
    <n v="48"/>
  </r>
  <r>
    <s v="Coastal"/>
    <n v="5005"/>
    <s v="Haines Borough, AK"/>
    <n v="8900"/>
    <x v="139"/>
    <x v="181"/>
    <n v="0"/>
    <x v="0"/>
    <x v="0"/>
    <n v="45"/>
  </r>
  <r>
    <s v="Coastal"/>
    <n v="5005"/>
    <s v="Haines Borough, AK"/>
    <n v="4225"/>
    <x v="10"/>
    <x v="648"/>
    <n v="0"/>
    <x v="0"/>
    <x v="0"/>
    <n v="39"/>
  </r>
  <r>
    <s v="Coastal"/>
    <n v="5005"/>
    <s v="Haines Borough, AK"/>
    <n v="7600"/>
    <x v="68"/>
    <x v="649"/>
    <n v="0"/>
    <x v="0"/>
    <x v="0"/>
    <n v="8"/>
  </r>
  <r>
    <s v="Coastal"/>
    <n v="5005"/>
    <s v="Haines Borough, AK"/>
    <n v="5330"/>
    <x v="16"/>
    <x v="650"/>
    <n v="0"/>
    <x v="0"/>
    <x v="0"/>
    <n v="7"/>
  </r>
  <r>
    <s v="Great Lakes"/>
    <n v="3703"/>
    <s v="Harbor Springs, MI"/>
    <n v="3293"/>
    <x v="122"/>
    <x v="418"/>
    <n v="0"/>
    <x v="0"/>
    <x v="0"/>
    <n v="25"/>
  </r>
  <r>
    <s v="Great Lakes"/>
    <n v="3703"/>
    <s v="Harbor Springs, MI"/>
    <n v="7110"/>
    <x v="4"/>
    <x v="418"/>
    <n v="0"/>
    <x v="0"/>
    <x v="0"/>
    <n v="25"/>
  </r>
  <r>
    <s v="Great Lakes"/>
    <n v="3703"/>
    <s v="Harbor Springs, MI"/>
    <n v="4170"/>
    <x v="55"/>
    <x v="524"/>
    <n v="0"/>
    <x v="0"/>
    <x v="0"/>
    <n v="10"/>
  </r>
  <r>
    <s v="Internal"/>
    <n v="2311"/>
    <s v="Havana Regional Port, IL"/>
    <n v="6344"/>
    <x v="25"/>
    <x v="651"/>
    <n v="0"/>
    <x v="0"/>
    <x v="0"/>
    <n v="2061085"/>
  </r>
  <r>
    <s v="Internal"/>
    <n v="2311"/>
    <s v="Havana Regional Port, IL"/>
    <n v="6522"/>
    <x v="26"/>
    <x v="652"/>
    <n v="0"/>
    <x v="0"/>
    <x v="0"/>
    <n v="836796"/>
  </r>
  <r>
    <s v="Internal"/>
    <n v="2311"/>
    <s v="Havana Regional Port, IL"/>
    <n v="3130"/>
    <x v="37"/>
    <x v="653"/>
    <n v="0"/>
    <x v="0"/>
    <x v="0"/>
    <n v="34729"/>
  </r>
  <r>
    <s v="Internal"/>
    <n v="2311"/>
    <s v="Havana Regional Port, IL"/>
    <n v="3190"/>
    <x v="38"/>
    <x v="654"/>
    <n v="0"/>
    <x v="0"/>
    <x v="0"/>
    <n v="17116"/>
  </r>
  <r>
    <s v="Internal"/>
    <n v="2311"/>
    <s v="Havana Regional Port, IL"/>
    <n v="6241"/>
    <x v="28"/>
    <x v="655"/>
    <n v="0"/>
    <x v="0"/>
    <x v="0"/>
    <n v="10079"/>
  </r>
  <r>
    <s v="Internal"/>
    <n v="2311"/>
    <s v="Havana Regional Port, IL"/>
    <n v="3120"/>
    <x v="41"/>
    <x v="656"/>
    <n v="0"/>
    <x v="0"/>
    <x v="0"/>
    <n v="4706"/>
  </r>
  <r>
    <s v="Internal"/>
    <n v="2311"/>
    <s v="Havana Regional Port, IL"/>
    <n v="6590"/>
    <x v="23"/>
    <x v="657"/>
    <n v="0"/>
    <x v="0"/>
    <x v="0"/>
    <n v="1740"/>
  </r>
  <r>
    <s v="Internal"/>
    <n v="2312"/>
    <s v="Heart of Illinois Port, IL"/>
    <n v="6782"/>
    <x v="27"/>
    <x v="658"/>
    <n v="0"/>
    <x v="0"/>
    <x v="0"/>
    <n v="1263824"/>
  </r>
  <r>
    <s v="Internal"/>
    <n v="2312"/>
    <s v="Heart of Illinois Port, IL"/>
    <n v="6344"/>
    <x v="25"/>
    <x v="659"/>
    <n v="0"/>
    <x v="0"/>
    <x v="0"/>
    <n v="739734"/>
  </r>
  <r>
    <s v="Internal"/>
    <n v="2312"/>
    <s v="Heart of Illinois Port, IL"/>
    <n v="6522"/>
    <x v="26"/>
    <x v="660"/>
    <n v="0"/>
    <x v="0"/>
    <x v="0"/>
    <n v="564375"/>
  </r>
  <r>
    <s v="Internal"/>
    <n v="2312"/>
    <s v="Heart of Illinois Port, IL"/>
    <n v="3220"/>
    <x v="2"/>
    <x v="661"/>
    <n v="0"/>
    <x v="0"/>
    <x v="0"/>
    <n v="336130"/>
  </r>
  <r>
    <s v="Internal"/>
    <n v="2312"/>
    <s v="Heart of Illinois Port, IL"/>
    <n v="4331"/>
    <x v="29"/>
    <x v="662"/>
    <n v="0"/>
    <x v="0"/>
    <x v="0"/>
    <n v="308797"/>
  </r>
  <r>
    <s v="Internal"/>
    <n v="2312"/>
    <s v="Heart of Illinois Port, IL"/>
    <n v="3110"/>
    <x v="36"/>
    <x v="663"/>
    <n v="0"/>
    <x v="0"/>
    <x v="0"/>
    <n v="161726"/>
  </r>
  <r>
    <s v="Internal"/>
    <n v="2312"/>
    <s v="Heart of Illinois Port, IL"/>
    <n v="3130"/>
    <x v="37"/>
    <x v="664"/>
    <n v="0"/>
    <x v="0"/>
    <x v="0"/>
    <n v="138655"/>
  </r>
  <r>
    <s v="Internal"/>
    <n v="2312"/>
    <s v="Heart of Illinois Port, IL"/>
    <n v="3273"/>
    <x v="46"/>
    <x v="665"/>
    <n v="0"/>
    <x v="0"/>
    <x v="0"/>
    <n v="114515"/>
  </r>
  <r>
    <s v="Internal"/>
    <n v="2312"/>
    <s v="Heart of Illinois Port, IL"/>
    <n v="4420"/>
    <x v="8"/>
    <x v="666"/>
    <n v="0"/>
    <x v="0"/>
    <x v="0"/>
    <n v="103243"/>
  </r>
  <r>
    <s v="Internal"/>
    <n v="2312"/>
    <s v="Heart of Illinois Port, IL"/>
    <n v="5390"/>
    <x v="44"/>
    <x v="667"/>
    <n v="0"/>
    <x v="0"/>
    <x v="0"/>
    <n v="94799"/>
  </r>
  <r>
    <s v="Internal"/>
    <n v="2312"/>
    <s v="Heart of Illinois Port, IL"/>
    <n v="3276"/>
    <x v="12"/>
    <x v="668"/>
    <n v="0"/>
    <x v="0"/>
    <x v="0"/>
    <n v="86103"/>
  </r>
  <r>
    <s v="Internal"/>
    <n v="2312"/>
    <s v="Heart of Illinois Port, IL"/>
    <n v="3190"/>
    <x v="38"/>
    <x v="669"/>
    <n v="0"/>
    <x v="0"/>
    <x v="0"/>
    <n v="78925"/>
  </r>
  <r>
    <s v="Internal"/>
    <n v="2312"/>
    <s v="Heart of Illinois Port, IL"/>
    <n v="5312"/>
    <x v="52"/>
    <x v="670"/>
    <n v="0"/>
    <x v="0"/>
    <x v="0"/>
    <n v="59423"/>
  </r>
  <r>
    <s v="Internal"/>
    <n v="2312"/>
    <s v="Heart of Illinois Port, IL"/>
    <n v="3120"/>
    <x v="41"/>
    <x v="671"/>
    <n v="0"/>
    <x v="0"/>
    <x v="0"/>
    <n v="36549"/>
  </r>
  <r>
    <s v="Internal"/>
    <n v="2312"/>
    <s v="Heart of Illinois Port, IL"/>
    <n v="6885"/>
    <x v="72"/>
    <x v="672"/>
    <n v="0"/>
    <x v="0"/>
    <x v="0"/>
    <n v="34246"/>
  </r>
  <r>
    <s v="Internal"/>
    <n v="2312"/>
    <s v="Heart of Illinois Port, IL"/>
    <n v="4783"/>
    <x v="7"/>
    <x v="673"/>
    <n v="0"/>
    <x v="0"/>
    <x v="0"/>
    <n v="33127"/>
  </r>
  <r>
    <s v="Internal"/>
    <n v="2312"/>
    <s v="Heart of Illinois Port, IL"/>
    <n v="2430"/>
    <x v="11"/>
    <x v="674"/>
    <n v="0"/>
    <x v="0"/>
    <x v="0"/>
    <n v="19647"/>
  </r>
  <r>
    <s v="Internal"/>
    <n v="2312"/>
    <s v="Heart of Illinois Port, IL"/>
    <n v="2211"/>
    <x v="0"/>
    <x v="675"/>
    <n v="0"/>
    <x v="0"/>
    <x v="0"/>
    <n v="18148"/>
  </r>
  <r>
    <s v="Internal"/>
    <n v="2312"/>
    <s v="Heart of Illinois Port, IL"/>
    <n v="6653"/>
    <x v="24"/>
    <x v="676"/>
    <n v="0"/>
    <x v="0"/>
    <x v="0"/>
    <n v="17010"/>
  </r>
  <r>
    <s v="Internal"/>
    <n v="2312"/>
    <s v="Heart of Illinois Port, IL"/>
    <n v="5330"/>
    <x v="16"/>
    <x v="677"/>
    <n v="0"/>
    <x v="0"/>
    <x v="0"/>
    <n v="15575"/>
  </r>
  <r>
    <s v="Internal"/>
    <n v="2312"/>
    <s v="Heart of Illinois Port, IL"/>
    <n v="1100"/>
    <x v="32"/>
    <x v="678"/>
    <n v="0"/>
    <x v="0"/>
    <x v="0"/>
    <n v="9072"/>
  </r>
  <r>
    <s v="Internal"/>
    <n v="2312"/>
    <s v="Heart of Illinois Port, IL"/>
    <n v="4161"/>
    <x v="54"/>
    <x v="679"/>
    <n v="0"/>
    <x v="0"/>
    <x v="0"/>
    <n v="6604"/>
  </r>
  <r>
    <s v="Internal"/>
    <n v="2312"/>
    <s v="Heart of Illinois Port, IL"/>
    <n v="5360"/>
    <x v="94"/>
    <x v="680"/>
    <n v="0"/>
    <x v="0"/>
    <x v="0"/>
    <n v="4687"/>
  </r>
  <r>
    <s v="Internal"/>
    <n v="2312"/>
    <s v="Heart of Illinois Port, IL"/>
    <n v="4335"/>
    <x v="5"/>
    <x v="681"/>
    <n v="0"/>
    <x v="0"/>
    <x v="0"/>
    <n v="4527"/>
  </r>
  <r>
    <s v="Internal"/>
    <n v="2312"/>
    <s v="Heart of Illinois Port, IL"/>
    <n v="4860"/>
    <x v="31"/>
    <x v="682"/>
    <n v="0"/>
    <x v="0"/>
    <x v="0"/>
    <n v="3101"/>
  </r>
  <r>
    <s v="Internal"/>
    <n v="2312"/>
    <s v="Heart of Illinois Port, IL"/>
    <n v="4410"/>
    <x v="34"/>
    <x v="683"/>
    <n v="0"/>
    <x v="0"/>
    <x v="0"/>
    <n v="1714"/>
  </r>
  <r>
    <s v="Internal"/>
    <n v="2312"/>
    <s v="Heart of Illinois Port, IL"/>
    <n v="2340"/>
    <x v="3"/>
    <x v="684"/>
    <n v="0"/>
    <x v="0"/>
    <x v="0"/>
    <n v="1645"/>
  </r>
  <r>
    <s v="Internal"/>
    <n v="2312"/>
    <s v="Heart of Illinois Port, IL"/>
    <n v="6241"/>
    <x v="28"/>
    <x v="685"/>
    <n v="0"/>
    <x v="0"/>
    <x v="0"/>
    <n v="1614"/>
  </r>
  <r>
    <s v="Internal"/>
    <n v="2312"/>
    <s v="Heart of Illinois Port, IL"/>
    <n v="6654"/>
    <x v="50"/>
    <x v="686"/>
    <n v="0"/>
    <x v="0"/>
    <x v="0"/>
    <n v="1574"/>
  </r>
  <r>
    <s v="Internal"/>
    <n v="2353"/>
    <s v="Heartland Port Authority, MO"/>
    <n v="4331"/>
    <x v="29"/>
    <x v="687"/>
    <n v="0"/>
    <x v="0"/>
    <x v="0"/>
    <n v="946165"/>
  </r>
  <r>
    <s v="Internal"/>
    <n v="2353"/>
    <s v="Heartland Port Authority, MO"/>
    <n v="5220"/>
    <x v="30"/>
    <x v="688"/>
    <n v="0"/>
    <x v="0"/>
    <x v="0"/>
    <n v="93222"/>
  </r>
  <r>
    <s v="Internal"/>
    <n v="2365"/>
    <s v="Helena-West Helena Port, AR"/>
    <n v="6522"/>
    <x v="26"/>
    <x v="689"/>
    <n v="0"/>
    <x v="0"/>
    <x v="0"/>
    <n v="551642"/>
  </r>
  <r>
    <s v="Internal"/>
    <n v="2365"/>
    <s v="Helena-West Helena Port, AR"/>
    <n v="6344"/>
    <x v="25"/>
    <x v="690"/>
    <n v="0"/>
    <x v="0"/>
    <x v="0"/>
    <n v="409032"/>
  </r>
  <r>
    <s v="Internal"/>
    <n v="2365"/>
    <s v="Helena-West Helena Port, AR"/>
    <n v="6442"/>
    <x v="85"/>
    <x v="691"/>
    <n v="0"/>
    <x v="0"/>
    <x v="0"/>
    <n v="167412"/>
  </r>
  <r>
    <s v="Internal"/>
    <n v="2365"/>
    <s v="Helena-West Helena Port, AR"/>
    <n v="3110"/>
    <x v="36"/>
    <x v="692"/>
    <n v="0"/>
    <x v="0"/>
    <x v="0"/>
    <n v="153889"/>
  </r>
  <r>
    <s v="Internal"/>
    <n v="2365"/>
    <s v="Helena-West Helena Port, AR"/>
    <n v="3130"/>
    <x v="37"/>
    <x v="693"/>
    <n v="0"/>
    <x v="0"/>
    <x v="0"/>
    <n v="64713"/>
  </r>
  <r>
    <s v="Internal"/>
    <n v="2365"/>
    <s v="Helena-West Helena Port, AR"/>
    <n v="4331"/>
    <x v="29"/>
    <x v="694"/>
    <n v="0"/>
    <x v="0"/>
    <x v="0"/>
    <n v="59470"/>
  </r>
  <r>
    <s v="Internal"/>
    <n v="2365"/>
    <s v="Helena-West Helena Port, AR"/>
    <n v="6447"/>
    <x v="132"/>
    <x v="695"/>
    <n v="0"/>
    <x v="0"/>
    <x v="0"/>
    <n v="42013"/>
  </r>
  <r>
    <s v="Internal"/>
    <n v="2365"/>
    <s v="Helena-West Helena Port, AR"/>
    <n v="3190"/>
    <x v="38"/>
    <x v="696"/>
    <n v="0"/>
    <x v="0"/>
    <x v="0"/>
    <n v="26596"/>
  </r>
  <r>
    <s v="Internal"/>
    <n v="2365"/>
    <s v="Helena-West Helena Port, AR"/>
    <n v="6241"/>
    <x v="28"/>
    <x v="697"/>
    <n v="0"/>
    <x v="0"/>
    <x v="0"/>
    <n v="26212"/>
  </r>
  <r>
    <s v="Internal"/>
    <n v="2365"/>
    <s v="Helena-West Helena Port, AR"/>
    <n v="4322"/>
    <x v="33"/>
    <x v="698"/>
    <n v="0"/>
    <x v="0"/>
    <x v="0"/>
    <n v="24802"/>
  </r>
  <r>
    <s v="Internal"/>
    <n v="2365"/>
    <s v="Helena-West Helena Port, AR"/>
    <n v="3120"/>
    <x v="41"/>
    <x v="699"/>
    <n v="0"/>
    <x v="0"/>
    <x v="0"/>
    <n v="22205"/>
  </r>
  <r>
    <s v="Internal"/>
    <n v="2329"/>
    <s v="Henderson County Riverport, KY"/>
    <n v="4650"/>
    <x v="67"/>
    <x v="700"/>
    <n v="0"/>
    <x v="0"/>
    <x v="0"/>
    <n v="542621"/>
  </r>
  <r>
    <s v="Internal"/>
    <n v="2329"/>
    <s v="Henderson County Riverport, KY"/>
    <n v="6344"/>
    <x v="25"/>
    <x v="701"/>
    <n v="0"/>
    <x v="0"/>
    <x v="0"/>
    <n v="529075"/>
  </r>
  <r>
    <s v="Internal"/>
    <n v="2329"/>
    <s v="Henderson County Riverport, KY"/>
    <n v="6522"/>
    <x v="26"/>
    <x v="702"/>
    <n v="0"/>
    <x v="0"/>
    <x v="0"/>
    <n v="236010"/>
  </r>
  <r>
    <s v="Internal"/>
    <n v="2329"/>
    <s v="Henderson County Riverport, KY"/>
    <n v="4331"/>
    <x v="29"/>
    <x v="703"/>
    <n v="0"/>
    <x v="0"/>
    <x v="0"/>
    <n v="145621"/>
  </r>
  <r>
    <s v="Internal"/>
    <n v="2329"/>
    <s v="Henderson County Riverport, KY"/>
    <n v="4322"/>
    <x v="33"/>
    <x v="704"/>
    <n v="0"/>
    <x v="0"/>
    <x v="0"/>
    <n v="85908"/>
  </r>
  <r>
    <s v="Internal"/>
    <n v="2329"/>
    <s v="Henderson County Riverport, KY"/>
    <n v="1200"/>
    <x v="43"/>
    <x v="705"/>
    <n v="0"/>
    <x v="0"/>
    <x v="0"/>
    <n v="83211"/>
  </r>
  <r>
    <s v="Internal"/>
    <n v="2329"/>
    <s v="Henderson County Riverport, KY"/>
    <n v="3130"/>
    <x v="37"/>
    <x v="706"/>
    <n v="0"/>
    <x v="0"/>
    <x v="0"/>
    <n v="51887"/>
  </r>
  <r>
    <s v="Internal"/>
    <n v="2329"/>
    <s v="Henderson County Riverport, KY"/>
    <n v="4860"/>
    <x v="31"/>
    <x v="707"/>
    <n v="0"/>
    <x v="0"/>
    <x v="0"/>
    <n v="50929"/>
  </r>
  <r>
    <s v="Internal"/>
    <n v="2329"/>
    <s v="Henderson County Riverport, KY"/>
    <n v="3110"/>
    <x v="36"/>
    <x v="708"/>
    <n v="0"/>
    <x v="0"/>
    <x v="0"/>
    <n v="48106"/>
  </r>
  <r>
    <s v="Internal"/>
    <n v="2329"/>
    <s v="Henderson County Riverport, KY"/>
    <n v="3273"/>
    <x v="46"/>
    <x v="709"/>
    <n v="0"/>
    <x v="0"/>
    <x v="0"/>
    <n v="40000"/>
  </r>
  <r>
    <s v="Internal"/>
    <n v="2329"/>
    <s v="Henderson County Riverport, KY"/>
    <n v="6241"/>
    <x v="28"/>
    <x v="710"/>
    <n v="0"/>
    <x v="0"/>
    <x v="0"/>
    <n v="37392"/>
  </r>
  <r>
    <s v="Internal"/>
    <n v="2329"/>
    <s v="Henderson County Riverport, KY"/>
    <n v="1100"/>
    <x v="32"/>
    <x v="711"/>
    <n v="0"/>
    <x v="0"/>
    <x v="0"/>
    <n v="34873"/>
  </r>
  <r>
    <s v="Internal"/>
    <n v="2329"/>
    <s v="Henderson County Riverport, KY"/>
    <n v="3190"/>
    <x v="38"/>
    <x v="712"/>
    <n v="0"/>
    <x v="0"/>
    <x v="0"/>
    <n v="32188"/>
  </r>
  <r>
    <s v="Internal"/>
    <n v="2329"/>
    <s v="Henderson County Riverport, KY"/>
    <n v="4323"/>
    <x v="6"/>
    <x v="713"/>
    <n v="0"/>
    <x v="0"/>
    <x v="0"/>
    <n v="29060"/>
  </r>
  <r>
    <s v="Internal"/>
    <n v="2329"/>
    <s v="Henderson County Riverport, KY"/>
    <n v="5360"/>
    <x v="94"/>
    <x v="714"/>
    <n v="0"/>
    <x v="0"/>
    <x v="0"/>
    <n v="26160"/>
  </r>
  <r>
    <s v="Internal"/>
    <n v="2329"/>
    <s v="Henderson County Riverport, KY"/>
    <n v="4782"/>
    <x v="45"/>
    <x v="715"/>
    <n v="0"/>
    <x v="0"/>
    <x v="0"/>
    <n v="14595"/>
  </r>
  <r>
    <s v="Internal"/>
    <n v="2329"/>
    <s v="Henderson County Riverport, KY"/>
    <n v="3120"/>
    <x v="41"/>
    <x v="716"/>
    <n v="0"/>
    <x v="0"/>
    <x v="0"/>
    <n v="12625"/>
  </r>
  <r>
    <s v="Internal"/>
    <n v="2329"/>
    <s v="Henderson County Riverport, KY"/>
    <n v="6782"/>
    <x v="27"/>
    <x v="717"/>
    <n v="0"/>
    <x v="0"/>
    <x v="0"/>
    <n v="6873"/>
  </r>
  <r>
    <s v="Internal"/>
    <n v="2329"/>
    <s v="Henderson County Riverport, KY"/>
    <n v="2540"/>
    <x v="15"/>
    <x v="718"/>
    <n v="0"/>
    <x v="0"/>
    <x v="0"/>
    <n v="6695"/>
  </r>
  <r>
    <s v="Internal"/>
    <n v="2329"/>
    <s v="Henderson County Riverport, KY"/>
    <n v="5429"/>
    <x v="61"/>
    <x v="719"/>
    <n v="0"/>
    <x v="0"/>
    <x v="0"/>
    <n v="4911"/>
  </r>
  <r>
    <s v="Internal"/>
    <n v="2329"/>
    <s v="Henderson County Riverport, KY"/>
    <n v="2430"/>
    <x v="11"/>
    <x v="720"/>
    <n v="0"/>
    <x v="0"/>
    <x v="0"/>
    <n v="3542"/>
  </r>
  <r>
    <s v="Internal"/>
    <n v="2329"/>
    <s v="Henderson County Riverport, KY"/>
    <n v="5330"/>
    <x v="16"/>
    <x v="721"/>
    <n v="0"/>
    <x v="0"/>
    <x v="0"/>
    <n v="3384"/>
  </r>
  <r>
    <s v="Internal"/>
    <n v="2329"/>
    <s v="Henderson County Riverport, KY"/>
    <n v="5390"/>
    <x v="44"/>
    <x v="722"/>
    <n v="0"/>
    <x v="0"/>
    <x v="0"/>
    <n v="2951"/>
  </r>
  <r>
    <s v="Internal"/>
    <n v="2329"/>
    <s v="Henderson County Riverport, KY"/>
    <n v="3275"/>
    <x v="47"/>
    <x v="723"/>
    <n v="0"/>
    <x v="0"/>
    <x v="0"/>
    <n v="1658"/>
  </r>
  <r>
    <s v="Internal"/>
    <n v="2329"/>
    <s v="Henderson County Riverport, KY"/>
    <n v="4420"/>
    <x v="8"/>
    <x v="724"/>
    <n v="0"/>
    <x v="0"/>
    <x v="0"/>
    <n v="1438"/>
  </r>
  <r>
    <s v="Internal"/>
    <n v="2329"/>
    <s v="Henderson County Riverport, KY"/>
    <n v="5422"/>
    <x v="66"/>
    <x v="632"/>
    <n v="0"/>
    <x v="0"/>
    <x v="0"/>
    <n v="1400"/>
  </r>
  <r>
    <s v="Internal"/>
    <n v="2304"/>
    <s v="Hickman-Fulton County Port, KY"/>
    <n v="6344"/>
    <x v="25"/>
    <x v="725"/>
    <n v="0"/>
    <x v="0"/>
    <x v="0"/>
    <n v="481193"/>
  </r>
  <r>
    <s v="Internal"/>
    <n v="2304"/>
    <s v="Hickman-Fulton County Port, KY"/>
    <n v="6522"/>
    <x v="26"/>
    <x v="726"/>
    <n v="0"/>
    <x v="0"/>
    <x v="0"/>
    <n v="466036"/>
  </r>
  <r>
    <s v="Internal"/>
    <n v="2304"/>
    <s v="Hickman-Fulton County Port, KY"/>
    <n v="6241"/>
    <x v="28"/>
    <x v="727"/>
    <n v="0"/>
    <x v="0"/>
    <x v="0"/>
    <n v="99163"/>
  </r>
  <r>
    <s v="Internal"/>
    <n v="2304"/>
    <s v="Hickman-Fulton County Port, KY"/>
    <n v="6782"/>
    <x v="27"/>
    <x v="728"/>
    <n v="0"/>
    <x v="0"/>
    <x v="0"/>
    <n v="50896"/>
  </r>
  <r>
    <s v="Internal"/>
    <n v="2304"/>
    <s v="Hickman-Fulton County Port, KY"/>
    <n v="4782"/>
    <x v="45"/>
    <x v="729"/>
    <n v="0"/>
    <x v="0"/>
    <x v="0"/>
    <n v="44346"/>
  </r>
  <r>
    <s v="Internal"/>
    <n v="2304"/>
    <s v="Hickman-Fulton County Port, KY"/>
    <n v="3110"/>
    <x v="36"/>
    <x v="730"/>
    <n v="0"/>
    <x v="0"/>
    <x v="0"/>
    <n v="21337"/>
  </r>
  <r>
    <s v="Internal"/>
    <n v="2304"/>
    <s v="Hickman-Fulton County Port, KY"/>
    <n v="1200"/>
    <x v="43"/>
    <x v="731"/>
    <n v="0"/>
    <x v="0"/>
    <x v="0"/>
    <n v="19196"/>
  </r>
  <r>
    <s v="Internal"/>
    <n v="2304"/>
    <s v="Hickman-Fulton County Port, KY"/>
    <n v="5330"/>
    <x v="16"/>
    <x v="732"/>
    <n v="0"/>
    <x v="0"/>
    <x v="0"/>
    <n v="17668"/>
  </r>
  <r>
    <s v="Internal"/>
    <n v="2304"/>
    <s v="Hickman-Fulton County Port, KY"/>
    <n v="5390"/>
    <x v="44"/>
    <x v="733"/>
    <n v="0"/>
    <x v="0"/>
    <x v="0"/>
    <n v="14183"/>
  </r>
  <r>
    <s v="Internal"/>
    <n v="2304"/>
    <s v="Hickman-Fulton County Port, KY"/>
    <n v="3190"/>
    <x v="38"/>
    <x v="734"/>
    <n v="0"/>
    <x v="0"/>
    <x v="0"/>
    <n v="12402"/>
  </r>
  <r>
    <s v="Internal"/>
    <n v="2304"/>
    <s v="Hickman-Fulton County Port, KY"/>
    <n v="6590"/>
    <x v="23"/>
    <x v="735"/>
    <n v="0"/>
    <x v="0"/>
    <x v="0"/>
    <n v="9805"/>
  </r>
  <r>
    <s v="Internal"/>
    <n v="2304"/>
    <s v="Hickman-Fulton County Port, KY"/>
    <n v="5360"/>
    <x v="94"/>
    <x v="736"/>
    <n v="0"/>
    <x v="0"/>
    <x v="0"/>
    <n v="4873"/>
  </r>
  <r>
    <s v="Internal"/>
    <n v="2304"/>
    <s v="Hickman-Fulton County Port, KY"/>
    <n v="4420"/>
    <x v="8"/>
    <x v="737"/>
    <n v="0"/>
    <x v="0"/>
    <x v="0"/>
    <n v="4807"/>
  </r>
  <r>
    <s v="Internal"/>
    <n v="2304"/>
    <s v="Hickman-Fulton County Port, KY"/>
    <n v="6654"/>
    <x v="50"/>
    <x v="738"/>
    <n v="0"/>
    <x v="0"/>
    <x v="0"/>
    <n v="4245"/>
  </r>
  <r>
    <s v="Internal"/>
    <n v="2304"/>
    <s v="Hickman-Fulton County Port, KY"/>
    <n v="4322"/>
    <x v="33"/>
    <x v="739"/>
    <n v="0"/>
    <x v="0"/>
    <x v="0"/>
    <n v="1964"/>
  </r>
  <r>
    <s v="Internal"/>
    <n v="2304"/>
    <s v="Hickman-Fulton County Port, KY"/>
    <n v="3120"/>
    <x v="41"/>
    <x v="740"/>
    <n v="0"/>
    <x v="0"/>
    <x v="0"/>
    <n v="1603"/>
  </r>
  <r>
    <s v="Internal"/>
    <n v="2304"/>
    <s v="Hickman-Fulton County Port, KY"/>
    <n v="3130"/>
    <x v="37"/>
    <x v="741"/>
    <n v="0"/>
    <x v="0"/>
    <x v="0"/>
    <n v="1559"/>
  </r>
  <r>
    <s v="Coastal"/>
    <n v="4400"/>
    <s v="Hilo, Hawai'i, HI"/>
    <n v="7800"/>
    <x v="140"/>
    <x v="742"/>
    <n v="0"/>
    <x v="0"/>
    <x v="0"/>
    <n v="1744575"/>
  </r>
  <r>
    <s v="Coastal"/>
    <n v="4400"/>
    <s v="Hilo, Hawai'i, HI"/>
    <n v="7210"/>
    <x v="59"/>
    <x v="743"/>
    <n v="0"/>
    <x v="0"/>
    <x v="0"/>
    <n v="161930"/>
  </r>
  <r>
    <s v="Coastal"/>
    <n v="4400"/>
    <s v="Hilo, Hawai'i, HI"/>
    <n v="2330"/>
    <x v="1"/>
    <x v="744"/>
    <n v="0"/>
    <x v="0"/>
    <x v="0"/>
    <n v="149791"/>
  </r>
  <r>
    <s v="Coastal"/>
    <n v="4400"/>
    <s v="Hilo, Hawai'i, HI"/>
    <n v="2211"/>
    <x v="0"/>
    <x v="745"/>
    <n v="0"/>
    <x v="0"/>
    <x v="0"/>
    <n v="119025"/>
  </r>
  <r>
    <s v="Coastal"/>
    <n v="4400"/>
    <s v="Hilo, Hawai'i, HI"/>
    <n v="7900"/>
    <x v="21"/>
    <x v="746"/>
    <n v="0"/>
    <x v="0"/>
    <x v="0"/>
    <n v="91052"/>
  </r>
  <r>
    <s v="Coastal"/>
    <n v="4400"/>
    <s v="Hilo, Hawai'i, HI"/>
    <n v="2340"/>
    <x v="3"/>
    <x v="747"/>
    <n v="0"/>
    <x v="0"/>
    <x v="0"/>
    <n v="61516"/>
  </r>
  <r>
    <s v="Coastal"/>
    <n v="4400"/>
    <s v="Hilo, Hawai'i, HI"/>
    <n v="2221"/>
    <x v="9"/>
    <x v="748"/>
    <n v="0"/>
    <x v="0"/>
    <x v="0"/>
    <n v="39396"/>
  </r>
  <r>
    <s v="Coastal"/>
    <n v="4400"/>
    <s v="Hilo, Hawai'i, HI"/>
    <n v="2640"/>
    <x v="110"/>
    <x v="749"/>
    <n v="32077"/>
    <x v="651"/>
    <x v="0"/>
    <n v="37183"/>
  </r>
  <r>
    <s v="Coastal"/>
    <n v="4400"/>
    <s v="Hilo, Hawai'i, HI"/>
    <n v="5220"/>
    <x v="30"/>
    <x v="750"/>
    <n v="0"/>
    <x v="0"/>
    <x v="0"/>
    <n v="16043"/>
  </r>
  <r>
    <s v="Coastal"/>
    <n v="4400"/>
    <s v="Hilo, Hawai'i, HI"/>
    <n v="6889"/>
    <x v="42"/>
    <x v="751"/>
    <n v="12896"/>
    <x v="652"/>
    <x v="0"/>
    <n v="14174"/>
  </r>
  <r>
    <s v="Coastal"/>
    <n v="4400"/>
    <s v="Hilo, Hawai'i, HI"/>
    <n v="3220"/>
    <x v="2"/>
    <x v="752"/>
    <n v="0"/>
    <x v="0"/>
    <x v="0"/>
    <n v="13754"/>
  </r>
  <r>
    <s v="Coastal"/>
    <n v="4400"/>
    <s v="Hilo, Hawai'i, HI"/>
    <n v="3299"/>
    <x v="79"/>
    <x v="753"/>
    <n v="12781"/>
    <x v="653"/>
    <x v="0"/>
    <n v="12957"/>
  </r>
  <r>
    <s v="Coastal"/>
    <n v="4400"/>
    <s v="Hilo, Hawai'i, HI"/>
    <n v="6887"/>
    <x v="138"/>
    <x v="754"/>
    <n v="0"/>
    <x v="0"/>
    <x v="0"/>
    <n v="10673"/>
  </r>
  <r>
    <s v="Coastal"/>
    <n v="4400"/>
    <s v="Hilo, Hawai'i, HI"/>
    <n v="9900"/>
    <x v="18"/>
    <x v="10"/>
    <n v="3757"/>
    <x v="654"/>
    <x v="0"/>
    <n v="3757"/>
  </r>
  <r>
    <s v="Coastal"/>
    <n v="4400"/>
    <s v="Hilo, Hawai'i, HI"/>
    <n v="2429"/>
    <x v="17"/>
    <x v="755"/>
    <n v="0"/>
    <x v="0"/>
    <x v="0"/>
    <n v="3228"/>
  </r>
  <r>
    <s v="Coastal"/>
    <n v="4400"/>
    <s v="Hilo, Hawai'i, HI"/>
    <n v="5480"/>
    <x v="20"/>
    <x v="756"/>
    <n v="0"/>
    <x v="0"/>
    <x v="0"/>
    <n v="2504"/>
  </r>
  <r>
    <s v="Coastal"/>
    <n v="4400"/>
    <s v="Hilo, Hawai'i, HI"/>
    <n v="5540"/>
    <x v="64"/>
    <x v="757"/>
    <n v="0"/>
    <x v="0"/>
    <x v="0"/>
    <n v="1153"/>
  </r>
  <r>
    <s v="Coastal"/>
    <n v="4400"/>
    <s v="Hilo, Hawai'i, HI"/>
    <n v="4189"/>
    <x v="65"/>
    <x v="758"/>
    <n v="0"/>
    <x v="0"/>
    <x v="0"/>
    <n v="534"/>
  </r>
  <r>
    <s v="Coastal"/>
    <n v="4400"/>
    <s v="Hilo, Hawai'i, HI"/>
    <n v="4420"/>
    <x v="8"/>
    <x v="759"/>
    <n v="0"/>
    <x v="0"/>
    <x v="0"/>
    <n v="520"/>
  </r>
  <r>
    <s v="Coastal"/>
    <n v="4400"/>
    <s v="Hilo, Hawai'i, HI"/>
    <n v="5370"/>
    <x v="81"/>
    <x v="760"/>
    <n v="0"/>
    <x v="0"/>
    <x v="0"/>
    <n v="268"/>
  </r>
  <r>
    <s v="Coastal"/>
    <n v="4400"/>
    <s v="Hilo, Hawai'i, HI"/>
    <n v="7400"/>
    <x v="77"/>
    <x v="761"/>
    <n v="0"/>
    <x v="0"/>
    <x v="0"/>
    <n v="201"/>
  </r>
  <r>
    <s v="Coastal"/>
    <n v="4400"/>
    <s v="Hilo, Hawai'i, HI"/>
    <n v="5290"/>
    <x v="49"/>
    <x v="293"/>
    <n v="0"/>
    <x v="0"/>
    <x v="0"/>
    <n v="150"/>
  </r>
  <r>
    <s v="Coastal"/>
    <n v="4400"/>
    <s v="Hilo, Hawai'i, HI"/>
    <n v="6885"/>
    <x v="72"/>
    <x v="762"/>
    <n v="0"/>
    <x v="0"/>
    <x v="0"/>
    <n v="64"/>
  </r>
  <r>
    <s v="Coastal"/>
    <n v="4400"/>
    <s v="Hilo, Hawai'i, HI"/>
    <n v="5240"/>
    <x v="89"/>
    <x v="646"/>
    <n v="0"/>
    <x v="0"/>
    <x v="0"/>
    <n v="62"/>
  </r>
  <r>
    <s v="Coastal"/>
    <n v="4400"/>
    <s v="Hilo, Hawai'i, HI"/>
    <n v="6839"/>
    <x v="106"/>
    <x v="181"/>
    <n v="0"/>
    <x v="0"/>
    <x v="0"/>
    <n v="45"/>
  </r>
  <r>
    <s v="Coastal"/>
    <n v="4400"/>
    <s v="Hilo, Hawai'i, HI"/>
    <n v="3190"/>
    <x v="38"/>
    <x v="183"/>
    <n v="0"/>
    <x v="0"/>
    <x v="0"/>
    <n v="27"/>
  </r>
  <r>
    <s v="Great Lakes"/>
    <n v="3721"/>
    <s v="Holland, MI"/>
    <n v="4322"/>
    <x v="33"/>
    <x v="763"/>
    <n v="22046"/>
    <x v="0"/>
    <x v="277"/>
    <n v="260407"/>
  </r>
  <r>
    <s v="Great Lakes"/>
    <n v="3721"/>
    <s v="Holland, MI"/>
    <n v="4331"/>
    <x v="29"/>
    <x v="10"/>
    <n v="168891"/>
    <x v="655"/>
    <x v="0"/>
    <n v="168891"/>
  </r>
  <r>
    <s v="Great Lakes"/>
    <n v="3721"/>
    <s v="Holland, MI"/>
    <n v="4420"/>
    <x v="8"/>
    <x v="764"/>
    <n v="0"/>
    <x v="0"/>
    <x v="0"/>
    <n v="147561"/>
  </r>
  <r>
    <s v="Great Lakes"/>
    <n v="3721"/>
    <s v="Holland, MI"/>
    <n v="4860"/>
    <x v="31"/>
    <x v="765"/>
    <n v="0"/>
    <x v="0"/>
    <x v="0"/>
    <n v="13974"/>
  </r>
  <r>
    <s v="Great Lakes"/>
    <n v="3721"/>
    <s v="Holland, MI"/>
    <n v="5290"/>
    <x v="49"/>
    <x v="10"/>
    <n v="114"/>
    <x v="305"/>
    <x v="0"/>
    <n v="114"/>
  </r>
  <r>
    <s v="Coastal"/>
    <n v="4830"/>
    <s v="Homer, AK"/>
    <n v="2221"/>
    <x v="9"/>
    <x v="766"/>
    <n v="291491"/>
    <x v="656"/>
    <x v="0"/>
    <n v="299970"/>
  </r>
  <r>
    <s v="Coastal"/>
    <n v="4830"/>
    <s v="Homer, AK"/>
    <n v="2330"/>
    <x v="1"/>
    <x v="767"/>
    <n v="0"/>
    <x v="0"/>
    <x v="0"/>
    <n v="23232"/>
  </r>
  <r>
    <s v="Coastal"/>
    <n v="4830"/>
    <s v="Homer, AK"/>
    <n v="2211"/>
    <x v="0"/>
    <x v="768"/>
    <n v="0"/>
    <x v="0"/>
    <x v="0"/>
    <n v="7647"/>
  </r>
  <r>
    <s v="Coastal"/>
    <n v="4830"/>
    <s v="Homer, AK"/>
    <n v="5480"/>
    <x v="20"/>
    <x v="10"/>
    <n v="11"/>
    <x v="14"/>
    <x v="0"/>
    <n v="11"/>
  </r>
  <r>
    <s v="Coastal"/>
    <n v="4421"/>
    <s v="Honolulu, O'ahu, HI"/>
    <n v="7800"/>
    <x v="140"/>
    <x v="769"/>
    <n v="0"/>
    <x v="0"/>
    <x v="0"/>
    <n v="7863526"/>
  </r>
  <r>
    <s v="Coastal"/>
    <n v="4421"/>
    <s v="Honolulu, O'ahu, HI"/>
    <n v="7900"/>
    <x v="21"/>
    <x v="770"/>
    <n v="34122"/>
    <x v="657"/>
    <x v="371"/>
    <n v="2762606"/>
  </r>
  <r>
    <s v="Coastal"/>
    <n v="4421"/>
    <s v="Honolulu, O'ahu, HI"/>
    <n v="7210"/>
    <x v="59"/>
    <x v="771"/>
    <n v="29992"/>
    <x v="658"/>
    <x v="415"/>
    <n v="666080"/>
  </r>
  <r>
    <s v="Coastal"/>
    <n v="4421"/>
    <s v="Honolulu, O'ahu, HI"/>
    <n v="6889"/>
    <x v="42"/>
    <x v="772"/>
    <n v="13883"/>
    <x v="659"/>
    <x v="416"/>
    <n v="537374"/>
  </r>
  <r>
    <s v="Coastal"/>
    <n v="4421"/>
    <s v="Honolulu, O'ahu, HI"/>
    <n v="2221"/>
    <x v="9"/>
    <x v="773"/>
    <n v="311201"/>
    <x v="660"/>
    <x v="0"/>
    <n v="356275"/>
  </r>
  <r>
    <s v="Coastal"/>
    <n v="4421"/>
    <s v="Honolulu, O'ahu, HI"/>
    <n v="2100"/>
    <x v="35"/>
    <x v="10"/>
    <n v="299367"/>
    <x v="661"/>
    <x v="0"/>
    <n v="299367"/>
  </r>
  <r>
    <s v="Coastal"/>
    <n v="4421"/>
    <s v="Honolulu, O'ahu, HI"/>
    <n v="7400"/>
    <x v="77"/>
    <x v="774"/>
    <n v="3364"/>
    <x v="662"/>
    <x v="131"/>
    <n v="256659"/>
  </r>
  <r>
    <s v="Coastal"/>
    <n v="4421"/>
    <s v="Honolulu, O'ahu, HI"/>
    <n v="4189"/>
    <x v="65"/>
    <x v="775"/>
    <n v="156"/>
    <x v="354"/>
    <x v="0"/>
    <n v="181639"/>
  </r>
  <r>
    <s v="Coastal"/>
    <n v="4421"/>
    <s v="Honolulu, O'ahu, HI"/>
    <n v="6885"/>
    <x v="72"/>
    <x v="776"/>
    <n v="4126"/>
    <x v="663"/>
    <x v="417"/>
    <n v="174180"/>
  </r>
  <r>
    <s v="Coastal"/>
    <n v="4421"/>
    <s v="Honolulu, O'ahu, HI"/>
    <n v="6654"/>
    <x v="50"/>
    <x v="777"/>
    <n v="9768"/>
    <x v="664"/>
    <x v="418"/>
    <n v="124730"/>
  </r>
  <r>
    <s v="Coastal"/>
    <n v="4421"/>
    <s v="Honolulu, O'ahu, HI"/>
    <n v="3220"/>
    <x v="2"/>
    <x v="778"/>
    <n v="374"/>
    <x v="475"/>
    <x v="419"/>
    <n v="108477"/>
  </r>
  <r>
    <s v="Coastal"/>
    <n v="4421"/>
    <s v="Honolulu, O'ahu, HI"/>
    <n v="4225"/>
    <x v="10"/>
    <x v="779"/>
    <n v="89682"/>
    <x v="665"/>
    <x v="420"/>
    <n v="104171"/>
  </r>
  <r>
    <s v="Coastal"/>
    <n v="4421"/>
    <s v="Honolulu, O'ahu, HI"/>
    <n v="7110"/>
    <x v="4"/>
    <x v="780"/>
    <n v="9946"/>
    <x v="666"/>
    <x v="421"/>
    <n v="99962"/>
  </r>
  <r>
    <s v="Coastal"/>
    <n v="4421"/>
    <s v="Honolulu, O'ahu, HI"/>
    <n v="6782"/>
    <x v="27"/>
    <x v="781"/>
    <n v="642"/>
    <x v="475"/>
    <x v="422"/>
    <n v="69682"/>
  </r>
  <r>
    <s v="Coastal"/>
    <n v="4421"/>
    <s v="Honolulu, O'ahu, HI"/>
    <n v="1100"/>
    <x v="32"/>
    <x v="10"/>
    <n v="61226"/>
    <x v="667"/>
    <x v="0"/>
    <n v="61226"/>
  </r>
  <r>
    <s v="Coastal"/>
    <n v="4421"/>
    <s v="Honolulu, O'ahu, HI"/>
    <n v="4331"/>
    <x v="29"/>
    <x v="782"/>
    <n v="40920"/>
    <x v="668"/>
    <x v="98"/>
    <n v="59987"/>
  </r>
  <r>
    <s v="Coastal"/>
    <n v="4421"/>
    <s v="Honolulu, O'ahu, HI"/>
    <n v="4420"/>
    <x v="8"/>
    <x v="783"/>
    <n v="29998"/>
    <x v="669"/>
    <x v="423"/>
    <n v="59414"/>
  </r>
  <r>
    <s v="Coastal"/>
    <n v="4421"/>
    <s v="Honolulu, O'ahu, HI"/>
    <n v="6811"/>
    <x v="76"/>
    <x v="784"/>
    <n v="1303"/>
    <x v="670"/>
    <x v="424"/>
    <n v="59033"/>
  </r>
  <r>
    <s v="Coastal"/>
    <n v="4421"/>
    <s v="Honolulu, O'ahu, HI"/>
    <n v="5290"/>
    <x v="49"/>
    <x v="785"/>
    <n v="19098"/>
    <x v="671"/>
    <x v="425"/>
    <n v="52209"/>
  </r>
  <r>
    <s v="Coastal"/>
    <n v="4421"/>
    <s v="Honolulu, O'ahu, HI"/>
    <n v="2330"/>
    <x v="1"/>
    <x v="786"/>
    <n v="46496"/>
    <x v="672"/>
    <x v="426"/>
    <n v="51840"/>
  </r>
  <r>
    <s v="Coastal"/>
    <n v="4421"/>
    <s v="Honolulu, O'ahu, HI"/>
    <n v="2211"/>
    <x v="0"/>
    <x v="787"/>
    <n v="44665"/>
    <x v="673"/>
    <x v="0"/>
    <n v="51214"/>
  </r>
  <r>
    <s v="Coastal"/>
    <n v="4421"/>
    <s v="Honolulu, O'ahu, HI"/>
    <n v="2640"/>
    <x v="110"/>
    <x v="788"/>
    <n v="337"/>
    <x v="288"/>
    <x v="276"/>
    <n v="49318"/>
  </r>
  <r>
    <s v="Coastal"/>
    <n v="4421"/>
    <s v="Honolulu, O'ahu, HI"/>
    <n v="5190"/>
    <x v="83"/>
    <x v="789"/>
    <n v="5332"/>
    <x v="674"/>
    <x v="427"/>
    <n v="48444"/>
  </r>
  <r>
    <s v="Coastal"/>
    <n v="4421"/>
    <s v="Honolulu, O'ahu, HI"/>
    <n v="6899"/>
    <x v="114"/>
    <x v="790"/>
    <n v="11"/>
    <x v="14"/>
    <x v="0"/>
    <n v="47581"/>
  </r>
  <r>
    <s v="Coastal"/>
    <n v="4421"/>
    <s v="Honolulu, O'ahu, HI"/>
    <n v="6887"/>
    <x v="138"/>
    <x v="791"/>
    <n v="0"/>
    <x v="0"/>
    <x v="0"/>
    <n v="39948"/>
  </r>
  <r>
    <s v="Coastal"/>
    <n v="4421"/>
    <s v="Honolulu, O'ahu, HI"/>
    <n v="3190"/>
    <x v="38"/>
    <x v="792"/>
    <n v="1079"/>
    <x v="675"/>
    <x v="249"/>
    <n v="37728"/>
  </r>
  <r>
    <s v="Coastal"/>
    <n v="4421"/>
    <s v="Honolulu, O'ahu, HI"/>
    <n v="7600"/>
    <x v="68"/>
    <x v="793"/>
    <n v="29524"/>
    <x v="676"/>
    <x v="428"/>
    <n v="36391"/>
  </r>
  <r>
    <s v="Coastal"/>
    <n v="4421"/>
    <s v="Honolulu, O'ahu, HI"/>
    <n v="7120"/>
    <x v="71"/>
    <x v="794"/>
    <n v="17976"/>
    <x v="677"/>
    <x v="429"/>
    <n v="35614"/>
  </r>
  <r>
    <s v="Coastal"/>
    <n v="4421"/>
    <s v="Honolulu, O'ahu, HI"/>
    <n v="5480"/>
    <x v="20"/>
    <x v="795"/>
    <n v="14486"/>
    <x v="678"/>
    <x v="430"/>
    <n v="32016"/>
  </r>
  <r>
    <s v="Coastal"/>
    <n v="4421"/>
    <s v="Honolulu, O'ahu, HI"/>
    <n v="6442"/>
    <x v="85"/>
    <x v="796"/>
    <n v="4745"/>
    <x v="679"/>
    <x v="0"/>
    <n v="30987"/>
  </r>
  <r>
    <s v="Coastal"/>
    <n v="4421"/>
    <s v="Honolulu, O'ahu, HI"/>
    <n v="5360"/>
    <x v="94"/>
    <x v="797"/>
    <n v="462"/>
    <x v="680"/>
    <x v="128"/>
    <n v="30405"/>
  </r>
  <r>
    <s v="Coastal"/>
    <n v="4421"/>
    <s v="Honolulu, O'ahu, HI"/>
    <n v="5330"/>
    <x v="16"/>
    <x v="798"/>
    <n v="49"/>
    <x v="681"/>
    <x v="0"/>
    <n v="29258"/>
  </r>
  <r>
    <s v="Coastal"/>
    <n v="4421"/>
    <s v="Honolulu, O'ahu, HI"/>
    <n v="6781"/>
    <x v="128"/>
    <x v="799"/>
    <n v="0"/>
    <x v="0"/>
    <x v="0"/>
    <n v="28961"/>
  </r>
  <r>
    <s v="Coastal"/>
    <n v="4421"/>
    <s v="Honolulu, O'ahu, HI"/>
    <n v="5370"/>
    <x v="81"/>
    <x v="800"/>
    <n v="2903"/>
    <x v="682"/>
    <x v="265"/>
    <n v="26228"/>
  </r>
  <r>
    <s v="Coastal"/>
    <n v="4421"/>
    <s v="Honolulu, O'ahu, HI"/>
    <n v="3299"/>
    <x v="79"/>
    <x v="801"/>
    <n v="2044"/>
    <x v="683"/>
    <x v="431"/>
    <n v="24654"/>
  </r>
  <r>
    <s v="Coastal"/>
    <n v="4421"/>
    <s v="Honolulu, O'ahu, HI"/>
    <n v="4680"/>
    <x v="70"/>
    <x v="10"/>
    <n v="24212"/>
    <x v="154"/>
    <x v="432"/>
    <n v="24212"/>
  </r>
  <r>
    <s v="Coastal"/>
    <n v="4421"/>
    <s v="Honolulu, O'ahu, HI"/>
    <n v="5540"/>
    <x v="64"/>
    <x v="802"/>
    <n v="1649"/>
    <x v="684"/>
    <x v="433"/>
    <n v="21048"/>
  </r>
  <r>
    <s v="Coastal"/>
    <n v="4421"/>
    <s v="Honolulu, O'ahu, HI"/>
    <n v="6747"/>
    <x v="78"/>
    <x v="803"/>
    <n v="7915"/>
    <x v="685"/>
    <x v="434"/>
    <n v="19062"/>
  </r>
  <r>
    <s v="Coastal"/>
    <n v="4421"/>
    <s v="Honolulu, O'ahu, HI"/>
    <n v="6839"/>
    <x v="106"/>
    <x v="804"/>
    <n v="46"/>
    <x v="452"/>
    <x v="433"/>
    <n v="17976"/>
  </r>
  <r>
    <s v="Coastal"/>
    <n v="4421"/>
    <s v="Honolulu, O'ahu, HI"/>
    <n v="6822"/>
    <x v="84"/>
    <x v="805"/>
    <n v="12129"/>
    <x v="686"/>
    <x v="435"/>
    <n v="17525"/>
  </r>
  <r>
    <s v="Coastal"/>
    <n v="4421"/>
    <s v="Honolulu, O'ahu, HI"/>
    <n v="2350"/>
    <x v="40"/>
    <x v="806"/>
    <n v="14648"/>
    <x v="311"/>
    <x v="436"/>
    <n v="16749"/>
  </r>
  <r>
    <s v="Coastal"/>
    <n v="4421"/>
    <s v="Honolulu, O'ahu, HI"/>
    <n v="9900"/>
    <x v="18"/>
    <x v="10"/>
    <n v="15187"/>
    <x v="687"/>
    <x v="437"/>
    <n v="15187"/>
  </r>
  <r>
    <s v="Coastal"/>
    <n v="4421"/>
    <s v="Honolulu, O'ahu, HI"/>
    <n v="6888"/>
    <x v="109"/>
    <x v="10"/>
    <n v="14530"/>
    <x v="688"/>
    <x v="438"/>
    <n v="14530"/>
  </r>
  <r>
    <s v="Coastal"/>
    <n v="4421"/>
    <s v="Honolulu, O'ahu, HI"/>
    <n v="7500"/>
    <x v="60"/>
    <x v="807"/>
    <n v="11448"/>
    <x v="689"/>
    <x v="439"/>
    <n v="11773"/>
  </r>
  <r>
    <s v="Coastal"/>
    <n v="4421"/>
    <s v="Honolulu, O'ahu, HI"/>
    <n v="6858"/>
    <x v="74"/>
    <x v="808"/>
    <n v="8164"/>
    <x v="690"/>
    <x v="440"/>
    <n v="10933"/>
  </r>
  <r>
    <s v="Coastal"/>
    <n v="4421"/>
    <s v="Honolulu, O'ahu, HI"/>
    <n v="3286"/>
    <x v="57"/>
    <x v="293"/>
    <n v="9309"/>
    <x v="691"/>
    <x v="441"/>
    <n v="9459"/>
  </r>
  <r>
    <s v="Coastal"/>
    <n v="4421"/>
    <s v="Honolulu, O'ahu, HI"/>
    <n v="6134"/>
    <x v="82"/>
    <x v="809"/>
    <n v="8629"/>
    <x v="692"/>
    <x v="442"/>
    <n v="8836"/>
  </r>
  <r>
    <s v="Coastal"/>
    <n v="4421"/>
    <s v="Honolulu, O'ahu, HI"/>
    <n v="4741"/>
    <x v="56"/>
    <x v="10"/>
    <n v="7029"/>
    <x v="0"/>
    <x v="443"/>
    <n v="7029"/>
  </r>
  <r>
    <s v="Coastal"/>
    <n v="4421"/>
    <s v="Honolulu, O'ahu, HI"/>
    <n v="4860"/>
    <x v="31"/>
    <x v="10"/>
    <n v="7016"/>
    <x v="693"/>
    <x v="0"/>
    <n v="7016"/>
  </r>
  <r>
    <s v="Coastal"/>
    <n v="4421"/>
    <s v="Honolulu, O'ahu, HI"/>
    <n v="6857"/>
    <x v="104"/>
    <x v="810"/>
    <n v="4449"/>
    <x v="694"/>
    <x v="444"/>
    <n v="5516"/>
  </r>
  <r>
    <s v="Coastal"/>
    <n v="4421"/>
    <s v="Honolulu, O'ahu, HI"/>
    <n v="2990"/>
    <x v="102"/>
    <x v="811"/>
    <n v="0"/>
    <x v="0"/>
    <x v="0"/>
    <n v="5276"/>
  </r>
  <r>
    <s v="Coastal"/>
    <n v="4421"/>
    <s v="Honolulu, O'ahu, HI"/>
    <n v="5240"/>
    <x v="89"/>
    <x v="812"/>
    <n v="2986"/>
    <x v="375"/>
    <x v="445"/>
    <n v="5215"/>
  </r>
  <r>
    <s v="Coastal"/>
    <n v="4421"/>
    <s v="Honolulu, O'ahu, HI"/>
    <n v="2429"/>
    <x v="17"/>
    <x v="813"/>
    <n v="0"/>
    <x v="0"/>
    <x v="0"/>
    <n v="4328"/>
  </r>
  <r>
    <s v="Coastal"/>
    <n v="4421"/>
    <s v="Honolulu, O'ahu, HI"/>
    <n v="6871"/>
    <x v="73"/>
    <x v="814"/>
    <n v="613"/>
    <x v="695"/>
    <x v="446"/>
    <n v="4139"/>
  </r>
  <r>
    <s v="Coastal"/>
    <n v="4421"/>
    <s v="Honolulu, O'ahu, HI"/>
    <n v="3285"/>
    <x v="87"/>
    <x v="815"/>
    <n v="3459"/>
    <x v="696"/>
    <x v="447"/>
    <n v="3781"/>
  </r>
  <r>
    <s v="Coastal"/>
    <n v="4421"/>
    <s v="Honolulu, O'ahu, HI"/>
    <n v="5120"/>
    <x v="63"/>
    <x v="10"/>
    <n v="3210"/>
    <x v="697"/>
    <x v="448"/>
    <n v="3210"/>
  </r>
  <r>
    <s v="Coastal"/>
    <n v="4421"/>
    <s v="Honolulu, O'ahu, HI"/>
    <n v="3276"/>
    <x v="12"/>
    <x v="816"/>
    <n v="2914"/>
    <x v="698"/>
    <x v="449"/>
    <n v="3057"/>
  </r>
  <r>
    <s v="Coastal"/>
    <n v="4421"/>
    <s v="Honolulu, O'ahu, HI"/>
    <n v="6835"/>
    <x v="92"/>
    <x v="10"/>
    <n v="2951"/>
    <x v="699"/>
    <x v="450"/>
    <n v="2951"/>
  </r>
  <r>
    <s v="Coastal"/>
    <n v="4421"/>
    <s v="Honolulu, O'ahu, HI"/>
    <n v="4310"/>
    <x v="96"/>
    <x v="10"/>
    <n v="1912"/>
    <x v="700"/>
    <x v="0"/>
    <n v="1912"/>
  </r>
  <r>
    <s v="Coastal"/>
    <n v="4421"/>
    <s v="Honolulu, O'ahu, HI"/>
    <n v="6136"/>
    <x v="95"/>
    <x v="10"/>
    <n v="1457"/>
    <x v="600"/>
    <x v="130"/>
    <n v="1457"/>
  </r>
  <r>
    <s v="Coastal"/>
    <n v="4421"/>
    <s v="Honolulu, O'ahu, HI"/>
    <n v="3110"/>
    <x v="36"/>
    <x v="10"/>
    <n v="1293"/>
    <x v="701"/>
    <x v="0"/>
    <n v="1293"/>
  </r>
  <r>
    <s v="Coastal"/>
    <n v="4421"/>
    <s v="Honolulu, O'ahu, HI"/>
    <n v="8900"/>
    <x v="139"/>
    <x v="817"/>
    <n v="0"/>
    <x v="0"/>
    <x v="0"/>
    <n v="1263"/>
  </r>
  <r>
    <s v="Coastal"/>
    <n v="4421"/>
    <s v="Honolulu, O'ahu, HI"/>
    <n v="6856"/>
    <x v="126"/>
    <x v="818"/>
    <n v="297"/>
    <x v="440"/>
    <x v="0"/>
    <n v="1211"/>
  </r>
  <r>
    <s v="Coastal"/>
    <n v="4421"/>
    <s v="Honolulu, O'ahu, HI"/>
    <n v="6861"/>
    <x v="69"/>
    <x v="10"/>
    <n v="1134"/>
    <x v="702"/>
    <x v="0"/>
    <n v="1134"/>
  </r>
  <r>
    <s v="Coastal"/>
    <n v="4421"/>
    <s v="Honolulu, O'ahu, HI"/>
    <n v="7230"/>
    <x v="22"/>
    <x v="819"/>
    <n v="77"/>
    <x v="610"/>
    <x v="0"/>
    <n v="980"/>
  </r>
  <r>
    <s v="Coastal"/>
    <n v="4421"/>
    <s v="Honolulu, O'ahu, HI"/>
    <n v="6891"/>
    <x v="93"/>
    <x v="820"/>
    <n v="103"/>
    <x v="310"/>
    <x v="213"/>
    <n v="920"/>
  </r>
  <r>
    <s v="Coastal"/>
    <n v="4421"/>
    <s v="Honolulu, O'ahu, HI"/>
    <n v="4190"/>
    <x v="99"/>
    <x v="10"/>
    <n v="840"/>
    <x v="703"/>
    <x v="119"/>
    <n v="840"/>
  </r>
  <r>
    <s v="Coastal"/>
    <n v="4421"/>
    <s v="Honolulu, O'ahu, HI"/>
    <n v="6894"/>
    <x v="120"/>
    <x v="10"/>
    <n v="795"/>
    <x v="704"/>
    <x v="0"/>
    <n v="795"/>
  </r>
  <r>
    <s v="Coastal"/>
    <n v="4421"/>
    <s v="Honolulu, O'ahu, HI"/>
    <n v="3282"/>
    <x v="91"/>
    <x v="821"/>
    <n v="70"/>
    <x v="205"/>
    <x v="275"/>
    <n v="645"/>
  </r>
  <r>
    <s v="Coastal"/>
    <n v="4421"/>
    <s v="Honolulu, O'ahu, HI"/>
    <n v="3275"/>
    <x v="47"/>
    <x v="10"/>
    <n v="641"/>
    <x v="705"/>
    <x v="451"/>
    <n v="641"/>
  </r>
  <r>
    <s v="Coastal"/>
    <n v="4421"/>
    <s v="Honolulu, O'ahu, HI"/>
    <n v="6653"/>
    <x v="24"/>
    <x v="10"/>
    <n v="613"/>
    <x v="706"/>
    <x v="225"/>
    <n v="613"/>
  </r>
  <r>
    <s v="Coastal"/>
    <n v="4421"/>
    <s v="Honolulu, O'ahu, HI"/>
    <n v="5421"/>
    <x v="88"/>
    <x v="10"/>
    <n v="559"/>
    <x v="707"/>
    <x v="230"/>
    <n v="559"/>
  </r>
  <r>
    <s v="Coastal"/>
    <n v="4421"/>
    <s v="Honolulu, O'ahu, HI"/>
    <n v="3130"/>
    <x v="37"/>
    <x v="10"/>
    <n v="547"/>
    <x v="708"/>
    <x v="0"/>
    <n v="547"/>
  </r>
  <r>
    <s v="Coastal"/>
    <n v="4421"/>
    <s v="Honolulu, O'ahu, HI"/>
    <n v="6817"/>
    <x v="119"/>
    <x v="10"/>
    <n v="495"/>
    <x v="709"/>
    <x v="365"/>
    <n v="495"/>
  </r>
  <r>
    <s v="Coastal"/>
    <n v="4421"/>
    <s v="Honolulu, O'ahu, HI"/>
    <n v="6746"/>
    <x v="118"/>
    <x v="90"/>
    <n v="421"/>
    <x v="177"/>
    <x v="126"/>
    <n v="461"/>
  </r>
  <r>
    <s v="Coastal"/>
    <n v="4421"/>
    <s v="Honolulu, O'ahu, HI"/>
    <n v="4900"/>
    <x v="14"/>
    <x v="646"/>
    <n v="348"/>
    <x v="710"/>
    <x v="0"/>
    <n v="410"/>
  </r>
  <r>
    <s v="Coastal"/>
    <n v="4421"/>
    <s v="Honolulu, O'ahu, HI"/>
    <n v="3292"/>
    <x v="51"/>
    <x v="10"/>
    <n v="406"/>
    <x v="198"/>
    <x v="452"/>
    <n v="406"/>
  </r>
  <r>
    <s v="Coastal"/>
    <n v="4421"/>
    <s v="Honolulu, O'ahu, HI"/>
    <n v="5220"/>
    <x v="30"/>
    <x v="822"/>
    <n v="3"/>
    <x v="0"/>
    <x v="128"/>
    <n v="376"/>
  </r>
  <r>
    <s v="Coastal"/>
    <n v="4421"/>
    <s v="Honolulu, O'ahu, HI"/>
    <n v="3293"/>
    <x v="122"/>
    <x v="483"/>
    <n v="319"/>
    <x v="711"/>
    <x v="411"/>
    <n v="331"/>
  </r>
  <r>
    <s v="Coastal"/>
    <n v="4421"/>
    <s v="Honolulu, O'ahu, HI"/>
    <n v="5422"/>
    <x v="66"/>
    <x v="10"/>
    <n v="327"/>
    <x v="712"/>
    <x v="376"/>
    <n v="327"/>
  </r>
  <r>
    <s v="Coastal"/>
    <n v="4421"/>
    <s v="Honolulu, O'ahu, HI"/>
    <n v="3291"/>
    <x v="117"/>
    <x v="823"/>
    <n v="226"/>
    <x v="300"/>
    <x v="376"/>
    <n v="314"/>
  </r>
  <r>
    <s v="Coastal"/>
    <n v="4421"/>
    <s v="Honolulu, O'ahu, HI"/>
    <n v="4515"/>
    <x v="129"/>
    <x v="10"/>
    <n v="240"/>
    <x v="713"/>
    <x v="0"/>
    <n v="240"/>
  </r>
  <r>
    <s v="Coastal"/>
    <n v="4421"/>
    <s v="Honolulu, O'ahu, HI"/>
    <n v="7220"/>
    <x v="103"/>
    <x v="824"/>
    <n v="204"/>
    <x v="449"/>
    <x v="453"/>
    <n v="239"/>
  </r>
  <r>
    <s v="Coastal"/>
    <n v="4421"/>
    <s v="Honolulu, O'ahu, HI"/>
    <n v="5390"/>
    <x v="44"/>
    <x v="10"/>
    <n v="204"/>
    <x v="714"/>
    <x v="284"/>
    <n v="204"/>
  </r>
  <r>
    <s v="Coastal"/>
    <n v="4421"/>
    <s v="Honolulu, O'ahu, HI"/>
    <n v="3230"/>
    <x v="80"/>
    <x v="10"/>
    <n v="177"/>
    <x v="715"/>
    <x v="0"/>
    <n v="177"/>
  </r>
  <r>
    <s v="Coastal"/>
    <n v="4421"/>
    <s v="Honolulu, O'ahu, HI"/>
    <n v="3274"/>
    <x v="86"/>
    <x v="10"/>
    <n v="127"/>
    <x v="716"/>
    <x v="0"/>
    <n v="127"/>
  </r>
  <r>
    <s v="Coastal"/>
    <n v="4421"/>
    <s v="Honolulu, O'ahu, HI"/>
    <n v="3279"/>
    <x v="58"/>
    <x v="10"/>
    <n v="88"/>
    <x v="717"/>
    <x v="268"/>
    <n v="88"/>
  </r>
  <r>
    <s v="Coastal"/>
    <n v="4421"/>
    <s v="Honolulu, O'ahu, HI"/>
    <n v="3240"/>
    <x v="53"/>
    <x v="10"/>
    <n v="81"/>
    <x v="554"/>
    <x v="0"/>
    <n v="81"/>
  </r>
  <r>
    <s v="Coastal"/>
    <n v="4421"/>
    <s v="Honolulu, O'ahu, HI"/>
    <n v="6344"/>
    <x v="25"/>
    <x v="10"/>
    <n v="78"/>
    <x v="718"/>
    <x v="134"/>
    <n v="78"/>
  </r>
  <r>
    <s v="Coastal"/>
    <n v="4421"/>
    <s v="Honolulu, O'ahu, HI"/>
    <n v="6590"/>
    <x v="23"/>
    <x v="10"/>
    <n v="77"/>
    <x v="610"/>
    <x v="0"/>
    <n v="77"/>
  </r>
  <r>
    <s v="Coastal"/>
    <n v="4421"/>
    <s v="Honolulu, O'ahu, HI"/>
    <n v="3297"/>
    <x v="116"/>
    <x v="10"/>
    <n v="74"/>
    <x v="717"/>
    <x v="82"/>
    <n v="74"/>
  </r>
  <r>
    <s v="Coastal"/>
    <n v="4421"/>
    <s v="Honolulu, O'ahu, HI"/>
    <n v="4783"/>
    <x v="7"/>
    <x v="825"/>
    <n v="20"/>
    <x v="0"/>
    <x v="125"/>
    <n v="63"/>
  </r>
  <r>
    <s v="Coastal"/>
    <n v="4421"/>
    <s v="Honolulu, O'ahu, HI"/>
    <n v="6893"/>
    <x v="113"/>
    <x v="10"/>
    <n v="55"/>
    <x v="719"/>
    <x v="0"/>
    <n v="55"/>
  </r>
  <r>
    <s v="Coastal"/>
    <n v="4421"/>
    <s v="Honolulu, O'ahu, HI"/>
    <n v="4782"/>
    <x v="45"/>
    <x v="10"/>
    <n v="51"/>
    <x v="555"/>
    <x v="454"/>
    <n v="51"/>
  </r>
  <r>
    <s v="Coastal"/>
    <n v="4421"/>
    <s v="Honolulu, O'ahu, HI"/>
    <n v="3250"/>
    <x v="108"/>
    <x v="10"/>
    <n v="43"/>
    <x v="720"/>
    <x v="0"/>
    <n v="43"/>
  </r>
  <r>
    <s v="Coastal"/>
    <n v="4421"/>
    <s v="Honolulu, O'ahu, HI"/>
    <n v="5429"/>
    <x v="61"/>
    <x v="10"/>
    <n v="41"/>
    <x v="313"/>
    <x v="410"/>
    <n v="41"/>
  </r>
  <r>
    <s v="Coastal"/>
    <n v="4421"/>
    <s v="Honolulu, O'ahu, HI"/>
    <n v="5312"/>
    <x v="52"/>
    <x v="10"/>
    <n v="29"/>
    <x v="669"/>
    <x v="0"/>
    <n v="29"/>
  </r>
  <r>
    <s v="Coastal"/>
    <n v="4421"/>
    <s v="Honolulu, O'ahu, HI"/>
    <n v="4322"/>
    <x v="33"/>
    <x v="10"/>
    <n v="28"/>
    <x v="717"/>
    <x v="0"/>
    <n v="28"/>
  </r>
  <r>
    <s v="Coastal"/>
    <n v="4421"/>
    <s v="Honolulu, O'ahu, HI"/>
    <n v="6522"/>
    <x v="26"/>
    <x v="10"/>
    <n v="26"/>
    <x v="415"/>
    <x v="0"/>
    <n v="26"/>
  </r>
  <r>
    <s v="Coastal"/>
    <n v="4421"/>
    <s v="Honolulu, O'ahu, HI"/>
    <n v="4150"/>
    <x v="101"/>
    <x v="10"/>
    <n v="25"/>
    <x v="208"/>
    <x v="0"/>
    <n v="25"/>
  </r>
  <r>
    <s v="Coastal"/>
    <n v="4421"/>
    <s v="Honolulu, O'ahu, HI"/>
    <n v="6872"/>
    <x v="100"/>
    <x v="10"/>
    <n v="23"/>
    <x v="209"/>
    <x v="0"/>
    <n v="23"/>
  </r>
  <r>
    <s v="Coastal"/>
    <n v="4421"/>
    <s v="Honolulu, O'ahu, HI"/>
    <n v="2410"/>
    <x v="98"/>
    <x v="10"/>
    <n v="21"/>
    <x v="154"/>
    <x v="0"/>
    <n v="21"/>
  </r>
  <r>
    <s v="Coastal"/>
    <n v="4421"/>
    <s v="Honolulu, O'ahu, HI"/>
    <n v="3284"/>
    <x v="97"/>
    <x v="10"/>
    <n v="18"/>
    <x v="393"/>
    <x v="220"/>
    <n v="18"/>
  </r>
  <r>
    <s v="Coastal"/>
    <n v="4421"/>
    <s v="Honolulu, O'ahu, HI"/>
    <n v="3260"/>
    <x v="107"/>
    <x v="10"/>
    <n v="17"/>
    <x v="182"/>
    <x v="0"/>
    <n v="17"/>
  </r>
  <r>
    <s v="Coastal"/>
    <n v="4421"/>
    <s v="Honolulu, O'ahu, HI"/>
    <n v="6521"/>
    <x v="121"/>
    <x v="10"/>
    <n v="16"/>
    <x v="452"/>
    <x v="0"/>
    <n v="16"/>
  </r>
  <r>
    <s v="Coastal"/>
    <n v="4421"/>
    <s v="Honolulu, O'ahu, HI"/>
    <n v="6241"/>
    <x v="28"/>
    <x v="10"/>
    <n v="15"/>
    <x v="612"/>
    <x v="0"/>
    <n v="15"/>
  </r>
  <r>
    <s v="Coastal"/>
    <n v="4421"/>
    <s v="Honolulu, O'ahu, HI"/>
    <n v="5110"/>
    <x v="112"/>
    <x v="826"/>
    <n v="0"/>
    <x v="0"/>
    <x v="0"/>
    <n v="14"/>
  </r>
  <r>
    <s v="Coastal"/>
    <n v="4421"/>
    <s v="Honolulu, O'ahu, HI"/>
    <n v="4650"/>
    <x v="67"/>
    <x v="10"/>
    <n v="12"/>
    <x v="20"/>
    <x v="0"/>
    <n v="12"/>
  </r>
  <r>
    <s v="Coastal"/>
    <n v="4421"/>
    <s v="Honolulu, O'ahu, HI"/>
    <n v="5320"/>
    <x v="13"/>
    <x v="10"/>
    <n v="8"/>
    <x v="0"/>
    <x v="232"/>
    <n v="8"/>
  </r>
  <r>
    <s v="Coastal"/>
    <n v="4421"/>
    <s v="Honolulu, O'ahu, HI"/>
    <n v="3283"/>
    <x v="111"/>
    <x v="10"/>
    <n v="2"/>
    <x v="212"/>
    <x v="0"/>
    <n v="2"/>
  </r>
  <r>
    <s v="Coastal"/>
    <n v="4421"/>
    <s v="Honolulu, O'ahu, HI"/>
    <n v="4161"/>
    <x v="54"/>
    <x v="10"/>
    <n v="2"/>
    <x v="212"/>
    <x v="0"/>
    <n v="2"/>
  </r>
  <r>
    <s v="Coastal"/>
    <n v="4421"/>
    <s v="Honolulu, O'ahu, HI"/>
    <n v="7300"/>
    <x v="115"/>
    <x v="10"/>
    <n v="1"/>
    <x v="19"/>
    <x v="0"/>
    <n v="1"/>
  </r>
  <r>
    <s v="Coastal"/>
    <n v="4797"/>
    <s v="Hoonah, AK"/>
    <n v="6887"/>
    <x v="138"/>
    <x v="827"/>
    <n v="0"/>
    <x v="0"/>
    <x v="0"/>
    <n v="849"/>
  </r>
  <r>
    <s v="Coastal"/>
    <n v="4797"/>
    <s v="Hoonah, AK"/>
    <n v="7900"/>
    <x v="21"/>
    <x v="828"/>
    <n v="0"/>
    <x v="0"/>
    <x v="0"/>
    <n v="786"/>
  </r>
  <r>
    <s v="Coastal"/>
    <n v="4797"/>
    <s v="Hoonah, AK"/>
    <n v="6134"/>
    <x v="82"/>
    <x v="829"/>
    <n v="0"/>
    <x v="0"/>
    <x v="0"/>
    <n v="754"/>
  </r>
  <r>
    <s v="Coastal"/>
    <n v="4797"/>
    <s v="Hoonah, AK"/>
    <n v="4331"/>
    <x v="29"/>
    <x v="830"/>
    <n v="0"/>
    <x v="0"/>
    <x v="0"/>
    <n v="725"/>
  </r>
  <r>
    <s v="Coastal"/>
    <n v="4797"/>
    <s v="Hoonah, AK"/>
    <n v="7400"/>
    <x v="77"/>
    <x v="831"/>
    <n v="0"/>
    <x v="0"/>
    <x v="0"/>
    <n v="394"/>
  </r>
  <r>
    <s v="Coastal"/>
    <n v="4797"/>
    <s v="Hoonah, AK"/>
    <n v="2211"/>
    <x v="0"/>
    <x v="832"/>
    <n v="0"/>
    <x v="0"/>
    <x v="0"/>
    <n v="382"/>
  </r>
  <r>
    <s v="Coastal"/>
    <n v="4797"/>
    <s v="Hoonah, AK"/>
    <n v="5360"/>
    <x v="94"/>
    <x v="833"/>
    <n v="0"/>
    <x v="0"/>
    <x v="0"/>
    <n v="377"/>
  </r>
  <r>
    <s v="Coastal"/>
    <n v="4797"/>
    <s v="Hoonah, AK"/>
    <n v="6885"/>
    <x v="72"/>
    <x v="834"/>
    <n v="0"/>
    <x v="0"/>
    <x v="0"/>
    <n v="331"/>
  </r>
  <r>
    <s v="Coastal"/>
    <n v="4797"/>
    <s v="Hoonah, AK"/>
    <n v="7210"/>
    <x v="59"/>
    <x v="835"/>
    <n v="0"/>
    <x v="0"/>
    <x v="0"/>
    <n v="244"/>
  </r>
  <r>
    <s v="Coastal"/>
    <n v="4797"/>
    <s v="Hoonah, AK"/>
    <n v="7110"/>
    <x v="4"/>
    <x v="836"/>
    <n v="0"/>
    <x v="0"/>
    <x v="0"/>
    <n v="206"/>
  </r>
  <r>
    <s v="Coastal"/>
    <n v="4797"/>
    <s v="Hoonah, AK"/>
    <n v="7500"/>
    <x v="60"/>
    <x v="837"/>
    <n v="0"/>
    <x v="0"/>
    <x v="0"/>
    <n v="190"/>
  </r>
  <r>
    <s v="Coastal"/>
    <n v="4797"/>
    <s v="Hoonah, AK"/>
    <n v="4189"/>
    <x v="65"/>
    <x v="838"/>
    <n v="0"/>
    <x v="0"/>
    <x v="0"/>
    <n v="166"/>
  </r>
  <r>
    <s v="Coastal"/>
    <n v="4797"/>
    <s v="Hoonah, AK"/>
    <n v="3299"/>
    <x v="79"/>
    <x v="839"/>
    <n v="0"/>
    <x v="0"/>
    <x v="0"/>
    <n v="155"/>
  </r>
  <r>
    <s v="Coastal"/>
    <n v="4797"/>
    <s v="Hoonah, AK"/>
    <n v="5480"/>
    <x v="20"/>
    <x v="840"/>
    <n v="0"/>
    <x v="0"/>
    <x v="0"/>
    <n v="149"/>
  </r>
  <r>
    <s v="Coastal"/>
    <n v="4797"/>
    <s v="Hoonah, AK"/>
    <n v="3282"/>
    <x v="91"/>
    <x v="841"/>
    <n v="0"/>
    <x v="0"/>
    <x v="0"/>
    <n v="117"/>
  </r>
  <r>
    <s v="Coastal"/>
    <n v="4797"/>
    <s v="Hoonah, AK"/>
    <n v="5190"/>
    <x v="83"/>
    <x v="842"/>
    <n v="0"/>
    <x v="0"/>
    <x v="0"/>
    <n v="101"/>
  </r>
  <r>
    <s v="Coastal"/>
    <n v="4797"/>
    <s v="Hoonah, AK"/>
    <n v="7120"/>
    <x v="71"/>
    <x v="843"/>
    <n v="0"/>
    <x v="0"/>
    <x v="0"/>
    <n v="82"/>
  </r>
  <r>
    <s v="Coastal"/>
    <n v="4797"/>
    <s v="Hoonah, AK"/>
    <n v="7230"/>
    <x v="22"/>
    <x v="844"/>
    <n v="0"/>
    <x v="0"/>
    <x v="0"/>
    <n v="66"/>
  </r>
  <r>
    <s v="Coastal"/>
    <n v="4797"/>
    <s v="Hoonah, AK"/>
    <n v="2990"/>
    <x v="102"/>
    <x v="845"/>
    <n v="0"/>
    <x v="0"/>
    <x v="0"/>
    <n v="54"/>
  </r>
  <r>
    <s v="Coastal"/>
    <n v="4797"/>
    <s v="Hoonah, AK"/>
    <n v="6889"/>
    <x v="42"/>
    <x v="846"/>
    <n v="0"/>
    <x v="0"/>
    <x v="0"/>
    <n v="38"/>
  </r>
  <r>
    <s v="Coastal"/>
    <n v="4797"/>
    <s v="Hoonah, AK"/>
    <n v="6782"/>
    <x v="27"/>
    <x v="824"/>
    <n v="0"/>
    <x v="0"/>
    <x v="0"/>
    <n v="35"/>
  </r>
  <r>
    <s v="Coastal"/>
    <n v="4797"/>
    <s v="Hoonah, AK"/>
    <n v="5290"/>
    <x v="49"/>
    <x v="847"/>
    <n v="0"/>
    <x v="0"/>
    <x v="0"/>
    <n v="21"/>
  </r>
  <r>
    <s v="Coastal"/>
    <n v="4797"/>
    <s v="Hoonah, AK"/>
    <n v="5370"/>
    <x v="81"/>
    <x v="848"/>
    <n v="0"/>
    <x v="0"/>
    <x v="0"/>
    <n v="13"/>
  </r>
  <r>
    <s v="Coastal"/>
    <n v="4797"/>
    <s v="Hoonah, AK"/>
    <n v="5240"/>
    <x v="89"/>
    <x v="420"/>
    <n v="0"/>
    <x v="0"/>
    <x v="0"/>
    <n v="11"/>
  </r>
  <r>
    <s v="Coastal"/>
    <n v="4797"/>
    <s v="Hoonah, AK"/>
    <n v="5540"/>
    <x v="64"/>
    <x v="420"/>
    <n v="0"/>
    <x v="0"/>
    <x v="0"/>
    <n v="11"/>
  </r>
  <r>
    <s v="Coastal"/>
    <n v="4797"/>
    <s v="Hoonah, AK"/>
    <n v="2430"/>
    <x v="11"/>
    <x v="422"/>
    <n v="0"/>
    <x v="0"/>
    <x v="0"/>
    <n v="3"/>
  </r>
  <r>
    <s v="Coastal"/>
    <n v="4797"/>
    <s v="Hoonah, AK"/>
    <n v="4420"/>
    <x v="8"/>
    <x v="422"/>
    <n v="0"/>
    <x v="0"/>
    <x v="0"/>
    <n v="3"/>
  </r>
  <r>
    <s v="Coastal"/>
    <n v="4797"/>
    <s v="Hoonah, AK"/>
    <n v="3220"/>
    <x v="2"/>
    <x v="131"/>
    <n v="0"/>
    <x v="0"/>
    <x v="0"/>
    <n v="2"/>
  </r>
  <r>
    <s v="Coastal"/>
    <n v="4962"/>
    <s v="Hooper Bay, AK"/>
    <n v="2330"/>
    <x v="1"/>
    <x v="849"/>
    <n v="0"/>
    <x v="0"/>
    <x v="0"/>
    <n v="427"/>
  </r>
  <r>
    <s v="Coastal"/>
    <n v="4962"/>
    <s v="Hooper Bay, AK"/>
    <n v="2211"/>
    <x v="0"/>
    <x v="760"/>
    <n v="0"/>
    <x v="0"/>
    <x v="0"/>
    <n v="268"/>
  </r>
  <r>
    <s v="Coastal"/>
    <n v="4962"/>
    <s v="Hooper Bay, AK"/>
    <n v="2221"/>
    <x v="9"/>
    <x v="524"/>
    <n v="0"/>
    <x v="0"/>
    <x v="0"/>
    <n v="10"/>
  </r>
  <r>
    <s v="Coastal"/>
    <n v="738"/>
    <s v="Hopewell, VA"/>
    <n v="3220"/>
    <x v="2"/>
    <x v="850"/>
    <n v="0"/>
    <x v="0"/>
    <x v="0"/>
    <n v="374952"/>
  </r>
  <r>
    <s v="Coastal"/>
    <n v="738"/>
    <s v="Hopewell, VA"/>
    <n v="3110"/>
    <x v="36"/>
    <x v="851"/>
    <n v="137787"/>
    <x v="0"/>
    <x v="455"/>
    <n v="325396"/>
  </r>
  <r>
    <s v="Coastal"/>
    <n v="738"/>
    <s v="Hopewell, VA"/>
    <n v="3276"/>
    <x v="12"/>
    <x v="10"/>
    <n v="130265"/>
    <x v="0"/>
    <x v="456"/>
    <n v="130265"/>
  </r>
  <r>
    <s v="Coastal"/>
    <n v="738"/>
    <s v="Hopewell, VA"/>
    <n v="3274"/>
    <x v="86"/>
    <x v="10"/>
    <n v="43858"/>
    <x v="721"/>
    <x v="0"/>
    <n v="43858"/>
  </r>
  <r>
    <s v="Coastal"/>
    <n v="738"/>
    <s v="Hopewell, VA"/>
    <n v="4900"/>
    <x v="14"/>
    <x v="10"/>
    <n v="13703"/>
    <x v="722"/>
    <x v="0"/>
    <n v="13703"/>
  </r>
  <r>
    <s v="Coastal"/>
    <n v="738"/>
    <s v="Hopewell, VA"/>
    <n v="2430"/>
    <x v="11"/>
    <x v="852"/>
    <n v="0"/>
    <x v="0"/>
    <x v="0"/>
    <n v="6475"/>
  </r>
  <r>
    <s v="Coastal"/>
    <n v="738"/>
    <s v="Hopewell, VA"/>
    <n v="3275"/>
    <x v="47"/>
    <x v="10"/>
    <n v="6250"/>
    <x v="723"/>
    <x v="0"/>
    <n v="6250"/>
  </r>
  <r>
    <s v="Coastal"/>
    <n v="2031"/>
    <s v="Houston Port Authority, TX"/>
    <n v="2100"/>
    <x v="35"/>
    <x v="853"/>
    <n v="42536943"/>
    <x v="724"/>
    <x v="457"/>
    <n v="46035331"/>
  </r>
  <r>
    <s v="Coastal"/>
    <n v="2031"/>
    <s v="Houston Port Authority, TX"/>
    <n v="2330"/>
    <x v="1"/>
    <x v="854"/>
    <n v="17194213"/>
    <x v="725"/>
    <x v="458"/>
    <n v="32372515"/>
  </r>
  <r>
    <s v="Coastal"/>
    <n v="2031"/>
    <s v="Houston Port Authority, TX"/>
    <n v="2640"/>
    <x v="110"/>
    <x v="855"/>
    <n v="27888278"/>
    <x v="726"/>
    <x v="459"/>
    <n v="28706766"/>
  </r>
  <r>
    <s v="Coastal"/>
    <n v="2031"/>
    <s v="Houston Port Authority, TX"/>
    <n v="2211"/>
    <x v="0"/>
    <x v="856"/>
    <n v="14719246"/>
    <x v="727"/>
    <x v="460"/>
    <n v="24613341"/>
  </r>
  <r>
    <s v="Coastal"/>
    <n v="2031"/>
    <s v="Houston Port Authority, TX"/>
    <n v="2429"/>
    <x v="17"/>
    <x v="857"/>
    <n v="8049715"/>
    <x v="728"/>
    <x v="461"/>
    <n v="14264307"/>
  </r>
  <r>
    <s v="Coastal"/>
    <n v="2031"/>
    <s v="Houston Port Authority, TX"/>
    <n v="2340"/>
    <x v="3"/>
    <x v="858"/>
    <n v="3548112"/>
    <x v="729"/>
    <x v="462"/>
    <n v="13672823"/>
  </r>
  <r>
    <s v="Coastal"/>
    <n v="2031"/>
    <s v="Houston Port Authority, TX"/>
    <n v="3220"/>
    <x v="2"/>
    <x v="859"/>
    <n v="2502952"/>
    <x v="730"/>
    <x v="463"/>
    <n v="6786477"/>
  </r>
  <r>
    <s v="Coastal"/>
    <n v="2031"/>
    <s v="Houston Port Authority, TX"/>
    <n v="3286"/>
    <x v="57"/>
    <x v="860"/>
    <n v="6294623"/>
    <x v="731"/>
    <x v="464"/>
    <n v="6386421"/>
  </r>
  <r>
    <s v="Coastal"/>
    <n v="2031"/>
    <s v="Houston Port Authority, TX"/>
    <n v="2540"/>
    <x v="15"/>
    <x v="861"/>
    <n v="5092217"/>
    <x v="732"/>
    <x v="465"/>
    <n v="5251438"/>
  </r>
  <r>
    <s v="Coastal"/>
    <n v="2031"/>
    <s v="Houston Port Authority, TX"/>
    <n v="5220"/>
    <x v="30"/>
    <x v="862"/>
    <n v="4273180"/>
    <x v="733"/>
    <x v="466"/>
    <n v="4738894"/>
  </r>
  <r>
    <s v="Coastal"/>
    <n v="2031"/>
    <s v="Houston Port Authority, TX"/>
    <n v="3219"/>
    <x v="19"/>
    <x v="863"/>
    <n v="2249556"/>
    <x v="734"/>
    <x v="467"/>
    <n v="4612220"/>
  </r>
  <r>
    <s v="Coastal"/>
    <n v="2031"/>
    <s v="Houston Port Authority, TX"/>
    <n v="3211"/>
    <x v="124"/>
    <x v="864"/>
    <n v="3295247"/>
    <x v="735"/>
    <x v="468"/>
    <n v="4561125"/>
  </r>
  <r>
    <s v="Coastal"/>
    <n v="2031"/>
    <s v="Houston Port Authority, TX"/>
    <n v="2430"/>
    <x v="11"/>
    <x v="865"/>
    <n v="832913"/>
    <x v="736"/>
    <x v="469"/>
    <n v="4336077"/>
  </r>
  <r>
    <s v="Coastal"/>
    <n v="2031"/>
    <s v="Houston Port Authority, TX"/>
    <n v="3212"/>
    <x v="39"/>
    <x v="866"/>
    <n v="722738"/>
    <x v="737"/>
    <x v="470"/>
    <n v="4142754"/>
  </r>
  <r>
    <s v="Coastal"/>
    <n v="2031"/>
    <s v="Houston Port Authority, TX"/>
    <n v="3260"/>
    <x v="107"/>
    <x v="867"/>
    <n v="3090893"/>
    <x v="738"/>
    <x v="471"/>
    <n v="3941408"/>
  </r>
  <r>
    <s v="Coastal"/>
    <n v="2031"/>
    <s v="Houston Port Authority, TX"/>
    <n v="2350"/>
    <x v="40"/>
    <x v="868"/>
    <n v="1377276"/>
    <x v="739"/>
    <x v="472"/>
    <n v="3824230"/>
  </r>
  <r>
    <s v="Coastal"/>
    <n v="2031"/>
    <s v="Houston Port Authority, TX"/>
    <n v="3230"/>
    <x v="80"/>
    <x v="869"/>
    <n v="2097899"/>
    <x v="740"/>
    <x v="473"/>
    <n v="3181490"/>
  </r>
  <r>
    <s v="Coastal"/>
    <n v="2031"/>
    <s v="Houston Port Authority, TX"/>
    <n v="6241"/>
    <x v="28"/>
    <x v="870"/>
    <n v="3023552"/>
    <x v="291"/>
    <x v="474"/>
    <n v="3034007"/>
  </r>
  <r>
    <s v="Coastal"/>
    <n v="2031"/>
    <s v="Houston Port Authority, TX"/>
    <n v="2221"/>
    <x v="9"/>
    <x v="871"/>
    <n v="956790"/>
    <x v="741"/>
    <x v="475"/>
    <n v="3031371"/>
  </r>
  <r>
    <s v="Coastal"/>
    <n v="2031"/>
    <s v="Houston Port Authority, TX"/>
    <n v="7900"/>
    <x v="21"/>
    <x v="872"/>
    <n v="3015700"/>
    <x v="742"/>
    <x v="476"/>
    <n v="3019108"/>
  </r>
  <r>
    <s v="Coastal"/>
    <n v="2031"/>
    <s v="Houston Port Authority, TX"/>
    <n v="5370"/>
    <x v="81"/>
    <x v="873"/>
    <n v="2436135"/>
    <x v="743"/>
    <x v="477"/>
    <n v="2448898"/>
  </r>
  <r>
    <s v="Coastal"/>
    <n v="2031"/>
    <s v="Houston Port Authority, TX"/>
    <n v="6447"/>
    <x v="132"/>
    <x v="874"/>
    <n v="2309593"/>
    <x v="744"/>
    <x v="478"/>
    <n v="2311309"/>
  </r>
  <r>
    <s v="Coastal"/>
    <n v="2031"/>
    <s v="Houston Port Authority, TX"/>
    <n v="5290"/>
    <x v="49"/>
    <x v="10"/>
    <n v="2119038"/>
    <x v="745"/>
    <x v="479"/>
    <n v="2119038"/>
  </r>
  <r>
    <s v="Coastal"/>
    <n v="2031"/>
    <s v="Houston Port Authority, TX"/>
    <n v="5480"/>
    <x v="20"/>
    <x v="10"/>
    <n v="1844600"/>
    <x v="746"/>
    <x v="480"/>
    <n v="1844600"/>
  </r>
  <r>
    <s v="Coastal"/>
    <n v="2031"/>
    <s v="Houston Port Authority, TX"/>
    <n v="3299"/>
    <x v="79"/>
    <x v="875"/>
    <n v="1407053"/>
    <x v="747"/>
    <x v="481"/>
    <n v="1794146"/>
  </r>
  <r>
    <s v="Coastal"/>
    <n v="2031"/>
    <s v="Houston Port Authority, TX"/>
    <n v="2990"/>
    <x v="102"/>
    <x v="876"/>
    <n v="507886"/>
    <x v="748"/>
    <x v="482"/>
    <n v="1754482"/>
  </r>
  <r>
    <s v="Coastal"/>
    <n v="2031"/>
    <s v="Houston Port Authority, TX"/>
    <n v="7110"/>
    <x v="4"/>
    <x v="877"/>
    <n v="1663391"/>
    <x v="749"/>
    <x v="483"/>
    <n v="1666597"/>
  </r>
  <r>
    <s v="Coastal"/>
    <n v="2031"/>
    <s v="Houston Port Authority, TX"/>
    <n v="7600"/>
    <x v="68"/>
    <x v="10"/>
    <n v="1651050"/>
    <x v="750"/>
    <x v="484"/>
    <n v="1651050"/>
  </r>
  <r>
    <s v="Coastal"/>
    <n v="2031"/>
    <s v="Houston Port Authority, TX"/>
    <n v="3274"/>
    <x v="86"/>
    <x v="878"/>
    <n v="910434"/>
    <x v="751"/>
    <x v="485"/>
    <n v="1512107"/>
  </r>
  <r>
    <s v="Coastal"/>
    <n v="2031"/>
    <s v="Houston Port Authority, TX"/>
    <n v="4420"/>
    <x v="8"/>
    <x v="879"/>
    <n v="267481"/>
    <x v="752"/>
    <x v="486"/>
    <n v="1434874"/>
  </r>
  <r>
    <s v="Coastal"/>
    <n v="2031"/>
    <s v="Houston Port Authority, TX"/>
    <n v="6522"/>
    <x v="26"/>
    <x v="880"/>
    <n v="1326390"/>
    <x v="753"/>
    <x v="487"/>
    <n v="1334554"/>
  </r>
  <r>
    <s v="Coastal"/>
    <n v="2031"/>
    <s v="Houston Port Authority, TX"/>
    <n v="7120"/>
    <x v="71"/>
    <x v="10"/>
    <n v="1332395"/>
    <x v="754"/>
    <x v="488"/>
    <n v="1332395"/>
  </r>
  <r>
    <s v="Coastal"/>
    <n v="2031"/>
    <s v="Houston Port Authority, TX"/>
    <n v="5330"/>
    <x v="16"/>
    <x v="881"/>
    <n v="1015404"/>
    <x v="755"/>
    <x v="489"/>
    <n v="1298653"/>
  </r>
  <r>
    <s v="Coastal"/>
    <n v="2031"/>
    <s v="Houston Port Authority, TX"/>
    <n v="3240"/>
    <x v="53"/>
    <x v="882"/>
    <n v="865691"/>
    <x v="756"/>
    <x v="490"/>
    <n v="1292983"/>
  </r>
  <r>
    <s v="Coastal"/>
    <n v="2031"/>
    <s v="Houston Port Authority, TX"/>
    <n v="3297"/>
    <x v="116"/>
    <x v="883"/>
    <n v="280437"/>
    <x v="757"/>
    <x v="491"/>
    <n v="1240114"/>
  </r>
  <r>
    <s v="Coastal"/>
    <n v="2031"/>
    <s v="Houston Port Authority, TX"/>
    <n v="7500"/>
    <x v="60"/>
    <x v="10"/>
    <n v="1105730"/>
    <x v="758"/>
    <x v="492"/>
    <n v="1105730"/>
  </r>
  <r>
    <s v="Coastal"/>
    <n v="2031"/>
    <s v="Houston Port Authority, TX"/>
    <n v="7210"/>
    <x v="59"/>
    <x v="10"/>
    <n v="1045718"/>
    <x v="759"/>
    <x v="493"/>
    <n v="1045718"/>
  </r>
  <r>
    <s v="Coastal"/>
    <n v="2031"/>
    <s v="Houston Port Authority, TX"/>
    <n v="5540"/>
    <x v="64"/>
    <x v="10"/>
    <n v="938184"/>
    <x v="760"/>
    <x v="494"/>
    <n v="938184"/>
  </r>
  <r>
    <s v="Coastal"/>
    <n v="2031"/>
    <s v="Houston Port Authority, TX"/>
    <n v="3272"/>
    <x v="137"/>
    <x v="884"/>
    <n v="83912"/>
    <x v="761"/>
    <x v="495"/>
    <n v="859772"/>
  </r>
  <r>
    <s v="Coastal"/>
    <n v="2031"/>
    <s v="Houston Port Authority, TX"/>
    <n v="5360"/>
    <x v="94"/>
    <x v="885"/>
    <n v="803503"/>
    <x v="762"/>
    <x v="496"/>
    <n v="816874"/>
  </r>
  <r>
    <s v="Coastal"/>
    <n v="2031"/>
    <s v="Houston Port Authority, TX"/>
    <n v="3110"/>
    <x v="36"/>
    <x v="886"/>
    <n v="178616"/>
    <x v="763"/>
    <x v="497"/>
    <n v="666659"/>
  </r>
  <r>
    <s v="Coastal"/>
    <n v="2031"/>
    <s v="Houston Port Authority, TX"/>
    <n v="1100"/>
    <x v="32"/>
    <x v="10"/>
    <n v="657594"/>
    <x v="764"/>
    <x v="498"/>
    <n v="657594"/>
  </r>
  <r>
    <s v="Coastal"/>
    <n v="2031"/>
    <s v="Houston Port Authority, TX"/>
    <n v="6889"/>
    <x v="42"/>
    <x v="10"/>
    <n v="643039"/>
    <x v="765"/>
    <x v="499"/>
    <n v="643039"/>
  </r>
  <r>
    <s v="Coastal"/>
    <n v="2031"/>
    <s v="Houston Port Authority, TX"/>
    <n v="6885"/>
    <x v="72"/>
    <x v="10"/>
    <n v="620542"/>
    <x v="766"/>
    <x v="500"/>
    <n v="620542"/>
  </r>
  <r>
    <s v="Coastal"/>
    <n v="2031"/>
    <s v="Houston Port Authority, TX"/>
    <n v="6344"/>
    <x v="25"/>
    <x v="10"/>
    <n v="615629"/>
    <x v="767"/>
    <x v="501"/>
    <n v="615629"/>
  </r>
  <r>
    <s v="Coastal"/>
    <n v="2031"/>
    <s v="Houston Port Authority, TX"/>
    <n v="4189"/>
    <x v="65"/>
    <x v="10"/>
    <n v="613450"/>
    <x v="768"/>
    <x v="502"/>
    <n v="613450"/>
  </r>
  <r>
    <s v="Coastal"/>
    <n v="2031"/>
    <s v="Houston Port Authority, TX"/>
    <n v="5422"/>
    <x v="66"/>
    <x v="10"/>
    <n v="563524"/>
    <x v="769"/>
    <x v="503"/>
    <n v="563524"/>
  </r>
  <r>
    <s v="Coastal"/>
    <n v="2031"/>
    <s v="Houston Port Authority, TX"/>
    <n v="4322"/>
    <x v="33"/>
    <x v="887"/>
    <n v="466411"/>
    <x v="770"/>
    <x v="504"/>
    <n v="534648"/>
  </r>
  <r>
    <s v="Coastal"/>
    <n v="2031"/>
    <s v="Houston Port Authority, TX"/>
    <n v="3276"/>
    <x v="12"/>
    <x v="888"/>
    <n v="336499"/>
    <x v="771"/>
    <x v="505"/>
    <n v="485266"/>
  </r>
  <r>
    <s v="Coastal"/>
    <n v="2031"/>
    <s v="Houston Port Authority, TX"/>
    <n v="9900"/>
    <x v="18"/>
    <x v="10"/>
    <n v="483649"/>
    <x v="772"/>
    <x v="506"/>
    <n v="483649"/>
  </r>
  <r>
    <s v="Coastal"/>
    <n v="2031"/>
    <s v="Houston Port Authority, TX"/>
    <n v="6811"/>
    <x v="76"/>
    <x v="10"/>
    <n v="452141"/>
    <x v="773"/>
    <x v="507"/>
    <n v="452141"/>
  </r>
  <r>
    <s v="Coastal"/>
    <n v="2031"/>
    <s v="Houston Port Authority, TX"/>
    <n v="3271"/>
    <x v="133"/>
    <x v="889"/>
    <n v="234"/>
    <x v="774"/>
    <x v="0"/>
    <n v="431435"/>
  </r>
  <r>
    <s v="Coastal"/>
    <n v="2031"/>
    <s v="Houston Port Authority, TX"/>
    <n v="6893"/>
    <x v="113"/>
    <x v="10"/>
    <n v="393905"/>
    <x v="775"/>
    <x v="508"/>
    <n v="393905"/>
  </r>
  <r>
    <s v="Coastal"/>
    <n v="2031"/>
    <s v="Houston Port Authority, TX"/>
    <n v="3275"/>
    <x v="47"/>
    <x v="890"/>
    <n v="242781"/>
    <x v="776"/>
    <x v="509"/>
    <n v="389854"/>
  </r>
  <r>
    <s v="Coastal"/>
    <n v="2031"/>
    <s v="Houston Port Authority, TX"/>
    <n v="5120"/>
    <x v="63"/>
    <x v="10"/>
    <n v="374549"/>
    <x v="777"/>
    <x v="510"/>
    <n v="374549"/>
  </r>
  <r>
    <s v="Coastal"/>
    <n v="2031"/>
    <s v="Houston Port Authority, TX"/>
    <n v="4900"/>
    <x v="14"/>
    <x v="891"/>
    <n v="343854"/>
    <x v="778"/>
    <x v="511"/>
    <n v="372400"/>
  </r>
  <r>
    <s v="Coastal"/>
    <n v="2031"/>
    <s v="Houston Port Authority, TX"/>
    <n v="3273"/>
    <x v="46"/>
    <x v="892"/>
    <n v="91898"/>
    <x v="779"/>
    <x v="512"/>
    <n v="360459"/>
  </r>
  <r>
    <s v="Coastal"/>
    <n v="2031"/>
    <s v="Houston Port Authority, TX"/>
    <n v="5320"/>
    <x v="13"/>
    <x v="893"/>
    <n v="227801"/>
    <x v="780"/>
    <x v="513"/>
    <n v="356252"/>
  </r>
  <r>
    <s v="Coastal"/>
    <n v="2031"/>
    <s v="Houston Port Authority, TX"/>
    <n v="3285"/>
    <x v="87"/>
    <x v="894"/>
    <n v="352860"/>
    <x v="781"/>
    <x v="514"/>
    <n v="356180"/>
  </r>
  <r>
    <s v="Coastal"/>
    <n v="2031"/>
    <s v="Houston Port Authority, TX"/>
    <n v="4860"/>
    <x v="31"/>
    <x v="10"/>
    <n v="341288"/>
    <x v="782"/>
    <x v="220"/>
    <n v="341288"/>
  </r>
  <r>
    <s v="Coastal"/>
    <n v="2031"/>
    <s v="Houston Port Authority, TX"/>
    <n v="7400"/>
    <x v="77"/>
    <x v="10"/>
    <n v="324781"/>
    <x v="783"/>
    <x v="515"/>
    <n v="324781"/>
  </r>
  <r>
    <s v="Coastal"/>
    <n v="2031"/>
    <s v="Houston Port Authority, TX"/>
    <n v="6654"/>
    <x v="50"/>
    <x v="10"/>
    <n v="302878"/>
    <x v="784"/>
    <x v="516"/>
    <n v="302878"/>
  </r>
  <r>
    <s v="Coastal"/>
    <n v="2031"/>
    <s v="Houston Port Authority, TX"/>
    <n v="4680"/>
    <x v="70"/>
    <x v="10"/>
    <n v="267567"/>
    <x v="785"/>
    <x v="517"/>
    <n v="267567"/>
  </r>
  <r>
    <s v="Coastal"/>
    <n v="2031"/>
    <s v="Houston Port Authority, TX"/>
    <n v="6782"/>
    <x v="27"/>
    <x v="895"/>
    <n v="262279"/>
    <x v="786"/>
    <x v="518"/>
    <n v="265239"/>
  </r>
  <r>
    <s v="Coastal"/>
    <n v="2031"/>
    <s v="Houston Port Authority, TX"/>
    <n v="3250"/>
    <x v="108"/>
    <x v="10"/>
    <n v="255436"/>
    <x v="787"/>
    <x v="519"/>
    <n v="255436"/>
  </r>
  <r>
    <s v="Coastal"/>
    <n v="2031"/>
    <s v="Houston Port Authority, TX"/>
    <n v="5240"/>
    <x v="89"/>
    <x v="10"/>
    <n v="233226"/>
    <x v="788"/>
    <x v="520"/>
    <n v="233226"/>
  </r>
  <r>
    <s v="Coastal"/>
    <n v="2031"/>
    <s v="Houston Port Authority, TX"/>
    <n v="6747"/>
    <x v="78"/>
    <x v="896"/>
    <n v="116675"/>
    <x v="789"/>
    <x v="521"/>
    <n v="226223"/>
  </r>
  <r>
    <s v="Coastal"/>
    <n v="2031"/>
    <s v="Houston Port Authority, TX"/>
    <n v="6653"/>
    <x v="24"/>
    <x v="897"/>
    <n v="141765"/>
    <x v="790"/>
    <x v="522"/>
    <n v="215078"/>
  </r>
  <r>
    <s v="Coastal"/>
    <n v="2031"/>
    <s v="Houston Port Authority, TX"/>
    <n v="3279"/>
    <x v="58"/>
    <x v="10"/>
    <n v="202287"/>
    <x v="791"/>
    <x v="523"/>
    <n v="202287"/>
  </r>
  <r>
    <s v="Coastal"/>
    <n v="2031"/>
    <s v="Houston Port Authority, TX"/>
    <n v="4225"/>
    <x v="10"/>
    <x v="10"/>
    <n v="193624"/>
    <x v="792"/>
    <x v="524"/>
    <n v="193624"/>
  </r>
  <r>
    <s v="Coastal"/>
    <n v="2031"/>
    <s v="Houston Port Authority, TX"/>
    <n v="6865"/>
    <x v="75"/>
    <x v="898"/>
    <n v="182478"/>
    <x v="793"/>
    <x v="525"/>
    <n v="193039"/>
  </r>
  <r>
    <s v="Coastal"/>
    <n v="2031"/>
    <s v="Houston Port Authority, TX"/>
    <n v="5421"/>
    <x v="88"/>
    <x v="10"/>
    <n v="190698"/>
    <x v="794"/>
    <x v="526"/>
    <n v="190698"/>
  </r>
  <r>
    <s v="Coastal"/>
    <n v="2031"/>
    <s v="Houston Port Authority, TX"/>
    <n v="6858"/>
    <x v="74"/>
    <x v="10"/>
    <n v="184397"/>
    <x v="795"/>
    <x v="527"/>
    <n v="184397"/>
  </r>
  <r>
    <s v="Coastal"/>
    <n v="2031"/>
    <s v="Houston Port Authority, TX"/>
    <n v="6888"/>
    <x v="109"/>
    <x v="10"/>
    <n v="169822"/>
    <x v="796"/>
    <x v="528"/>
    <n v="169822"/>
  </r>
  <r>
    <s v="Coastal"/>
    <n v="2031"/>
    <s v="Houston Port Authority, TX"/>
    <n v="6857"/>
    <x v="104"/>
    <x v="10"/>
    <n v="162525"/>
    <x v="797"/>
    <x v="529"/>
    <n v="162525"/>
  </r>
  <r>
    <s v="Coastal"/>
    <n v="2031"/>
    <s v="Houston Port Authority, TX"/>
    <n v="5190"/>
    <x v="83"/>
    <x v="10"/>
    <n v="147587"/>
    <x v="798"/>
    <x v="530"/>
    <n v="147587"/>
  </r>
  <r>
    <s v="Coastal"/>
    <n v="2031"/>
    <s v="Houston Port Authority, TX"/>
    <n v="4650"/>
    <x v="67"/>
    <x v="899"/>
    <n v="132073"/>
    <x v="799"/>
    <x v="531"/>
    <n v="138540"/>
  </r>
  <r>
    <s v="Coastal"/>
    <n v="2031"/>
    <s v="Houston Port Authority, TX"/>
    <n v="6871"/>
    <x v="73"/>
    <x v="10"/>
    <n v="131407"/>
    <x v="800"/>
    <x v="532"/>
    <n v="131407"/>
  </r>
  <r>
    <s v="Coastal"/>
    <n v="2031"/>
    <s v="Houston Port Authority, TX"/>
    <n v="6442"/>
    <x v="85"/>
    <x v="10"/>
    <n v="122369"/>
    <x v="801"/>
    <x v="533"/>
    <n v="122369"/>
  </r>
  <r>
    <s v="Coastal"/>
    <n v="2031"/>
    <s v="Houston Port Authority, TX"/>
    <n v="3190"/>
    <x v="38"/>
    <x v="900"/>
    <n v="49905"/>
    <x v="802"/>
    <x v="534"/>
    <n v="121380"/>
  </r>
  <r>
    <s v="Coastal"/>
    <n v="2031"/>
    <s v="Houston Port Authority, TX"/>
    <n v="3284"/>
    <x v="97"/>
    <x v="10"/>
    <n v="119841"/>
    <x v="803"/>
    <x v="535"/>
    <n v="119841"/>
  </r>
  <r>
    <s v="Coastal"/>
    <n v="2031"/>
    <s v="Houston Port Authority, TX"/>
    <n v="2410"/>
    <x v="98"/>
    <x v="901"/>
    <n v="90178"/>
    <x v="804"/>
    <x v="536"/>
    <n v="108061"/>
  </r>
  <r>
    <s v="Coastal"/>
    <n v="2031"/>
    <s v="Houston Port Authority, TX"/>
    <n v="6861"/>
    <x v="69"/>
    <x v="902"/>
    <n v="73392"/>
    <x v="805"/>
    <x v="537"/>
    <n v="107068"/>
  </r>
  <r>
    <s v="Coastal"/>
    <n v="2031"/>
    <s v="Houston Port Authority, TX"/>
    <n v="6136"/>
    <x v="95"/>
    <x v="10"/>
    <n v="100089"/>
    <x v="806"/>
    <x v="538"/>
    <n v="100089"/>
  </r>
  <r>
    <s v="Coastal"/>
    <n v="2031"/>
    <s v="Houston Port Authority, TX"/>
    <n v="3291"/>
    <x v="117"/>
    <x v="10"/>
    <n v="97267"/>
    <x v="807"/>
    <x v="539"/>
    <n v="97267"/>
  </r>
  <r>
    <s v="Coastal"/>
    <n v="2031"/>
    <s v="Houston Port Authority, TX"/>
    <n v="4190"/>
    <x v="99"/>
    <x v="10"/>
    <n v="93384"/>
    <x v="808"/>
    <x v="540"/>
    <n v="93384"/>
  </r>
  <r>
    <s v="Coastal"/>
    <n v="2031"/>
    <s v="Houston Port Authority, TX"/>
    <n v="6838"/>
    <x v="131"/>
    <x v="903"/>
    <n v="90057"/>
    <x v="809"/>
    <x v="541"/>
    <n v="92947"/>
  </r>
  <r>
    <s v="Coastal"/>
    <n v="2031"/>
    <s v="Houston Port Authority, TX"/>
    <n v="4310"/>
    <x v="96"/>
    <x v="10"/>
    <n v="90495"/>
    <x v="810"/>
    <x v="542"/>
    <n v="90495"/>
  </r>
  <r>
    <s v="Coastal"/>
    <n v="2031"/>
    <s v="Houston Port Authority, TX"/>
    <n v="6856"/>
    <x v="126"/>
    <x v="10"/>
    <n v="85560"/>
    <x v="811"/>
    <x v="543"/>
    <n v="85560"/>
  </r>
  <r>
    <s v="Coastal"/>
    <n v="2031"/>
    <s v="Houston Port Authority, TX"/>
    <n v="5312"/>
    <x v="52"/>
    <x v="904"/>
    <n v="60103"/>
    <x v="812"/>
    <x v="544"/>
    <n v="84848"/>
  </r>
  <r>
    <s v="Coastal"/>
    <n v="2031"/>
    <s v="Houston Port Authority, TX"/>
    <n v="3282"/>
    <x v="91"/>
    <x v="10"/>
    <n v="73701"/>
    <x v="813"/>
    <x v="545"/>
    <n v="73701"/>
  </r>
  <r>
    <s v="Coastal"/>
    <n v="2031"/>
    <s v="Houston Port Authority, TX"/>
    <n v="6891"/>
    <x v="93"/>
    <x v="10"/>
    <n v="71175"/>
    <x v="814"/>
    <x v="546"/>
    <n v="71175"/>
  </r>
  <r>
    <s v="Coastal"/>
    <n v="2031"/>
    <s v="Houston Port Authority, TX"/>
    <n v="6134"/>
    <x v="82"/>
    <x v="10"/>
    <n v="69111"/>
    <x v="815"/>
    <x v="547"/>
    <n v="69111"/>
  </r>
  <r>
    <s v="Coastal"/>
    <n v="2031"/>
    <s v="Houston Port Authority, TX"/>
    <n v="6445"/>
    <x v="136"/>
    <x v="10"/>
    <n v="68231"/>
    <x v="816"/>
    <x v="0"/>
    <n v="68231"/>
  </r>
  <r>
    <s v="Coastal"/>
    <n v="2031"/>
    <s v="Houston Port Authority, TX"/>
    <n v="4782"/>
    <x v="45"/>
    <x v="905"/>
    <n v="65612"/>
    <x v="817"/>
    <x v="548"/>
    <n v="67395"/>
  </r>
  <r>
    <s v="Coastal"/>
    <n v="2031"/>
    <s v="Houston Port Authority, TX"/>
    <n v="6822"/>
    <x v="84"/>
    <x v="10"/>
    <n v="65372"/>
    <x v="818"/>
    <x v="549"/>
    <n v="65372"/>
  </r>
  <r>
    <s v="Coastal"/>
    <n v="2031"/>
    <s v="Houston Port Authority, TX"/>
    <n v="1200"/>
    <x v="43"/>
    <x v="906"/>
    <n v="52434"/>
    <x v="819"/>
    <x v="550"/>
    <n v="62550"/>
  </r>
  <r>
    <s v="Coastal"/>
    <n v="2031"/>
    <s v="Houston Port Authority, TX"/>
    <n v="6746"/>
    <x v="118"/>
    <x v="10"/>
    <n v="60973"/>
    <x v="820"/>
    <x v="551"/>
    <n v="60973"/>
  </r>
  <r>
    <s v="Coastal"/>
    <n v="2031"/>
    <s v="Houston Port Authority, TX"/>
    <n v="3298"/>
    <x v="123"/>
    <x v="10"/>
    <n v="55824"/>
    <x v="821"/>
    <x v="552"/>
    <n v="55824"/>
  </r>
  <r>
    <s v="Coastal"/>
    <n v="2031"/>
    <s v="Houston Port Authority, TX"/>
    <n v="3130"/>
    <x v="37"/>
    <x v="907"/>
    <n v="39254"/>
    <x v="822"/>
    <x v="366"/>
    <n v="53999"/>
  </r>
  <r>
    <s v="Coastal"/>
    <n v="2031"/>
    <s v="Houston Port Authority, TX"/>
    <n v="3292"/>
    <x v="51"/>
    <x v="10"/>
    <n v="50955"/>
    <x v="823"/>
    <x v="553"/>
    <n v="50955"/>
  </r>
  <r>
    <s v="Coastal"/>
    <n v="2031"/>
    <s v="Houston Port Authority, TX"/>
    <n v="4690"/>
    <x v="62"/>
    <x v="10"/>
    <n v="49200"/>
    <x v="824"/>
    <x v="554"/>
    <n v="49200"/>
  </r>
  <r>
    <s v="Coastal"/>
    <n v="2031"/>
    <s v="Houston Port Authority, TX"/>
    <n v="5315"/>
    <x v="48"/>
    <x v="908"/>
    <n v="32128"/>
    <x v="825"/>
    <x v="555"/>
    <n v="48579"/>
  </r>
  <r>
    <s v="Coastal"/>
    <n v="2031"/>
    <s v="Houston Port Authority, TX"/>
    <n v="6839"/>
    <x v="106"/>
    <x v="10"/>
    <n v="48236"/>
    <x v="826"/>
    <x v="556"/>
    <n v="48236"/>
  </r>
  <r>
    <s v="Coastal"/>
    <n v="2031"/>
    <s v="Houston Port Authority, TX"/>
    <n v="4741"/>
    <x v="56"/>
    <x v="10"/>
    <n v="46634"/>
    <x v="0"/>
    <x v="557"/>
    <n v="46634"/>
  </r>
  <r>
    <s v="Coastal"/>
    <n v="2031"/>
    <s v="Houston Port Authority, TX"/>
    <n v="5390"/>
    <x v="44"/>
    <x v="80"/>
    <n v="44759"/>
    <x v="827"/>
    <x v="558"/>
    <n v="46359"/>
  </r>
  <r>
    <s v="Coastal"/>
    <n v="2031"/>
    <s v="Houston Port Authority, TX"/>
    <n v="6835"/>
    <x v="92"/>
    <x v="10"/>
    <n v="43631"/>
    <x v="828"/>
    <x v="559"/>
    <n v="43631"/>
  </r>
  <r>
    <s v="Coastal"/>
    <n v="2031"/>
    <s v="Houston Port Authority, TX"/>
    <n v="5429"/>
    <x v="61"/>
    <x v="10"/>
    <n v="40970"/>
    <x v="829"/>
    <x v="560"/>
    <n v="40970"/>
  </r>
  <r>
    <s v="Coastal"/>
    <n v="2031"/>
    <s v="Houston Port Authority, TX"/>
    <n v="6443"/>
    <x v="135"/>
    <x v="10"/>
    <n v="36387"/>
    <x v="830"/>
    <x v="0"/>
    <n v="36387"/>
  </r>
  <r>
    <s v="Coastal"/>
    <n v="2031"/>
    <s v="Houston Port Authority, TX"/>
    <n v="4331"/>
    <x v="29"/>
    <x v="909"/>
    <n v="16094"/>
    <x v="831"/>
    <x v="561"/>
    <n v="36176"/>
  </r>
  <r>
    <s v="Coastal"/>
    <n v="2031"/>
    <s v="Houston Port Authority, TX"/>
    <n v="4150"/>
    <x v="101"/>
    <x v="10"/>
    <n v="35104"/>
    <x v="832"/>
    <x v="562"/>
    <n v="35104"/>
  </r>
  <r>
    <s v="Coastal"/>
    <n v="2031"/>
    <s v="Houston Port Authority, TX"/>
    <n v="4670"/>
    <x v="90"/>
    <x v="910"/>
    <n v="2045"/>
    <x v="833"/>
    <x v="0"/>
    <n v="34187"/>
  </r>
  <r>
    <s v="Coastal"/>
    <n v="2031"/>
    <s v="Houston Port Authority, TX"/>
    <n v="6590"/>
    <x v="23"/>
    <x v="10"/>
    <n v="31038"/>
    <x v="834"/>
    <x v="563"/>
    <n v="31038"/>
  </r>
  <r>
    <s v="Coastal"/>
    <n v="2031"/>
    <s v="Houston Port Authority, TX"/>
    <n v="8900"/>
    <x v="139"/>
    <x v="911"/>
    <n v="0"/>
    <x v="0"/>
    <x v="0"/>
    <n v="27480"/>
  </r>
  <r>
    <s v="Coastal"/>
    <n v="2031"/>
    <s v="Houston Port Authority, TX"/>
    <n v="4783"/>
    <x v="7"/>
    <x v="10"/>
    <n v="25198"/>
    <x v="835"/>
    <x v="564"/>
    <n v="25198"/>
  </r>
  <r>
    <s v="Coastal"/>
    <n v="2031"/>
    <s v="Houston Port Authority, TX"/>
    <n v="4335"/>
    <x v="5"/>
    <x v="912"/>
    <n v="0"/>
    <x v="0"/>
    <x v="0"/>
    <n v="23280"/>
  </r>
  <r>
    <s v="Coastal"/>
    <n v="2031"/>
    <s v="Houston Port Authority, TX"/>
    <n v="7300"/>
    <x v="115"/>
    <x v="10"/>
    <n v="18478"/>
    <x v="836"/>
    <x v="565"/>
    <n v="18478"/>
  </r>
  <r>
    <s v="Coastal"/>
    <n v="2031"/>
    <s v="Houston Port Authority, TX"/>
    <n v="6899"/>
    <x v="114"/>
    <x v="10"/>
    <n v="18185"/>
    <x v="837"/>
    <x v="566"/>
    <n v="18185"/>
  </r>
  <r>
    <s v="Coastal"/>
    <n v="2031"/>
    <s v="Houston Port Authority, TX"/>
    <n v="6521"/>
    <x v="121"/>
    <x v="10"/>
    <n v="16750"/>
    <x v="838"/>
    <x v="567"/>
    <n v="16750"/>
  </r>
  <r>
    <s v="Coastal"/>
    <n v="2031"/>
    <s v="Houston Port Authority, TX"/>
    <n v="7220"/>
    <x v="103"/>
    <x v="10"/>
    <n v="16227"/>
    <x v="839"/>
    <x v="568"/>
    <n v="16227"/>
  </r>
  <r>
    <s v="Coastal"/>
    <n v="2031"/>
    <s v="Houston Port Authority, TX"/>
    <n v="6894"/>
    <x v="120"/>
    <x v="10"/>
    <n v="15623"/>
    <x v="840"/>
    <x v="569"/>
    <n v="15623"/>
  </r>
  <r>
    <s v="Coastal"/>
    <n v="2031"/>
    <s v="Houston Port Authority, TX"/>
    <n v="4410"/>
    <x v="34"/>
    <x v="10"/>
    <n v="12485"/>
    <x v="841"/>
    <x v="125"/>
    <n v="12485"/>
  </r>
  <r>
    <s v="Coastal"/>
    <n v="2031"/>
    <s v="Houston Port Authority, TX"/>
    <n v="4110"/>
    <x v="105"/>
    <x v="10"/>
    <n v="12302"/>
    <x v="842"/>
    <x v="570"/>
    <n v="12302"/>
  </r>
  <r>
    <s v="Coastal"/>
    <n v="2031"/>
    <s v="Houston Port Authority, TX"/>
    <n v="3120"/>
    <x v="41"/>
    <x v="913"/>
    <n v="0"/>
    <x v="0"/>
    <x v="0"/>
    <n v="10998"/>
  </r>
  <r>
    <s v="Coastal"/>
    <n v="2031"/>
    <s v="Houston Port Authority, TX"/>
    <n v="4170"/>
    <x v="55"/>
    <x v="10"/>
    <n v="10017"/>
    <x v="843"/>
    <x v="571"/>
    <n v="10017"/>
  </r>
  <r>
    <s v="Coastal"/>
    <n v="2031"/>
    <s v="Houston Port Authority, TX"/>
    <n v="5110"/>
    <x v="112"/>
    <x v="10"/>
    <n v="9962"/>
    <x v="844"/>
    <x v="572"/>
    <n v="9962"/>
  </r>
  <r>
    <s v="Coastal"/>
    <n v="2031"/>
    <s v="Houston Port Authority, TX"/>
    <n v="6781"/>
    <x v="128"/>
    <x v="10"/>
    <n v="9759"/>
    <x v="845"/>
    <x v="573"/>
    <n v="9759"/>
  </r>
  <r>
    <s v="Coastal"/>
    <n v="2031"/>
    <s v="Houston Port Authority, TX"/>
    <n v="4323"/>
    <x v="6"/>
    <x v="10"/>
    <n v="9748"/>
    <x v="846"/>
    <x v="574"/>
    <n v="9748"/>
  </r>
  <r>
    <s v="Coastal"/>
    <n v="2031"/>
    <s v="Houston Port Authority, TX"/>
    <n v="6817"/>
    <x v="119"/>
    <x v="10"/>
    <n v="9223"/>
    <x v="847"/>
    <x v="575"/>
    <n v="9223"/>
  </r>
  <r>
    <s v="Coastal"/>
    <n v="2031"/>
    <s v="Houston Port Authority, TX"/>
    <n v="3293"/>
    <x v="122"/>
    <x v="10"/>
    <n v="9018"/>
    <x v="848"/>
    <x v="576"/>
    <n v="9018"/>
  </r>
  <r>
    <s v="Coastal"/>
    <n v="2031"/>
    <s v="Houston Port Authority, TX"/>
    <n v="3283"/>
    <x v="111"/>
    <x v="10"/>
    <n v="5926"/>
    <x v="849"/>
    <x v="577"/>
    <n v="5926"/>
  </r>
  <r>
    <s v="Coastal"/>
    <n v="2031"/>
    <s v="Houston Port Authority, TX"/>
    <n v="7230"/>
    <x v="22"/>
    <x v="10"/>
    <n v="5466"/>
    <x v="850"/>
    <x v="578"/>
    <n v="5466"/>
  </r>
  <r>
    <s v="Coastal"/>
    <n v="2031"/>
    <s v="Houston Port Authority, TX"/>
    <n v="6872"/>
    <x v="100"/>
    <x v="10"/>
    <n v="3197"/>
    <x v="851"/>
    <x v="579"/>
    <n v="3197"/>
  </r>
  <r>
    <s v="Coastal"/>
    <n v="2031"/>
    <s v="Houston Port Authority, TX"/>
    <n v="3281"/>
    <x v="125"/>
    <x v="10"/>
    <n v="1631"/>
    <x v="852"/>
    <x v="580"/>
    <n v="1631"/>
  </r>
  <r>
    <s v="Coastal"/>
    <n v="2031"/>
    <s v="Houston Port Authority, TX"/>
    <n v="4630"/>
    <x v="127"/>
    <x v="10"/>
    <n v="1243"/>
    <x v="459"/>
    <x v="354"/>
    <n v="1243"/>
  </r>
  <r>
    <s v="Coastal"/>
    <n v="2031"/>
    <s v="Houston Port Authority, TX"/>
    <n v="5210"/>
    <x v="130"/>
    <x v="10"/>
    <n v="1026"/>
    <x v="853"/>
    <x v="581"/>
    <n v="1026"/>
  </r>
  <r>
    <s v="Coastal"/>
    <n v="2031"/>
    <s v="Houston Port Authority, TX"/>
    <n v="4161"/>
    <x v="54"/>
    <x v="10"/>
    <n v="768"/>
    <x v="854"/>
    <x v="582"/>
    <n v="768"/>
  </r>
  <r>
    <s v="Coastal"/>
    <n v="2031"/>
    <s v="Houston Port Authority, TX"/>
    <n v="4515"/>
    <x v="129"/>
    <x v="10"/>
    <n v="223"/>
    <x v="855"/>
    <x v="449"/>
    <n v="223"/>
  </r>
  <r>
    <s v="Coastal"/>
    <n v="2031"/>
    <s v="Houston Port Authority, TX"/>
    <n v="6534"/>
    <x v="141"/>
    <x v="10"/>
    <n v="87"/>
    <x v="181"/>
    <x v="383"/>
    <n v="87"/>
  </r>
  <r>
    <s v="Internal"/>
    <n v="2382"/>
    <s v="Howard-Cooper Regional Port, MO"/>
    <n v="4331"/>
    <x v="29"/>
    <x v="914"/>
    <n v="0"/>
    <x v="0"/>
    <x v="0"/>
    <n v="116250"/>
  </r>
  <r>
    <s v="Internal"/>
    <n v="2382"/>
    <s v="Howard-Cooper Regional Port, MO"/>
    <n v="4335"/>
    <x v="5"/>
    <x v="915"/>
    <n v="0"/>
    <x v="0"/>
    <x v="0"/>
    <n v="94442"/>
  </r>
  <r>
    <s v="Coastal"/>
    <n v="4374"/>
    <s v="Humboldt Bay Harbor, CA"/>
    <n v="4161"/>
    <x v="54"/>
    <x v="916"/>
    <n v="311442"/>
    <x v="0"/>
    <x v="583"/>
    <n v="362260"/>
  </r>
  <r>
    <s v="Coastal"/>
    <n v="4374"/>
    <s v="Humboldt Bay Harbor, CA"/>
    <n v="2330"/>
    <x v="1"/>
    <x v="917"/>
    <n v="0"/>
    <x v="0"/>
    <x v="0"/>
    <n v="65380"/>
  </r>
  <r>
    <s v="Coastal"/>
    <n v="4374"/>
    <s v="Humboldt Bay Harbor, CA"/>
    <n v="2211"/>
    <x v="0"/>
    <x v="918"/>
    <n v="0"/>
    <x v="0"/>
    <x v="0"/>
    <n v="24650"/>
  </r>
  <r>
    <s v="Coastal"/>
    <n v="4374"/>
    <s v="Humboldt Bay Harbor, CA"/>
    <n v="7900"/>
    <x v="21"/>
    <x v="919"/>
    <n v="0"/>
    <x v="0"/>
    <x v="0"/>
    <n v="1097"/>
  </r>
  <r>
    <s v="Coastal"/>
    <n v="4374"/>
    <s v="Humboldt Bay Harbor, CA"/>
    <n v="7500"/>
    <x v="60"/>
    <x v="10"/>
    <n v="31"/>
    <x v="856"/>
    <x v="0"/>
    <n v="31"/>
  </r>
  <r>
    <s v="Coastal"/>
    <n v="4885"/>
    <s v="Hydaburg, AK"/>
    <n v="4170"/>
    <x v="55"/>
    <x v="10"/>
    <n v="14602"/>
    <x v="0"/>
    <x v="584"/>
    <n v="14602"/>
  </r>
  <r>
    <s v="Great Lakes"/>
    <n v="3749"/>
    <s v="Illinois International Port, IL"/>
    <n v="4783"/>
    <x v="7"/>
    <x v="920"/>
    <n v="1417601"/>
    <x v="857"/>
    <x v="0"/>
    <n v="1879413"/>
  </r>
  <r>
    <s v="Great Lakes"/>
    <n v="3749"/>
    <s v="Illinois International Port, IL"/>
    <n v="4331"/>
    <x v="29"/>
    <x v="921"/>
    <n v="249505"/>
    <x v="858"/>
    <x v="0"/>
    <n v="1848595"/>
  </r>
  <r>
    <s v="Great Lakes"/>
    <n v="3749"/>
    <s v="Illinois International Port, IL"/>
    <n v="5220"/>
    <x v="30"/>
    <x v="922"/>
    <n v="0"/>
    <x v="0"/>
    <x v="0"/>
    <n v="1526706"/>
  </r>
  <r>
    <s v="Great Lakes"/>
    <n v="3749"/>
    <s v="Illinois International Port, IL"/>
    <n v="2430"/>
    <x v="11"/>
    <x v="923"/>
    <n v="4069"/>
    <x v="859"/>
    <x v="0"/>
    <n v="1428923"/>
  </r>
  <r>
    <s v="Great Lakes"/>
    <n v="3749"/>
    <s v="Illinois International Port, IL"/>
    <n v="4338"/>
    <x v="142"/>
    <x v="924"/>
    <n v="0"/>
    <x v="0"/>
    <x v="0"/>
    <n v="621938"/>
  </r>
  <r>
    <s v="Great Lakes"/>
    <n v="3749"/>
    <s v="Illinois International Port, IL"/>
    <n v="5330"/>
    <x v="16"/>
    <x v="925"/>
    <n v="307688"/>
    <x v="860"/>
    <x v="0"/>
    <n v="439402"/>
  </r>
  <r>
    <s v="Great Lakes"/>
    <n v="3749"/>
    <s v="Illinois International Port, IL"/>
    <n v="4420"/>
    <x v="8"/>
    <x v="926"/>
    <n v="5512"/>
    <x v="9"/>
    <x v="0"/>
    <n v="405855"/>
  </r>
  <r>
    <s v="Great Lakes"/>
    <n v="3749"/>
    <s v="Illinois International Port, IL"/>
    <n v="5312"/>
    <x v="52"/>
    <x v="927"/>
    <n v="10244"/>
    <x v="861"/>
    <x v="0"/>
    <n v="336853"/>
  </r>
  <r>
    <s v="Great Lakes"/>
    <n v="3749"/>
    <s v="Illinois International Port, IL"/>
    <n v="5315"/>
    <x v="48"/>
    <x v="928"/>
    <n v="24913"/>
    <x v="862"/>
    <x v="0"/>
    <n v="221313"/>
  </r>
  <r>
    <s v="Great Lakes"/>
    <n v="3749"/>
    <s v="Illinois International Port, IL"/>
    <n v="1100"/>
    <x v="32"/>
    <x v="929"/>
    <n v="31824"/>
    <x v="863"/>
    <x v="0"/>
    <n v="214968"/>
  </r>
  <r>
    <s v="Great Lakes"/>
    <n v="3749"/>
    <s v="Illinois International Port, IL"/>
    <n v="2540"/>
    <x v="15"/>
    <x v="930"/>
    <n v="0"/>
    <x v="0"/>
    <x v="0"/>
    <n v="212311"/>
  </r>
  <r>
    <s v="Great Lakes"/>
    <n v="3749"/>
    <s v="Illinois International Port, IL"/>
    <n v="5360"/>
    <x v="94"/>
    <x v="931"/>
    <n v="94486"/>
    <x v="864"/>
    <x v="0"/>
    <n v="128813"/>
  </r>
  <r>
    <s v="Great Lakes"/>
    <n v="3749"/>
    <s v="Illinois International Port, IL"/>
    <n v="4410"/>
    <x v="34"/>
    <x v="932"/>
    <n v="58947"/>
    <x v="865"/>
    <x v="0"/>
    <n v="128808"/>
  </r>
  <r>
    <s v="Great Lakes"/>
    <n v="3749"/>
    <s v="Illinois International Port, IL"/>
    <n v="3276"/>
    <x v="12"/>
    <x v="933"/>
    <n v="0"/>
    <x v="0"/>
    <x v="0"/>
    <n v="108231"/>
  </r>
  <r>
    <s v="Great Lakes"/>
    <n v="3749"/>
    <s v="Illinois International Port, IL"/>
    <n v="4782"/>
    <x v="45"/>
    <x v="934"/>
    <n v="0"/>
    <x v="0"/>
    <x v="0"/>
    <n v="90006"/>
  </r>
  <r>
    <s v="Great Lakes"/>
    <n v="3749"/>
    <s v="Illinois International Port, IL"/>
    <n v="5480"/>
    <x v="20"/>
    <x v="935"/>
    <n v="67434"/>
    <x v="866"/>
    <x v="0"/>
    <n v="70479"/>
  </r>
  <r>
    <s v="Great Lakes"/>
    <n v="3749"/>
    <s v="Illinois International Port, IL"/>
    <n v="2330"/>
    <x v="1"/>
    <x v="936"/>
    <n v="0"/>
    <x v="0"/>
    <x v="0"/>
    <n v="60884"/>
  </r>
  <r>
    <s v="Great Lakes"/>
    <n v="3749"/>
    <s v="Illinois International Port, IL"/>
    <n v="6241"/>
    <x v="28"/>
    <x v="937"/>
    <n v="0"/>
    <x v="0"/>
    <x v="0"/>
    <n v="49913"/>
  </r>
  <r>
    <s v="Great Lakes"/>
    <n v="3749"/>
    <s v="Illinois International Port, IL"/>
    <n v="6522"/>
    <x v="26"/>
    <x v="938"/>
    <n v="0"/>
    <x v="0"/>
    <x v="0"/>
    <n v="44414"/>
  </r>
  <r>
    <s v="Great Lakes"/>
    <n v="3749"/>
    <s v="Illinois International Port, IL"/>
    <n v="4650"/>
    <x v="67"/>
    <x v="939"/>
    <n v="33575"/>
    <x v="867"/>
    <x v="0"/>
    <n v="44293"/>
  </r>
  <r>
    <s v="Great Lakes"/>
    <n v="3749"/>
    <s v="Illinois International Port, IL"/>
    <n v="3220"/>
    <x v="2"/>
    <x v="940"/>
    <n v="0"/>
    <x v="0"/>
    <x v="0"/>
    <n v="41926"/>
  </r>
  <r>
    <s v="Great Lakes"/>
    <n v="3749"/>
    <s v="Illinois International Port, IL"/>
    <n v="6861"/>
    <x v="69"/>
    <x v="941"/>
    <n v="0"/>
    <x v="0"/>
    <x v="0"/>
    <n v="41154"/>
  </r>
  <r>
    <s v="Great Lakes"/>
    <n v="3749"/>
    <s v="Illinois International Port, IL"/>
    <n v="6344"/>
    <x v="25"/>
    <x v="942"/>
    <n v="0"/>
    <x v="0"/>
    <x v="0"/>
    <n v="36284"/>
  </r>
  <r>
    <s v="Great Lakes"/>
    <n v="3749"/>
    <s v="Illinois International Port, IL"/>
    <n v="4310"/>
    <x v="96"/>
    <x v="943"/>
    <n v="0"/>
    <x v="0"/>
    <x v="0"/>
    <n v="30899"/>
  </r>
  <r>
    <s v="Great Lakes"/>
    <n v="3749"/>
    <s v="Illinois International Port, IL"/>
    <n v="4322"/>
    <x v="33"/>
    <x v="10"/>
    <n v="30528"/>
    <x v="868"/>
    <x v="0"/>
    <n v="30528"/>
  </r>
  <r>
    <s v="Great Lakes"/>
    <n v="3749"/>
    <s v="Illinois International Port, IL"/>
    <n v="5422"/>
    <x v="66"/>
    <x v="944"/>
    <n v="0"/>
    <x v="0"/>
    <x v="0"/>
    <n v="28145"/>
  </r>
  <r>
    <s v="Great Lakes"/>
    <n v="3749"/>
    <s v="Illinois International Port, IL"/>
    <n v="3275"/>
    <x v="47"/>
    <x v="945"/>
    <n v="0"/>
    <x v="0"/>
    <x v="0"/>
    <n v="27077"/>
  </r>
  <r>
    <s v="Great Lakes"/>
    <n v="3749"/>
    <s v="Illinois International Port, IL"/>
    <n v="4860"/>
    <x v="31"/>
    <x v="946"/>
    <n v="0"/>
    <x v="0"/>
    <x v="0"/>
    <n v="26473"/>
  </r>
  <r>
    <s v="Great Lakes"/>
    <n v="3749"/>
    <s v="Illinois International Port, IL"/>
    <n v="2990"/>
    <x v="102"/>
    <x v="947"/>
    <n v="0"/>
    <x v="0"/>
    <x v="0"/>
    <n v="25607"/>
  </r>
  <r>
    <s v="Great Lakes"/>
    <n v="3749"/>
    <s v="Illinois International Port, IL"/>
    <n v="7600"/>
    <x v="68"/>
    <x v="10"/>
    <n v="23146"/>
    <x v="869"/>
    <x v="0"/>
    <n v="23146"/>
  </r>
  <r>
    <s v="Great Lakes"/>
    <n v="3749"/>
    <s v="Illinois International Port, IL"/>
    <n v="2340"/>
    <x v="3"/>
    <x v="948"/>
    <n v="0"/>
    <x v="0"/>
    <x v="0"/>
    <n v="23066"/>
  </r>
  <r>
    <s v="Great Lakes"/>
    <n v="3749"/>
    <s v="Illinois International Port, IL"/>
    <n v="5429"/>
    <x v="61"/>
    <x v="949"/>
    <n v="0"/>
    <x v="0"/>
    <x v="0"/>
    <n v="20313"/>
  </r>
  <r>
    <s v="Great Lakes"/>
    <n v="3749"/>
    <s v="Illinois International Port, IL"/>
    <n v="4189"/>
    <x v="65"/>
    <x v="10"/>
    <n v="16243"/>
    <x v="870"/>
    <x v="0"/>
    <n v="16243"/>
  </r>
  <r>
    <s v="Great Lakes"/>
    <n v="3749"/>
    <s v="Illinois International Port, IL"/>
    <n v="6445"/>
    <x v="136"/>
    <x v="10"/>
    <n v="9251"/>
    <x v="871"/>
    <x v="0"/>
    <n v="9251"/>
  </r>
  <r>
    <s v="Great Lakes"/>
    <n v="3749"/>
    <s v="Illinois International Port, IL"/>
    <n v="4670"/>
    <x v="90"/>
    <x v="950"/>
    <n v="0"/>
    <x v="0"/>
    <x v="0"/>
    <n v="8655"/>
  </r>
  <r>
    <s v="Great Lakes"/>
    <n v="3749"/>
    <s v="Illinois International Port, IL"/>
    <n v="7110"/>
    <x v="4"/>
    <x v="759"/>
    <n v="7136"/>
    <x v="872"/>
    <x v="0"/>
    <n v="7656"/>
  </r>
  <r>
    <s v="Great Lakes"/>
    <n v="3749"/>
    <s v="Illinois International Port, IL"/>
    <n v="7120"/>
    <x v="71"/>
    <x v="10"/>
    <n v="7313"/>
    <x v="873"/>
    <x v="0"/>
    <n v="7313"/>
  </r>
  <r>
    <s v="Great Lakes"/>
    <n v="3749"/>
    <s v="Illinois International Port, IL"/>
    <n v="4690"/>
    <x v="62"/>
    <x v="951"/>
    <n v="5171"/>
    <x v="874"/>
    <x v="0"/>
    <n v="6285"/>
  </r>
  <r>
    <s v="Great Lakes"/>
    <n v="3749"/>
    <s v="Illinois International Port, IL"/>
    <n v="4150"/>
    <x v="101"/>
    <x v="10"/>
    <n v="5042"/>
    <x v="875"/>
    <x v="0"/>
    <n v="5042"/>
  </r>
  <r>
    <s v="Great Lakes"/>
    <n v="3749"/>
    <s v="Illinois International Port, IL"/>
    <n v="4900"/>
    <x v="14"/>
    <x v="952"/>
    <n v="0"/>
    <x v="0"/>
    <x v="0"/>
    <n v="4731"/>
  </r>
  <r>
    <s v="Great Lakes"/>
    <n v="3749"/>
    <s v="Illinois International Port, IL"/>
    <n v="5390"/>
    <x v="44"/>
    <x v="953"/>
    <n v="0"/>
    <x v="0"/>
    <x v="0"/>
    <n v="4530"/>
  </r>
  <r>
    <s v="Great Lakes"/>
    <n v="3749"/>
    <s v="Illinois International Port, IL"/>
    <n v="2350"/>
    <x v="40"/>
    <x v="954"/>
    <n v="0"/>
    <x v="0"/>
    <x v="0"/>
    <n v="4347"/>
  </r>
  <r>
    <s v="Great Lakes"/>
    <n v="3749"/>
    <s v="Illinois International Port, IL"/>
    <n v="3190"/>
    <x v="38"/>
    <x v="955"/>
    <n v="0"/>
    <x v="0"/>
    <x v="0"/>
    <n v="4333"/>
  </r>
  <r>
    <s v="Great Lakes"/>
    <n v="3749"/>
    <s v="Illinois International Port, IL"/>
    <n v="6782"/>
    <x v="27"/>
    <x v="956"/>
    <n v="0"/>
    <x v="0"/>
    <x v="0"/>
    <n v="4086"/>
  </r>
  <r>
    <s v="Great Lakes"/>
    <n v="3749"/>
    <s v="Illinois International Port, IL"/>
    <n v="6447"/>
    <x v="132"/>
    <x v="957"/>
    <n v="0"/>
    <x v="0"/>
    <x v="0"/>
    <n v="3823"/>
  </r>
  <r>
    <s v="Great Lakes"/>
    <n v="3749"/>
    <s v="Illinois International Port, IL"/>
    <n v="3299"/>
    <x v="79"/>
    <x v="958"/>
    <n v="0"/>
    <x v="0"/>
    <x v="0"/>
    <n v="2375"/>
  </r>
  <r>
    <s v="Great Lakes"/>
    <n v="3749"/>
    <s v="Illinois International Port, IL"/>
    <n v="7900"/>
    <x v="21"/>
    <x v="10"/>
    <n v="1776"/>
    <x v="876"/>
    <x v="0"/>
    <n v="1776"/>
  </r>
  <r>
    <s v="Great Lakes"/>
    <n v="3749"/>
    <s v="Illinois International Port, IL"/>
    <n v="1200"/>
    <x v="43"/>
    <x v="959"/>
    <n v="0"/>
    <x v="0"/>
    <x v="0"/>
    <n v="1668"/>
  </r>
  <r>
    <s v="Great Lakes"/>
    <n v="3749"/>
    <s v="Illinois International Port, IL"/>
    <n v="6590"/>
    <x v="23"/>
    <x v="960"/>
    <n v="0"/>
    <x v="0"/>
    <x v="0"/>
    <n v="1563"/>
  </r>
  <r>
    <s v="Great Lakes"/>
    <n v="3749"/>
    <s v="Illinois International Port, IL"/>
    <n v="6747"/>
    <x v="78"/>
    <x v="961"/>
    <n v="0"/>
    <x v="0"/>
    <x v="0"/>
    <n v="1468"/>
  </r>
  <r>
    <s v="Great Lakes"/>
    <n v="3749"/>
    <s v="Illinois International Port, IL"/>
    <n v="5210"/>
    <x v="130"/>
    <x v="962"/>
    <n v="0"/>
    <x v="0"/>
    <x v="0"/>
    <n v="1348"/>
  </r>
  <r>
    <s v="Great Lakes"/>
    <n v="3749"/>
    <s v="Illinois International Port, IL"/>
    <n v="3285"/>
    <x v="87"/>
    <x v="10"/>
    <n v="877"/>
    <x v="877"/>
    <x v="0"/>
    <n v="877"/>
  </r>
  <r>
    <s v="Great Lakes"/>
    <n v="3749"/>
    <s v="Illinois International Port, IL"/>
    <n v="5240"/>
    <x v="89"/>
    <x v="10"/>
    <n v="392"/>
    <x v="878"/>
    <x v="0"/>
    <n v="392"/>
  </r>
  <r>
    <s v="Great Lakes"/>
    <n v="3749"/>
    <s v="Illinois International Port, IL"/>
    <n v="5370"/>
    <x v="81"/>
    <x v="10"/>
    <n v="314"/>
    <x v="879"/>
    <x v="0"/>
    <n v="314"/>
  </r>
  <r>
    <s v="Great Lakes"/>
    <n v="3749"/>
    <s v="Illinois International Port, IL"/>
    <n v="3279"/>
    <x v="58"/>
    <x v="10"/>
    <n v="95"/>
    <x v="880"/>
    <x v="0"/>
    <n v="95"/>
  </r>
  <r>
    <s v="Great Lakes"/>
    <n v="3749"/>
    <s v="Illinois International Port, IL"/>
    <n v="5290"/>
    <x v="49"/>
    <x v="10"/>
    <n v="44"/>
    <x v="308"/>
    <x v="0"/>
    <n v="44"/>
  </r>
  <r>
    <s v="Great Lakes"/>
    <n v="3749"/>
    <s v="Illinois International Port, IL"/>
    <n v="6822"/>
    <x v="84"/>
    <x v="10"/>
    <n v="14"/>
    <x v="211"/>
    <x v="0"/>
    <n v="14"/>
  </r>
  <r>
    <s v="Great Lakes"/>
    <n v="3749"/>
    <s v="Illinois International Port, IL"/>
    <n v="3286"/>
    <x v="57"/>
    <x v="10"/>
    <n v="4"/>
    <x v="504"/>
    <x v="0"/>
    <n v="4"/>
  </r>
  <r>
    <s v="Internal"/>
    <n v="2313"/>
    <s v="Illinois Valley Port, IL"/>
    <n v="6344"/>
    <x v="25"/>
    <x v="963"/>
    <n v="0"/>
    <x v="0"/>
    <x v="0"/>
    <n v="2110404"/>
  </r>
  <r>
    <s v="Internal"/>
    <n v="2313"/>
    <s v="Illinois Valley Port, IL"/>
    <n v="6522"/>
    <x v="26"/>
    <x v="964"/>
    <n v="0"/>
    <x v="0"/>
    <x v="0"/>
    <n v="1120988"/>
  </r>
  <r>
    <s v="Internal"/>
    <n v="2313"/>
    <s v="Illinois Valley Port, IL"/>
    <n v="6782"/>
    <x v="27"/>
    <x v="965"/>
    <n v="0"/>
    <x v="0"/>
    <x v="0"/>
    <n v="569852"/>
  </r>
  <r>
    <s v="Internal"/>
    <n v="2313"/>
    <s v="Illinois Valley Port, IL"/>
    <n v="3110"/>
    <x v="36"/>
    <x v="966"/>
    <n v="0"/>
    <x v="0"/>
    <x v="0"/>
    <n v="358783"/>
  </r>
  <r>
    <s v="Internal"/>
    <n v="2313"/>
    <s v="Illinois Valley Port, IL"/>
    <n v="4331"/>
    <x v="29"/>
    <x v="967"/>
    <n v="0"/>
    <x v="0"/>
    <x v="0"/>
    <n v="275500"/>
  </r>
  <r>
    <s v="Internal"/>
    <n v="2313"/>
    <s v="Illinois Valley Port, IL"/>
    <n v="3220"/>
    <x v="2"/>
    <x v="968"/>
    <n v="0"/>
    <x v="0"/>
    <x v="0"/>
    <n v="272525"/>
  </r>
  <r>
    <s v="Internal"/>
    <n v="2313"/>
    <s v="Illinois Valley Port, IL"/>
    <n v="3190"/>
    <x v="38"/>
    <x v="969"/>
    <n v="0"/>
    <x v="0"/>
    <x v="0"/>
    <n v="106119"/>
  </r>
  <r>
    <s v="Internal"/>
    <n v="2313"/>
    <s v="Illinois Valley Port, IL"/>
    <n v="3130"/>
    <x v="37"/>
    <x v="970"/>
    <n v="0"/>
    <x v="0"/>
    <x v="0"/>
    <n v="99280"/>
  </r>
  <r>
    <s v="Internal"/>
    <n v="2313"/>
    <s v="Illinois Valley Port, IL"/>
    <n v="3219"/>
    <x v="19"/>
    <x v="971"/>
    <n v="0"/>
    <x v="0"/>
    <x v="0"/>
    <n v="83961"/>
  </r>
  <r>
    <s v="Internal"/>
    <n v="2313"/>
    <s v="Illinois Valley Port, IL"/>
    <n v="6865"/>
    <x v="75"/>
    <x v="972"/>
    <n v="0"/>
    <x v="0"/>
    <x v="0"/>
    <n v="75438"/>
  </r>
  <r>
    <s v="Internal"/>
    <n v="2313"/>
    <s v="Illinois Valley Port, IL"/>
    <n v="1100"/>
    <x v="32"/>
    <x v="973"/>
    <n v="0"/>
    <x v="0"/>
    <x v="0"/>
    <n v="46113"/>
  </r>
  <r>
    <s v="Internal"/>
    <n v="2313"/>
    <s v="Illinois Valley Port, IL"/>
    <n v="2540"/>
    <x v="15"/>
    <x v="974"/>
    <n v="0"/>
    <x v="0"/>
    <x v="0"/>
    <n v="40326"/>
  </r>
  <r>
    <s v="Internal"/>
    <n v="2313"/>
    <s v="Illinois Valley Port, IL"/>
    <n v="3276"/>
    <x v="12"/>
    <x v="975"/>
    <n v="0"/>
    <x v="0"/>
    <x v="0"/>
    <n v="37048"/>
  </r>
  <r>
    <s v="Internal"/>
    <n v="2313"/>
    <s v="Illinois Valley Port, IL"/>
    <n v="3120"/>
    <x v="41"/>
    <x v="976"/>
    <n v="0"/>
    <x v="0"/>
    <x v="0"/>
    <n v="24008"/>
  </r>
  <r>
    <s v="Internal"/>
    <n v="2313"/>
    <s v="Illinois Valley Port, IL"/>
    <n v="6653"/>
    <x v="24"/>
    <x v="977"/>
    <n v="0"/>
    <x v="0"/>
    <x v="0"/>
    <n v="18374"/>
  </r>
  <r>
    <s v="Internal"/>
    <n v="2313"/>
    <s v="Illinois Valley Port, IL"/>
    <n v="3273"/>
    <x v="46"/>
    <x v="978"/>
    <n v="0"/>
    <x v="0"/>
    <x v="0"/>
    <n v="17500"/>
  </r>
  <r>
    <s v="Internal"/>
    <n v="2313"/>
    <s v="Illinois Valley Port, IL"/>
    <n v="4650"/>
    <x v="67"/>
    <x v="979"/>
    <n v="0"/>
    <x v="0"/>
    <x v="0"/>
    <n v="11249"/>
  </r>
  <r>
    <s v="Internal"/>
    <n v="2313"/>
    <s v="Illinois Valley Port, IL"/>
    <n v="5312"/>
    <x v="52"/>
    <x v="980"/>
    <n v="0"/>
    <x v="0"/>
    <x v="0"/>
    <n v="4919"/>
  </r>
  <r>
    <s v="Internal"/>
    <n v="2313"/>
    <s v="Illinois Valley Port, IL"/>
    <n v="1200"/>
    <x v="43"/>
    <x v="981"/>
    <n v="0"/>
    <x v="0"/>
    <x v="0"/>
    <n v="4722"/>
  </r>
  <r>
    <s v="Internal"/>
    <n v="2313"/>
    <s v="Illinois Valley Port, IL"/>
    <n v="5360"/>
    <x v="94"/>
    <x v="982"/>
    <n v="0"/>
    <x v="0"/>
    <x v="0"/>
    <n v="4487"/>
  </r>
  <r>
    <s v="Internal"/>
    <n v="2313"/>
    <s v="Illinois Valley Port, IL"/>
    <n v="4860"/>
    <x v="31"/>
    <x v="983"/>
    <n v="0"/>
    <x v="0"/>
    <x v="0"/>
    <n v="1553"/>
  </r>
  <r>
    <s v="Internal"/>
    <n v="2361"/>
    <s v="Itawamba, MS"/>
    <n v="5370"/>
    <x v="81"/>
    <x v="984"/>
    <n v="0"/>
    <x v="0"/>
    <x v="0"/>
    <n v="1000"/>
  </r>
  <r>
    <s v="Internal"/>
    <n v="2314"/>
    <s v="Jackson-Union Port District, IL"/>
    <n v="1100"/>
    <x v="32"/>
    <x v="985"/>
    <n v="0"/>
    <x v="0"/>
    <x v="0"/>
    <n v="1490226"/>
  </r>
  <r>
    <s v="Internal"/>
    <n v="2314"/>
    <s v="Jackson-Union Port District, IL"/>
    <n v="6344"/>
    <x v="25"/>
    <x v="986"/>
    <n v="0"/>
    <x v="0"/>
    <x v="0"/>
    <n v="300953"/>
  </r>
  <r>
    <s v="Internal"/>
    <n v="2314"/>
    <s v="Jackson-Union Port District, IL"/>
    <n v="6522"/>
    <x v="26"/>
    <x v="987"/>
    <n v="0"/>
    <x v="0"/>
    <x v="0"/>
    <n v="256355"/>
  </r>
  <r>
    <s v="Internal"/>
    <n v="2314"/>
    <s v="Jackson-Union Port District, IL"/>
    <n v="6241"/>
    <x v="28"/>
    <x v="988"/>
    <n v="0"/>
    <x v="0"/>
    <x v="0"/>
    <n v="82130"/>
  </r>
  <r>
    <s v="Internal"/>
    <n v="2314"/>
    <s v="Jackson-Union Port District, IL"/>
    <n v="6654"/>
    <x v="50"/>
    <x v="989"/>
    <n v="0"/>
    <x v="0"/>
    <x v="0"/>
    <n v="1824"/>
  </r>
  <r>
    <s v="Coastal"/>
    <n v="2017"/>
    <s v="Jacksonville, FL"/>
    <n v="2211"/>
    <x v="0"/>
    <x v="990"/>
    <n v="668290"/>
    <x v="881"/>
    <x v="233"/>
    <n v="3097281"/>
  </r>
  <r>
    <s v="Coastal"/>
    <n v="2017"/>
    <s v="Jacksonville, FL"/>
    <n v="7900"/>
    <x v="21"/>
    <x v="991"/>
    <n v="366466"/>
    <x v="882"/>
    <x v="585"/>
    <n v="1942084"/>
  </r>
  <r>
    <s v="Coastal"/>
    <n v="2017"/>
    <s v="Jacksonville, FL"/>
    <n v="2330"/>
    <x v="1"/>
    <x v="992"/>
    <n v="694600"/>
    <x v="883"/>
    <x v="586"/>
    <n v="1576295"/>
  </r>
  <r>
    <s v="Coastal"/>
    <n v="2017"/>
    <s v="Jacksonville, FL"/>
    <n v="7210"/>
    <x v="59"/>
    <x v="993"/>
    <n v="1029384"/>
    <x v="884"/>
    <x v="587"/>
    <n v="1183838"/>
  </r>
  <r>
    <s v="Coastal"/>
    <n v="2017"/>
    <s v="Jacksonville, FL"/>
    <n v="4322"/>
    <x v="33"/>
    <x v="994"/>
    <n v="1139831"/>
    <x v="885"/>
    <x v="166"/>
    <n v="1139922"/>
  </r>
  <r>
    <s v="Coastal"/>
    <n v="2017"/>
    <s v="Jacksonville, FL"/>
    <n v="6887"/>
    <x v="138"/>
    <x v="995"/>
    <n v="0"/>
    <x v="0"/>
    <x v="0"/>
    <n v="635034"/>
  </r>
  <r>
    <s v="Coastal"/>
    <n v="2017"/>
    <s v="Jacksonville, FL"/>
    <n v="4225"/>
    <x v="10"/>
    <x v="179"/>
    <n v="526983"/>
    <x v="886"/>
    <x v="588"/>
    <n v="527061"/>
  </r>
  <r>
    <s v="Coastal"/>
    <n v="2017"/>
    <s v="Jacksonville, FL"/>
    <n v="5120"/>
    <x v="63"/>
    <x v="996"/>
    <n v="498091"/>
    <x v="887"/>
    <x v="589"/>
    <n v="507763"/>
  </r>
  <r>
    <s v="Coastal"/>
    <n v="2017"/>
    <s v="Jacksonville, FL"/>
    <n v="7110"/>
    <x v="4"/>
    <x v="997"/>
    <n v="174213"/>
    <x v="888"/>
    <x v="590"/>
    <n v="483249"/>
  </r>
  <r>
    <s v="Coastal"/>
    <n v="2017"/>
    <s v="Jacksonville, FL"/>
    <n v="6889"/>
    <x v="42"/>
    <x v="998"/>
    <n v="46429"/>
    <x v="889"/>
    <x v="591"/>
    <n v="361844"/>
  </r>
  <r>
    <s v="Coastal"/>
    <n v="2017"/>
    <s v="Jacksonville, FL"/>
    <n v="2221"/>
    <x v="9"/>
    <x v="999"/>
    <n v="31900"/>
    <x v="890"/>
    <x v="0"/>
    <n v="360812"/>
  </r>
  <r>
    <s v="Coastal"/>
    <n v="2017"/>
    <s v="Jacksonville, FL"/>
    <n v="4331"/>
    <x v="29"/>
    <x v="1000"/>
    <n v="131486"/>
    <x v="891"/>
    <x v="592"/>
    <n v="333791"/>
  </r>
  <r>
    <s v="Coastal"/>
    <n v="2017"/>
    <s v="Jacksonville, FL"/>
    <n v="3299"/>
    <x v="79"/>
    <x v="1001"/>
    <n v="11434"/>
    <x v="892"/>
    <x v="593"/>
    <n v="312132"/>
  </r>
  <r>
    <s v="Coastal"/>
    <n v="2017"/>
    <s v="Jacksonville, FL"/>
    <n v="4323"/>
    <x v="6"/>
    <x v="10"/>
    <n v="301873"/>
    <x v="893"/>
    <x v="410"/>
    <n v="301873"/>
  </r>
  <r>
    <s v="Coastal"/>
    <n v="2017"/>
    <s v="Jacksonville, FL"/>
    <n v="7120"/>
    <x v="71"/>
    <x v="1002"/>
    <n v="144499"/>
    <x v="894"/>
    <x v="594"/>
    <n v="297839"/>
  </r>
  <r>
    <s v="Coastal"/>
    <n v="2017"/>
    <s v="Jacksonville, FL"/>
    <n v="4860"/>
    <x v="31"/>
    <x v="590"/>
    <n v="46058"/>
    <x v="895"/>
    <x v="595"/>
    <n v="276334"/>
  </r>
  <r>
    <s v="Coastal"/>
    <n v="2017"/>
    <s v="Jacksonville, FL"/>
    <n v="2540"/>
    <x v="15"/>
    <x v="1003"/>
    <n v="260889"/>
    <x v="896"/>
    <x v="596"/>
    <n v="267876"/>
  </r>
  <r>
    <s v="Coastal"/>
    <n v="2017"/>
    <s v="Jacksonville, FL"/>
    <n v="7600"/>
    <x v="68"/>
    <x v="1004"/>
    <n v="231036"/>
    <x v="897"/>
    <x v="597"/>
    <n v="254561"/>
  </r>
  <r>
    <s v="Coastal"/>
    <n v="2017"/>
    <s v="Jacksonville, FL"/>
    <n v="1100"/>
    <x v="32"/>
    <x v="10"/>
    <n v="250396"/>
    <x v="898"/>
    <x v="407"/>
    <n v="250396"/>
  </r>
  <r>
    <s v="Coastal"/>
    <n v="2017"/>
    <s v="Jacksonville, FL"/>
    <n v="6811"/>
    <x v="76"/>
    <x v="1005"/>
    <n v="116352"/>
    <x v="899"/>
    <x v="598"/>
    <n v="230304"/>
  </r>
  <r>
    <s v="Coastal"/>
    <n v="2017"/>
    <s v="Jacksonville, FL"/>
    <n v="3274"/>
    <x v="86"/>
    <x v="1006"/>
    <n v="11482"/>
    <x v="900"/>
    <x v="599"/>
    <n v="205849"/>
  </r>
  <r>
    <s v="Coastal"/>
    <n v="2017"/>
    <s v="Jacksonville, FL"/>
    <n v="7500"/>
    <x v="60"/>
    <x v="1007"/>
    <n v="85975"/>
    <x v="901"/>
    <x v="600"/>
    <n v="127518"/>
  </r>
  <r>
    <s v="Coastal"/>
    <n v="2017"/>
    <s v="Jacksonville, FL"/>
    <n v="7400"/>
    <x v="77"/>
    <x v="1008"/>
    <n v="30686"/>
    <x v="902"/>
    <x v="601"/>
    <n v="122180"/>
  </r>
  <r>
    <s v="Coastal"/>
    <n v="2017"/>
    <s v="Jacksonville, FL"/>
    <n v="5290"/>
    <x v="49"/>
    <x v="1009"/>
    <n v="112136"/>
    <x v="903"/>
    <x v="602"/>
    <n v="116723"/>
  </r>
  <r>
    <s v="Coastal"/>
    <n v="2017"/>
    <s v="Jacksonville, FL"/>
    <n v="6885"/>
    <x v="72"/>
    <x v="1010"/>
    <n v="49357"/>
    <x v="904"/>
    <x v="603"/>
    <n v="107897"/>
  </r>
  <r>
    <s v="Coastal"/>
    <n v="2017"/>
    <s v="Jacksonville, FL"/>
    <n v="5480"/>
    <x v="20"/>
    <x v="1011"/>
    <n v="98721"/>
    <x v="905"/>
    <x v="604"/>
    <n v="104628"/>
  </r>
  <r>
    <s v="Coastal"/>
    <n v="2017"/>
    <s v="Jacksonville, FL"/>
    <n v="3272"/>
    <x v="137"/>
    <x v="10"/>
    <n v="95413"/>
    <x v="906"/>
    <x v="0"/>
    <n v="95413"/>
  </r>
  <r>
    <s v="Coastal"/>
    <n v="2017"/>
    <s v="Jacksonville, FL"/>
    <n v="4170"/>
    <x v="55"/>
    <x v="1012"/>
    <n v="91294"/>
    <x v="907"/>
    <x v="605"/>
    <n v="91425"/>
  </r>
  <r>
    <s v="Coastal"/>
    <n v="2017"/>
    <s v="Jacksonville, FL"/>
    <n v="4161"/>
    <x v="54"/>
    <x v="1013"/>
    <n v="88232"/>
    <x v="908"/>
    <x v="606"/>
    <n v="88613"/>
  </r>
  <r>
    <s v="Coastal"/>
    <n v="2017"/>
    <s v="Jacksonville, FL"/>
    <n v="3276"/>
    <x v="12"/>
    <x v="1014"/>
    <n v="86393"/>
    <x v="909"/>
    <x v="607"/>
    <n v="87214"/>
  </r>
  <r>
    <s v="Coastal"/>
    <n v="2017"/>
    <s v="Jacksonville, FL"/>
    <n v="6871"/>
    <x v="73"/>
    <x v="1015"/>
    <n v="85103"/>
    <x v="910"/>
    <x v="95"/>
    <n v="86297"/>
  </r>
  <r>
    <s v="Coastal"/>
    <n v="2017"/>
    <s v="Jacksonville, FL"/>
    <n v="4189"/>
    <x v="65"/>
    <x v="1016"/>
    <n v="81306"/>
    <x v="911"/>
    <x v="608"/>
    <n v="84996"/>
  </r>
  <r>
    <s v="Coastal"/>
    <n v="2017"/>
    <s v="Jacksonville, FL"/>
    <n v="5540"/>
    <x v="64"/>
    <x v="1017"/>
    <n v="79636"/>
    <x v="912"/>
    <x v="609"/>
    <n v="79798"/>
  </r>
  <r>
    <s v="Coastal"/>
    <n v="2017"/>
    <s v="Jacksonville, FL"/>
    <n v="5190"/>
    <x v="83"/>
    <x v="1018"/>
    <n v="29556"/>
    <x v="913"/>
    <x v="610"/>
    <n v="77751"/>
  </r>
  <r>
    <s v="Coastal"/>
    <n v="2017"/>
    <s v="Jacksonville, FL"/>
    <n v="6858"/>
    <x v="74"/>
    <x v="1019"/>
    <n v="66836"/>
    <x v="914"/>
    <x v="611"/>
    <n v="77251"/>
  </r>
  <r>
    <s v="Coastal"/>
    <n v="2017"/>
    <s v="Jacksonville, FL"/>
    <n v="3286"/>
    <x v="57"/>
    <x v="1020"/>
    <n v="72356"/>
    <x v="915"/>
    <x v="612"/>
    <n v="76563"/>
  </r>
  <r>
    <s v="Coastal"/>
    <n v="2017"/>
    <s v="Jacksonville, FL"/>
    <n v="2340"/>
    <x v="3"/>
    <x v="1021"/>
    <n v="12800"/>
    <x v="916"/>
    <x v="0"/>
    <n v="75991"/>
  </r>
  <r>
    <s v="Coastal"/>
    <n v="2017"/>
    <s v="Jacksonville, FL"/>
    <n v="6654"/>
    <x v="50"/>
    <x v="1022"/>
    <n v="18088"/>
    <x v="917"/>
    <x v="613"/>
    <n v="75733"/>
  </r>
  <r>
    <s v="Coastal"/>
    <n v="2017"/>
    <s v="Jacksonville, FL"/>
    <n v="4680"/>
    <x v="70"/>
    <x v="1023"/>
    <n v="72725"/>
    <x v="918"/>
    <x v="614"/>
    <n v="74855"/>
  </r>
  <r>
    <s v="Coastal"/>
    <n v="2017"/>
    <s v="Jacksonville, FL"/>
    <n v="3284"/>
    <x v="97"/>
    <x v="1024"/>
    <n v="5289"/>
    <x v="919"/>
    <x v="615"/>
    <n v="71065"/>
  </r>
  <r>
    <s v="Coastal"/>
    <n v="2017"/>
    <s v="Jacksonville, FL"/>
    <n v="5220"/>
    <x v="30"/>
    <x v="1025"/>
    <n v="63920"/>
    <x v="920"/>
    <x v="616"/>
    <n v="66482"/>
  </r>
  <r>
    <s v="Coastal"/>
    <n v="2017"/>
    <s v="Jacksonville, FL"/>
    <n v="6857"/>
    <x v="104"/>
    <x v="1026"/>
    <n v="49742"/>
    <x v="921"/>
    <x v="617"/>
    <n v="64989"/>
  </r>
  <r>
    <s v="Coastal"/>
    <n v="2017"/>
    <s v="Jacksonville, FL"/>
    <n v="9900"/>
    <x v="18"/>
    <x v="1027"/>
    <n v="53939"/>
    <x v="922"/>
    <x v="618"/>
    <n v="62687"/>
  </r>
  <r>
    <s v="Coastal"/>
    <n v="2017"/>
    <s v="Jacksonville, FL"/>
    <n v="4650"/>
    <x v="67"/>
    <x v="10"/>
    <n v="61683"/>
    <x v="923"/>
    <x v="102"/>
    <n v="61683"/>
  </r>
  <r>
    <s v="Coastal"/>
    <n v="2017"/>
    <s v="Jacksonville, FL"/>
    <n v="2430"/>
    <x v="11"/>
    <x v="1028"/>
    <n v="62"/>
    <x v="0"/>
    <x v="619"/>
    <n v="50494"/>
  </r>
  <r>
    <s v="Coastal"/>
    <n v="2017"/>
    <s v="Jacksonville, FL"/>
    <n v="3298"/>
    <x v="123"/>
    <x v="10"/>
    <n v="49647"/>
    <x v="924"/>
    <x v="620"/>
    <n v="49647"/>
  </r>
  <r>
    <s v="Coastal"/>
    <n v="2017"/>
    <s v="Jacksonville, FL"/>
    <n v="6822"/>
    <x v="84"/>
    <x v="1029"/>
    <n v="3305"/>
    <x v="925"/>
    <x v="621"/>
    <n v="45816"/>
  </r>
  <r>
    <s v="Coastal"/>
    <n v="2017"/>
    <s v="Jacksonville, FL"/>
    <n v="6442"/>
    <x v="85"/>
    <x v="1030"/>
    <n v="25649"/>
    <x v="926"/>
    <x v="622"/>
    <n v="45195"/>
  </r>
  <r>
    <s v="Coastal"/>
    <n v="2017"/>
    <s v="Jacksonville, FL"/>
    <n v="4900"/>
    <x v="14"/>
    <x v="417"/>
    <n v="44002"/>
    <x v="927"/>
    <x v="623"/>
    <n v="44028"/>
  </r>
  <r>
    <s v="Coastal"/>
    <n v="2017"/>
    <s v="Jacksonville, FL"/>
    <n v="3285"/>
    <x v="87"/>
    <x v="1031"/>
    <n v="35113"/>
    <x v="928"/>
    <x v="624"/>
    <n v="43565"/>
  </r>
  <r>
    <s v="Coastal"/>
    <n v="2017"/>
    <s v="Jacksonville, FL"/>
    <n v="5422"/>
    <x v="66"/>
    <x v="1032"/>
    <n v="26449"/>
    <x v="929"/>
    <x v="625"/>
    <n v="37529"/>
  </r>
  <r>
    <s v="Coastal"/>
    <n v="2017"/>
    <s v="Jacksonville, FL"/>
    <n v="3275"/>
    <x v="47"/>
    <x v="1033"/>
    <n v="32207"/>
    <x v="930"/>
    <x v="626"/>
    <n v="35246"/>
  </r>
  <r>
    <s v="Coastal"/>
    <n v="2017"/>
    <s v="Jacksonville, FL"/>
    <n v="6136"/>
    <x v="95"/>
    <x v="129"/>
    <n v="34048"/>
    <x v="931"/>
    <x v="161"/>
    <n v="34107"/>
  </r>
  <r>
    <s v="Coastal"/>
    <n v="2017"/>
    <s v="Jacksonville, FL"/>
    <n v="6134"/>
    <x v="82"/>
    <x v="1034"/>
    <n v="32430"/>
    <x v="932"/>
    <x v="627"/>
    <n v="32835"/>
  </r>
  <r>
    <s v="Coastal"/>
    <n v="2017"/>
    <s v="Jacksonville, FL"/>
    <n v="6856"/>
    <x v="126"/>
    <x v="10"/>
    <n v="31485"/>
    <x v="933"/>
    <x v="0"/>
    <n v="31485"/>
  </r>
  <r>
    <s v="Coastal"/>
    <n v="2017"/>
    <s v="Jacksonville, FL"/>
    <n v="3190"/>
    <x v="38"/>
    <x v="1035"/>
    <n v="29674"/>
    <x v="934"/>
    <x v="628"/>
    <n v="29950"/>
  </r>
  <r>
    <s v="Coastal"/>
    <n v="2017"/>
    <s v="Jacksonville, FL"/>
    <n v="4420"/>
    <x v="8"/>
    <x v="1036"/>
    <n v="25372"/>
    <x v="935"/>
    <x v="629"/>
    <n v="29426"/>
  </r>
  <r>
    <s v="Coastal"/>
    <n v="2017"/>
    <s v="Jacksonville, FL"/>
    <n v="3220"/>
    <x v="2"/>
    <x v="1037"/>
    <n v="20891"/>
    <x v="936"/>
    <x v="630"/>
    <n v="25630"/>
  </r>
  <r>
    <s v="Coastal"/>
    <n v="2017"/>
    <s v="Jacksonville, FL"/>
    <n v="5240"/>
    <x v="89"/>
    <x v="1038"/>
    <n v="24116"/>
    <x v="937"/>
    <x v="631"/>
    <n v="25300"/>
  </r>
  <r>
    <s v="Coastal"/>
    <n v="2017"/>
    <s v="Jacksonville, FL"/>
    <n v="6747"/>
    <x v="78"/>
    <x v="1039"/>
    <n v="6920"/>
    <x v="938"/>
    <x v="632"/>
    <n v="25053"/>
  </r>
  <r>
    <s v="Coastal"/>
    <n v="2017"/>
    <s v="Jacksonville, FL"/>
    <n v="6782"/>
    <x v="27"/>
    <x v="1040"/>
    <n v="4498"/>
    <x v="939"/>
    <x v="633"/>
    <n v="23844"/>
  </r>
  <r>
    <s v="Coastal"/>
    <n v="2017"/>
    <s v="Jacksonville, FL"/>
    <n v="6835"/>
    <x v="92"/>
    <x v="842"/>
    <n v="18368"/>
    <x v="940"/>
    <x v="599"/>
    <n v="18469"/>
  </r>
  <r>
    <s v="Coastal"/>
    <n v="2017"/>
    <s v="Jacksonville, FL"/>
    <n v="6653"/>
    <x v="24"/>
    <x v="1041"/>
    <n v="6682"/>
    <x v="941"/>
    <x v="634"/>
    <n v="16922"/>
  </r>
  <r>
    <s v="Coastal"/>
    <n v="2017"/>
    <s v="Jacksonville, FL"/>
    <n v="5360"/>
    <x v="94"/>
    <x v="1042"/>
    <n v="10728"/>
    <x v="942"/>
    <x v="635"/>
    <n v="15268"/>
  </r>
  <r>
    <s v="Coastal"/>
    <n v="2017"/>
    <s v="Jacksonville, FL"/>
    <n v="3219"/>
    <x v="19"/>
    <x v="10"/>
    <n v="13446"/>
    <x v="943"/>
    <x v="636"/>
    <n v="13446"/>
  </r>
  <r>
    <s v="Coastal"/>
    <n v="2017"/>
    <s v="Jacksonville, FL"/>
    <n v="3282"/>
    <x v="91"/>
    <x v="1043"/>
    <n v="6921"/>
    <x v="944"/>
    <x v="637"/>
    <n v="13438"/>
  </r>
  <r>
    <s v="Coastal"/>
    <n v="2017"/>
    <s v="Jacksonville, FL"/>
    <n v="6839"/>
    <x v="106"/>
    <x v="1044"/>
    <n v="647"/>
    <x v="714"/>
    <x v="638"/>
    <n v="13403"/>
  </r>
  <r>
    <s v="Coastal"/>
    <n v="2017"/>
    <s v="Jacksonville, FL"/>
    <n v="6891"/>
    <x v="93"/>
    <x v="1045"/>
    <n v="2615"/>
    <x v="535"/>
    <x v="639"/>
    <n v="12048"/>
  </r>
  <r>
    <s v="Coastal"/>
    <n v="2017"/>
    <s v="Jacksonville, FL"/>
    <n v="6861"/>
    <x v="69"/>
    <x v="1046"/>
    <n v="7932"/>
    <x v="945"/>
    <x v="433"/>
    <n v="11953"/>
  </r>
  <r>
    <s v="Coastal"/>
    <n v="2017"/>
    <s v="Jacksonville, FL"/>
    <n v="5370"/>
    <x v="81"/>
    <x v="1047"/>
    <n v="10972"/>
    <x v="946"/>
    <x v="640"/>
    <n v="11851"/>
  </r>
  <r>
    <s v="Coastal"/>
    <n v="2017"/>
    <s v="Jacksonville, FL"/>
    <n v="4782"/>
    <x v="45"/>
    <x v="647"/>
    <n v="11717"/>
    <x v="947"/>
    <x v="641"/>
    <n v="11765"/>
  </r>
  <r>
    <s v="Coastal"/>
    <n v="2017"/>
    <s v="Jacksonville, FL"/>
    <n v="5421"/>
    <x v="88"/>
    <x v="1048"/>
    <n v="11515"/>
    <x v="948"/>
    <x v="642"/>
    <n v="11561"/>
  </r>
  <r>
    <s v="Coastal"/>
    <n v="2017"/>
    <s v="Jacksonville, FL"/>
    <n v="3291"/>
    <x v="117"/>
    <x v="242"/>
    <n v="7879"/>
    <x v="949"/>
    <x v="643"/>
    <n v="11325"/>
  </r>
  <r>
    <s v="Coastal"/>
    <n v="2017"/>
    <s v="Jacksonville, FL"/>
    <n v="5330"/>
    <x v="16"/>
    <x v="1049"/>
    <n v="7994"/>
    <x v="950"/>
    <x v="644"/>
    <n v="10420"/>
  </r>
  <r>
    <s v="Coastal"/>
    <n v="2017"/>
    <s v="Jacksonville, FL"/>
    <n v="6817"/>
    <x v="119"/>
    <x v="1050"/>
    <n v="1346"/>
    <x v="951"/>
    <x v="645"/>
    <n v="8929"/>
  </r>
  <r>
    <s v="Coastal"/>
    <n v="2017"/>
    <s v="Jacksonville, FL"/>
    <n v="7300"/>
    <x v="115"/>
    <x v="10"/>
    <n v="8882"/>
    <x v="952"/>
    <x v="425"/>
    <n v="8882"/>
  </r>
  <r>
    <s v="Coastal"/>
    <n v="2017"/>
    <s v="Jacksonville, FL"/>
    <n v="3110"/>
    <x v="36"/>
    <x v="1051"/>
    <n v="265"/>
    <x v="953"/>
    <x v="582"/>
    <n v="7631"/>
  </r>
  <r>
    <s v="Coastal"/>
    <n v="2017"/>
    <s v="Jacksonville, FL"/>
    <n v="3260"/>
    <x v="107"/>
    <x v="10"/>
    <n v="7385"/>
    <x v="954"/>
    <x v="646"/>
    <n v="7385"/>
  </r>
  <r>
    <s v="Coastal"/>
    <n v="2017"/>
    <s v="Jacksonville, FL"/>
    <n v="3230"/>
    <x v="80"/>
    <x v="1052"/>
    <n v="6597"/>
    <x v="955"/>
    <x v="647"/>
    <n v="6644"/>
  </r>
  <r>
    <s v="Coastal"/>
    <n v="2017"/>
    <s v="Jacksonville, FL"/>
    <n v="3250"/>
    <x v="108"/>
    <x v="10"/>
    <n v="6130"/>
    <x v="956"/>
    <x v="648"/>
    <n v="6130"/>
  </r>
  <r>
    <s v="Coastal"/>
    <n v="2017"/>
    <s v="Jacksonville, FL"/>
    <n v="7800"/>
    <x v="140"/>
    <x v="1053"/>
    <n v="0"/>
    <x v="0"/>
    <x v="0"/>
    <n v="5726"/>
  </r>
  <r>
    <s v="Coastal"/>
    <n v="2017"/>
    <s v="Jacksonville, FL"/>
    <n v="6899"/>
    <x v="114"/>
    <x v="1054"/>
    <n v="949"/>
    <x v="503"/>
    <x v="649"/>
    <n v="4881"/>
  </r>
  <r>
    <s v="Coastal"/>
    <n v="2017"/>
    <s v="Jacksonville, FL"/>
    <n v="3292"/>
    <x v="51"/>
    <x v="1055"/>
    <n v="3421"/>
    <x v="957"/>
    <x v="650"/>
    <n v="4586"/>
  </r>
  <r>
    <s v="Coastal"/>
    <n v="2017"/>
    <s v="Jacksonville, FL"/>
    <n v="5390"/>
    <x v="44"/>
    <x v="482"/>
    <n v="4080"/>
    <x v="958"/>
    <x v="651"/>
    <n v="4102"/>
  </r>
  <r>
    <s v="Coastal"/>
    <n v="2017"/>
    <s v="Jacksonville, FL"/>
    <n v="3293"/>
    <x v="122"/>
    <x v="10"/>
    <n v="3896"/>
    <x v="959"/>
    <x v="652"/>
    <n v="3896"/>
  </r>
  <r>
    <s v="Coastal"/>
    <n v="2017"/>
    <s v="Jacksonville, FL"/>
    <n v="4310"/>
    <x v="96"/>
    <x v="10"/>
    <n v="3826"/>
    <x v="960"/>
    <x v="158"/>
    <n v="3826"/>
  </r>
  <r>
    <s v="Coastal"/>
    <n v="2017"/>
    <s v="Jacksonville, FL"/>
    <n v="4150"/>
    <x v="101"/>
    <x v="10"/>
    <n v="3698"/>
    <x v="961"/>
    <x v="543"/>
    <n v="3698"/>
  </r>
  <r>
    <s v="Coastal"/>
    <n v="2017"/>
    <s v="Jacksonville, FL"/>
    <n v="6888"/>
    <x v="109"/>
    <x v="1056"/>
    <n v="483"/>
    <x v="962"/>
    <x v="450"/>
    <n v="3645"/>
  </r>
  <r>
    <s v="Coastal"/>
    <n v="2017"/>
    <s v="Jacksonville, FL"/>
    <n v="6521"/>
    <x v="121"/>
    <x v="179"/>
    <n v="3028"/>
    <x v="0"/>
    <x v="653"/>
    <n v="3106"/>
  </r>
  <r>
    <s v="Coastal"/>
    <n v="2017"/>
    <s v="Jacksonville, FL"/>
    <n v="5110"/>
    <x v="112"/>
    <x v="10"/>
    <n v="2987"/>
    <x v="963"/>
    <x v="411"/>
    <n v="2987"/>
  </r>
  <r>
    <s v="Coastal"/>
    <n v="2017"/>
    <s v="Jacksonville, FL"/>
    <n v="2350"/>
    <x v="40"/>
    <x v="1057"/>
    <n v="475"/>
    <x v="392"/>
    <x v="654"/>
    <n v="2977"/>
  </r>
  <r>
    <s v="Coastal"/>
    <n v="2017"/>
    <s v="Jacksonville, FL"/>
    <n v="2990"/>
    <x v="102"/>
    <x v="202"/>
    <n v="2866"/>
    <x v="964"/>
    <x v="0"/>
    <n v="2919"/>
  </r>
  <r>
    <s v="Coastal"/>
    <n v="2017"/>
    <s v="Jacksonville, FL"/>
    <n v="2429"/>
    <x v="17"/>
    <x v="1058"/>
    <n v="0"/>
    <x v="0"/>
    <x v="0"/>
    <n v="2874"/>
  </r>
  <r>
    <s v="Coastal"/>
    <n v="2017"/>
    <s v="Jacksonville, FL"/>
    <n v="3240"/>
    <x v="53"/>
    <x v="10"/>
    <n v="2816"/>
    <x v="965"/>
    <x v="655"/>
    <n v="2816"/>
  </r>
  <r>
    <s v="Coastal"/>
    <n v="2017"/>
    <s v="Jacksonville, FL"/>
    <n v="4190"/>
    <x v="99"/>
    <x v="1059"/>
    <n v="1159"/>
    <x v="966"/>
    <x v="256"/>
    <n v="2275"/>
  </r>
  <r>
    <s v="Coastal"/>
    <n v="2017"/>
    <s v="Jacksonville, FL"/>
    <n v="6590"/>
    <x v="23"/>
    <x v="1060"/>
    <n v="542"/>
    <x v="306"/>
    <x v="656"/>
    <n v="1960"/>
  </r>
  <r>
    <s v="Coastal"/>
    <n v="2017"/>
    <s v="Jacksonville, FL"/>
    <n v="6893"/>
    <x v="113"/>
    <x v="10"/>
    <n v="1860"/>
    <x v="967"/>
    <x v="657"/>
    <n v="1860"/>
  </r>
  <r>
    <s v="Coastal"/>
    <n v="2017"/>
    <s v="Jacksonville, FL"/>
    <n v="6344"/>
    <x v="25"/>
    <x v="1061"/>
    <n v="1721"/>
    <x v="540"/>
    <x v="658"/>
    <n v="1745"/>
  </r>
  <r>
    <s v="Coastal"/>
    <n v="2017"/>
    <s v="Jacksonville, FL"/>
    <n v="3273"/>
    <x v="46"/>
    <x v="1062"/>
    <n v="42"/>
    <x v="0"/>
    <x v="130"/>
    <n v="1665"/>
  </r>
  <r>
    <s v="Coastal"/>
    <n v="2017"/>
    <s v="Jacksonville, FL"/>
    <n v="3297"/>
    <x v="116"/>
    <x v="10"/>
    <n v="1532"/>
    <x v="968"/>
    <x v="659"/>
    <n v="1532"/>
  </r>
  <r>
    <s v="Coastal"/>
    <n v="2017"/>
    <s v="Jacksonville, FL"/>
    <n v="7230"/>
    <x v="22"/>
    <x v="994"/>
    <n v="1403"/>
    <x v="969"/>
    <x v="660"/>
    <n v="1494"/>
  </r>
  <r>
    <s v="Coastal"/>
    <n v="2017"/>
    <s v="Jacksonville, FL"/>
    <n v="7220"/>
    <x v="103"/>
    <x v="847"/>
    <n v="1231"/>
    <x v="970"/>
    <x v="661"/>
    <n v="1252"/>
  </r>
  <r>
    <s v="Coastal"/>
    <n v="2017"/>
    <s v="Jacksonville, FL"/>
    <n v="6838"/>
    <x v="131"/>
    <x v="1048"/>
    <n v="1198"/>
    <x v="0"/>
    <x v="662"/>
    <n v="1244"/>
  </r>
  <r>
    <s v="Coastal"/>
    <n v="2017"/>
    <s v="Jacksonville, FL"/>
    <n v="3279"/>
    <x v="58"/>
    <x v="10"/>
    <n v="1180"/>
    <x v="971"/>
    <x v="663"/>
    <n v="1180"/>
  </r>
  <r>
    <s v="Coastal"/>
    <n v="2017"/>
    <s v="Jacksonville, FL"/>
    <n v="5312"/>
    <x v="52"/>
    <x v="10"/>
    <n v="1113"/>
    <x v="572"/>
    <x v="12"/>
    <n v="1113"/>
  </r>
  <r>
    <s v="Coastal"/>
    <n v="2017"/>
    <s v="Jacksonville, FL"/>
    <n v="2640"/>
    <x v="110"/>
    <x v="1063"/>
    <n v="130"/>
    <x v="621"/>
    <x v="79"/>
    <n v="1023"/>
  </r>
  <r>
    <s v="Coastal"/>
    <n v="2017"/>
    <s v="Jacksonville, FL"/>
    <n v="4783"/>
    <x v="7"/>
    <x v="826"/>
    <n v="743"/>
    <x v="972"/>
    <x v="226"/>
    <n v="757"/>
  </r>
  <r>
    <s v="Coastal"/>
    <n v="2017"/>
    <s v="Jacksonville, FL"/>
    <n v="3283"/>
    <x v="111"/>
    <x v="10"/>
    <n v="608"/>
    <x v="973"/>
    <x v="223"/>
    <n v="608"/>
  </r>
  <r>
    <s v="Coastal"/>
    <n v="2017"/>
    <s v="Jacksonville, FL"/>
    <n v="6894"/>
    <x v="120"/>
    <x v="10"/>
    <n v="608"/>
    <x v="974"/>
    <x v="160"/>
    <n v="608"/>
  </r>
  <r>
    <s v="Coastal"/>
    <n v="2017"/>
    <s v="Jacksonville, FL"/>
    <n v="5429"/>
    <x v="61"/>
    <x v="10"/>
    <n v="418"/>
    <x v="975"/>
    <x v="664"/>
    <n v="418"/>
  </r>
  <r>
    <s v="Coastal"/>
    <n v="2017"/>
    <s v="Jacksonville, FL"/>
    <n v="6781"/>
    <x v="128"/>
    <x v="10"/>
    <n v="298"/>
    <x v="0"/>
    <x v="665"/>
    <n v="298"/>
  </r>
  <r>
    <s v="Coastal"/>
    <n v="2017"/>
    <s v="Jacksonville, FL"/>
    <n v="6746"/>
    <x v="118"/>
    <x v="10"/>
    <n v="244"/>
    <x v="297"/>
    <x v="129"/>
    <n v="244"/>
  </r>
  <r>
    <s v="Coastal"/>
    <n v="2017"/>
    <s v="Jacksonville, FL"/>
    <n v="5315"/>
    <x v="48"/>
    <x v="10"/>
    <n v="213"/>
    <x v="976"/>
    <x v="284"/>
    <n v="213"/>
  </r>
  <r>
    <s v="Coastal"/>
    <n v="2017"/>
    <s v="Jacksonville, FL"/>
    <n v="4110"/>
    <x v="105"/>
    <x v="10"/>
    <n v="194"/>
    <x v="977"/>
    <x v="0"/>
    <n v="194"/>
  </r>
  <r>
    <s v="Coastal"/>
    <n v="2017"/>
    <s v="Jacksonville, FL"/>
    <n v="3120"/>
    <x v="41"/>
    <x v="293"/>
    <n v="1"/>
    <x v="0"/>
    <x v="276"/>
    <n v="151"/>
  </r>
  <r>
    <s v="Coastal"/>
    <n v="2017"/>
    <s v="Jacksonville, FL"/>
    <n v="6865"/>
    <x v="75"/>
    <x v="10"/>
    <n v="141"/>
    <x v="204"/>
    <x v="0"/>
    <n v="141"/>
  </r>
  <r>
    <s v="Coastal"/>
    <n v="2017"/>
    <s v="Jacksonville, FL"/>
    <n v="3271"/>
    <x v="133"/>
    <x v="10"/>
    <n v="132"/>
    <x v="0"/>
    <x v="398"/>
    <n v="132"/>
  </r>
  <r>
    <s v="Coastal"/>
    <n v="2017"/>
    <s v="Jacksonville, FL"/>
    <n v="5210"/>
    <x v="130"/>
    <x v="10"/>
    <n v="126"/>
    <x v="0"/>
    <x v="666"/>
    <n v="126"/>
  </r>
  <r>
    <s v="Coastal"/>
    <n v="2017"/>
    <s v="Jacksonville, FL"/>
    <n v="4690"/>
    <x v="62"/>
    <x v="10"/>
    <n v="117"/>
    <x v="150"/>
    <x v="433"/>
    <n v="117"/>
  </r>
  <r>
    <s v="Coastal"/>
    <n v="2017"/>
    <s v="Jacksonville, FL"/>
    <n v="3211"/>
    <x v="124"/>
    <x v="1064"/>
    <n v="0"/>
    <x v="0"/>
    <x v="0"/>
    <n v="115"/>
  </r>
  <r>
    <s v="Coastal"/>
    <n v="2017"/>
    <s v="Jacksonville, FL"/>
    <n v="8900"/>
    <x v="139"/>
    <x v="481"/>
    <n v="0"/>
    <x v="0"/>
    <x v="0"/>
    <n v="109"/>
  </r>
  <r>
    <s v="Coastal"/>
    <n v="2017"/>
    <s v="Jacksonville, FL"/>
    <n v="6522"/>
    <x v="26"/>
    <x v="10"/>
    <n v="97"/>
    <x v="388"/>
    <x v="667"/>
    <n v="97"/>
  </r>
  <r>
    <s v="Coastal"/>
    <n v="2017"/>
    <s v="Jacksonville, FL"/>
    <n v="5320"/>
    <x v="13"/>
    <x v="10"/>
    <n v="75"/>
    <x v="504"/>
    <x v="209"/>
    <n v="75"/>
  </r>
  <r>
    <s v="Coastal"/>
    <n v="2017"/>
    <s v="Jacksonville, FL"/>
    <n v="4338"/>
    <x v="142"/>
    <x v="647"/>
    <n v="0"/>
    <x v="0"/>
    <x v="0"/>
    <n v="48"/>
  </r>
  <r>
    <s v="Coastal"/>
    <n v="2017"/>
    <s v="Jacksonville, FL"/>
    <n v="6872"/>
    <x v="100"/>
    <x v="10"/>
    <n v="35"/>
    <x v="310"/>
    <x v="0"/>
    <n v="35"/>
  </r>
  <r>
    <s v="Coastal"/>
    <n v="2017"/>
    <s v="Jacksonville, FL"/>
    <n v="2410"/>
    <x v="98"/>
    <x v="10"/>
    <n v="29"/>
    <x v="19"/>
    <x v="234"/>
    <n v="29"/>
  </r>
  <r>
    <s v="Coastal"/>
    <n v="2017"/>
    <s v="Jacksonville, FL"/>
    <n v="6241"/>
    <x v="28"/>
    <x v="10"/>
    <n v="25"/>
    <x v="208"/>
    <x v="0"/>
    <n v="25"/>
  </r>
  <r>
    <s v="Coastal"/>
    <n v="2017"/>
    <s v="Jacksonville, FL"/>
    <n v="6445"/>
    <x v="136"/>
    <x v="1065"/>
    <n v="0"/>
    <x v="0"/>
    <x v="0"/>
    <n v="20"/>
  </r>
  <r>
    <s v="Coastal"/>
    <n v="2017"/>
    <s v="Jacksonville, FL"/>
    <n v="6534"/>
    <x v="141"/>
    <x v="10"/>
    <n v="20"/>
    <x v="0"/>
    <x v="125"/>
    <n v="20"/>
  </r>
  <r>
    <s v="Coastal"/>
    <n v="2017"/>
    <s v="Jacksonville, FL"/>
    <n v="3281"/>
    <x v="125"/>
    <x v="10"/>
    <n v="18"/>
    <x v="0"/>
    <x v="454"/>
    <n v="18"/>
  </r>
  <r>
    <s v="Coastal"/>
    <n v="2017"/>
    <s v="Jacksonville, FL"/>
    <n v="4515"/>
    <x v="129"/>
    <x v="10"/>
    <n v="7"/>
    <x v="311"/>
    <x v="0"/>
    <n v="7"/>
  </r>
  <r>
    <s v="Coastal"/>
    <n v="2017"/>
    <s v="Jacksonville, FL"/>
    <n v="3130"/>
    <x v="37"/>
    <x v="10"/>
    <n v="5"/>
    <x v="168"/>
    <x v="0"/>
    <n v="5"/>
  </r>
  <r>
    <s v="Coastal"/>
    <n v="2017"/>
    <s v="Jacksonville, FL"/>
    <n v="4327"/>
    <x v="134"/>
    <x v="10"/>
    <n v="3"/>
    <x v="0"/>
    <x v="128"/>
    <n v="3"/>
  </r>
  <r>
    <s v="Coastal"/>
    <n v="2017"/>
    <s v="Jacksonville, FL"/>
    <n v="4630"/>
    <x v="127"/>
    <x v="10"/>
    <n v="2"/>
    <x v="0"/>
    <x v="284"/>
    <n v="2"/>
  </r>
  <r>
    <s v="Internal"/>
    <n v="2344"/>
    <s v="Jefferson County Port, MO"/>
    <n v="5220"/>
    <x v="30"/>
    <x v="1066"/>
    <n v="0"/>
    <x v="0"/>
    <x v="0"/>
    <n v="1963997"/>
  </r>
  <r>
    <s v="Internal"/>
    <n v="2344"/>
    <s v="Jefferson County Port, MO"/>
    <n v="4331"/>
    <x v="29"/>
    <x v="1067"/>
    <n v="0"/>
    <x v="0"/>
    <x v="0"/>
    <n v="1223795"/>
  </r>
  <r>
    <s v="Internal"/>
    <n v="2344"/>
    <s v="Jefferson County Port, MO"/>
    <n v="2540"/>
    <x v="15"/>
    <x v="1068"/>
    <n v="0"/>
    <x v="0"/>
    <x v="0"/>
    <n v="230504"/>
  </r>
  <r>
    <s v="Internal"/>
    <n v="2344"/>
    <s v="Jefferson County Port, MO"/>
    <n v="6344"/>
    <x v="25"/>
    <x v="1069"/>
    <n v="0"/>
    <x v="0"/>
    <x v="0"/>
    <n v="139567"/>
  </r>
  <r>
    <s v="Internal"/>
    <n v="2344"/>
    <s v="Jefferson County Port, MO"/>
    <n v="4322"/>
    <x v="33"/>
    <x v="1070"/>
    <n v="0"/>
    <x v="0"/>
    <x v="0"/>
    <n v="122243"/>
  </r>
  <r>
    <s v="Internal"/>
    <n v="2344"/>
    <s v="Jefferson County Port, MO"/>
    <n v="4410"/>
    <x v="34"/>
    <x v="1071"/>
    <n v="0"/>
    <x v="0"/>
    <x v="0"/>
    <n v="53588"/>
  </r>
  <r>
    <s v="Internal"/>
    <n v="2344"/>
    <s v="Jefferson County Port, MO"/>
    <n v="6522"/>
    <x v="26"/>
    <x v="1072"/>
    <n v="0"/>
    <x v="0"/>
    <x v="0"/>
    <n v="35631"/>
  </r>
  <r>
    <s v="Internal"/>
    <n v="2344"/>
    <s v="Jefferson County Port, MO"/>
    <n v="4860"/>
    <x v="31"/>
    <x v="1073"/>
    <n v="0"/>
    <x v="0"/>
    <x v="0"/>
    <n v="19400"/>
  </r>
  <r>
    <s v="Internal"/>
    <n v="2344"/>
    <s v="Jefferson County Port, MO"/>
    <n v="4650"/>
    <x v="67"/>
    <x v="1074"/>
    <n v="0"/>
    <x v="0"/>
    <x v="0"/>
    <n v="7899"/>
  </r>
  <r>
    <s v="Internal"/>
    <n v="2344"/>
    <s v="Jefferson County Port, MO"/>
    <n v="5210"/>
    <x v="130"/>
    <x v="1075"/>
    <n v="0"/>
    <x v="0"/>
    <x v="0"/>
    <n v="5393"/>
  </r>
  <r>
    <s v="Internal"/>
    <n v="2344"/>
    <s v="Jefferson County Port, MO"/>
    <n v="5429"/>
    <x v="61"/>
    <x v="1076"/>
    <n v="0"/>
    <x v="0"/>
    <x v="0"/>
    <n v="3352"/>
  </r>
  <r>
    <s v="Internal"/>
    <n v="2344"/>
    <s v="Jefferson County Port, MO"/>
    <n v="6590"/>
    <x v="23"/>
    <x v="1077"/>
    <n v="0"/>
    <x v="0"/>
    <x v="0"/>
    <n v="1676"/>
  </r>
  <r>
    <s v="Internal"/>
    <n v="2344"/>
    <s v="Jefferson County Port, MO"/>
    <n v="2340"/>
    <x v="3"/>
    <x v="684"/>
    <n v="0"/>
    <x v="0"/>
    <x v="0"/>
    <n v="1645"/>
  </r>
  <r>
    <s v="Coastal"/>
    <n v="4711"/>
    <s v="Jefferson County Port, WA"/>
    <n v="4161"/>
    <x v="54"/>
    <x v="1078"/>
    <n v="0"/>
    <x v="0"/>
    <x v="0"/>
    <n v="282528"/>
  </r>
  <r>
    <s v="Coastal"/>
    <n v="4711"/>
    <s v="Jefferson County Port, WA"/>
    <n v="5190"/>
    <x v="83"/>
    <x v="1079"/>
    <n v="0"/>
    <x v="0"/>
    <x v="0"/>
    <n v="19800"/>
  </r>
  <r>
    <s v="Coastal"/>
    <n v="4711"/>
    <s v="Jefferson County Port, WA"/>
    <n v="4170"/>
    <x v="55"/>
    <x v="79"/>
    <n v="0"/>
    <x v="0"/>
    <x v="0"/>
    <n v="1700"/>
  </r>
  <r>
    <s v="Internal"/>
    <n v="7711"/>
    <s v="Joliet Regional Port, IL"/>
    <n v="4331"/>
    <x v="29"/>
    <x v="1080"/>
    <n v="0"/>
    <x v="0"/>
    <x v="0"/>
    <n v="2103143"/>
  </r>
  <r>
    <s v="Internal"/>
    <n v="7711"/>
    <s v="Joliet Regional Port, IL"/>
    <n v="2540"/>
    <x v="15"/>
    <x v="1081"/>
    <n v="0"/>
    <x v="0"/>
    <x v="0"/>
    <n v="1878109"/>
  </r>
  <r>
    <s v="Internal"/>
    <n v="7711"/>
    <s v="Joliet Regional Port, IL"/>
    <n v="2330"/>
    <x v="1"/>
    <x v="1082"/>
    <n v="0"/>
    <x v="0"/>
    <x v="0"/>
    <n v="1167745"/>
  </r>
  <r>
    <s v="Internal"/>
    <n v="7711"/>
    <s v="Joliet Regional Port, IL"/>
    <n v="4338"/>
    <x v="142"/>
    <x v="924"/>
    <n v="0"/>
    <x v="0"/>
    <x v="0"/>
    <n v="621938"/>
  </r>
  <r>
    <s v="Internal"/>
    <n v="7711"/>
    <s v="Joliet Regional Port, IL"/>
    <n v="2430"/>
    <x v="11"/>
    <x v="1083"/>
    <n v="0"/>
    <x v="0"/>
    <x v="0"/>
    <n v="418275"/>
  </r>
  <r>
    <s v="Internal"/>
    <n v="7711"/>
    <s v="Joliet Regional Port, IL"/>
    <n v="5220"/>
    <x v="30"/>
    <x v="1084"/>
    <n v="0"/>
    <x v="0"/>
    <x v="0"/>
    <n v="390693"/>
  </r>
  <r>
    <s v="Internal"/>
    <n v="7711"/>
    <s v="Joliet Regional Port, IL"/>
    <n v="3219"/>
    <x v="19"/>
    <x v="1085"/>
    <n v="0"/>
    <x v="0"/>
    <x v="0"/>
    <n v="381415"/>
  </r>
  <r>
    <s v="Internal"/>
    <n v="7711"/>
    <s v="Joliet Regional Port, IL"/>
    <n v="2429"/>
    <x v="17"/>
    <x v="1086"/>
    <n v="0"/>
    <x v="0"/>
    <x v="0"/>
    <n v="327706"/>
  </r>
  <r>
    <s v="Internal"/>
    <n v="7711"/>
    <s v="Joliet Regional Port, IL"/>
    <n v="2340"/>
    <x v="3"/>
    <x v="1087"/>
    <n v="0"/>
    <x v="0"/>
    <x v="0"/>
    <n v="304374"/>
  </r>
  <r>
    <s v="Internal"/>
    <n v="7711"/>
    <s v="Joliet Regional Port, IL"/>
    <n v="6782"/>
    <x v="27"/>
    <x v="1088"/>
    <n v="0"/>
    <x v="0"/>
    <x v="0"/>
    <n v="216877"/>
  </r>
  <r>
    <s v="Internal"/>
    <n v="7711"/>
    <s v="Joliet Regional Port, IL"/>
    <n v="6653"/>
    <x v="24"/>
    <x v="1089"/>
    <n v="0"/>
    <x v="0"/>
    <x v="0"/>
    <n v="181601"/>
  </r>
  <r>
    <s v="Internal"/>
    <n v="7711"/>
    <s v="Joliet Regional Port, IL"/>
    <n v="3220"/>
    <x v="2"/>
    <x v="1090"/>
    <n v="0"/>
    <x v="0"/>
    <x v="0"/>
    <n v="151843"/>
  </r>
  <r>
    <s v="Internal"/>
    <n v="7711"/>
    <s v="Joliet Regional Port, IL"/>
    <n v="3274"/>
    <x v="86"/>
    <x v="1091"/>
    <n v="0"/>
    <x v="0"/>
    <x v="0"/>
    <n v="98323"/>
  </r>
  <r>
    <s v="Internal"/>
    <n v="7711"/>
    <s v="Joliet Regional Port, IL"/>
    <n v="2211"/>
    <x v="0"/>
    <x v="1092"/>
    <n v="0"/>
    <x v="0"/>
    <x v="0"/>
    <n v="91761"/>
  </r>
  <r>
    <s v="Internal"/>
    <n v="7711"/>
    <s v="Joliet Regional Port, IL"/>
    <n v="2350"/>
    <x v="40"/>
    <x v="1093"/>
    <n v="0"/>
    <x v="0"/>
    <x v="0"/>
    <n v="87742"/>
  </r>
  <r>
    <s v="Internal"/>
    <n v="7711"/>
    <s v="Joliet Regional Port, IL"/>
    <n v="3299"/>
    <x v="79"/>
    <x v="1094"/>
    <n v="0"/>
    <x v="0"/>
    <x v="0"/>
    <n v="72922"/>
  </r>
  <r>
    <s v="Internal"/>
    <n v="7711"/>
    <s v="Joliet Regional Port, IL"/>
    <n v="4420"/>
    <x v="8"/>
    <x v="1095"/>
    <n v="0"/>
    <x v="0"/>
    <x v="0"/>
    <n v="71215"/>
  </r>
  <r>
    <s v="Internal"/>
    <n v="7711"/>
    <s v="Joliet Regional Port, IL"/>
    <n v="3276"/>
    <x v="12"/>
    <x v="1096"/>
    <n v="0"/>
    <x v="0"/>
    <x v="0"/>
    <n v="71007"/>
  </r>
  <r>
    <s v="Internal"/>
    <n v="7711"/>
    <s v="Joliet Regional Port, IL"/>
    <n v="3260"/>
    <x v="107"/>
    <x v="1097"/>
    <n v="0"/>
    <x v="0"/>
    <x v="0"/>
    <n v="67443"/>
  </r>
  <r>
    <s v="Internal"/>
    <n v="7711"/>
    <s v="Joliet Regional Port, IL"/>
    <n v="5330"/>
    <x v="16"/>
    <x v="1098"/>
    <n v="0"/>
    <x v="0"/>
    <x v="0"/>
    <n v="65731"/>
  </r>
  <r>
    <s v="Internal"/>
    <n v="7711"/>
    <s v="Joliet Regional Port, IL"/>
    <n v="6344"/>
    <x v="25"/>
    <x v="1099"/>
    <n v="0"/>
    <x v="0"/>
    <x v="0"/>
    <n v="55923"/>
  </r>
  <r>
    <s v="Internal"/>
    <n v="7711"/>
    <s v="Joliet Regional Port, IL"/>
    <n v="5360"/>
    <x v="94"/>
    <x v="1100"/>
    <n v="0"/>
    <x v="0"/>
    <x v="0"/>
    <n v="52448"/>
  </r>
  <r>
    <s v="Internal"/>
    <n v="7711"/>
    <s v="Joliet Regional Port, IL"/>
    <n v="5312"/>
    <x v="52"/>
    <x v="1101"/>
    <n v="0"/>
    <x v="0"/>
    <x v="0"/>
    <n v="47857"/>
  </r>
  <r>
    <s v="Internal"/>
    <n v="7711"/>
    <s v="Joliet Regional Port, IL"/>
    <n v="3212"/>
    <x v="39"/>
    <x v="1102"/>
    <n v="0"/>
    <x v="0"/>
    <x v="0"/>
    <n v="44264"/>
  </r>
  <r>
    <s v="Internal"/>
    <n v="7711"/>
    <s v="Joliet Regional Port, IL"/>
    <n v="3110"/>
    <x v="36"/>
    <x v="1103"/>
    <n v="0"/>
    <x v="0"/>
    <x v="0"/>
    <n v="30029"/>
  </r>
  <r>
    <s v="Internal"/>
    <n v="7711"/>
    <s v="Joliet Regional Port, IL"/>
    <n v="4161"/>
    <x v="54"/>
    <x v="1104"/>
    <n v="0"/>
    <x v="0"/>
    <x v="0"/>
    <n v="25564"/>
  </r>
  <r>
    <s v="Internal"/>
    <n v="7711"/>
    <s v="Joliet Regional Port, IL"/>
    <n v="2990"/>
    <x v="102"/>
    <x v="1105"/>
    <n v="0"/>
    <x v="0"/>
    <x v="0"/>
    <n v="21342"/>
  </r>
  <r>
    <s v="Internal"/>
    <n v="7711"/>
    <s v="Joliet Regional Port, IL"/>
    <n v="4783"/>
    <x v="7"/>
    <x v="1106"/>
    <n v="0"/>
    <x v="0"/>
    <x v="0"/>
    <n v="13957"/>
  </r>
  <r>
    <s v="Internal"/>
    <n v="7711"/>
    <s v="Joliet Regional Port, IL"/>
    <n v="2100"/>
    <x v="35"/>
    <x v="1107"/>
    <n v="0"/>
    <x v="0"/>
    <x v="0"/>
    <n v="12632"/>
  </r>
  <r>
    <s v="Internal"/>
    <n v="7711"/>
    <s v="Joliet Regional Port, IL"/>
    <n v="6522"/>
    <x v="26"/>
    <x v="1108"/>
    <n v="0"/>
    <x v="0"/>
    <x v="0"/>
    <n v="12034"/>
  </r>
  <r>
    <s v="Internal"/>
    <n v="7711"/>
    <s v="Joliet Regional Port, IL"/>
    <n v="1200"/>
    <x v="43"/>
    <x v="1109"/>
    <n v="0"/>
    <x v="0"/>
    <x v="0"/>
    <n v="10775"/>
  </r>
  <r>
    <s v="Internal"/>
    <n v="7711"/>
    <s v="Joliet Regional Port, IL"/>
    <n v="5480"/>
    <x v="20"/>
    <x v="1110"/>
    <n v="0"/>
    <x v="0"/>
    <x v="0"/>
    <n v="10628"/>
  </r>
  <r>
    <s v="Internal"/>
    <n v="7711"/>
    <s v="Joliet Regional Port, IL"/>
    <n v="3230"/>
    <x v="80"/>
    <x v="1111"/>
    <n v="0"/>
    <x v="0"/>
    <x v="0"/>
    <n v="10593"/>
  </r>
  <r>
    <s v="Internal"/>
    <n v="7711"/>
    <s v="Joliet Regional Port, IL"/>
    <n v="7600"/>
    <x v="68"/>
    <x v="1112"/>
    <n v="0"/>
    <x v="0"/>
    <x v="0"/>
    <n v="10351"/>
  </r>
  <r>
    <s v="Internal"/>
    <n v="7711"/>
    <s v="Joliet Regional Port, IL"/>
    <n v="3279"/>
    <x v="58"/>
    <x v="1113"/>
    <n v="0"/>
    <x v="0"/>
    <x v="0"/>
    <n v="6159"/>
  </r>
  <r>
    <s v="Internal"/>
    <n v="7711"/>
    <s v="Joliet Regional Port, IL"/>
    <n v="4782"/>
    <x v="45"/>
    <x v="1114"/>
    <n v="0"/>
    <x v="0"/>
    <x v="0"/>
    <n v="4695"/>
  </r>
  <r>
    <s v="Internal"/>
    <n v="7711"/>
    <s v="Joliet Regional Port, IL"/>
    <n v="4335"/>
    <x v="5"/>
    <x v="681"/>
    <n v="0"/>
    <x v="0"/>
    <x v="0"/>
    <n v="4527"/>
  </r>
  <r>
    <s v="Internal"/>
    <n v="7711"/>
    <s v="Joliet Regional Port, IL"/>
    <n v="4860"/>
    <x v="31"/>
    <x v="1115"/>
    <n v="0"/>
    <x v="0"/>
    <x v="0"/>
    <n v="3157"/>
  </r>
  <r>
    <s v="Internal"/>
    <n v="7711"/>
    <s v="Joliet Regional Port, IL"/>
    <n v="5315"/>
    <x v="48"/>
    <x v="1116"/>
    <n v="0"/>
    <x v="0"/>
    <x v="0"/>
    <n v="1653"/>
  </r>
  <r>
    <s v="Internal"/>
    <n v="7711"/>
    <s v="Joliet Regional Port, IL"/>
    <n v="4322"/>
    <x v="33"/>
    <x v="1117"/>
    <n v="0"/>
    <x v="0"/>
    <x v="0"/>
    <n v="1652"/>
  </r>
  <r>
    <s v="Internal"/>
    <n v="7711"/>
    <s v="Joliet Regional Port, IL"/>
    <n v="5370"/>
    <x v="81"/>
    <x v="1118"/>
    <n v="0"/>
    <x v="0"/>
    <x v="0"/>
    <n v="1477"/>
  </r>
  <r>
    <s v="Coastal"/>
    <n v="4823"/>
    <s v="Juneau, AK"/>
    <n v="7900"/>
    <x v="21"/>
    <x v="1119"/>
    <n v="0"/>
    <x v="0"/>
    <x v="0"/>
    <n v="234721"/>
  </r>
  <r>
    <s v="Coastal"/>
    <n v="4823"/>
    <s v="Juneau, AK"/>
    <n v="4331"/>
    <x v="29"/>
    <x v="1120"/>
    <n v="0"/>
    <x v="0"/>
    <x v="0"/>
    <n v="221119"/>
  </r>
  <r>
    <s v="Coastal"/>
    <n v="4823"/>
    <s v="Juneau, AK"/>
    <n v="6887"/>
    <x v="138"/>
    <x v="1121"/>
    <n v="0"/>
    <x v="0"/>
    <x v="0"/>
    <n v="65447"/>
  </r>
  <r>
    <s v="Coastal"/>
    <n v="4823"/>
    <s v="Juneau, AK"/>
    <n v="4690"/>
    <x v="62"/>
    <x v="10"/>
    <n v="56331"/>
    <x v="0"/>
    <x v="668"/>
    <n v="56331"/>
  </r>
  <r>
    <s v="Coastal"/>
    <n v="4823"/>
    <s v="Juneau, AK"/>
    <n v="6889"/>
    <x v="42"/>
    <x v="1122"/>
    <n v="0"/>
    <x v="0"/>
    <x v="0"/>
    <n v="24286"/>
  </r>
  <r>
    <s v="Coastal"/>
    <n v="4823"/>
    <s v="Juneau, AK"/>
    <n v="2430"/>
    <x v="11"/>
    <x v="1123"/>
    <n v="0"/>
    <x v="0"/>
    <x v="0"/>
    <n v="24259"/>
  </r>
  <r>
    <s v="Coastal"/>
    <n v="4823"/>
    <s v="Juneau, AK"/>
    <n v="2211"/>
    <x v="0"/>
    <x v="1124"/>
    <n v="11700"/>
    <x v="978"/>
    <x v="0"/>
    <n v="23911"/>
  </r>
  <r>
    <s v="Coastal"/>
    <n v="4823"/>
    <s v="Juneau, AK"/>
    <n v="7400"/>
    <x v="77"/>
    <x v="1125"/>
    <n v="0"/>
    <x v="0"/>
    <x v="0"/>
    <n v="20863"/>
  </r>
  <r>
    <s v="Coastal"/>
    <n v="4823"/>
    <s v="Juneau, AK"/>
    <n v="5360"/>
    <x v="94"/>
    <x v="1126"/>
    <n v="0"/>
    <x v="0"/>
    <x v="0"/>
    <n v="19016"/>
  </r>
  <r>
    <s v="Coastal"/>
    <n v="4823"/>
    <s v="Juneau, AK"/>
    <n v="7210"/>
    <x v="59"/>
    <x v="1127"/>
    <n v="0"/>
    <x v="0"/>
    <x v="0"/>
    <n v="16316"/>
  </r>
  <r>
    <s v="Coastal"/>
    <n v="4823"/>
    <s v="Juneau, AK"/>
    <n v="6885"/>
    <x v="72"/>
    <x v="1128"/>
    <n v="0"/>
    <x v="0"/>
    <x v="0"/>
    <n v="15483"/>
  </r>
  <r>
    <s v="Coastal"/>
    <n v="4823"/>
    <s v="Juneau, AK"/>
    <n v="7110"/>
    <x v="4"/>
    <x v="1129"/>
    <n v="0"/>
    <x v="0"/>
    <x v="0"/>
    <n v="14582"/>
  </r>
  <r>
    <s v="Coastal"/>
    <n v="4823"/>
    <s v="Juneau, AK"/>
    <n v="3299"/>
    <x v="79"/>
    <x v="1130"/>
    <n v="0"/>
    <x v="0"/>
    <x v="0"/>
    <n v="13617"/>
  </r>
  <r>
    <s v="Coastal"/>
    <n v="4823"/>
    <s v="Juneau, AK"/>
    <n v="4783"/>
    <x v="7"/>
    <x v="1131"/>
    <n v="0"/>
    <x v="0"/>
    <x v="0"/>
    <n v="13175"/>
  </r>
  <r>
    <s v="Coastal"/>
    <n v="4823"/>
    <s v="Juneau, AK"/>
    <n v="2330"/>
    <x v="1"/>
    <x v="1132"/>
    <n v="7605"/>
    <x v="979"/>
    <x v="0"/>
    <n v="11001"/>
  </r>
  <r>
    <s v="Coastal"/>
    <n v="4823"/>
    <s v="Juneau, AK"/>
    <n v="3293"/>
    <x v="122"/>
    <x v="1133"/>
    <n v="0"/>
    <x v="0"/>
    <x v="0"/>
    <n v="10095"/>
  </r>
  <r>
    <s v="Coastal"/>
    <n v="4823"/>
    <s v="Juneau, AK"/>
    <n v="4189"/>
    <x v="65"/>
    <x v="1134"/>
    <n v="0"/>
    <x v="0"/>
    <x v="0"/>
    <n v="9412"/>
  </r>
  <r>
    <s v="Coastal"/>
    <n v="4823"/>
    <s v="Juneau, AK"/>
    <n v="2990"/>
    <x v="102"/>
    <x v="1135"/>
    <n v="0"/>
    <x v="0"/>
    <x v="0"/>
    <n v="8092"/>
  </r>
  <r>
    <s v="Coastal"/>
    <n v="4823"/>
    <s v="Juneau, AK"/>
    <n v="8900"/>
    <x v="139"/>
    <x v="1136"/>
    <n v="0"/>
    <x v="0"/>
    <x v="0"/>
    <n v="5862"/>
  </r>
  <r>
    <s v="Coastal"/>
    <n v="4823"/>
    <s v="Juneau, AK"/>
    <n v="6134"/>
    <x v="82"/>
    <x v="1137"/>
    <n v="24"/>
    <x v="391"/>
    <x v="0"/>
    <n v="5708"/>
  </r>
  <r>
    <s v="Coastal"/>
    <n v="4823"/>
    <s v="Juneau, AK"/>
    <n v="2221"/>
    <x v="9"/>
    <x v="1138"/>
    <n v="4755"/>
    <x v="980"/>
    <x v="0"/>
    <n v="5385"/>
  </r>
  <r>
    <s v="Coastal"/>
    <n v="4823"/>
    <s v="Juneau, AK"/>
    <n v="6782"/>
    <x v="27"/>
    <x v="952"/>
    <n v="0"/>
    <x v="0"/>
    <x v="0"/>
    <n v="4731"/>
  </r>
  <r>
    <s v="Coastal"/>
    <n v="4823"/>
    <s v="Juneau, AK"/>
    <n v="5480"/>
    <x v="20"/>
    <x v="1139"/>
    <n v="0"/>
    <x v="0"/>
    <x v="0"/>
    <n v="4440"/>
  </r>
  <r>
    <s v="Coastal"/>
    <n v="4823"/>
    <s v="Juneau, AK"/>
    <n v="5290"/>
    <x v="49"/>
    <x v="1140"/>
    <n v="0"/>
    <x v="0"/>
    <x v="0"/>
    <n v="3906"/>
  </r>
  <r>
    <s v="Coastal"/>
    <n v="4823"/>
    <s v="Juneau, AK"/>
    <n v="7120"/>
    <x v="71"/>
    <x v="1141"/>
    <n v="0"/>
    <x v="0"/>
    <x v="0"/>
    <n v="3843"/>
  </r>
  <r>
    <s v="Coastal"/>
    <n v="4823"/>
    <s v="Juneau, AK"/>
    <n v="5190"/>
    <x v="83"/>
    <x v="1142"/>
    <n v="0"/>
    <x v="0"/>
    <x v="0"/>
    <n v="3703"/>
  </r>
  <r>
    <s v="Coastal"/>
    <n v="4823"/>
    <s v="Juneau, AK"/>
    <n v="4420"/>
    <x v="8"/>
    <x v="1143"/>
    <n v="0"/>
    <x v="0"/>
    <x v="0"/>
    <n v="3329"/>
  </r>
  <r>
    <s v="Coastal"/>
    <n v="4823"/>
    <s v="Juneau, AK"/>
    <n v="5370"/>
    <x v="81"/>
    <x v="1144"/>
    <n v="0"/>
    <x v="0"/>
    <x v="0"/>
    <n v="2068"/>
  </r>
  <r>
    <s v="Coastal"/>
    <n v="4823"/>
    <s v="Juneau, AK"/>
    <n v="4225"/>
    <x v="10"/>
    <x v="1145"/>
    <n v="0"/>
    <x v="0"/>
    <x v="0"/>
    <n v="1942"/>
  </r>
  <r>
    <s v="Coastal"/>
    <n v="4823"/>
    <s v="Juneau, AK"/>
    <n v="3282"/>
    <x v="91"/>
    <x v="1146"/>
    <n v="0"/>
    <x v="0"/>
    <x v="0"/>
    <n v="1409"/>
  </r>
  <r>
    <s v="Coastal"/>
    <n v="4823"/>
    <s v="Juneau, AK"/>
    <n v="7500"/>
    <x v="60"/>
    <x v="1147"/>
    <n v="0"/>
    <x v="0"/>
    <x v="0"/>
    <n v="1363"/>
  </r>
  <r>
    <s v="Coastal"/>
    <n v="4823"/>
    <s v="Juneau, AK"/>
    <n v="5540"/>
    <x v="64"/>
    <x v="1148"/>
    <n v="0"/>
    <x v="0"/>
    <x v="0"/>
    <n v="1244"/>
  </r>
  <r>
    <s v="Coastal"/>
    <n v="4823"/>
    <s v="Juneau, AK"/>
    <n v="5240"/>
    <x v="89"/>
    <x v="1149"/>
    <n v="0"/>
    <x v="0"/>
    <x v="0"/>
    <n v="1136"/>
  </r>
  <r>
    <s v="Coastal"/>
    <n v="4823"/>
    <s v="Juneau, AK"/>
    <n v="7230"/>
    <x v="22"/>
    <x v="819"/>
    <n v="0"/>
    <x v="0"/>
    <x v="0"/>
    <n v="903"/>
  </r>
  <r>
    <s v="Coastal"/>
    <n v="4823"/>
    <s v="Juneau, AK"/>
    <n v="7600"/>
    <x v="68"/>
    <x v="1150"/>
    <n v="0"/>
    <x v="0"/>
    <x v="0"/>
    <n v="741"/>
  </r>
  <r>
    <s v="Coastal"/>
    <n v="4823"/>
    <s v="Juneau, AK"/>
    <n v="6136"/>
    <x v="95"/>
    <x v="1151"/>
    <n v="0"/>
    <x v="0"/>
    <x v="0"/>
    <n v="581"/>
  </r>
  <r>
    <s v="Coastal"/>
    <n v="4823"/>
    <s v="Juneau, AK"/>
    <n v="2340"/>
    <x v="3"/>
    <x v="623"/>
    <n v="0"/>
    <x v="0"/>
    <x v="0"/>
    <n v="368"/>
  </r>
  <r>
    <s v="Coastal"/>
    <n v="4823"/>
    <s v="Juneau, AK"/>
    <n v="6899"/>
    <x v="114"/>
    <x v="1152"/>
    <n v="0"/>
    <x v="0"/>
    <x v="0"/>
    <n v="291"/>
  </r>
  <r>
    <s v="Coastal"/>
    <n v="4823"/>
    <s v="Juneau, AK"/>
    <n v="7220"/>
    <x v="103"/>
    <x v="1153"/>
    <n v="0"/>
    <x v="0"/>
    <x v="0"/>
    <n v="281"/>
  </r>
  <r>
    <s v="Coastal"/>
    <n v="4823"/>
    <s v="Juneau, AK"/>
    <n v="3220"/>
    <x v="2"/>
    <x v="1154"/>
    <n v="0"/>
    <x v="0"/>
    <x v="0"/>
    <n v="250"/>
  </r>
  <r>
    <s v="Coastal"/>
    <n v="4823"/>
    <s v="Juneau, AK"/>
    <n v="6835"/>
    <x v="92"/>
    <x v="1155"/>
    <n v="0"/>
    <x v="0"/>
    <x v="0"/>
    <n v="145"/>
  </r>
  <r>
    <s v="Coastal"/>
    <n v="4823"/>
    <s v="Juneau, AK"/>
    <n v="3286"/>
    <x v="57"/>
    <x v="1156"/>
    <n v="0"/>
    <x v="0"/>
    <x v="0"/>
    <n v="99"/>
  </r>
  <r>
    <s v="Coastal"/>
    <n v="4823"/>
    <s v="Juneau, AK"/>
    <n v="5330"/>
    <x v="16"/>
    <x v="1157"/>
    <n v="0"/>
    <x v="0"/>
    <x v="0"/>
    <n v="84"/>
  </r>
  <r>
    <s v="Coastal"/>
    <n v="4410"/>
    <s v="Kahului, Maui, HI"/>
    <n v="7800"/>
    <x v="140"/>
    <x v="1158"/>
    <n v="0"/>
    <x v="0"/>
    <x v="0"/>
    <n v="2628136"/>
  </r>
  <r>
    <s v="Coastal"/>
    <n v="4410"/>
    <s v="Kahului, Maui, HI"/>
    <n v="7900"/>
    <x v="21"/>
    <x v="1159"/>
    <n v="3"/>
    <x v="393"/>
    <x v="0"/>
    <n v="213544"/>
  </r>
  <r>
    <s v="Coastal"/>
    <n v="4410"/>
    <s v="Kahului, Maui, HI"/>
    <n v="2221"/>
    <x v="9"/>
    <x v="1160"/>
    <n v="0"/>
    <x v="0"/>
    <x v="0"/>
    <n v="193278"/>
  </r>
  <r>
    <s v="Coastal"/>
    <n v="4410"/>
    <s v="Kahului, Maui, HI"/>
    <n v="7210"/>
    <x v="59"/>
    <x v="1161"/>
    <n v="0"/>
    <x v="0"/>
    <x v="0"/>
    <n v="177966"/>
  </r>
  <r>
    <s v="Coastal"/>
    <n v="4410"/>
    <s v="Kahului, Maui, HI"/>
    <n v="2330"/>
    <x v="1"/>
    <x v="1162"/>
    <n v="0"/>
    <x v="0"/>
    <x v="0"/>
    <n v="161916"/>
  </r>
  <r>
    <s v="Coastal"/>
    <n v="4410"/>
    <s v="Kahului, Maui, HI"/>
    <n v="2211"/>
    <x v="0"/>
    <x v="1163"/>
    <n v="2382"/>
    <x v="981"/>
    <x v="0"/>
    <n v="144834"/>
  </r>
  <r>
    <s v="Coastal"/>
    <n v="4410"/>
    <s v="Kahului, Maui, HI"/>
    <n v="6889"/>
    <x v="42"/>
    <x v="1164"/>
    <n v="0"/>
    <x v="0"/>
    <x v="0"/>
    <n v="74137"/>
  </r>
  <r>
    <s v="Coastal"/>
    <n v="4410"/>
    <s v="Kahului, Maui, HI"/>
    <n v="2340"/>
    <x v="3"/>
    <x v="1165"/>
    <n v="0"/>
    <x v="0"/>
    <x v="0"/>
    <n v="51417"/>
  </r>
  <r>
    <s v="Coastal"/>
    <n v="4410"/>
    <s v="Kahului, Maui, HI"/>
    <n v="2640"/>
    <x v="110"/>
    <x v="1166"/>
    <n v="31224"/>
    <x v="982"/>
    <x v="0"/>
    <n v="45222"/>
  </r>
  <r>
    <s v="Coastal"/>
    <n v="4410"/>
    <s v="Kahului, Maui, HI"/>
    <n v="7400"/>
    <x v="77"/>
    <x v="1167"/>
    <n v="0"/>
    <x v="0"/>
    <x v="0"/>
    <n v="32042"/>
  </r>
  <r>
    <s v="Coastal"/>
    <n v="4410"/>
    <s v="Kahului, Maui, HI"/>
    <n v="5220"/>
    <x v="30"/>
    <x v="1168"/>
    <n v="0"/>
    <x v="0"/>
    <x v="0"/>
    <n v="30217"/>
  </r>
  <r>
    <s v="Coastal"/>
    <n v="4410"/>
    <s v="Kahului, Maui, HI"/>
    <n v="6885"/>
    <x v="72"/>
    <x v="1169"/>
    <n v="0"/>
    <x v="0"/>
    <x v="0"/>
    <n v="22328"/>
  </r>
  <r>
    <s v="Coastal"/>
    <n v="4410"/>
    <s v="Kahului, Maui, HI"/>
    <n v="4189"/>
    <x v="65"/>
    <x v="1170"/>
    <n v="0"/>
    <x v="0"/>
    <x v="0"/>
    <n v="11514"/>
  </r>
  <r>
    <s v="Coastal"/>
    <n v="4410"/>
    <s v="Kahului, Maui, HI"/>
    <n v="3220"/>
    <x v="2"/>
    <x v="1171"/>
    <n v="0"/>
    <x v="0"/>
    <x v="0"/>
    <n v="10860"/>
  </r>
  <r>
    <s v="Coastal"/>
    <n v="4410"/>
    <s v="Kahului, Maui, HI"/>
    <n v="4331"/>
    <x v="29"/>
    <x v="10"/>
    <n v="9921"/>
    <x v="983"/>
    <x v="0"/>
    <n v="9921"/>
  </r>
  <r>
    <s v="Coastal"/>
    <n v="4410"/>
    <s v="Kahului, Maui, HI"/>
    <n v="6887"/>
    <x v="138"/>
    <x v="1172"/>
    <n v="0"/>
    <x v="0"/>
    <x v="0"/>
    <n v="7431"/>
  </r>
  <r>
    <s v="Coastal"/>
    <n v="4410"/>
    <s v="Kahului, Maui, HI"/>
    <n v="6654"/>
    <x v="50"/>
    <x v="1173"/>
    <n v="0"/>
    <x v="0"/>
    <x v="0"/>
    <n v="7225"/>
  </r>
  <r>
    <s v="Coastal"/>
    <n v="4410"/>
    <s v="Kahului, Maui, HI"/>
    <n v="4420"/>
    <x v="8"/>
    <x v="1174"/>
    <n v="0"/>
    <x v="0"/>
    <x v="0"/>
    <n v="5920"/>
  </r>
  <r>
    <s v="Coastal"/>
    <n v="4410"/>
    <s v="Kahului, Maui, HI"/>
    <n v="6782"/>
    <x v="27"/>
    <x v="1175"/>
    <n v="0"/>
    <x v="0"/>
    <x v="0"/>
    <n v="5277"/>
  </r>
  <r>
    <s v="Coastal"/>
    <n v="4410"/>
    <s v="Kahului, Maui, HI"/>
    <n v="4225"/>
    <x v="10"/>
    <x v="1176"/>
    <n v="0"/>
    <x v="0"/>
    <x v="0"/>
    <n v="5006"/>
  </r>
  <r>
    <s v="Coastal"/>
    <n v="4410"/>
    <s v="Kahului, Maui, HI"/>
    <n v="5480"/>
    <x v="20"/>
    <x v="1036"/>
    <n v="0"/>
    <x v="0"/>
    <x v="0"/>
    <n v="4054"/>
  </r>
  <r>
    <s v="Coastal"/>
    <n v="4410"/>
    <s v="Kahului, Maui, HI"/>
    <n v="2100"/>
    <x v="35"/>
    <x v="10"/>
    <n v="3142"/>
    <x v="984"/>
    <x v="0"/>
    <n v="3142"/>
  </r>
  <r>
    <s v="Coastal"/>
    <n v="4410"/>
    <s v="Kahului, Maui, HI"/>
    <n v="6781"/>
    <x v="128"/>
    <x v="1177"/>
    <n v="0"/>
    <x v="0"/>
    <x v="0"/>
    <n v="2950"/>
  </r>
  <r>
    <s v="Coastal"/>
    <n v="4410"/>
    <s v="Kahului, Maui, HI"/>
    <n v="7110"/>
    <x v="4"/>
    <x v="1178"/>
    <n v="0"/>
    <x v="0"/>
    <x v="0"/>
    <n v="1939"/>
  </r>
  <r>
    <s v="Coastal"/>
    <n v="4410"/>
    <s v="Kahului, Maui, HI"/>
    <n v="3190"/>
    <x v="38"/>
    <x v="1179"/>
    <n v="0"/>
    <x v="0"/>
    <x v="0"/>
    <n v="1891"/>
  </r>
  <r>
    <s v="Coastal"/>
    <n v="4410"/>
    <s v="Kahului, Maui, HI"/>
    <n v="5540"/>
    <x v="64"/>
    <x v="1180"/>
    <n v="0"/>
    <x v="0"/>
    <x v="0"/>
    <n v="1883"/>
  </r>
  <r>
    <s v="Coastal"/>
    <n v="4410"/>
    <s v="Kahului, Maui, HI"/>
    <n v="6899"/>
    <x v="114"/>
    <x v="1181"/>
    <n v="0"/>
    <x v="0"/>
    <x v="0"/>
    <n v="1774"/>
  </r>
  <r>
    <s v="Coastal"/>
    <n v="4410"/>
    <s v="Kahului, Maui, HI"/>
    <n v="6839"/>
    <x v="106"/>
    <x v="1182"/>
    <n v="0"/>
    <x v="0"/>
    <x v="0"/>
    <n v="1673"/>
  </r>
  <r>
    <s v="Coastal"/>
    <n v="4410"/>
    <s v="Kahului, Maui, HI"/>
    <n v="5370"/>
    <x v="81"/>
    <x v="960"/>
    <n v="0"/>
    <x v="0"/>
    <x v="0"/>
    <n v="1563"/>
  </r>
  <r>
    <s v="Coastal"/>
    <n v="4410"/>
    <s v="Kahului, Maui, HI"/>
    <n v="7120"/>
    <x v="71"/>
    <x v="1183"/>
    <n v="0"/>
    <x v="0"/>
    <x v="0"/>
    <n v="1328"/>
  </r>
  <r>
    <s v="Coastal"/>
    <n v="4410"/>
    <s v="Kahului, Maui, HI"/>
    <n v="9900"/>
    <x v="18"/>
    <x v="10"/>
    <n v="1017"/>
    <x v="985"/>
    <x v="0"/>
    <n v="1017"/>
  </r>
  <r>
    <s v="Coastal"/>
    <n v="4410"/>
    <s v="Kahului, Maui, HI"/>
    <n v="3299"/>
    <x v="79"/>
    <x v="984"/>
    <n v="0"/>
    <x v="0"/>
    <x v="0"/>
    <n v="1000"/>
  </r>
  <r>
    <s v="Coastal"/>
    <n v="4410"/>
    <s v="Kahului, Maui, HI"/>
    <n v="5190"/>
    <x v="83"/>
    <x v="1184"/>
    <n v="0"/>
    <x v="0"/>
    <x v="0"/>
    <n v="863"/>
  </r>
  <r>
    <s v="Coastal"/>
    <n v="4410"/>
    <s v="Kahului, Maui, HI"/>
    <n v="6442"/>
    <x v="85"/>
    <x v="1185"/>
    <n v="0"/>
    <x v="0"/>
    <x v="0"/>
    <n v="844"/>
  </r>
  <r>
    <s v="Coastal"/>
    <n v="4410"/>
    <s v="Kahului, Maui, HI"/>
    <n v="6811"/>
    <x v="76"/>
    <x v="1186"/>
    <n v="0"/>
    <x v="0"/>
    <x v="0"/>
    <n v="709"/>
  </r>
  <r>
    <s v="Coastal"/>
    <n v="4410"/>
    <s v="Kahului, Maui, HI"/>
    <n v="7600"/>
    <x v="68"/>
    <x v="1187"/>
    <n v="0"/>
    <x v="0"/>
    <x v="0"/>
    <n v="557"/>
  </r>
  <r>
    <s v="Coastal"/>
    <n v="4410"/>
    <s v="Kahului, Maui, HI"/>
    <n v="5360"/>
    <x v="94"/>
    <x v="1188"/>
    <n v="0"/>
    <x v="0"/>
    <x v="0"/>
    <n v="484"/>
  </r>
  <r>
    <s v="Coastal"/>
    <n v="4410"/>
    <s v="Kahului, Maui, HI"/>
    <n v="5290"/>
    <x v="49"/>
    <x v="809"/>
    <n v="0"/>
    <x v="0"/>
    <x v="0"/>
    <n v="207"/>
  </r>
  <r>
    <s v="Coastal"/>
    <n v="4410"/>
    <s v="Kahului, Maui, HI"/>
    <n v="2990"/>
    <x v="102"/>
    <x v="1189"/>
    <n v="0"/>
    <x v="0"/>
    <x v="0"/>
    <n v="205"/>
  </r>
  <r>
    <s v="Coastal"/>
    <n v="4410"/>
    <s v="Kahului, Maui, HI"/>
    <n v="6822"/>
    <x v="84"/>
    <x v="409"/>
    <n v="0"/>
    <x v="0"/>
    <x v="0"/>
    <n v="191"/>
  </r>
  <r>
    <s v="Coastal"/>
    <n v="4410"/>
    <s v="Kahului, Maui, HI"/>
    <n v="2350"/>
    <x v="40"/>
    <x v="1190"/>
    <n v="0"/>
    <x v="0"/>
    <x v="0"/>
    <n v="133"/>
  </r>
  <r>
    <s v="Coastal"/>
    <n v="4410"/>
    <s v="Kahului, Maui, HI"/>
    <n v="5240"/>
    <x v="89"/>
    <x v="994"/>
    <n v="0"/>
    <x v="0"/>
    <x v="0"/>
    <n v="91"/>
  </r>
  <r>
    <s v="Coastal"/>
    <n v="4410"/>
    <s v="Kahului, Maui, HI"/>
    <n v="7230"/>
    <x v="22"/>
    <x v="1191"/>
    <n v="0"/>
    <x v="0"/>
    <x v="0"/>
    <n v="69"/>
  </r>
  <r>
    <s v="Coastal"/>
    <n v="4410"/>
    <s v="Kahului, Maui, HI"/>
    <n v="7500"/>
    <x v="60"/>
    <x v="1052"/>
    <n v="0"/>
    <x v="0"/>
    <x v="0"/>
    <n v="47"/>
  </r>
  <r>
    <s v="Coastal"/>
    <n v="4410"/>
    <s v="Kahului, Maui, HI"/>
    <n v="6871"/>
    <x v="73"/>
    <x v="1192"/>
    <n v="0"/>
    <x v="0"/>
    <x v="0"/>
    <n v="34"/>
  </r>
  <r>
    <s v="Coastal"/>
    <n v="4410"/>
    <s v="Kahului, Maui, HI"/>
    <n v="3282"/>
    <x v="91"/>
    <x v="182"/>
    <n v="0"/>
    <x v="0"/>
    <x v="0"/>
    <n v="31"/>
  </r>
  <r>
    <s v="Coastal"/>
    <n v="4410"/>
    <s v="Kahului, Maui, HI"/>
    <n v="3291"/>
    <x v="117"/>
    <x v="182"/>
    <n v="0"/>
    <x v="0"/>
    <x v="0"/>
    <n v="31"/>
  </r>
  <r>
    <s v="Coastal"/>
    <n v="4410"/>
    <s v="Kahului, Maui, HI"/>
    <n v="6134"/>
    <x v="82"/>
    <x v="649"/>
    <n v="0"/>
    <x v="0"/>
    <x v="0"/>
    <n v="8"/>
  </r>
  <r>
    <s v="Coastal"/>
    <n v="4410"/>
    <s v="Kahului, Maui, HI"/>
    <n v="3293"/>
    <x v="122"/>
    <x v="485"/>
    <n v="0"/>
    <x v="0"/>
    <x v="0"/>
    <n v="4"/>
  </r>
  <r>
    <s v="Coastal"/>
    <n v="4410"/>
    <s v="Kahului, Maui, HI"/>
    <n v="7220"/>
    <x v="103"/>
    <x v="422"/>
    <n v="0"/>
    <x v="0"/>
    <x v="0"/>
    <n v="3"/>
  </r>
  <r>
    <s v="Coastal"/>
    <n v="4410"/>
    <s v="Kahului, Maui, HI"/>
    <n v="3285"/>
    <x v="87"/>
    <x v="423"/>
    <n v="0"/>
    <x v="0"/>
    <x v="0"/>
    <n v="1"/>
  </r>
  <r>
    <s v="Coastal"/>
    <n v="4798"/>
    <s v="Kake, AK"/>
    <n v="6887"/>
    <x v="138"/>
    <x v="1193"/>
    <n v="0"/>
    <x v="0"/>
    <x v="0"/>
    <n v="5003"/>
  </r>
  <r>
    <s v="Coastal"/>
    <n v="4798"/>
    <s v="Kake, AK"/>
    <n v="7900"/>
    <x v="21"/>
    <x v="1194"/>
    <n v="0"/>
    <x v="0"/>
    <x v="0"/>
    <n v="4418"/>
  </r>
  <r>
    <s v="Coastal"/>
    <n v="4798"/>
    <s v="Kake, AK"/>
    <n v="7400"/>
    <x v="77"/>
    <x v="1195"/>
    <n v="0"/>
    <x v="0"/>
    <x v="0"/>
    <n v="1607"/>
  </r>
  <r>
    <s v="Coastal"/>
    <n v="4798"/>
    <s v="Kake, AK"/>
    <n v="6134"/>
    <x v="82"/>
    <x v="1196"/>
    <n v="0"/>
    <x v="0"/>
    <x v="0"/>
    <n v="1290"/>
  </r>
  <r>
    <s v="Coastal"/>
    <n v="4798"/>
    <s v="Kake, AK"/>
    <n v="2211"/>
    <x v="0"/>
    <x v="1197"/>
    <n v="0"/>
    <x v="0"/>
    <x v="0"/>
    <n v="568"/>
  </r>
  <r>
    <s v="Coastal"/>
    <n v="4798"/>
    <s v="Kake, AK"/>
    <n v="7210"/>
    <x v="59"/>
    <x v="639"/>
    <n v="0"/>
    <x v="0"/>
    <x v="0"/>
    <n v="558"/>
  </r>
  <r>
    <s v="Coastal"/>
    <n v="4798"/>
    <s v="Kake, AK"/>
    <n v="2430"/>
    <x v="11"/>
    <x v="1198"/>
    <n v="0"/>
    <x v="0"/>
    <x v="0"/>
    <n v="549"/>
  </r>
  <r>
    <s v="Coastal"/>
    <n v="4798"/>
    <s v="Kake, AK"/>
    <n v="6782"/>
    <x v="27"/>
    <x v="1199"/>
    <n v="0"/>
    <x v="0"/>
    <x v="0"/>
    <n v="535"/>
  </r>
  <r>
    <s v="Coastal"/>
    <n v="4798"/>
    <s v="Kake, AK"/>
    <n v="2990"/>
    <x v="102"/>
    <x v="1200"/>
    <n v="0"/>
    <x v="0"/>
    <x v="0"/>
    <n v="530"/>
  </r>
  <r>
    <s v="Coastal"/>
    <n v="4798"/>
    <s v="Kake, AK"/>
    <n v="6889"/>
    <x v="42"/>
    <x v="1201"/>
    <n v="0"/>
    <x v="0"/>
    <x v="0"/>
    <n v="513"/>
  </r>
  <r>
    <s v="Coastal"/>
    <n v="4798"/>
    <s v="Kake, AK"/>
    <n v="5480"/>
    <x v="20"/>
    <x v="1202"/>
    <n v="0"/>
    <x v="0"/>
    <x v="0"/>
    <n v="472"/>
  </r>
  <r>
    <s v="Coastal"/>
    <n v="4798"/>
    <s v="Kake, AK"/>
    <n v="5190"/>
    <x v="83"/>
    <x v="1203"/>
    <n v="0"/>
    <x v="0"/>
    <x v="0"/>
    <n v="445"/>
  </r>
  <r>
    <s v="Coastal"/>
    <n v="4798"/>
    <s v="Kake, AK"/>
    <n v="5360"/>
    <x v="94"/>
    <x v="1204"/>
    <n v="0"/>
    <x v="0"/>
    <x v="0"/>
    <n v="441"/>
  </r>
  <r>
    <s v="Coastal"/>
    <n v="4798"/>
    <s v="Kake, AK"/>
    <n v="7110"/>
    <x v="4"/>
    <x v="1205"/>
    <n v="0"/>
    <x v="0"/>
    <x v="0"/>
    <n v="415"/>
  </r>
  <r>
    <s v="Coastal"/>
    <n v="4798"/>
    <s v="Kake, AK"/>
    <n v="8900"/>
    <x v="139"/>
    <x v="1206"/>
    <n v="0"/>
    <x v="0"/>
    <x v="0"/>
    <n v="326"/>
  </r>
  <r>
    <s v="Coastal"/>
    <n v="4798"/>
    <s v="Kake, AK"/>
    <n v="4189"/>
    <x v="65"/>
    <x v="1207"/>
    <n v="0"/>
    <x v="0"/>
    <x v="0"/>
    <n v="320"/>
  </r>
  <r>
    <s v="Coastal"/>
    <n v="4798"/>
    <s v="Kake, AK"/>
    <n v="7120"/>
    <x v="71"/>
    <x v="1208"/>
    <n v="0"/>
    <x v="0"/>
    <x v="0"/>
    <n v="312"/>
  </r>
  <r>
    <s v="Coastal"/>
    <n v="4798"/>
    <s v="Kake, AK"/>
    <n v="6885"/>
    <x v="72"/>
    <x v="279"/>
    <n v="0"/>
    <x v="0"/>
    <x v="0"/>
    <n v="286"/>
  </r>
  <r>
    <s v="Coastal"/>
    <n v="4798"/>
    <s v="Kake, AK"/>
    <n v="5290"/>
    <x v="49"/>
    <x v="1209"/>
    <n v="0"/>
    <x v="0"/>
    <x v="0"/>
    <n v="278"/>
  </r>
  <r>
    <s v="Coastal"/>
    <n v="4798"/>
    <s v="Kake, AK"/>
    <n v="4783"/>
    <x v="7"/>
    <x v="1210"/>
    <n v="0"/>
    <x v="0"/>
    <x v="0"/>
    <n v="222"/>
  </r>
  <r>
    <s v="Coastal"/>
    <n v="4798"/>
    <s v="Kake, AK"/>
    <n v="4331"/>
    <x v="29"/>
    <x v="1211"/>
    <n v="0"/>
    <x v="0"/>
    <x v="0"/>
    <n v="211"/>
  </r>
  <r>
    <s v="Coastal"/>
    <n v="4798"/>
    <s v="Kake, AK"/>
    <n v="3299"/>
    <x v="79"/>
    <x v="1212"/>
    <n v="0"/>
    <x v="0"/>
    <x v="0"/>
    <n v="175"/>
  </r>
  <r>
    <s v="Coastal"/>
    <n v="4798"/>
    <s v="Kake, AK"/>
    <n v="7230"/>
    <x v="22"/>
    <x v="1213"/>
    <n v="0"/>
    <x v="0"/>
    <x v="0"/>
    <n v="130"/>
  </r>
  <r>
    <s v="Coastal"/>
    <n v="4798"/>
    <s v="Kake, AK"/>
    <n v="7500"/>
    <x v="60"/>
    <x v="1214"/>
    <n v="0"/>
    <x v="0"/>
    <x v="0"/>
    <n v="128"/>
  </r>
  <r>
    <s v="Coastal"/>
    <n v="4798"/>
    <s v="Kake, AK"/>
    <n v="3282"/>
    <x v="91"/>
    <x v="844"/>
    <n v="0"/>
    <x v="0"/>
    <x v="0"/>
    <n v="66"/>
  </r>
  <r>
    <s v="Coastal"/>
    <n v="4798"/>
    <s v="Kake, AK"/>
    <n v="5370"/>
    <x v="81"/>
    <x v="648"/>
    <n v="0"/>
    <x v="0"/>
    <x v="0"/>
    <n v="39"/>
  </r>
  <r>
    <s v="Coastal"/>
    <n v="4798"/>
    <s v="Kake, AK"/>
    <n v="7220"/>
    <x v="103"/>
    <x v="414"/>
    <n v="0"/>
    <x v="0"/>
    <x v="0"/>
    <n v="37"/>
  </r>
  <r>
    <s v="Coastal"/>
    <n v="4798"/>
    <s v="Kake, AK"/>
    <n v="5240"/>
    <x v="89"/>
    <x v="1192"/>
    <n v="0"/>
    <x v="0"/>
    <x v="0"/>
    <n v="34"/>
  </r>
  <r>
    <s v="Coastal"/>
    <n v="4798"/>
    <s v="Kake, AK"/>
    <n v="5540"/>
    <x v="64"/>
    <x v="182"/>
    <n v="0"/>
    <x v="0"/>
    <x v="0"/>
    <n v="31"/>
  </r>
  <r>
    <s v="Coastal"/>
    <n v="4798"/>
    <s v="Kake, AK"/>
    <n v="2340"/>
    <x v="3"/>
    <x v="186"/>
    <n v="0"/>
    <x v="0"/>
    <x v="0"/>
    <n v="5"/>
  </r>
  <r>
    <s v="Coastal"/>
    <n v="4798"/>
    <s v="Kake, AK"/>
    <n v="3220"/>
    <x v="2"/>
    <x v="485"/>
    <n v="0"/>
    <x v="0"/>
    <x v="0"/>
    <n v="4"/>
  </r>
  <r>
    <s v="Coastal"/>
    <n v="4798"/>
    <s v="Kake, AK"/>
    <n v="6899"/>
    <x v="114"/>
    <x v="485"/>
    <n v="0"/>
    <x v="0"/>
    <x v="0"/>
    <n v="4"/>
  </r>
  <r>
    <s v="Coastal"/>
    <n v="4798"/>
    <s v="Kake, AK"/>
    <n v="5330"/>
    <x v="16"/>
    <x v="131"/>
    <n v="0"/>
    <x v="0"/>
    <x v="0"/>
    <n v="2"/>
  </r>
  <r>
    <s v="Coastal"/>
    <n v="4993"/>
    <s v="Kaktovik, AK"/>
    <n v="2330"/>
    <x v="1"/>
    <x v="1215"/>
    <n v="0"/>
    <x v="0"/>
    <x v="0"/>
    <n v="2152"/>
  </r>
  <r>
    <s v="Coastal"/>
    <n v="4993"/>
    <s v="Kaktovik, AK"/>
    <n v="2211"/>
    <x v="0"/>
    <x v="1216"/>
    <n v="0"/>
    <x v="0"/>
    <x v="0"/>
    <n v="153"/>
  </r>
  <r>
    <s v="Coastal"/>
    <n v="4993"/>
    <s v="Kaktovik, AK"/>
    <n v="7900"/>
    <x v="21"/>
    <x v="1217"/>
    <n v="0"/>
    <x v="0"/>
    <x v="0"/>
    <n v="140"/>
  </r>
  <r>
    <s v="Coastal"/>
    <n v="4993"/>
    <s v="Kaktovik, AK"/>
    <n v="7210"/>
    <x v="59"/>
    <x v="1218"/>
    <n v="0"/>
    <x v="0"/>
    <x v="0"/>
    <n v="36"/>
  </r>
  <r>
    <s v="Coastal"/>
    <n v="4993"/>
    <s v="Kaktovik, AK"/>
    <n v="5540"/>
    <x v="64"/>
    <x v="523"/>
    <n v="0"/>
    <x v="0"/>
    <x v="0"/>
    <n v="32"/>
  </r>
  <r>
    <s v="Coastal"/>
    <n v="4993"/>
    <s v="Kaktovik, AK"/>
    <n v="2990"/>
    <x v="102"/>
    <x v="416"/>
    <n v="0"/>
    <x v="0"/>
    <x v="0"/>
    <n v="28"/>
  </r>
  <r>
    <s v="Coastal"/>
    <n v="4993"/>
    <s v="Kaktovik, AK"/>
    <n v="7400"/>
    <x v="77"/>
    <x v="826"/>
    <n v="0"/>
    <x v="0"/>
    <x v="0"/>
    <n v="14"/>
  </r>
  <r>
    <s v="Coastal"/>
    <n v="4993"/>
    <s v="Kaktovik, AK"/>
    <n v="5480"/>
    <x v="20"/>
    <x v="483"/>
    <n v="0"/>
    <x v="0"/>
    <x v="0"/>
    <n v="12"/>
  </r>
  <r>
    <s v="Coastal"/>
    <n v="4993"/>
    <s v="Kaktovik, AK"/>
    <n v="4189"/>
    <x v="65"/>
    <x v="524"/>
    <n v="0"/>
    <x v="0"/>
    <x v="0"/>
    <n v="10"/>
  </r>
  <r>
    <s v="Coastal"/>
    <n v="4993"/>
    <s v="Kaktovik, AK"/>
    <n v="3299"/>
    <x v="79"/>
    <x v="649"/>
    <n v="0"/>
    <x v="0"/>
    <x v="0"/>
    <n v="8"/>
  </r>
  <r>
    <s v="Coastal"/>
    <n v="4993"/>
    <s v="Kaktovik, AK"/>
    <n v="7120"/>
    <x v="71"/>
    <x v="485"/>
    <n v="0"/>
    <x v="0"/>
    <x v="0"/>
    <n v="4"/>
  </r>
  <r>
    <s v="Coastal"/>
    <n v="4993"/>
    <s v="Kaktovik, AK"/>
    <n v="5360"/>
    <x v="94"/>
    <x v="131"/>
    <n v="0"/>
    <x v="0"/>
    <x v="0"/>
    <n v="2"/>
  </r>
  <r>
    <s v="Coastal"/>
    <n v="4458"/>
    <s v="Kalaeloa Barbers Point, HI"/>
    <n v="2100"/>
    <x v="35"/>
    <x v="1219"/>
    <n v="2612651"/>
    <x v="986"/>
    <x v="0"/>
    <n v="3391190"/>
  </r>
  <r>
    <s v="Coastal"/>
    <n v="4458"/>
    <s v="Kalaeloa Barbers Point, HI"/>
    <n v="2211"/>
    <x v="0"/>
    <x v="1220"/>
    <n v="474046"/>
    <x v="987"/>
    <x v="0"/>
    <n v="991041"/>
  </r>
  <r>
    <s v="Coastal"/>
    <n v="4458"/>
    <s v="Kalaeloa Barbers Point, HI"/>
    <n v="2221"/>
    <x v="9"/>
    <x v="1221"/>
    <n v="397242"/>
    <x v="988"/>
    <x v="0"/>
    <n v="707197"/>
  </r>
  <r>
    <s v="Coastal"/>
    <n v="4458"/>
    <s v="Kalaeloa Barbers Point, HI"/>
    <n v="1100"/>
    <x v="32"/>
    <x v="10"/>
    <n v="543359"/>
    <x v="989"/>
    <x v="0"/>
    <n v="543359"/>
  </r>
  <r>
    <s v="Coastal"/>
    <n v="4458"/>
    <s v="Kalaeloa Barbers Point, HI"/>
    <n v="5220"/>
    <x v="30"/>
    <x v="1222"/>
    <n v="320310"/>
    <x v="990"/>
    <x v="0"/>
    <n v="406730"/>
  </r>
  <r>
    <s v="Coastal"/>
    <n v="4458"/>
    <s v="Kalaeloa Barbers Point, HI"/>
    <n v="2330"/>
    <x v="1"/>
    <x v="1223"/>
    <n v="19601"/>
    <x v="991"/>
    <x v="0"/>
    <n v="406632"/>
  </r>
  <r>
    <s v="Coastal"/>
    <n v="4458"/>
    <s v="Kalaeloa Barbers Point, HI"/>
    <n v="4331"/>
    <x v="29"/>
    <x v="10"/>
    <n v="194579"/>
    <x v="992"/>
    <x v="0"/>
    <n v="194579"/>
  </r>
  <r>
    <s v="Coastal"/>
    <n v="4458"/>
    <s v="Kalaeloa Barbers Point, HI"/>
    <n v="2340"/>
    <x v="3"/>
    <x v="1224"/>
    <n v="0"/>
    <x v="0"/>
    <x v="0"/>
    <n v="142889"/>
  </r>
  <r>
    <s v="Coastal"/>
    <n v="4458"/>
    <s v="Kalaeloa Barbers Point, HI"/>
    <n v="4420"/>
    <x v="8"/>
    <x v="10"/>
    <n v="120058"/>
    <x v="0"/>
    <x v="669"/>
    <n v="120058"/>
  </r>
  <r>
    <s v="Coastal"/>
    <n v="4458"/>
    <s v="Kalaeloa Barbers Point, HI"/>
    <n v="2350"/>
    <x v="40"/>
    <x v="1225"/>
    <n v="54847"/>
    <x v="393"/>
    <x v="670"/>
    <n v="56609"/>
  </r>
  <r>
    <s v="Coastal"/>
    <n v="4458"/>
    <s v="Kalaeloa Barbers Point, HI"/>
    <n v="2640"/>
    <x v="110"/>
    <x v="1226"/>
    <n v="4334"/>
    <x v="993"/>
    <x v="0"/>
    <n v="27821"/>
  </r>
  <r>
    <s v="Coastal"/>
    <n v="4458"/>
    <s v="Kalaeloa Barbers Point, HI"/>
    <n v="4900"/>
    <x v="14"/>
    <x v="10"/>
    <n v="25519"/>
    <x v="994"/>
    <x v="0"/>
    <n v="25519"/>
  </r>
  <r>
    <s v="Coastal"/>
    <n v="4458"/>
    <s v="Kalaeloa Barbers Point, HI"/>
    <n v="3220"/>
    <x v="2"/>
    <x v="1227"/>
    <n v="0"/>
    <x v="0"/>
    <x v="0"/>
    <n v="15754"/>
  </r>
  <r>
    <s v="Coastal"/>
    <n v="4458"/>
    <s v="Kalaeloa Barbers Point, HI"/>
    <n v="6888"/>
    <x v="109"/>
    <x v="10"/>
    <n v="5282"/>
    <x v="995"/>
    <x v="0"/>
    <n v="5282"/>
  </r>
  <r>
    <s v="Coastal"/>
    <n v="4458"/>
    <s v="Kalaeloa Barbers Point, HI"/>
    <n v="6811"/>
    <x v="76"/>
    <x v="10"/>
    <n v="3"/>
    <x v="393"/>
    <x v="0"/>
    <n v="3"/>
  </r>
  <r>
    <s v="Coastal"/>
    <n v="4458"/>
    <s v="Kalaeloa Barbers Point, HI"/>
    <n v="6885"/>
    <x v="72"/>
    <x v="10"/>
    <n v="3"/>
    <x v="393"/>
    <x v="0"/>
    <n v="3"/>
  </r>
  <r>
    <s v="Coastal"/>
    <n v="4458"/>
    <s v="Kalaeloa Barbers Point, HI"/>
    <n v="6654"/>
    <x v="50"/>
    <x v="10"/>
    <n v="1"/>
    <x v="19"/>
    <x v="0"/>
    <n v="1"/>
  </r>
  <r>
    <s v="Internal"/>
    <n v="2385"/>
    <s v="Kansas City Port Authority, MO"/>
    <n v="4331"/>
    <x v="29"/>
    <x v="1228"/>
    <n v="0"/>
    <x v="0"/>
    <x v="0"/>
    <n v="1189827"/>
  </r>
  <r>
    <s v="Internal"/>
    <n v="2385"/>
    <s v="Kansas City Port Authority, MO"/>
    <n v="2430"/>
    <x v="11"/>
    <x v="1229"/>
    <n v="0"/>
    <x v="0"/>
    <x v="0"/>
    <n v="65290"/>
  </r>
  <r>
    <s v="Internal"/>
    <n v="2385"/>
    <s v="Kansas City Port Authority, MO"/>
    <n v="4860"/>
    <x v="31"/>
    <x v="1230"/>
    <n v="0"/>
    <x v="0"/>
    <x v="0"/>
    <n v="12461"/>
  </r>
  <r>
    <s v="Internal"/>
    <n v="2385"/>
    <s v="Kansas City Port Authority, MO"/>
    <n v="4335"/>
    <x v="5"/>
    <x v="1231"/>
    <n v="0"/>
    <x v="0"/>
    <x v="0"/>
    <n v="10089"/>
  </r>
  <r>
    <s v="Internal"/>
    <n v="2307"/>
    <s v="Kaskaskia Regional Port, IL"/>
    <n v="1100"/>
    <x v="32"/>
    <x v="1232"/>
    <n v="0"/>
    <x v="0"/>
    <x v="0"/>
    <n v="3646373"/>
  </r>
  <r>
    <s v="Internal"/>
    <n v="2307"/>
    <s v="Kaskaskia Regional Port, IL"/>
    <n v="4322"/>
    <x v="33"/>
    <x v="1233"/>
    <n v="0"/>
    <x v="0"/>
    <x v="0"/>
    <n v="710893"/>
  </r>
  <r>
    <s v="Internal"/>
    <n v="2307"/>
    <s v="Kaskaskia Regional Port, IL"/>
    <n v="4331"/>
    <x v="29"/>
    <x v="1234"/>
    <n v="0"/>
    <x v="0"/>
    <x v="0"/>
    <n v="560771"/>
  </r>
  <r>
    <s v="Internal"/>
    <n v="2307"/>
    <s v="Kaskaskia Regional Port, IL"/>
    <n v="6344"/>
    <x v="25"/>
    <x v="1235"/>
    <n v="0"/>
    <x v="0"/>
    <x v="0"/>
    <n v="346626"/>
  </r>
  <r>
    <s v="Internal"/>
    <n v="2307"/>
    <s v="Kaskaskia Regional Port, IL"/>
    <n v="6522"/>
    <x v="26"/>
    <x v="1236"/>
    <n v="0"/>
    <x v="0"/>
    <x v="0"/>
    <n v="210977"/>
  </r>
  <r>
    <s v="Internal"/>
    <n v="2307"/>
    <s v="Kaskaskia Regional Port, IL"/>
    <n v="4860"/>
    <x v="31"/>
    <x v="1237"/>
    <n v="0"/>
    <x v="0"/>
    <x v="0"/>
    <n v="72146"/>
  </r>
  <r>
    <s v="Internal"/>
    <n v="2307"/>
    <s v="Kaskaskia Regional Port, IL"/>
    <n v="5330"/>
    <x v="16"/>
    <x v="1238"/>
    <n v="0"/>
    <x v="0"/>
    <x v="0"/>
    <n v="51642"/>
  </r>
  <r>
    <s v="Internal"/>
    <n v="2307"/>
    <s v="Kaskaskia Regional Port, IL"/>
    <n v="6241"/>
    <x v="28"/>
    <x v="1239"/>
    <n v="0"/>
    <x v="0"/>
    <x v="0"/>
    <n v="45787"/>
  </r>
  <r>
    <s v="Internal"/>
    <n v="2307"/>
    <s v="Kaskaskia Regional Port, IL"/>
    <n v="4323"/>
    <x v="6"/>
    <x v="1240"/>
    <n v="0"/>
    <x v="0"/>
    <x v="0"/>
    <n v="38243"/>
  </r>
  <r>
    <s v="Internal"/>
    <n v="2307"/>
    <s v="Kaskaskia Regional Port, IL"/>
    <n v="3130"/>
    <x v="37"/>
    <x v="1241"/>
    <n v="0"/>
    <x v="0"/>
    <x v="0"/>
    <n v="36018"/>
  </r>
  <r>
    <s v="Internal"/>
    <n v="2307"/>
    <s v="Kaskaskia Regional Port, IL"/>
    <n v="3190"/>
    <x v="38"/>
    <x v="1242"/>
    <n v="0"/>
    <x v="0"/>
    <x v="0"/>
    <n v="15203"/>
  </r>
  <r>
    <s v="Internal"/>
    <n v="2307"/>
    <s v="Kaskaskia Regional Port, IL"/>
    <n v="3110"/>
    <x v="36"/>
    <x v="1243"/>
    <n v="0"/>
    <x v="0"/>
    <x v="0"/>
    <n v="9355"/>
  </r>
  <r>
    <s v="Internal"/>
    <n v="2307"/>
    <s v="Kaskaskia Regional Port, IL"/>
    <n v="3120"/>
    <x v="41"/>
    <x v="1244"/>
    <n v="0"/>
    <x v="0"/>
    <x v="0"/>
    <n v="6405"/>
  </r>
  <r>
    <s v="Internal"/>
    <n v="2307"/>
    <s v="Kaskaskia Regional Port, IL"/>
    <n v="5390"/>
    <x v="44"/>
    <x v="1245"/>
    <n v="0"/>
    <x v="0"/>
    <x v="0"/>
    <n v="1351"/>
  </r>
  <r>
    <s v="Coastal"/>
    <n v="4453"/>
    <s v="Kaumalapau, Lana'i, HI"/>
    <n v="7800"/>
    <x v="140"/>
    <x v="1246"/>
    <n v="0"/>
    <x v="0"/>
    <x v="0"/>
    <n v="137473"/>
  </r>
  <r>
    <s v="Coastal"/>
    <n v="4453"/>
    <s v="Kaumalapau, Lana'i, HI"/>
    <n v="7900"/>
    <x v="21"/>
    <x v="1247"/>
    <n v="0"/>
    <x v="0"/>
    <x v="0"/>
    <n v="22788"/>
  </r>
  <r>
    <s v="Coastal"/>
    <n v="4453"/>
    <s v="Kaumalapau, Lana'i, HI"/>
    <n v="7210"/>
    <x v="59"/>
    <x v="1248"/>
    <n v="0"/>
    <x v="0"/>
    <x v="0"/>
    <n v="9997"/>
  </r>
  <r>
    <s v="Coastal"/>
    <n v="4453"/>
    <s v="Kaumalapau, Lana'i, HI"/>
    <n v="6889"/>
    <x v="42"/>
    <x v="1249"/>
    <n v="0"/>
    <x v="0"/>
    <x v="0"/>
    <n v="1251"/>
  </r>
  <r>
    <s v="Coastal"/>
    <n v="4453"/>
    <s v="Kaumalapau, Lana'i, HI"/>
    <n v="5480"/>
    <x v="20"/>
    <x v="1250"/>
    <n v="0"/>
    <x v="0"/>
    <x v="0"/>
    <n v="945"/>
  </r>
  <r>
    <s v="Coastal"/>
    <n v="4453"/>
    <s v="Kaumalapau, Lana'i, HI"/>
    <n v="6887"/>
    <x v="138"/>
    <x v="175"/>
    <n v="0"/>
    <x v="0"/>
    <x v="0"/>
    <n v="711"/>
  </r>
  <r>
    <s v="Coastal"/>
    <n v="4453"/>
    <s v="Kaumalapau, Lana'i, HI"/>
    <n v="5370"/>
    <x v="81"/>
    <x v="1251"/>
    <n v="0"/>
    <x v="0"/>
    <x v="0"/>
    <n v="210"/>
  </r>
  <r>
    <s v="Coastal"/>
    <n v="4453"/>
    <s v="Kaumalapau, Lana'i, HI"/>
    <n v="5540"/>
    <x v="64"/>
    <x v="410"/>
    <n v="0"/>
    <x v="0"/>
    <x v="0"/>
    <n v="189"/>
  </r>
  <r>
    <s v="Coastal"/>
    <n v="4453"/>
    <s v="Kaumalapau, Lana'i, HI"/>
    <n v="4189"/>
    <x v="65"/>
    <x v="1252"/>
    <n v="0"/>
    <x v="0"/>
    <x v="0"/>
    <n v="58"/>
  </r>
  <r>
    <s v="Coastal"/>
    <n v="4453"/>
    <s v="Kaumalapau, Lana'i, HI"/>
    <n v="5290"/>
    <x v="49"/>
    <x v="845"/>
    <n v="0"/>
    <x v="0"/>
    <x v="0"/>
    <n v="54"/>
  </r>
  <r>
    <s v="Coastal"/>
    <n v="4453"/>
    <s v="Kaumalapau, Lana'i, HI"/>
    <n v="4420"/>
    <x v="8"/>
    <x v="1253"/>
    <n v="0"/>
    <x v="0"/>
    <x v="0"/>
    <n v="44"/>
  </r>
  <r>
    <s v="Coastal"/>
    <n v="4453"/>
    <s v="Kaumalapau, Lana'i, HI"/>
    <n v="5220"/>
    <x v="30"/>
    <x v="415"/>
    <n v="0"/>
    <x v="0"/>
    <x v="0"/>
    <n v="29"/>
  </r>
  <r>
    <s v="Coastal"/>
    <n v="4453"/>
    <s v="Kaumalapau, Lana'i, HI"/>
    <n v="6839"/>
    <x v="106"/>
    <x v="484"/>
    <n v="0"/>
    <x v="0"/>
    <x v="0"/>
    <n v="9"/>
  </r>
  <r>
    <s v="Coastal"/>
    <n v="4415"/>
    <s v="Kaunakakai, Moloka'i, HI"/>
    <n v="7800"/>
    <x v="140"/>
    <x v="1254"/>
    <n v="0"/>
    <x v="0"/>
    <x v="0"/>
    <n v="43918"/>
  </r>
  <r>
    <s v="Coastal"/>
    <n v="4415"/>
    <s v="Kaunakakai, Moloka'i, HI"/>
    <n v="7900"/>
    <x v="21"/>
    <x v="1255"/>
    <n v="0"/>
    <x v="0"/>
    <x v="0"/>
    <n v="19320"/>
  </r>
  <r>
    <s v="Coastal"/>
    <n v="4415"/>
    <s v="Kaunakakai, Moloka'i, HI"/>
    <n v="2330"/>
    <x v="1"/>
    <x v="1256"/>
    <n v="0"/>
    <x v="0"/>
    <x v="0"/>
    <n v="9164"/>
  </r>
  <r>
    <s v="Coastal"/>
    <n v="4415"/>
    <s v="Kaunakakai, Moloka'i, HI"/>
    <n v="7210"/>
    <x v="59"/>
    <x v="1257"/>
    <n v="0"/>
    <x v="0"/>
    <x v="0"/>
    <n v="9013"/>
  </r>
  <r>
    <s v="Coastal"/>
    <n v="4415"/>
    <s v="Kaunakakai, Moloka'i, HI"/>
    <n v="6887"/>
    <x v="138"/>
    <x v="1258"/>
    <n v="0"/>
    <x v="0"/>
    <x v="0"/>
    <n v="2908"/>
  </r>
  <r>
    <s v="Coastal"/>
    <n v="4415"/>
    <s v="Kaunakakai, Moloka'i, HI"/>
    <n v="6889"/>
    <x v="42"/>
    <x v="1259"/>
    <n v="0"/>
    <x v="0"/>
    <x v="0"/>
    <n v="2107"/>
  </r>
  <r>
    <s v="Coastal"/>
    <n v="4415"/>
    <s v="Kaunakakai, Moloka'i, HI"/>
    <n v="5480"/>
    <x v="20"/>
    <x v="1260"/>
    <n v="0"/>
    <x v="0"/>
    <x v="0"/>
    <n v="1377"/>
  </r>
  <r>
    <s v="Coastal"/>
    <n v="4415"/>
    <s v="Kaunakakai, Moloka'i, HI"/>
    <n v="2211"/>
    <x v="0"/>
    <x v="1261"/>
    <n v="0"/>
    <x v="0"/>
    <x v="0"/>
    <n v="366"/>
  </r>
  <r>
    <s v="Coastal"/>
    <n v="4415"/>
    <s v="Kaunakakai, Moloka'i, HI"/>
    <n v="5540"/>
    <x v="64"/>
    <x v="1262"/>
    <n v="0"/>
    <x v="0"/>
    <x v="0"/>
    <n v="184"/>
  </r>
  <r>
    <s v="Coastal"/>
    <n v="4415"/>
    <s v="Kaunakakai, Moloka'i, HI"/>
    <n v="5290"/>
    <x v="49"/>
    <x v="842"/>
    <n v="0"/>
    <x v="0"/>
    <x v="0"/>
    <n v="101"/>
  </r>
  <r>
    <s v="Coastal"/>
    <n v="4415"/>
    <s v="Kaunakakai, Moloka'i, HI"/>
    <n v="6839"/>
    <x v="106"/>
    <x v="589"/>
    <n v="0"/>
    <x v="0"/>
    <x v="0"/>
    <n v="100"/>
  </r>
  <r>
    <s v="Coastal"/>
    <n v="4415"/>
    <s v="Kaunakakai, Moloka'i, HI"/>
    <n v="5370"/>
    <x v="81"/>
    <x v="180"/>
    <n v="0"/>
    <x v="0"/>
    <x v="0"/>
    <n v="75"/>
  </r>
  <r>
    <s v="Coastal"/>
    <n v="4415"/>
    <s v="Kaunakakai, Moloka'i, HI"/>
    <n v="4189"/>
    <x v="65"/>
    <x v="1253"/>
    <n v="0"/>
    <x v="0"/>
    <x v="0"/>
    <n v="44"/>
  </r>
  <r>
    <s v="Coastal"/>
    <n v="4415"/>
    <s v="Kaunakakai, Moloka'i, HI"/>
    <n v="4420"/>
    <x v="8"/>
    <x v="1253"/>
    <n v="0"/>
    <x v="0"/>
    <x v="0"/>
    <n v="44"/>
  </r>
  <r>
    <s v="Coastal"/>
    <n v="4415"/>
    <s v="Kaunakakai, Moloka'i, HI"/>
    <n v="5220"/>
    <x v="30"/>
    <x v="419"/>
    <n v="0"/>
    <x v="0"/>
    <x v="0"/>
    <n v="17"/>
  </r>
  <r>
    <s v="Coastal"/>
    <n v="4415"/>
    <s v="Kaunakakai, Moloka'i, HI"/>
    <n v="5240"/>
    <x v="89"/>
    <x v="650"/>
    <n v="0"/>
    <x v="0"/>
    <x v="0"/>
    <n v="7"/>
  </r>
  <r>
    <s v="Coastal"/>
    <n v="4405"/>
    <s v="Kawaihae, Hawai'i, HI"/>
    <n v="7800"/>
    <x v="140"/>
    <x v="1263"/>
    <n v="0"/>
    <x v="0"/>
    <x v="0"/>
    <n v="1625925"/>
  </r>
  <r>
    <s v="Coastal"/>
    <n v="4405"/>
    <s v="Kawaihae, Hawai'i, HI"/>
    <n v="7900"/>
    <x v="21"/>
    <x v="1264"/>
    <n v="0"/>
    <x v="0"/>
    <x v="0"/>
    <n v="176985"/>
  </r>
  <r>
    <s v="Coastal"/>
    <n v="4405"/>
    <s v="Kawaihae, Hawai'i, HI"/>
    <n v="6889"/>
    <x v="42"/>
    <x v="1265"/>
    <n v="0"/>
    <x v="0"/>
    <x v="0"/>
    <n v="83770"/>
  </r>
  <r>
    <s v="Coastal"/>
    <n v="4405"/>
    <s v="Kawaihae, Hawai'i, HI"/>
    <n v="7400"/>
    <x v="77"/>
    <x v="1266"/>
    <n v="0"/>
    <x v="0"/>
    <x v="0"/>
    <n v="71416"/>
  </r>
  <r>
    <s v="Coastal"/>
    <n v="4405"/>
    <s v="Kawaihae, Hawai'i, HI"/>
    <n v="7210"/>
    <x v="59"/>
    <x v="1267"/>
    <n v="0"/>
    <x v="0"/>
    <x v="0"/>
    <n v="53114"/>
  </r>
  <r>
    <s v="Coastal"/>
    <n v="4405"/>
    <s v="Kawaihae, Hawai'i, HI"/>
    <n v="2211"/>
    <x v="0"/>
    <x v="1268"/>
    <n v="0"/>
    <x v="0"/>
    <x v="0"/>
    <n v="52176"/>
  </r>
  <r>
    <s v="Coastal"/>
    <n v="4405"/>
    <s v="Kawaihae, Hawai'i, HI"/>
    <n v="2221"/>
    <x v="9"/>
    <x v="1269"/>
    <n v="0"/>
    <x v="0"/>
    <x v="0"/>
    <n v="47689"/>
  </r>
  <r>
    <s v="Coastal"/>
    <n v="4405"/>
    <s v="Kawaihae, Hawai'i, HI"/>
    <n v="4189"/>
    <x v="65"/>
    <x v="1270"/>
    <n v="0"/>
    <x v="0"/>
    <x v="0"/>
    <n v="29968"/>
  </r>
  <r>
    <s v="Coastal"/>
    <n v="4405"/>
    <s v="Kawaihae, Hawai'i, HI"/>
    <n v="5220"/>
    <x v="30"/>
    <x v="1271"/>
    <n v="0"/>
    <x v="0"/>
    <x v="0"/>
    <n v="25858"/>
  </r>
  <r>
    <s v="Coastal"/>
    <n v="4405"/>
    <s v="Kawaihae, Hawai'i, HI"/>
    <n v="6885"/>
    <x v="72"/>
    <x v="1272"/>
    <n v="0"/>
    <x v="0"/>
    <x v="0"/>
    <n v="20616"/>
  </r>
  <r>
    <s v="Coastal"/>
    <n v="4405"/>
    <s v="Kawaihae, Hawai'i, HI"/>
    <n v="7110"/>
    <x v="4"/>
    <x v="1273"/>
    <n v="0"/>
    <x v="0"/>
    <x v="0"/>
    <n v="18785"/>
  </r>
  <r>
    <s v="Coastal"/>
    <n v="4405"/>
    <s v="Kawaihae, Hawai'i, HI"/>
    <n v="4420"/>
    <x v="8"/>
    <x v="1274"/>
    <n v="0"/>
    <x v="0"/>
    <x v="0"/>
    <n v="12821"/>
  </r>
  <r>
    <s v="Coastal"/>
    <n v="4405"/>
    <s v="Kawaihae, Hawai'i, HI"/>
    <n v="6654"/>
    <x v="50"/>
    <x v="1275"/>
    <n v="0"/>
    <x v="0"/>
    <x v="0"/>
    <n v="12208"/>
  </r>
  <r>
    <s v="Coastal"/>
    <n v="4405"/>
    <s v="Kawaihae, Hawai'i, HI"/>
    <n v="6782"/>
    <x v="27"/>
    <x v="1276"/>
    <n v="0"/>
    <x v="0"/>
    <x v="0"/>
    <n v="11299"/>
  </r>
  <r>
    <s v="Coastal"/>
    <n v="4405"/>
    <s v="Kawaihae, Hawai'i, HI"/>
    <n v="3190"/>
    <x v="38"/>
    <x v="1277"/>
    <n v="0"/>
    <x v="0"/>
    <x v="0"/>
    <n v="10594"/>
  </r>
  <r>
    <s v="Coastal"/>
    <n v="4405"/>
    <s v="Kawaihae, Hawai'i, HI"/>
    <n v="3220"/>
    <x v="2"/>
    <x v="214"/>
    <n v="0"/>
    <x v="0"/>
    <x v="0"/>
    <n v="8126"/>
  </r>
  <r>
    <s v="Coastal"/>
    <n v="4405"/>
    <s v="Kawaihae, Hawai'i, HI"/>
    <n v="6781"/>
    <x v="128"/>
    <x v="1278"/>
    <n v="0"/>
    <x v="0"/>
    <x v="0"/>
    <n v="7651"/>
  </r>
  <r>
    <s v="Coastal"/>
    <n v="4405"/>
    <s v="Kawaihae, Hawai'i, HI"/>
    <n v="6839"/>
    <x v="106"/>
    <x v="1279"/>
    <n v="0"/>
    <x v="0"/>
    <x v="0"/>
    <n v="7281"/>
  </r>
  <r>
    <s v="Coastal"/>
    <n v="4405"/>
    <s v="Kawaihae, Hawai'i, HI"/>
    <n v="4225"/>
    <x v="10"/>
    <x v="1280"/>
    <n v="0"/>
    <x v="0"/>
    <x v="0"/>
    <n v="6458"/>
  </r>
  <r>
    <s v="Coastal"/>
    <n v="4405"/>
    <s v="Kawaihae, Hawai'i, HI"/>
    <n v="6899"/>
    <x v="114"/>
    <x v="1281"/>
    <n v="0"/>
    <x v="0"/>
    <x v="0"/>
    <n v="6448"/>
  </r>
  <r>
    <s v="Coastal"/>
    <n v="4405"/>
    <s v="Kawaihae, Hawai'i, HI"/>
    <n v="6887"/>
    <x v="138"/>
    <x v="1282"/>
    <n v="0"/>
    <x v="0"/>
    <x v="0"/>
    <n v="4010"/>
  </r>
  <r>
    <s v="Coastal"/>
    <n v="4405"/>
    <s v="Kawaihae, Hawai'i, HI"/>
    <n v="3299"/>
    <x v="79"/>
    <x v="1283"/>
    <n v="0"/>
    <x v="0"/>
    <x v="0"/>
    <n v="3919"/>
  </r>
  <r>
    <s v="Coastal"/>
    <n v="4405"/>
    <s v="Kawaihae, Hawai'i, HI"/>
    <n v="6747"/>
    <x v="78"/>
    <x v="1284"/>
    <n v="0"/>
    <x v="0"/>
    <x v="0"/>
    <n v="3412"/>
  </r>
  <r>
    <s v="Coastal"/>
    <n v="4405"/>
    <s v="Kawaihae, Hawai'i, HI"/>
    <n v="5190"/>
    <x v="83"/>
    <x v="1285"/>
    <n v="0"/>
    <x v="0"/>
    <x v="0"/>
    <n v="2352"/>
  </r>
  <r>
    <s v="Coastal"/>
    <n v="4405"/>
    <s v="Kawaihae, Hawai'i, HI"/>
    <n v="6442"/>
    <x v="85"/>
    <x v="1286"/>
    <n v="0"/>
    <x v="0"/>
    <x v="0"/>
    <n v="2295"/>
  </r>
  <r>
    <s v="Coastal"/>
    <n v="4405"/>
    <s v="Kawaihae, Hawai'i, HI"/>
    <n v="7120"/>
    <x v="71"/>
    <x v="1287"/>
    <n v="0"/>
    <x v="0"/>
    <x v="0"/>
    <n v="1850"/>
  </r>
  <r>
    <s v="Coastal"/>
    <n v="4405"/>
    <s v="Kawaihae, Hawai'i, HI"/>
    <n v="6811"/>
    <x v="76"/>
    <x v="1288"/>
    <n v="0"/>
    <x v="0"/>
    <x v="0"/>
    <n v="1799"/>
  </r>
  <r>
    <s v="Coastal"/>
    <n v="4405"/>
    <s v="Kawaihae, Hawai'i, HI"/>
    <n v="5480"/>
    <x v="20"/>
    <x v="1289"/>
    <n v="0"/>
    <x v="0"/>
    <x v="0"/>
    <n v="1757"/>
  </r>
  <r>
    <s v="Coastal"/>
    <n v="4405"/>
    <s v="Kawaihae, Hawai'i, HI"/>
    <n v="5540"/>
    <x v="64"/>
    <x v="1290"/>
    <n v="0"/>
    <x v="0"/>
    <x v="0"/>
    <n v="1050"/>
  </r>
  <r>
    <s v="Coastal"/>
    <n v="4405"/>
    <s v="Kawaihae, Hawai'i, HI"/>
    <n v="5370"/>
    <x v="81"/>
    <x v="1291"/>
    <n v="0"/>
    <x v="0"/>
    <x v="0"/>
    <n v="1044"/>
  </r>
  <r>
    <s v="Coastal"/>
    <n v="4405"/>
    <s v="Kawaihae, Hawai'i, HI"/>
    <n v="5360"/>
    <x v="94"/>
    <x v="1292"/>
    <n v="0"/>
    <x v="0"/>
    <x v="0"/>
    <n v="504"/>
  </r>
  <r>
    <s v="Coastal"/>
    <n v="4405"/>
    <s v="Kawaihae, Hawai'i, HI"/>
    <n v="2350"/>
    <x v="40"/>
    <x v="1293"/>
    <n v="0"/>
    <x v="0"/>
    <x v="0"/>
    <n v="492"/>
  </r>
  <r>
    <s v="Coastal"/>
    <n v="4405"/>
    <s v="Kawaihae, Hawai'i, HI"/>
    <n v="6871"/>
    <x v="73"/>
    <x v="1294"/>
    <n v="0"/>
    <x v="0"/>
    <x v="0"/>
    <n v="490"/>
  </r>
  <r>
    <s v="Coastal"/>
    <n v="4405"/>
    <s v="Kawaihae, Hawai'i, HI"/>
    <n v="2990"/>
    <x v="102"/>
    <x v="836"/>
    <n v="0"/>
    <x v="0"/>
    <x v="0"/>
    <n v="206"/>
  </r>
  <r>
    <s v="Coastal"/>
    <n v="4405"/>
    <s v="Kawaihae, Hawai'i, HI"/>
    <n v="7500"/>
    <x v="60"/>
    <x v="1295"/>
    <n v="0"/>
    <x v="0"/>
    <x v="0"/>
    <n v="186"/>
  </r>
  <r>
    <s v="Coastal"/>
    <n v="4405"/>
    <s v="Kawaihae, Hawai'i, HI"/>
    <n v="6822"/>
    <x v="84"/>
    <x v="1296"/>
    <n v="0"/>
    <x v="0"/>
    <x v="0"/>
    <n v="172"/>
  </r>
  <r>
    <s v="Coastal"/>
    <n v="4405"/>
    <s v="Kawaihae, Hawai'i, HI"/>
    <n v="7600"/>
    <x v="68"/>
    <x v="1217"/>
    <n v="0"/>
    <x v="0"/>
    <x v="0"/>
    <n v="140"/>
  </r>
  <r>
    <s v="Coastal"/>
    <n v="4405"/>
    <s v="Kawaihae, Hawai'i, HI"/>
    <n v="5290"/>
    <x v="49"/>
    <x v="513"/>
    <n v="0"/>
    <x v="0"/>
    <x v="0"/>
    <n v="112"/>
  </r>
  <r>
    <s v="Coastal"/>
    <n v="4405"/>
    <s v="Kawaihae, Hawai'i, HI"/>
    <n v="5240"/>
    <x v="89"/>
    <x v="179"/>
    <n v="0"/>
    <x v="0"/>
    <x v="0"/>
    <n v="78"/>
  </r>
  <r>
    <s v="Coastal"/>
    <n v="4405"/>
    <s v="Kawaihae, Hawai'i, HI"/>
    <n v="3285"/>
    <x v="87"/>
    <x v="1297"/>
    <n v="0"/>
    <x v="0"/>
    <x v="0"/>
    <n v="76"/>
  </r>
  <r>
    <s v="Coastal"/>
    <n v="4405"/>
    <s v="Kawaihae, Hawai'i, HI"/>
    <n v="3282"/>
    <x v="91"/>
    <x v="1298"/>
    <n v="0"/>
    <x v="0"/>
    <x v="0"/>
    <n v="67"/>
  </r>
  <r>
    <s v="Coastal"/>
    <n v="4405"/>
    <s v="Kawaihae, Hawai'i, HI"/>
    <n v="4900"/>
    <x v="14"/>
    <x v="646"/>
    <n v="0"/>
    <x v="0"/>
    <x v="0"/>
    <n v="62"/>
  </r>
  <r>
    <s v="Coastal"/>
    <n v="4405"/>
    <s v="Kawaihae, Hawai'i, HI"/>
    <n v="3286"/>
    <x v="57"/>
    <x v="416"/>
    <n v="0"/>
    <x v="0"/>
    <x v="0"/>
    <n v="28"/>
  </r>
  <r>
    <s v="Coastal"/>
    <n v="4405"/>
    <s v="Kawaihae, Hawai'i, HI"/>
    <n v="6134"/>
    <x v="82"/>
    <x v="847"/>
    <n v="0"/>
    <x v="0"/>
    <x v="0"/>
    <n v="21"/>
  </r>
  <r>
    <s v="Coastal"/>
    <n v="4405"/>
    <s v="Kawaihae, Hawai'i, HI"/>
    <n v="7230"/>
    <x v="22"/>
    <x v="1065"/>
    <n v="0"/>
    <x v="0"/>
    <x v="0"/>
    <n v="20"/>
  </r>
  <r>
    <s v="Coastal"/>
    <n v="4405"/>
    <s v="Kawaihae, Hawai'i, HI"/>
    <n v="7220"/>
    <x v="103"/>
    <x v="826"/>
    <n v="0"/>
    <x v="0"/>
    <x v="0"/>
    <n v="14"/>
  </r>
  <r>
    <s v="Coastal"/>
    <n v="4405"/>
    <s v="Kawaihae, Hawai'i, HI"/>
    <n v="6858"/>
    <x v="74"/>
    <x v="420"/>
    <n v="0"/>
    <x v="0"/>
    <x v="0"/>
    <n v="11"/>
  </r>
  <r>
    <s v="Great Lakes"/>
    <n v="3787"/>
    <s v="Kenosha, WI"/>
    <n v="4335"/>
    <x v="5"/>
    <x v="1299"/>
    <n v="0"/>
    <x v="0"/>
    <x v="0"/>
    <n v="1304"/>
  </r>
  <r>
    <s v="Great Lakes"/>
    <n v="3787"/>
    <s v="Kenosha, WI"/>
    <n v="7110"/>
    <x v="4"/>
    <x v="1217"/>
    <n v="0"/>
    <x v="0"/>
    <x v="0"/>
    <n v="140"/>
  </r>
  <r>
    <s v="Coastal"/>
    <n v="4827"/>
    <s v="Ketchikan, AK"/>
    <n v="7900"/>
    <x v="21"/>
    <x v="1300"/>
    <n v="0"/>
    <x v="0"/>
    <x v="0"/>
    <n v="161330"/>
  </r>
  <r>
    <s v="Coastal"/>
    <n v="4827"/>
    <s v="Ketchikan, AK"/>
    <n v="6134"/>
    <x v="82"/>
    <x v="1301"/>
    <n v="10"/>
    <x v="312"/>
    <x v="0"/>
    <n v="90824"/>
  </r>
  <r>
    <s v="Coastal"/>
    <n v="4827"/>
    <s v="Ketchikan, AK"/>
    <n v="4331"/>
    <x v="29"/>
    <x v="1302"/>
    <n v="0"/>
    <x v="0"/>
    <x v="0"/>
    <n v="68692"/>
  </r>
  <r>
    <s v="Coastal"/>
    <n v="4827"/>
    <s v="Ketchikan, AK"/>
    <n v="6887"/>
    <x v="138"/>
    <x v="1303"/>
    <n v="0"/>
    <x v="0"/>
    <x v="0"/>
    <n v="52235"/>
  </r>
  <r>
    <s v="Coastal"/>
    <n v="4827"/>
    <s v="Ketchikan, AK"/>
    <n v="8900"/>
    <x v="139"/>
    <x v="1304"/>
    <n v="0"/>
    <x v="0"/>
    <x v="0"/>
    <n v="29039"/>
  </r>
  <r>
    <s v="Coastal"/>
    <n v="4827"/>
    <s v="Ketchikan, AK"/>
    <n v="7400"/>
    <x v="77"/>
    <x v="1305"/>
    <n v="0"/>
    <x v="0"/>
    <x v="0"/>
    <n v="26226"/>
  </r>
  <r>
    <s v="Coastal"/>
    <n v="4827"/>
    <s v="Ketchikan, AK"/>
    <n v="2330"/>
    <x v="1"/>
    <x v="1306"/>
    <n v="23872"/>
    <x v="996"/>
    <x v="0"/>
    <n v="25707"/>
  </r>
  <r>
    <s v="Coastal"/>
    <n v="4827"/>
    <s v="Ketchikan, AK"/>
    <n v="2211"/>
    <x v="0"/>
    <x v="1307"/>
    <n v="11765"/>
    <x v="997"/>
    <x v="0"/>
    <n v="21137"/>
  </r>
  <r>
    <s v="Coastal"/>
    <n v="4827"/>
    <s v="Ketchikan, AK"/>
    <n v="6889"/>
    <x v="42"/>
    <x v="1308"/>
    <n v="0"/>
    <x v="0"/>
    <x v="0"/>
    <n v="13886"/>
  </r>
  <r>
    <s v="Coastal"/>
    <n v="4827"/>
    <s v="Ketchikan, AK"/>
    <n v="7210"/>
    <x v="59"/>
    <x v="1309"/>
    <n v="0"/>
    <x v="0"/>
    <x v="0"/>
    <n v="13654"/>
  </r>
  <r>
    <s v="Coastal"/>
    <n v="4827"/>
    <s v="Ketchikan, AK"/>
    <n v="6885"/>
    <x v="72"/>
    <x v="1310"/>
    <n v="0"/>
    <x v="0"/>
    <x v="0"/>
    <n v="13134"/>
  </r>
  <r>
    <s v="Coastal"/>
    <n v="4827"/>
    <s v="Ketchikan, AK"/>
    <n v="2430"/>
    <x v="11"/>
    <x v="1311"/>
    <n v="0"/>
    <x v="0"/>
    <x v="0"/>
    <n v="10639"/>
  </r>
  <r>
    <s v="Coastal"/>
    <n v="4827"/>
    <s v="Ketchikan, AK"/>
    <n v="7110"/>
    <x v="4"/>
    <x v="1312"/>
    <n v="0"/>
    <x v="0"/>
    <x v="0"/>
    <n v="9486"/>
  </r>
  <r>
    <s v="Coastal"/>
    <n v="4827"/>
    <s v="Ketchikan, AK"/>
    <n v="5360"/>
    <x v="94"/>
    <x v="1313"/>
    <n v="0"/>
    <x v="0"/>
    <x v="0"/>
    <n v="8093"/>
  </r>
  <r>
    <s v="Coastal"/>
    <n v="4827"/>
    <s v="Ketchikan, AK"/>
    <n v="5480"/>
    <x v="20"/>
    <x v="1314"/>
    <n v="0"/>
    <x v="0"/>
    <x v="0"/>
    <n v="7537"/>
  </r>
  <r>
    <s v="Coastal"/>
    <n v="4827"/>
    <s v="Ketchikan, AK"/>
    <n v="6782"/>
    <x v="27"/>
    <x v="1315"/>
    <n v="0"/>
    <x v="0"/>
    <x v="0"/>
    <n v="7401"/>
  </r>
  <r>
    <s v="Coastal"/>
    <n v="4827"/>
    <s v="Ketchikan, AK"/>
    <n v="3299"/>
    <x v="79"/>
    <x v="1316"/>
    <n v="0"/>
    <x v="0"/>
    <x v="0"/>
    <n v="6761"/>
  </r>
  <r>
    <s v="Coastal"/>
    <n v="4827"/>
    <s v="Ketchikan, AK"/>
    <n v="4189"/>
    <x v="65"/>
    <x v="1317"/>
    <n v="0"/>
    <x v="0"/>
    <x v="0"/>
    <n v="6690"/>
  </r>
  <r>
    <s v="Coastal"/>
    <n v="4827"/>
    <s v="Ketchikan, AK"/>
    <n v="4783"/>
    <x v="7"/>
    <x v="1318"/>
    <n v="0"/>
    <x v="0"/>
    <x v="0"/>
    <n v="6117"/>
  </r>
  <r>
    <s v="Coastal"/>
    <n v="4827"/>
    <s v="Ketchikan, AK"/>
    <n v="2221"/>
    <x v="9"/>
    <x v="1319"/>
    <n v="4596"/>
    <x v="998"/>
    <x v="0"/>
    <n v="5829"/>
  </r>
  <r>
    <s v="Coastal"/>
    <n v="4827"/>
    <s v="Ketchikan, AK"/>
    <n v="4420"/>
    <x v="8"/>
    <x v="1320"/>
    <n v="0"/>
    <x v="0"/>
    <x v="0"/>
    <n v="4997"/>
  </r>
  <r>
    <s v="Coastal"/>
    <n v="4827"/>
    <s v="Ketchikan, AK"/>
    <n v="2990"/>
    <x v="102"/>
    <x v="1321"/>
    <n v="0"/>
    <x v="0"/>
    <x v="0"/>
    <n v="4501"/>
  </r>
  <r>
    <s v="Coastal"/>
    <n v="4827"/>
    <s v="Ketchikan, AK"/>
    <n v="5190"/>
    <x v="83"/>
    <x v="1322"/>
    <n v="0"/>
    <x v="0"/>
    <x v="0"/>
    <n v="3972"/>
  </r>
  <r>
    <s v="Coastal"/>
    <n v="4827"/>
    <s v="Ketchikan, AK"/>
    <n v="7120"/>
    <x v="71"/>
    <x v="1323"/>
    <n v="0"/>
    <x v="0"/>
    <x v="0"/>
    <n v="3086"/>
  </r>
  <r>
    <s v="Coastal"/>
    <n v="4827"/>
    <s v="Ketchikan, AK"/>
    <n v="5290"/>
    <x v="49"/>
    <x v="1324"/>
    <n v="0"/>
    <x v="0"/>
    <x v="0"/>
    <n v="2339"/>
  </r>
  <r>
    <s v="Coastal"/>
    <n v="4827"/>
    <s v="Ketchikan, AK"/>
    <n v="4225"/>
    <x v="10"/>
    <x v="1325"/>
    <n v="0"/>
    <x v="0"/>
    <x v="0"/>
    <n v="2178"/>
  </r>
  <r>
    <s v="Coastal"/>
    <n v="4827"/>
    <s v="Ketchikan, AK"/>
    <n v="3293"/>
    <x v="122"/>
    <x v="1326"/>
    <n v="0"/>
    <x v="0"/>
    <x v="0"/>
    <n v="2138"/>
  </r>
  <r>
    <s v="Coastal"/>
    <n v="4827"/>
    <s v="Ketchikan, AK"/>
    <n v="6136"/>
    <x v="95"/>
    <x v="1327"/>
    <n v="0"/>
    <x v="0"/>
    <x v="0"/>
    <n v="1809"/>
  </r>
  <r>
    <s v="Coastal"/>
    <n v="4827"/>
    <s v="Ketchikan, AK"/>
    <n v="7500"/>
    <x v="60"/>
    <x v="1328"/>
    <n v="0"/>
    <x v="0"/>
    <x v="0"/>
    <n v="1507"/>
  </r>
  <r>
    <s v="Coastal"/>
    <n v="4827"/>
    <s v="Ketchikan, AK"/>
    <n v="7230"/>
    <x v="22"/>
    <x v="1329"/>
    <n v="0"/>
    <x v="0"/>
    <x v="0"/>
    <n v="1483"/>
  </r>
  <r>
    <s v="Coastal"/>
    <n v="4827"/>
    <s v="Ketchikan, AK"/>
    <n v="5370"/>
    <x v="81"/>
    <x v="1330"/>
    <n v="0"/>
    <x v="0"/>
    <x v="0"/>
    <n v="1162"/>
  </r>
  <r>
    <s v="Coastal"/>
    <n v="4827"/>
    <s v="Ketchikan, AK"/>
    <n v="5540"/>
    <x v="64"/>
    <x v="1331"/>
    <n v="0"/>
    <x v="0"/>
    <x v="0"/>
    <n v="947"/>
  </r>
  <r>
    <s v="Coastal"/>
    <n v="4827"/>
    <s v="Ketchikan, AK"/>
    <n v="5240"/>
    <x v="89"/>
    <x v="1332"/>
    <n v="0"/>
    <x v="0"/>
    <x v="0"/>
    <n v="942"/>
  </r>
  <r>
    <s v="Coastal"/>
    <n v="4827"/>
    <s v="Ketchikan, AK"/>
    <n v="7220"/>
    <x v="103"/>
    <x v="1047"/>
    <n v="0"/>
    <x v="0"/>
    <x v="0"/>
    <n v="879"/>
  </r>
  <r>
    <s v="Coastal"/>
    <n v="4827"/>
    <s v="Ketchikan, AK"/>
    <n v="3282"/>
    <x v="91"/>
    <x v="1333"/>
    <n v="0"/>
    <x v="0"/>
    <x v="0"/>
    <n v="778"/>
  </r>
  <r>
    <s v="Coastal"/>
    <n v="4827"/>
    <s v="Ketchikan, AK"/>
    <n v="6835"/>
    <x v="92"/>
    <x v="1334"/>
    <n v="0"/>
    <x v="0"/>
    <x v="0"/>
    <n v="562"/>
  </r>
  <r>
    <s v="Coastal"/>
    <n v="4827"/>
    <s v="Ketchikan, AK"/>
    <n v="7600"/>
    <x v="68"/>
    <x v="1335"/>
    <n v="0"/>
    <x v="0"/>
    <x v="0"/>
    <n v="467"/>
  </r>
  <r>
    <s v="Coastal"/>
    <n v="4827"/>
    <s v="Ketchikan, AK"/>
    <n v="2340"/>
    <x v="3"/>
    <x v="1336"/>
    <n v="0"/>
    <x v="0"/>
    <x v="0"/>
    <n v="237"/>
  </r>
  <r>
    <s v="Coastal"/>
    <n v="4827"/>
    <s v="Ketchikan, AK"/>
    <n v="3286"/>
    <x v="57"/>
    <x v="1337"/>
    <n v="0"/>
    <x v="0"/>
    <x v="0"/>
    <n v="218"/>
  </r>
  <r>
    <s v="Coastal"/>
    <n v="4827"/>
    <s v="Ketchikan, AK"/>
    <n v="6899"/>
    <x v="114"/>
    <x v="1338"/>
    <n v="0"/>
    <x v="0"/>
    <x v="0"/>
    <n v="139"/>
  </r>
  <r>
    <s v="Coastal"/>
    <n v="4827"/>
    <s v="Ketchikan, AK"/>
    <n v="3220"/>
    <x v="2"/>
    <x v="522"/>
    <n v="0"/>
    <x v="0"/>
    <x v="0"/>
    <n v="122"/>
  </r>
  <r>
    <s v="Coastal"/>
    <n v="4827"/>
    <s v="Ketchikan, AK"/>
    <n v="5330"/>
    <x v="16"/>
    <x v="844"/>
    <n v="0"/>
    <x v="0"/>
    <x v="0"/>
    <n v="66"/>
  </r>
  <r>
    <s v="Coastal"/>
    <n v="4827"/>
    <s v="Ketchikan, AK"/>
    <n v="4170"/>
    <x v="55"/>
    <x v="131"/>
    <n v="0"/>
    <x v="0"/>
    <x v="0"/>
    <n v="2"/>
  </r>
  <r>
    <s v="Coastal"/>
    <n v="1988"/>
    <s v="Key West, FL"/>
    <n v="2221"/>
    <x v="9"/>
    <x v="1339"/>
    <n v="0"/>
    <x v="0"/>
    <x v="0"/>
    <n v="47347"/>
  </r>
  <r>
    <s v="Coastal"/>
    <n v="5001"/>
    <s v="King Cove, AK"/>
    <n v="6134"/>
    <x v="82"/>
    <x v="1340"/>
    <n v="0"/>
    <x v="0"/>
    <x v="0"/>
    <n v="12700"/>
  </r>
  <r>
    <s v="Coastal"/>
    <n v="5001"/>
    <s v="King Cove, AK"/>
    <n v="7900"/>
    <x v="21"/>
    <x v="1341"/>
    <n v="0"/>
    <x v="0"/>
    <x v="0"/>
    <n v="3626"/>
  </r>
  <r>
    <s v="Coastal"/>
    <n v="5001"/>
    <s v="King Cove, AK"/>
    <n v="4783"/>
    <x v="7"/>
    <x v="1342"/>
    <n v="0"/>
    <x v="0"/>
    <x v="0"/>
    <n v="559"/>
  </r>
  <r>
    <s v="Coastal"/>
    <n v="5001"/>
    <s v="King Cove, AK"/>
    <n v="5190"/>
    <x v="83"/>
    <x v="1343"/>
    <n v="0"/>
    <x v="0"/>
    <x v="0"/>
    <n v="347"/>
  </r>
  <r>
    <s v="Coastal"/>
    <n v="5001"/>
    <s v="King Cove, AK"/>
    <n v="7400"/>
    <x v="77"/>
    <x v="823"/>
    <n v="0"/>
    <x v="0"/>
    <x v="0"/>
    <n v="88"/>
  </r>
  <r>
    <s v="Coastal"/>
    <n v="5001"/>
    <s v="King Cove, AK"/>
    <n v="7110"/>
    <x v="4"/>
    <x v="421"/>
    <n v="0"/>
    <x v="0"/>
    <x v="0"/>
    <n v="6"/>
  </r>
  <r>
    <s v="Coastal"/>
    <n v="5001"/>
    <s v="King Cove, AK"/>
    <n v="7210"/>
    <x v="59"/>
    <x v="131"/>
    <n v="0"/>
    <x v="0"/>
    <x v="0"/>
    <n v="2"/>
  </r>
  <r>
    <s v="Coastal"/>
    <n v="4998"/>
    <s v="Kivalina, AK"/>
    <n v="4690"/>
    <x v="62"/>
    <x v="1344"/>
    <n v="0"/>
    <x v="0"/>
    <x v="0"/>
    <n v="1238490"/>
  </r>
  <r>
    <s v="Coastal"/>
    <n v="4998"/>
    <s v="Kivalina, AK"/>
    <n v="2330"/>
    <x v="1"/>
    <x v="10"/>
    <n v="5470"/>
    <x v="999"/>
    <x v="0"/>
    <n v="5470"/>
  </r>
  <r>
    <s v="Coastal"/>
    <n v="4998"/>
    <s v="Kivalina, AK"/>
    <n v="7900"/>
    <x v="21"/>
    <x v="1345"/>
    <n v="0"/>
    <x v="0"/>
    <x v="0"/>
    <n v="1633"/>
  </r>
  <r>
    <s v="Coastal"/>
    <n v="4998"/>
    <s v="Kivalina, AK"/>
    <n v="5210"/>
    <x v="130"/>
    <x v="10"/>
    <n v="1581"/>
    <x v="374"/>
    <x v="0"/>
    <n v="1581"/>
  </r>
  <r>
    <s v="Coastal"/>
    <n v="4998"/>
    <s v="Kivalina, AK"/>
    <n v="3110"/>
    <x v="36"/>
    <x v="10"/>
    <n v="1055"/>
    <x v="1000"/>
    <x v="0"/>
    <n v="1055"/>
  </r>
  <r>
    <s v="Coastal"/>
    <n v="4998"/>
    <s v="Kivalina, AK"/>
    <n v="4900"/>
    <x v="14"/>
    <x v="10"/>
    <n v="699"/>
    <x v="1001"/>
    <x v="0"/>
    <n v="699"/>
  </r>
  <r>
    <s v="Coastal"/>
    <n v="4998"/>
    <s v="Kivalina, AK"/>
    <n v="7400"/>
    <x v="77"/>
    <x v="1346"/>
    <n v="0"/>
    <x v="0"/>
    <x v="0"/>
    <n v="506"/>
  </r>
  <r>
    <s v="Coastal"/>
    <n v="4998"/>
    <s v="Kivalina, AK"/>
    <n v="3250"/>
    <x v="108"/>
    <x v="10"/>
    <n v="381"/>
    <x v="1002"/>
    <x v="0"/>
    <n v="381"/>
  </r>
  <r>
    <s v="Coastal"/>
    <n v="4998"/>
    <s v="Kivalina, AK"/>
    <n v="2211"/>
    <x v="0"/>
    <x v="1347"/>
    <n v="0"/>
    <x v="0"/>
    <x v="0"/>
    <n v="178"/>
  </r>
  <r>
    <s v="Coastal"/>
    <n v="4998"/>
    <s v="Kivalina, AK"/>
    <n v="2221"/>
    <x v="9"/>
    <x v="1347"/>
    <n v="0"/>
    <x v="0"/>
    <x v="0"/>
    <n v="178"/>
  </r>
  <r>
    <s v="Coastal"/>
    <n v="4998"/>
    <s v="Kivalina, AK"/>
    <n v="5360"/>
    <x v="94"/>
    <x v="1348"/>
    <n v="0"/>
    <x v="0"/>
    <x v="0"/>
    <n v="126"/>
  </r>
  <r>
    <s v="Coastal"/>
    <n v="4998"/>
    <s v="Kivalina, AK"/>
    <n v="4331"/>
    <x v="29"/>
    <x v="1349"/>
    <n v="0"/>
    <x v="0"/>
    <x v="0"/>
    <n v="60"/>
  </r>
  <r>
    <s v="Coastal"/>
    <n v="4998"/>
    <s v="Kivalina, AK"/>
    <n v="4189"/>
    <x v="65"/>
    <x v="1350"/>
    <n v="0"/>
    <x v="0"/>
    <x v="0"/>
    <n v="18"/>
  </r>
  <r>
    <s v="Coastal"/>
    <n v="4998"/>
    <s v="Kivalina, AK"/>
    <n v="7210"/>
    <x v="59"/>
    <x v="1351"/>
    <n v="0"/>
    <x v="0"/>
    <x v="0"/>
    <n v="15"/>
  </r>
  <r>
    <s v="Coastal"/>
    <n v="4998"/>
    <s v="Kivalina, AK"/>
    <n v="7110"/>
    <x v="4"/>
    <x v="484"/>
    <n v="0"/>
    <x v="0"/>
    <x v="0"/>
    <n v="9"/>
  </r>
  <r>
    <s v="Coastal"/>
    <n v="4998"/>
    <s v="Kivalina, AK"/>
    <n v="5240"/>
    <x v="89"/>
    <x v="485"/>
    <n v="0"/>
    <x v="0"/>
    <x v="0"/>
    <n v="4"/>
  </r>
  <r>
    <s v="Coastal"/>
    <n v="4903"/>
    <s v="Klawock, AK"/>
    <n v="4170"/>
    <x v="55"/>
    <x v="10"/>
    <n v="27807"/>
    <x v="0"/>
    <x v="671"/>
    <n v="27807"/>
  </r>
  <r>
    <s v="Internal"/>
    <n v="2373"/>
    <s v="Knoxville, TN"/>
    <n v="2430"/>
    <x v="11"/>
    <x v="1352"/>
    <n v="0"/>
    <x v="0"/>
    <x v="0"/>
    <n v="87457"/>
  </r>
  <r>
    <s v="Internal"/>
    <n v="2373"/>
    <s v="Knoxville, TN"/>
    <n v="4335"/>
    <x v="5"/>
    <x v="1353"/>
    <n v="0"/>
    <x v="0"/>
    <x v="0"/>
    <n v="2880"/>
  </r>
  <r>
    <s v="Internal"/>
    <n v="2373"/>
    <s v="Knoxville, TN"/>
    <n v="2540"/>
    <x v="15"/>
    <x v="1354"/>
    <n v="0"/>
    <x v="0"/>
    <x v="0"/>
    <n v="2338"/>
  </r>
  <r>
    <s v="Coastal"/>
    <n v="4906"/>
    <s v="Kodiak, AK"/>
    <n v="6134"/>
    <x v="82"/>
    <x v="1355"/>
    <n v="3951"/>
    <x v="0"/>
    <x v="672"/>
    <n v="49314"/>
  </r>
  <r>
    <s v="Coastal"/>
    <n v="4906"/>
    <s v="Kodiak, AK"/>
    <n v="7900"/>
    <x v="21"/>
    <x v="1356"/>
    <n v="0"/>
    <x v="0"/>
    <x v="0"/>
    <n v="33772"/>
  </r>
  <r>
    <s v="Coastal"/>
    <n v="4906"/>
    <s v="Kodiak, AK"/>
    <n v="2330"/>
    <x v="1"/>
    <x v="1357"/>
    <n v="0"/>
    <x v="0"/>
    <x v="0"/>
    <n v="28912"/>
  </r>
  <r>
    <s v="Coastal"/>
    <n v="4906"/>
    <s v="Kodiak, AK"/>
    <n v="2221"/>
    <x v="9"/>
    <x v="1358"/>
    <n v="0"/>
    <x v="0"/>
    <x v="0"/>
    <n v="25566"/>
  </r>
  <r>
    <s v="Coastal"/>
    <n v="4906"/>
    <s v="Kodiak, AK"/>
    <n v="2211"/>
    <x v="0"/>
    <x v="1359"/>
    <n v="0"/>
    <x v="0"/>
    <x v="0"/>
    <n v="11647"/>
  </r>
  <r>
    <s v="Coastal"/>
    <n v="4906"/>
    <s v="Kodiak, AK"/>
    <n v="6889"/>
    <x v="42"/>
    <x v="1360"/>
    <n v="0"/>
    <x v="0"/>
    <x v="0"/>
    <n v="10270"/>
  </r>
  <r>
    <s v="Coastal"/>
    <n v="4906"/>
    <s v="Kodiak, AK"/>
    <n v="7110"/>
    <x v="4"/>
    <x v="1361"/>
    <n v="0"/>
    <x v="0"/>
    <x v="0"/>
    <n v="8492"/>
  </r>
  <r>
    <s v="Coastal"/>
    <n v="4906"/>
    <s v="Kodiak, AK"/>
    <n v="6835"/>
    <x v="92"/>
    <x v="1362"/>
    <n v="21"/>
    <x v="0"/>
    <x v="129"/>
    <n v="5199"/>
  </r>
  <r>
    <s v="Coastal"/>
    <n v="4906"/>
    <s v="Kodiak, AK"/>
    <n v="7400"/>
    <x v="77"/>
    <x v="1363"/>
    <n v="0"/>
    <x v="0"/>
    <x v="0"/>
    <n v="4339"/>
  </r>
  <r>
    <s v="Coastal"/>
    <n v="4906"/>
    <s v="Kodiak, AK"/>
    <n v="6136"/>
    <x v="95"/>
    <x v="1364"/>
    <n v="0"/>
    <x v="0"/>
    <x v="0"/>
    <n v="3692"/>
  </r>
  <r>
    <s v="Coastal"/>
    <n v="4906"/>
    <s v="Kodiak, AK"/>
    <n v="6887"/>
    <x v="138"/>
    <x v="1365"/>
    <n v="0"/>
    <x v="0"/>
    <x v="0"/>
    <n v="3628"/>
  </r>
  <r>
    <s v="Coastal"/>
    <n v="4906"/>
    <s v="Kodiak, AK"/>
    <n v="5190"/>
    <x v="83"/>
    <x v="1366"/>
    <n v="0"/>
    <x v="0"/>
    <x v="0"/>
    <n v="2517"/>
  </r>
  <r>
    <s v="Coastal"/>
    <n v="4906"/>
    <s v="Kodiak, AK"/>
    <n v="6782"/>
    <x v="27"/>
    <x v="1367"/>
    <n v="0"/>
    <x v="0"/>
    <x v="0"/>
    <n v="1832"/>
  </r>
  <r>
    <s v="Coastal"/>
    <n v="4906"/>
    <s v="Kodiak, AK"/>
    <n v="7210"/>
    <x v="59"/>
    <x v="1368"/>
    <n v="0"/>
    <x v="0"/>
    <x v="0"/>
    <n v="1453"/>
  </r>
  <r>
    <s v="Coastal"/>
    <n v="4906"/>
    <s v="Kodiak, AK"/>
    <n v="4783"/>
    <x v="7"/>
    <x v="1369"/>
    <n v="0"/>
    <x v="0"/>
    <x v="0"/>
    <n v="1413"/>
  </r>
  <r>
    <s v="Coastal"/>
    <n v="4906"/>
    <s v="Kodiak, AK"/>
    <n v="4420"/>
    <x v="8"/>
    <x v="1370"/>
    <n v="0"/>
    <x v="0"/>
    <x v="0"/>
    <n v="1242"/>
  </r>
  <r>
    <s v="Coastal"/>
    <n v="4906"/>
    <s v="Kodiak, AK"/>
    <n v="4189"/>
    <x v="65"/>
    <x v="1371"/>
    <n v="0"/>
    <x v="0"/>
    <x v="0"/>
    <n v="965"/>
  </r>
  <r>
    <s v="Coastal"/>
    <n v="4906"/>
    <s v="Kodiak, AK"/>
    <n v="5480"/>
    <x v="20"/>
    <x v="1372"/>
    <n v="0"/>
    <x v="0"/>
    <x v="0"/>
    <n v="765"/>
  </r>
  <r>
    <s v="Coastal"/>
    <n v="4906"/>
    <s v="Kodiak, AK"/>
    <n v="3299"/>
    <x v="79"/>
    <x v="1373"/>
    <n v="0"/>
    <x v="0"/>
    <x v="0"/>
    <n v="755"/>
  </r>
  <r>
    <s v="Coastal"/>
    <n v="4906"/>
    <s v="Kodiak, AK"/>
    <n v="4225"/>
    <x v="10"/>
    <x v="473"/>
    <n v="0"/>
    <x v="0"/>
    <x v="0"/>
    <n v="707"/>
  </r>
  <r>
    <s v="Coastal"/>
    <n v="4906"/>
    <s v="Kodiak, AK"/>
    <n v="6747"/>
    <x v="78"/>
    <x v="1374"/>
    <n v="0"/>
    <x v="0"/>
    <x v="0"/>
    <n v="324"/>
  </r>
  <r>
    <s v="Coastal"/>
    <n v="4906"/>
    <s v="Kodiak, AK"/>
    <n v="3276"/>
    <x v="12"/>
    <x v="1375"/>
    <n v="0"/>
    <x v="0"/>
    <x v="0"/>
    <n v="316"/>
  </r>
  <r>
    <s v="Coastal"/>
    <n v="4906"/>
    <s v="Kodiak, AK"/>
    <n v="7120"/>
    <x v="71"/>
    <x v="1208"/>
    <n v="0"/>
    <x v="0"/>
    <x v="0"/>
    <n v="312"/>
  </r>
  <r>
    <s v="Coastal"/>
    <n v="4906"/>
    <s v="Kodiak, AK"/>
    <n v="2990"/>
    <x v="102"/>
    <x v="1376"/>
    <n v="0"/>
    <x v="0"/>
    <x v="0"/>
    <n v="255"/>
  </r>
  <r>
    <s v="Coastal"/>
    <n v="4906"/>
    <s v="Kodiak, AK"/>
    <n v="6885"/>
    <x v="72"/>
    <x v="1377"/>
    <n v="0"/>
    <x v="0"/>
    <x v="0"/>
    <n v="187"/>
  </r>
  <r>
    <s v="Coastal"/>
    <n v="4906"/>
    <s v="Kodiak, AK"/>
    <n v="6899"/>
    <x v="114"/>
    <x v="1378"/>
    <n v="0"/>
    <x v="0"/>
    <x v="0"/>
    <n v="170"/>
  </r>
  <r>
    <s v="Coastal"/>
    <n v="4906"/>
    <s v="Kodiak, AK"/>
    <n v="6838"/>
    <x v="131"/>
    <x v="1379"/>
    <n v="0"/>
    <x v="0"/>
    <x v="0"/>
    <n v="159"/>
  </r>
  <r>
    <s v="Coastal"/>
    <n v="4906"/>
    <s v="Kodiak, AK"/>
    <n v="7230"/>
    <x v="22"/>
    <x v="1380"/>
    <n v="0"/>
    <x v="0"/>
    <x v="0"/>
    <n v="142"/>
  </r>
  <r>
    <s v="Coastal"/>
    <n v="4906"/>
    <s v="Kodiak, AK"/>
    <n v="6781"/>
    <x v="128"/>
    <x v="1381"/>
    <n v="0"/>
    <x v="0"/>
    <x v="0"/>
    <n v="120"/>
  </r>
  <r>
    <s v="Coastal"/>
    <n v="4906"/>
    <s v="Kodiak, AK"/>
    <n v="5360"/>
    <x v="94"/>
    <x v="1349"/>
    <n v="0"/>
    <x v="0"/>
    <x v="0"/>
    <n v="60"/>
  </r>
  <r>
    <s v="Coastal"/>
    <n v="4906"/>
    <s v="Kodiak, AK"/>
    <n v="5540"/>
    <x v="64"/>
    <x v="824"/>
    <n v="0"/>
    <x v="0"/>
    <x v="0"/>
    <n v="35"/>
  </r>
  <r>
    <s v="Coastal"/>
    <n v="4906"/>
    <s v="Kodiak, AK"/>
    <n v="2350"/>
    <x v="40"/>
    <x v="182"/>
    <n v="0"/>
    <x v="0"/>
    <x v="0"/>
    <n v="31"/>
  </r>
  <r>
    <s v="Coastal"/>
    <n v="4906"/>
    <s v="Kodiak, AK"/>
    <n v="6861"/>
    <x v="69"/>
    <x v="482"/>
    <n v="0"/>
    <x v="0"/>
    <x v="0"/>
    <n v="22"/>
  </r>
  <r>
    <s v="Coastal"/>
    <n v="4906"/>
    <s v="Kodiak, AK"/>
    <n v="5110"/>
    <x v="112"/>
    <x v="847"/>
    <n v="0"/>
    <x v="0"/>
    <x v="0"/>
    <n v="21"/>
  </r>
  <r>
    <s v="Coastal"/>
    <n v="4906"/>
    <s v="Kodiak, AK"/>
    <n v="2640"/>
    <x v="110"/>
    <x v="1065"/>
    <n v="0"/>
    <x v="0"/>
    <x v="0"/>
    <n v="20"/>
  </r>
  <r>
    <s v="Coastal"/>
    <n v="4906"/>
    <s v="Kodiak, AK"/>
    <n v="6811"/>
    <x v="76"/>
    <x v="826"/>
    <n v="0"/>
    <x v="0"/>
    <x v="0"/>
    <n v="14"/>
  </r>
  <r>
    <s v="Coastal"/>
    <n v="4906"/>
    <s v="Kodiak, AK"/>
    <n v="5370"/>
    <x v="81"/>
    <x v="848"/>
    <n v="0"/>
    <x v="0"/>
    <x v="0"/>
    <n v="13"/>
  </r>
  <r>
    <s v="Coastal"/>
    <n v="4906"/>
    <s v="Kodiak, AK"/>
    <n v="4331"/>
    <x v="29"/>
    <x v="650"/>
    <n v="0"/>
    <x v="0"/>
    <x v="0"/>
    <n v="7"/>
  </r>
  <r>
    <s v="Coastal"/>
    <n v="4906"/>
    <s v="Kodiak, AK"/>
    <n v="3190"/>
    <x v="38"/>
    <x v="186"/>
    <n v="0"/>
    <x v="0"/>
    <x v="0"/>
    <n v="5"/>
  </r>
  <r>
    <s v="Coastal"/>
    <n v="4906"/>
    <s v="Kodiak, AK"/>
    <n v="5290"/>
    <x v="49"/>
    <x v="422"/>
    <n v="0"/>
    <x v="0"/>
    <x v="0"/>
    <n v="3"/>
  </r>
  <r>
    <s v="Coastal"/>
    <n v="4906"/>
    <s v="Kodiak, AK"/>
    <n v="5240"/>
    <x v="89"/>
    <x v="131"/>
    <n v="0"/>
    <x v="0"/>
    <x v="0"/>
    <n v="2"/>
  </r>
  <r>
    <s v="Coastal"/>
    <n v="4906"/>
    <s v="Kodiak, AK"/>
    <n v="3220"/>
    <x v="2"/>
    <x v="423"/>
    <n v="0"/>
    <x v="0"/>
    <x v="0"/>
    <n v="1"/>
  </r>
  <r>
    <s v="Coastal"/>
    <n v="4906"/>
    <s v="Kodiak, AK"/>
    <n v="3282"/>
    <x v="91"/>
    <x v="423"/>
    <n v="0"/>
    <x v="0"/>
    <x v="0"/>
    <n v="1"/>
  </r>
  <r>
    <s v="Coastal"/>
    <n v="4906"/>
    <s v="Kodiak, AK"/>
    <n v="7500"/>
    <x v="60"/>
    <x v="423"/>
    <n v="0"/>
    <x v="0"/>
    <x v="0"/>
    <n v="1"/>
  </r>
  <r>
    <s v="Coastal"/>
    <n v="2248"/>
    <s v="Lake Charles Harbor District, LA"/>
    <n v="2640"/>
    <x v="110"/>
    <x v="1382"/>
    <n v="13239030"/>
    <x v="0"/>
    <x v="673"/>
    <n v="13263780"/>
  </r>
  <r>
    <s v="Coastal"/>
    <n v="2248"/>
    <s v="Lake Charles Harbor District, LA"/>
    <n v="2330"/>
    <x v="1"/>
    <x v="1383"/>
    <n v="4201060"/>
    <x v="1003"/>
    <x v="674"/>
    <n v="8895089"/>
  </r>
  <r>
    <s v="Coastal"/>
    <n v="2248"/>
    <s v="Lake Charles Harbor District, LA"/>
    <n v="2100"/>
    <x v="35"/>
    <x v="1384"/>
    <n v="1232009"/>
    <x v="1004"/>
    <x v="0"/>
    <n v="5937567"/>
  </r>
  <r>
    <s v="Coastal"/>
    <n v="2248"/>
    <s v="Lake Charles Harbor District, LA"/>
    <n v="2211"/>
    <x v="0"/>
    <x v="1385"/>
    <n v="1689307"/>
    <x v="1005"/>
    <x v="675"/>
    <n v="5207052"/>
  </r>
  <r>
    <s v="Coastal"/>
    <n v="2248"/>
    <s v="Lake Charles Harbor District, LA"/>
    <n v="2221"/>
    <x v="9"/>
    <x v="1386"/>
    <n v="745326"/>
    <x v="0"/>
    <x v="676"/>
    <n v="2042542"/>
  </r>
  <r>
    <s v="Coastal"/>
    <n v="2248"/>
    <s v="Lake Charles Harbor District, LA"/>
    <n v="2540"/>
    <x v="15"/>
    <x v="1387"/>
    <n v="1090398"/>
    <x v="1006"/>
    <x v="677"/>
    <n v="1660563"/>
  </r>
  <r>
    <s v="Coastal"/>
    <n v="2248"/>
    <s v="Lake Charles Harbor District, LA"/>
    <n v="3274"/>
    <x v="86"/>
    <x v="1388"/>
    <n v="1312696"/>
    <x v="0"/>
    <x v="678"/>
    <n v="1599647"/>
  </r>
  <r>
    <s v="Coastal"/>
    <n v="2248"/>
    <s v="Lake Charles Harbor District, LA"/>
    <n v="2429"/>
    <x v="17"/>
    <x v="1389"/>
    <n v="73744"/>
    <x v="0"/>
    <x v="679"/>
    <n v="1547934"/>
  </r>
  <r>
    <s v="Coastal"/>
    <n v="2248"/>
    <s v="Lake Charles Harbor District, LA"/>
    <n v="3219"/>
    <x v="19"/>
    <x v="1390"/>
    <n v="478848"/>
    <x v="0"/>
    <x v="680"/>
    <n v="1355956"/>
  </r>
  <r>
    <s v="Coastal"/>
    <n v="2248"/>
    <s v="Lake Charles Harbor District, LA"/>
    <n v="4322"/>
    <x v="33"/>
    <x v="1391"/>
    <n v="752434"/>
    <x v="1007"/>
    <x v="0"/>
    <n v="1279836"/>
  </r>
  <r>
    <s v="Coastal"/>
    <n v="2248"/>
    <s v="Lake Charles Harbor District, LA"/>
    <n v="2340"/>
    <x v="3"/>
    <x v="1392"/>
    <n v="0"/>
    <x v="0"/>
    <x v="0"/>
    <n v="1199200"/>
  </r>
  <r>
    <s v="Coastal"/>
    <n v="2248"/>
    <s v="Lake Charles Harbor District, LA"/>
    <n v="2350"/>
    <x v="40"/>
    <x v="1393"/>
    <n v="63663"/>
    <x v="1008"/>
    <x v="681"/>
    <n v="686218"/>
  </r>
  <r>
    <s v="Coastal"/>
    <n v="2248"/>
    <s v="Lake Charles Harbor District, LA"/>
    <n v="3220"/>
    <x v="2"/>
    <x v="1394"/>
    <n v="499919"/>
    <x v="0"/>
    <x v="682"/>
    <n v="679464"/>
  </r>
  <r>
    <s v="Coastal"/>
    <n v="2248"/>
    <s v="Lake Charles Harbor District, LA"/>
    <n v="2430"/>
    <x v="11"/>
    <x v="1395"/>
    <n v="0"/>
    <x v="0"/>
    <x v="0"/>
    <n v="425781"/>
  </r>
  <r>
    <s v="Coastal"/>
    <n v="2248"/>
    <s v="Lake Charles Harbor District, LA"/>
    <n v="4900"/>
    <x v="14"/>
    <x v="1396"/>
    <n v="335413"/>
    <x v="1009"/>
    <x v="0"/>
    <n v="344458"/>
  </r>
  <r>
    <s v="Coastal"/>
    <n v="2248"/>
    <s v="Lake Charles Harbor District, LA"/>
    <n v="1200"/>
    <x v="43"/>
    <x v="1397"/>
    <n v="35023"/>
    <x v="0"/>
    <x v="683"/>
    <n v="343090"/>
  </r>
  <r>
    <s v="Coastal"/>
    <n v="2248"/>
    <s v="Lake Charles Harbor District, LA"/>
    <n v="5220"/>
    <x v="30"/>
    <x v="1398"/>
    <n v="0"/>
    <x v="0"/>
    <x v="0"/>
    <n v="224934"/>
  </r>
  <r>
    <s v="Coastal"/>
    <n v="2248"/>
    <s v="Lake Charles Harbor District, LA"/>
    <n v="4331"/>
    <x v="29"/>
    <x v="1399"/>
    <n v="53937"/>
    <x v="1010"/>
    <x v="0"/>
    <n v="196509"/>
  </r>
  <r>
    <s v="Coastal"/>
    <n v="2248"/>
    <s v="Lake Charles Harbor District, LA"/>
    <n v="3212"/>
    <x v="39"/>
    <x v="1400"/>
    <n v="0"/>
    <x v="0"/>
    <x v="0"/>
    <n v="170980"/>
  </r>
  <r>
    <s v="Coastal"/>
    <n v="2248"/>
    <s v="Lake Charles Harbor District, LA"/>
    <n v="6442"/>
    <x v="85"/>
    <x v="10"/>
    <n v="154687"/>
    <x v="0"/>
    <x v="684"/>
    <n v="154687"/>
  </r>
  <r>
    <s v="Coastal"/>
    <n v="2248"/>
    <s v="Lake Charles Harbor District, LA"/>
    <n v="3299"/>
    <x v="79"/>
    <x v="1401"/>
    <n v="2057"/>
    <x v="0"/>
    <x v="685"/>
    <n v="151625"/>
  </r>
  <r>
    <s v="Coastal"/>
    <n v="2248"/>
    <s v="Lake Charles Harbor District, LA"/>
    <n v="3276"/>
    <x v="12"/>
    <x v="1402"/>
    <n v="104570"/>
    <x v="1011"/>
    <x v="686"/>
    <n v="134238"/>
  </r>
  <r>
    <s v="Coastal"/>
    <n v="2248"/>
    <s v="Lake Charles Harbor District, LA"/>
    <n v="3272"/>
    <x v="137"/>
    <x v="1403"/>
    <n v="0"/>
    <x v="0"/>
    <x v="0"/>
    <n v="117871"/>
  </r>
  <r>
    <s v="Coastal"/>
    <n v="2248"/>
    <s v="Lake Charles Harbor District, LA"/>
    <n v="4420"/>
    <x v="8"/>
    <x v="1404"/>
    <n v="0"/>
    <x v="0"/>
    <x v="0"/>
    <n v="98882"/>
  </r>
  <r>
    <s v="Coastal"/>
    <n v="2248"/>
    <s v="Lake Charles Harbor District, LA"/>
    <n v="4189"/>
    <x v="65"/>
    <x v="10"/>
    <n v="74584"/>
    <x v="1012"/>
    <x v="0"/>
    <n v="74584"/>
  </r>
  <r>
    <s v="Coastal"/>
    <n v="2248"/>
    <s v="Lake Charles Harbor District, LA"/>
    <n v="7110"/>
    <x v="4"/>
    <x v="1405"/>
    <n v="31082"/>
    <x v="1013"/>
    <x v="687"/>
    <n v="65714"/>
  </r>
  <r>
    <s v="Coastal"/>
    <n v="2248"/>
    <s v="Lake Charles Harbor District, LA"/>
    <n v="3275"/>
    <x v="47"/>
    <x v="1406"/>
    <n v="0"/>
    <x v="0"/>
    <x v="0"/>
    <n v="64721"/>
  </r>
  <r>
    <s v="Coastal"/>
    <n v="2248"/>
    <s v="Lake Charles Harbor District, LA"/>
    <n v="4860"/>
    <x v="31"/>
    <x v="1407"/>
    <n v="40799"/>
    <x v="1014"/>
    <x v="0"/>
    <n v="56168"/>
  </r>
  <r>
    <s v="Coastal"/>
    <n v="2248"/>
    <s v="Lake Charles Harbor District, LA"/>
    <n v="7900"/>
    <x v="21"/>
    <x v="1408"/>
    <n v="45257"/>
    <x v="1015"/>
    <x v="688"/>
    <n v="48573"/>
  </r>
  <r>
    <s v="Coastal"/>
    <n v="2248"/>
    <s v="Lake Charles Harbor District, LA"/>
    <n v="3286"/>
    <x v="57"/>
    <x v="10"/>
    <n v="48286"/>
    <x v="0"/>
    <x v="689"/>
    <n v="48286"/>
  </r>
  <r>
    <s v="Coastal"/>
    <n v="2248"/>
    <s v="Lake Charles Harbor District, LA"/>
    <n v="3190"/>
    <x v="38"/>
    <x v="1409"/>
    <n v="0"/>
    <x v="0"/>
    <x v="0"/>
    <n v="42083"/>
  </r>
  <r>
    <s v="Coastal"/>
    <n v="2248"/>
    <s v="Lake Charles Harbor District, LA"/>
    <n v="5540"/>
    <x v="64"/>
    <x v="10"/>
    <n v="29406"/>
    <x v="1016"/>
    <x v="0"/>
    <n v="29406"/>
  </r>
  <r>
    <s v="Coastal"/>
    <n v="2248"/>
    <s v="Lake Charles Harbor District, LA"/>
    <n v="3271"/>
    <x v="133"/>
    <x v="1410"/>
    <n v="0"/>
    <x v="0"/>
    <x v="0"/>
    <n v="24636"/>
  </r>
  <r>
    <s v="Coastal"/>
    <n v="2248"/>
    <s v="Lake Charles Harbor District, LA"/>
    <n v="3260"/>
    <x v="107"/>
    <x v="1411"/>
    <n v="17471"/>
    <x v="0"/>
    <x v="690"/>
    <n v="22461"/>
  </r>
  <r>
    <s v="Coastal"/>
    <n v="2248"/>
    <s v="Lake Charles Harbor District, LA"/>
    <n v="5429"/>
    <x v="61"/>
    <x v="10"/>
    <n v="21550"/>
    <x v="1017"/>
    <x v="0"/>
    <n v="21550"/>
  </r>
  <r>
    <s v="Coastal"/>
    <n v="2248"/>
    <s v="Lake Charles Harbor District, LA"/>
    <n v="4690"/>
    <x v="62"/>
    <x v="10"/>
    <n v="20981"/>
    <x v="1018"/>
    <x v="0"/>
    <n v="20981"/>
  </r>
  <r>
    <s v="Coastal"/>
    <n v="2248"/>
    <s v="Lake Charles Harbor District, LA"/>
    <n v="3211"/>
    <x v="124"/>
    <x v="1412"/>
    <n v="0"/>
    <x v="0"/>
    <x v="0"/>
    <n v="14540"/>
  </r>
  <r>
    <s v="Coastal"/>
    <n v="2248"/>
    <s v="Lake Charles Harbor District, LA"/>
    <n v="2990"/>
    <x v="102"/>
    <x v="1413"/>
    <n v="41"/>
    <x v="1019"/>
    <x v="0"/>
    <n v="12997"/>
  </r>
  <r>
    <s v="Coastal"/>
    <n v="2248"/>
    <s v="Lake Charles Harbor District, LA"/>
    <n v="9900"/>
    <x v="18"/>
    <x v="10"/>
    <n v="10487"/>
    <x v="1020"/>
    <x v="0"/>
    <n v="10487"/>
  </r>
  <r>
    <s v="Coastal"/>
    <n v="2248"/>
    <s v="Lake Charles Harbor District, LA"/>
    <n v="5190"/>
    <x v="83"/>
    <x v="10"/>
    <n v="10484"/>
    <x v="1021"/>
    <x v="284"/>
    <n v="10484"/>
  </r>
  <r>
    <s v="Coastal"/>
    <n v="2248"/>
    <s v="Lake Charles Harbor District, LA"/>
    <n v="2410"/>
    <x v="98"/>
    <x v="1414"/>
    <n v="0"/>
    <x v="0"/>
    <x v="0"/>
    <n v="8246"/>
  </r>
  <r>
    <s v="Coastal"/>
    <n v="2248"/>
    <s v="Lake Charles Harbor District, LA"/>
    <n v="4335"/>
    <x v="5"/>
    <x v="1415"/>
    <n v="0"/>
    <x v="0"/>
    <x v="0"/>
    <n v="7473"/>
  </r>
  <r>
    <s v="Coastal"/>
    <n v="2248"/>
    <s v="Lake Charles Harbor District, LA"/>
    <n v="5480"/>
    <x v="20"/>
    <x v="10"/>
    <n v="5246"/>
    <x v="1022"/>
    <x v="0"/>
    <n v="5246"/>
  </r>
  <r>
    <s v="Coastal"/>
    <n v="2248"/>
    <s v="Lake Charles Harbor District, LA"/>
    <n v="6889"/>
    <x v="42"/>
    <x v="10"/>
    <n v="3065"/>
    <x v="1023"/>
    <x v="0"/>
    <n v="3065"/>
  </r>
  <r>
    <s v="Coastal"/>
    <n v="2248"/>
    <s v="Lake Charles Harbor District, LA"/>
    <n v="7400"/>
    <x v="77"/>
    <x v="10"/>
    <n v="2819"/>
    <x v="1024"/>
    <x v="0"/>
    <n v="2819"/>
  </r>
  <r>
    <s v="Coastal"/>
    <n v="2248"/>
    <s v="Lake Charles Harbor District, LA"/>
    <n v="3230"/>
    <x v="80"/>
    <x v="10"/>
    <n v="2342"/>
    <x v="0"/>
    <x v="691"/>
    <n v="2342"/>
  </r>
  <r>
    <s v="Coastal"/>
    <n v="2248"/>
    <s v="Lake Charles Harbor District, LA"/>
    <n v="7120"/>
    <x v="71"/>
    <x v="10"/>
    <n v="1956"/>
    <x v="1025"/>
    <x v="692"/>
    <n v="1956"/>
  </r>
  <r>
    <s v="Coastal"/>
    <n v="2248"/>
    <s v="Lake Charles Harbor District, LA"/>
    <n v="6344"/>
    <x v="25"/>
    <x v="1416"/>
    <n v="0"/>
    <x v="0"/>
    <x v="0"/>
    <n v="1501"/>
  </r>
  <r>
    <s v="Coastal"/>
    <n v="2248"/>
    <s v="Lake Charles Harbor District, LA"/>
    <n v="4225"/>
    <x v="10"/>
    <x v="10"/>
    <n v="1319"/>
    <x v="1026"/>
    <x v="0"/>
    <n v="1319"/>
  </r>
  <r>
    <s v="Coastal"/>
    <n v="2248"/>
    <s v="Lake Charles Harbor District, LA"/>
    <n v="7220"/>
    <x v="103"/>
    <x v="10"/>
    <n v="1009"/>
    <x v="1027"/>
    <x v="0"/>
    <n v="1009"/>
  </r>
  <r>
    <s v="Coastal"/>
    <n v="2248"/>
    <s v="Lake Charles Harbor District, LA"/>
    <n v="5422"/>
    <x v="66"/>
    <x v="10"/>
    <n v="296"/>
    <x v="200"/>
    <x v="0"/>
    <n v="296"/>
  </r>
  <r>
    <s v="Coastal"/>
    <n v="2248"/>
    <s v="Lake Charles Harbor District, LA"/>
    <n v="5370"/>
    <x v="81"/>
    <x v="249"/>
    <n v="0"/>
    <x v="0"/>
    <x v="0"/>
    <n v="50"/>
  </r>
  <r>
    <s v="Coastal"/>
    <n v="2248"/>
    <s v="Lake Charles Harbor District, LA"/>
    <n v="7600"/>
    <x v="68"/>
    <x v="10"/>
    <n v="35"/>
    <x v="310"/>
    <x v="0"/>
    <n v="35"/>
  </r>
  <r>
    <s v="Coastal"/>
    <n v="2248"/>
    <s v="Lake Charles Harbor District, LA"/>
    <n v="7230"/>
    <x v="22"/>
    <x v="10"/>
    <n v="21"/>
    <x v="154"/>
    <x v="0"/>
    <n v="21"/>
  </r>
  <r>
    <s v="Coastal"/>
    <n v="2248"/>
    <s v="Lake Charles Harbor District, LA"/>
    <n v="7210"/>
    <x v="59"/>
    <x v="10"/>
    <n v="1"/>
    <x v="19"/>
    <x v="0"/>
    <n v="1"/>
  </r>
  <r>
    <s v="Internal"/>
    <n v="2446"/>
    <s v="Lake Providence Port, LA"/>
    <n v="6522"/>
    <x v="26"/>
    <x v="1417"/>
    <n v="0"/>
    <x v="0"/>
    <x v="0"/>
    <n v="417637"/>
  </r>
  <r>
    <s v="Internal"/>
    <n v="2446"/>
    <s v="Lake Providence Port, LA"/>
    <n v="6344"/>
    <x v="25"/>
    <x v="1418"/>
    <n v="0"/>
    <x v="0"/>
    <x v="0"/>
    <n v="247445"/>
  </r>
  <r>
    <s v="Internal"/>
    <n v="2446"/>
    <s v="Lake Providence Port, LA"/>
    <n v="4331"/>
    <x v="29"/>
    <x v="1419"/>
    <n v="0"/>
    <x v="0"/>
    <x v="0"/>
    <n v="113198"/>
  </r>
  <r>
    <s v="Internal"/>
    <n v="2446"/>
    <s v="Lake Providence Port, LA"/>
    <n v="3110"/>
    <x v="36"/>
    <x v="1420"/>
    <n v="0"/>
    <x v="0"/>
    <x v="0"/>
    <n v="93123"/>
  </r>
  <r>
    <s v="Internal"/>
    <n v="2446"/>
    <s v="Lake Providence Port, LA"/>
    <n v="4322"/>
    <x v="33"/>
    <x v="1421"/>
    <n v="0"/>
    <x v="0"/>
    <x v="0"/>
    <n v="47043"/>
  </r>
  <r>
    <s v="Internal"/>
    <n v="2446"/>
    <s v="Lake Providence Port, LA"/>
    <n v="3130"/>
    <x v="37"/>
    <x v="1422"/>
    <n v="0"/>
    <x v="0"/>
    <x v="0"/>
    <n v="20539"/>
  </r>
  <r>
    <s v="Internal"/>
    <n v="2446"/>
    <s v="Lake Providence Port, LA"/>
    <n v="6442"/>
    <x v="85"/>
    <x v="1423"/>
    <n v="0"/>
    <x v="0"/>
    <x v="0"/>
    <n v="18487"/>
  </r>
  <r>
    <s v="Internal"/>
    <n v="2446"/>
    <s v="Lake Providence Port, LA"/>
    <n v="6654"/>
    <x v="50"/>
    <x v="1424"/>
    <n v="0"/>
    <x v="0"/>
    <x v="0"/>
    <n v="18259"/>
  </r>
  <r>
    <s v="Internal"/>
    <n v="2446"/>
    <s v="Lake Providence Port, LA"/>
    <n v="3190"/>
    <x v="38"/>
    <x v="1425"/>
    <n v="0"/>
    <x v="0"/>
    <x v="0"/>
    <n v="8813"/>
  </r>
  <r>
    <s v="Internal"/>
    <n v="2446"/>
    <s v="Lake Providence Port, LA"/>
    <n v="3120"/>
    <x v="41"/>
    <x v="1426"/>
    <n v="0"/>
    <x v="0"/>
    <x v="0"/>
    <n v="8227"/>
  </r>
  <r>
    <s v="Internal"/>
    <n v="2446"/>
    <s v="Lake Providence Port, LA"/>
    <n v="6590"/>
    <x v="23"/>
    <x v="1427"/>
    <n v="0"/>
    <x v="0"/>
    <x v="0"/>
    <n v="7681"/>
  </r>
  <r>
    <s v="Internal"/>
    <n v="2446"/>
    <s v="Lake Providence Port, LA"/>
    <n v="6241"/>
    <x v="28"/>
    <x v="1428"/>
    <n v="0"/>
    <x v="0"/>
    <x v="0"/>
    <n v="6689"/>
  </r>
  <r>
    <s v="Great Lakes"/>
    <n v="3716"/>
    <s v="Leland, MI"/>
    <n v="7110"/>
    <x v="4"/>
    <x v="589"/>
    <n v="0"/>
    <x v="0"/>
    <x v="0"/>
    <n v="100"/>
  </r>
  <r>
    <s v="Internal"/>
    <n v="6111"/>
    <s v="Little Rock Port Authority, AR"/>
    <n v="5220"/>
    <x v="30"/>
    <x v="1429"/>
    <n v="0"/>
    <x v="0"/>
    <x v="0"/>
    <n v="192357"/>
  </r>
  <r>
    <s v="Internal"/>
    <n v="6111"/>
    <s v="Little Rock Port Authority, AR"/>
    <n v="4310"/>
    <x v="96"/>
    <x v="1430"/>
    <n v="0"/>
    <x v="0"/>
    <x v="0"/>
    <n v="114957"/>
  </r>
  <r>
    <s v="Internal"/>
    <n v="6111"/>
    <s v="Little Rock Port Authority, AR"/>
    <n v="4331"/>
    <x v="29"/>
    <x v="1431"/>
    <n v="0"/>
    <x v="0"/>
    <x v="0"/>
    <n v="87121"/>
  </r>
  <r>
    <s v="Internal"/>
    <n v="6111"/>
    <s v="Little Rock Port Authority, AR"/>
    <n v="5330"/>
    <x v="16"/>
    <x v="1432"/>
    <n v="0"/>
    <x v="0"/>
    <x v="0"/>
    <n v="43595"/>
  </r>
  <r>
    <s v="Internal"/>
    <n v="6111"/>
    <s v="Little Rock Port Authority, AR"/>
    <n v="5422"/>
    <x v="66"/>
    <x v="1433"/>
    <n v="0"/>
    <x v="0"/>
    <x v="0"/>
    <n v="42374"/>
  </r>
  <r>
    <s v="Internal"/>
    <n v="6111"/>
    <s v="Little Rock Port Authority, AR"/>
    <n v="3110"/>
    <x v="36"/>
    <x v="1434"/>
    <n v="0"/>
    <x v="0"/>
    <x v="0"/>
    <n v="34588"/>
  </r>
  <r>
    <s v="Internal"/>
    <n v="6111"/>
    <s v="Little Rock Port Authority, AR"/>
    <n v="4322"/>
    <x v="33"/>
    <x v="1435"/>
    <n v="0"/>
    <x v="0"/>
    <x v="0"/>
    <n v="32529"/>
  </r>
  <r>
    <s v="Internal"/>
    <n v="6111"/>
    <s v="Little Rock Port Authority, AR"/>
    <n v="5390"/>
    <x v="44"/>
    <x v="1436"/>
    <n v="0"/>
    <x v="0"/>
    <x v="0"/>
    <n v="30241"/>
  </r>
  <r>
    <s v="Internal"/>
    <n v="6111"/>
    <s v="Little Rock Port Authority, AR"/>
    <n v="4420"/>
    <x v="8"/>
    <x v="1437"/>
    <n v="0"/>
    <x v="0"/>
    <x v="0"/>
    <n v="27876"/>
  </r>
  <r>
    <s v="Internal"/>
    <n v="6111"/>
    <s v="Little Rock Port Authority, AR"/>
    <n v="3130"/>
    <x v="37"/>
    <x v="1438"/>
    <n v="0"/>
    <x v="0"/>
    <x v="0"/>
    <n v="17949"/>
  </r>
  <r>
    <s v="Internal"/>
    <n v="6111"/>
    <s v="Little Rock Port Authority, AR"/>
    <n v="3120"/>
    <x v="41"/>
    <x v="1439"/>
    <n v="0"/>
    <x v="0"/>
    <x v="0"/>
    <n v="7813"/>
  </r>
  <r>
    <s v="Internal"/>
    <n v="6111"/>
    <s v="Little Rock Port Authority, AR"/>
    <n v="5480"/>
    <x v="20"/>
    <x v="1440"/>
    <n v="0"/>
    <x v="0"/>
    <x v="0"/>
    <n v="4772"/>
  </r>
  <r>
    <s v="Internal"/>
    <n v="6111"/>
    <s v="Little Rock Port Authority, AR"/>
    <n v="3276"/>
    <x v="12"/>
    <x v="1441"/>
    <n v="0"/>
    <x v="0"/>
    <x v="0"/>
    <n v="3278"/>
  </r>
  <r>
    <s v="Internal"/>
    <n v="6111"/>
    <s v="Little Rock Port Authority, AR"/>
    <n v="2330"/>
    <x v="1"/>
    <x v="1442"/>
    <n v="0"/>
    <x v="0"/>
    <x v="0"/>
    <n v="2966"/>
  </r>
  <r>
    <s v="Internal"/>
    <n v="6111"/>
    <s v="Little Rock Port Authority, AR"/>
    <n v="2350"/>
    <x v="40"/>
    <x v="1443"/>
    <n v="0"/>
    <x v="0"/>
    <x v="0"/>
    <n v="2932"/>
  </r>
  <r>
    <s v="Internal"/>
    <n v="6111"/>
    <s v="Little Rock Port Authority, AR"/>
    <n v="4410"/>
    <x v="34"/>
    <x v="1258"/>
    <n v="0"/>
    <x v="0"/>
    <x v="0"/>
    <n v="2908"/>
  </r>
  <r>
    <s v="Internal"/>
    <n v="6111"/>
    <s v="Little Rock Port Authority, AR"/>
    <n v="5370"/>
    <x v="81"/>
    <x v="983"/>
    <n v="0"/>
    <x v="0"/>
    <x v="0"/>
    <n v="1553"/>
  </r>
  <r>
    <s v="Internal"/>
    <n v="6111"/>
    <s v="Little Rock Port Authority, AR"/>
    <n v="3275"/>
    <x v="47"/>
    <x v="1444"/>
    <n v="0"/>
    <x v="0"/>
    <x v="0"/>
    <n v="1461"/>
  </r>
  <r>
    <s v="Great Lakes"/>
    <n v="3235"/>
    <s v="Lorain Port Authority, OH"/>
    <n v="4322"/>
    <x v="33"/>
    <x v="1445"/>
    <n v="0"/>
    <x v="0"/>
    <x v="0"/>
    <n v="752318"/>
  </r>
  <r>
    <s v="Great Lakes"/>
    <n v="3235"/>
    <s v="Lorain Port Authority, OH"/>
    <n v="4783"/>
    <x v="7"/>
    <x v="1446"/>
    <n v="36156"/>
    <x v="1028"/>
    <x v="0"/>
    <n v="53613"/>
  </r>
  <r>
    <s v="Great Lakes"/>
    <n v="3235"/>
    <s v="Lorain Port Authority, OH"/>
    <n v="2540"/>
    <x v="15"/>
    <x v="10"/>
    <n v="28109"/>
    <x v="0"/>
    <x v="693"/>
    <n v="28109"/>
  </r>
  <r>
    <s v="Great Lakes"/>
    <n v="3235"/>
    <s v="Lorain Port Authority, OH"/>
    <n v="3260"/>
    <x v="107"/>
    <x v="10"/>
    <n v="27558"/>
    <x v="529"/>
    <x v="0"/>
    <n v="27558"/>
  </r>
  <r>
    <s v="Great Lakes"/>
    <n v="3235"/>
    <s v="Lorain Port Authority, OH"/>
    <n v="4331"/>
    <x v="29"/>
    <x v="10"/>
    <n v="24030"/>
    <x v="1029"/>
    <x v="0"/>
    <n v="24030"/>
  </r>
  <r>
    <s v="Great Lakes"/>
    <n v="3235"/>
    <s v="Lorain Port Authority, OH"/>
    <n v="3130"/>
    <x v="37"/>
    <x v="10"/>
    <n v="6614"/>
    <x v="1030"/>
    <x v="0"/>
    <n v="6614"/>
  </r>
  <r>
    <s v="Great Lakes"/>
    <n v="3235"/>
    <s v="Lorain Port Authority, OH"/>
    <n v="3276"/>
    <x v="12"/>
    <x v="10"/>
    <n v="4409"/>
    <x v="1031"/>
    <x v="0"/>
    <n v="4409"/>
  </r>
  <r>
    <s v="Internal"/>
    <n v="2333"/>
    <s v="Louisville-Jefferson Port, KY"/>
    <n v="4331"/>
    <x v="29"/>
    <x v="1447"/>
    <n v="0"/>
    <x v="0"/>
    <x v="0"/>
    <n v="2344401"/>
  </r>
  <r>
    <s v="Internal"/>
    <n v="2333"/>
    <s v="Louisville-Jefferson Port, KY"/>
    <n v="2211"/>
    <x v="0"/>
    <x v="1448"/>
    <n v="0"/>
    <x v="0"/>
    <x v="0"/>
    <n v="1733210"/>
  </r>
  <r>
    <s v="Internal"/>
    <n v="2333"/>
    <s v="Louisville-Jefferson Port, KY"/>
    <n v="1100"/>
    <x v="32"/>
    <x v="1449"/>
    <n v="0"/>
    <x v="0"/>
    <x v="0"/>
    <n v="1391291"/>
  </r>
  <r>
    <s v="Internal"/>
    <n v="2333"/>
    <s v="Louisville-Jefferson Port, KY"/>
    <n v="2330"/>
    <x v="1"/>
    <x v="1450"/>
    <n v="0"/>
    <x v="0"/>
    <x v="0"/>
    <n v="624760"/>
  </r>
  <r>
    <s v="Internal"/>
    <n v="2333"/>
    <s v="Louisville-Jefferson Port, KY"/>
    <n v="2221"/>
    <x v="9"/>
    <x v="1451"/>
    <n v="0"/>
    <x v="0"/>
    <x v="0"/>
    <n v="425019"/>
  </r>
  <r>
    <s v="Internal"/>
    <n v="2333"/>
    <s v="Louisville-Jefferson Port, KY"/>
    <n v="5220"/>
    <x v="30"/>
    <x v="1452"/>
    <n v="0"/>
    <x v="0"/>
    <x v="0"/>
    <n v="376783"/>
  </r>
  <r>
    <s v="Internal"/>
    <n v="2333"/>
    <s v="Louisville-Jefferson Port, KY"/>
    <n v="4420"/>
    <x v="8"/>
    <x v="1453"/>
    <n v="0"/>
    <x v="0"/>
    <x v="0"/>
    <n v="370202"/>
  </r>
  <r>
    <s v="Internal"/>
    <n v="2333"/>
    <s v="Louisville-Jefferson Port, KY"/>
    <n v="4322"/>
    <x v="33"/>
    <x v="1454"/>
    <n v="0"/>
    <x v="0"/>
    <x v="0"/>
    <n v="338021"/>
  </r>
  <r>
    <s v="Internal"/>
    <n v="2333"/>
    <s v="Louisville-Jefferson Port, KY"/>
    <n v="4323"/>
    <x v="6"/>
    <x v="1455"/>
    <n v="0"/>
    <x v="0"/>
    <x v="0"/>
    <n v="301801"/>
  </r>
  <r>
    <s v="Internal"/>
    <n v="2333"/>
    <s v="Louisville-Jefferson Port, KY"/>
    <n v="3220"/>
    <x v="2"/>
    <x v="1456"/>
    <n v="0"/>
    <x v="0"/>
    <x v="0"/>
    <n v="162391"/>
  </r>
  <r>
    <s v="Internal"/>
    <n v="2333"/>
    <s v="Louisville-Jefferson Port, KY"/>
    <n v="3219"/>
    <x v="19"/>
    <x v="1457"/>
    <n v="0"/>
    <x v="0"/>
    <x v="0"/>
    <n v="63394"/>
  </r>
  <r>
    <s v="Internal"/>
    <n v="2333"/>
    <s v="Louisville-Jefferson Port, KY"/>
    <n v="2430"/>
    <x v="11"/>
    <x v="1458"/>
    <n v="0"/>
    <x v="0"/>
    <x v="0"/>
    <n v="50415"/>
  </r>
  <r>
    <s v="Internal"/>
    <n v="2333"/>
    <s v="Louisville-Jefferson Port, KY"/>
    <n v="4650"/>
    <x v="67"/>
    <x v="1459"/>
    <n v="0"/>
    <x v="0"/>
    <x v="0"/>
    <n v="44210"/>
  </r>
  <r>
    <s v="Internal"/>
    <n v="2333"/>
    <s v="Louisville-Jefferson Port, KY"/>
    <n v="3110"/>
    <x v="36"/>
    <x v="1460"/>
    <n v="0"/>
    <x v="0"/>
    <x v="0"/>
    <n v="38560"/>
  </r>
  <r>
    <s v="Internal"/>
    <n v="2333"/>
    <s v="Louisville-Jefferson Port, KY"/>
    <n v="2350"/>
    <x v="40"/>
    <x v="1461"/>
    <n v="0"/>
    <x v="0"/>
    <x v="0"/>
    <n v="37658"/>
  </r>
  <r>
    <s v="Internal"/>
    <n v="2333"/>
    <s v="Louisville-Jefferson Port, KY"/>
    <n v="4900"/>
    <x v="14"/>
    <x v="1462"/>
    <n v="0"/>
    <x v="0"/>
    <x v="0"/>
    <n v="37454"/>
  </r>
  <r>
    <s v="Internal"/>
    <n v="2333"/>
    <s v="Louisville-Jefferson Port, KY"/>
    <n v="3276"/>
    <x v="12"/>
    <x v="1463"/>
    <n v="0"/>
    <x v="0"/>
    <x v="0"/>
    <n v="34790"/>
  </r>
  <r>
    <s v="Internal"/>
    <n v="2333"/>
    <s v="Louisville-Jefferson Port, KY"/>
    <n v="1200"/>
    <x v="43"/>
    <x v="1464"/>
    <n v="0"/>
    <x v="0"/>
    <x v="0"/>
    <n v="32829"/>
  </r>
  <r>
    <s v="Internal"/>
    <n v="2333"/>
    <s v="Louisville-Jefferson Port, KY"/>
    <n v="4860"/>
    <x v="31"/>
    <x v="1465"/>
    <n v="0"/>
    <x v="0"/>
    <x v="0"/>
    <n v="29392"/>
  </r>
  <r>
    <s v="Internal"/>
    <n v="2333"/>
    <s v="Louisville-Jefferson Port, KY"/>
    <n v="5315"/>
    <x v="48"/>
    <x v="1466"/>
    <n v="0"/>
    <x v="0"/>
    <x v="0"/>
    <n v="26986"/>
  </r>
  <r>
    <s v="Internal"/>
    <n v="2333"/>
    <s v="Louisville-Jefferson Port, KY"/>
    <n v="4782"/>
    <x v="45"/>
    <x v="1467"/>
    <n v="0"/>
    <x v="0"/>
    <x v="0"/>
    <n v="23680"/>
  </r>
  <r>
    <s v="Internal"/>
    <n v="2333"/>
    <s v="Louisville-Jefferson Port, KY"/>
    <n v="2100"/>
    <x v="35"/>
    <x v="1468"/>
    <n v="0"/>
    <x v="0"/>
    <x v="0"/>
    <n v="22021"/>
  </r>
  <r>
    <s v="Internal"/>
    <n v="2333"/>
    <s v="Louisville-Jefferson Port, KY"/>
    <n v="3274"/>
    <x v="86"/>
    <x v="1469"/>
    <n v="0"/>
    <x v="0"/>
    <x v="0"/>
    <n v="18332"/>
  </r>
  <r>
    <s v="Internal"/>
    <n v="2333"/>
    <s v="Louisville-Jefferson Port, KY"/>
    <n v="3190"/>
    <x v="38"/>
    <x v="1470"/>
    <n v="0"/>
    <x v="0"/>
    <x v="0"/>
    <n v="17529"/>
  </r>
  <r>
    <s v="Internal"/>
    <n v="2333"/>
    <s v="Louisville-Jefferson Port, KY"/>
    <n v="5330"/>
    <x v="16"/>
    <x v="1471"/>
    <n v="0"/>
    <x v="0"/>
    <x v="0"/>
    <n v="16287"/>
  </r>
  <r>
    <s v="Internal"/>
    <n v="2333"/>
    <s v="Louisville-Jefferson Port, KY"/>
    <n v="3275"/>
    <x v="47"/>
    <x v="1472"/>
    <n v="0"/>
    <x v="0"/>
    <x v="0"/>
    <n v="15029"/>
  </r>
  <r>
    <s v="Internal"/>
    <n v="2333"/>
    <s v="Louisville-Jefferson Port, KY"/>
    <n v="3130"/>
    <x v="37"/>
    <x v="1473"/>
    <n v="0"/>
    <x v="0"/>
    <x v="0"/>
    <n v="14112"/>
  </r>
  <r>
    <s v="Internal"/>
    <n v="2333"/>
    <s v="Louisville-Jefferson Port, KY"/>
    <n v="2340"/>
    <x v="3"/>
    <x v="1474"/>
    <n v="0"/>
    <x v="0"/>
    <x v="0"/>
    <n v="12566"/>
  </r>
  <r>
    <s v="Internal"/>
    <n v="2333"/>
    <s v="Louisville-Jefferson Port, KY"/>
    <n v="4161"/>
    <x v="54"/>
    <x v="1475"/>
    <n v="0"/>
    <x v="0"/>
    <x v="0"/>
    <n v="10684"/>
  </r>
  <r>
    <s v="Internal"/>
    <n v="2333"/>
    <s v="Louisville-Jefferson Port, KY"/>
    <n v="4410"/>
    <x v="34"/>
    <x v="1476"/>
    <n v="0"/>
    <x v="0"/>
    <x v="0"/>
    <n v="5912"/>
  </r>
  <r>
    <s v="Internal"/>
    <n v="2333"/>
    <s v="Louisville-Jefferson Port, KY"/>
    <n v="5312"/>
    <x v="52"/>
    <x v="1477"/>
    <n v="0"/>
    <x v="0"/>
    <x v="0"/>
    <n v="2787"/>
  </r>
  <r>
    <s v="Internal"/>
    <n v="2333"/>
    <s v="Louisville-Jefferson Port, KY"/>
    <n v="5390"/>
    <x v="44"/>
    <x v="1478"/>
    <n v="0"/>
    <x v="0"/>
    <x v="0"/>
    <n v="2768"/>
  </r>
  <r>
    <s v="Internal"/>
    <n v="2333"/>
    <s v="Louisville-Jefferson Port, KY"/>
    <n v="2540"/>
    <x v="15"/>
    <x v="1479"/>
    <n v="0"/>
    <x v="0"/>
    <x v="0"/>
    <n v="1937"/>
  </r>
  <r>
    <s v="Internal"/>
    <n v="2333"/>
    <s v="Louisville-Jefferson Port, KY"/>
    <n v="6522"/>
    <x v="26"/>
    <x v="1480"/>
    <n v="0"/>
    <x v="0"/>
    <x v="0"/>
    <n v="1912"/>
  </r>
  <r>
    <s v="Internal"/>
    <n v="2333"/>
    <s v="Louisville-Jefferson Port, KY"/>
    <n v="7900"/>
    <x v="21"/>
    <x v="1481"/>
    <n v="0"/>
    <x v="0"/>
    <x v="0"/>
    <n v="1636"/>
  </r>
  <r>
    <s v="Internal"/>
    <n v="2333"/>
    <s v="Louisville-Jefferson Port, KY"/>
    <n v="5360"/>
    <x v="94"/>
    <x v="311"/>
    <n v="0"/>
    <x v="0"/>
    <x v="0"/>
    <n v="1575"/>
  </r>
  <r>
    <s v="Internal"/>
    <n v="2333"/>
    <s v="Louisville-Jefferson Port, KY"/>
    <n v="3279"/>
    <x v="58"/>
    <x v="1482"/>
    <n v="0"/>
    <x v="0"/>
    <x v="0"/>
    <n v="840"/>
  </r>
  <r>
    <s v="Internal"/>
    <n v="2303"/>
    <s v="Lowndes County Port, MS"/>
    <n v="5312"/>
    <x v="52"/>
    <x v="1483"/>
    <n v="0"/>
    <x v="0"/>
    <x v="0"/>
    <n v="194108"/>
  </r>
  <r>
    <s v="Internal"/>
    <n v="2303"/>
    <s v="Lowndes County Port, MS"/>
    <n v="4420"/>
    <x v="8"/>
    <x v="1484"/>
    <n v="0"/>
    <x v="0"/>
    <x v="0"/>
    <n v="141637"/>
  </r>
  <r>
    <s v="Internal"/>
    <n v="2303"/>
    <s v="Lowndes County Port, MS"/>
    <n v="4161"/>
    <x v="54"/>
    <x v="1485"/>
    <n v="0"/>
    <x v="0"/>
    <x v="0"/>
    <n v="65413"/>
  </r>
  <r>
    <s v="Internal"/>
    <n v="2303"/>
    <s v="Lowndes County Port, MS"/>
    <n v="1100"/>
    <x v="32"/>
    <x v="1486"/>
    <n v="0"/>
    <x v="0"/>
    <x v="0"/>
    <n v="34558"/>
  </r>
  <r>
    <s v="Internal"/>
    <n v="2303"/>
    <s v="Lowndes County Port, MS"/>
    <n v="3274"/>
    <x v="86"/>
    <x v="1487"/>
    <n v="0"/>
    <x v="0"/>
    <x v="0"/>
    <n v="31085"/>
  </r>
  <r>
    <s v="Internal"/>
    <n v="2303"/>
    <s v="Lowndes County Port, MS"/>
    <n v="4331"/>
    <x v="29"/>
    <x v="1488"/>
    <n v="0"/>
    <x v="0"/>
    <x v="0"/>
    <n v="25400"/>
  </r>
  <r>
    <s v="Internal"/>
    <n v="2303"/>
    <s v="Lowndes County Port, MS"/>
    <n v="4410"/>
    <x v="34"/>
    <x v="1489"/>
    <n v="0"/>
    <x v="0"/>
    <x v="0"/>
    <n v="22290"/>
  </r>
  <r>
    <s v="Internal"/>
    <n v="2303"/>
    <s v="Lowndes County Port, MS"/>
    <n v="5330"/>
    <x v="16"/>
    <x v="1490"/>
    <n v="0"/>
    <x v="0"/>
    <x v="0"/>
    <n v="16813"/>
  </r>
  <r>
    <s v="Internal"/>
    <n v="2303"/>
    <s v="Lowndes County Port, MS"/>
    <n v="5320"/>
    <x v="13"/>
    <x v="1491"/>
    <n v="0"/>
    <x v="0"/>
    <x v="0"/>
    <n v="14500"/>
  </r>
  <r>
    <s v="Internal"/>
    <n v="2303"/>
    <s v="Lowndes County Port, MS"/>
    <n v="4335"/>
    <x v="5"/>
    <x v="1492"/>
    <n v="0"/>
    <x v="0"/>
    <x v="0"/>
    <n v="6050"/>
  </r>
  <r>
    <s v="Internal"/>
    <n v="2303"/>
    <s v="Lowndes County Port, MS"/>
    <n v="4783"/>
    <x v="7"/>
    <x v="1493"/>
    <n v="0"/>
    <x v="0"/>
    <x v="0"/>
    <n v="4600"/>
  </r>
  <r>
    <s v="Internal"/>
    <n v="2303"/>
    <s v="Lowndes County Port, MS"/>
    <n v="4170"/>
    <x v="55"/>
    <x v="1494"/>
    <n v="0"/>
    <x v="0"/>
    <x v="0"/>
    <n v="4300"/>
  </r>
  <r>
    <s v="Internal"/>
    <n v="2303"/>
    <s v="Lowndes County Port, MS"/>
    <n v="4860"/>
    <x v="31"/>
    <x v="1495"/>
    <n v="0"/>
    <x v="0"/>
    <x v="0"/>
    <n v="2836"/>
  </r>
  <r>
    <s v="Internal"/>
    <n v="2303"/>
    <s v="Lowndes County Port, MS"/>
    <n v="3273"/>
    <x v="46"/>
    <x v="79"/>
    <n v="0"/>
    <x v="0"/>
    <x v="0"/>
    <n v="1700"/>
  </r>
  <r>
    <s v="Internal"/>
    <n v="2303"/>
    <s v="Lowndes County Port, MS"/>
    <n v="1200"/>
    <x v="43"/>
    <x v="1496"/>
    <n v="0"/>
    <x v="0"/>
    <x v="0"/>
    <n v="1587"/>
  </r>
  <r>
    <s v="Internal"/>
    <n v="2303"/>
    <s v="Lowndes County Port, MS"/>
    <n v="5315"/>
    <x v="48"/>
    <x v="1497"/>
    <n v="0"/>
    <x v="0"/>
    <x v="0"/>
    <n v="1500"/>
  </r>
  <r>
    <s v="Internal"/>
    <n v="2303"/>
    <s v="Lowndes County Port, MS"/>
    <n v="3275"/>
    <x v="47"/>
    <x v="1498"/>
    <n v="0"/>
    <x v="0"/>
    <x v="0"/>
    <n v="1489"/>
  </r>
  <r>
    <s v="Great Lakes"/>
    <n v="3783"/>
    <s v="Ludington, MI"/>
    <n v="3276"/>
    <x v="12"/>
    <x v="1499"/>
    <n v="0"/>
    <x v="0"/>
    <x v="0"/>
    <n v="219284"/>
  </r>
  <r>
    <s v="Great Lakes"/>
    <n v="3783"/>
    <s v="Ludington, MI"/>
    <n v="4322"/>
    <x v="33"/>
    <x v="1500"/>
    <n v="0"/>
    <x v="0"/>
    <x v="0"/>
    <n v="93363"/>
  </r>
  <r>
    <s v="Great Lakes"/>
    <n v="3783"/>
    <s v="Ludington, MI"/>
    <n v="4860"/>
    <x v="31"/>
    <x v="1501"/>
    <n v="0"/>
    <x v="0"/>
    <x v="0"/>
    <n v="42445"/>
  </r>
  <r>
    <s v="Great Lakes"/>
    <n v="3783"/>
    <s v="Ludington, MI"/>
    <n v="4335"/>
    <x v="5"/>
    <x v="1502"/>
    <n v="0"/>
    <x v="0"/>
    <x v="0"/>
    <n v="4903"/>
  </r>
  <r>
    <s v="Great Lakes"/>
    <n v="3783"/>
    <s v="Ludington, MI"/>
    <n v="4420"/>
    <x v="8"/>
    <x v="510"/>
    <n v="0"/>
    <x v="0"/>
    <x v="0"/>
    <n v="80"/>
  </r>
  <r>
    <s v="Great Lakes"/>
    <n v="3637"/>
    <s v="Mackinac Island, MI"/>
    <n v="4322"/>
    <x v="33"/>
    <x v="1503"/>
    <n v="0"/>
    <x v="0"/>
    <x v="0"/>
    <n v="48521"/>
  </r>
  <r>
    <s v="Great Lakes"/>
    <n v="3637"/>
    <s v="Mackinac Island, MI"/>
    <n v="7900"/>
    <x v="21"/>
    <x v="1504"/>
    <n v="0"/>
    <x v="0"/>
    <x v="0"/>
    <n v="25261"/>
  </r>
  <r>
    <s v="Great Lakes"/>
    <n v="3637"/>
    <s v="Mackinac Island, MI"/>
    <n v="4331"/>
    <x v="29"/>
    <x v="1505"/>
    <n v="0"/>
    <x v="0"/>
    <x v="0"/>
    <n v="13540"/>
  </r>
  <r>
    <s v="Great Lakes"/>
    <n v="3637"/>
    <s v="Mackinac Island, MI"/>
    <n v="5290"/>
    <x v="49"/>
    <x v="377"/>
    <n v="0"/>
    <x v="0"/>
    <x v="0"/>
    <n v="85"/>
  </r>
  <r>
    <s v="Internal"/>
    <n v="2265"/>
    <s v="Madison Parish Port, LA"/>
    <n v="6522"/>
    <x v="26"/>
    <x v="1506"/>
    <n v="0"/>
    <x v="0"/>
    <x v="0"/>
    <n v="217279"/>
  </r>
  <r>
    <s v="Internal"/>
    <n v="2265"/>
    <s v="Madison Parish Port, LA"/>
    <n v="6344"/>
    <x v="25"/>
    <x v="1507"/>
    <n v="0"/>
    <x v="0"/>
    <x v="0"/>
    <n v="208504"/>
  </r>
  <r>
    <s v="Internal"/>
    <n v="2265"/>
    <s v="Madison Parish Port, LA"/>
    <n v="4331"/>
    <x v="29"/>
    <x v="1508"/>
    <n v="0"/>
    <x v="0"/>
    <x v="0"/>
    <n v="125231"/>
  </r>
  <r>
    <s v="Internal"/>
    <n v="2265"/>
    <s v="Madison Parish Port, LA"/>
    <n v="4335"/>
    <x v="5"/>
    <x v="1509"/>
    <n v="0"/>
    <x v="0"/>
    <x v="0"/>
    <n v="111032"/>
  </r>
  <r>
    <s v="Internal"/>
    <n v="2265"/>
    <s v="Madison Parish Port, LA"/>
    <n v="4322"/>
    <x v="33"/>
    <x v="1510"/>
    <n v="0"/>
    <x v="0"/>
    <x v="0"/>
    <n v="85144"/>
  </r>
  <r>
    <s v="Internal"/>
    <n v="2265"/>
    <s v="Madison Parish Port, LA"/>
    <n v="3110"/>
    <x v="36"/>
    <x v="1511"/>
    <n v="0"/>
    <x v="0"/>
    <x v="0"/>
    <n v="61756"/>
  </r>
  <r>
    <s v="Internal"/>
    <n v="2265"/>
    <s v="Madison Parish Port, LA"/>
    <n v="6442"/>
    <x v="85"/>
    <x v="1512"/>
    <n v="0"/>
    <x v="0"/>
    <x v="0"/>
    <n v="11319"/>
  </r>
  <r>
    <s v="Internal"/>
    <n v="2265"/>
    <s v="Madison Parish Port, LA"/>
    <n v="6654"/>
    <x v="50"/>
    <x v="1513"/>
    <n v="0"/>
    <x v="0"/>
    <x v="0"/>
    <n v="10130"/>
  </r>
  <r>
    <s v="Internal"/>
    <n v="2265"/>
    <s v="Madison Parish Port, LA"/>
    <n v="5330"/>
    <x v="16"/>
    <x v="1514"/>
    <n v="0"/>
    <x v="0"/>
    <x v="0"/>
    <n v="3449"/>
  </r>
  <r>
    <s v="Internal"/>
    <n v="2265"/>
    <s v="Madison Parish Port, LA"/>
    <n v="5312"/>
    <x v="52"/>
    <x v="1515"/>
    <n v="0"/>
    <x v="0"/>
    <x v="0"/>
    <n v="1955"/>
  </r>
  <r>
    <s v="Internal"/>
    <n v="2265"/>
    <s v="Madison Parish Port, LA"/>
    <n v="3130"/>
    <x v="37"/>
    <x v="1516"/>
    <n v="0"/>
    <x v="0"/>
    <x v="0"/>
    <n v="1646"/>
  </r>
  <r>
    <s v="Internal"/>
    <n v="2265"/>
    <s v="Madison Parish Port, LA"/>
    <n v="2330"/>
    <x v="1"/>
    <x v="1517"/>
    <n v="0"/>
    <x v="0"/>
    <x v="0"/>
    <n v="1112"/>
  </r>
  <r>
    <s v="Coastal"/>
    <n v="2437"/>
    <s v="Manatee County Port, FL"/>
    <n v="4327"/>
    <x v="134"/>
    <x v="10"/>
    <n v="780951"/>
    <x v="1032"/>
    <x v="0"/>
    <n v="780951"/>
  </r>
  <r>
    <s v="Coastal"/>
    <n v="2437"/>
    <s v="Manatee County Port, FL"/>
    <n v="2211"/>
    <x v="0"/>
    <x v="1518"/>
    <n v="0"/>
    <x v="0"/>
    <x v="0"/>
    <n v="764685"/>
  </r>
  <r>
    <s v="Coastal"/>
    <n v="2437"/>
    <s v="Manatee County Port, FL"/>
    <n v="4331"/>
    <x v="29"/>
    <x v="10"/>
    <n v="673579"/>
    <x v="1033"/>
    <x v="0"/>
    <n v="673579"/>
  </r>
  <r>
    <s v="Coastal"/>
    <n v="2437"/>
    <s v="Manatee County Port, FL"/>
    <n v="6858"/>
    <x v="74"/>
    <x v="10"/>
    <n v="461264"/>
    <x v="1034"/>
    <x v="0"/>
    <n v="461264"/>
  </r>
  <r>
    <s v="Coastal"/>
    <n v="2437"/>
    <s v="Manatee County Port, FL"/>
    <n v="4322"/>
    <x v="33"/>
    <x v="10"/>
    <n v="360525"/>
    <x v="1035"/>
    <x v="0"/>
    <n v="360525"/>
  </r>
  <r>
    <s v="Coastal"/>
    <n v="2437"/>
    <s v="Manatee County Port, FL"/>
    <n v="2330"/>
    <x v="1"/>
    <x v="1519"/>
    <n v="14090"/>
    <x v="1036"/>
    <x v="0"/>
    <n v="220904"/>
  </r>
  <r>
    <s v="Coastal"/>
    <n v="2437"/>
    <s v="Manatee County Port, FL"/>
    <n v="6856"/>
    <x v="126"/>
    <x v="10"/>
    <n v="194757"/>
    <x v="1037"/>
    <x v="694"/>
    <n v="194757"/>
  </r>
  <r>
    <s v="Coastal"/>
    <n v="2437"/>
    <s v="Manatee County Port, FL"/>
    <n v="4225"/>
    <x v="10"/>
    <x v="10"/>
    <n v="161037"/>
    <x v="1038"/>
    <x v="0"/>
    <n v="161037"/>
  </r>
  <r>
    <s v="Coastal"/>
    <n v="2437"/>
    <s v="Manatee County Port, FL"/>
    <n v="6857"/>
    <x v="104"/>
    <x v="10"/>
    <n v="155242"/>
    <x v="1039"/>
    <x v="695"/>
    <n v="155242"/>
  </r>
  <r>
    <s v="Coastal"/>
    <n v="2437"/>
    <s v="Manatee County Port, FL"/>
    <n v="4189"/>
    <x v="65"/>
    <x v="10"/>
    <n v="117522"/>
    <x v="1040"/>
    <x v="0"/>
    <n v="117522"/>
  </r>
  <r>
    <s v="Coastal"/>
    <n v="2437"/>
    <s v="Manatee County Port, FL"/>
    <n v="4420"/>
    <x v="8"/>
    <x v="10"/>
    <n v="106621"/>
    <x v="0"/>
    <x v="696"/>
    <n v="106621"/>
  </r>
  <r>
    <s v="Coastal"/>
    <n v="2437"/>
    <s v="Manatee County Port, FL"/>
    <n v="3220"/>
    <x v="2"/>
    <x v="1520"/>
    <n v="1084"/>
    <x v="1041"/>
    <x v="0"/>
    <n v="86551"/>
  </r>
  <r>
    <s v="Coastal"/>
    <n v="2437"/>
    <s v="Manatee County Port, FL"/>
    <n v="2430"/>
    <x v="11"/>
    <x v="1521"/>
    <n v="0"/>
    <x v="0"/>
    <x v="0"/>
    <n v="86406"/>
  </r>
  <r>
    <s v="Coastal"/>
    <n v="2437"/>
    <s v="Manatee County Port, FL"/>
    <n v="4783"/>
    <x v="7"/>
    <x v="10"/>
    <n v="80809"/>
    <x v="1042"/>
    <x v="236"/>
    <n v="80809"/>
  </r>
  <r>
    <s v="Coastal"/>
    <n v="2437"/>
    <s v="Manatee County Port, FL"/>
    <n v="3276"/>
    <x v="12"/>
    <x v="10"/>
    <n v="79927"/>
    <x v="1043"/>
    <x v="0"/>
    <n v="79927"/>
  </r>
  <r>
    <s v="Coastal"/>
    <n v="2437"/>
    <s v="Manatee County Port, FL"/>
    <n v="5220"/>
    <x v="30"/>
    <x v="10"/>
    <n v="73856"/>
    <x v="1044"/>
    <x v="0"/>
    <n v="73856"/>
  </r>
  <r>
    <s v="Coastal"/>
    <n v="2437"/>
    <s v="Manatee County Port, FL"/>
    <n v="5540"/>
    <x v="64"/>
    <x v="10"/>
    <n v="73657"/>
    <x v="1045"/>
    <x v="0"/>
    <n v="73657"/>
  </r>
  <r>
    <s v="Coastal"/>
    <n v="2437"/>
    <s v="Manatee County Port, FL"/>
    <n v="5422"/>
    <x v="66"/>
    <x v="10"/>
    <n v="69593"/>
    <x v="1046"/>
    <x v="0"/>
    <n v="69593"/>
  </r>
  <r>
    <s v="Coastal"/>
    <n v="2437"/>
    <s v="Manatee County Port, FL"/>
    <n v="4860"/>
    <x v="31"/>
    <x v="10"/>
    <n v="56769"/>
    <x v="1047"/>
    <x v="0"/>
    <n v="56769"/>
  </r>
  <r>
    <s v="Coastal"/>
    <n v="2437"/>
    <s v="Manatee County Port, FL"/>
    <n v="2340"/>
    <x v="3"/>
    <x v="1522"/>
    <n v="21"/>
    <x v="154"/>
    <x v="0"/>
    <n v="55368"/>
  </r>
  <r>
    <s v="Coastal"/>
    <n v="2437"/>
    <s v="Manatee County Port, FL"/>
    <n v="4690"/>
    <x v="62"/>
    <x v="10"/>
    <n v="52911"/>
    <x v="1048"/>
    <x v="0"/>
    <n v="52911"/>
  </r>
  <r>
    <s v="Coastal"/>
    <n v="2437"/>
    <s v="Manatee County Port, FL"/>
    <n v="3190"/>
    <x v="38"/>
    <x v="10"/>
    <n v="48538"/>
    <x v="613"/>
    <x v="697"/>
    <n v="48538"/>
  </r>
  <r>
    <s v="Coastal"/>
    <n v="2437"/>
    <s v="Manatee County Port, FL"/>
    <n v="7500"/>
    <x v="60"/>
    <x v="10"/>
    <n v="39554"/>
    <x v="1049"/>
    <x v="698"/>
    <n v="39554"/>
  </r>
  <r>
    <s v="Coastal"/>
    <n v="2437"/>
    <s v="Manatee County Port, FL"/>
    <n v="5290"/>
    <x v="49"/>
    <x v="10"/>
    <n v="38766"/>
    <x v="1050"/>
    <x v="0"/>
    <n v="38766"/>
  </r>
  <r>
    <s v="Coastal"/>
    <n v="2437"/>
    <s v="Manatee County Port, FL"/>
    <n v="7120"/>
    <x v="71"/>
    <x v="10"/>
    <n v="20272"/>
    <x v="1051"/>
    <x v="699"/>
    <n v="20272"/>
  </r>
  <r>
    <s v="Coastal"/>
    <n v="2437"/>
    <s v="Manatee County Port, FL"/>
    <n v="6861"/>
    <x v="69"/>
    <x v="10"/>
    <n v="20251"/>
    <x v="1052"/>
    <x v="0"/>
    <n v="20251"/>
  </r>
  <r>
    <s v="Coastal"/>
    <n v="2437"/>
    <s v="Manatee County Port, FL"/>
    <n v="3130"/>
    <x v="37"/>
    <x v="10"/>
    <n v="18130"/>
    <x v="1053"/>
    <x v="0"/>
    <n v="18130"/>
  </r>
  <r>
    <s v="Coastal"/>
    <n v="2437"/>
    <s v="Manatee County Port, FL"/>
    <n v="7110"/>
    <x v="4"/>
    <x v="1523"/>
    <n v="15242"/>
    <x v="1054"/>
    <x v="700"/>
    <n v="15367"/>
  </r>
  <r>
    <s v="Coastal"/>
    <n v="2437"/>
    <s v="Manatee County Port, FL"/>
    <n v="3285"/>
    <x v="87"/>
    <x v="10"/>
    <n v="12193"/>
    <x v="1055"/>
    <x v="0"/>
    <n v="12193"/>
  </r>
  <r>
    <s v="Coastal"/>
    <n v="2437"/>
    <s v="Manatee County Port, FL"/>
    <n v="6654"/>
    <x v="50"/>
    <x v="10"/>
    <n v="11879"/>
    <x v="1056"/>
    <x v="0"/>
    <n v="11879"/>
  </r>
  <r>
    <s v="Coastal"/>
    <n v="2437"/>
    <s v="Manatee County Port, FL"/>
    <n v="9900"/>
    <x v="18"/>
    <x v="10"/>
    <n v="10434"/>
    <x v="1057"/>
    <x v="404"/>
    <n v="10434"/>
  </r>
  <r>
    <s v="Coastal"/>
    <n v="2437"/>
    <s v="Manatee County Port, FL"/>
    <n v="7900"/>
    <x v="21"/>
    <x v="10"/>
    <n v="8324"/>
    <x v="1058"/>
    <x v="231"/>
    <n v="8324"/>
  </r>
  <r>
    <s v="Coastal"/>
    <n v="2437"/>
    <s v="Manatee County Port, FL"/>
    <n v="5480"/>
    <x v="20"/>
    <x v="10"/>
    <n v="7079"/>
    <x v="1059"/>
    <x v="133"/>
    <n v="7079"/>
  </r>
  <r>
    <s v="Coastal"/>
    <n v="2437"/>
    <s v="Manatee County Port, FL"/>
    <n v="3110"/>
    <x v="36"/>
    <x v="10"/>
    <n v="6614"/>
    <x v="1030"/>
    <x v="0"/>
    <n v="6614"/>
  </r>
  <r>
    <s v="Coastal"/>
    <n v="2437"/>
    <s v="Manatee County Port, FL"/>
    <n v="5120"/>
    <x v="63"/>
    <x v="10"/>
    <n v="5955"/>
    <x v="1060"/>
    <x v="701"/>
    <n v="5955"/>
  </r>
  <r>
    <s v="Coastal"/>
    <n v="2437"/>
    <s v="Manatee County Port, FL"/>
    <n v="5360"/>
    <x v="94"/>
    <x v="10"/>
    <n v="5594"/>
    <x v="1061"/>
    <x v="0"/>
    <n v="5594"/>
  </r>
  <r>
    <s v="Coastal"/>
    <n v="2437"/>
    <s v="Manatee County Port, FL"/>
    <n v="7400"/>
    <x v="77"/>
    <x v="10"/>
    <n v="5111"/>
    <x v="1062"/>
    <x v="0"/>
    <n v="5111"/>
  </r>
  <r>
    <s v="Coastal"/>
    <n v="2437"/>
    <s v="Manatee County Port, FL"/>
    <n v="7600"/>
    <x v="68"/>
    <x v="10"/>
    <n v="4980"/>
    <x v="1063"/>
    <x v="702"/>
    <n v="4980"/>
  </r>
  <r>
    <s v="Coastal"/>
    <n v="2437"/>
    <s v="Manatee County Port, FL"/>
    <n v="5330"/>
    <x v="16"/>
    <x v="10"/>
    <n v="4928"/>
    <x v="1064"/>
    <x v="284"/>
    <n v="4928"/>
  </r>
  <r>
    <s v="Coastal"/>
    <n v="2437"/>
    <s v="Manatee County Port, FL"/>
    <n v="3275"/>
    <x v="47"/>
    <x v="10"/>
    <n v="3877"/>
    <x v="1065"/>
    <x v="0"/>
    <n v="3877"/>
  </r>
  <r>
    <s v="Coastal"/>
    <n v="2437"/>
    <s v="Manatee County Port, FL"/>
    <n v="6885"/>
    <x v="72"/>
    <x v="10"/>
    <n v="3603"/>
    <x v="1066"/>
    <x v="0"/>
    <n v="3603"/>
  </r>
  <r>
    <s v="Coastal"/>
    <n v="2437"/>
    <s v="Manatee County Port, FL"/>
    <n v="5370"/>
    <x v="81"/>
    <x v="1524"/>
    <n v="2575"/>
    <x v="1067"/>
    <x v="0"/>
    <n v="2743"/>
  </r>
  <r>
    <s v="Coastal"/>
    <n v="2437"/>
    <s v="Manatee County Port, FL"/>
    <n v="6899"/>
    <x v="114"/>
    <x v="10"/>
    <n v="2122"/>
    <x v="544"/>
    <x v="0"/>
    <n v="2122"/>
  </r>
  <r>
    <s v="Coastal"/>
    <n v="2437"/>
    <s v="Manatee County Port, FL"/>
    <n v="4680"/>
    <x v="70"/>
    <x v="10"/>
    <n v="1232"/>
    <x v="1068"/>
    <x v="0"/>
    <n v="1232"/>
  </r>
  <r>
    <s v="Coastal"/>
    <n v="2437"/>
    <s v="Manatee County Port, FL"/>
    <n v="6822"/>
    <x v="84"/>
    <x v="10"/>
    <n v="848"/>
    <x v="1069"/>
    <x v="0"/>
    <n v="848"/>
  </r>
  <r>
    <s v="Coastal"/>
    <n v="2437"/>
    <s v="Manatee County Port, FL"/>
    <n v="6889"/>
    <x v="42"/>
    <x v="10"/>
    <n v="701"/>
    <x v="1070"/>
    <x v="0"/>
    <n v="701"/>
  </r>
  <r>
    <s v="Coastal"/>
    <n v="2437"/>
    <s v="Manatee County Port, FL"/>
    <n v="5210"/>
    <x v="130"/>
    <x v="10"/>
    <n v="700"/>
    <x v="1071"/>
    <x v="0"/>
    <n v="700"/>
  </r>
  <r>
    <s v="Coastal"/>
    <n v="2437"/>
    <s v="Manatee County Port, FL"/>
    <n v="3299"/>
    <x v="79"/>
    <x v="10"/>
    <n v="526"/>
    <x v="1072"/>
    <x v="0"/>
    <n v="526"/>
  </r>
  <r>
    <s v="Coastal"/>
    <n v="2437"/>
    <s v="Manatee County Port, FL"/>
    <n v="6344"/>
    <x v="25"/>
    <x v="10"/>
    <n v="490"/>
    <x v="1073"/>
    <x v="0"/>
    <n v="490"/>
  </r>
  <r>
    <s v="Coastal"/>
    <n v="2437"/>
    <s v="Manatee County Port, FL"/>
    <n v="3219"/>
    <x v="19"/>
    <x v="10"/>
    <n v="481"/>
    <x v="1074"/>
    <x v="0"/>
    <n v="481"/>
  </r>
  <r>
    <s v="Coastal"/>
    <n v="2437"/>
    <s v="Manatee County Port, FL"/>
    <n v="7210"/>
    <x v="59"/>
    <x v="10"/>
    <n v="478"/>
    <x v="1075"/>
    <x v="703"/>
    <n v="478"/>
  </r>
  <r>
    <s v="Coastal"/>
    <n v="2437"/>
    <s v="Manatee County Port, FL"/>
    <n v="6891"/>
    <x v="93"/>
    <x v="10"/>
    <n v="458"/>
    <x v="1076"/>
    <x v="0"/>
    <n v="458"/>
  </r>
  <r>
    <s v="Coastal"/>
    <n v="2437"/>
    <s v="Manatee County Port, FL"/>
    <n v="6653"/>
    <x v="24"/>
    <x v="10"/>
    <n v="430"/>
    <x v="969"/>
    <x v="0"/>
    <n v="430"/>
  </r>
  <r>
    <s v="Coastal"/>
    <n v="2437"/>
    <s v="Manatee County Port, FL"/>
    <n v="4190"/>
    <x v="99"/>
    <x v="10"/>
    <n v="423"/>
    <x v="1077"/>
    <x v="0"/>
    <n v="423"/>
  </r>
  <r>
    <s v="Coastal"/>
    <n v="2437"/>
    <s v="Manatee County Port, FL"/>
    <n v="3286"/>
    <x v="57"/>
    <x v="10"/>
    <n v="345"/>
    <x v="404"/>
    <x v="0"/>
    <n v="345"/>
  </r>
  <r>
    <s v="Coastal"/>
    <n v="2437"/>
    <s v="Manatee County Port, FL"/>
    <n v="4310"/>
    <x v="96"/>
    <x v="10"/>
    <n v="328"/>
    <x v="1078"/>
    <x v="0"/>
    <n v="328"/>
  </r>
  <r>
    <s v="Coastal"/>
    <n v="2437"/>
    <s v="Manatee County Port, FL"/>
    <n v="6134"/>
    <x v="82"/>
    <x v="10"/>
    <n v="294"/>
    <x v="1079"/>
    <x v="0"/>
    <n v="294"/>
  </r>
  <r>
    <s v="Coastal"/>
    <n v="2437"/>
    <s v="Manatee County Port, FL"/>
    <n v="6747"/>
    <x v="78"/>
    <x v="10"/>
    <n v="290"/>
    <x v="1080"/>
    <x v="0"/>
    <n v="290"/>
  </r>
  <r>
    <s v="Coastal"/>
    <n v="2437"/>
    <s v="Manatee County Port, FL"/>
    <n v="7230"/>
    <x v="22"/>
    <x v="10"/>
    <n v="287"/>
    <x v="1081"/>
    <x v="284"/>
    <n v="287"/>
  </r>
  <r>
    <s v="Coastal"/>
    <n v="2437"/>
    <s v="Manatee County Port, FL"/>
    <n v="6590"/>
    <x v="23"/>
    <x v="10"/>
    <n v="231"/>
    <x v="298"/>
    <x v="0"/>
    <n v="231"/>
  </r>
  <r>
    <s v="Coastal"/>
    <n v="2437"/>
    <s v="Manatee County Port, FL"/>
    <n v="5312"/>
    <x v="52"/>
    <x v="10"/>
    <n v="216"/>
    <x v="1082"/>
    <x v="0"/>
    <n v="216"/>
  </r>
  <r>
    <s v="Coastal"/>
    <n v="2437"/>
    <s v="Manatee County Port, FL"/>
    <n v="5315"/>
    <x v="48"/>
    <x v="10"/>
    <n v="212"/>
    <x v="202"/>
    <x v="0"/>
    <n v="212"/>
  </r>
  <r>
    <s v="Coastal"/>
    <n v="2437"/>
    <s v="Manatee County Port, FL"/>
    <n v="3284"/>
    <x v="97"/>
    <x v="10"/>
    <n v="167"/>
    <x v="1083"/>
    <x v="0"/>
    <n v="167"/>
  </r>
  <r>
    <s v="Coastal"/>
    <n v="2437"/>
    <s v="Manatee County Port, FL"/>
    <n v="6888"/>
    <x v="109"/>
    <x v="10"/>
    <n v="162"/>
    <x v="596"/>
    <x v="0"/>
    <n v="162"/>
  </r>
  <r>
    <s v="Coastal"/>
    <n v="2437"/>
    <s v="Manatee County Port, FL"/>
    <n v="6781"/>
    <x v="128"/>
    <x v="10"/>
    <n v="146"/>
    <x v="183"/>
    <x v="0"/>
    <n v="146"/>
  </r>
  <r>
    <s v="Coastal"/>
    <n v="2437"/>
    <s v="Manatee County Port, FL"/>
    <n v="3230"/>
    <x v="80"/>
    <x v="10"/>
    <n v="132"/>
    <x v="293"/>
    <x v="0"/>
    <n v="132"/>
  </r>
  <r>
    <s v="Coastal"/>
    <n v="2437"/>
    <s v="Manatee County Port, FL"/>
    <n v="4782"/>
    <x v="45"/>
    <x v="10"/>
    <n v="82"/>
    <x v="1084"/>
    <x v="0"/>
    <n v="82"/>
  </r>
  <r>
    <s v="Coastal"/>
    <n v="2437"/>
    <s v="Manatee County Port, FL"/>
    <n v="3260"/>
    <x v="107"/>
    <x v="10"/>
    <n v="77"/>
    <x v="610"/>
    <x v="0"/>
    <n v="77"/>
  </r>
  <r>
    <s v="Coastal"/>
    <n v="2437"/>
    <s v="Manatee County Port, FL"/>
    <n v="3250"/>
    <x v="108"/>
    <x v="10"/>
    <n v="74"/>
    <x v="176"/>
    <x v="0"/>
    <n v="74"/>
  </r>
  <r>
    <s v="Coastal"/>
    <n v="2437"/>
    <s v="Manatee County Port, FL"/>
    <n v="5240"/>
    <x v="89"/>
    <x v="10"/>
    <n v="71"/>
    <x v="1085"/>
    <x v="0"/>
    <n v="71"/>
  </r>
  <r>
    <s v="Coastal"/>
    <n v="2437"/>
    <s v="Manatee County Port, FL"/>
    <n v="3279"/>
    <x v="58"/>
    <x v="10"/>
    <n v="69"/>
    <x v="1086"/>
    <x v="0"/>
    <n v="69"/>
  </r>
  <r>
    <s v="Coastal"/>
    <n v="2437"/>
    <s v="Manatee County Port, FL"/>
    <n v="6442"/>
    <x v="85"/>
    <x v="10"/>
    <n v="66"/>
    <x v="1087"/>
    <x v="0"/>
    <n v="66"/>
  </r>
  <r>
    <s v="Coastal"/>
    <n v="2437"/>
    <s v="Manatee County Port, FL"/>
    <n v="5190"/>
    <x v="83"/>
    <x v="10"/>
    <n v="57"/>
    <x v="450"/>
    <x v="0"/>
    <n v="57"/>
  </r>
  <r>
    <s v="Coastal"/>
    <n v="2437"/>
    <s v="Manatee County Port, FL"/>
    <n v="3240"/>
    <x v="53"/>
    <x v="10"/>
    <n v="52"/>
    <x v="309"/>
    <x v="0"/>
    <n v="52"/>
  </r>
  <r>
    <s v="Coastal"/>
    <n v="2437"/>
    <s v="Manatee County Port, FL"/>
    <n v="3293"/>
    <x v="122"/>
    <x v="10"/>
    <n v="43"/>
    <x v="0"/>
    <x v="704"/>
    <n v="43"/>
  </r>
  <r>
    <s v="Coastal"/>
    <n v="2437"/>
    <s v="Manatee County Port, FL"/>
    <n v="7220"/>
    <x v="103"/>
    <x v="10"/>
    <n v="33"/>
    <x v="555"/>
    <x v="0"/>
    <n v="33"/>
  </r>
  <r>
    <s v="Coastal"/>
    <n v="2437"/>
    <s v="Manatee County Port, FL"/>
    <n v="2100"/>
    <x v="35"/>
    <x v="10"/>
    <n v="20"/>
    <x v="416"/>
    <x v="0"/>
    <n v="20"/>
  </r>
  <r>
    <s v="Coastal"/>
    <n v="2437"/>
    <s v="Manatee County Port, FL"/>
    <n v="6817"/>
    <x v="119"/>
    <x v="10"/>
    <n v="15"/>
    <x v="612"/>
    <x v="0"/>
    <n v="15"/>
  </r>
  <r>
    <s v="Coastal"/>
    <n v="2437"/>
    <s v="Manatee County Port, FL"/>
    <n v="3283"/>
    <x v="111"/>
    <x v="10"/>
    <n v="14"/>
    <x v="211"/>
    <x v="0"/>
    <n v="14"/>
  </r>
  <r>
    <s v="Coastal"/>
    <n v="2437"/>
    <s v="Manatee County Port, FL"/>
    <n v="6835"/>
    <x v="92"/>
    <x v="10"/>
    <n v="11"/>
    <x v="14"/>
    <x v="0"/>
    <n v="11"/>
  </r>
  <r>
    <s v="Coastal"/>
    <n v="2437"/>
    <s v="Manatee County Port, FL"/>
    <n v="6522"/>
    <x v="26"/>
    <x v="10"/>
    <n v="10"/>
    <x v="312"/>
    <x v="0"/>
    <n v="10"/>
  </r>
  <r>
    <s v="Great Lakes"/>
    <n v="3782"/>
    <s v="Manistee, MI"/>
    <n v="4322"/>
    <x v="33"/>
    <x v="1525"/>
    <n v="0"/>
    <x v="0"/>
    <x v="0"/>
    <n v="98113"/>
  </r>
  <r>
    <s v="Great Lakes"/>
    <n v="3782"/>
    <s v="Manistee, MI"/>
    <n v="4783"/>
    <x v="7"/>
    <x v="1526"/>
    <n v="0"/>
    <x v="0"/>
    <x v="0"/>
    <n v="51755"/>
  </r>
  <r>
    <s v="Great Lakes"/>
    <n v="3782"/>
    <s v="Manistee, MI"/>
    <n v="4860"/>
    <x v="31"/>
    <x v="1527"/>
    <n v="0"/>
    <x v="0"/>
    <x v="0"/>
    <n v="37303"/>
  </r>
  <r>
    <s v="Great Lakes"/>
    <n v="3782"/>
    <s v="Manistee, MI"/>
    <n v="1100"/>
    <x v="32"/>
    <x v="1528"/>
    <n v="0"/>
    <x v="0"/>
    <x v="0"/>
    <n v="35331"/>
  </r>
  <r>
    <s v="Great Lakes"/>
    <n v="3782"/>
    <s v="Manistee, MI"/>
    <n v="4331"/>
    <x v="29"/>
    <x v="10"/>
    <n v="7496"/>
    <x v="1088"/>
    <x v="0"/>
    <n v="7496"/>
  </r>
  <r>
    <s v="Great Lakes"/>
    <n v="3760"/>
    <s v="Manitowoc Harbor Commission, WI"/>
    <n v="5220"/>
    <x v="30"/>
    <x v="1529"/>
    <n v="0"/>
    <x v="0"/>
    <x v="0"/>
    <n v="156907"/>
  </r>
  <r>
    <s v="Great Lakes"/>
    <n v="3760"/>
    <s v="Manitowoc Harbor Commission, WI"/>
    <n v="4310"/>
    <x v="96"/>
    <x v="1530"/>
    <n v="0"/>
    <x v="0"/>
    <x v="0"/>
    <n v="15205"/>
  </r>
  <r>
    <s v="Great Lakes"/>
    <n v="3760"/>
    <s v="Manitowoc Harbor Commission, WI"/>
    <n v="4322"/>
    <x v="33"/>
    <x v="1531"/>
    <n v="0"/>
    <x v="0"/>
    <x v="0"/>
    <n v="15080"/>
  </r>
  <r>
    <s v="Great Lakes"/>
    <n v="3760"/>
    <s v="Manitowoc Harbor Commission, WI"/>
    <n v="4335"/>
    <x v="5"/>
    <x v="1502"/>
    <n v="0"/>
    <x v="0"/>
    <x v="0"/>
    <n v="4903"/>
  </r>
  <r>
    <s v="Great Lakes"/>
    <n v="3760"/>
    <s v="Manitowoc Harbor Commission, WI"/>
    <n v="4420"/>
    <x v="8"/>
    <x v="1532"/>
    <n v="0"/>
    <x v="0"/>
    <x v="0"/>
    <n v="2050"/>
  </r>
  <r>
    <s v="Great Lakes"/>
    <n v="3212"/>
    <s v="Marblehead, OH"/>
    <n v="4322"/>
    <x v="33"/>
    <x v="1533"/>
    <n v="0"/>
    <x v="0"/>
    <x v="0"/>
    <n v="2494440"/>
  </r>
  <r>
    <s v="Great Lakes"/>
    <n v="3212"/>
    <s v="Marblehead, OH"/>
    <n v="4331"/>
    <x v="29"/>
    <x v="10"/>
    <n v="16500"/>
    <x v="1089"/>
    <x v="0"/>
    <n v="16500"/>
  </r>
  <r>
    <s v="Great Lakes"/>
    <n v="3500"/>
    <s v="Marine City, MI"/>
    <n v="4322"/>
    <x v="33"/>
    <x v="1534"/>
    <n v="0"/>
    <x v="0"/>
    <x v="0"/>
    <n v="1202240"/>
  </r>
  <r>
    <s v="Great Lakes"/>
    <n v="3500"/>
    <s v="Marine City, MI"/>
    <n v="4331"/>
    <x v="29"/>
    <x v="1535"/>
    <n v="8818"/>
    <x v="1090"/>
    <x v="0"/>
    <n v="19815"/>
  </r>
  <r>
    <s v="Great Lakes"/>
    <n v="3841"/>
    <s v="Marquette, MI"/>
    <n v="4410"/>
    <x v="34"/>
    <x v="1536"/>
    <n v="0"/>
    <x v="0"/>
    <x v="0"/>
    <n v="5687034"/>
  </r>
  <r>
    <s v="Great Lakes"/>
    <n v="3841"/>
    <s v="Marquette, MI"/>
    <n v="4322"/>
    <x v="33"/>
    <x v="1537"/>
    <n v="139940"/>
    <x v="1091"/>
    <x v="0"/>
    <n v="468136"/>
  </r>
  <r>
    <s v="Great Lakes"/>
    <n v="3841"/>
    <s v="Marquette, MI"/>
    <n v="4331"/>
    <x v="29"/>
    <x v="1538"/>
    <n v="0"/>
    <x v="0"/>
    <x v="0"/>
    <n v="236616"/>
  </r>
  <r>
    <s v="Great Lakes"/>
    <n v="3841"/>
    <s v="Marquette, MI"/>
    <n v="4782"/>
    <x v="45"/>
    <x v="10"/>
    <n v="57812"/>
    <x v="1092"/>
    <x v="0"/>
    <n v="57812"/>
  </r>
  <r>
    <s v="Great Lakes"/>
    <n v="3841"/>
    <s v="Marquette, MI"/>
    <n v="1100"/>
    <x v="32"/>
    <x v="1539"/>
    <n v="0"/>
    <x v="0"/>
    <x v="0"/>
    <n v="16628"/>
  </r>
  <r>
    <s v="Great Lakes"/>
    <n v="3512"/>
    <s v="Marysville, MI"/>
    <n v="4322"/>
    <x v="33"/>
    <x v="1540"/>
    <n v="13228"/>
    <x v="1093"/>
    <x v="0"/>
    <n v="662778"/>
  </r>
  <r>
    <s v="Great Lakes"/>
    <n v="3512"/>
    <s v="Marysville, MI"/>
    <n v="4782"/>
    <x v="45"/>
    <x v="10"/>
    <n v="86576"/>
    <x v="1094"/>
    <x v="0"/>
    <n v="86576"/>
  </r>
  <r>
    <s v="Great Lakes"/>
    <n v="3512"/>
    <s v="Marysville, MI"/>
    <n v="4331"/>
    <x v="29"/>
    <x v="10"/>
    <n v="80960"/>
    <x v="1095"/>
    <x v="0"/>
    <n v="80960"/>
  </r>
  <r>
    <s v="Great Lakes"/>
    <n v="3512"/>
    <s v="Marysville, MI"/>
    <n v="4860"/>
    <x v="31"/>
    <x v="10"/>
    <n v="8818"/>
    <x v="1090"/>
    <x v="0"/>
    <n v="8818"/>
  </r>
  <r>
    <s v="Internal"/>
    <n v="2316"/>
    <s v="Massac-Metropolis Port, IL"/>
    <n v="1100"/>
    <x v="32"/>
    <x v="1541"/>
    <n v="0"/>
    <x v="0"/>
    <x v="0"/>
    <n v="878101"/>
  </r>
  <r>
    <s v="Internal"/>
    <n v="2316"/>
    <s v="Massac-Metropolis Port, IL"/>
    <n v="4331"/>
    <x v="29"/>
    <x v="1542"/>
    <n v="0"/>
    <x v="0"/>
    <x v="0"/>
    <n v="641827"/>
  </r>
  <r>
    <s v="Internal"/>
    <n v="2316"/>
    <s v="Massac-Metropolis Port, IL"/>
    <n v="5220"/>
    <x v="30"/>
    <x v="1543"/>
    <n v="0"/>
    <x v="0"/>
    <x v="0"/>
    <n v="334044"/>
  </r>
  <r>
    <s v="Internal"/>
    <n v="2316"/>
    <s v="Massac-Metropolis Port, IL"/>
    <n v="3110"/>
    <x v="36"/>
    <x v="1544"/>
    <n v="0"/>
    <x v="0"/>
    <x v="0"/>
    <n v="67690"/>
  </r>
  <r>
    <s v="Internal"/>
    <n v="2316"/>
    <s v="Massac-Metropolis Port, IL"/>
    <n v="3130"/>
    <x v="37"/>
    <x v="1545"/>
    <n v="0"/>
    <x v="0"/>
    <x v="0"/>
    <n v="50028"/>
  </r>
  <r>
    <s v="Internal"/>
    <n v="2316"/>
    <s v="Massac-Metropolis Port, IL"/>
    <n v="4420"/>
    <x v="8"/>
    <x v="1546"/>
    <n v="0"/>
    <x v="0"/>
    <x v="0"/>
    <n v="40993"/>
  </r>
  <r>
    <s v="Internal"/>
    <n v="2316"/>
    <s v="Massac-Metropolis Port, IL"/>
    <n v="4783"/>
    <x v="7"/>
    <x v="1547"/>
    <n v="0"/>
    <x v="0"/>
    <x v="0"/>
    <n v="39743"/>
  </r>
  <r>
    <s v="Internal"/>
    <n v="2316"/>
    <s v="Massac-Metropolis Port, IL"/>
    <n v="4860"/>
    <x v="31"/>
    <x v="1548"/>
    <n v="0"/>
    <x v="0"/>
    <x v="0"/>
    <n v="37851"/>
  </r>
  <r>
    <s v="Internal"/>
    <n v="2316"/>
    <s v="Massac-Metropolis Port, IL"/>
    <n v="2540"/>
    <x v="15"/>
    <x v="1549"/>
    <n v="0"/>
    <x v="0"/>
    <x v="0"/>
    <n v="23408"/>
  </r>
  <r>
    <s v="Internal"/>
    <n v="2316"/>
    <s v="Massac-Metropolis Port, IL"/>
    <n v="3190"/>
    <x v="38"/>
    <x v="1550"/>
    <n v="0"/>
    <x v="0"/>
    <x v="0"/>
    <n v="17746"/>
  </r>
  <r>
    <s v="Internal"/>
    <n v="2316"/>
    <s v="Massac-Metropolis Port, IL"/>
    <n v="3120"/>
    <x v="41"/>
    <x v="1551"/>
    <n v="0"/>
    <x v="0"/>
    <x v="0"/>
    <n v="4746"/>
  </r>
  <r>
    <s v="Coastal"/>
    <n v="2154"/>
    <s v="Mayaguez, PR"/>
    <n v="6782"/>
    <x v="27"/>
    <x v="10"/>
    <n v="35284"/>
    <x v="1096"/>
    <x v="0"/>
    <n v="35284"/>
  </r>
  <r>
    <s v="Coastal"/>
    <n v="2154"/>
    <s v="Mayaguez, PR"/>
    <n v="6865"/>
    <x v="75"/>
    <x v="10"/>
    <n v="17657"/>
    <x v="1097"/>
    <x v="0"/>
    <n v="17657"/>
  </r>
  <r>
    <s v="Coastal"/>
    <n v="2154"/>
    <s v="Mayaguez, PR"/>
    <n v="2330"/>
    <x v="1"/>
    <x v="1552"/>
    <n v="0"/>
    <x v="0"/>
    <x v="0"/>
    <n v="10385"/>
  </r>
  <r>
    <s v="Coastal"/>
    <n v="2154"/>
    <s v="Mayaguez, PR"/>
    <n v="6344"/>
    <x v="25"/>
    <x v="10"/>
    <n v="9921"/>
    <x v="983"/>
    <x v="0"/>
    <n v="9921"/>
  </r>
  <r>
    <s v="Coastal"/>
    <n v="2154"/>
    <s v="Mayaguez, PR"/>
    <n v="6654"/>
    <x v="50"/>
    <x v="10"/>
    <n v="5512"/>
    <x v="9"/>
    <x v="0"/>
    <n v="5512"/>
  </r>
  <r>
    <s v="Internal"/>
    <n v="2294"/>
    <s v="Memphis-Shelby County Port, TN"/>
    <n v="4322"/>
    <x v="33"/>
    <x v="1553"/>
    <n v="0"/>
    <x v="0"/>
    <x v="0"/>
    <n v="1684485"/>
  </r>
  <r>
    <s v="Internal"/>
    <n v="2294"/>
    <s v="Memphis-Shelby County Port, TN"/>
    <n v="4331"/>
    <x v="29"/>
    <x v="1554"/>
    <n v="0"/>
    <x v="0"/>
    <x v="0"/>
    <n v="1144005"/>
  </r>
  <r>
    <s v="Internal"/>
    <n v="2294"/>
    <s v="Memphis-Shelby County Port, TN"/>
    <n v="2211"/>
    <x v="0"/>
    <x v="1555"/>
    <n v="0"/>
    <x v="0"/>
    <x v="0"/>
    <n v="970792"/>
  </r>
  <r>
    <s v="Internal"/>
    <n v="2294"/>
    <s v="Memphis-Shelby County Port, TN"/>
    <n v="5220"/>
    <x v="30"/>
    <x v="1556"/>
    <n v="0"/>
    <x v="0"/>
    <x v="0"/>
    <n v="913319"/>
  </r>
  <r>
    <s v="Internal"/>
    <n v="2294"/>
    <s v="Memphis-Shelby County Port, TN"/>
    <n v="6522"/>
    <x v="26"/>
    <x v="1557"/>
    <n v="0"/>
    <x v="0"/>
    <x v="0"/>
    <n v="631700"/>
  </r>
  <r>
    <s v="Internal"/>
    <n v="2294"/>
    <s v="Memphis-Shelby County Port, TN"/>
    <n v="2430"/>
    <x v="11"/>
    <x v="1558"/>
    <n v="0"/>
    <x v="0"/>
    <x v="0"/>
    <n v="420515"/>
  </r>
  <r>
    <s v="Internal"/>
    <n v="2294"/>
    <s v="Memphis-Shelby County Port, TN"/>
    <n v="6344"/>
    <x v="25"/>
    <x v="1559"/>
    <n v="0"/>
    <x v="0"/>
    <x v="0"/>
    <n v="400593"/>
  </r>
  <r>
    <s v="Internal"/>
    <n v="2294"/>
    <s v="Memphis-Shelby County Port, TN"/>
    <n v="3220"/>
    <x v="2"/>
    <x v="1560"/>
    <n v="0"/>
    <x v="0"/>
    <x v="0"/>
    <n v="340797"/>
  </r>
  <r>
    <s v="Internal"/>
    <n v="2294"/>
    <s v="Memphis-Shelby County Port, TN"/>
    <n v="2330"/>
    <x v="1"/>
    <x v="1561"/>
    <n v="0"/>
    <x v="0"/>
    <x v="0"/>
    <n v="278822"/>
  </r>
  <r>
    <s v="Internal"/>
    <n v="2294"/>
    <s v="Memphis-Shelby County Port, TN"/>
    <n v="3110"/>
    <x v="36"/>
    <x v="1562"/>
    <n v="0"/>
    <x v="0"/>
    <x v="0"/>
    <n v="266632"/>
  </r>
  <r>
    <s v="Internal"/>
    <n v="2294"/>
    <s v="Memphis-Shelby County Port, TN"/>
    <n v="4420"/>
    <x v="8"/>
    <x v="1563"/>
    <n v="0"/>
    <x v="0"/>
    <x v="0"/>
    <n v="242463"/>
  </r>
  <r>
    <s v="Internal"/>
    <n v="2294"/>
    <s v="Memphis-Shelby County Port, TN"/>
    <n v="2221"/>
    <x v="9"/>
    <x v="1564"/>
    <n v="0"/>
    <x v="0"/>
    <x v="0"/>
    <n v="242338"/>
  </r>
  <r>
    <s v="Internal"/>
    <n v="2294"/>
    <s v="Memphis-Shelby County Port, TN"/>
    <n v="2340"/>
    <x v="3"/>
    <x v="1565"/>
    <n v="0"/>
    <x v="0"/>
    <x v="0"/>
    <n v="193588"/>
  </r>
  <r>
    <s v="Internal"/>
    <n v="2294"/>
    <s v="Memphis-Shelby County Port, TN"/>
    <n v="3273"/>
    <x v="46"/>
    <x v="1566"/>
    <n v="0"/>
    <x v="0"/>
    <x v="0"/>
    <n v="102500"/>
  </r>
  <r>
    <s v="Internal"/>
    <n v="2294"/>
    <s v="Memphis-Shelby County Port, TN"/>
    <n v="3260"/>
    <x v="107"/>
    <x v="1567"/>
    <n v="0"/>
    <x v="0"/>
    <x v="0"/>
    <n v="101375"/>
  </r>
  <r>
    <s v="Internal"/>
    <n v="2294"/>
    <s v="Memphis-Shelby County Port, TN"/>
    <n v="3130"/>
    <x v="37"/>
    <x v="1568"/>
    <n v="0"/>
    <x v="0"/>
    <x v="0"/>
    <n v="101221"/>
  </r>
  <r>
    <s v="Internal"/>
    <n v="2294"/>
    <s v="Memphis-Shelby County Port, TN"/>
    <n v="2429"/>
    <x v="17"/>
    <x v="1569"/>
    <n v="0"/>
    <x v="0"/>
    <x v="0"/>
    <n v="96362"/>
  </r>
  <r>
    <s v="Internal"/>
    <n v="2294"/>
    <s v="Memphis-Shelby County Port, TN"/>
    <n v="6442"/>
    <x v="85"/>
    <x v="1570"/>
    <n v="0"/>
    <x v="0"/>
    <x v="0"/>
    <n v="86570"/>
  </r>
  <r>
    <s v="Internal"/>
    <n v="2294"/>
    <s v="Memphis-Shelby County Port, TN"/>
    <n v="4335"/>
    <x v="5"/>
    <x v="1571"/>
    <n v="0"/>
    <x v="0"/>
    <x v="0"/>
    <n v="79180"/>
  </r>
  <r>
    <s v="Internal"/>
    <n v="2294"/>
    <s v="Memphis-Shelby County Port, TN"/>
    <n v="5330"/>
    <x v="16"/>
    <x v="1572"/>
    <n v="0"/>
    <x v="0"/>
    <x v="0"/>
    <n v="78838"/>
  </r>
  <r>
    <s v="Internal"/>
    <n v="2294"/>
    <s v="Memphis-Shelby County Port, TN"/>
    <n v="3274"/>
    <x v="86"/>
    <x v="1573"/>
    <n v="0"/>
    <x v="0"/>
    <x v="0"/>
    <n v="78225"/>
  </r>
  <r>
    <s v="Internal"/>
    <n v="2294"/>
    <s v="Memphis-Shelby County Port, TN"/>
    <n v="5390"/>
    <x v="44"/>
    <x v="1574"/>
    <n v="0"/>
    <x v="0"/>
    <x v="0"/>
    <n v="70547"/>
  </r>
  <r>
    <s v="Internal"/>
    <n v="2294"/>
    <s v="Memphis-Shelby County Port, TN"/>
    <n v="6653"/>
    <x v="24"/>
    <x v="1575"/>
    <n v="0"/>
    <x v="0"/>
    <x v="0"/>
    <n v="67330"/>
  </r>
  <r>
    <s v="Internal"/>
    <n v="2294"/>
    <s v="Memphis-Shelby County Port, TN"/>
    <n v="5315"/>
    <x v="48"/>
    <x v="1576"/>
    <n v="0"/>
    <x v="0"/>
    <x v="0"/>
    <n v="63863"/>
  </r>
  <r>
    <s v="Internal"/>
    <n v="2294"/>
    <s v="Memphis-Shelby County Port, TN"/>
    <n v="6865"/>
    <x v="75"/>
    <x v="1577"/>
    <n v="0"/>
    <x v="0"/>
    <x v="0"/>
    <n v="54641"/>
  </r>
  <r>
    <s v="Internal"/>
    <n v="2294"/>
    <s v="Memphis-Shelby County Port, TN"/>
    <n v="6241"/>
    <x v="28"/>
    <x v="1578"/>
    <n v="0"/>
    <x v="0"/>
    <x v="0"/>
    <n v="52510"/>
  </r>
  <r>
    <s v="Internal"/>
    <n v="2294"/>
    <s v="Memphis-Shelby County Port, TN"/>
    <n v="6447"/>
    <x v="132"/>
    <x v="1579"/>
    <n v="0"/>
    <x v="0"/>
    <x v="0"/>
    <n v="51729"/>
  </r>
  <r>
    <s v="Internal"/>
    <n v="2294"/>
    <s v="Memphis-Shelby County Port, TN"/>
    <n v="5360"/>
    <x v="94"/>
    <x v="1580"/>
    <n v="0"/>
    <x v="0"/>
    <x v="0"/>
    <n v="41692"/>
  </r>
  <r>
    <s v="Internal"/>
    <n v="2294"/>
    <s v="Memphis-Shelby County Port, TN"/>
    <n v="5312"/>
    <x v="52"/>
    <x v="1581"/>
    <n v="0"/>
    <x v="0"/>
    <x v="0"/>
    <n v="40088"/>
  </r>
  <r>
    <s v="Internal"/>
    <n v="2294"/>
    <s v="Memphis-Shelby County Port, TN"/>
    <n v="3120"/>
    <x v="41"/>
    <x v="1582"/>
    <n v="0"/>
    <x v="0"/>
    <x v="0"/>
    <n v="33504"/>
  </r>
  <r>
    <s v="Internal"/>
    <n v="2294"/>
    <s v="Memphis-Shelby County Port, TN"/>
    <n v="3230"/>
    <x v="80"/>
    <x v="1583"/>
    <n v="0"/>
    <x v="0"/>
    <x v="0"/>
    <n v="26870"/>
  </r>
  <r>
    <s v="Internal"/>
    <n v="2294"/>
    <s v="Memphis-Shelby County Port, TN"/>
    <n v="6861"/>
    <x v="69"/>
    <x v="1584"/>
    <n v="0"/>
    <x v="0"/>
    <x v="0"/>
    <n v="22821"/>
  </r>
  <r>
    <s v="Internal"/>
    <n v="2294"/>
    <s v="Memphis-Shelby County Port, TN"/>
    <n v="3190"/>
    <x v="38"/>
    <x v="1585"/>
    <n v="0"/>
    <x v="0"/>
    <x v="0"/>
    <n v="18721"/>
  </r>
  <r>
    <s v="Internal"/>
    <n v="2294"/>
    <s v="Memphis-Shelby County Port, TN"/>
    <n v="3276"/>
    <x v="12"/>
    <x v="1586"/>
    <n v="0"/>
    <x v="0"/>
    <x v="0"/>
    <n v="12215"/>
  </r>
  <r>
    <s v="Internal"/>
    <n v="2294"/>
    <s v="Memphis-Shelby County Port, TN"/>
    <n v="4670"/>
    <x v="90"/>
    <x v="1587"/>
    <n v="0"/>
    <x v="0"/>
    <x v="0"/>
    <n v="9942"/>
  </r>
  <r>
    <s v="Internal"/>
    <n v="2294"/>
    <s v="Memphis-Shelby County Port, TN"/>
    <n v="6782"/>
    <x v="27"/>
    <x v="1588"/>
    <n v="0"/>
    <x v="0"/>
    <x v="0"/>
    <n v="9562"/>
  </r>
  <r>
    <s v="Internal"/>
    <n v="2294"/>
    <s v="Memphis-Shelby County Port, TN"/>
    <n v="4410"/>
    <x v="34"/>
    <x v="1589"/>
    <n v="0"/>
    <x v="0"/>
    <x v="0"/>
    <n v="6711"/>
  </r>
  <r>
    <s v="Internal"/>
    <n v="2294"/>
    <s v="Memphis-Shelby County Port, TN"/>
    <n v="4860"/>
    <x v="31"/>
    <x v="1590"/>
    <n v="0"/>
    <x v="0"/>
    <x v="0"/>
    <n v="6004"/>
  </r>
  <r>
    <s v="Internal"/>
    <n v="2294"/>
    <s v="Memphis-Shelby County Port, TN"/>
    <n v="4782"/>
    <x v="45"/>
    <x v="1591"/>
    <n v="0"/>
    <x v="0"/>
    <x v="0"/>
    <n v="5681"/>
  </r>
  <r>
    <s v="Internal"/>
    <n v="2294"/>
    <s v="Memphis-Shelby County Port, TN"/>
    <n v="4783"/>
    <x v="7"/>
    <x v="1592"/>
    <n v="0"/>
    <x v="0"/>
    <x v="0"/>
    <n v="5023"/>
  </r>
  <r>
    <s v="Internal"/>
    <n v="2294"/>
    <s v="Memphis-Shelby County Port, TN"/>
    <n v="4225"/>
    <x v="10"/>
    <x v="1593"/>
    <n v="0"/>
    <x v="0"/>
    <x v="0"/>
    <n v="4762"/>
  </r>
  <r>
    <s v="Internal"/>
    <n v="2294"/>
    <s v="Memphis-Shelby County Port, TN"/>
    <n v="2100"/>
    <x v="35"/>
    <x v="1594"/>
    <n v="0"/>
    <x v="0"/>
    <x v="0"/>
    <n v="3158"/>
  </r>
  <r>
    <s v="Internal"/>
    <n v="2294"/>
    <s v="Memphis-Shelby County Port, TN"/>
    <n v="3275"/>
    <x v="47"/>
    <x v="1595"/>
    <n v="0"/>
    <x v="0"/>
    <x v="0"/>
    <n v="2816"/>
  </r>
  <r>
    <s v="Internal"/>
    <n v="2294"/>
    <s v="Memphis-Shelby County Port, TN"/>
    <n v="4900"/>
    <x v="14"/>
    <x v="1596"/>
    <n v="0"/>
    <x v="0"/>
    <x v="0"/>
    <n v="1758"/>
  </r>
  <r>
    <s v="Internal"/>
    <n v="2294"/>
    <s v="Memphis-Shelby County Port, TN"/>
    <n v="4680"/>
    <x v="70"/>
    <x v="1597"/>
    <n v="0"/>
    <x v="0"/>
    <x v="0"/>
    <n v="1604"/>
  </r>
  <r>
    <s v="Internal"/>
    <n v="2294"/>
    <s v="Memphis-Shelby County Port, TN"/>
    <n v="2540"/>
    <x v="15"/>
    <x v="1598"/>
    <n v="0"/>
    <x v="0"/>
    <x v="0"/>
    <n v="1401"/>
  </r>
  <r>
    <s v="Internal"/>
    <n v="2294"/>
    <s v="Memphis-Shelby County Port, TN"/>
    <n v="1200"/>
    <x v="43"/>
    <x v="1599"/>
    <n v="0"/>
    <x v="0"/>
    <x v="0"/>
    <n v="1271"/>
  </r>
  <r>
    <s v="Internal"/>
    <n v="2294"/>
    <s v="Memphis-Shelby County Port, TN"/>
    <n v="5190"/>
    <x v="83"/>
    <x v="1600"/>
    <n v="0"/>
    <x v="0"/>
    <x v="0"/>
    <n v="687"/>
  </r>
  <r>
    <s v="Internal"/>
    <n v="2294"/>
    <s v="Memphis-Shelby County Port, TN"/>
    <n v="5480"/>
    <x v="20"/>
    <x v="1601"/>
    <n v="0"/>
    <x v="0"/>
    <x v="0"/>
    <n v="582"/>
  </r>
  <r>
    <s v="Coastal"/>
    <n v="4878"/>
    <s v="Metlakatla, AK"/>
    <n v="7900"/>
    <x v="21"/>
    <x v="1602"/>
    <n v="0"/>
    <x v="0"/>
    <x v="0"/>
    <n v="1310"/>
  </r>
  <r>
    <s v="Coastal"/>
    <n v="4878"/>
    <s v="Metlakatla, AK"/>
    <n v="7400"/>
    <x v="77"/>
    <x v="838"/>
    <n v="0"/>
    <x v="0"/>
    <x v="0"/>
    <n v="166"/>
  </r>
  <r>
    <s v="Internal"/>
    <n v="2306"/>
    <s v="Mid-America Port, IA, IL and MO"/>
    <n v="6344"/>
    <x v="25"/>
    <x v="1603"/>
    <n v="0"/>
    <x v="0"/>
    <x v="0"/>
    <n v="6476238"/>
  </r>
  <r>
    <s v="Internal"/>
    <n v="2306"/>
    <s v="Mid-America Port, IA, IL and MO"/>
    <n v="6522"/>
    <x v="26"/>
    <x v="1604"/>
    <n v="0"/>
    <x v="0"/>
    <x v="0"/>
    <n v="2544955"/>
  </r>
  <r>
    <s v="Internal"/>
    <n v="2306"/>
    <s v="Mid-America Port, IA, IL and MO"/>
    <n v="6590"/>
    <x v="23"/>
    <x v="1605"/>
    <n v="0"/>
    <x v="0"/>
    <x v="0"/>
    <n v="1093650"/>
  </r>
  <r>
    <s v="Internal"/>
    <n v="2306"/>
    <s v="Mid-America Port, IA, IL and MO"/>
    <n v="5220"/>
    <x v="30"/>
    <x v="1606"/>
    <n v="0"/>
    <x v="0"/>
    <x v="0"/>
    <n v="1069121"/>
  </r>
  <r>
    <s v="Internal"/>
    <n v="2306"/>
    <s v="Mid-America Port, IA, IL and MO"/>
    <n v="5312"/>
    <x v="52"/>
    <x v="1607"/>
    <n v="0"/>
    <x v="0"/>
    <x v="0"/>
    <n v="367533"/>
  </r>
  <r>
    <s v="Internal"/>
    <n v="2306"/>
    <s v="Mid-America Port, IA, IL and MO"/>
    <n v="1100"/>
    <x v="32"/>
    <x v="1608"/>
    <n v="0"/>
    <x v="0"/>
    <x v="0"/>
    <n v="291204"/>
  </r>
  <r>
    <s v="Internal"/>
    <n v="2306"/>
    <s v="Mid-America Port, IA, IL and MO"/>
    <n v="3190"/>
    <x v="38"/>
    <x v="1609"/>
    <n v="0"/>
    <x v="0"/>
    <x v="0"/>
    <n v="209006"/>
  </r>
  <r>
    <s v="Internal"/>
    <n v="2306"/>
    <s v="Mid-America Port, IA, IL and MO"/>
    <n v="3110"/>
    <x v="36"/>
    <x v="256"/>
    <n v="0"/>
    <x v="0"/>
    <x v="0"/>
    <n v="202942"/>
  </r>
  <r>
    <s v="Internal"/>
    <n v="2306"/>
    <s v="Mid-America Port, IA, IL and MO"/>
    <n v="6653"/>
    <x v="24"/>
    <x v="1610"/>
    <n v="0"/>
    <x v="0"/>
    <x v="0"/>
    <n v="175621"/>
  </r>
  <r>
    <s v="Internal"/>
    <n v="2306"/>
    <s v="Mid-America Port, IA, IL and MO"/>
    <n v="3273"/>
    <x v="46"/>
    <x v="1611"/>
    <n v="0"/>
    <x v="0"/>
    <x v="0"/>
    <n v="165512"/>
  </r>
  <r>
    <s v="Internal"/>
    <n v="2306"/>
    <s v="Mid-America Port, IA, IL and MO"/>
    <n v="3130"/>
    <x v="37"/>
    <x v="1612"/>
    <n v="0"/>
    <x v="0"/>
    <x v="0"/>
    <n v="153430"/>
  </r>
  <r>
    <s v="Internal"/>
    <n v="2306"/>
    <s v="Mid-America Port, IA, IL and MO"/>
    <n v="6241"/>
    <x v="28"/>
    <x v="1613"/>
    <n v="0"/>
    <x v="0"/>
    <x v="0"/>
    <n v="122634"/>
  </r>
  <r>
    <s v="Internal"/>
    <n v="2306"/>
    <s v="Mid-America Port, IA, IL and MO"/>
    <n v="4783"/>
    <x v="7"/>
    <x v="1614"/>
    <n v="0"/>
    <x v="0"/>
    <x v="0"/>
    <n v="112400"/>
  </r>
  <r>
    <s v="Internal"/>
    <n v="2306"/>
    <s v="Mid-America Port, IA, IL and MO"/>
    <n v="6782"/>
    <x v="27"/>
    <x v="1615"/>
    <n v="0"/>
    <x v="0"/>
    <x v="0"/>
    <n v="105747"/>
  </r>
  <r>
    <s v="Internal"/>
    <n v="2306"/>
    <s v="Mid-America Port, IA, IL and MO"/>
    <n v="4322"/>
    <x v="33"/>
    <x v="1616"/>
    <n v="0"/>
    <x v="0"/>
    <x v="0"/>
    <n v="105399"/>
  </r>
  <r>
    <s v="Internal"/>
    <n v="2306"/>
    <s v="Mid-America Port, IA, IL and MO"/>
    <n v="2540"/>
    <x v="15"/>
    <x v="1617"/>
    <n v="0"/>
    <x v="0"/>
    <x v="0"/>
    <n v="67869"/>
  </r>
  <r>
    <s v="Internal"/>
    <n v="2306"/>
    <s v="Mid-America Port, IA, IL and MO"/>
    <n v="4670"/>
    <x v="90"/>
    <x v="1618"/>
    <n v="0"/>
    <x v="0"/>
    <x v="0"/>
    <n v="61347"/>
  </r>
  <r>
    <s v="Internal"/>
    <n v="2306"/>
    <s v="Mid-America Port, IA, IL and MO"/>
    <n v="2430"/>
    <x v="11"/>
    <x v="1619"/>
    <n v="0"/>
    <x v="0"/>
    <x v="0"/>
    <n v="41258"/>
  </r>
  <r>
    <s v="Internal"/>
    <n v="2306"/>
    <s v="Mid-America Port, IA, IL and MO"/>
    <n v="3120"/>
    <x v="41"/>
    <x v="1620"/>
    <n v="0"/>
    <x v="0"/>
    <x v="0"/>
    <n v="39826"/>
  </r>
  <r>
    <s v="Internal"/>
    <n v="2306"/>
    <s v="Mid-America Port, IA, IL and MO"/>
    <n v="3276"/>
    <x v="12"/>
    <x v="1621"/>
    <n v="0"/>
    <x v="0"/>
    <x v="0"/>
    <n v="26917"/>
  </r>
  <r>
    <s v="Internal"/>
    <n v="2306"/>
    <s v="Mid-America Port, IA, IL and MO"/>
    <n v="5320"/>
    <x v="13"/>
    <x v="1622"/>
    <n v="0"/>
    <x v="0"/>
    <x v="0"/>
    <n v="16150"/>
  </r>
  <r>
    <s v="Internal"/>
    <n v="2306"/>
    <s v="Mid-America Port, IA, IL and MO"/>
    <n v="3219"/>
    <x v="19"/>
    <x v="1623"/>
    <n v="0"/>
    <x v="0"/>
    <x v="0"/>
    <n v="13714"/>
  </r>
  <r>
    <s v="Internal"/>
    <n v="2306"/>
    <s v="Mid-America Port, IA, IL and MO"/>
    <n v="4650"/>
    <x v="67"/>
    <x v="1624"/>
    <n v="0"/>
    <x v="0"/>
    <x v="0"/>
    <n v="12985"/>
  </r>
  <r>
    <s v="Internal"/>
    <n v="2306"/>
    <s v="Mid-America Port, IA, IL and MO"/>
    <n v="4410"/>
    <x v="34"/>
    <x v="1625"/>
    <n v="0"/>
    <x v="0"/>
    <x v="0"/>
    <n v="10568"/>
  </r>
  <r>
    <s v="Internal"/>
    <n v="2306"/>
    <s v="Mid-America Port, IA, IL and MO"/>
    <n v="2330"/>
    <x v="1"/>
    <x v="1626"/>
    <n v="0"/>
    <x v="0"/>
    <x v="0"/>
    <n v="9877"/>
  </r>
  <r>
    <s v="Internal"/>
    <n v="2306"/>
    <s v="Mid-America Port, IA, IL and MO"/>
    <n v="6654"/>
    <x v="50"/>
    <x v="1627"/>
    <n v="0"/>
    <x v="0"/>
    <x v="0"/>
    <n v="4729"/>
  </r>
  <r>
    <s v="Internal"/>
    <n v="2306"/>
    <s v="Mid-America Port, IA, IL and MO"/>
    <n v="4331"/>
    <x v="29"/>
    <x v="1628"/>
    <n v="0"/>
    <x v="0"/>
    <x v="0"/>
    <n v="3980"/>
  </r>
  <r>
    <s v="Internal"/>
    <n v="2306"/>
    <s v="Mid-America Port, IA, IL and MO"/>
    <n v="2340"/>
    <x v="3"/>
    <x v="1629"/>
    <n v="0"/>
    <x v="0"/>
    <x v="0"/>
    <n v="3808"/>
  </r>
  <r>
    <s v="Internal"/>
    <n v="2306"/>
    <s v="Mid-America Port, IA, IL and MO"/>
    <n v="4900"/>
    <x v="14"/>
    <x v="1630"/>
    <n v="0"/>
    <x v="0"/>
    <x v="0"/>
    <n v="3242"/>
  </r>
  <r>
    <s v="Internal"/>
    <n v="2306"/>
    <s v="Mid-America Port, IA, IL and MO"/>
    <n v="3275"/>
    <x v="47"/>
    <x v="1631"/>
    <n v="0"/>
    <x v="0"/>
    <x v="0"/>
    <n v="3171"/>
  </r>
  <r>
    <s v="Internal"/>
    <n v="2306"/>
    <s v="Mid-America Port, IA, IL and MO"/>
    <n v="5315"/>
    <x v="48"/>
    <x v="1632"/>
    <n v="0"/>
    <x v="0"/>
    <x v="0"/>
    <n v="3023"/>
  </r>
  <r>
    <s v="Internal"/>
    <n v="2306"/>
    <s v="Mid-America Port, IA, IL and MO"/>
    <n v="4161"/>
    <x v="54"/>
    <x v="1633"/>
    <n v="0"/>
    <x v="0"/>
    <x v="0"/>
    <n v="2073"/>
  </r>
  <r>
    <s v="Internal"/>
    <n v="2306"/>
    <s v="Mid-America Port, IA, IL and MO"/>
    <n v="4782"/>
    <x v="45"/>
    <x v="1634"/>
    <n v="0"/>
    <x v="0"/>
    <x v="0"/>
    <n v="1601"/>
  </r>
  <r>
    <s v="Internal"/>
    <n v="2306"/>
    <s v="Mid-America Port, IA, IL and MO"/>
    <n v="4420"/>
    <x v="8"/>
    <x v="80"/>
    <n v="0"/>
    <x v="0"/>
    <x v="0"/>
    <n v="1600"/>
  </r>
  <r>
    <s v="Internal"/>
    <n v="2306"/>
    <s v="Mid-America Port, IA, IL and MO"/>
    <n v="5429"/>
    <x v="61"/>
    <x v="1635"/>
    <n v="0"/>
    <x v="0"/>
    <x v="0"/>
    <n v="1537"/>
  </r>
  <r>
    <s v="Internal"/>
    <n v="2306"/>
    <s v="Mid-America Port, IA, IL and MO"/>
    <n v="5422"/>
    <x v="66"/>
    <x v="1636"/>
    <n v="0"/>
    <x v="0"/>
    <x v="0"/>
    <n v="1519"/>
  </r>
  <r>
    <s v="Internal"/>
    <n v="2306"/>
    <s v="Mid-America Port, IA, IL and MO"/>
    <n v="6747"/>
    <x v="78"/>
    <x v="1637"/>
    <n v="0"/>
    <x v="0"/>
    <x v="0"/>
    <n v="1513"/>
  </r>
  <r>
    <s v="Internal"/>
    <n v="2306"/>
    <s v="Mid-America Port, IA, IL and MO"/>
    <n v="6887"/>
    <x v="138"/>
    <x v="1638"/>
    <n v="0"/>
    <x v="0"/>
    <x v="0"/>
    <n v="1352"/>
  </r>
  <r>
    <s v="Great Lakes"/>
    <n v="3756"/>
    <s v="Milwaukee, WI"/>
    <n v="4783"/>
    <x v="7"/>
    <x v="1639"/>
    <n v="859159"/>
    <x v="1098"/>
    <x v="0"/>
    <n v="990807"/>
  </r>
  <r>
    <s v="Great Lakes"/>
    <n v="3756"/>
    <s v="Milwaukee, WI"/>
    <n v="5220"/>
    <x v="30"/>
    <x v="1640"/>
    <n v="0"/>
    <x v="0"/>
    <x v="0"/>
    <n v="689487"/>
  </r>
  <r>
    <s v="Great Lakes"/>
    <n v="3756"/>
    <s v="Milwaukee, WI"/>
    <n v="5330"/>
    <x v="16"/>
    <x v="10"/>
    <n v="115245"/>
    <x v="1099"/>
    <x v="0"/>
    <n v="115245"/>
  </r>
  <r>
    <s v="Great Lakes"/>
    <n v="3756"/>
    <s v="Milwaukee, WI"/>
    <n v="4860"/>
    <x v="31"/>
    <x v="1641"/>
    <n v="49620"/>
    <x v="1100"/>
    <x v="0"/>
    <n v="114063"/>
  </r>
  <r>
    <s v="Great Lakes"/>
    <n v="3756"/>
    <s v="Milwaukee, WI"/>
    <n v="6522"/>
    <x v="26"/>
    <x v="1642"/>
    <n v="49614"/>
    <x v="0"/>
    <x v="705"/>
    <n v="95743"/>
  </r>
  <r>
    <s v="Great Lakes"/>
    <n v="3756"/>
    <s v="Milwaukee, WI"/>
    <n v="2430"/>
    <x v="11"/>
    <x v="1643"/>
    <n v="0"/>
    <x v="0"/>
    <x v="0"/>
    <n v="89429"/>
  </r>
  <r>
    <s v="Great Lakes"/>
    <n v="3756"/>
    <s v="Milwaukee, WI"/>
    <n v="4322"/>
    <x v="33"/>
    <x v="1644"/>
    <n v="0"/>
    <x v="0"/>
    <x v="0"/>
    <n v="76692"/>
  </r>
  <r>
    <s v="Great Lakes"/>
    <n v="3756"/>
    <s v="Milwaukee, WI"/>
    <n v="4331"/>
    <x v="29"/>
    <x v="1645"/>
    <n v="0"/>
    <x v="0"/>
    <x v="0"/>
    <n v="56826"/>
  </r>
  <r>
    <s v="Great Lakes"/>
    <n v="3756"/>
    <s v="Milwaukee, WI"/>
    <n v="6344"/>
    <x v="25"/>
    <x v="1646"/>
    <n v="0"/>
    <x v="0"/>
    <x v="0"/>
    <n v="51782"/>
  </r>
  <r>
    <s v="Great Lakes"/>
    <n v="3756"/>
    <s v="Milwaukee, WI"/>
    <n v="5360"/>
    <x v="94"/>
    <x v="10"/>
    <n v="44831"/>
    <x v="1101"/>
    <x v="0"/>
    <n v="44831"/>
  </r>
  <r>
    <s v="Great Lakes"/>
    <n v="3756"/>
    <s v="Milwaukee, WI"/>
    <n v="4335"/>
    <x v="5"/>
    <x v="1647"/>
    <n v="0"/>
    <x v="0"/>
    <x v="0"/>
    <n v="36174"/>
  </r>
  <r>
    <s v="Great Lakes"/>
    <n v="3756"/>
    <s v="Milwaukee, WI"/>
    <n v="2211"/>
    <x v="0"/>
    <x v="1648"/>
    <n v="22018"/>
    <x v="1102"/>
    <x v="0"/>
    <n v="35020"/>
  </r>
  <r>
    <s v="Great Lakes"/>
    <n v="3756"/>
    <s v="Milwaukee, WI"/>
    <n v="6241"/>
    <x v="28"/>
    <x v="1649"/>
    <n v="0"/>
    <x v="0"/>
    <x v="0"/>
    <n v="12543"/>
  </r>
  <r>
    <s v="Great Lakes"/>
    <n v="3756"/>
    <s v="Milwaukee, WI"/>
    <n v="2330"/>
    <x v="1"/>
    <x v="10"/>
    <n v="11781"/>
    <x v="1103"/>
    <x v="0"/>
    <n v="11781"/>
  </r>
  <r>
    <s v="Great Lakes"/>
    <n v="3756"/>
    <s v="Milwaukee, WI"/>
    <n v="6447"/>
    <x v="132"/>
    <x v="1650"/>
    <n v="0"/>
    <x v="0"/>
    <x v="0"/>
    <n v="4326"/>
  </r>
  <r>
    <s v="Great Lakes"/>
    <n v="3756"/>
    <s v="Milwaukee, WI"/>
    <n v="7110"/>
    <x v="4"/>
    <x v="1651"/>
    <n v="167"/>
    <x v="1083"/>
    <x v="0"/>
    <n v="3807"/>
  </r>
  <r>
    <s v="Great Lakes"/>
    <n v="3756"/>
    <s v="Milwaukee, WI"/>
    <n v="6590"/>
    <x v="23"/>
    <x v="1652"/>
    <n v="0"/>
    <x v="0"/>
    <x v="0"/>
    <n v="3791"/>
  </r>
  <r>
    <s v="Great Lakes"/>
    <n v="3756"/>
    <s v="Milwaukee, WI"/>
    <n v="5370"/>
    <x v="81"/>
    <x v="10"/>
    <n v="1656"/>
    <x v="1104"/>
    <x v="0"/>
    <n v="1656"/>
  </r>
  <r>
    <s v="Great Lakes"/>
    <n v="3756"/>
    <s v="Milwaukee, WI"/>
    <n v="6782"/>
    <x v="27"/>
    <x v="1653"/>
    <n v="0"/>
    <x v="0"/>
    <x v="0"/>
    <n v="1594"/>
  </r>
  <r>
    <s v="Great Lakes"/>
    <n v="3756"/>
    <s v="Milwaukee, WI"/>
    <n v="4420"/>
    <x v="8"/>
    <x v="1654"/>
    <n v="0"/>
    <x v="0"/>
    <x v="0"/>
    <n v="1580"/>
  </r>
  <r>
    <s v="Great Lakes"/>
    <n v="3756"/>
    <s v="Milwaukee, WI"/>
    <n v="5312"/>
    <x v="52"/>
    <x v="10"/>
    <n v="1261"/>
    <x v="1105"/>
    <x v="0"/>
    <n v="1261"/>
  </r>
  <r>
    <s v="Great Lakes"/>
    <n v="3756"/>
    <s v="Milwaukee, WI"/>
    <n v="7120"/>
    <x v="71"/>
    <x v="10"/>
    <n v="215"/>
    <x v="1106"/>
    <x v="0"/>
    <n v="215"/>
  </r>
  <r>
    <s v="Great Lakes"/>
    <n v="3756"/>
    <s v="Milwaukee, WI"/>
    <n v="3220"/>
    <x v="2"/>
    <x v="1655"/>
    <n v="0"/>
    <x v="0"/>
    <x v="0"/>
    <n v="52"/>
  </r>
  <r>
    <s v="Great Lakes"/>
    <n v="3756"/>
    <s v="Milwaukee, WI"/>
    <n v="7900"/>
    <x v="21"/>
    <x v="249"/>
    <n v="0"/>
    <x v="0"/>
    <x v="0"/>
    <n v="50"/>
  </r>
  <r>
    <s v="Great Lakes"/>
    <n v="3756"/>
    <s v="Milwaukee, WI"/>
    <n v="5422"/>
    <x v="66"/>
    <x v="10"/>
    <n v="47"/>
    <x v="388"/>
    <x v="0"/>
    <n v="47"/>
  </r>
  <r>
    <s v="Internal"/>
    <n v="2284"/>
    <s v="Mississippi County Port, MO"/>
    <n v="6522"/>
    <x v="26"/>
    <x v="1656"/>
    <n v="0"/>
    <x v="0"/>
    <x v="0"/>
    <n v="111214"/>
  </r>
  <r>
    <s v="Internal"/>
    <n v="2284"/>
    <s v="Mississippi County Port, MO"/>
    <n v="6344"/>
    <x v="25"/>
    <x v="1657"/>
    <n v="0"/>
    <x v="0"/>
    <x v="0"/>
    <n v="80667"/>
  </r>
  <r>
    <s v="Internal"/>
    <n v="2284"/>
    <s v="Mississippi County Port, MO"/>
    <n v="2330"/>
    <x v="1"/>
    <x v="1658"/>
    <n v="0"/>
    <x v="0"/>
    <x v="0"/>
    <n v="68016"/>
  </r>
  <r>
    <s v="Internal"/>
    <n v="2284"/>
    <s v="Mississippi County Port, MO"/>
    <n v="6241"/>
    <x v="28"/>
    <x v="1659"/>
    <n v="0"/>
    <x v="0"/>
    <x v="0"/>
    <n v="17752"/>
  </r>
  <r>
    <s v="Coastal"/>
    <n v="2032"/>
    <s v="Mobile, AL"/>
    <n v="1100"/>
    <x v="32"/>
    <x v="1660"/>
    <n v="10647095"/>
    <x v="1107"/>
    <x v="706"/>
    <n v="14727922"/>
  </r>
  <r>
    <s v="Coastal"/>
    <n v="2032"/>
    <s v="Mobile, AL"/>
    <n v="2100"/>
    <x v="35"/>
    <x v="1661"/>
    <n v="5741634"/>
    <x v="1108"/>
    <x v="707"/>
    <n v="10288751"/>
  </r>
  <r>
    <s v="Coastal"/>
    <n v="2032"/>
    <s v="Mobile, AL"/>
    <n v="5320"/>
    <x v="13"/>
    <x v="1662"/>
    <n v="3004426"/>
    <x v="1109"/>
    <x v="708"/>
    <n v="6403685"/>
  </r>
  <r>
    <s v="Coastal"/>
    <n v="2032"/>
    <s v="Mobile, AL"/>
    <n v="5312"/>
    <x v="52"/>
    <x v="1663"/>
    <n v="1805781"/>
    <x v="1110"/>
    <x v="365"/>
    <n v="2440413"/>
  </r>
  <r>
    <s v="Coastal"/>
    <n v="2032"/>
    <s v="Mobile, AL"/>
    <n v="5330"/>
    <x v="16"/>
    <x v="1664"/>
    <n v="1211831"/>
    <x v="1111"/>
    <x v="709"/>
    <n v="2398598"/>
  </r>
  <r>
    <s v="Coastal"/>
    <n v="2032"/>
    <s v="Mobile, AL"/>
    <n v="4225"/>
    <x v="10"/>
    <x v="10"/>
    <n v="1698329"/>
    <x v="1112"/>
    <x v="710"/>
    <n v="1698329"/>
  </r>
  <r>
    <s v="Coastal"/>
    <n v="2032"/>
    <s v="Mobile, AL"/>
    <n v="4322"/>
    <x v="33"/>
    <x v="1665"/>
    <n v="948553"/>
    <x v="1113"/>
    <x v="0"/>
    <n v="991848"/>
  </r>
  <r>
    <s v="Coastal"/>
    <n v="2032"/>
    <s v="Mobile, AL"/>
    <n v="2330"/>
    <x v="1"/>
    <x v="1666"/>
    <n v="492942"/>
    <x v="1114"/>
    <x v="711"/>
    <n v="840349"/>
  </r>
  <r>
    <s v="Coastal"/>
    <n v="2032"/>
    <s v="Mobile, AL"/>
    <n v="7900"/>
    <x v="21"/>
    <x v="1667"/>
    <n v="645351"/>
    <x v="1115"/>
    <x v="712"/>
    <n v="645700"/>
  </r>
  <r>
    <s v="Coastal"/>
    <n v="2032"/>
    <s v="Mobile, AL"/>
    <n v="6522"/>
    <x v="26"/>
    <x v="10"/>
    <n v="638537"/>
    <x v="207"/>
    <x v="713"/>
    <n v="638537"/>
  </r>
  <r>
    <s v="Coastal"/>
    <n v="2032"/>
    <s v="Mobile, AL"/>
    <n v="4150"/>
    <x v="101"/>
    <x v="10"/>
    <n v="598961"/>
    <x v="546"/>
    <x v="714"/>
    <n v="598961"/>
  </r>
  <r>
    <s v="Coastal"/>
    <n v="2032"/>
    <s v="Mobile, AL"/>
    <n v="4420"/>
    <x v="8"/>
    <x v="1668"/>
    <n v="86184"/>
    <x v="1116"/>
    <x v="715"/>
    <n v="591174"/>
  </r>
  <r>
    <s v="Coastal"/>
    <n v="2032"/>
    <s v="Mobile, AL"/>
    <n v="4331"/>
    <x v="29"/>
    <x v="1669"/>
    <n v="168"/>
    <x v="301"/>
    <x v="133"/>
    <n v="574468"/>
  </r>
  <r>
    <s v="Coastal"/>
    <n v="2032"/>
    <s v="Mobile, AL"/>
    <n v="2430"/>
    <x v="11"/>
    <x v="1670"/>
    <n v="5542"/>
    <x v="1117"/>
    <x v="0"/>
    <n v="470614"/>
  </r>
  <r>
    <s v="Coastal"/>
    <n v="2032"/>
    <s v="Mobile, AL"/>
    <n v="3286"/>
    <x v="57"/>
    <x v="10"/>
    <n v="460587"/>
    <x v="1118"/>
    <x v="716"/>
    <n v="460587"/>
  </r>
  <r>
    <s v="Coastal"/>
    <n v="2032"/>
    <s v="Mobile, AL"/>
    <n v="3211"/>
    <x v="124"/>
    <x v="1671"/>
    <n v="1063"/>
    <x v="1119"/>
    <x v="717"/>
    <n v="443472"/>
  </r>
  <r>
    <s v="Coastal"/>
    <n v="2032"/>
    <s v="Mobile, AL"/>
    <n v="3220"/>
    <x v="2"/>
    <x v="1672"/>
    <n v="186761"/>
    <x v="1120"/>
    <x v="718"/>
    <n v="415809"/>
  </r>
  <r>
    <s v="Coastal"/>
    <n v="2032"/>
    <s v="Mobile, AL"/>
    <n v="7210"/>
    <x v="59"/>
    <x v="10"/>
    <n v="379807"/>
    <x v="1121"/>
    <x v="719"/>
    <n v="379807"/>
  </r>
  <r>
    <s v="Coastal"/>
    <n v="2032"/>
    <s v="Mobile, AL"/>
    <n v="4189"/>
    <x v="65"/>
    <x v="10"/>
    <n v="323870"/>
    <x v="1122"/>
    <x v="720"/>
    <n v="323870"/>
  </r>
  <r>
    <s v="Coastal"/>
    <n v="2032"/>
    <s v="Mobile, AL"/>
    <n v="7110"/>
    <x v="4"/>
    <x v="248"/>
    <n v="321610"/>
    <x v="1123"/>
    <x v="721"/>
    <n v="322010"/>
  </r>
  <r>
    <s v="Coastal"/>
    <n v="2032"/>
    <s v="Mobile, AL"/>
    <n v="2211"/>
    <x v="0"/>
    <x v="1673"/>
    <n v="44859"/>
    <x v="414"/>
    <x v="722"/>
    <n v="310133"/>
  </r>
  <r>
    <s v="Coastal"/>
    <n v="2032"/>
    <s v="Mobile, AL"/>
    <n v="5220"/>
    <x v="30"/>
    <x v="1674"/>
    <n v="191257"/>
    <x v="1124"/>
    <x v="129"/>
    <n v="240635"/>
  </r>
  <r>
    <s v="Coastal"/>
    <n v="2032"/>
    <s v="Mobile, AL"/>
    <n v="6811"/>
    <x v="76"/>
    <x v="10"/>
    <n v="223538"/>
    <x v="1125"/>
    <x v="723"/>
    <n v="223538"/>
  </r>
  <r>
    <s v="Coastal"/>
    <n v="2032"/>
    <s v="Mobile, AL"/>
    <n v="5360"/>
    <x v="94"/>
    <x v="1675"/>
    <n v="187669"/>
    <x v="1126"/>
    <x v="724"/>
    <n v="196874"/>
  </r>
  <r>
    <s v="Coastal"/>
    <n v="2032"/>
    <s v="Mobile, AL"/>
    <n v="5315"/>
    <x v="48"/>
    <x v="1676"/>
    <n v="136900"/>
    <x v="1127"/>
    <x v="0"/>
    <n v="195902"/>
  </r>
  <r>
    <s v="Coastal"/>
    <n v="2032"/>
    <s v="Mobile, AL"/>
    <n v="7120"/>
    <x v="71"/>
    <x v="10"/>
    <n v="185313"/>
    <x v="1128"/>
    <x v="725"/>
    <n v="185313"/>
  </r>
  <r>
    <s v="Coastal"/>
    <n v="2032"/>
    <s v="Mobile, AL"/>
    <n v="5480"/>
    <x v="20"/>
    <x v="10"/>
    <n v="182371"/>
    <x v="1129"/>
    <x v="726"/>
    <n v="182371"/>
  </r>
  <r>
    <s v="Coastal"/>
    <n v="2032"/>
    <s v="Mobile, AL"/>
    <n v="7500"/>
    <x v="60"/>
    <x v="10"/>
    <n v="175062"/>
    <x v="1130"/>
    <x v="727"/>
    <n v="175062"/>
  </r>
  <r>
    <s v="Coastal"/>
    <n v="2032"/>
    <s v="Mobile, AL"/>
    <n v="5120"/>
    <x v="63"/>
    <x v="10"/>
    <n v="169520"/>
    <x v="1131"/>
    <x v="728"/>
    <n v="169520"/>
  </r>
  <r>
    <s v="Coastal"/>
    <n v="2032"/>
    <s v="Mobile, AL"/>
    <n v="4161"/>
    <x v="54"/>
    <x v="1677"/>
    <n v="528"/>
    <x v="1132"/>
    <x v="0"/>
    <n v="162728"/>
  </r>
  <r>
    <s v="Coastal"/>
    <n v="2032"/>
    <s v="Mobile, AL"/>
    <n v="7600"/>
    <x v="68"/>
    <x v="10"/>
    <n v="150997"/>
    <x v="1133"/>
    <x v="729"/>
    <n v="150997"/>
  </r>
  <r>
    <s v="Coastal"/>
    <n v="2032"/>
    <s v="Mobile, AL"/>
    <n v="2221"/>
    <x v="9"/>
    <x v="1678"/>
    <n v="132413"/>
    <x v="0"/>
    <x v="730"/>
    <n v="146329"/>
  </r>
  <r>
    <s v="Coastal"/>
    <n v="2032"/>
    <s v="Mobile, AL"/>
    <n v="4170"/>
    <x v="55"/>
    <x v="10"/>
    <n v="144152"/>
    <x v="581"/>
    <x v="731"/>
    <n v="144152"/>
  </r>
  <r>
    <s v="Coastal"/>
    <n v="2032"/>
    <s v="Mobile, AL"/>
    <n v="5429"/>
    <x v="61"/>
    <x v="10"/>
    <n v="138404"/>
    <x v="1134"/>
    <x v="732"/>
    <n v="138404"/>
  </r>
  <r>
    <s v="Coastal"/>
    <n v="2032"/>
    <s v="Mobile, AL"/>
    <n v="5290"/>
    <x v="49"/>
    <x v="10"/>
    <n v="133465"/>
    <x v="1135"/>
    <x v="733"/>
    <n v="133465"/>
  </r>
  <r>
    <s v="Coastal"/>
    <n v="2032"/>
    <s v="Mobile, AL"/>
    <n v="2340"/>
    <x v="3"/>
    <x v="1679"/>
    <n v="10"/>
    <x v="312"/>
    <x v="0"/>
    <n v="129444"/>
  </r>
  <r>
    <s v="Coastal"/>
    <n v="2032"/>
    <s v="Mobile, AL"/>
    <n v="3276"/>
    <x v="12"/>
    <x v="1680"/>
    <n v="100387"/>
    <x v="1136"/>
    <x v="734"/>
    <n v="110450"/>
  </r>
  <r>
    <s v="Coastal"/>
    <n v="2032"/>
    <s v="Mobile, AL"/>
    <n v="5540"/>
    <x v="64"/>
    <x v="10"/>
    <n v="108881"/>
    <x v="1137"/>
    <x v="735"/>
    <n v="108881"/>
  </r>
  <r>
    <s v="Coastal"/>
    <n v="2032"/>
    <s v="Mobile, AL"/>
    <n v="4410"/>
    <x v="34"/>
    <x v="1681"/>
    <n v="0"/>
    <x v="0"/>
    <x v="0"/>
    <n v="101168"/>
  </r>
  <r>
    <s v="Coastal"/>
    <n v="2032"/>
    <s v="Mobile, AL"/>
    <n v="1200"/>
    <x v="43"/>
    <x v="1682"/>
    <n v="93112"/>
    <x v="0"/>
    <x v="736"/>
    <n v="97812"/>
  </r>
  <r>
    <s v="Coastal"/>
    <n v="2032"/>
    <s v="Mobile, AL"/>
    <n v="9900"/>
    <x v="18"/>
    <x v="10"/>
    <n v="84964"/>
    <x v="1138"/>
    <x v="737"/>
    <n v="84964"/>
  </r>
  <r>
    <s v="Coastal"/>
    <n v="2032"/>
    <s v="Mobile, AL"/>
    <n v="4690"/>
    <x v="62"/>
    <x v="1683"/>
    <n v="83153"/>
    <x v="1139"/>
    <x v="738"/>
    <n v="84358"/>
  </r>
  <r>
    <s v="Coastal"/>
    <n v="2032"/>
    <s v="Mobile, AL"/>
    <n v="3275"/>
    <x v="47"/>
    <x v="1684"/>
    <n v="81117"/>
    <x v="1140"/>
    <x v="739"/>
    <n v="84217"/>
  </r>
  <r>
    <s v="Coastal"/>
    <n v="2032"/>
    <s v="Mobile, AL"/>
    <n v="4680"/>
    <x v="70"/>
    <x v="10"/>
    <n v="77471"/>
    <x v="1141"/>
    <x v="740"/>
    <n v="77471"/>
  </r>
  <r>
    <s v="Coastal"/>
    <n v="2032"/>
    <s v="Mobile, AL"/>
    <n v="4310"/>
    <x v="96"/>
    <x v="10"/>
    <n v="67455"/>
    <x v="1142"/>
    <x v="0"/>
    <n v="67455"/>
  </r>
  <r>
    <s v="Coastal"/>
    <n v="2032"/>
    <s v="Mobile, AL"/>
    <n v="3284"/>
    <x v="97"/>
    <x v="10"/>
    <n v="67001"/>
    <x v="1143"/>
    <x v="158"/>
    <n v="67001"/>
  </r>
  <r>
    <s v="Coastal"/>
    <n v="2032"/>
    <s v="Mobile, AL"/>
    <n v="4860"/>
    <x v="31"/>
    <x v="1685"/>
    <n v="22057"/>
    <x v="1144"/>
    <x v="0"/>
    <n v="65744"/>
  </r>
  <r>
    <s v="Coastal"/>
    <n v="2032"/>
    <s v="Mobile, AL"/>
    <n v="3298"/>
    <x v="123"/>
    <x v="10"/>
    <n v="63905"/>
    <x v="1145"/>
    <x v="741"/>
    <n v="63905"/>
  </r>
  <r>
    <s v="Coastal"/>
    <n v="2032"/>
    <s v="Mobile, AL"/>
    <n v="3240"/>
    <x v="53"/>
    <x v="1686"/>
    <n v="47451"/>
    <x v="1146"/>
    <x v="742"/>
    <n v="61551"/>
  </r>
  <r>
    <s v="Coastal"/>
    <n v="2032"/>
    <s v="Mobile, AL"/>
    <n v="3299"/>
    <x v="79"/>
    <x v="1497"/>
    <n v="52861"/>
    <x v="1147"/>
    <x v="743"/>
    <n v="54361"/>
  </r>
  <r>
    <s v="Coastal"/>
    <n v="2032"/>
    <s v="Mobile, AL"/>
    <n v="4783"/>
    <x v="7"/>
    <x v="1687"/>
    <n v="3798"/>
    <x v="1148"/>
    <x v="235"/>
    <n v="48898"/>
  </r>
  <r>
    <s v="Coastal"/>
    <n v="2032"/>
    <s v="Mobile, AL"/>
    <n v="5370"/>
    <x v="81"/>
    <x v="1688"/>
    <n v="43718"/>
    <x v="1149"/>
    <x v="744"/>
    <n v="46091"/>
  </r>
  <r>
    <s v="Coastal"/>
    <n v="2032"/>
    <s v="Mobile, AL"/>
    <n v="3230"/>
    <x v="80"/>
    <x v="10"/>
    <n v="43932"/>
    <x v="1150"/>
    <x v="745"/>
    <n v="43932"/>
  </r>
  <r>
    <s v="Coastal"/>
    <n v="2032"/>
    <s v="Mobile, AL"/>
    <n v="5422"/>
    <x v="66"/>
    <x v="363"/>
    <n v="32678"/>
    <x v="1151"/>
    <x v="259"/>
    <n v="34203"/>
  </r>
  <r>
    <s v="Coastal"/>
    <n v="2032"/>
    <s v="Mobile, AL"/>
    <n v="3282"/>
    <x v="91"/>
    <x v="10"/>
    <n v="33990"/>
    <x v="1152"/>
    <x v="746"/>
    <n v="33990"/>
  </r>
  <r>
    <s v="Coastal"/>
    <n v="2032"/>
    <s v="Mobile, AL"/>
    <n v="4782"/>
    <x v="45"/>
    <x v="1689"/>
    <n v="6472"/>
    <x v="1153"/>
    <x v="747"/>
    <n v="28324"/>
  </r>
  <r>
    <s v="Coastal"/>
    <n v="2032"/>
    <s v="Mobile, AL"/>
    <n v="3274"/>
    <x v="86"/>
    <x v="1690"/>
    <n v="9042"/>
    <x v="1154"/>
    <x v="748"/>
    <n v="22216"/>
  </r>
  <r>
    <s v="Coastal"/>
    <n v="2032"/>
    <s v="Mobile, AL"/>
    <n v="4900"/>
    <x v="14"/>
    <x v="1691"/>
    <n v="19489"/>
    <x v="1155"/>
    <x v="749"/>
    <n v="21789"/>
  </r>
  <r>
    <s v="Coastal"/>
    <n v="2032"/>
    <s v="Mobile, AL"/>
    <n v="3283"/>
    <x v="111"/>
    <x v="10"/>
    <n v="19806"/>
    <x v="706"/>
    <x v="750"/>
    <n v="19806"/>
  </r>
  <r>
    <s v="Coastal"/>
    <n v="2032"/>
    <s v="Mobile, AL"/>
    <n v="6885"/>
    <x v="72"/>
    <x v="10"/>
    <n v="18810"/>
    <x v="1156"/>
    <x v="751"/>
    <n v="18810"/>
  </r>
  <r>
    <s v="Coastal"/>
    <n v="2032"/>
    <s v="Mobile, AL"/>
    <n v="6858"/>
    <x v="74"/>
    <x v="10"/>
    <n v="18465"/>
    <x v="1157"/>
    <x v="752"/>
    <n v="18465"/>
  </r>
  <r>
    <s v="Coastal"/>
    <n v="2032"/>
    <s v="Mobile, AL"/>
    <n v="5190"/>
    <x v="83"/>
    <x v="10"/>
    <n v="18094"/>
    <x v="1158"/>
    <x v="753"/>
    <n v="18094"/>
  </r>
  <r>
    <s v="Coastal"/>
    <n v="2032"/>
    <s v="Mobile, AL"/>
    <n v="4335"/>
    <x v="5"/>
    <x v="1692"/>
    <n v="0"/>
    <x v="0"/>
    <x v="0"/>
    <n v="15248"/>
  </r>
  <r>
    <s v="Coastal"/>
    <n v="2032"/>
    <s v="Mobile, AL"/>
    <n v="7400"/>
    <x v="77"/>
    <x v="10"/>
    <n v="14587"/>
    <x v="1159"/>
    <x v="754"/>
    <n v="14587"/>
  </r>
  <r>
    <s v="Coastal"/>
    <n v="2032"/>
    <s v="Mobile, AL"/>
    <n v="3250"/>
    <x v="108"/>
    <x v="10"/>
    <n v="13117"/>
    <x v="1160"/>
    <x v="755"/>
    <n v="13117"/>
  </r>
  <r>
    <s v="Coastal"/>
    <n v="2032"/>
    <s v="Mobile, AL"/>
    <n v="5240"/>
    <x v="89"/>
    <x v="10"/>
    <n v="12773"/>
    <x v="1161"/>
    <x v="12"/>
    <n v="12773"/>
  </r>
  <r>
    <s v="Coastal"/>
    <n v="2032"/>
    <s v="Mobile, AL"/>
    <n v="4650"/>
    <x v="67"/>
    <x v="10"/>
    <n v="12188"/>
    <x v="1162"/>
    <x v="756"/>
    <n v="12188"/>
  </r>
  <r>
    <s v="Coastal"/>
    <n v="2032"/>
    <s v="Mobile, AL"/>
    <n v="6889"/>
    <x v="42"/>
    <x v="10"/>
    <n v="12136"/>
    <x v="1163"/>
    <x v="757"/>
    <n v="12136"/>
  </r>
  <r>
    <s v="Coastal"/>
    <n v="2032"/>
    <s v="Mobile, AL"/>
    <n v="7220"/>
    <x v="103"/>
    <x v="10"/>
    <n v="11487"/>
    <x v="1164"/>
    <x v="758"/>
    <n v="11487"/>
  </r>
  <r>
    <s v="Coastal"/>
    <n v="2032"/>
    <s v="Mobile, AL"/>
    <n v="6654"/>
    <x v="50"/>
    <x v="10"/>
    <n v="10081"/>
    <x v="1165"/>
    <x v="759"/>
    <n v="10081"/>
  </r>
  <r>
    <s v="Coastal"/>
    <n v="2032"/>
    <s v="Mobile, AL"/>
    <n v="6134"/>
    <x v="82"/>
    <x v="10"/>
    <n v="9564"/>
    <x v="1166"/>
    <x v="403"/>
    <n v="9564"/>
  </r>
  <r>
    <s v="Coastal"/>
    <n v="2032"/>
    <s v="Mobile, AL"/>
    <n v="3273"/>
    <x v="46"/>
    <x v="1693"/>
    <n v="0"/>
    <x v="0"/>
    <x v="0"/>
    <n v="9300"/>
  </r>
  <r>
    <s v="Coastal"/>
    <n v="2032"/>
    <s v="Mobile, AL"/>
    <n v="5421"/>
    <x v="88"/>
    <x v="10"/>
    <n v="8858"/>
    <x v="1167"/>
    <x v="760"/>
    <n v="8858"/>
  </r>
  <r>
    <s v="Coastal"/>
    <n v="2032"/>
    <s v="Mobile, AL"/>
    <n v="3297"/>
    <x v="116"/>
    <x v="10"/>
    <n v="8823"/>
    <x v="1168"/>
    <x v="761"/>
    <n v="8823"/>
  </r>
  <r>
    <s v="Coastal"/>
    <n v="2032"/>
    <s v="Mobile, AL"/>
    <n v="6893"/>
    <x v="113"/>
    <x v="10"/>
    <n v="7776"/>
    <x v="1169"/>
    <x v="762"/>
    <n v="7776"/>
  </r>
  <r>
    <s v="Coastal"/>
    <n v="2032"/>
    <s v="Mobile, AL"/>
    <n v="6521"/>
    <x v="121"/>
    <x v="10"/>
    <n v="7265"/>
    <x v="453"/>
    <x v="763"/>
    <n v="7265"/>
  </r>
  <r>
    <s v="Coastal"/>
    <n v="2032"/>
    <s v="Mobile, AL"/>
    <n v="3285"/>
    <x v="87"/>
    <x v="10"/>
    <n v="7100"/>
    <x v="1170"/>
    <x v="764"/>
    <n v="7100"/>
  </r>
  <r>
    <s v="Coastal"/>
    <n v="2032"/>
    <s v="Mobile, AL"/>
    <n v="2540"/>
    <x v="15"/>
    <x v="1694"/>
    <n v="1116"/>
    <x v="0"/>
    <x v="765"/>
    <n v="6843"/>
  </r>
  <r>
    <s v="Coastal"/>
    <n v="2032"/>
    <s v="Mobile, AL"/>
    <n v="6590"/>
    <x v="23"/>
    <x v="1695"/>
    <n v="3589"/>
    <x v="1171"/>
    <x v="0"/>
    <n v="6733"/>
  </r>
  <r>
    <s v="Coastal"/>
    <n v="2032"/>
    <s v="Mobile, AL"/>
    <n v="5390"/>
    <x v="44"/>
    <x v="1696"/>
    <n v="1974"/>
    <x v="1172"/>
    <x v="766"/>
    <n v="6580"/>
  </r>
  <r>
    <s v="Coastal"/>
    <n v="2032"/>
    <s v="Mobile, AL"/>
    <n v="6839"/>
    <x v="106"/>
    <x v="10"/>
    <n v="6116"/>
    <x v="1173"/>
    <x v="767"/>
    <n v="6116"/>
  </r>
  <r>
    <s v="Coastal"/>
    <n v="2032"/>
    <s v="Mobile, AL"/>
    <n v="6891"/>
    <x v="93"/>
    <x v="10"/>
    <n v="5035"/>
    <x v="1174"/>
    <x v="249"/>
    <n v="5035"/>
  </r>
  <r>
    <s v="Coastal"/>
    <n v="2032"/>
    <s v="Mobile, AL"/>
    <n v="3190"/>
    <x v="38"/>
    <x v="10"/>
    <n v="4662"/>
    <x v="1175"/>
    <x v="768"/>
    <n v="4662"/>
  </r>
  <r>
    <s v="Coastal"/>
    <n v="2032"/>
    <s v="Mobile, AL"/>
    <n v="6861"/>
    <x v="69"/>
    <x v="10"/>
    <n v="4534"/>
    <x v="1176"/>
    <x v="0"/>
    <n v="4534"/>
  </r>
  <r>
    <s v="Coastal"/>
    <n v="2032"/>
    <s v="Mobile, AL"/>
    <n v="6871"/>
    <x v="73"/>
    <x v="10"/>
    <n v="4151"/>
    <x v="1177"/>
    <x v="0"/>
    <n v="4151"/>
  </r>
  <r>
    <s v="Coastal"/>
    <n v="2032"/>
    <s v="Mobile, AL"/>
    <n v="6782"/>
    <x v="27"/>
    <x v="10"/>
    <n v="4125"/>
    <x v="1178"/>
    <x v="769"/>
    <n v="4125"/>
  </r>
  <r>
    <s v="Coastal"/>
    <n v="2032"/>
    <s v="Mobile, AL"/>
    <n v="6857"/>
    <x v="104"/>
    <x v="10"/>
    <n v="4097"/>
    <x v="1179"/>
    <x v="0"/>
    <n v="4097"/>
  </r>
  <r>
    <s v="Coastal"/>
    <n v="2032"/>
    <s v="Mobile, AL"/>
    <n v="2429"/>
    <x v="17"/>
    <x v="1697"/>
    <n v="0"/>
    <x v="0"/>
    <x v="0"/>
    <n v="3755"/>
  </r>
  <r>
    <s v="Coastal"/>
    <n v="2032"/>
    <s v="Mobile, AL"/>
    <n v="3219"/>
    <x v="19"/>
    <x v="10"/>
    <n v="3595"/>
    <x v="1180"/>
    <x v="770"/>
    <n v="3595"/>
  </r>
  <r>
    <s v="Coastal"/>
    <n v="2032"/>
    <s v="Mobile, AL"/>
    <n v="6653"/>
    <x v="24"/>
    <x v="10"/>
    <n v="3160"/>
    <x v="1181"/>
    <x v="771"/>
    <n v="3160"/>
  </r>
  <r>
    <s v="Coastal"/>
    <n v="2032"/>
    <s v="Mobile, AL"/>
    <n v="6822"/>
    <x v="84"/>
    <x v="10"/>
    <n v="2924"/>
    <x v="1182"/>
    <x v="772"/>
    <n v="2924"/>
  </r>
  <r>
    <s v="Coastal"/>
    <n v="2032"/>
    <s v="Mobile, AL"/>
    <n v="6747"/>
    <x v="78"/>
    <x v="10"/>
    <n v="2303"/>
    <x v="1183"/>
    <x v="773"/>
    <n v="2303"/>
  </r>
  <r>
    <s v="Coastal"/>
    <n v="2032"/>
    <s v="Mobile, AL"/>
    <n v="3279"/>
    <x v="58"/>
    <x v="10"/>
    <n v="2281"/>
    <x v="1184"/>
    <x v="774"/>
    <n v="2281"/>
  </r>
  <r>
    <s v="Coastal"/>
    <n v="2032"/>
    <s v="Mobile, AL"/>
    <n v="3260"/>
    <x v="107"/>
    <x v="10"/>
    <n v="1595"/>
    <x v="1185"/>
    <x v="255"/>
    <n v="1595"/>
  </r>
  <r>
    <s v="Coastal"/>
    <n v="2032"/>
    <s v="Mobile, AL"/>
    <n v="6241"/>
    <x v="28"/>
    <x v="741"/>
    <n v="0"/>
    <x v="0"/>
    <x v="0"/>
    <n v="1559"/>
  </r>
  <r>
    <s v="Coastal"/>
    <n v="2032"/>
    <s v="Mobile, AL"/>
    <n v="3291"/>
    <x v="117"/>
    <x v="10"/>
    <n v="1491"/>
    <x v="1186"/>
    <x v="628"/>
    <n v="1491"/>
  </r>
  <r>
    <s v="Coastal"/>
    <n v="2032"/>
    <s v="Mobile, AL"/>
    <n v="2640"/>
    <x v="110"/>
    <x v="10"/>
    <n v="1317"/>
    <x v="418"/>
    <x v="775"/>
    <n v="1317"/>
  </r>
  <r>
    <s v="Coastal"/>
    <n v="2032"/>
    <s v="Mobile, AL"/>
    <n v="6136"/>
    <x v="95"/>
    <x v="10"/>
    <n v="1239"/>
    <x v="1187"/>
    <x v="0"/>
    <n v="1239"/>
  </r>
  <r>
    <s v="Coastal"/>
    <n v="2032"/>
    <s v="Mobile, AL"/>
    <n v="6835"/>
    <x v="92"/>
    <x v="10"/>
    <n v="1189"/>
    <x v="1188"/>
    <x v="0"/>
    <n v="1189"/>
  </r>
  <r>
    <s v="Coastal"/>
    <n v="2032"/>
    <s v="Mobile, AL"/>
    <n v="6856"/>
    <x v="126"/>
    <x v="10"/>
    <n v="951"/>
    <x v="1189"/>
    <x v="0"/>
    <n v="951"/>
  </r>
  <r>
    <s v="Coastal"/>
    <n v="2032"/>
    <s v="Mobile, AL"/>
    <n v="4190"/>
    <x v="99"/>
    <x v="10"/>
    <n v="832"/>
    <x v="1190"/>
    <x v="0"/>
    <n v="832"/>
  </r>
  <r>
    <s v="Coastal"/>
    <n v="2032"/>
    <s v="Mobile, AL"/>
    <n v="5110"/>
    <x v="112"/>
    <x v="10"/>
    <n v="655"/>
    <x v="1191"/>
    <x v="0"/>
    <n v="655"/>
  </r>
  <r>
    <s v="Coastal"/>
    <n v="2032"/>
    <s v="Mobile, AL"/>
    <n v="7230"/>
    <x v="22"/>
    <x v="10"/>
    <n v="571"/>
    <x v="1192"/>
    <x v="449"/>
    <n v="571"/>
  </r>
  <r>
    <s v="Coastal"/>
    <n v="2032"/>
    <s v="Mobile, AL"/>
    <n v="2990"/>
    <x v="102"/>
    <x v="10"/>
    <n v="499"/>
    <x v="1193"/>
    <x v="0"/>
    <n v="499"/>
  </r>
  <r>
    <s v="Coastal"/>
    <n v="2032"/>
    <s v="Mobile, AL"/>
    <n v="3292"/>
    <x v="51"/>
    <x v="10"/>
    <n v="344"/>
    <x v="599"/>
    <x v="776"/>
    <n v="344"/>
  </r>
  <r>
    <s v="Coastal"/>
    <n v="2032"/>
    <s v="Mobile, AL"/>
    <n v="6899"/>
    <x v="114"/>
    <x v="10"/>
    <n v="252"/>
    <x v="1194"/>
    <x v="131"/>
    <n v="252"/>
  </r>
  <r>
    <s v="Coastal"/>
    <n v="2032"/>
    <s v="Mobile, AL"/>
    <n v="3293"/>
    <x v="122"/>
    <x v="10"/>
    <n v="241"/>
    <x v="1195"/>
    <x v="131"/>
    <n v="241"/>
  </r>
  <r>
    <s v="Coastal"/>
    <n v="2032"/>
    <s v="Mobile, AL"/>
    <n v="6838"/>
    <x v="131"/>
    <x v="10"/>
    <n v="219"/>
    <x v="1196"/>
    <x v="454"/>
    <n v="219"/>
  </r>
  <r>
    <s v="Coastal"/>
    <n v="2032"/>
    <s v="Mobile, AL"/>
    <n v="6746"/>
    <x v="118"/>
    <x v="10"/>
    <n v="163"/>
    <x v="1197"/>
    <x v="0"/>
    <n v="163"/>
  </r>
  <r>
    <s v="Coastal"/>
    <n v="2032"/>
    <s v="Mobile, AL"/>
    <n v="6817"/>
    <x v="119"/>
    <x v="10"/>
    <n v="75"/>
    <x v="390"/>
    <x v="0"/>
    <n v="75"/>
  </r>
  <r>
    <s v="Coastal"/>
    <n v="2032"/>
    <s v="Mobile, AL"/>
    <n v="6442"/>
    <x v="85"/>
    <x v="10"/>
    <n v="73"/>
    <x v="576"/>
    <x v="0"/>
    <n v="73"/>
  </r>
  <r>
    <s v="Coastal"/>
    <n v="2032"/>
    <s v="Mobile, AL"/>
    <n v="7300"/>
    <x v="115"/>
    <x v="10"/>
    <n v="63"/>
    <x v="151"/>
    <x v="0"/>
    <n v="63"/>
  </r>
  <r>
    <s v="Coastal"/>
    <n v="2032"/>
    <s v="Mobile, AL"/>
    <n v="3110"/>
    <x v="36"/>
    <x v="10"/>
    <n v="54"/>
    <x v="211"/>
    <x v="365"/>
    <n v="54"/>
  </r>
  <r>
    <s v="Coastal"/>
    <n v="2032"/>
    <s v="Mobile, AL"/>
    <n v="6865"/>
    <x v="75"/>
    <x v="10"/>
    <n v="54"/>
    <x v="0"/>
    <x v="126"/>
    <n v="54"/>
  </r>
  <r>
    <s v="Coastal"/>
    <n v="2032"/>
    <s v="Mobile, AL"/>
    <n v="6888"/>
    <x v="109"/>
    <x v="10"/>
    <n v="48"/>
    <x v="1198"/>
    <x v="0"/>
    <n v="48"/>
  </r>
  <r>
    <s v="Coastal"/>
    <n v="2032"/>
    <s v="Mobile, AL"/>
    <n v="3130"/>
    <x v="37"/>
    <x v="10"/>
    <n v="46"/>
    <x v="621"/>
    <x v="0"/>
    <n v="46"/>
  </r>
  <r>
    <s v="Coastal"/>
    <n v="2032"/>
    <s v="Mobile, AL"/>
    <n v="2350"/>
    <x v="40"/>
    <x v="10"/>
    <n v="36"/>
    <x v="0"/>
    <x v="543"/>
    <n v="36"/>
  </r>
  <r>
    <s v="Coastal"/>
    <n v="2032"/>
    <s v="Mobile, AL"/>
    <n v="6781"/>
    <x v="128"/>
    <x v="10"/>
    <n v="27"/>
    <x v="19"/>
    <x v="160"/>
    <n v="27"/>
  </r>
  <r>
    <s v="Coastal"/>
    <n v="2032"/>
    <s v="Mobile, AL"/>
    <n v="4110"/>
    <x v="105"/>
    <x v="10"/>
    <n v="23"/>
    <x v="209"/>
    <x v="0"/>
    <n v="23"/>
  </r>
  <r>
    <s v="Coastal"/>
    <n v="2032"/>
    <s v="Mobile, AL"/>
    <n v="4741"/>
    <x v="56"/>
    <x v="10"/>
    <n v="19"/>
    <x v="0"/>
    <x v="235"/>
    <n v="19"/>
  </r>
  <r>
    <s v="Coastal"/>
    <n v="2032"/>
    <s v="Mobile, AL"/>
    <n v="3271"/>
    <x v="133"/>
    <x v="10"/>
    <n v="18"/>
    <x v="170"/>
    <x v="0"/>
    <n v="18"/>
  </r>
  <r>
    <s v="Coastal"/>
    <n v="2032"/>
    <s v="Mobile, AL"/>
    <n v="6344"/>
    <x v="25"/>
    <x v="10"/>
    <n v="13"/>
    <x v="453"/>
    <x v="0"/>
    <n v="13"/>
  </r>
  <r>
    <s v="Coastal"/>
    <n v="2032"/>
    <s v="Mobile, AL"/>
    <n v="6894"/>
    <x v="120"/>
    <x v="10"/>
    <n v="13"/>
    <x v="453"/>
    <x v="0"/>
    <n v="13"/>
  </r>
  <r>
    <s v="Coastal"/>
    <n v="2032"/>
    <s v="Mobile, AL"/>
    <n v="5210"/>
    <x v="130"/>
    <x v="10"/>
    <n v="12"/>
    <x v="20"/>
    <x v="0"/>
    <n v="12"/>
  </r>
  <r>
    <s v="Coastal"/>
    <n v="2032"/>
    <s v="Mobile, AL"/>
    <n v="6443"/>
    <x v="135"/>
    <x v="10"/>
    <n v="9"/>
    <x v="0"/>
    <x v="275"/>
    <n v="9"/>
  </r>
  <r>
    <s v="Coastal"/>
    <n v="2032"/>
    <s v="Mobile, AL"/>
    <n v="4323"/>
    <x v="6"/>
    <x v="10"/>
    <n v="7"/>
    <x v="311"/>
    <x v="0"/>
    <n v="7"/>
  </r>
  <r>
    <s v="Coastal"/>
    <n v="2032"/>
    <s v="Mobile, AL"/>
    <n v="4515"/>
    <x v="129"/>
    <x v="10"/>
    <n v="2"/>
    <x v="212"/>
    <x v="0"/>
    <n v="2"/>
  </r>
  <r>
    <s v="Great Lakes"/>
    <n v="3198"/>
    <s v="Monroe, MI"/>
    <n v="1100"/>
    <x v="32"/>
    <x v="1698"/>
    <n v="0"/>
    <x v="0"/>
    <x v="0"/>
    <n v="1666817"/>
  </r>
  <r>
    <s v="Great Lakes"/>
    <n v="3198"/>
    <s v="Monroe, MI"/>
    <n v="4322"/>
    <x v="33"/>
    <x v="1699"/>
    <n v="0"/>
    <x v="0"/>
    <x v="0"/>
    <n v="320280"/>
  </r>
  <r>
    <s v="Great Lakes"/>
    <n v="3198"/>
    <s v="Monroe, MI"/>
    <n v="2430"/>
    <x v="11"/>
    <x v="1700"/>
    <n v="0"/>
    <x v="0"/>
    <x v="0"/>
    <n v="102926"/>
  </r>
  <r>
    <s v="Great Lakes"/>
    <n v="3198"/>
    <s v="Monroe, MI"/>
    <n v="5330"/>
    <x v="16"/>
    <x v="10"/>
    <n v="92803"/>
    <x v="1199"/>
    <x v="0"/>
    <n v="92803"/>
  </r>
  <r>
    <s v="Great Lakes"/>
    <n v="3198"/>
    <s v="Monroe, MI"/>
    <n v="4860"/>
    <x v="31"/>
    <x v="1701"/>
    <n v="0"/>
    <x v="0"/>
    <x v="0"/>
    <n v="23470"/>
  </r>
  <r>
    <s v="Great Lakes"/>
    <n v="3198"/>
    <s v="Monroe, MI"/>
    <n v="4323"/>
    <x v="6"/>
    <x v="29"/>
    <n v="0"/>
    <x v="0"/>
    <x v="0"/>
    <n v="5074"/>
  </r>
  <r>
    <s v="Great Lakes"/>
    <n v="3198"/>
    <s v="Monroe, MI"/>
    <n v="4900"/>
    <x v="14"/>
    <x v="10"/>
    <n v="4650"/>
    <x v="1200"/>
    <x v="0"/>
    <n v="4650"/>
  </r>
  <r>
    <s v="Coastal"/>
    <n v="759"/>
    <s v="Morehead City, NC"/>
    <n v="5312"/>
    <x v="52"/>
    <x v="1702"/>
    <n v="450035"/>
    <x v="1201"/>
    <x v="0"/>
    <n v="780285"/>
  </r>
  <r>
    <s v="Coastal"/>
    <n v="759"/>
    <s v="Morehead City, NC"/>
    <n v="3275"/>
    <x v="47"/>
    <x v="1703"/>
    <n v="144612"/>
    <x v="0"/>
    <x v="777"/>
    <n v="437112"/>
  </r>
  <r>
    <s v="Coastal"/>
    <n v="759"/>
    <s v="Morehead City, NC"/>
    <n v="4189"/>
    <x v="65"/>
    <x v="10"/>
    <n v="135551"/>
    <x v="1202"/>
    <x v="0"/>
    <n v="135551"/>
  </r>
  <r>
    <s v="Coastal"/>
    <n v="759"/>
    <s v="Morehead City, NC"/>
    <n v="4110"/>
    <x v="105"/>
    <x v="10"/>
    <n v="123753"/>
    <x v="1203"/>
    <x v="0"/>
    <n v="123753"/>
  </r>
  <r>
    <s v="Coastal"/>
    <n v="759"/>
    <s v="Morehead City, NC"/>
    <n v="6747"/>
    <x v="78"/>
    <x v="10"/>
    <n v="114402"/>
    <x v="1204"/>
    <x v="0"/>
    <n v="114402"/>
  </r>
  <r>
    <s v="Coastal"/>
    <n v="759"/>
    <s v="Morehead City, NC"/>
    <n v="5220"/>
    <x v="30"/>
    <x v="10"/>
    <n v="60748"/>
    <x v="1205"/>
    <x v="0"/>
    <n v="60748"/>
  </r>
  <r>
    <s v="Coastal"/>
    <n v="759"/>
    <s v="Morehead City, NC"/>
    <n v="2430"/>
    <x v="11"/>
    <x v="1704"/>
    <n v="6061"/>
    <x v="1206"/>
    <x v="0"/>
    <n v="34703"/>
  </r>
  <r>
    <s v="Coastal"/>
    <n v="759"/>
    <s v="Morehead City, NC"/>
    <n v="6522"/>
    <x v="26"/>
    <x v="10"/>
    <n v="34389"/>
    <x v="1207"/>
    <x v="0"/>
    <n v="34389"/>
  </r>
  <r>
    <s v="Coastal"/>
    <n v="759"/>
    <s v="Morehead City, NC"/>
    <n v="3130"/>
    <x v="37"/>
    <x v="10"/>
    <n v="27615"/>
    <x v="1208"/>
    <x v="0"/>
    <n v="27615"/>
  </r>
  <r>
    <s v="Coastal"/>
    <n v="759"/>
    <s v="Morehead City, NC"/>
    <n v="6654"/>
    <x v="50"/>
    <x v="10"/>
    <n v="25398"/>
    <x v="1209"/>
    <x v="0"/>
    <n v="25398"/>
  </r>
  <r>
    <s v="Coastal"/>
    <n v="759"/>
    <s v="Morehead City, NC"/>
    <n v="5330"/>
    <x v="16"/>
    <x v="1705"/>
    <n v="11593"/>
    <x v="1210"/>
    <x v="0"/>
    <n v="25284"/>
  </r>
  <r>
    <s v="Coastal"/>
    <n v="759"/>
    <s v="Morehead City, NC"/>
    <n v="3190"/>
    <x v="38"/>
    <x v="1706"/>
    <n v="7165"/>
    <x v="1211"/>
    <x v="0"/>
    <n v="23665"/>
  </r>
  <r>
    <s v="Coastal"/>
    <n v="759"/>
    <s v="Morehead City, NC"/>
    <n v="5480"/>
    <x v="20"/>
    <x v="10"/>
    <n v="19673"/>
    <x v="1212"/>
    <x v="0"/>
    <n v="19673"/>
  </r>
  <r>
    <s v="Coastal"/>
    <n v="759"/>
    <s v="Morehead City, NC"/>
    <n v="4860"/>
    <x v="31"/>
    <x v="10"/>
    <n v="18225"/>
    <x v="1213"/>
    <x v="0"/>
    <n v="18225"/>
  </r>
  <r>
    <s v="Coastal"/>
    <n v="759"/>
    <s v="Morehead City, NC"/>
    <n v="3276"/>
    <x v="12"/>
    <x v="10"/>
    <n v="8231"/>
    <x v="1214"/>
    <x v="0"/>
    <n v="8231"/>
  </r>
  <r>
    <s v="Coastal"/>
    <n v="759"/>
    <s v="Morehead City, NC"/>
    <n v="3110"/>
    <x v="36"/>
    <x v="10"/>
    <n v="7699"/>
    <x v="1215"/>
    <x v="0"/>
    <n v="7699"/>
  </r>
  <r>
    <s v="Coastal"/>
    <n v="759"/>
    <s v="Morehead City, NC"/>
    <n v="9900"/>
    <x v="18"/>
    <x v="10"/>
    <n v="7281"/>
    <x v="1216"/>
    <x v="0"/>
    <n v="7281"/>
  </r>
  <r>
    <s v="Coastal"/>
    <n v="759"/>
    <s v="Morehead City, NC"/>
    <n v="6782"/>
    <x v="27"/>
    <x v="10"/>
    <n v="4616"/>
    <x v="1217"/>
    <x v="0"/>
    <n v="4616"/>
  </r>
  <r>
    <s v="Coastal"/>
    <n v="759"/>
    <s v="Morehead City, NC"/>
    <n v="6653"/>
    <x v="24"/>
    <x v="10"/>
    <n v="4277"/>
    <x v="1218"/>
    <x v="0"/>
    <n v="4277"/>
  </r>
  <r>
    <s v="Coastal"/>
    <n v="759"/>
    <s v="Morehead City, NC"/>
    <n v="5540"/>
    <x v="64"/>
    <x v="10"/>
    <n v="3755"/>
    <x v="0"/>
    <x v="778"/>
    <n v="3755"/>
  </r>
  <r>
    <s v="Coastal"/>
    <n v="759"/>
    <s v="Morehead City, NC"/>
    <n v="4420"/>
    <x v="8"/>
    <x v="1707"/>
    <n v="0"/>
    <x v="0"/>
    <x v="0"/>
    <n v="2900"/>
  </r>
  <r>
    <s v="Coastal"/>
    <n v="759"/>
    <s v="Morehead City, NC"/>
    <n v="6590"/>
    <x v="23"/>
    <x v="10"/>
    <n v="2462"/>
    <x v="1219"/>
    <x v="0"/>
    <n v="2462"/>
  </r>
  <r>
    <s v="Coastal"/>
    <n v="759"/>
    <s v="Morehead City, NC"/>
    <n v="3230"/>
    <x v="80"/>
    <x v="10"/>
    <n v="2310"/>
    <x v="0"/>
    <x v="779"/>
    <n v="2310"/>
  </r>
  <r>
    <s v="Coastal"/>
    <n v="759"/>
    <s v="Morehead City, NC"/>
    <n v="7220"/>
    <x v="103"/>
    <x v="10"/>
    <n v="1377"/>
    <x v="0"/>
    <x v="780"/>
    <n v="1377"/>
  </r>
  <r>
    <s v="Coastal"/>
    <n v="759"/>
    <s v="Morehead City, NC"/>
    <n v="3292"/>
    <x v="51"/>
    <x v="10"/>
    <n v="547"/>
    <x v="708"/>
    <x v="0"/>
    <n v="547"/>
  </r>
  <r>
    <s v="Coastal"/>
    <n v="759"/>
    <s v="Morehead City, NC"/>
    <n v="7500"/>
    <x v="60"/>
    <x v="10"/>
    <n v="314"/>
    <x v="879"/>
    <x v="0"/>
    <n v="314"/>
  </r>
  <r>
    <s v="Coastal"/>
    <n v="759"/>
    <s v="Morehead City, NC"/>
    <n v="7900"/>
    <x v="21"/>
    <x v="10"/>
    <n v="171"/>
    <x v="1220"/>
    <x v="0"/>
    <n v="171"/>
  </r>
  <r>
    <s v="Coastal"/>
    <n v="759"/>
    <s v="Morehead City, NC"/>
    <n v="7110"/>
    <x v="4"/>
    <x v="10"/>
    <n v="160"/>
    <x v="606"/>
    <x v="0"/>
    <n v="160"/>
  </r>
  <r>
    <s v="Coastal"/>
    <n v="759"/>
    <s v="Morehead City, NC"/>
    <n v="4680"/>
    <x v="70"/>
    <x v="10"/>
    <n v="94"/>
    <x v="0"/>
    <x v="781"/>
    <n v="94"/>
  </r>
  <r>
    <s v="Coastal"/>
    <n v="759"/>
    <s v="Morehead City, NC"/>
    <n v="7400"/>
    <x v="77"/>
    <x v="10"/>
    <n v="54"/>
    <x v="0"/>
    <x v="126"/>
    <n v="54"/>
  </r>
  <r>
    <s v="Coastal"/>
    <n v="759"/>
    <s v="Morehead City, NC"/>
    <n v="7210"/>
    <x v="59"/>
    <x v="10"/>
    <n v="14"/>
    <x v="211"/>
    <x v="0"/>
    <n v="14"/>
  </r>
  <r>
    <s v="Coastal"/>
    <n v="759"/>
    <s v="Morehead City, NC"/>
    <n v="3284"/>
    <x v="97"/>
    <x v="10"/>
    <n v="5"/>
    <x v="168"/>
    <x v="0"/>
    <n v="5"/>
  </r>
  <r>
    <s v="Coastal"/>
    <n v="759"/>
    <s v="Morehead City, NC"/>
    <n v="3299"/>
    <x v="79"/>
    <x v="10"/>
    <n v="4"/>
    <x v="504"/>
    <x v="0"/>
    <n v="4"/>
  </r>
  <r>
    <s v="Coastal"/>
    <n v="759"/>
    <s v="Morehead City, NC"/>
    <n v="3282"/>
    <x v="91"/>
    <x v="10"/>
    <n v="3"/>
    <x v="0"/>
    <x v="128"/>
    <n v="3"/>
  </r>
  <r>
    <s v="Coastal"/>
    <n v="759"/>
    <s v="Morehead City, NC"/>
    <n v="7120"/>
    <x v="71"/>
    <x v="10"/>
    <n v="2"/>
    <x v="212"/>
    <x v="0"/>
    <n v="2"/>
  </r>
  <r>
    <s v="Coastal"/>
    <n v="2087"/>
    <s v="Morgan City Harbor District, LA"/>
    <n v="4900"/>
    <x v="14"/>
    <x v="1708"/>
    <n v="0"/>
    <x v="0"/>
    <x v="0"/>
    <n v="92882"/>
  </r>
  <r>
    <s v="Coastal"/>
    <n v="2087"/>
    <s v="Morgan City Harbor District, LA"/>
    <n v="2330"/>
    <x v="1"/>
    <x v="1709"/>
    <n v="0"/>
    <x v="0"/>
    <x v="0"/>
    <n v="54401"/>
  </r>
  <r>
    <s v="Coastal"/>
    <n v="2087"/>
    <s v="Morgan City Harbor District, LA"/>
    <n v="4331"/>
    <x v="29"/>
    <x v="1710"/>
    <n v="0"/>
    <x v="0"/>
    <x v="0"/>
    <n v="40800"/>
  </r>
  <r>
    <s v="Coastal"/>
    <n v="2087"/>
    <s v="Morgan City Harbor District, LA"/>
    <n v="4322"/>
    <x v="33"/>
    <x v="1711"/>
    <n v="0"/>
    <x v="0"/>
    <x v="0"/>
    <n v="27980"/>
  </r>
  <r>
    <s v="Coastal"/>
    <n v="2087"/>
    <s v="Morgan City Harbor District, LA"/>
    <n v="2430"/>
    <x v="11"/>
    <x v="10"/>
    <n v="22933"/>
    <x v="0"/>
    <x v="782"/>
    <n v="22933"/>
  </r>
  <r>
    <s v="Coastal"/>
    <n v="2087"/>
    <s v="Morgan City Harbor District, LA"/>
    <n v="7900"/>
    <x v="21"/>
    <x v="1712"/>
    <n v="0"/>
    <x v="0"/>
    <x v="0"/>
    <n v="19215"/>
  </r>
  <r>
    <s v="Coastal"/>
    <n v="2087"/>
    <s v="Morgan City Harbor District, LA"/>
    <n v="7110"/>
    <x v="4"/>
    <x v="1713"/>
    <n v="0"/>
    <x v="0"/>
    <x v="0"/>
    <n v="13570"/>
  </r>
  <r>
    <s v="Coastal"/>
    <n v="2087"/>
    <s v="Morgan City Harbor District, LA"/>
    <n v="2100"/>
    <x v="35"/>
    <x v="1714"/>
    <n v="0"/>
    <x v="0"/>
    <x v="0"/>
    <n v="3503"/>
  </r>
  <r>
    <s v="Coastal"/>
    <n v="2087"/>
    <s v="Morgan City Harbor District, LA"/>
    <n v="6838"/>
    <x v="131"/>
    <x v="1715"/>
    <n v="0"/>
    <x v="0"/>
    <x v="0"/>
    <n v="3400"/>
  </r>
  <r>
    <s v="Coastal"/>
    <n v="2087"/>
    <s v="Morgan City Harbor District, LA"/>
    <n v="4783"/>
    <x v="7"/>
    <x v="1716"/>
    <n v="0"/>
    <x v="0"/>
    <x v="0"/>
    <n v="3221"/>
  </r>
  <r>
    <s v="Coastal"/>
    <n v="2087"/>
    <s v="Morgan City Harbor District, LA"/>
    <n v="5330"/>
    <x v="16"/>
    <x v="1717"/>
    <n v="0"/>
    <x v="0"/>
    <x v="0"/>
    <n v="1450"/>
  </r>
  <r>
    <s v="Coastal"/>
    <n v="2087"/>
    <s v="Morgan City Harbor District, LA"/>
    <n v="5370"/>
    <x v="81"/>
    <x v="517"/>
    <n v="0"/>
    <x v="0"/>
    <x v="0"/>
    <n v="1449"/>
  </r>
  <r>
    <s v="Coastal"/>
    <n v="2087"/>
    <s v="Morgan City Harbor District, LA"/>
    <n v="3211"/>
    <x v="124"/>
    <x v="1718"/>
    <n v="0"/>
    <x v="0"/>
    <x v="0"/>
    <n v="1360"/>
  </r>
  <r>
    <s v="Coastal"/>
    <n v="2087"/>
    <s v="Morgan City Harbor District, LA"/>
    <n v="7210"/>
    <x v="59"/>
    <x v="1719"/>
    <n v="0"/>
    <x v="0"/>
    <x v="0"/>
    <n v="600"/>
  </r>
  <r>
    <s v="Coastal"/>
    <n v="2087"/>
    <s v="Morgan City Harbor District, LA"/>
    <n v="5480"/>
    <x v="20"/>
    <x v="1154"/>
    <n v="0"/>
    <x v="0"/>
    <x v="0"/>
    <n v="250"/>
  </r>
  <r>
    <s v="Coastal"/>
    <n v="2087"/>
    <s v="Morgan City Harbor District, LA"/>
    <n v="4420"/>
    <x v="8"/>
    <x v="4"/>
    <n v="0"/>
    <x v="0"/>
    <x v="0"/>
    <n v="200"/>
  </r>
  <r>
    <s v="Great Lakes"/>
    <n v="3803"/>
    <s v="Mueller Township, MI"/>
    <n v="4322"/>
    <x v="33"/>
    <x v="1720"/>
    <n v="46000"/>
    <x v="0"/>
    <x v="783"/>
    <n v="3952218"/>
  </r>
  <r>
    <s v="Great Lakes"/>
    <n v="3803"/>
    <s v="Mueller Township, MI"/>
    <n v="4331"/>
    <x v="29"/>
    <x v="1721"/>
    <n v="0"/>
    <x v="0"/>
    <x v="0"/>
    <n v="213161"/>
  </r>
  <r>
    <s v="Great Lakes"/>
    <n v="3803"/>
    <s v="Mueller Township, MI"/>
    <n v="7110"/>
    <x v="4"/>
    <x v="4"/>
    <n v="0"/>
    <x v="0"/>
    <x v="0"/>
    <n v="200"/>
  </r>
  <r>
    <s v="Great Lakes"/>
    <n v="3843"/>
    <s v="Munising, MI"/>
    <n v="1100"/>
    <x v="32"/>
    <x v="1722"/>
    <n v="0"/>
    <x v="0"/>
    <x v="0"/>
    <n v="28685"/>
  </r>
  <r>
    <s v="Great Lakes"/>
    <n v="3700"/>
    <s v="Muskegon, MI"/>
    <n v="4322"/>
    <x v="33"/>
    <x v="1723"/>
    <n v="128420"/>
    <x v="1221"/>
    <x v="0"/>
    <n v="499697"/>
  </r>
  <r>
    <s v="Great Lakes"/>
    <n v="3700"/>
    <s v="Muskegon, MI"/>
    <n v="4783"/>
    <x v="7"/>
    <x v="1724"/>
    <n v="51554"/>
    <x v="1222"/>
    <x v="0"/>
    <n v="136846"/>
  </r>
  <r>
    <s v="Great Lakes"/>
    <n v="3700"/>
    <s v="Muskegon, MI"/>
    <n v="4331"/>
    <x v="29"/>
    <x v="1725"/>
    <n v="99759"/>
    <x v="1223"/>
    <x v="0"/>
    <n v="126251"/>
  </r>
  <r>
    <s v="Great Lakes"/>
    <n v="3700"/>
    <s v="Muskegon, MI"/>
    <n v="5220"/>
    <x v="30"/>
    <x v="1726"/>
    <n v="0"/>
    <x v="0"/>
    <x v="0"/>
    <n v="101845"/>
  </r>
  <r>
    <s v="Great Lakes"/>
    <n v="3700"/>
    <s v="Muskegon, MI"/>
    <n v="4860"/>
    <x v="31"/>
    <x v="1727"/>
    <n v="0"/>
    <x v="0"/>
    <x v="0"/>
    <n v="78376"/>
  </r>
  <r>
    <s v="Great Lakes"/>
    <n v="3700"/>
    <s v="Muskegon, MI"/>
    <n v="4410"/>
    <x v="34"/>
    <x v="1728"/>
    <n v="0"/>
    <x v="0"/>
    <x v="0"/>
    <n v="2800"/>
  </r>
  <r>
    <s v="Internal"/>
    <n v="6110"/>
    <s v="Muskogee City-County Port, OK"/>
    <n v="5330"/>
    <x v="16"/>
    <x v="1729"/>
    <n v="0"/>
    <x v="0"/>
    <x v="0"/>
    <n v="129669"/>
  </r>
  <r>
    <s v="Internal"/>
    <n v="6110"/>
    <s v="Muskogee City-County Port, OK"/>
    <n v="4782"/>
    <x v="45"/>
    <x v="1730"/>
    <n v="0"/>
    <x v="0"/>
    <x v="0"/>
    <n v="112121"/>
  </r>
  <r>
    <s v="Internal"/>
    <n v="6110"/>
    <s v="Muskogee City-County Port, OK"/>
    <n v="4331"/>
    <x v="29"/>
    <x v="1731"/>
    <n v="0"/>
    <x v="0"/>
    <x v="0"/>
    <n v="76954"/>
  </r>
  <r>
    <s v="Internal"/>
    <n v="6110"/>
    <s v="Muskogee City-County Port, OK"/>
    <n v="3110"/>
    <x v="36"/>
    <x v="1732"/>
    <n v="0"/>
    <x v="0"/>
    <x v="0"/>
    <n v="74516"/>
  </r>
  <r>
    <s v="Internal"/>
    <n v="6110"/>
    <s v="Muskogee City-County Port, OK"/>
    <n v="4900"/>
    <x v="14"/>
    <x v="1733"/>
    <n v="0"/>
    <x v="0"/>
    <x v="0"/>
    <n v="42498"/>
  </r>
  <r>
    <s v="Internal"/>
    <n v="6110"/>
    <s v="Muskogee City-County Port, OK"/>
    <n v="6865"/>
    <x v="75"/>
    <x v="1734"/>
    <n v="0"/>
    <x v="0"/>
    <x v="0"/>
    <n v="36778"/>
  </r>
  <r>
    <s v="Internal"/>
    <n v="6110"/>
    <s v="Muskogee City-County Port, OK"/>
    <n v="6522"/>
    <x v="26"/>
    <x v="1735"/>
    <n v="0"/>
    <x v="0"/>
    <x v="0"/>
    <n v="17628"/>
  </r>
  <r>
    <s v="Internal"/>
    <n v="6110"/>
    <s v="Muskogee City-County Port, OK"/>
    <n v="6782"/>
    <x v="27"/>
    <x v="1736"/>
    <n v="0"/>
    <x v="0"/>
    <x v="0"/>
    <n v="14985"/>
  </r>
  <r>
    <s v="Internal"/>
    <n v="6110"/>
    <s v="Muskogee City-County Port, OK"/>
    <n v="5360"/>
    <x v="94"/>
    <x v="1737"/>
    <n v="0"/>
    <x v="0"/>
    <x v="0"/>
    <n v="14752"/>
  </r>
  <r>
    <s v="Internal"/>
    <n v="6110"/>
    <s v="Muskogee City-County Port, OK"/>
    <n v="1200"/>
    <x v="43"/>
    <x v="1738"/>
    <n v="0"/>
    <x v="0"/>
    <x v="0"/>
    <n v="9308"/>
  </r>
  <r>
    <s v="Internal"/>
    <n v="6110"/>
    <s v="Muskogee City-County Port, OK"/>
    <n v="4420"/>
    <x v="8"/>
    <x v="1739"/>
    <n v="0"/>
    <x v="0"/>
    <x v="0"/>
    <n v="9213"/>
  </r>
  <r>
    <s v="Internal"/>
    <n v="6110"/>
    <s v="Muskogee City-County Port, OK"/>
    <n v="6344"/>
    <x v="25"/>
    <x v="1740"/>
    <n v="0"/>
    <x v="0"/>
    <x v="0"/>
    <n v="7834"/>
  </r>
  <r>
    <s v="Internal"/>
    <n v="6110"/>
    <s v="Muskogee City-County Port, OK"/>
    <n v="3130"/>
    <x v="37"/>
    <x v="1741"/>
    <n v="0"/>
    <x v="0"/>
    <x v="0"/>
    <n v="6547"/>
  </r>
  <r>
    <s v="Internal"/>
    <n v="6110"/>
    <s v="Muskogee City-County Port, OK"/>
    <n v="6241"/>
    <x v="28"/>
    <x v="1742"/>
    <n v="0"/>
    <x v="0"/>
    <x v="0"/>
    <n v="3281"/>
  </r>
  <r>
    <s v="Internal"/>
    <n v="6110"/>
    <s v="Muskogee City-County Port, OK"/>
    <n v="5370"/>
    <x v="81"/>
    <x v="1743"/>
    <n v="0"/>
    <x v="0"/>
    <x v="0"/>
    <n v="2926"/>
  </r>
  <r>
    <s v="Internal"/>
    <n v="6110"/>
    <s v="Muskogee City-County Port, OK"/>
    <n v="7110"/>
    <x v="4"/>
    <x v="80"/>
    <n v="0"/>
    <x v="0"/>
    <x v="0"/>
    <n v="1600"/>
  </r>
  <r>
    <s v="Internal"/>
    <n v="6110"/>
    <s v="Muskogee City-County Port, OK"/>
    <n v="4225"/>
    <x v="10"/>
    <x v="1496"/>
    <n v="0"/>
    <x v="0"/>
    <x v="0"/>
    <n v="1587"/>
  </r>
  <r>
    <s v="Internal"/>
    <n v="6110"/>
    <s v="Muskogee City-County Port, OK"/>
    <n v="2540"/>
    <x v="15"/>
    <x v="1744"/>
    <n v="0"/>
    <x v="0"/>
    <x v="0"/>
    <n v="1522"/>
  </r>
  <r>
    <s v="Coastal"/>
    <n v="93"/>
    <s v="Nantucket, MA"/>
    <n v="4331"/>
    <x v="29"/>
    <x v="1745"/>
    <n v="0"/>
    <x v="0"/>
    <x v="0"/>
    <n v="6518"/>
  </r>
  <r>
    <s v="Coastal"/>
    <n v="93"/>
    <s v="Nantucket, MA"/>
    <n v="4515"/>
    <x v="129"/>
    <x v="1746"/>
    <n v="0"/>
    <x v="0"/>
    <x v="0"/>
    <n v="2428"/>
  </r>
  <r>
    <s v="Coastal"/>
    <n v="93"/>
    <s v="Nantucket, MA"/>
    <n v="3275"/>
    <x v="47"/>
    <x v="1747"/>
    <n v="0"/>
    <x v="0"/>
    <x v="0"/>
    <n v="500"/>
  </r>
  <r>
    <s v="Coastal"/>
    <n v="93"/>
    <s v="Nantucket, MA"/>
    <n v="7400"/>
    <x v="77"/>
    <x v="1748"/>
    <n v="0"/>
    <x v="0"/>
    <x v="0"/>
    <n v="280"/>
  </r>
  <r>
    <s v="Coastal"/>
    <n v="93"/>
    <s v="Nantucket, MA"/>
    <n v="7110"/>
    <x v="4"/>
    <x v="824"/>
    <n v="0"/>
    <x v="0"/>
    <x v="0"/>
    <n v="35"/>
  </r>
  <r>
    <s v="Internal"/>
    <n v="2370"/>
    <s v="Nashville, TN"/>
    <n v="4331"/>
    <x v="29"/>
    <x v="1749"/>
    <n v="0"/>
    <x v="0"/>
    <x v="0"/>
    <n v="3598212"/>
  </r>
  <r>
    <s v="Internal"/>
    <n v="2370"/>
    <s v="Nashville, TN"/>
    <n v="5220"/>
    <x v="30"/>
    <x v="1750"/>
    <n v="0"/>
    <x v="0"/>
    <x v="0"/>
    <n v="1157816"/>
  </r>
  <r>
    <s v="Internal"/>
    <n v="2370"/>
    <s v="Nashville, TN"/>
    <n v="2330"/>
    <x v="1"/>
    <x v="1751"/>
    <n v="0"/>
    <x v="0"/>
    <x v="0"/>
    <n v="834151"/>
  </r>
  <r>
    <s v="Internal"/>
    <n v="2370"/>
    <s v="Nashville, TN"/>
    <n v="2211"/>
    <x v="0"/>
    <x v="1752"/>
    <n v="0"/>
    <x v="0"/>
    <x v="0"/>
    <n v="809985"/>
  </r>
  <r>
    <s v="Internal"/>
    <n v="2370"/>
    <s v="Nashville, TN"/>
    <n v="4420"/>
    <x v="8"/>
    <x v="1753"/>
    <n v="0"/>
    <x v="0"/>
    <x v="0"/>
    <n v="302886"/>
  </r>
  <r>
    <s v="Internal"/>
    <n v="2370"/>
    <s v="Nashville, TN"/>
    <n v="2430"/>
    <x v="11"/>
    <x v="1754"/>
    <n v="0"/>
    <x v="0"/>
    <x v="0"/>
    <n v="196249"/>
  </r>
  <r>
    <s v="Internal"/>
    <n v="2370"/>
    <s v="Nashville, TN"/>
    <n v="3220"/>
    <x v="2"/>
    <x v="1755"/>
    <n v="0"/>
    <x v="0"/>
    <x v="0"/>
    <n v="139338"/>
  </r>
  <r>
    <s v="Internal"/>
    <n v="2370"/>
    <s v="Nashville, TN"/>
    <n v="3110"/>
    <x v="36"/>
    <x v="1756"/>
    <n v="0"/>
    <x v="0"/>
    <x v="0"/>
    <n v="113772"/>
  </r>
  <r>
    <s v="Internal"/>
    <n v="2370"/>
    <s v="Nashville, TN"/>
    <n v="4783"/>
    <x v="7"/>
    <x v="1757"/>
    <n v="0"/>
    <x v="0"/>
    <x v="0"/>
    <n v="95082"/>
  </r>
  <r>
    <s v="Internal"/>
    <n v="2370"/>
    <s v="Nashville, TN"/>
    <n v="5360"/>
    <x v="94"/>
    <x v="1758"/>
    <n v="0"/>
    <x v="0"/>
    <x v="0"/>
    <n v="81163"/>
  </r>
  <r>
    <s v="Internal"/>
    <n v="2370"/>
    <s v="Nashville, TN"/>
    <n v="5390"/>
    <x v="44"/>
    <x v="1759"/>
    <n v="0"/>
    <x v="0"/>
    <x v="0"/>
    <n v="54907"/>
  </r>
  <r>
    <s v="Internal"/>
    <n v="2370"/>
    <s v="Nashville, TN"/>
    <n v="3190"/>
    <x v="38"/>
    <x v="1760"/>
    <n v="0"/>
    <x v="0"/>
    <x v="0"/>
    <n v="46352"/>
  </r>
  <r>
    <s v="Internal"/>
    <n v="2370"/>
    <s v="Nashville, TN"/>
    <n v="4900"/>
    <x v="14"/>
    <x v="1761"/>
    <n v="0"/>
    <x v="0"/>
    <x v="0"/>
    <n v="45054"/>
  </r>
  <r>
    <s v="Internal"/>
    <n v="2370"/>
    <s v="Nashville, TN"/>
    <n v="3130"/>
    <x v="37"/>
    <x v="1762"/>
    <n v="0"/>
    <x v="0"/>
    <x v="0"/>
    <n v="38615"/>
  </r>
  <r>
    <s v="Internal"/>
    <n v="2370"/>
    <s v="Nashville, TN"/>
    <n v="4322"/>
    <x v="33"/>
    <x v="1763"/>
    <n v="0"/>
    <x v="0"/>
    <x v="0"/>
    <n v="17262"/>
  </r>
  <r>
    <s v="Internal"/>
    <n v="2370"/>
    <s v="Nashville, TN"/>
    <n v="2340"/>
    <x v="3"/>
    <x v="1764"/>
    <n v="0"/>
    <x v="0"/>
    <x v="0"/>
    <n v="9378"/>
  </r>
  <r>
    <s v="Internal"/>
    <n v="2370"/>
    <s v="Nashville, TN"/>
    <n v="5330"/>
    <x v="16"/>
    <x v="1765"/>
    <n v="0"/>
    <x v="0"/>
    <x v="0"/>
    <n v="6120"/>
  </r>
  <r>
    <s v="Internal"/>
    <n v="2370"/>
    <s v="Nashville, TN"/>
    <n v="2221"/>
    <x v="9"/>
    <x v="813"/>
    <n v="0"/>
    <x v="0"/>
    <x v="0"/>
    <n v="4328"/>
  </r>
  <r>
    <s v="Internal"/>
    <n v="2370"/>
    <s v="Nashville, TN"/>
    <n v="3120"/>
    <x v="41"/>
    <x v="1766"/>
    <n v="0"/>
    <x v="0"/>
    <x v="0"/>
    <n v="3065"/>
  </r>
  <r>
    <s v="Internal"/>
    <n v="2370"/>
    <s v="Nashville, TN"/>
    <n v="4782"/>
    <x v="45"/>
    <x v="1767"/>
    <n v="0"/>
    <x v="0"/>
    <x v="0"/>
    <n v="1725"/>
  </r>
  <r>
    <s v="Internal"/>
    <n v="2370"/>
    <s v="Nashville, TN"/>
    <n v="3275"/>
    <x v="47"/>
    <x v="450"/>
    <n v="0"/>
    <x v="0"/>
    <x v="0"/>
    <n v="1656"/>
  </r>
  <r>
    <s v="Internal"/>
    <n v="2270"/>
    <s v="Natchez-Adams Port Auhority, MS"/>
    <n v="3220"/>
    <x v="2"/>
    <x v="1768"/>
    <n v="0"/>
    <x v="0"/>
    <x v="0"/>
    <n v="145072"/>
  </r>
  <r>
    <s v="Internal"/>
    <n v="2270"/>
    <s v="Natchez-Adams Port Auhority, MS"/>
    <n v="2100"/>
    <x v="35"/>
    <x v="1769"/>
    <n v="0"/>
    <x v="0"/>
    <x v="0"/>
    <n v="138957"/>
  </r>
  <r>
    <s v="Internal"/>
    <n v="2270"/>
    <s v="Natchez-Adams Port Auhority, MS"/>
    <n v="2330"/>
    <x v="1"/>
    <x v="1770"/>
    <n v="0"/>
    <x v="0"/>
    <x v="0"/>
    <n v="76696"/>
  </r>
  <r>
    <s v="Internal"/>
    <n v="2270"/>
    <s v="Natchez-Adams Port Auhority, MS"/>
    <n v="6522"/>
    <x v="26"/>
    <x v="1771"/>
    <n v="0"/>
    <x v="0"/>
    <x v="0"/>
    <n v="59200"/>
  </r>
  <r>
    <s v="Internal"/>
    <n v="2270"/>
    <s v="Natchez-Adams Port Auhority, MS"/>
    <n v="2211"/>
    <x v="0"/>
    <x v="1772"/>
    <n v="0"/>
    <x v="0"/>
    <x v="0"/>
    <n v="54685"/>
  </r>
  <r>
    <s v="Internal"/>
    <n v="2270"/>
    <s v="Natchez-Adams Port Auhority, MS"/>
    <n v="5220"/>
    <x v="30"/>
    <x v="1773"/>
    <n v="0"/>
    <x v="0"/>
    <x v="0"/>
    <n v="40300"/>
  </r>
  <r>
    <s v="Internal"/>
    <n v="2270"/>
    <s v="Natchez-Adams Port Auhority, MS"/>
    <n v="6344"/>
    <x v="25"/>
    <x v="1774"/>
    <n v="0"/>
    <x v="0"/>
    <x v="0"/>
    <n v="37343"/>
  </r>
  <r>
    <s v="Internal"/>
    <n v="2270"/>
    <s v="Natchez-Adams Port Auhority, MS"/>
    <n v="3274"/>
    <x v="86"/>
    <x v="1775"/>
    <n v="0"/>
    <x v="0"/>
    <x v="0"/>
    <n v="25503"/>
  </r>
  <r>
    <s v="Internal"/>
    <n v="2270"/>
    <s v="Natchez-Adams Port Auhority, MS"/>
    <n v="6782"/>
    <x v="27"/>
    <x v="1776"/>
    <n v="0"/>
    <x v="0"/>
    <x v="0"/>
    <n v="23257"/>
  </r>
  <r>
    <s v="Internal"/>
    <n v="2270"/>
    <s v="Natchez-Adams Port Auhority, MS"/>
    <n v="3276"/>
    <x v="12"/>
    <x v="1777"/>
    <n v="0"/>
    <x v="0"/>
    <x v="0"/>
    <n v="16742"/>
  </r>
  <r>
    <s v="Internal"/>
    <n v="2270"/>
    <s v="Natchez-Adams Port Auhority, MS"/>
    <n v="4331"/>
    <x v="29"/>
    <x v="1778"/>
    <n v="0"/>
    <x v="0"/>
    <x v="0"/>
    <n v="14315"/>
  </r>
  <r>
    <s v="Internal"/>
    <n v="2270"/>
    <s v="Natchez-Adams Port Auhority, MS"/>
    <n v="4335"/>
    <x v="5"/>
    <x v="1779"/>
    <n v="0"/>
    <x v="0"/>
    <x v="0"/>
    <n v="12930"/>
  </r>
  <r>
    <s v="Internal"/>
    <n v="2270"/>
    <s v="Natchez-Adams Port Auhority, MS"/>
    <n v="4322"/>
    <x v="33"/>
    <x v="1780"/>
    <n v="0"/>
    <x v="0"/>
    <x v="0"/>
    <n v="12803"/>
  </r>
  <r>
    <s v="Internal"/>
    <n v="2270"/>
    <s v="Natchez-Adams Port Auhority, MS"/>
    <n v="3190"/>
    <x v="38"/>
    <x v="1781"/>
    <n v="0"/>
    <x v="0"/>
    <x v="0"/>
    <n v="7420"/>
  </r>
  <r>
    <s v="Internal"/>
    <n v="2270"/>
    <s v="Natchez-Adams Port Auhority, MS"/>
    <n v="6654"/>
    <x v="50"/>
    <x v="1782"/>
    <n v="0"/>
    <x v="0"/>
    <x v="0"/>
    <n v="6276"/>
  </r>
  <r>
    <s v="Internal"/>
    <n v="2270"/>
    <s v="Natchez-Adams Port Auhority, MS"/>
    <n v="3219"/>
    <x v="19"/>
    <x v="1783"/>
    <n v="0"/>
    <x v="0"/>
    <x v="0"/>
    <n v="5784"/>
  </r>
  <r>
    <s v="Internal"/>
    <n v="2270"/>
    <s v="Natchez-Adams Port Auhority, MS"/>
    <n v="6447"/>
    <x v="132"/>
    <x v="1784"/>
    <n v="0"/>
    <x v="0"/>
    <x v="0"/>
    <n v="5740"/>
  </r>
  <r>
    <s v="Internal"/>
    <n v="2270"/>
    <s v="Natchez-Adams Port Auhority, MS"/>
    <n v="2430"/>
    <x v="11"/>
    <x v="1785"/>
    <n v="0"/>
    <x v="0"/>
    <x v="0"/>
    <n v="3272"/>
  </r>
  <r>
    <s v="Internal"/>
    <n v="2270"/>
    <s v="Natchez-Adams Port Auhority, MS"/>
    <n v="6653"/>
    <x v="24"/>
    <x v="1786"/>
    <n v="0"/>
    <x v="0"/>
    <x v="0"/>
    <n v="3072"/>
  </r>
  <r>
    <s v="Internal"/>
    <n v="2270"/>
    <s v="Natchez-Adams Port Auhority, MS"/>
    <n v="2350"/>
    <x v="40"/>
    <x v="1787"/>
    <n v="0"/>
    <x v="0"/>
    <x v="0"/>
    <n v="2866"/>
  </r>
  <r>
    <s v="Internal"/>
    <n v="2270"/>
    <s v="Natchez-Adams Port Auhority, MS"/>
    <n v="2540"/>
    <x v="15"/>
    <x v="1788"/>
    <n v="0"/>
    <x v="0"/>
    <x v="0"/>
    <n v="2148"/>
  </r>
  <r>
    <s v="Internal"/>
    <n v="2270"/>
    <s v="Natchez-Adams Port Auhority, MS"/>
    <n v="6442"/>
    <x v="85"/>
    <x v="989"/>
    <n v="0"/>
    <x v="0"/>
    <x v="0"/>
    <n v="1824"/>
  </r>
  <r>
    <s v="Internal"/>
    <n v="2270"/>
    <s v="Natchez-Adams Port Auhority, MS"/>
    <n v="3120"/>
    <x v="41"/>
    <x v="1789"/>
    <n v="0"/>
    <x v="0"/>
    <x v="0"/>
    <n v="1634"/>
  </r>
  <r>
    <s v="Internal"/>
    <n v="2270"/>
    <s v="Natchez-Adams Port Auhority, MS"/>
    <n v="6590"/>
    <x v="23"/>
    <x v="1790"/>
    <n v="0"/>
    <x v="0"/>
    <x v="0"/>
    <n v="1286"/>
  </r>
  <r>
    <s v="Internal"/>
    <n v="2270"/>
    <s v="Natchez-Adams Port Auhority, MS"/>
    <n v="6241"/>
    <x v="28"/>
    <x v="1791"/>
    <n v="0"/>
    <x v="0"/>
    <x v="0"/>
    <n v="1146"/>
  </r>
  <r>
    <s v="Internal"/>
    <n v="2223"/>
    <s v="Natchitoches Parish Port, LA"/>
    <n v="4331"/>
    <x v="29"/>
    <x v="1792"/>
    <n v="0"/>
    <x v="0"/>
    <x v="0"/>
    <n v="59695"/>
  </r>
  <r>
    <s v="Coastal"/>
    <n v="4431"/>
    <s v="Nawiliwili, Kaua'i, HI"/>
    <n v="7800"/>
    <x v="140"/>
    <x v="1793"/>
    <n v="0"/>
    <x v="0"/>
    <x v="0"/>
    <n v="1649112"/>
  </r>
  <r>
    <s v="Coastal"/>
    <n v="4431"/>
    <s v="Nawiliwili, Kaua'i, HI"/>
    <n v="7900"/>
    <x v="21"/>
    <x v="1794"/>
    <n v="0"/>
    <x v="0"/>
    <x v="0"/>
    <n v="118954"/>
  </r>
  <r>
    <s v="Coastal"/>
    <n v="4431"/>
    <s v="Nawiliwili, Kaua'i, HI"/>
    <n v="7210"/>
    <x v="59"/>
    <x v="1795"/>
    <n v="0"/>
    <x v="0"/>
    <x v="0"/>
    <n v="107831"/>
  </r>
  <r>
    <s v="Coastal"/>
    <n v="4431"/>
    <s v="Nawiliwili, Kaua'i, HI"/>
    <n v="2211"/>
    <x v="0"/>
    <x v="1796"/>
    <n v="0"/>
    <x v="0"/>
    <x v="0"/>
    <n v="79384"/>
  </r>
  <r>
    <s v="Coastal"/>
    <n v="4431"/>
    <s v="Nawiliwili, Kaua'i, HI"/>
    <n v="2221"/>
    <x v="9"/>
    <x v="1797"/>
    <n v="0"/>
    <x v="0"/>
    <x v="0"/>
    <n v="58676"/>
  </r>
  <r>
    <s v="Coastal"/>
    <n v="4431"/>
    <s v="Nawiliwili, Kaua'i, HI"/>
    <n v="2330"/>
    <x v="1"/>
    <x v="1798"/>
    <n v="0"/>
    <x v="0"/>
    <x v="0"/>
    <n v="23684"/>
  </r>
  <r>
    <s v="Coastal"/>
    <n v="4431"/>
    <s v="Nawiliwili, Kaua'i, HI"/>
    <n v="7400"/>
    <x v="77"/>
    <x v="1799"/>
    <n v="0"/>
    <x v="0"/>
    <x v="0"/>
    <n v="17360"/>
  </r>
  <r>
    <s v="Coastal"/>
    <n v="4431"/>
    <s v="Nawiliwili, Kaua'i, HI"/>
    <n v="2640"/>
    <x v="110"/>
    <x v="1800"/>
    <n v="8234"/>
    <x v="1224"/>
    <x v="0"/>
    <n v="16752"/>
  </r>
  <r>
    <s v="Coastal"/>
    <n v="4431"/>
    <s v="Nawiliwili, Kaua'i, HI"/>
    <n v="5220"/>
    <x v="30"/>
    <x v="1801"/>
    <n v="0"/>
    <x v="0"/>
    <x v="0"/>
    <n v="14624"/>
  </r>
  <r>
    <s v="Coastal"/>
    <n v="4431"/>
    <s v="Nawiliwili, Kaua'i, HI"/>
    <n v="6889"/>
    <x v="42"/>
    <x v="1802"/>
    <n v="0"/>
    <x v="0"/>
    <x v="0"/>
    <n v="13528"/>
  </r>
  <r>
    <s v="Coastal"/>
    <n v="4431"/>
    <s v="Nawiliwili, Kaua'i, HI"/>
    <n v="6885"/>
    <x v="72"/>
    <x v="1803"/>
    <n v="0"/>
    <x v="0"/>
    <x v="0"/>
    <n v="9587"/>
  </r>
  <r>
    <s v="Coastal"/>
    <n v="4431"/>
    <s v="Nawiliwili, Kaua'i, HI"/>
    <n v="3220"/>
    <x v="2"/>
    <x v="1804"/>
    <n v="0"/>
    <x v="0"/>
    <x v="0"/>
    <n v="9490"/>
  </r>
  <r>
    <s v="Coastal"/>
    <n v="4431"/>
    <s v="Nawiliwili, Kaua'i, HI"/>
    <n v="4189"/>
    <x v="65"/>
    <x v="1805"/>
    <n v="0"/>
    <x v="0"/>
    <x v="0"/>
    <n v="9044"/>
  </r>
  <r>
    <s v="Coastal"/>
    <n v="4431"/>
    <s v="Nawiliwili, Kaua'i, HI"/>
    <n v="6887"/>
    <x v="138"/>
    <x v="1806"/>
    <n v="0"/>
    <x v="0"/>
    <x v="0"/>
    <n v="4949"/>
  </r>
  <r>
    <s v="Coastal"/>
    <n v="4431"/>
    <s v="Nawiliwili, Kaua'i, HI"/>
    <n v="4420"/>
    <x v="8"/>
    <x v="1807"/>
    <n v="0"/>
    <x v="0"/>
    <x v="0"/>
    <n v="3362"/>
  </r>
  <r>
    <s v="Coastal"/>
    <n v="4431"/>
    <s v="Nawiliwili, Kaua'i, HI"/>
    <n v="5480"/>
    <x v="20"/>
    <x v="1808"/>
    <n v="0"/>
    <x v="0"/>
    <x v="0"/>
    <n v="2704"/>
  </r>
  <r>
    <s v="Coastal"/>
    <n v="4431"/>
    <s v="Nawiliwili, Kaua'i, HI"/>
    <n v="4225"/>
    <x v="10"/>
    <x v="1809"/>
    <n v="0"/>
    <x v="0"/>
    <x v="0"/>
    <n v="2334"/>
  </r>
  <r>
    <s v="Coastal"/>
    <n v="4431"/>
    <s v="Nawiliwili, Kaua'i, HI"/>
    <n v="7110"/>
    <x v="4"/>
    <x v="1810"/>
    <n v="0"/>
    <x v="0"/>
    <x v="0"/>
    <n v="2144"/>
  </r>
  <r>
    <s v="Coastal"/>
    <n v="4431"/>
    <s v="Nawiliwili, Kaua'i, HI"/>
    <n v="3190"/>
    <x v="38"/>
    <x v="1811"/>
    <n v="0"/>
    <x v="0"/>
    <x v="0"/>
    <n v="1812"/>
  </r>
  <r>
    <s v="Coastal"/>
    <n v="4431"/>
    <s v="Nawiliwili, Kaua'i, HI"/>
    <n v="6782"/>
    <x v="27"/>
    <x v="1812"/>
    <n v="0"/>
    <x v="0"/>
    <x v="0"/>
    <n v="1711"/>
  </r>
  <r>
    <s v="Coastal"/>
    <n v="4431"/>
    <s v="Nawiliwili, Kaua'i, HI"/>
    <n v="5370"/>
    <x v="81"/>
    <x v="1813"/>
    <n v="0"/>
    <x v="0"/>
    <x v="0"/>
    <n v="1226"/>
  </r>
  <r>
    <s v="Coastal"/>
    <n v="4431"/>
    <s v="Nawiliwili, Kaua'i, HI"/>
    <n v="6781"/>
    <x v="128"/>
    <x v="1015"/>
    <n v="0"/>
    <x v="0"/>
    <x v="0"/>
    <n v="1194"/>
  </r>
  <r>
    <s v="Coastal"/>
    <n v="4431"/>
    <s v="Nawiliwili, Kaua'i, HI"/>
    <n v="5540"/>
    <x v="64"/>
    <x v="1059"/>
    <n v="0"/>
    <x v="0"/>
    <x v="0"/>
    <n v="1116"/>
  </r>
  <r>
    <s v="Coastal"/>
    <n v="4431"/>
    <s v="Nawiliwili, Kaua'i, HI"/>
    <n v="6899"/>
    <x v="114"/>
    <x v="1814"/>
    <n v="0"/>
    <x v="0"/>
    <x v="0"/>
    <n v="1103"/>
  </r>
  <r>
    <s v="Coastal"/>
    <n v="4431"/>
    <s v="Nawiliwili, Kaua'i, HI"/>
    <n v="2429"/>
    <x v="17"/>
    <x v="1815"/>
    <n v="0"/>
    <x v="0"/>
    <x v="0"/>
    <n v="1100"/>
  </r>
  <r>
    <s v="Coastal"/>
    <n v="4431"/>
    <s v="Nawiliwili, Kaua'i, HI"/>
    <n v="6839"/>
    <x v="106"/>
    <x v="1816"/>
    <n v="0"/>
    <x v="0"/>
    <x v="0"/>
    <n v="758"/>
  </r>
  <r>
    <s v="Coastal"/>
    <n v="4431"/>
    <s v="Nawiliwili, Kaua'i, HI"/>
    <n v="3299"/>
    <x v="79"/>
    <x v="1817"/>
    <n v="0"/>
    <x v="0"/>
    <x v="0"/>
    <n v="686"/>
  </r>
  <r>
    <s v="Coastal"/>
    <n v="4431"/>
    <s v="Nawiliwili, Kaua'i, HI"/>
    <n v="7120"/>
    <x v="71"/>
    <x v="1818"/>
    <n v="0"/>
    <x v="0"/>
    <x v="0"/>
    <n v="465"/>
  </r>
  <r>
    <s v="Coastal"/>
    <n v="4431"/>
    <s v="Nawiliwili, Kaua'i, HI"/>
    <n v="5190"/>
    <x v="83"/>
    <x v="832"/>
    <n v="0"/>
    <x v="0"/>
    <x v="0"/>
    <n v="382"/>
  </r>
  <r>
    <s v="Coastal"/>
    <n v="4431"/>
    <s v="Nawiliwili, Kaua'i, HI"/>
    <n v="6747"/>
    <x v="78"/>
    <x v="1206"/>
    <n v="0"/>
    <x v="0"/>
    <x v="0"/>
    <n v="326"/>
  </r>
  <r>
    <s v="Coastal"/>
    <n v="4431"/>
    <s v="Nawiliwili, Kaua'i, HI"/>
    <n v="5290"/>
    <x v="49"/>
    <x v="1819"/>
    <n v="0"/>
    <x v="0"/>
    <x v="0"/>
    <n v="232"/>
  </r>
  <r>
    <s v="Coastal"/>
    <n v="4431"/>
    <s v="Nawiliwili, Kaua'i, HI"/>
    <n v="7600"/>
    <x v="68"/>
    <x v="1295"/>
    <n v="0"/>
    <x v="0"/>
    <x v="0"/>
    <n v="186"/>
  </r>
  <r>
    <s v="Coastal"/>
    <n v="4431"/>
    <s v="Nawiliwili, Kaua'i, HI"/>
    <n v="5360"/>
    <x v="94"/>
    <x v="1820"/>
    <n v="0"/>
    <x v="0"/>
    <x v="0"/>
    <n v="161"/>
  </r>
  <r>
    <s v="Coastal"/>
    <n v="4431"/>
    <s v="Nawiliwili, Kaua'i, HI"/>
    <n v="6654"/>
    <x v="50"/>
    <x v="1214"/>
    <n v="0"/>
    <x v="0"/>
    <x v="0"/>
    <n v="128"/>
  </r>
  <r>
    <s v="Coastal"/>
    <n v="4431"/>
    <s v="Nawiliwili, Kaua'i, HI"/>
    <n v="2990"/>
    <x v="102"/>
    <x v="1821"/>
    <n v="0"/>
    <x v="0"/>
    <x v="0"/>
    <n v="95"/>
  </r>
  <r>
    <s v="Coastal"/>
    <n v="4431"/>
    <s v="Nawiliwili, Kaua'i, HI"/>
    <n v="6442"/>
    <x v="85"/>
    <x v="1822"/>
    <n v="0"/>
    <x v="0"/>
    <x v="0"/>
    <n v="72"/>
  </r>
  <r>
    <s v="Coastal"/>
    <n v="4431"/>
    <s v="Nawiliwili, Kaua'i, HI"/>
    <n v="5240"/>
    <x v="89"/>
    <x v="413"/>
    <n v="0"/>
    <x v="0"/>
    <x v="0"/>
    <n v="51"/>
  </r>
  <r>
    <s v="Coastal"/>
    <n v="4431"/>
    <s v="Nawiliwili, Kaua'i, HI"/>
    <n v="3276"/>
    <x v="12"/>
    <x v="1048"/>
    <n v="0"/>
    <x v="0"/>
    <x v="0"/>
    <n v="46"/>
  </r>
  <r>
    <s v="Coastal"/>
    <n v="4431"/>
    <s v="Nawiliwili, Kaua'i, HI"/>
    <n v="7500"/>
    <x v="60"/>
    <x v="415"/>
    <n v="0"/>
    <x v="0"/>
    <x v="0"/>
    <n v="29"/>
  </r>
  <r>
    <s v="Coastal"/>
    <n v="4431"/>
    <s v="Nawiliwili, Kaua'i, HI"/>
    <n v="3293"/>
    <x v="122"/>
    <x v="649"/>
    <n v="0"/>
    <x v="0"/>
    <x v="0"/>
    <n v="8"/>
  </r>
  <r>
    <s v="Coastal"/>
    <n v="4431"/>
    <s v="Nawiliwili, Kaua'i, HI"/>
    <n v="6134"/>
    <x v="82"/>
    <x v="421"/>
    <n v="0"/>
    <x v="0"/>
    <x v="0"/>
    <n v="6"/>
  </r>
  <r>
    <s v="Coastal"/>
    <n v="4431"/>
    <s v="Nawiliwili, Kaua'i, HI"/>
    <n v="6822"/>
    <x v="84"/>
    <x v="421"/>
    <n v="0"/>
    <x v="0"/>
    <x v="0"/>
    <n v="6"/>
  </r>
  <r>
    <s v="Coastal"/>
    <n v="4431"/>
    <s v="Nawiliwili, Kaua'i, HI"/>
    <n v="7230"/>
    <x v="22"/>
    <x v="186"/>
    <n v="0"/>
    <x v="0"/>
    <x v="0"/>
    <n v="5"/>
  </r>
  <r>
    <s v="Coastal"/>
    <n v="4431"/>
    <s v="Nawiliwili, Kaua'i, HI"/>
    <n v="7220"/>
    <x v="103"/>
    <x v="485"/>
    <n v="0"/>
    <x v="0"/>
    <x v="0"/>
    <n v="4"/>
  </r>
  <r>
    <s v="Coastal"/>
    <n v="98"/>
    <s v="New Bedford Port Authority, MA"/>
    <n v="2330"/>
    <x v="1"/>
    <x v="1823"/>
    <n v="0"/>
    <x v="0"/>
    <x v="0"/>
    <n v="361401"/>
  </r>
  <r>
    <s v="Coastal"/>
    <n v="98"/>
    <s v="New Bedford Port Authority, MA"/>
    <n v="4331"/>
    <x v="29"/>
    <x v="1824"/>
    <n v="0"/>
    <x v="0"/>
    <x v="0"/>
    <n v="59461"/>
  </r>
  <r>
    <s v="Coastal"/>
    <n v="98"/>
    <s v="New Bedford Port Authority, MA"/>
    <n v="2340"/>
    <x v="3"/>
    <x v="1825"/>
    <n v="0"/>
    <x v="0"/>
    <x v="0"/>
    <n v="6782"/>
  </r>
  <r>
    <s v="Coastal"/>
    <n v="98"/>
    <s v="New Bedford Port Authority, MA"/>
    <n v="2211"/>
    <x v="0"/>
    <x v="1826"/>
    <n v="0"/>
    <x v="0"/>
    <x v="0"/>
    <n v="5534"/>
  </r>
  <r>
    <s v="Coastal"/>
    <n v="98"/>
    <s v="New Bedford Port Authority, MA"/>
    <n v="6858"/>
    <x v="74"/>
    <x v="10"/>
    <n v="4761"/>
    <x v="1225"/>
    <x v="0"/>
    <n v="4761"/>
  </r>
  <r>
    <s v="Coastal"/>
    <n v="98"/>
    <s v="New Bedford Port Authority, MA"/>
    <n v="4515"/>
    <x v="129"/>
    <x v="1746"/>
    <n v="0"/>
    <x v="0"/>
    <x v="0"/>
    <n v="2428"/>
  </r>
  <r>
    <s v="Coastal"/>
    <n v="98"/>
    <s v="New Bedford Port Authority, MA"/>
    <n v="3275"/>
    <x v="47"/>
    <x v="1827"/>
    <n v="0"/>
    <x v="0"/>
    <x v="0"/>
    <n v="2219"/>
  </r>
  <r>
    <s v="Coastal"/>
    <n v="98"/>
    <s v="New Bedford Port Authority, MA"/>
    <n v="4170"/>
    <x v="55"/>
    <x v="10"/>
    <n v="1966"/>
    <x v="1226"/>
    <x v="0"/>
    <n v="1966"/>
  </r>
  <r>
    <s v="Coastal"/>
    <n v="98"/>
    <s v="New Bedford Port Authority, MA"/>
    <n v="3240"/>
    <x v="53"/>
    <x v="10"/>
    <n v="1405"/>
    <x v="1227"/>
    <x v="0"/>
    <n v="1405"/>
  </r>
  <r>
    <s v="Coastal"/>
    <n v="98"/>
    <s v="New Bedford Port Authority, MA"/>
    <n v="7400"/>
    <x v="77"/>
    <x v="1828"/>
    <n v="0"/>
    <x v="0"/>
    <x v="0"/>
    <n v="1240"/>
  </r>
  <r>
    <s v="Coastal"/>
    <n v="98"/>
    <s v="New Bedford Port Authority, MA"/>
    <n v="4161"/>
    <x v="54"/>
    <x v="984"/>
    <n v="0"/>
    <x v="0"/>
    <x v="0"/>
    <n v="1000"/>
  </r>
  <r>
    <s v="Coastal"/>
    <n v="98"/>
    <s v="New Bedford Port Authority, MA"/>
    <n v="7110"/>
    <x v="4"/>
    <x v="1829"/>
    <n v="0"/>
    <x v="0"/>
    <x v="0"/>
    <n v="179"/>
  </r>
  <r>
    <s v="Coastal"/>
    <n v="98"/>
    <s v="New Bedford Port Authority, MA"/>
    <n v="5360"/>
    <x v="94"/>
    <x v="10"/>
    <n v="42"/>
    <x v="413"/>
    <x v="0"/>
    <n v="42"/>
  </r>
  <r>
    <s v="Coastal"/>
    <n v="98"/>
    <s v="New Bedford Port Authority, MA"/>
    <n v="7230"/>
    <x v="22"/>
    <x v="10"/>
    <n v="2"/>
    <x v="212"/>
    <x v="0"/>
    <n v="2"/>
  </r>
  <r>
    <s v="Internal"/>
    <n v="2351"/>
    <s v="New Bourbon Port Authority, MO"/>
    <n v="4331"/>
    <x v="29"/>
    <x v="1830"/>
    <n v="0"/>
    <x v="0"/>
    <x v="0"/>
    <n v="5110181"/>
  </r>
  <r>
    <s v="Internal"/>
    <n v="2351"/>
    <s v="New Bourbon Port Authority, MO"/>
    <n v="5220"/>
    <x v="30"/>
    <x v="1831"/>
    <n v="0"/>
    <x v="0"/>
    <x v="0"/>
    <n v="3164743"/>
  </r>
  <r>
    <s v="Internal"/>
    <n v="2351"/>
    <s v="New Bourbon Port Authority, MO"/>
    <n v="4322"/>
    <x v="33"/>
    <x v="1832"/>
    <n v="0"/>
    <x v="0"/>
    <x v="0"/>
    <n v="1318522"/>
  </r>
  <r>
    <s v="Internal"/>
    <n v="2351"/>
    <s v="New Bourbon Port Authority, MO"/>
    <n v="5210"/>
    <x v="130"/>
    <x v="1833"/>
    <n v="0"/>
    <x v="0"/>
    <x v="0"/>
    <n v="692173"/>
  </r>
  <r>
    <s v="Internal"/>
    <n v="2351"/>
    <s v="New Bourbon Port Authority, MO"/>
    <n v="1100"/>
    <x v="32"/>
    <x v="1834"/>
    <n v="0"/>
    <x v="0"/>
    <x v="0"/>
    <n v="398572"/>
  </r>
  <r>
    <s v="Internal"/>
    <n v="2351"/>
    <s v="New Bourbon Port Authority, MO"/>
    <n v="4860"/>
    <x v="31"/>
    <x v="1835"/>
    <n v="0"/>
    <x v="0"/>
    <x v="0"/>
    <n v="334717"/>
  </r>
  <r>
    <s v="Internal"/>
    <n v="2351"/>
    <s v="New Bourbon Port Authority, MO"/>
    <n v="2540"/>
    <x v="15"/>
    <x v="1836"/>
    <n v="0"/>
    <x v="0"/>
    <x v="0"/>
    <n v="172248"/>
  </r>
  <r>
    <s v="Internal"/>
    <n v="2351"/>
    <s v="New Bourbon Port Authority, MO"/>
    <n v="4323"/>
    <x v="6"/>
    <x v="1837"/>
    <n v="0"/>
    <x v="0"/>
    <x v="0"/>
    <n v="160488"/>
  </r>
  <r>
    <s v="Internal"/>
    <n v="2351"/>
    <s v="New Bourbon Port Authority, MO"/>
    <n v="6344"/>
    <x v="25"/>
    <x v="1838"/>
    <n v="0"/>
    <x v="0"/>
    <x v="0"/>
    <n v="99954"/>
  </r>
  <r>
    <s v="Internal"/>
    <n v="2351"/>
    <s v="New Bourbon Port Authority, MO"/>
    <n v="4335"/>
    <x v="5"/>
    <x v="1839"/>
    <n v="0"/>
    <x v="0"/>
    <x v="0"/>
    <n v="74027"/>
  </r>
  <r>
    <s v="Internal"/>
    <n v="2351"/>
    <s v="New Bourbon Port Authority, MO"/>
    <n v="6522"/>
    <x v="26"/>
    <x v="1840"/>
    <n v="0"/>
    <x v="0"/>
    <x v="0"/>
    <n v="43556"/>
  </r>
  <r>
    <s v="Internal"/>
    <n v="2351"/>
    <s v="New Bourbon Port Authority, MO"/>
    <n v="4410"/>
    <x v="34"/>
    <x v="1841"/>
    <n v="0"/>
    <x v="0"/>
    <x v="0"/>
    <n v="40174"/>
  </r>
  <r>
    <s v="Internal"/>
    <n v="2351"/>
    <s v="New Bourbon Port Authority, MO"/>
    <n v="6241"/>
    <x v="28"/>
    <x v="1842"/>
    <n v="0"/>
    <x v="0"/>
    <x v="0"/>
    <n v="16845"/>
  </r>
  <r>
    <s v="Internal"/>
    <n v="2351"/>
    <s v="New Bourbon Port Authority, MO"/>
    <n v="5330"/>
    <x v="16"/>
    <x v="1843"/>
    <n v="0"/>
    <x v="0"/>
    <x v="0"/>
    <n v="4133"/>
  </r>
  <r>
    <s v="Internal"/>
    <n v="2351"/>
    <s v="New Bourbon Port Authority, MO"/>
    <n v="7110"/>
    <x v="4"/>
    <x v="1844"/>
    <n v="0"/>
    <x v="0"/>
    <x v="0"/>
    <n v="1829"/>
  </r>
  <r>
    <s v="Coastal"/>
    <n v="1506"/>
    <s v="New Haven, CT"/>
    <n v="2211"/>
    <x v="0"/>
    <x v="1845"/>
    <n v="2073323"/>
    <x v="1228"/>
    <x v="0"/>
    <n v="3875250"/>
  </r>
  <r>
    <s v="Coastal"/>
    <n v="1506"/>
    <s v="New Haven, CT"/>
    <n v="2330"/>
    <x v="1"/>
    <x v="1846"/>
    <n v="1273524"/>
    <x v="1229"/>
    <x v="0"/>
    <n v="2212503"/>
  </r>
  <r>
    <s v="Coastal"/>
    <n v="1506"/>
    <s v="New Haven, CT"/>
    <n v="3220"/>
    <x v="2"/>
    <x v="1847"/>
    <n v="12313"/>
    <x v="1230"/>
    <x v="0"/>
    <n v="490224"/>
  </r>
  <r>
    <s v="Coastal"/>
    <n v="1506"/>
    <s v="New Haven, CT"/>
    <n v="4783"/>
    <x v="7"/>
    <x v="10"/>
    <n v="410950"/>
    <x v="1231"/>
    <x v="0"/>
    <n v="410950"/>
  </r>
  <r>
    <s v="Coastal"/>
    <n v="1506"/>
    <s v="New Haven, CT"/>
    <n v="4420"/>
    <x v="8"/>
    <x v="10"/>
    <n v="348949"/>
    <x v="0"/>
    <x v="784"/>
    <n v="348949"/>
  </r>
  <r>
    <s v="Coastal"/>
    <n v="1506"/>
    <s v="New Haven, CT"/>
    <n v="2221"/>
    <x v="9"/>
    <x v="1848"/>
    <n v="44995"/>
    <x v="1232"/>
    <x v="0"/>
    <n v="291396"/>
  </r>
  <r>
    <s v="Coastal"/>
    <n v="1506"/>
    <s v="New Haven, CT"/>
    <n v="4189"/>
    <x v="65"/>
    <x v="10"/>
    <n v="115631"/>
    <x v="1233"/>
    <x v="0"/>
    <n v="115631"/>
  </r>
  <r>
    <s v="Coastal"/>
    <n v="1506"/>
    <s v="New Haven, CT"/>
    <n v="5360"/>
    <x v="94"/>
    <x v="10"/>
    <n v="78038"/>
    <x v="1234"/>
    <x v="0"/>
    <n v="78038"/>
  </r>
  <r>
    <s v="Coastal"/>
    <n v="1506"/>
    <s v="New Haven, CT"/>
    <n v="2340"/>
    <x v="3"/>
    <x v="1849"/>
    <n v="0"/>
    <x v="0"/>
    <x v="0"/>
    <n v="56961"/>
  </r>
  <r>
    <s v="Coastal"/>
    <n v="1506"/>
    <s v="New Haven, CT"/>
    <n v="4900"/>
    <x v="14"/>
    <x v="10"/>
    <n v="55221"/>
    <x v="1235"/>
    <x v="0"/>
    <n v="55221"/>
  </r>
  <r>
    <s v="Coastal"/>
    <n v="1506"/>
    <s v="New Haven, CT"/>
    <n v="5220"/>
    <x v="30"/>
    <x v="1850"/>
    <n v="0"/>
    <x v="0"/>
    <x v="0"/>
    <n v="51900"/>
  </r>
  <r>
    <s v="Coastal"/>
    <n v="1506"/>
    <s v="New Haven, CT"/>
    <n v="2100"/>
    <x v="35"/>
    <x v="10"/>
    <n v="48340"/>
    <x v="1236"/>
    <x v="0"/>
    <n v="48340"/>
  </r>
  <r>
    <s v="Coastal"/>
    <n v="1506"/>
    <s v="New Haven, CT"/>
    <n v="5330"/>
    <x v="16"/>
    <x v="10"/>
    <n v="37599"/>
    <x v="1237"/>
    <x v="0"/>
    <n v="37599"/>
  </r>
  <r>
    <s v="Coastal"/>
    <n v="1506"/>
    <s v="New Haven, CT"/>
    <n v="2430"/>
    <x v="11"/>
    <x v="1851"/>
    <n v="0"/>
    <x v="0"/>
    <x v="0"/>
    <n v="34409"/>
  </r>
  <r>
    <s v="Coastal"/>
    <n v="1506"/>
    <s v="New Haven, CT"/>
    <n v="5320"/>
    <x v="13"/>
    <x v="10"/>
    <n v="33379"/>
    <x v="1238"/>
    <x v="0"/>
    <n v="33379"/>
  </r>
  <r>
    <s v="Coastal"/>
    <n v="1506"/>
    <s v="New Haven, CT"/>
    <n v="2540"/>
    <x v="15"/>
    <x v="10"/>
    <n v="29685"/>
    <x v="1239"/>
    <x v="0"/>
    <n v="29685"/>
  </r>
  <r>
    <s v="Coastal"/>
    <n v="1506"/>
    <s v="New Haven, CT"/>
    <n v="2429"/>
    <x v="17"/>
    <x v="1852"/>
    <n v="0"/>
    <x v="0"/>
    <x v="0"/>
    <n v="22008"/>
  </r>
  <r>
    <s v="Coastal"/>
    <n v="1506"/>
    <s v="New Haven, CT"/>
    <n v="4860"/>
    <x v="31"/>
    <x v="1853"/>
    <n v="0"/>
    <x v="0"/>
    <x v="0"/>
    <n v="20574"/>
  </r>
  <r>
    <s v="Coastal"/>
    <n v="1506"/>
    <s v="New Haven, CT"/>
    <n v="5480"/>
    <x v="20"/>
    <x v="10"/>
    <n v="18436"/>
    <x v="1240"/>
    <x v="0"/>
    <n v="18436"/>
  </r>
  <r>
    <s v="Coastal"/>
    <n v="1506"/>
    <s v="New Haven, CT"/>
    <n v="5370"/>
    <x v="81"/>
    <x v="10"/>
    <n v="17561"/>
    <x v="1241"/>
    <x v="0"/>
    <n v="17561"/>
  </r>
  <r>
    <s v="Coastal"/>
    <n v="1506"/>
    <s v="New Haven, CT"/>
    <n v="5540"/>
    <x v="64"/>
    <x v="10"/>
    <n v="15710"/>
    <x v="1242"/>
    <x v="0"/>
    <n v="15710"/>
  </r>
  <r>
    <s v="Coastal"/>
    <n v="1506"/>
    <s v="New Haven, CT"/>
    <n v="3299"/>
    <x v="79"/>
    <x v="10"/>
    <n v="11927"/>
    <x v="0"/>
    <x v="785"/>
    <n v="11927"/>
  </r>
  <r>
    <s v="Coastal"/>
    <n v="1506"/>
    <s v="New Haven, CT"/>
    <n v="3276"/>
    <x v="12"/>
    <x v="10"/>
    <n v="11088"/>
    <x v="1243"/>
    <x v="0"/>
    <n v="11088"/>
  </r>
  <r>
    <s v="Coastal"/>
    <n v="1506"/>
    <s v="New Haven, CT"/>
    <n v="6838"/>
    <x v="131"/>
    <x v="10"/>
    <n v="7327"/>
    <x v="1244"/>
    <x v="0"/>
    <n v="7327"/>
  </r>
  <r>
    <s v="Coastal"/>
    <n v="1506"/>
    <s v="New Haven, CT"/>
    <n v="4225"/>
    <x v="10"/>
    <x v="10"/>
    <n v="3003"/>
    <x v="1245"/>
    <x v="0"/>
    <n v="3003"/>
  </r>
  <r>
    <s v="Coastal"/>
    <n v="1506"/>
    <s v="New Haven, CT"/>
    <n v="7500"/>
    <x v="60"/>
    <x v="10"/>
    <n v="2475"/>
    <x v="1246"/>
    <x v="0"/>
    <n v="2475"/>
  </r>
  <r>
    <s v="Coastal"/>
    <n v="1506"/>
    <s v="New Haven, CT"/>
    <n v="6653"/>
    <x v="24"/>
    <x v="10"/>
    <n v="211"/>
    <x v="976"/>
    <x v="0"/>
    <n v="211"/>
  </r>
  <r>
    <s v="Coastal"/>
    <n v="1506"/>
    <s v="New Haven, CT"/>
    <n v="7400"/>
    <x v="77"/>
    <x v="10"/>
    <n v="178"/>
    <x v="1247"/>
    <x v="0"/>
    <n v="178"/>
  </r>
  <r>
    <s v="Coastal"/>
    <n v="1506"/>
    <s v="New Haven, CT"/>
    <n v="7110"/>
    <x v="4"/>
    <x v="10"/>
    <n v="121"/>
    <x v="1248"/>
    <x v="0"/>
    <n v="121"/>
  </r>
  <r>
    <s v="Coastal"/>
    <n v="1506"/>
    <s v="New Haven, CT"/>
    <n v="5312"/>
    <x v="52"/>
    <x v="10"/>
    <n v="58"/>
    <x v="1249"/>
    <x v="0"/>
    <n v="58"/>
  </r>
  <r>
    <s v="Coastal"/>
    <n v="1506"/>
    <s v="New Haven, CT"/>
    <n v="7600"/>
    <x v="68"/>
    <x v="10"/>
    <n v="34"/>
    <x v="605"/>
    <x v="0"/>
    <n v="34"/>
  </r>
  <r>
    <s v="Coastal"/>
    <n v="1506"/>
    <s v="New Haven, CT"/>
    <n v="7900"/>
    <x v="21"/>
    <x v="10"/>
    <n v="25"/>
    <x v="208"/>
    <x v="0"/>
    <n v="25"/>
  </r>
  <r>
    <s v="Coastal"/>
    <n v="1506"/>
    <s v="New Haven, CT"/>
    <n v="7230"/>
    <x v="22"/>
    <x v="10"/>
    <n v="1"/>
    <x v="19"/>
    <x v="0"/>
    <n v="1"/>
  </r>
  <r>
    <s v="Coastal"/>
    <n v="273"/>
    <s v="New London, CT"/>
    <n v="5370"/>
    <x v="81"/>
    <x v="10"/>
    <n v="4397"/>
    <x v="1250"/>
    <x v="0"/>
    <n v="4397"/>
  </r>
  <r>
    <s v="Coastal"/>
    <n v="273"/>
    <s v="New London, CT"/>
    <n v="9900"/>
    <x v="18"/>
    <x v="10"/>
    <n v="10"/>
    <x v="312"/>
    <x v="0"/>
    <n v="10"/>
  </r>
  <r>
    <s v="Internal"/>
    <n v="2288"/>
    <s v="New Madrid County Port, MO"/>
    <n v="6522"/>
    <x v="26"/>
    <x v="1854"/>
    <n v="0"/>
    <x v="0"/>
    <x v="0"/>
    <n v="604736"/>
  </r>
  <r>
    <s v="Internal"/>
    <n v="2288"/>
    <s v="New Madrid County Port, MO"/>
    <n v="3110"/>
    <x v="36"/>
    <x v="1855"/>
    <n v="0"/>
    <x v="0"/>
    <x v="0"/>
    <n v="556895"/>
  </r>
  <r>
    <s v="Internal"/>
    <n v="2288"/>
    <s v="New Madrid County Port, MO"/>
    <n v="6344"/>
    <x v="25"/>
    <x v="1856"/>
    <n v="0"/>
    <x v="0"/>
    <x v="0"/>
    <n v="466234"/>
  </r>
  <r>
    <s v="Internal"/>
    <n v="2288"/>
    <s v="New Madrid County Port, MO"/>
    <n v="4650"/>
    <x v="67"/>
    <x v="1857"/>
    <n v="0"/>
    <x v="0"/>
    <x v="0"/>
    <n v="310877"/>
  </r>
  <r>
    <s v="Internal"/>
    <n v="2288"/>
    <s v="New Madrid County Port, MO"/>
    <n v="6442"/>
    <x v="85"/>
    <x v="1858"/>
    <n v="0"/>
    <x v="0"/>
    <x v="0"/>
    <n v="156948"/>
  </r>
  <r>
    <s v="Internal"/>
    <n v="2288"/>
    <s v="New Madrid County Port, MO"/>
    <n v="4331"/>
    <x v="29"/>
    <x v="1859"/>
    <n v="0"/>
    <x v="0"/>
    <x v="0"/>
    <n v="99582"/>
  </r>
  <r>
    <s v="Internal"/>
    <n v="2288"/>
    <s v="New Madrid County Port, MO"/>
    <n v="3130"/>
    <x v="37"/>
    <x v="1860"/>
    <n v="0"/>
    <x v="0"/>
    <x v="0"/>
    <n v="98253"/>
  </r>
  <r>
    <s v="Internal"/>
    <n v="2288"/>
    <s v="New Madrid County Port, MO"/>
    <n v="6241"/>
    <x v="28"/>
    <x v="1861"/>
    <n v="0"/>
    <x v="0"/>
    <x v="0"/>
    <n v="58165"/>
  </r>
  <r>
    <s v="Internal"/>
    <n v="2288"/>
    <s v="New Madrid County Port, MO"/>
    <n v="1200"/>
    <x v="43"/>
    <x v="1862"/>
    <n v="0"/>
    <x v="0"/>
    <x v="0"/>
    <n v="41423"/>
  </r>
  <r>
    <s v="Internal"/>
    <n v="2288"/>
    <s v="New Madrid County Port, MO"/>
    <n v="3190"/>
    <x v="38"/>
    <x v="1863"/>
    <n v="0"/>
    <x v="0"/>
    <x v="0"/>
    <n v="40316"/>
  </r>
  <r>
    <s v="Internal"/>
    <n v="2288"/>
    <s v="New Madrid County Port, MO"/>
    <n v="2540"/>
    <x v="15"/>
    <x v="1864"/>
    <n v="0"/>
    <x v="0"/>
    <x v="0"/>
    <n v="37183"/>
  </r>
  <r>
    <s v="Internal"/>
    <n v="2288"/>
    <s v="New Madrid County Port, MO"/>
    <n v="2430"/>
    <x v="11"/>
    <x v="1865"/>
    <n v="0"/>
    <x v="0"/>
    <x v="0"/>
    <n v="29767"/>
  </r>
  <r>
    <s v="Internal"/>
    <n v="2288"/>
    <s v="New Madrid County Port, MO"/>
    <n v="4860"/>
    <x v="31"/>
    <x v="1866"/>
    <n v="0"/>
    <x v="0"/>
    <x v="0"/>
    <n v="22250"/>
  </r>
  <r>
    <s v="Internal"/>
    <n v="2288"/>
    <s v="New Madrid County Port, MO"/>
    <n v="6447"/>
    <x v="132"/>
    <x v="1867"/>
    <n v="0"/>
    <x v="0"/>
    <x v="0"/>
    <n v="17341"/>
  </r>
  <r>
    <s v="Internal"/>
    <n v="2288"/>
    <s v="New Madrid County Port, MO"/>
    <n v="5422"/>
    <x v="66"/>
    <x v="1868"/>
    <n v="0"/>
    <x v="0"/>
    <x v="0"/>
    <n v="14980"/>
  </r>
  <r>
    <s v="Internal"/>
    <n v="2288"/>
    <s v="New Madrid County Port, MO"/>
    <n v="3120"/>
    <x v="41"/>
    <x v="1623"/>
    <n v="0"/>
    <x v="0"/>
    <x v="0"/>
    <n v="13714"/>
  </r>
  <r>
    <s v="Internal"/>
    <n v="2288"/>
    <s v="New Madrid County Port, MO"/>
    <n v="5220"/>
    <x v="30"/>
    <x v="1869"/>
    <n v="0"/>
    <x v="0"/>
    <x v="0"/>
    <n v="13138"/>
  </r>
  <r>
    <s v="Internal"/>
    <n v="2288"/>
    <s v="New Madrid County Port, MO"/>
    <n v="5480"/>
    <x v="20"/>
    <x v="1870"/>
    <n v="0"/>
    <x v="0"/>
    <x v="0"/>
    <n v="8446"/>
  </r>
  <r>
    <s v="Internal"/>
    <n v="2288"/>
    <s v="New Madrid County Port, MO"/>
    <n v="6590"/>
    <x v="23"/>
    <x v="1871"/>
    <n v="0"/>
    <x v="0"/>
    <x v="0"/>
    <n v="4768"/>
  </r>
  <r>
    <s v="Internal"/>
    <n v="2288"/>
    <s v="New Madrid County Port, MO"/>
    <n v="3275"/>
    <x v="47"/>
    <x v="1872"/>
    <n v="0"/>
    <x v="0"/>
    <x v="0"/>
    <n v="1657"/>
  </r>
  <r>
    <s v="Coastal"/>
    <n v="2251"/>
    <s v="New Orleans, LA"/>
    <n v="6344"/>
    <x v="25"/>
    <x v="1873"/>
    <n v="7032128"/>
    <x v="210"/>
    <x v="786"/>
    <n v="12236457"/>
  </r>
  <r>
    <s v="Coastal"/>
    <n v="2251"/>
    <s v="New Orleans, LA"/>
    <n v="2330"/>
    <x v="1"/>
    <x v="1874"/>
    <n v="3268120"/>
    <x v="1251"/>
    <x v="787"/>
    <n v="9696707"/>
  </r>
  <r>
    <s v="Coastal"/>
    <n v="2251"/>
    <s v="New Orleans, LA"/>
    <n v="6522"/>
    <x v="26"/>
    <x v="1875"/>
    <n v="4606848"/>
    <x v="1252"/>
    <x v="788"/>
    <n v="7230786"/>
  </r>
  <r>
    <s v="Coastal"/>
    <n v="2251"/>
    <s v="New Orleans, LA"/>
    <n v="2340"/>
    <x v="3"/>
    <x v="1876"/>
    <n v="614174"/>
    <x v="1253"/>
    <x v="789"/>
    <n v="5485084"/>
  </r>
  <r>
    <s v="Coastal"/>
    <n v="2251"/>
    <s v="New Orleans, LA"/>
    <n v="6782"/>
    <x v="27"/>
    <x v="1877"/>
    <n v="3035145"/>
    <x v="1254"/>
    <x v="790"/>
    <n v="4827072"/>
  </r>
  <r>
    <s v="Coastal"/>
    <n v="2251"/>
    <s v="New Orleans, LA"/>
    <n v="3110"/>
    <x v="36"/>
    <x v="1878"/>
    <n v="1819681"/>
    <x v="1255"/>
    <x v="791"/>
    <n v="4165407"/>
  </r>
  <r>
    <s v="Coastal"/>
    <n v="2251"/>
    <s v="New Orleans, LA"/>
    <n v="3190"/>
    <x v="38"/>
    <x v="1879"/>
    <n v="1220563"/>
    <x v="1256"/>
    <x v="792"/>
    <n v="3553418"/>
  </r>
  <r>
    <s v="Coastal"/>
    <n v="2251"/>
    <s v="New Orleans, LA"/>
    <n v="2540"/>
    <x v="15"/>
    <x v="1880"/>
    <n v="1280846"/>
    <x v="1257"/>
    <x v="793"/>
    <n v="2657261"/>
  </r>
  <r>
    <s v="Coastal"/>
    <n v="2251"/>
    <s v="New Orleans, LA"/>
    <n v="2430"/>
    <x v="11"/>
    <x v="1881"/>
    <n v="655097"/>
    <x v="1258"/>
    <x v="794"/>
    <n v="1980969"/>
  </r>
  <r>
    <s v="Coastal"/>
    <n v="2251"/>
    <s v="New Orleans, LA"/>
    <n v="1100"/>
    <x v="32"/>
    <x v="1882"/>
    <n v="443374"/>
    <x v="1259"/>
    <x v="795"/>
    <n v="1943741"/>
  </r>
  <r>
    <s v="Coastal"/>
    <n v="2251"/>
    <s v="New Orleans, LA"/>
    <n v="2100"/>
    <x v="35"/>
    <x v="1883"/>
    <n v="1649982"/>
    <x v="1260"/>
    <x v="0"/>
    <n v="1911003"/>
  </r>
  <r>
    <s v="Coastal"/>
    <n v="2251"/>
    <s v="New Orleans, LA"/>
    <n v="1200"/>
    <x v="43"/>
    <x v="1884"/>
    <n v="194774"/>
    <x v="1261"/>
    <x v="796"/>
    <n v="1684077"/>
  </r>
  <r>
    <s v="Coastal"/>
    <n v="2251"/>
    <s v="New Orleans, LA"/>
    <n v="5315"/>
    <x v="48"/>
    <x v="1885"/>
    <n v="801170"/>
    <x v="1262"/>
    <x v="797"/>
    <n v="1664049"/>
  </r>
  <r>
    <s v="Coastal"/>
    <n v="2251"/>
    <s v="New Orleans, LA"/>
    <n v="4900"/>
    <x v="14"/>
    <x v="1886"/>
    <n v="631432"/>
    <x v="1263"/>
    <x v="798"/>
    <n v="1494300"/>
  </r>
  <r>
    <s v="Coastal"/>
    <n v="2251"/>
    <s v="New Orleans, LA"/>
    <n v="5330"/>
    <x v="16"/>
    <x v="1887"/>
    <n v="788540"/>
    <x v="1264"/>
    <x v="799"/>
    <n v="1437256"/>
  </r>
  <r>
    <s v="Coastal"/>
    <n v="2251"/>
    <s v="New Orleans, LA"/>
    <n v="6653"/>
    <x v="24"/>
    <x v="1888"/>
    <n v="1095698"/>
    <x v="1265"/>
    <x v="800"/>
    <n v="1425194"/>
  </r>
  <r>
    <s v="Coastal"/>
    <n v="2251"/>
    <s v="New Orleans, LA"/>
    <n v="6241"/>
    <x v="28"/>
    <x v="1889"/>
    <n v="590618"/>
    <x v="1266"/>
    <x v="801"/>
    <n v="1148867"/>
  </r>
  <r>
    <s v="Coastal"/>
    <n v="2251"/>
    <s v="New Orleans, LA"/>
    <n v="2211"/>
    <x v="0"/>
    <x v="1890"/>
    <n v="397090"/>
    <x v="1267"/>
    <x v="802"/>
    <n v="1145003"/>
  </r>
  <r>
    <s v="Coastal"/>
    <n v="2251"/>
    <s v="New Orleans, LA"/>
    <n v="3286"/>
    <x v="57"/>
    <x v="1728"/>
    <n v="1040715"/>
    <x v="1268"/>
    <x v="803"/>
    <n v="1043515"/>
  </r>
  <r>
    <s v="Coastal"/>
    <n v="2251"/>
    <s v="New Orleans, LA"/>
    <n v="3130"/>
    <x v="37"/>
    <x v="1891"/>
    <n v="528368"/>
    <x v="1269"/>
    <x v="804"/>
    <n v="1039502"/>
  </r>
  <r>
    <s v="Coastal"/>
    <n v="2251"/>
    <s v="New Orleans, LA"/>
    <n v="3276"/>
    <x v="12"/>
    <x v="1892"/>
    <n v="717457"/>
    <x v="1270"/>
    <x v="805"/>
    <n v="986547"/>
  </r>
  <r>
    <s v="Coastal"/>
    <n v="2251"/>
    <s v="New Orleans, LA"/>
    <n v="4670"/>
    <x v="90"/>
    <x v="1893"/>
    <n v="449839"/>
    <x v="1271"/>
    <x v="0"/>
    <n v="981852"/>
  </r>
  <r>
    <s v="Coastal"/>
    <n v="2251"/>
    <s v="New Orleans, LA"/>
    <n v="5312"/>
    <x v="52"/>
    <x v="1894"/>
    <n v="628197"/>
    <x v="1272"/>
    <x v="162"/>
    <n v="973071"/>
  </r>
  <r>
    <s v="Coastal"/>
    <n v="2251"/>
    <s v="New Orleans, LA"/>
    <n v="6442"/>
    <x v="85"/>
    <x v="1895"/>
    <n v="411206"/>
    <x v="1273"/>
    <x v="806"/>
    <n v="840900"/>
  </r>
  <r>
    <s v="Coastal"/>
    <n v="2251"/>
    <s v="New Orleans, LA"/>
    <n v="2429"/>
    <x v="17"/>
    <x v="1896"/>
    <n v="524038"/>
    <x v="1274"/>
    <x v="807"/>
    <n v="837400"/>
  </r>
  <r>
    <s v="Coastal"/>
    <n v="2251"/>
    <s v="New Orleans, LA"/>
    <n v="4690"/>
    <x v="62"/>
    <x v="1897"/>
    <n v="340501"/>
    <x v="1275"/>
    <x v="808"/>
    <n v="696466"/>
  </r>
  <r>
    <s v="Coastal"/>
    <n v="2251"/>
    <s v="New Orleans, LA"/>
    <n v="5422"/>
    <x v="66"/>
    <x v="1898"/>
    <n v="523437"/>
    <x v="1276"/>
    <x v="809"/>
    <n v="687120"/>
  </r>
  <r>
    <s v="Coastal"/>
    <n v="2251"/>
    <s v="New Orleans, LA"/>
    <n v="4650"/>
    <x v="67"/>
    <x v="1899"/>
    <n v="371209"/>
    <x v="1277"/>
    <x v="810"/>
    <n v="685654"/>
  </r>
  <r>
    <s v="Coastal"/>
    <n v="2251"/>
    <s v="New Orleans, LA"/>
    <n v="5220"/>
    <x v="30"/>
    <x v="1900"/>
    <n v="141748"/>
    <x v="1278"/>
    <x v="128"/>
    <n v="644328"/>
  </r>
  <r>
    <s v="Coastal"/>
    <n v="2251"/>
    <s v="New Orleans, LA"/>
    <n v="6861"/>
    <x v="69"/>
    <x v="1901"/>
    <n v="12725"/>
    <x v="1279"/>
    <x v="811"/>
    <n v="632404"/>
  </r>
  <r>
    <s v="Coastal"/>
    <n v="2251"/>
    <s v="New Orleans, LA"/>
    <n v="4331"/>
    <x v="29"/>
    <x v="1902"/>
    <n v="122081"/>
    <x v="1280"/>
    <x v="812"/>
    <n v="602740"/>
  </r>
  <r>
    <s v="Coastal"/>
    <n v="2251"/>
    <s v="New Orleans, LA"/>
    <n v="3274"/>
    <x v="86"/>
    <x v="1903"/>
    <n v="163590"/>
    <x v="1281"/>
    <x v="813"/>
    <n v="599259"/>
  </r>
  <r>
    <s v="Coastal"/>
    <n v="2251"/>
    <s v="New Orleans, LA"/>
    <n v="2350"/>
    <x v="40"/>
    <x v="1904"/>
    <n v="304384"/>
    <x v="1282"/>
    <x v="814"/>
    <n v="584556"/>
  </r>
  <r>
    <s v="Coastal"/>
    <n v="2251"/>
    <s v="New Orleans, LA"/>
    <n v="5360"/>
    <x v="94"/>
    <x v="1905"/>
    <n v="225455"/>
    <x v="1283"/>
    <x v="815"/>
    <n v="540226"/>
  </r>
  <r>
    <s v="Coastal"/>
    <n v="2251"/>
    <s v="New Orleans, LA"/>
    <n v="4783"/>
    <x v="7"/>
    <x v="1906"/>
    <n v="434517"/>
    <x v="1284"/>
    <x v="816"/>
    <n v="528568"/>
  </r>
  <r>
    <s v="Coastal"/>
    <n v="2251"/>
    <s v="New Orleans, LA"/>
    <n v="5480"/>
    <x v="20"/>
    <x v="1907"/>
    <n v="406324"/>
    <x v="1285"/>
    <x v="817"/>
    <n v="502415"/>
  </r>
  <r>
    <s v="Coastal"/>
    <n v="2251"/>
    <s v="New Orleans, LA"/>
    <n v="3220"/>
    <x v="2"/>
    <x v="1908"/>
    <n v="249262"/>
    <x v="1286"/>
    <x v="818"/>
    <n v="468015"/>
  </r>
  <r>
    <s v="Coastal"/>
    <n v="2251"/>
    <s v="New Orleans, LA"/>
    <n v="4322"/>
    <x v="33"/>
    <x v="1909"/>
    <n v="269152"/>
    <x v="1287"/>
    <x v="819"/>
    <n v="444533"/>
  </r>
  <r>
    <s v="Coastal"/>
    <n v="2251"/>
    <s v="New Orleans, LA"/>
    <n v="3120"/>
    <x v="41"/>
    <x v="1910"/>
    <n v="22"/>
    <x v="0"/>
    <x v="383"/>
    <n v="426010"/>
  </r>
  <r>
    <s v="Coastal"/>
    <n v="2251"/>
    <s v="New Orleans, LA"/>
    <n v="4420"/>
    <x v="8"/>
    <x v="1911"/>
    <n v="10770"/>
    <x v="402"/>
    <x v="820"/>
    <n v="402912"/>
  </r>
  <r>
    <s v="Coastal"/>
    <n v="2251"/>
    <s v="New Orleans, LA"/>
    <n v="7600"/>
    <x v="68"/>
    <x v="1912"/>
    <n v="386515"/>
    <x v="1288"/>
    <x v="821"/>
    <n v="391193"/>
  </r>
  <r>
    <s v="Coastal"/>
    <n v="2251"/>
    <s v="New Orleans, LA"/>
    <n v="3230"/>
    <x v="80"/>
    <x v="1913"/>
    <n v="300936"/>
    <x v="1289"/>
    <x v="822"/>
    <n v="356885"/>
  </r>
  <r>
    <s v="Coastal"/>
    <n v="2251"/>
    <s v="New Orleans, LA"/>
    <n v="4110"/>
    <x v="105"/>
    <x v="1914"/>
    <n v="345631"/>
    <x v="1290"/>
    <x v="823"/>
    <n v="349169"/>
  </r>
  <r>
    <s v="Coastal"/>
    <n v="2251"/>
    <s v="New Orleans, LA"/>
    <n v="6590"/>
    <x v="23"/>
    <x v="1915"/>
    <n v="7789"/>
    <x v="1291"/>
    <x v="824"/>
    <n v="345589"/>
  </r>
  <r>
    <s v="Coastal"/>
    <n v="2251"/>
    <s v="New Orleans, LA"/>
    <n v="6871"/>
    <x v="73"/>
    <x v="10"/>
    <n v="344930"/>
    <x v="1292"/>
    <x v="825"/>
    <n v="344930"/>
  </r>
  <r>
    <s v="Coastal"/>
    <n v="2251"/>
    <s v="New Orleans, LA"/>
    <n v="6811"/>
    <x v="76"/>
    <x v="10"/>
    <n v="328116"/>
    <x v="1293"/>
    <x v="826"/>
    <n v="328116"/>
  </r>
  <r>
    <s v="Coastal"/>
    <n v="2251"/>
    <s v="New Orleans, LA"/>
    <n v="4782"/>
    <x v="45"/>
    <x v="1916"/>
    <n v="160717"/>
    <x v="1294"/>
    <x v="827"/>
    <n v="314608"/>
  </r>
  <r>
    <s v="Coastal"/>
    <n v="2251"/>
    <s v="New Orleans, LA"/>
    <n v="3275"/>
    <x v="47"/>
    <x v="1917"/>
    <n v="275692"/>
    <x v="1295"/>
    <x v="828"/>
    <n v="299758"/>
  </r>
  <r>
    <s v="Coastal"/>
    <n v="2251"/>
    <s v="New Orleans, LA"/>
    <n v="3299"/>
    <x v="79"/>
    <x v="1918"/>
    <n v="291029"/>
    <x v="1296"/>
    <x v="829"/>
    <n v="292690"/>
  </r>
  <r>
    <s v="Coastal"/>
    <n v="2251"/>
    <s v="New Orleans, LA"/>
    <n v="7900"/>
    <x v="21"/>
    <x v="10"/>
    <n v="288136"/>
    <x v="1297"/>
    <x v="830"/>
    <n v="288136"/>
  </r>
  <r>
    <s v="Coastal"/>
    <n v="2251"/>
    <s v="New Orleans, LA"/>
    <n v="3250"/>
    <x v="108"/>
    <x v="10"/>
    <n v="286148"/>
    <x v="1298"/>
    <x v="831"/>
    <n v="286148"/>
  </r>
  <r>
    <s v="Coastal"/>
    <n v="2251"/>
    <s v="New Orleans, LA"/>
    <n v="3240"/>
    <x v="53"/>
    <x v="1919"/>
    <n v="266761"/>
    <x v="1299"/>
    <x v="832"/>
    <n v="279007"/>
  </r>
  <r>
    <s v="Coastal"/>
    <n v="2251"/>
    <s v="New Orleans, LA"/>
    <n v="3273"/>
    <x v="46"/>
    <x v="1920"/>
    <n v="0"/>
    <x v="0"/>
    <x v="0"/>
    <n v="278875"/>
  </r>
  <r>
    <s v="Coastal"/>
    <n v="2251"/>
    <s v="New Orleans, LA"/>
    <n v="5390"/>
    <x v="44"/>
    <x v="1921"/>
    <n v="1522"/>
    <x v="1300"/>
    <x v="129"/>
    <n v="214582"/>
  </r>
  <r>
    <s v="Coastal"/>
    <n v="2251"/>
    <s v="New Orleans, LA"/>
    <n v="3219"/>
    <x v="19"/>
    <x v="1922"/>
    <n v="119563"/>
    <x v="1301"/>
    <x v="833"/>
    <n v="191728"/>
  </r>
  <r>
    <s v="Coastal"/>
    <n v="2251"/>
    <s v="New Orleans, LA"/>
    <n v="4323"/>
    <x v="6"/>
    <x v="1923"/>
    <n v="267"/>
    <x v="1194"/>
    <x v="129"/>
    <n v="183279"/>
  </r>
  <r>
    <s v="Coastal"/>
    <n v="2251"/>
    <s v="New Orleans, LA"/>
    <n v="4335"/>
    <x v="5"/>
    <x v="1924"/>
    <n v="0"/>
    <x v="0"/>
    <x v="0"/>
    <n v="176938"/>
  </r>
  <r>
    <s v="Coastal"/>
    <n v="2251"/>
    <s v="New Orleans, LA"/>
    <n v="6889"/>
    <x v="42"/>
    <x v="10"/>
    <n v="170223"/>
    <x v="1302"/>
    <x v="834"/>
    <n v="170223"/>
  </r>
  <r>
    <s v="Coastal"/>
    <n v="2251"/>
    <s v="New Orleans, LA"/>
    <n v="5290"/>
    <x v="49"/>
    <x v="1925"/>
    <n v="165670"/>
    <x v="1303"/>
    <x v="835"/>
    <n v="168138"/>
  </r>
  <r>
    <s v="Coastal"/>
    <n v="2251"/>
    <s v="New Orleans, LA"/>
    <n v="3212"/>
    <x v="39"/>
    <x v="1926"/>
    <n v="36660"/>
    <x v="1304"/>
    <x v="258"/>
    <n v="167719"/>
  </r>
  <r>
    <s v="Coastal"/>
    <n v="2251"/>
    <s v="New Orleans, LA"/>
    <n v="2221"/>
    <x v="9"/>
    <x v="1927"/>
    <n v="102138"/>
    <x v="1305"/>
    <x v="836"/>
    <n v="163388"/>
  </r>
  <r>
    <s v="Coastal"/>
    <n v="2251"/>
    <s v="New Orleans, LA"/>
    <n v="5370"/>
    <x v="81"/>
    <x v="1928"/>
    <n v="84854"/>
    <x v="1306"/>
    <x v="837"/>
    <n v="161330"/>
  </r>
  <r>
    <s v="Coastal"/>
    <n v="2251"/>
    <s v="New Orleans, LA"/>
    <n v="4860"/>
    <x v="31"/>
    <x v="1929"/>
    <n v="11392"/>
    <x v="1307"/>
    <x v="125"/>
    <n v="152980"/>
  </r>
  <r>
    <s v="Coastal"/>
    <n v="2251"/>
    <s v="New Orleans, LA"/>
    <n v="5429"/>
    <x v="61"/>
    <x v="1930"/>
    <n v="119099"/>
    <x v="1308"/>
    <x v="838"/>
    <n v="147204"/>
  </r>
  <r>
    <s v="Coastal"/>
    <n v="2251"/>
    <s v="New Orleans, LA"/>
    <n v="9900"/>
    <x v="18"/>
    <x v="10"/>
    <n v="145935"/>
    <x v="1309"/>
    <x v="839"/>
    <n v="145935"/>
  </r>
  <r>
    <s v="Coastal"/>
    <n v="2251"/>
    <s v="New Orleans, LA"/>
    <n v="7110"/>
    <x v="4"/>
    <x v="1931"/>
    <n v="128225"/>
    <x v="1310"/>
    <x v="840"/>
    <n v="139320"/>
  </r>
  <r>
    <s v="Coastal"/>
    <n v="2251"/>
    <s v="New Orleans, LA"/>
    <n v="5120"/>
    <x v="63"/>
    <x v="10"/>
    <n v="132100"/>
    <x v="1311"/>
    <x v="841"/>
    <n v="132100"/>
  </r>
  <r>
    <s v="Coastal"/>
    <n v="2251"/>
    <s v="New Orleans, LA"/>
    <n v="5540"/>
    <x v="64"/>
    <x v="10"/>
    <n v="122364"/>
    <x v="1312"/>
    <x v="842"/>
    <n v="122364"/>
  </r>
  <r>
    <s v="Coastal"/>
    <n v="2251"/>
    <s v="New Orleans, LA"/>
    <n v="5421"/>
    <x v="88"/>
    <x v="10"/>
    <n v="121484"/>
    <x v="1313"/>
    <x v="843"/>
    <n v="121484"/>
  </r>
  <r>
    <s v="Coastal"/>
    <n v="2251"/>
    <s v="New Orleans, LA"/>
    <n v="4410"/>
    <x v="34"/>
    <x v="1932"/>
    <n v="9352"/>
    <x v="1314"/>
    <x v="0"/>
    <n v="113566"/>
  </r>
  <r>
    <s v="Coastal"/>
    <n v="2251"/>
    <s v="New Orleans, LA"/>
    <n v="6865"/>
    <x v="75"/>
    <x v="1933"/>
    <n v="75541"/>
    <x v="1315"/>
    <x v="86"/>
    <n v="109578"/>
  </r>
  <r>
    <s v="Coastal"/>
    <n v="2251"/>
    <s v="New Orleans, LA"/>
    <n v="4327"/>
    <x v="134"/>
    <x v="10"/>
    <n v="107891"/>
    <x v="1316"/>
    <x v="0"/>
    <n v="107891"/>
  </r>
  <r>
    <s v="Coastal"/>
    <n v="2251"/>
    <s v="New Orleans, LA"/>
    <n v="3297"/>
    <x v="116"/>
    <x v="10"/>
    <n v="98544"/>
    <x v="1317"/>
    <x v="844"/>
    <n v="98544"/>
  </r>
  <r>
    <s v="Coastal"/>
    <n v="2251"/>
    <s v="New Orleans, LA"/>
    <n v="6838"/>
    <x v="131"/>
    <x v="1934"/>
    <n v="88568"/>
    <x v="1318"/>
    <x v="845"/>
    <n v="97958"/>
  </r>
  <r>
    <s v="Coastal"/>
    <n v="2251"/>
    <s v="New Orleans, LA"/>
    <n v="3279"/>
    <x v="58"/>
    <x v="1935"/>
    <n v="69711"/>
    <x v="1319"/>
    <x v="846"/>
    <n v="97692"/>
  </r>
  <r>
    <s v="Coastal"/>
    <n v="2251"/>
    <s v="New Orleans, LA"/>
    <n v="7210"/>
    <x v="59"/>
    <x v="10"/>
    <n v="94139"/>
    <x v="1320"/>
    <x v="847"/>
    <n v="94139"/>
  </r>
  <r>
    <s v="Coastal"/>
    <n v="2251"/>
    <s v="New Orleans, LA"/>
    <n v="4189"/>
    <x v="65"/>
    <x v="10"/>
    <n v="83225"/>
    <x v="1321"/>
    <x v="848"/>
    <n v="83225"/>
  </r>
  <r>
    <s v="Coastal"/>
    <n v="2251"/>
    <s v="New Orleans, LA"/>
    <n v="4225"/>
    <x v="10"/>
    <x v="1936"/>
    <n v="75529"/>
    <x v="1322"/>
    <x v="849"/>
    <n v="81878"/>
  </r>
  <r>
    <s v="Coastal"/>
    <n v="2251"/>
    <s v="New Orleans, LA"/>
    <n v="3260"/>
    <x v="107"/>
    <x v="1937"/>
    <n v="31787"/>
    <x v="1323"/>
    <x v="850"/>
    <n v="79665"/>
  </r>
  <r>
    <s v="Coastal"/>
    <n v="2251"/>
    <s v="New Orleans, LA"/>
    <n v="3282"/>
    <x v="91"/>
    <x v="10"/>
    <n v="76400"/>
    <x v="1324"/>
    <x v="851"/>
    <n v="76400"/>
  </r>
  <r>
    <s v="Coastal"/>
    <n v="2251"/>
    <s v="New Orleans, LA"/>
    <n v="6654"/>
    <x v="50"/>
    <x v="1938"/>
    <n v="66322"/>
    <x v="1325"/>
    <x v="852"/>
    <n v="76253"/>
  </r>
  <r>
    <s v="Coastal"/>
    <n v="2251"/>
    <s v="New Orleans, LA"/>
    <n v="6447"/>
    <x v="132"/>
    <x v="1939"/>
    <n v="0"/>
    <x v="0"/>
    <x v="0"/>
    <n v="75816"/>
  </r>
  <r>
    <s v="Coastal"/>
    <n v="2251"/>
    <s v="New Orleans, LA"/>
    <n v="3211"/>
    <x v="124"/>
    <x v="1940"/>
    <n v="33511"/>
    <x v="1326"/>
    <x v="853"/>
    <n v="73890"/>
  </r>
  <r>
    <s v="Coastal"/>
    <n v="2251"/>
    <s v="New Orleans, LA"/>
    <n v="2990"/>
    <x v="102"/>
    <x v="1941"/>
    <n v="35320"/>
    <x v="1327"/>
    <x v="228"/>
    <n v="61026"/>
  </r>
  <r>
    <s v="Coastal"/>
    <n v="2251"/>
    <s v="New Orleans, LA"/>
    <n v="7500"/>
    <x v="60"/>
    <x v="10"/>
    <n v="60825"/>
    <x v="1328"/>
    <x v="854"/>
    <n v="60825"/>
  </r>
  <r>
    <s v="Coastal"/>
    <n v="2251"/>
    <s v="New Orleans, LA"/>
    <n v="7120"/>
    <x v="71"/>
    <x v="1942"/>
    <n v="54426"/>
    <x v="1329"/>
    <x v="855"/>
    <n v="55890"/>
  </r>
  <r>
    <s v="Coastal"/>
    <n v="2251"/>
    <s v="New Orleans, LA"/>
    <n v="6885"/>
    <x v="72"/>
    <x v="1943"/>
    <n v="38718"/>
    <x v="1330"/>
    <x v="856"/>
    <n v="51570"/>
  </r>
  <r>
    <s v="Coastal"/>
    <n v="2251"/>
    <s v="New Orleans, LA"/>
    <n v="4630"/>
    <x v="127"/>
    <x v="1944"/>
    <n v="24110"/>
    <x v="0"/>
    <x v="857"/>
    <n v="51559"/>
  </r>
  <r>
    <s v="Coastal"/>
    <n v="2251"/>
    <s v="New Orleans, LA"/>
    <n v="4680"/>
    <x v="70"/>
    <x v="10"/>
    <n v="37226"/>
    <x v="1331"/>
    <x v="858"/>
    <n v="37226"/>
  </r>
  <r>
    <s v="Coastal"/>
    <n v="2251"/>
    <s v="New Orleans, LA"/>
    <n v="6893"/>
    <x v="113"/>
    <x v="10"/>
    <n v="32127"/>
    <x v="1332"/>
    <x v="859"/>
    <n v="32127"/>
  </r>
  <r>
    <s v="Coastal"/>
    <n v="2251"/>
    <s v="New Orleans, LA"/>
    <n v="3291"/>
    <x v="117"/>
    <x v="10"/>
    <n v="29168"/>
    <x v="1333"/>
    <x v="860"/>
    <n v="29168"/>
  </r>
  <r>
    <s v="Coastal"/>
    <n v="2251"/>
    <s v="New Orleans, LA"/>
    <n v="3292"/>
    <x v="51"/>
    <x v="69"/>
    <n v="25820"/>
    <x v="1334"/>
    <x v="861"/>
    <n v="27508"/>
  </r>
  <r>
    <s v="Coastal"/>
    <n v="2251"/>
    <s v="New Orleans, LA"/>
    <n v="3298"/>
    <x v="123"/>
    <x v="10"/>
    <n v="23250"/>
    <x v="1335"/>
    <x v="862"/>
    <n v="23250"/>
  </r>
  <r>
    <s v="Coastal"/>
    <n v="2251"/>
    <s v="New Orleans, LA"/>
    <n v="3285"/>
    <x v="87"/>
    <x v="10"/>
    <n v="21556"/>
    <x v="1336"/>
    <x v="863"/>
    <n v="21556"/>
  </r>
  <r>
    <s v="Coastal"/>
    <n v="2251"/>
    <s v="New Orleans, LA"/>
    <n v="6839"/>
    <x v="106"/>
    <x v="10"/>
    <n v="21429"/>
    <x v="1337"/>
    <x v="864"/>
    <n v="21429"/>
  </r>
  <r>
    <s v="Coastal"/>
    <n v="2251"/>
    <s v="New Orleans, LA"/>
    <n v="6747"/>
    <x v="78"/>
    <x v="1945"/>
    <n v="17046"/>
    <x v="1338"/>
    <x v="865"/>
    <n v="20174"/>
  </r>
  <r>
    <s v="Coastal"/>
    <n v="2251"/>
    <s v="New Orleans, LA"/>
    <n v="2640"/>
    <x v="110"/>
    <x v="1946"/>
    <n v="11917"/>
    <x v="1087"/>
    <x v="866"/>
    <n v="17999"/>
  </r>
  <r>
    <s v="Coastal"/>
    <n v="2251"/>
    <s v="New Orleans, LA"/>
    <n v="7400"/>
    <x v="77"/>
    <x v="10"/>
    <n v="17361"/>
    <x v="1339"/>
    <x v="867"/>
    <n v="17361"/>
  </r>
  <r>
    <s v="Coastal"/>
    <n v="2251"/>
    <s v="New Orleans, LA"/>
    <n v="3272"/>
    <x v="137"/>
    <x v="1947"/>
    <n v="9913"/>
    <x v="1340"/>
    <x v="0"/>
    <n v="16611"/>
  </r>
  <r>
    <s v="Coastal"/>
    <n v="2251"/>
    <s v="New Orleans, LA"/>
    <n v="2410"/>
    <x v="98"/>
    <x v="10"/>
    <n v="16204"/>
    <x v="1341"/>
    <x v="868"/>
    <n v="16204"/>
  </r>
  <r>
    <s v="Coastal"/>
    <n v="2251"/>
    <s v="New Orleans, LA"/>
    <n v="3284"/>
    <x v="97"/>
    <x v="10"/>
    <n v="16003"/>
    <x v="1342"/>
    <x v="869"/>
    <n v="16003"/>
  </r>
  <r>
    <s v="Coastal"/>
    <n v="2251"/>
    <s v="New Orleans, LA"/>
    <n v="5320"/>
    <x v="13"/>
    <x v="1948"/>
    <n v="5320"/>
    <x v="1343"/>
    <x v="0"/>
    <n v="13452"/>
  </r>
  <r>
    <s v="Coastal"/>
    <n v="2251"/>
    <s v="New Orleans, LA"/>
    <n v="4310"/>
    <x v="96"/>
    <x v="10"/>
    <n v="12338"/>
    <x v="1344"/>
    <x v="870"/>
    <n v="12338"/>
  </r>
  <r>
    <s v="Coastal"/>
    <n v="2251"/>
    <s v="New Orleans, LA"/>
    <n v="3283"/>
    <x v="111"/>
    <x v="10"/>
    <n v="11370"/>
    <x v="1345"/>
    <x v="871"/>
    <n v="11370"/>
  </r>
  <r>
    <s v="Coastal"/>
    <n v="2251"/>
    <s v="New Orleans, LA"/>
    <n v="5240"/>
    <x v="89"/>
    <x v="10"/>
    <n v="10068"/>
    <x v="1003"/>
    <x v="872"/>
    <n v="10068"/>
  </r>
  <r>
    <s v="Coastal"/>
    <n v="2251"/>
    <s v="New Orleans, LA"/>
    <n v="4741"/>
    <x v="56"/>
    <x v="10"/>
    <n v="9491"/>
    <x v="1346"/>
    <x v="0"/>
    <n v="9491"/>
  </r>
  <r>
    <s v="Coastal"/>
    <n v="2251"/>
    <s v="New Orleans, LA"/>
    <n v="7230"/>
    <x v="22"/>
    <x v="10"/>
    <n v="9339"/>
    <x v="1347"/>
    <x v="873"/>
    <n v="9339"/>
  </r>
  <r>
    <s v="Coastal"/>
    <n v="2251"/>
    <s v="New Orleans, LA"/>
    <n v="5190"/>
    <x v="83"/>
    <x v="10"/>
    <n v="7144"/>
    <x v="1348"/>
    <x v="874"/>
    <n v="7144"/>
  </r>
  <r>
    <s v="Coastal"/>
    <n v="2251"/>
    <s v="New Orleans, LA"/>
    <n v="6858"/>
    <x v="74"/>
    <x v="10"/>
    <n v="7009"/>
    <x v="1349"/>
    <x v="875"/>
    <n v="7009"/>
  </r>
  <r>
    <s v="Coastal"/>
    <n v="2251"/>
    <s v="New Orleans, LA"/>
    <n v="7220"/>
    <x v="103"/>
    <x v="10"/>
    <n v="6850"/>
    <x v="1350"/>
    <x v="876"/>
    <n v="6850"/>
  </r>
  <r>
    <s v="Coastal"/>
    <n v="2251"/>
    <s v="New Orleans, LA"/>
    <n v="6134"/>
    <x v="82"/>
    <x v="10"/>
    <n v="4991"/>
    <x v="1351"/>
    <x v="877"/>
    <n v="4991"/>
  </r>
  <r>
    <s v="Coastal"/>
    <n v="2251"/>
    <s v="New Orleans, LA"/>
    <n v="4150"/>
    <x v="101"/>
    <x v="10"/>
    <n v="3695"/>
    <x v="1352"/>
    <x v="0"/>
    <n v="3695"/>
  </r>
  <r>
    <s v="Coastal"/>
    <n v="2251"/>
    <s v="New Orleans, LA"/>
    <n v="5110"/>
    <x v="112"/>
    <x v="10"/>
    <n v="3607"/>
    <x v="1353"/>
    <x v="0"/>
    <n v="3607"/>
  </r>
  <r>
    <s v="Coastal"/>
    <n v="2251"/>
    <s v="New Orleans, LA"/>
    <n v="3271"/>
    <x v="133"/>
    <x v="10"/>
    <n v="3046"/>
    <x v="0"/>
    <x v="878"/>
    <n v="3046"/>
  </r>
  <r>
    <s v="Coastal"/>
    <n v="2251"/>
    <s v="New Orleans, LA"/>
    <n v="6136"/>
    <x v="95"/>
    <x v="10"/>
    <n v="3034"/>
    <x v="1273"/>
    <x v="879"/>
    <n v="3034"/>
  </r>
  <r>
    <s v="Coastal"/>
    <n v="2251"/>
    <s v="New Orleans, LA"/>
    <n v="6857"/>
    <x v="104"/>
    <x v="10"/>
    <n v="2412"/>
    <x v="1354"/>
    <x v="118"/>
    <n v="2412"/>
  </r>
  <r>
    <s v="Coastal"/>
    <n v="2251"/>
    <s v="New Orleans, LA"/>
    <n v="6822"/>
    <x v="84"/>
    <x v="10"/>
    <n v="2154"/>
    <x v="1355"/>
    <x v="880"/>
    <n v="2154"/>
  </r>
  <r>
    <s v="Coastal"/>
    <n v="2251"/>
    <s v="New Orleans, LA"/>
    <n v="6856"/>
    <x v="126"/>
    <x v="10"/>
    <n v="2143"/>
    <x v="1356"/>
    <x v="213"/>
    <n v="2143"/>
  </r>
  <r>
    <s v="Coastal"/>
    <n v="2251"/>
    <s v="New Orleans, LA"/>
    <n v="6887"/>
    <x v="138"/>
    <x v="1638"/>
    <n v="0"/>
    <x v="0"/>
    <x v="0"/>
    <n v="1352"/>
  </r>
  <r>
    <s v="Coastal"/>
    <n v="2251"/>
    <s v="New Orleans, LA"/>
    <n v="4170"/>
    <x v="55"/>
    <x v="10"/>
    <n v="1114"/>
    <x v="1357"/>
    <x v="881"/>
    <n v="1114"/>
  </r>
  <r>
    <s v="Coastal"/>
    <n v="2251"/>
    <s v="New Orleans, LA"/>
    <n v="6899"/>
    <x v="114"/>
    <x v="10"/>
    <n v="1099"/>
    <x v="1358"/>
    <x v="882"/>
    <n v="1099"/>
  </r>
  <r>
    <s v="Coastal"/>
    <n v="2251"/>
    <s v="New Orleans, LA"/>
    <n v="6817"/>
    <x v="119"/>
    <x v="10"/>
    <n v="568"/>
    <x v="1359"/>
    <x v="883"/>
    <n v="568"/>
  </r>
  <r>
    <s v="Coastal"/>
    <n v="2251"/>
    <s v="New Orleans, LA"/>
    <n v="3293"/>
    <x v="122"/>
    <x v="10"/>
    <n v="539"/>
    <x v="1360"/>
    <x v="842"/>
    <n v="539"/>
  </r>
  <r>
    <s v="Coastal"/>
    <n v="2251"/>
    <s v="New Orleans, LA"/>
    <n v="4190"/>
    <x v="99"/>
    <x v="10"/>
    <n v="523"/>
    <x v="1361"/>
    <x v="570"/>
    <n v="523"/>
  </r>
  <r>
    <s v="Coastal"/>
    <n v="2251"/>
    <s v="New Orleans, LA"/>
    <n v="6891"/>
    <x v="93"/>
    <x v="10"/>
    <n v="382"/>
    <x v="333"/>
    <x v="559"/>
    <n v="382"/>
  </r>
  <r>
    <s v="Coastal"/>
    <n v="2251"/>
    <s v="New Orleans, LA"/>
    <n v="6888"/>
    <x v="109"/>
    <x v="10"/>
    <n v="376"/>
    <x v="710"/>
    <x v="234"/>
    <n v="376"/>
  </r>
  <r>
    <s v="Coastal"/>
    <n v="2251"/>
    <s v="New Orleans, LA"/>
    <n v="6894"/>
    <x v="120"/>
    <x v="10"/>
    <n v="279"/>
    <x v="1362"/>
    <x v="884"/>
    <n v="279"/>
  </r>
  <r>
    <s v="Coastal"/>
    <n v="2251"/>
    <s v="New Orleans, LA"/>
    <n v="6835"/>
    <x v="92"/>
    <x v="10"/>
    <n v="266"/>
    <x v="581"/>
    <x v="129"/>
    <n v="266"/>
  </r>
  <r>
    <s v="Coastal"/>
    <n v="2251"/>
    <s v="New Orleans, LA"/>
    <n v="4161"/>
    <x v="54"/>
    <x v="10"/>
    <n v="198"/>
    <x v="148"/>
    <x v="222"/>
    <n v="198"/>
  </r>
  <r>
    <s v="Coastal"/>
    <n v="2251"/>
    <s v="New Orleans, LA"/>
    <n v="6872"/>
    <x v="100"/>
    <x v="10"/>
    <n v="136"/>
    <x v="453"/>
    <x v="885"/>
    <n v="136"/>
  </r>
  <r>
    <s v="Coastal"/>
    <n v="2251"/>
    <s v="New Orleans, LA"/>
    <n v="7300"/>
    <x v="115"/>
    <x v="10"/>
    <n v="120"/>
    <x v="1363"/>
    <x v="0"/>
    <n v="120"/>
  </r>
  <r>
    <s v="Coastal"/>
    <n v="2251"/>
    <s v="New Orleans, LA"/>
    <n v="6746"/>
    <x v="118"/>
    <x v="10"/>
    <n v="106"/>
    <x v="148"/>
    <x v="0"/>
    <n v="106"/>
  </r>
  <r>
    <s v="Coastal"/>
    <n v="2251"/>
    <s v="New Orleans, LA"/>
    <n v="3281"/>
    <x v="125"/>
    <x v="10"/>
    <n v="69"/>
    <x v="1086"/>
    <x v="0"/>
    <n v="69"/>
  </r>
  <r>
    <s v="Coastal"/>
    <n v="2251"/>
    <s v="New Orleans, LA"/>
    <n v="4515"/>
    <x v="129"/>
    <x v="10"/>
    <n v="60"/>
    <x v="211"/>
    <x v="82"/>
    <n v="60"/>
  </r>
  <r>
    <s v="Coastal"/>
    <n v="2251"/>
    <s v="New Orleans, LA"/>
    <n v="6781"/>
    <x v="128"/>
    <x v="10"/>
    <n v="34"/>
    <x v="312"/>
    <x v="236"/>
    <n v="34"/>
  </r>
  <r>
    <s v="Coastal"/>
    <n v="2251"/>
    <s v="New Orleans, LA"/>
    <n v="5210"/>
    <x v="130"/>
    <x v="10"/>
    <n v="3"/>
    <x v="393"/>
    <x v="0"/>
    <n v="3"/>
  </r>
  <r>
    <s v="Coastal"/>
    <n v="398"/>
    <s v="New York, NY &amp; NJ"/>
    <n v="2211"/>
    <x v="0"/>
    <x v="1949"/>
    <n v="11243135"/>
    <x v="1364"/>
    <x v="886"/>
    <n v="23938765"/>
  </r>
  <r>
    <s v="Coastal"/>
    <n v="398"/>
    <s v="New York, NY &amp; NJ"/>
    <n v="2330"/>
    <x v="1"/>
    <x v="1950"/>
    <n v="8530855"/>
    <x v="1365"/>
    <x v="887"/>
    <n v="16853818"/>
  </r>
  <r>
    <s v="Coastal"/>
    <n v="398"/>
    <s v="New York, NY &amp; NJ"/>
    <n v="2100"/>
    <x v="35"/>
    <x v="1951"/>
    <n v="12752220"/>
    <x v="1366"/>
    <x v="888"/>
    <n v="12772454"/>
  </r>
  <r>
    <s v="Coastal"/>
    <n v="398"/>
    <s v="New York, NY &amp; NJ"/>
    <n v="2340"/>
    <x v="3"/>
    <x v="1952"/>
    <n v="2275217"/>
    <x v="1367"/>
    <x v="889"/>
    <n v="10624701"/>
  </r>
  <r>
    <s v="Coastal"/>
    <n v="398"/>
    <s v="New York, NY &amp; NJ"/>
    <n v="7900"/>
    <x v="21"/>
    <x v="1953"/>
    <n v="6321395"/>
    <x v="1368"/>
    <x v="890"/>
    <n v="6673757"/>
  </r>
  <r>
    <s v="Coastal"/>
    <n v="398"/>
    <s v="New York, NY &amp; NJ"/>
    <n v="4331"/>
    <x v="29"/>
    <x v="1954"/>
    <n v="308988"/>
    <x v="1369"/>
    <x v="876"/>
    <n v="3639268"/>
  </r>
  <r>
    <s v="Coastal"/>
    <n v="398"/>
    <s v="New York, NY &amp; NJ"/>
    <n v="7500"/>
    <x v="60"/>
    <x v="10"/>
    <n v="3582709"/>
    <x v="1370"/>
    <x v="891"/>
    <n v="3582709"/>
  </r>
  <r>
    <s v="Coastal"/>
    <n v="398"/>
    <s v="New York, NY &amp; NJ"/>
    <n v="7210"/>
    <x v="59"/>
    <x v="10"/>
    <n v="3224397"/>
    <x v="1371"/>
    <x v="892"/>
    <n v="3224397"/>
  </r>
  <r>
    <s v="Coastal"/>
    <n v="398"/>
    <s v="New York, NY &amp; NJ"/>
    <n v="4420"/>
    <x v="8"/>
    <x v="1955"/>
    <n v="2016281"/>
    <x v="1372"/>
    <x v="893"/>
    <n v="3033335"/>
  </r>
  <r>
    <s v="Coastal"/>
    <n v="398"/>
    <s v="New York, NY &amp; NJ"/>
    <n v="2221"/>
    <x v="9"/>
    <x v="1956"/>
    <n v="1624336"/>
    <x v="1373"/>
    <x v="86"/>
    <n v="3017544"/>
  </r>
  <r>
    <s v="Coastal"/>
    <n v="398"/>
    <s v="New York, NY &amp; NJ"/>
    <n v="3220"/>
    <x v="2"/>
    <x v="1957"/>
    <n v="656455"/>
    <x v="1374"/>
    <x v="894"/>
    <n v="2951448"/>
  </r>
  <r>
    <s v="Coastal"/>
    <n v="398"/>
    <s v="New York, NY &amp; NJ"/>
    <n v="2429"/>
    <x v="17"/>
    <x v="1958"/>
    <n v="1659827"/>
    <x v="1375"/>
    <x v="895"/>
    <n v="2917597"/>
  </r>
  <r>
    <s v="Coastal"/>
    <n v="398"/>
    <s v="New York, NY &amp; NJ"/>
    <n v="4225"/>
    <x v="10"/>
    <x v="10"/>
    <n v="2868094"/>
    <x v="1376"/>
    <x v="896"/>
    <n v="2868094"/>
  </r>
  <r>
    <s v="Coastal"/>
    <n v="398"/>
    <s v="New York, NY &amp; NJ"/>
    <n v="7600"/>
    <x v="68"/>
    <x v="10"/>
    <n v="2838074"/>
    <x v="1377"/>
    <x v="897"/>
    <n v="2838074"/>
  </r>
  <r>
    <s v="Coastal"/>
    <n v="398"/>
    <s v="New York, NY &amp; NJ"/>
    <n v="6885"/>
    <x v="72"/>
    <x v="10"/>
    <n v="2388420"/>
    <x v="1378"/>
    <x v="898"/>
    <n v="2388420"/>
  </r>
  <r>
    <s v="Coastal"/>
    <n v="398"/>
    <s v="New York, NY &amp; NJ"/>
    <n v="5220"/>
    <x v="30"/>
    <x v="1959"/>
    <n v="1735667"/>
    <x v="1379"/>
    <x v="899"/>
    <n v="2278388"/>
  </r>
  <r>
    <s v="Coastal"/>
    <n v="398"/>
    <s v="New York, NY &amp; NJ"/>
    <n v="7110"/>
    <x v="4"/>
    <x v="10"/>
    <n v="2228348"/>
    <x v="1380"/>
    <x v="900"/>
    <n v="2228348"/>
  </r>
  <r>
    <s v="Coastal"/>
    <n v="398"/>
    <s v="New York, NY &amp; NJ"/>
    <n v="6889"/>
    <x v="42"/>
    <x v="10"/>
    <n v="2159672"/>
    <x v="1381"/>
    <x v="901"/>
    <n v="2159672"/>
  </r>
  <r>
    <s v="Coastal"/>
    <n v="398"/>
    <s v="New York, NY &amp; NJ"/>
    <n v="3286"/>
    <x v="57"/>
    <x v="10"/>
    <n v="2129730"/>
    <x v="1382"/>
    <x v="902"/>
    <n v="2129730"/>
  </r>
  <r>
    <s v="Coastal"/>
    <n v="398"/>
    <s v="New York, NY &amp; NJ"/>
    <n v="4783"/>
    <x v="7"/>
    <x v="10"/>
    <n v="2096173"/>
    <x v="1383"/>
    <x v="903"/>
    <n v="2096173"/>
  </r>
  <r>
    <s v="Coastal"/>
    <n v="398"/>
    <s v="New York, NY &amp; NJ"/>
    <n v="5290"/>
    <x v="49"/>
    <x v="10"/>
    <n v="2086360"/>
    <x v="1384"/>
    <x v="904"/>
    <n v="2086360"/>
  </r>
  <r>
    <s v="Coastal"/>
    <n v="398"/>
    <s v="New York, NY &amp; NJ"/>
    <n v="7120"/>
    <x v="71"/>
    <x v="10"/>
    <n v="2067697"/>
    <x v="1385"/>
    <x v="905"/>
    <n v="2067697"/>
  </r>
  <r>
    <s v="Coastal"/>
    <n v="398"/>
    <s v="New York, NY &amp; NJ"/>
    <n v="5480"/>
    <x v="20"/>
    <x v="10"/>
    <n v="1952594"/>
    <x v="1386"/>
    <x v="906"/>
    <n v="1952594"/>
  </r>
  <r>
    <s v="Coastal"/>
    <n v="398"/>
    <s v="New York, NY &amp; NJ"/>
    <n v="6654"/>
    <x v="50"/>
    <x v="10"/>
    <n v="1726052"/>
    <x v="1387"/>
    <x v="907"/>
    <n v="1726052"/>
  </r>
  <r>
    <s v="Coastal"/>
    <n v="398"/>
    <s v="New York, NY &amp; NJ"/>
    <n v="6858"/>
    <x v="74"/>
    <x v="10"/>
    <n v="1512429"/>
    <x v="1388"/>
    <x v="908"/>
    <n v="1512429"/>
  </r>
  <r>
    <s v="Coastal"/>
    <n v="398"/>
    <s v="New York, NY &amp; NJ"/>
    <n v="5120"/>
    <x v="63"/>
    <x v="1960"/>
    <n v="918391"/>
    <x v="1389"/>
    <x v="909"/>
    <n v="991495"/>
  </r>
  <r>
    <s v="Coastal"/>
    <n v="398"/>
    <s v="New York, NY &amp; NJ"/>
    <n v="3285"/>
    <x v="87"/>
    <x v="10"/>
    <n v="955950"/>
    <x v="1390"/>
    <x v="910"/>
    <n v="955950"/>
  </r>
  <r>
    <s v="Coastal"/>
    <n v="398"/>
    <s v="New York, NY &amp; NJ"/>
    <n v="3299"/>
    <x v="79"/>
    <x v="10"/>
    <n v="762528"/>
    <x v="1391"/>
    <x v="911"/>
    <n v="762528"/>
  </r>
  <r>
    <s v="Coastal"/>
    <n v="398"/>
    <s v="New York, NY &amp; NJ"/>
    <n v="6747"/>
    <x v="78"/>
    <x v="10"/>
    <n v="694061"/>
    <x v="1392"/>
    <x v="912"/>
    <n v="694061"/>
  </r>
  <r>
    <s v="Coastal"/>
    <n v="398"/>
    <s v="New York, NY &amp; NJ"/>
    <n v="5240"/>
    <x v="89"/>
    <x v="10"/>
    <n v="693695"/>
    <x v="1393"/>
    <x v="913"/>
    <n v="693695"/>
  </r>
  <r>
    <s v="Coastal"/>
    <n v="398"/>
    <s v="New York, NY &amp; NJ"/>
    <n v="6653"/>
    <x v="24"/>
    <x v="10"/>
    <n v="669052"/>
    <x v="1394"/>
    <x v="914"/>
    <n v="669052"/>
  </r>
  <r>
    <s v="Coastal"/>
    <n v="398"/>
    <s v="New York, NY &amp; NJ"/>
    <n v="4680"/>
    <x v="70"/>
    <x v="10"/>
    <n v="647657"/>
    <x v="1395"/>
    <x v="915"/>
    <n v="647657"/>
  </r>
  <r>
    <s v="Coastal"/>
    <n v="398"/>
    <s v="New York, NY &amp; NJ"/>
    <n v="5540"/>
    <x v="64"/>
    <x v="10"/>
    <n v="631348"/>
    <x v="1396"/>
    <x v="916"/>
    <n v="631348"/>
  </r>
  <r>
    <s v="Coastal"/>
    <n v="398"/>
    <s v="New York, NY &amp; NJ"/>
    <n v="5422"/>
    <x v="66"/>
    <x v="10"/>
    <n v="620583"/>
    <x v="1397"/>
    <x v="917"/>
    <n v="620583"/>
  </r>
  <r>
    <s v="Coastal"/>
    <n v="398"/>
    <s v="New York, NY &amp; NJ"/>
    <n v="9900"/>
    <x v="18"/>
    <x v="10"/>
    <n v="586087"/>
    <x v="1398"/>
    <x v="918"/>
    <n v="586087"/>
  </r>
  <r>
    <s v="Coastal"/>
    <n v="398"/>
    <s v="New York, NY &amp; NJ"/>
    <n v="6782"/>
    <x v="27"/>
    <x v="10"/>
    <n v="557223"/>
    <x v="1399"/>
    <x v="919"/>
    <n v="557223"/>
  </r>
  <r>
    <s v="Coastal"/>
    <n v="398"/>
    <s v="New York, NY &amp; NJ"/>
    <n v="6522"/>
    <x v="26"/>
    <x v="10"/>
    <n v="531218"/>
    <x v="1400"/>
    <x v="920"/>
    <n v="531218"/>
  </r>
  <r>
    <s v="Coastal"/>
    <n v="398"/>
    <s v="New York, NY &amp; NJ"/>
    <n v="3230"/>
    <x v="80"/>
    <x v="10"/>
    <n v="529124"/>
    <x v="1401"/>
    <x v="921"/>
    <n v="529124"/>
  </r>
  <r>
    <s v="Coastal"/>
    <n v="398"/>
    <s v="New York, NY &amp; NJ"/>
    <n v="4189"/>
    <x v="65"/>
    <x v="10"/>
    <n v="524516"/>
    <x v="1402"/>
    <x v="922"/>
    <n v="524516"/>
  </r>
  <r>
    <s v="Coastal"/>
    <n v="398"/>
    <s v="New York, NY &amp; NJ"/>
    <n v="6861"/>
    <x v="69"/>
    <x v="1961"/>
    <n v="114421"/>
    <x v="1403"/>
    <x v="923"/>
    <n v="522910"/>
  </r>
  <r>
    <s v="Coastal"/>
    <n v="398"/>
    <s v="New York, NY &amp; NJ"/>
    <n v="5190"/>
    <x v="83"/>
    <x v="10"/>
    <n v="481697"/>
    <x v="1404"/>
    <x v="924"/>
    <n v="481697"/>
  </r>
  <r>
    <s v="Coastal"/>
    <n v="398"/>
    <s v="New York, NY &amp; NJ"/>
    <n v="6857"/>
    <x v="104"/>
    <x v="10"/>
    <n v="468587"/>
    <x v="1405"/>
    <x v="925"/>
    <n v="468587"/>
  </r>
  <r>
    <s v="Coastal"/>
    <n v="398"/>
    <s v="New York, NY &amp; NJ"/>
    <n v="6136"/>
    <x v="95"/>
    <x v="10"/>
    <n v="453580"/>
    <x v="1406"/>
    <x v="926"/>
    <n v="453580"/>
  </r>
  <r>
    <s v="Coastal"/>
    <n v="398"/>
    <s v="New York, NY &amp; NJ"/>
    <n v="6871"/>
    <x v="73"/>
    <x v="10"/>
    <n v="444651"/>
    <x v="1407"/>
    <x v="927"/>
    <n v="444651"/>
  </r>
  <r>
    <s v="Coastal"/>
    <n v="398"/>
    <s v="New York, NY &amp; NJ"/>
    <n v="3292"/>
    <x v="51"/>
    <x v="10"/>
    <n v="430551"/>
    <x v="1408"/>
    <x v="928"/>
    <n v="430551"/>
  </r>
  <r>
    <s v="Coastal"/>
    <n v="398"/>
    <s v="New York, NY &amp; NJ"/>
    <n v="4170"/>
    <x v="55"/>
    <x v="10"/>
    <n v="418157"/>
    <x v="1409"/>
    <x v="929"/>
    <n v="418157"/>
  </r>
  <r>
    <s v="Coastal"/>
    <n v="398"/>
    <s v="New York, NY &amp; NJ"/>
    <n v="6888"/>
    <x v="109"/>
    <x v="10"/>
    <n v="409282"/>
    <x v="1410"/>
    <x v="930"/>
    <n v="409282"/>
  </r>
  <r>
    <s v="Coastal"/>
    <n v="398"/>
    <s v="New York, NY &amp; NJ"/>
    <n v="6822"/>
    <x v="84"/>
    <x v="10"/>
    <n v="404660"/>
    <x v="1411"/>
    <x v="931"/>
    <n v="404660"/>
  </r>
  <r>
    <s v="Coastal"/>
    <n v="398"/>
    <s v="New York, NY &amp; NJ"/>
    <n v="4860"/>
    <x v="31"/>
    <x v="1962"/>
    <n v="19394"/>
    <x v="1412"/>
    <x v="932"/>
    <n v="319663"/>
  </r>
  <r>
    <s v="Coastal"/>
    <n v="398"/>
    <s v="New York, NY &amp; NJ"/>
    <n v="7400"/>
    <x v="77"/>
    <x v="10"/>
    <n v="316494"/>
    <x v="1413"/>
    <x v="933"/>
    <n v="316494"/>
  </r>
  <r>
    <s v="Coastal"/>
    <n v="398"/>
    <s v="New York, NY &amp; NJ"/>
    <n v="2350"/>
    <x v="40"/>
    <x v="1963"/>
    <n v="150453"/>
    <x v="1414"/>
    <x v="934"/>
    <n v="296855"/>
  </r>
  <r>
    <s v="Coastal"/>
    <n v="398"/>
    <s v="New York, NY &amp; NJ"/>
    <n v="3276"/>
    <x v="12"/>
    <x v="10"/>
    <n v="294047"/>
    <x v="1415"/>
    <x v="935"/>
    <n v="294047"/>
  </r>
  <r>
    <s v="Coastal"/>
    <n v="398"/>
    <s v="New York, NY &amp; NJ"/>
    <n v="6442"/>
    <x v="85"/>
    <x v="10"/>
    <n v="288775"/>
    <x v="1416"/>
    <x v="936"/>
    <n v="288775"/>
  </r>
  <r>
    <s v="Coastal"/>
    <n v="398"/>
    <s v="New York, NY &amp; NJ"/>
    <n v="6872"/>
    <x v="100"/>
    <x v="10"/>
    <n v="267688"/>
    <x v="1417"/>
    <x v="937"/>
    <n v="267688"/>
  </r>
  <r>
    <s v="Coastal"/>
    <n v="398"/>
    <s v="New York, NY &amp; NJ"/>
    <n v="3284"/>
    <x v="97"/>
    <x v="10"/>
    <n v="259744"/>
    <x v="1418"/>
    <x v="938"/>
    <n v="259744"/>
  </r>
  <r>
    <s v="Coastal"/>
    <n v="398"/>
    <s v="New York, NY &amp; NJ"/>
    <n v="4900"/>
    <x v="14"/>
    <x v="10"/>
    <n v="238214"/>
    <x v="1419"/>
    <x v="939"/>
    <n v="238214"/>
  </r>
  <r>
    <s v="Coastal"/>
    <n v="398"/>
    <s v="New York, NY &amp; NJ"/>
    <n v="6134"/>
    <x v="82"/>
    <x v="10"/>
    <n v="236418"/>
    <x v="1420"/>
    <x v="940"/>
    <n v="236418"/>
  </r>
  <r>
    <s v="Coastal"/>
    <n v="398"/>
    <s v="New York, NY &amp; NJ"/>
    <n v="2640"/>
    <x v="110"/>
    <x v="10"/>
    <n v="232287"/>
    <x v="1421"/>
    <x v="941"/>
    <n v="232287"/>
  </r>
  <r>
    <s v="Coastal"/>
    <n v="398"/>
    <s v="New York, NY &amp; NJ"/>
    <n v="5370"/>
    <x v="81"/>
    <x v="10"/>
    <n v="229860"/>
    <x v="1422"/>
    <x v="942"/>
    <n v="229860"/>
  </r>
  <r>
    <s v="Coastal"/>
    <n v="398"/>
    <s v="New York, NY &amp; NJ"/>
    <n v="6835"/>
    <x v="92"/>
    <x v="10"/>
    <n v="211619"/>
    <x v="1423"/>
    <x v="943"/>
    <n v="211619"/>
  </r>
  <r>
    <s v="Coastal"/>
    <n v="398"/>
    <s v="New York, NY &amp; NJ"/>
    <n v="3275"/>
    <x v="47"/>
    <x v="10"/>
    <n v="211285"/>
    <x v="1424"/>
    <x v="944"/>
    <n v="211285"/>
  </r>
  <r>
    <s v="Coastal"/>
    <n v="398"/>
    <s v="New York, NY &amp; NJ"/>
    <n v="6811"/>
    <x v="76"/>
    <x v="10"/>
    <n v="200717"/>
    <x v="1425"/>
    <x v="945"/>
    <n v="200717"/>
  </r>
  <r>
    <s v="Coastal"/>
    <n v="398"/>
    <s v="New York, NY &amp; NJ"/>
    <n v="4310"/>
    <x v="96"/>
    <x v="10"/>
    <n v="192032"/>
    <x v="1426"/>
    <x v="544"/>
    <n v="192032"/>
  </r>
  <r>
    <s v="Coastal"/>
    <n v="398"/>
    <s v="New York, NY &amp; NJ"/>
    <n v="3240"/>
    <x v="53"/>
    <x v="10"/>
    <n v="182313"/>
    <x v="1427"/>
    <x v="946"/>
    <n v="182313"/>
  </r>
  <r>
    <s v="Coastal"/>
    <n v="398"/>
    <s v="New York, NY &amp; NJ"/>
    <n v="5421"/>
    <x v="88"/>
    <x v="10"/>
    <n v="180665"/>
    <x v="1428"/>
    <x v="947"/>
    <n v="180665"/>
  </r>
  <r>
    <s v="Coastal"/>
    <n v="398"/>
    <s v="New York, NY &amp; NJ"/>
    <n v="2430"/>
    <x v="11"/>
    <x v="1964"/>
    <n v="20454"/>
    <x v="1429"/>
    <x v="948"/>
    <n v="178978"/>
  </r>
  <r>
    <s v="Coastal"/>
    <n v="398"/>
    <s v="New York, NY &amp; NJ"/>
    <n v="3282"/>
    <x v="91"/>
    <x v="10"/>
    <n v="168077"/>
    <x v="1430"/>
    <x v="949"/>
    <n v="168077"/>
  </r>
  <r>
    <s v="Coastal"/>
    <n v="398"/>
    <s v="New York, NY &amp; NJ"/>
    <n v="3297"/>
    <x v="116"/>
    <x v="10"/>
    <n v="165142"/>
    <x v="1431"/>
    <x v="950"/>
    <n v="165142"/>
  </r>
  <r>
    <s v="Coastal"/>
    <n v="398"/>
    <s v="New York, NY &amp; NJ"/>
    <n v="6856"/>
    <x v="126"/>
    <x v="10"/>
    <n v="153987"/>
    <x v="1432"/>
    <x v="372"/>
    <n v="153987"/>
  </r>
  <r>
    <s v="Coastal"/>
    <n v="398"/>
    <s v="New York, NY &amp; NJ"/>
    <n v="3260"/>
    <x v="107"/>
    <x v="10"/>
    <n v="142303"/>
    <x v="1433"/>
    <x v="951"/>
    <n v="142303"/>
  </r>
  <r>
    <s v="Coastal"/>
    <n v="398"/>
    <s v="New York, NY &amp; NJ"/>
    <n v="6839"/>
    <x v="106"/>
    <x v="10"/>
    <n v="135161"/>
    <x v="1434"/>
    <x v="952"/>
    <n v="135161"/>
  </r>
  <r>
    <s v="Coastal"/>
    <n v="398"/>
    <s v="New York, NY &amp; NJ"/>
    <n v="5360"/>
    <x v="94"/>
    <x v="10"/>
    <n v="132205"/>
    <x v="1435"/>
    <x v="953"/>
    <n v="132205"/>
  </r>
  <r>
    <s v="Coastal"/>
    <n v="398"/>
    <s v="New York, NY &amp; NJ"/>
    <n v="3250"/>
    <x v="108"/>
    <x v="10"/>
    <n v="123221"/>
    <x v="1436"/>
    <x v="954"/>
    <n v="123221"/>
  </r>
  <r>
    <s v="Coastal"/>
    <n v="398"/>
    <s v="New York, NY &amp; NJ"/>
    <n v="4190"/>
    <x v="99"/>
    <x v="10"/>
    <n v="117880"/>
    <x v="1437"/>
    <x v="955"/>
    <n v="117880"/>
  </r>
  <r>
    <s v="Coastal"/>
    <n v="398"/>
    <s v="New York, NY &amp; NJ"/>
    <n v="5330"/>
    <x v="16"/>
    <x v="10"/>
    <n v="107607"/>
    <x v="1438"/>
    <x v="956"/>
    <n v="107607"/>
  </r>
  <r>
    <s v="Coastal"/>
    <n v="398"/>
    <s v="New York, NY &amp; NJ"/>
    <n v="5312"/>
    <x v="52"/>
    <x v="10"/>
    <n v="92506"/>
    <x v="1439"/>
    <x v="957"/>
    <n v="92506"/>
  </r>
  <r>
    <s v="Coastal"/>
    <n v="398"/>
    <s v="New York, NY &amp; NJ"/>
    <n v="3274"/>
    <x v="86"/>
    <x v="1965"/>
    <n v="34716"/>
    <x v="1440"/>
    <x v="958"/>
    <n v="87513"/>
  </r>
  <r>
    <s v="Coastal"/>
    <n v="398"/>
    <s v="New York, NY &amp; NJ"/>
    <n v="4782"/>
    <x v="45"/>
    <x v="10"/>
    <n v="84767"/>
    <x v="1441"/>
    <x v="959"/>
    <n v="84767"/>
  </r>
  <r>
    <s v="Coastal"/>
    <n v="398"/>
    <s v="New York, NY &amp; NJ"/>
    <n v="6590"/>
    <x v="23"/>
    <x v="10"/>
    <n v="84232"/>
    <x v="1442"/>
    <x v="960"/>
    <n v="84232"/>
  </r>
  <r>
    <s v="Coastal"/>
    <n v="398"/>
    <s v="New York, NY &amp; NJ"/>
    <n v="5429"/>
    <x v="61"/>
    <x v="10"/>
    <n v="80135"/>
    <x v="1443"/>
    <x v="961"/>
    <n v="80135"/>
  </r>
  <r>
    <s v="Coastal"/>
    <n v="398"/>
    <s v="New York, NY &amp; NJ"/>
    <n v="3291"/>
    <x v="117"/>
    <x v="10"/>
    <n v="78310"/>
    <x v="1444"/>
    <x v="962"/>
    <n v="78310"/>
  </r>
  <r>
    <s v="Coastal"/>
    <n v="398"/>
    <s v="New York, NY &amp; NJ"/>
    <n v="6893"/>
    <x v="113"/>
    <x v="10"/>
    <n v="78236"/>
    <x v="1445"/>
    <x v="963"/>
    <n v="78236"/>
  </r>
  <r>
    <s v="Coastal"/>
    <n v="398"/>
    <s v="New York, NY &amp; NJ"/>
    <n v="5390"/>
    <x v="44"/>
    <x v="10"/>
    <n v="75567"/>
    <x v="1446"/>
    <x v="466"/>
    <n v="75567"/>
  </r>
  <r>
    <s v="Coastal"/>
    <n v="398"/>
    <s v="New York, NY &amp; NJ"/>
    <n v="3219"/>
    <x v="19"/>
    <x v="10"/>
    <n v="70158"/>
    <x v="1447"/>
    <x v="964"/>
    <n v="70158"/>
  </r>
  <r>
    <s v="Coastal"/>
    <n v="398"/>
    <s v="New York, NY &amp; NJ"/>
    <n v="6899"/>
    <x v="114"/>
    <x v="10"/>
    <n v="68108"/>
    <x v="1448"/>
    <x v="965"/>
    <n v="68108"/>
  </r>
  <r>
    <s v="Coastal"/>
    <n v="398"/>
    <s v="New York, NY &amp; NJ"/>
    <n v="6894"/>
    <x v="120"/>
    <x v="10"/>
    <n v="61475"/>
    <x v="1449"/>
    <x v="966"/>
    <n v="61475"/>
  </r>
  <r>
    <s v="Coastal"/>
    <n v="398"/>
    <s v="New York, NY &amp; NJ"/>
    <n v="4650"/>
    <x v="67"/>
    <x v="10"/>
    <n v="58950"/>
    <x v="1450"/>
    <x v="967"/>
    <n v="58950"/>
  </r>
  <r>
    <s v="Coastal"/>
    <n v="398"/>
    <s v="New York, NY &amp; NJ"/>
    <n v="2540"/>
    <x v="15"/>
    <x v="10"/>
    <n v="58339"/>
    <x v="1451"/>
    <x v="968"/>
    <n v="58339"/>
  </r>
  <r>
    <s v="Coastal"/>
    <n v="398"/>
    <s v="New York, NY &amp; NJ"/>
    <n v="4150"/>
    <x v="101"/>
    <x v="10"/>
    <n v="57319"/>
    <x v="1452"/>
    <x v="969"/>
    <n v="57319"/>
  </r>
  <r>
    <s v="Coastal"/>
    <n v="398"/>
    <s v="New York, NY &amp; NJ"/>
    <n v="2410"/>
    <x v="98"/>
    <x v="10"/>
    <n v="54374"/>
    <x v="1453"/>
    <x v="970"/>
    <n v="54374"/>
  </r>
  <r>
    <s v="Coastal"/>
    <n v="398"/>
    <s v="New York, NY &amp; NJ"/>
    <n v="6746"/>
    <x v="118"/>
    <x v="10"/>
    <n v="54140"/>
    <x v="1454"/>
    <x v="971"/>
    <n v="54140"/>
  </r>
  <r>
    <s v="Coastal"/>
    <n v="398"/>
    <s v="New York, NY &amp; NJ"/>
    <n v="3283"/>
    <x v="111"/>
    <x v="10"/>
    <n v="51309"/>
    <x v="1455"/>
    <x v="972"/>
    <n v="51309"/>
  </r>
  <r>
    <s v="Coastal"/>
    <n v="398"/>
    <s v="New York, NY &amp; NJ"/>
    <n v="6344"/>
    <x v="25"/>
    <x v="10"/>
    <n v="44018"/>
    <x v="1456"/>
    <x v="973"/>
    <n v="44018"/>
  </r>
  <r>
    <s v="Coastal"/>
    <n v="398"/>
    <s v="New York, NY &amp; NJ"/>
    <n v="6817"/>
    <x v="119"/>
    <x v="10"/>
    <n v="41014"/>
    <x v="1457"/>
    <x v="974"/>
    <n v="41014"/>
  </r>
  <r>
    <s v="Coastal"/>
    <n v="398"/>
    <s v="New York, NY &amp; NJ"/>
    <n v="4323"/>
    <x v="6"/>
    <x v="10"/>
    <n v="40266"/>
    <x v="1458"/>
    <x v="975"/>
    <n v="40266"/>
  </r>
  <r>
    <s v="Coastal"/>
    <n v="398"/>
    <s v="New York, NY &amp; NJ"/>
    <n v="3279"/>
    <x v="58"/>
    <x v="10"/>
    <n v="38333"/>
    <x v="1459"/>
    <x v="976"/>
    <n v="38333"/>
  </r>
  <r>
    <s v="Coastal"/>
    <n v="398"/>
    <s v="New York, NY &amp; NJ"/>
    <n v="7300"/>
    <x v="115"/>
    <x v="10"/>
    <n v="33536"/>
    <x v="1460"/>
    <x v="977"/>
    <n v="33536"/>
  </r>
  <r>
    <s v="Coastal"/>
    <n v="398"/>
    <s v="New York, NY &amp; NJ"/>
    <n v="6891"/>
    <x v="93"/>
    <x v="10"/>
    <n v="33213"/>
    <x v="1461"/>
    <x v="978"/>
    <n v="33213"/>
  </r>
  <r>
    <s v="Coastal"/>
    <n v="398"/>
    <s v="New York, NY &amp; NJ"/>
    <n v="3293"/>
    <x v="122"/>
    <x v="10"/>
    <n v="31752"/>
    <x v="1462"/>
    <x v="979"/>
    <n v="31752"/>
  </r>
  <r>
    <s v="Coastal"/>
    <n v="398"/>
    <s v="New York, NY &amp; NJ"/>
    <n v="2990"/>
    <x v="102"/>
    <x v="1966"/>
    <n v="5946"/>
    <x v="1463"/>
    <x v="0"/>
    <n v="31438"/>
  </r>
  <r>
    <s v="Coastal"/>
    <n v="398"/>
    <s v="New York, NY &amp; NJ"/>
    <n v="3110"/>
    <x v="36"/>
    <x v="10"/>
    <n v="30017"/>
    <x v="1464"/>
    <x v="980"/>
    <n v="30017"/>
  </r>
  <r>
    <s v="Coastal"/>
    <n v="398"/>
    <s v="New York, NY &amp; NJ"/>
    <n v="3190"/>
    <x v="38"/>
    <x v="10"/>
    <n v="25474"/>
    <x v="1465"/>
    <x v="981"/>
    <n v="25474"/>
  </r>
  <r>
    <s v="Coastal"/>
    <n v="398"/>
    <s v="New York, NY &amp; NJ"/>
    <n v="5320"/>
    <x v="13"/>
    <x v="10"/>
    <n v="19843"/>
    <x v="1466"/>
    <x v="982"/>
    <n v="19843"/>
  </r>
  <r>
    <s v="Coastal"/>
    <n v="398"/>
    <s v="New York, NY &amp; NJ"/>
    <n v="5315"/>
    <x v="48"/>
    <x v="10"/>
    <n v="19581"/>
    <x v="1467"/>
    <x v="983"/>
    <n v="19581"/>
  </r>
  <r>
    <s v="Coastal"/>
    <n v="398"/>
    <s v="New York, NY &amp; NJ"/>
    <n v="7220"/>
    <x v="103"/>
    <x v="10"/>
    <n v="17618"/>
    <x v="1468"/>
    <x v="984"/>
    <n v="17618"/>
  </r>
  <r>
    <s v="Coastal"/>
    <n v="398"/>
    <s v="New York, NY &amp; NJ"/>
    <n v="4322"/>
    <x v="33"/>
    <x v="10"/>
    <n v="16732"/>
    <x v="1469"/>
    <x v="985"/>
    <n v="16732"/>
  </r>
  <r>
    <s v="Coastal"/>
    <n v="398"/>
    <s v="New York, NY &amp; NJ"/>
    <n v="1100"/>
    <x v="32"/>
    <x v="10"/>
    <n v="15402"/>
    <x v="1470"/>
    <x v="986"/>
    <n v="15402"/>
  </r>
  <r>
    <s v="Coastal"/>
    <n v="398"/>
    <s v="New York, NY &amp; NJ"/>
    <n v="5110"/>
    <x v="112"/>
    <x v="10"/>
    <n v="15275"/>
    <x v="1471"/>
    <x v="987"/>
    <n v="15275"/>
  </r>
  <r>
    <s v="Coastal"/>
    <n v="398"/>
    <s v="New York, NY &amp; NJ"/>
    <n v="6781"/>
    <x v="128"/>
    <x v="10"/>
    <n v="13439"/>
    <x v="1472"/>
    <x v="988"/>
    <n v="13439"/>
  </r>
  <r>
    <s v="Coastal"/>
    <n v="398"/>
    <s v="New York, NY &amp; NJ"/>
    <n v="3211"/>
    <x v="124"/>
    <x v="10"/>
    <n v="12539"/>
    <x v="1473"/>
    <x v="989"/>
    <n v="12539"/>
  </r>
  <r>
    <s v="Coastal"/>
    <n v="398"/>
    <s v="New York, NY &amp; NJ"/>
    <n v="4690"/>
    <x v="62"/>
    <x v="10"/>
    <n v="11697"/>
    <x v="1474"/>
    <x v="990"/>
    <n v="11697"/>
  </r>
  <r>
    <s v="Coastal"/>
    <n v="398"/>
    <s v="New York, NY &amp; NJ"/>
    <n v="6838"/>
    <x v="131"/>
    <x v="10"/>
    <n v="11494"/>
    <x v="1475"/>
    <x v="991"/>
    <n v="11494"/>
  </r>
  <r>
    <s v="Coastal"/>
    <n v="398"/>
    <s v="New York, NY &amp; NJ"/>
    <n v="7230"/>
    <x v="22"/>
    <x v="10"/>
    <n v="11391"/>
    <x v="1476"/>
    <x v="992"/>
    <n v="11391"/>
  </r>
  <r>
    <s v="Coastal"/>
    <n v="398"/>
    <s v="New York, NY &amp; NJ"/>
    <n v="4110"/>
    <x v="105"/>
    <x v="10"/>
    <n v="9387"/>
    <x v="1477"/>
    <x v="993"/>
    <n v="9387"/>
  </r>
  <r>
    <s v="Coastal"/>
    <n v="398"/>
    <s v="New York, NY &amp; NJ"/>
    <n v="4335"/>
    <x v="5"/>
    <x v="1967"/>
    <n v="0"/>
    <x v="0"/>
    <x v="0"/>
    <n v="7888"/>
  </r>
  <r>
    <s v="Coastal"/>
    <n v="398"/>
    <s v="New York, NY &amp; NJ"/>
    <n v="6445"/>
    <x v="136"/>
    <x v="10"/>
    <n v="4887"/>
    <x v="1478"/>
    <x v="994"/>
    <n v="4887"/>
  </r>
  <r>
    <s v="Coastal"/>
    <n v="398"/>
    <s v="New York, NY &amp; NJ"/>
    <n v="3298"/>
    <x v="123"/>
    <x v="10"/>
    <n v="4705"/>
    <x v="1479"/>
    <x v="995"/>
    <n v="4705"/>
  </r>
  <r>
    <s v="Coastal"/>
    <n v="398"/>
    <s v="New York, NY &amp; NJ"/>
    <n v="3273"/>
    <x v="46"/>
    <x v="10"/>
    <n v="4220"/>
    <x v="1480"/>
    <x v="996"/>
    <n v="4220"/>
  </r>
  <r>
    <s v="Coastal"/>
    <n v="398"/>
    <s v="New York, NY &amp; NJ"/>
    <n v="3130"/>
    <x v="37"/>
    <x v="10"/>
    <n v="4114"/>
    <x v="1481"/>
    <x v="997"/>
    <n v="4114"/>
  </r>
  <r>
    <s v="Coastal"/>
    <n v="398"/>
    <s v="New York, NY &amp; NJ"/>
    <n v="4161"/>
    <x v="54"/>
    <x v="10"/>
    <n v="3176"/>
    <x v="1482"/>
    <x v="998"/>
    <n v="3176"/>
  </r>
  <r>
    <s v="Coastal"/>
    <n v="398"/>
    <s v="New York, NY &amp; NJ"/>
    <n v="3271"/>
    <x v="133"/>
    <x v="10"/>
    <n v="3147"/>
    <x v="1483"/>
    <x v="999"/>
    <n v="3147"/>
  </r>
  <r>
    <s v="Coastal"/>
    <n v="398"/>
    <s v="New York, NY &amp; NJ"/>
    <n v="6521"/>
    <x v="121"/>
    <x v="10"/>
    <n v="2165"/>
    <x v="1484"/>
    <x v="1000"/>
    <n v="2165"/>
  </r>
  <r>
    <s v="Coastal"/>
    <n v="398"/>
    <s v="New York, NY &amp; NJ"/>
    <n v="5210"/>
    <x v="130"/>
    <x v="10"/>
    <n v="2035"/>
    <x v="1485"/>
    <x v="111"/>
    <n v="2035"/>
  </r>
  <r>
    <s v="Coastal"/>
    <n v="398"/>
    <s v="New York, NY &amp; NJ"/>
    <n v="4630"/>
    <x v="127"/>
    <x v="10"/>
    <n v="1948"/>
    <x v="1486"/>
    <x v="265"/>
    <n v="1948"/>
  </r>
  <r>
    <s v="Coastal"/>
    <n v="398"/>
    <s v="New York, NY &amp; NJ"/>
    <n v="3281"/>
    <x v="125"/>
    <x v="10"/>
    <n v="1905"/>
    <x v="1487"/>
    <x v="1001"/>
    <n v="1905"/>
  </r>
  <r>
    <s v="Coastal"/>
    <n v="398"/>
    <s v="New York, NY &amp; NJ"/>
    <n v="3272"/>
    <x v="137"/>
    <x v="10"/>
    <n v="1695"/>
    <x v="1488"/>
    <x v="776"/>
    <n v="1695"/>
  </r>
  <r>
    <s v="Coastal"/>
    <n v="398"/>
    <s v="New York, NY &amp; NJ"/>
    <n v="6534"/>
    <x v="141"/>
    <x v="10"/>
    <n v="1634"/>
    <x v="1489"/>
    <x v="771"/>
    <n v="1634"/>
  </r>
  <r>
    <s v="Coastal"/>
    <n v="398"/>
    <s v="New York, NY &amp; NJ"/>
    <n v="4410"/>
    <x v="34"/>
    <x v="10"/>
    <n v="883"/>
    <x v="1490"/>
    <x v="666"/>
    <n v="883"/>
  </r>
  <r>
    <s v="Coastal"/>
    <n v="398"/>
    <s v="New York, NY &amp; NJ"/>
    <n v="6865"/>
    <x v="75"/>
    <x v="10"/>
    <n v="744"/>
    <x v="1491"/>
    <x v="1002"/>
    <n v="744"/>
  </r>
  <r>
    <s v="Coastal"/>
    <n v="398"/>
    <s v="New York, NY &amp; NJ"/>
    <n v="6241"/>
    <x v="28"/>
    <x v="10"/>
    <n v="596"/>
    <x v="1492"/>
    <x v="1003"/>
    <n v="596"/>
  </r>
  <r>
    <s v="Coastal"/>
    <n v="398"/>
    <s v="New York, NY &amp; NJ"/>
    <n v="1200"/>
    <x v="43"/>
    <x v="10"/>
    <n v="490"/>
    <x v="1493"/>
    <x v="1004"/>
    <n v="490"/>
  </r>
  <r>
    <s v="Coastal"/>
    <n v="398"/>
    <s v="New York, NY &amp; NJ"/>
    <n v="4515"/>
    <x v="129"/>
    <x v="10"/>
    <n v="478"/>
    <x v="878"/>
    <x v="256"/>
    <n v="478"/>
  </r>
  <r>
    <s v="Coastal"/>
    <n v="398"/>
    <s v="New York, NY &amp; NJ"/>
    <n v="3212"/>
    <x v="39"/>
    <x v="10"/>
    <n v="348"/>
    <x v="774"/>
    <x v="1005"/>
    <n v="348"/>
  </r>
  <r>
    <s v="Coastal"/>
    <n v="398"/>
    <s v="New York, NY &amp; NJ"/>
    <n v="6443"/>
    <x v="135"/>
    <x v="10"/>
    <n v="201"/>
    <x v="1196"/>
    <x v="0"/>
    <n v="201"/>
  </r>
  <r>
    <s v="Coastal"/>
    <n v="398"/>
    <s v="New York, NY &amp; NJ"/>
    <n v="6447"/>
    <x v="132"/>
    <x v="10"/>
    <n v="166"/>
    <x v="333"/>
    <x v="619"/>
    <n v="166"/>
  </r>
  <r>
    <s v="Coastal"/>
    <n v="398"/>
    <s v="New York, NY &amp; NJ"/>
    <n v="3120"/>
    <x v="41"/>
    <x v="10"/>
    <n v="108"/>
    <x v="1494"/>
    <x v="454"/>
    <n v="108"/>
  </r>
  <r>
    <s v="Coastal"/>
    <n v="398"/>
    <s v="New York, NY &amp; NJ"/>
    <n v="4741"/>
    <x v="56"/>
    <x v="10"/>
    <n v="90"/>
    <x v="170"/>
    <x v="1006"/>
    <n v="90"/>
  </r>
  <r>
    <s v="Coastal"/>
    <n v="398"/>
    <s v="New York, NY &amp; NJ"/>
    <n v="4327"/>
    <x v="134"/>
    <x v="10"/>
    <n v="18"/>
    <x v="0"/>
    <x v="454"/>
    <n v="18"/>
  </r>
  <r>
    <s v="Coastal"/>
    <n v="398"/>
    <s v="New York, NY &amp; NJ"/>
    <n v="4670"/>
    <x v="90"/>
    <x v="10"/>
    <n v="5"/>
    <x v="504"/>
    <x v="276"/>
    <n v="5"/>
  </r>
  <r>
    <s v="Coastal"/>
    <n v="4831"/>
    <s v="Nikiski, AK"/>
    <n v="2100"/>
    <x v="35"/>
    <x v="1968"/>
    <n v="175446"/>
    <x v="1495"/>
    <x v="0"/>
    <n v="2155651"/>
  </r>
  <r>
    <s v="Coastal"/>
    <n v="4831"/>
    <s v="Nikiski, AK"/>
    <n v="2340"/>
    <x v="3"/>
    <x v="1969"/>
    <n v="0"/>
    <x v="0"/>
    <x v="0"/>
    <n v="631244"/>
  </r>
  <r>
    <s v="Coastal"/>
    <n v="4831"/>
    <s v="Nikiski, AK"/>
    <n v="2221"/>
    <x v="9"/>
    <x v="1970"/>
    <n v="335203"/>
    <x v="1496"/>
    <x v="0"/>
    <n v="366833"/>
  </r>
  <r>
    <s v="Coastal"/>
    <n v="4831"/>
    <s v="Nikiski, AK"/>
    <n v="2330"/>
    <x v="1"/>
    <x v="1971"/>
    <n v="0"/>
    <x v="0"/>
    <x v="0"/>
    <n v="291784"/>
  </r>
  <r>
    <s v="Coastal"/>
    <n v="4831"/>
    <s v="Nikiski, AK"/>
    <n v="2211"/>
    <x v="0"/>
    <x v="1972"/>
    <n v="0"/>
    <x v="0"/>
    <x v="0"/>
    <n v="45204"/>
  </r>
  <r>
    <s v="Coastal"/>
    <n v="4831"/>
    <s v="Nikiski, AK"/>
    <n v="2429"/>
    <x v="17"/>
    <x v="1973"/>
    <n v="0"/>
    <x v="0"/>
    <x v="0"/>
    <n v="22128"/>
  </r>
  <r>
    <s v="Coastal"/>
    <n v="4916"/>
    <s v="Nome, AK"/>
    <n v="2221"/>
    <x v="9"/>
    <x v="1974"/>
    <n v="64390"/>
    <x v="1497"/>
    <x v="0"/>
    <n v="66149"/>
  </r>
  <r>
    <s v="Coastal"/>
    <n v="4916"/>
    <s v="Nome, AK"/>
    <n v="2211"/>
    <x v="0"/>
    <x v="1975"/>
    <n v="18088"/>
    <x v="1498"/>
    <x v="0"/>
    <n v="21699"/>
  </r>
  <r>
    <s v="Coastal"/>
    <n v="4916"/>
    <s v="Nome, AK"/>
    <n v="2330"/>
    <x v="1"/>
    <x v="1976"/>
    <n v="7695"/>
    <x v="1499"/>
    <x v="0"/>
    <n v="12530"/>
  </r>
  <r>
    <s v="Coastal"/>
    <n v="4916"/>
    <s v="Nome, AK"/>
    <n v="7400"/>
    <x v="77"/>
    <x v="1977"/>
    <n v="0"/>
    <x v="0"/>
    <x v="0"/>
    <n v="8075"/>
  </r>
  <r>
    <s v="Coastal"/>
    <n v="4916"/>
    <s v="Nome, AK"/>
    <n v="2990"/>
    <x v="102"/>
    <x v="1978"/>
    <n v="0"/>
    <x v="0"/>
    <x v="0"/>
    <n v="6022"/>
  </r>
  <r>
    <s v="Coastal"/>
    <n v="4916"/>
    <s v="Nome, AK"/>
    <n v="7110"/>
    <x v="4"/>
    <x v="1979"/>
    <n v="0"/>
    <x v="0"/>
    <x v="0"/>
    <n v="3649"/>
  </r>
  <r>
    <s v="Coastal"/>
    <n v="4916"/>
    <s v="Nome, AK"/>
    <n v="4331"/>
    <x v="29"/>
    <x v="1076"/>
    <n v="0"/>
    <x v="0"/>
    <x v="0"/>
    <n v="3352"/>
  </r>
  <r>
    <s v="Coastal"/>
    <n v="4916"/>
    <s v="Nome, AK"/>
    <n v="5480"/>
    <x v="20"/>
    <x v="1980"/>
    <n v="0"/>
    <x v="0"/>
    <x v="0"/>
    <n v="3051"/>
  </r>
  <r>
    <s v="Coastal"/>
    <n v="4916"/>
    <s v="Nome, AK"/>
    <n v="7900"/>
    <x v="21"/>
    <x v="1981"/>
    <n v="0"/>
    <x v="0"/>
    <x v="0"/>
    <n v="2885"/>
  </r>
  <r>
    <s v="Coastal"/>
    <n v="4916"/>
    <s v="Nome, AK"/>
    <n v="7210"/>
    <x v="59"/>
    <x v="1982"/>
    <n v="0"/>
    <x v="0"/>
    <x v="0"/>
    <n v="2639"/>
  </r>
  <r>
    <s v="Coastal"/>
    <n v="4916"/>
    <s v="Nome, AK"/>
    <n v="5360"/>
    <x v="94"/>
    <x v="1983"/>
    <n v="0"/>
    <x v="0"/>
    <x v="0"/>
    <n v="2560"/>
  </r>
  <r>
    <s v="Coastal"/>
    <n v="4916"/>
    <s v="Nome, AK"/>
    <n v="6887"/>
    <x v="138"/>
    <x v="1984"/>
    <n v="0"/>
    <x v="0"/>
    <x v="0"/>
    <n v="1635"/>
  </r>
  <r>
    <s v="Coastal"/>
    <n v="4916"/>
    <s v="Nome, AK"/>
    <n v="6885"/>
    <x v="72"/>
    <x v="1985"/>
    <n v="0"/>
    <x v="0"/>
    <x v="0"/>
    <n v="1270"/>
  </r>
  <r>
    <s v="Coastal"/>
    <n v="4916"/>
    <s v="Nome, AK"/>
    <n v="4189"/>
    <x v="65"/>
    <x v="810"/>
    <n v="0"/>
    <x v="0"/>
    <x v="0"/>
    <n v="1067"/>
  </r>
  <r>
    <s v="Coastal"/>
    <n v="4916"/>
    <s v="Nome, AK"/>
    <n v="5540"/>
    <x v="64"/>
    <x v="1986"/>
    <n v="0"/>
    <x v="0"/>
    <x v="0"/>
    <n v="435"/>
  </r>
  <r>
    <s v="Coastal"/>
    <n v="4916"/>
    <s v="Nome, AK"/>
    <n v="3299"/>
    <x v="79"/>
    <x v="1987"/>
    <n v="0"/>
    <x v="0"/>
    <x v="0"/>
    <n v="416"/>
  </r>
  <r>
    <s v="Coastal"/>
    <n v="4916"/>
    <s v="Nome, AK"/>
    <n v="4783"/>
    <x v="7"/>
    <x v="1034"/>
    <n v="0"/>
    <x v="0"/>
    <x v="0"/>
    <n v="405"/>
  </r>
  <r>
    <s v="Coastal"/>
    <n v="4916"/>
    <s v="Nome, AK"/>
    <n v="5370"/>
    <x v="81"/>
    <x v="1988"/>
    <n v="0"/>
    <x v="0"/>
    <x v="0"/>
    <n v="338"/>
  </r>
  <r>
    <s v="Coastal"/>
    <n v="4916"/>
    <s v="Nome, AK"/>
    <n v="3220"/>
    <x v="2"/>
    <x v="1989"/>
    <n v="0"/>
    <x v="0"/>
    <x v="0"/>
    <n v="292"/>
  </r>
  <r>
    <s v="Coastal"/>
    <n v="4916"/>
    <s v="Nome, AK"/>
    <n v="7230"/>
    <x v="22"/>
    <x v="1017"/>
    <n v="0"/>
    <x v="0"/>
    <x v="0"/>
    <n v="162"/>
  </r>
  <r>
    <s v="Coastal"/>
    <n v="4916"/>
    <s v="Nome, AK"/>
    <n v="5240"/>
    <x v="89"/>
    <x v="1156"/>
    <n v="0"/>
    <x v="0"/>
    <x v="0"/>
    <n v="99"/>
  </r>
  <r>
    <s v="Coastal"/>
    <n v="4916"/>
    <s v="Nome, AK"/>
    <n v="6782"/>
    <x v="27"/>
    <x v="1157"/>
    <n v="0"/>
    <x v="0"/>
    <x v="0"/>
    <n v="84"/>
  </r>
  <r>
    <s v="Coastal"/>
    <n v="4916"/>
    <s v="Nome, AK"/>
    <n v="5190"/>
    <x v="83"/>
    <x v="201"/>
    <n v="0"/>
    <x v="0"/>
    <x v="0"/>
    <n v="70"/>
  </r>
  <r>
    <s v="Coastal"/>
    <n v="4916"/>
    <s v="Nome, AK"/>
    <n v="7120"/>
    <x v="71"/>
    <x v="1990"/>
    <n v="0"/>
    <x v="0"/>
    <x v="0"/>
    <n v="65"/>
  </r>
  <r>
    <s v="Coastal"/>
    <n v="4916"/>
    <s v="Nome, AK"/>
    <n v="5290"/>
    <x v="49"/>
    <x v="416"/>
    <n v="0"/>
    <x v="0"/>
    <x v="0"/>
    <n v="28"/>
  </r>
  <r>
    <s v="Coastal"/>
    <n v="4916"/>
    <s v="Nome, AK"/>
    <n v="7500"/>
    <x v="60"/>
    <x v="420"/>
    <n v="0"/>
    <x v="0"/>
    <x v="0"/>
    <n v="11"/>
  </r>
  <r>
    <s v="Coastal"/>
    <n v="4916"/>
    <s v="Nome, AK"/>
    <n v="3282"/>
    <x v="91"/>
    <x v="422"/>
    <n v="0"/>
    <x v="0"/>
    <x v="0"/>
    <n v="3"/>
  </r>
  <r>
    <s v="Great Lakes"/>
    <n v="3743"/>
    <s v="Northern Indiana District, IN"/>
    <n v="4410"/>
    <x v="34"/>
    <x v="1991"/>
    <n v="87952"/>
    <x v="1500"/>
    <x v="0"/>
    <n v="21944637"/>
  </r>
  <r>
    <s v="Great Lakes"/>
    <n v="3743"/>
    <s v="Northern Indiana District, IN"/>
    <n v="4322"/>
    <x v="33"/>
    <x v="1992"/>
    <n v="0"/>
    <x v="0"/>
    <x v="0"/>
    <n v="3131592"/>
  </r>
  <r>
    <s v="Great Lakes"/>
    <n v="3743"/>
    <s v="Northern Indiana District, IN"/>
    <n v="2430"/>
    <x v="11"/>
    <x v="1993"/>
    <n v="19609"/>
    <x v="1501"/>
    <x v="0"/>
    <n v="1640066"/>
  </r>
  <r>
    <s v="Great Lakes"/>
    <n v="3743"/>
    <s v="Northern Indiana District, IN"/>
    <n v="4860"/>
    <x v="31"/>
    <x v="1994"/>
    <n v="0"/>
    <x v="0"/>
    <x v="0"/>
    <n v="1117196"/>
  </r>
  <r>
    <s v="Great Lakes"/>
    <n v="3743"/>
    <s v="Northern Indiana District, IN"/>
    <n v="4420"/>
    <x v="8"/>
    <x v="1995"/>
    <n v="0"/>
    <x v="0"/>
    <x v="0"/>
    <n v="308142"/>
  </r>
  <r>
    <s v="Great Lakes"/>
    <n v="3743"/>
    <s v="Northern Indiana District, IN"/>
    <n v="5330"/>
    <x v="16"/>
    <x v="1996"/>
    <n v="95807"/>
    <x v="1502"/>
    <x v="0"/>
    <n v="297221"/>
  </r>
  <r>
    <s v="Great Lakes"/>
    <n v="3743"/>
    <s v="Northern Indiana District, IN"/>
    <n v="4783"/>
    <x v="7"/>
    <x v="1997"/>
    <n v="199540"/>
    <x v="1503"/>
    <x v="0"/>
    <n v="273964"/>
  </r>
  <r>
    <s v="Great Lakes"/>
    <n v="3743"/>
    <s v="Northern Indiana District, IN"/>
    <n v="2330"/>
    <x v="1"/>
    <x v="1998"/>
    <n v="0"/>
    <x v="0"/>
    <x v="0"/>
    <n v="267096"/>
  </r>
  <r>
    <s v="Great Lakes"/>
    <n v="3743"/>
    <s v="Northern Indiana District, IN"/>
    <n v="4323"/>
    <x v="6"/>
    <x v="1999"/>
    <n v="0"/>
    <x v="0"/>
    <x v="0"/>
    <n v="189930"/>
  </r>
  <r>
    <s v="Great Lakes"/>
    <n v="3743"/>
    <s v="Northern Indiana District, IN"/>
    <n v="4782"/>
    <x v="45"/>
    <x v="2000"/>
    <n v="0"/>
    <x v="0"/>
    <x v="0"/>
    <n v="175069"/>
  </r>
  <r>
    <s v="Great Lakes"/>
    <n v="3743"/>
    <s v="Northern Indiana District, IN"/>
    <n v="5320"/>
    <x v="13"/>
    <x v="2001"/>
    <n v="119353"/>
    <x v="1504"/>
    <x v="0"/>
    <n v="148137"/>
  </r>
  <r>
    <s v="Great Lakes"/>
    <n v="3743"/>
    <s v="Northern Indiana District, IN"/>
    <n v="1200"/>
    <x v="43"/>
    <x v="2002"/>
    <n v="0"/>
    <x v="0"/>
    <x v="0"/>
    <n v="103890"/>
  </r>
  <r>
    <s v="Great Lakes"/>
    <n v="3743"/>
    <s v="Northern Indiana District, IN"/>
    <n v="5312"/>
    <x v="52"/>
    <x v="2003"/>
    <n v="485"/>
    <x v="1505"/>
    <x v="0"/>
    <n v="73580"/>
  </r>
  <r>
    <s v="Great Lakes"/>
    <n v="3743"/>
    <s v="Northern Indiana District, IN"/>
    <n v="4900"/>
    <x v="14"/>
    <x v="494"/>
    <n v="0"/>
    <x v="0"/>
    <x v="0"/>
    <n v="72394"/>
  </r>
  <r>
    <s v="Great Lakes"/>
    <n v="3743"/>
    <s v="Northern Indiana District, IN"/>
    <n v="4650"/>
    <x v="67"/>
    <x v="10"/>
    <n v="70254"/>
    <x v="1506"/>
    <x v="0"/>
    <n v="70254"/>
  </r>
  <r>
    <s v="Great Lakes"/>
    <n v="3743"/>
    <s v="Northern Indiana District, IN"/>
    <n v="1100"/>
    <x v="32"/>
    <x v="2004"/>
    <n v="6775"/>
    <x v="1507"/>
    <x v="0"/>
    <n v="64095"/>
  </r>
  <r>
    <s v="Great Lakes"/>
    <n v="3743"/>
    <s v="Northern Indiana District, IN"/>
    <n v="4331"/>
    <x v="29"/>
    <x v="2005"/>
    <n v="0"/>
    <x v="0"/>
    <x v="0"/>
    <n v="56192"/>
  </r>
  <r>
    <s v="Great Lakes"/>
    <n v="3743"/>
    <s v="Northern Indiana District, IN"/>
    <n v="3110"/>
    <x v="36"/>
    <x v="2006"/>
    <n v="0"/>
    <x v="0"/>
    <x v="0"/>
    <n v="53392"/>
  </r>
  <r>
    <s v="Great Lakes"/>
    <n v="3743"/>
    <s v="Northern Indiana District, IN"/>
    <n v="2350"/>
    <x v="40"/>
    <x v="2007"/>
    <n v="0"/>
    <x v="0"/>
    <x v="0"/>
    <n v="41874"/>
  </r>
  <r>
    <s v="Great Lakes"/>
    <n v="3743"/>
    <s v="Northern Indiana District, IN"/>
    <n v="5360"/>
    <x v="94"/>
    <x v="2008"/>
    <n v="37511"/>
    <x v="1508"/>
    <x v="0"/>
    <n v="40553"/>
  </r>
  <r>
    <s v="Great Lakes"/>
    <n v="3743"/>
    <s v="Northern Indiana District, IN"/>
    <n v="2340"/>
    <x v="3"/>
    <x v="2009"/>
    <n v="0"/>
    <x v="0"/>
    <x v="0"/>
    <n v="39985"/>
  </r>
  <r>
    <s v="Great Lakes"/>
    <n v="3743"/>
    <s v="Northern Indiana District, IN"/>
    <n v="3276"/>
    <x v="12"/>
    <x v="2010"/>
    <n v="0"/>
    <x v="0"/>
    <x v="0"/>
    <n v="36420"/>
  </r>
  <r>
    <s v="Great Lakes"/>
    <n v="3743"/>
    <s v="Northern Indiana District, IN"/>
    <n v="2540"/>
    <x v="15"/>
    <x v="2011"/>
    <n v="0"/>
    <x v="0"/>
    <x v="0"/>
    <n v="21906"/>
  </r>
  <r>
    <s v="Great Lakes"/>
    <n v="3743"/>
    <s v="Northern Indiana District, IN"/>
    <n v="5315"/>
    <x v="48"/>
    <x v="2012"/>
    <n v="0"/>
    <x v="0"/>
    <x v="0"/>
    <n v="16950"/>
  </r>
  <r>
    <s v="Great Lakes"/>
    <n v="3743"/>
    <s v="Northern Indiana District, IN"/>
    <n v="5390"/>
    <x v="44"/>
    <x v="2013"/>
    <n v="0"/>
    <x v="0"/>
    <x v="0"/>
    <n v="15680"/>
  </r>
  <r>
    <s v="Great Lakes"/>
    <n v="3743"/>
    <s v="Northern Indiana District, IN"/>
    <n v="5480"/>
    <x v="20"/>
    <x v="10"/>
    <n v="14545"/>
    <x v="1509"/>
    <x v="0"/>
    <n v="14545"/>
  </r>
  <r>
    <s v="Great Lakes"/>
    <n v="3743"/>
    <s v="Northern Indiana District, IN"/>
    <n v="3130"/>
    <x v="37"/>
    <x v="2014"/>
    <n v="0"/>
    <x v="0"/>
    <x v="0"/>
    <n v="13962"/>
  </r>
  <r>
    <s v="Great Lakes"/>
    <n v="3743"/>
    <s v="Northern Indiana District, IN"/>
    <n v="3275"/>
    <x v="47"/>
    <x v="2015"/>
    <n v="0"/>
    <x v="0"/>
    <x v="0"/>
    <n v="10653"/>
  </r>
  <r>
    <s v="Great Lakes"/>
    <n v="3743"/>
    <s v="Northern Indiana District, IN"/>
    <n v="3190"/>
    <x v="38"/>
    <x v="2016"/>
    <n v="0"/>
    <x v="0"/>
    <x v="0"/>
    <n v="4696"/>
  </r>
  <r>
    <s v="Great Lakes"/>
    <n v="3743"/>
    <s v="Northern Indiana District, IN"/>
    <n v="7120"/>
    <x v="71"/>
    <x v="10"/>
    <n v="4518"/>
    <x v="1510"/>
    <x v="0"/>
    <n v="4518"/>
  </r>
  <r>
    <s v="Great Lakes"/>
    <n v="3743"/>
    <s v="Northern Indiana District, IN"/>
    <n v="4670"/>
    <x v="90"/>
    <x v="2017"/>
    <n v="0"/>
    <x v="0"/>
    <x v="0"/>
    <n v="3727"/>
  </r>
  <r>
    <s v="Great Lakes"/>
    <n v="3743"/>
    <s v="Northern Indiana District, IN"/>
    <n v="7110"/>
    <x v="4"/>
    <x v="10"/>
    <n v="1285"/>
    <x v="1511"/>
    <x v="0"/>
    <n v="1285"/>
  </r>
  <r>
    <s v="Great Lakes"/>
    <n v="3743"/>
    <s v="Northern Indiana District, IN"/>
    <n v="5421"/>
    <x v="88"/>
    <x v="10"/>
    <n v="1138"/>
    <x v="1512"/>
    <x v="0"/>
    <n v="1138"/>
  </r>
  <r>
    <s v="Great Lakes"/>
    <n v="3743"/>
    <s v="Northern Indiana District, IN"/>
    <n v="5422"/>
    <x v="66"/>
    <x v="1063"/>
    <n v="0"/>
    <x v="0"/>
    <x v="0"/>
    <n v="893"/>
  </r>
  <r>
    <s v="Great Lakes"/>
    <n v="3743"/>
    <s v="Northern Indiana District, IN"/>
    <n v="7210"/>
    <x v="59"/>
    <x v="10"/>
    <n v="590"/>
    <x v="1513"/>
    <x v="0"/>
    <n v="590"/>
  </r>
  <r>
    <s v="Great Lakes"/>
    <n v="3743"/>
    <s v="Northern Indiana District, IN"/>
    <n v="3293"/>
    <x v="122"/>
    <x v="10"/>
    <n v="19"/>
    <x v="417"/>
    <x v="0"/>
    <n v="19"/>
  </r>
  <r>
    <s v="Coastal"/>
    <n v="498"/>
    <s v="Norwalk, CT"/>
    <n v="4331"/>
    <x v="29"/>
    <x v="2018"/>
    <n v="0"/>
    <x v="0"/>
    <x v="0"/>
    <n v="49877"/>
  </r>
  <r>
    <s v="Coastal"/>
    <n v="786"/>
    <s v="Ocean Port Authority, FL"/>
    <n v="4225"/>
    <x v="10"/>
    <x v="10"/>
    <n v="103784"/>
    <x v="1514"/>
    <x v="1007"/>
    <n v="103784"/>
  </r>
  <r>
    <s v="Coastal"/>
    <n v="786"/>
    <s v="Ocean Port Authority, FL"/>
    <n v="3274"/>
    <x v="86"/>
    <x v="2019"/>
    <n v="54"/>
    <x v="0"/>
    <x v="126"/>
    <n v="91686"/>
  </r>
  <r>
    <s v="Coastal"/>
    <n v="786"/>
    <s v="Ocean Port Authority, FL"/>
    <n v="3190"/>
    <x v="38"/>
    <x v="10"/>
    <n v="17231"/>
    <x v="0"/>
    <x v="1008"/>
    <n v="17231"/>
  </r>
  <r>
    <s v="Coastal"/>
    <n v="786"/>
    <s v="Ocean Port Authority, FL"/>
    <n v="5120"/>
    <x v="63"/>
    <x v="10"/>
    <n v="16582"/>
    <x v="0"/>
    <x v="1009"/>
    <n v="16582"/>
  </r>
  <r>
    <s v="Coastal"/>
    <n v="786"/>
    <s v="Ocean Port Authority, FL"/>
    <n v="7900"/>
    <x v="21"/>
    <x v="10"/>
    <n v="10441"/>
    <x v="1515"/>
    <x v="1010"/>
    <n v="10441"/>
  </r>
  <r>
    <s v="Coastal"/>
    <n v="786"/>
    <s v="Ocean Port Authority, FL"/>
    <n v="9900"/>
    <x v="18"/>
    <x v="10"/>
    <n v="6733"/>
    <x v="1516"/>
    <x v="268"/>
    <n v="6733"/>
  </r>
  <r>
    <s v="Coastal"/>
    <n v="786"/>
    <s v="Ocean Port Authority, FL"/>
    <n v="4170"/>
    <x v="55"/>
    <x v="10"/>
    <n v="3996"/>
    <x v="0"/>
    <x v="1011"/>
    <n v="3996"/>
  </r>
  <r>
    <s v="Coastal"/>
    <n v="786"/>
    <s v="Ocean Port Authority, FL"/>
    <n v="6889"/>
    <x v="42"/>
    <x v="10"/>
    <n v="3518"/>
    <x v="212"/>
    <x v="1012"/>
    <n v="3518"/>
  </r>
  <r>
    <s v="Coastal"/>
    <n v="786"/>
    <s v="Ocean Port Authority, FL"/>
    <n v="4331"/>
    <x v="29"/>
    <x v="10"/>
    <n v="2983"/>
    <x v="1517"/>
    <x v="1013"/>
    <n v="2983"/>
  </r>
  <r>
    <s v="Coastal"/>
    <n v="786"/>
    <s v="Ocean Port Authority, FL"/>
    <n v="3219"/>
    <x v="19"/>
    <x v="10"/>
    <n v="2932"/>
    <x v="1518"/>
    <x v="276"/>
    <n v="2932"/>
  </r>
  <r>
    <s v="Coastal"/>
    <n v="786"/>
    <s v="Ocean Port Authority, FL"/>
    <n v="5290"/>
    <x v="49"/>
    <x v="10"/>
    <n v="2579"/>
    <x v="0"/>
    <x v="1014"/>
    <n v="2579"/>
  </r>
  <r>
    <s v="Coastal"/>
    <n v="786"/>
    <s v="Ocean Port Authority, FL"/>
    <n v="5360"/>
    <x v="94"/>
    <x v="10"/>
    <n v="2134"/>
    <x v="554"/>
    <x v="1015"/>
    <n v="2134"/>
  </r>
  <r>
    <s v="Coastal"/>
    <n v="786"/>
    <s v="Ocean Port Authority, FL"/>
    <n v="4189"/>
    <x v="65"/>
    <x v="10"/>
    <n v="1573"/>
    <x v="0"/>
    <x v="1016"/>
    <n v="1573"/>
  </r>
  <r>
    <s v="Coastal"/>
    <n v="786"/>
    <s v="Ocean Port Authority, FL"/>
    <n v="6888"/>
    <x v="109"/>
    <x v="10"/>
    <n v="1346"/>
    <x v="0"/>
    <x v="1017"/>
    <n v="1346"/>
  </r>
  <r>
    <s v="Coastal"/>
    <n v="786"/>
    <s v="Ocean Port Authority, FL"/>
    <n v="7120"/>
    <x v="71"/>
    <x v="10"/>
    <n v="1313"/>
    <x v="1505"/>
    <x v="1018"/>
    <n v="1313"/>
  </r>
  <r>
    <s v="Coastal"/>
    <n v="786"/>
    <s v="Ocean Port Authority, FL"/>
    <n v="7600"/>
    <x v="68"/>
    <x v="10"/>
    <n v="1299"/>
    <x v="1519"/>
    <x v="1019"/>
    <n v="1299"/>
  </r>
  <r>
    <s v="Coastal"/>
    <n v="786"/>
    <s v="Ocean Port Authority, FL"/>
    <n v="5480"/>
    <x v="20"/>
    <x v="10"/>
    <n v="1272"/>
    <x v="1520"/>
    <x v="1020"/>
    <n v="1272"/>
  </r>
  <r>
    <s v="Coastal"/>
    <n v="786"/>
    <s v="Ocean Port Authority, FL"/>
    <n v="6885"/>
    <x v="72"/>
    <x v="10"/>
    <n v="992"/>
    <x v="0"/>
    <x v="1021"/>
    <n v="992"/>
  </r>
  <r>
    <s v="Coastal"/>
    <n v="786"/>
    <s v="Ocean Port Authority, FL"/>
    <n v="5540"/>
    <x v="64"/>
    <x v="10"/>
    <n v="899"/>
    <x v="446"/>
    <x v="1022"/>
    <n v="899"/>
  </r>
  <r>
    <s v="Coastal"/>
    <n v="786"/>
    <s v="Ocean Port Authority, FL"/>
    <n v="7110"/>
    <x v="4"/>
    <x v="10"/>
    <n v="845"/>
    <x v="1521"/>
    <x v="1023"/>
    <n v="845"/>
  </r>
  <r>
    <s v="Coastal"/>
    <n v="786"/>
    <s v="Ocean Port Authority, FL"/>
    <n v="3285"/>
    <x v="87"/>
    <x v="10"/>
    <n v="841"/>
    <x v="0"/>
    <x v="1024"/>
    <n v="841"/>
  </r>
  <r>
    <s v="Coastal"/>
    <n v="786"/>
    <s v="Ocean Port Authority, FL"/>
    <n v="5190"/>
    <x v="83"/>
    <x v="10"/>
    <n v="674"/>
    <x v="0"/>
    <x v="1025"/>
    <n v="674"/>
  </r>
  <r>
    <s v="Coastal"/>
    <n v="786"/>
    <s v="Ocean Port Authority, FL"/>
    <n v="6654"/>
    <x v="50"/>
    <x v="10"/>
    <n v="665"/>
    <x v="0"/>
    <x v="1026"/>
    <n v="665"/>
  </r>
  <r>
    <s v="Coastal"/>
    <n v="786"/>
    <s v="Ocean Port Authority, FL"/>
    <n v="3299"/>
    <x v="79"/>
    <x v="10"/>
    <n v="663"/>
    <x v="0"/>
    <x v="399"/>
    <n v="663"/>
  </r>
  <r>
    <s v="Coastal"/>
    <n v="786"/>
    <s v="Ocean Port Authority, FL"/>
    <n v="6782"/>
    <x v="27"/>
    <x v="10"/>
    <n v="663"/>
    <x v="0"/>
    <x v="399"/>
    <n v="663"/>
  </r>
  <r>
    <s v="Coastal"/>
    <n v="786"/>
    <s v="Ocean Port Authority, FL"/>
    <n v="3286"/>
    <x v="57"/>
    <x v="10"/>
    <n v="549"/>
    <x v="0"/>
    <x v="870"/>
    <n v="549"/>
  </r>
  <r>
    <s v="Coastal"/>
    <n v="786"/>
    <s v="Ocean Port Authority, FL"/>
    <n v="2350"/>
    <x v="40"/>
    <x v="10"/>
    <n v="490"/>
    <x v="0"/>
    <x v="351"/>
    <n v="490"/>
  </r>
  <r>
    <s v="Coastal"/>
    <n v="786"/>
    <s v="Ocean Port Authority, FL"/>
    <n v="2990"/>
    <x v="102"/>
    <x v="10"/>
    <n v="486"/>
    <x v="1522"/>
    <x v="0"/>
    <n v="486"/>
  </r>
  <r>
    <s v="Coastal"/>
    <n v="786"/>
    <s v="Ocean Port Authority, FL"/>
    <n v="3282"/>
    <x v="91"/>
    <x v="10"/>
    <n v="420"/>
    <x v="0"/>
    <x v="378"/>
    <n v="420"/>
  </r>
  <r>
    <s v="Coastal"/>
    <n v="786"/>
    <s v="Ocean Port Authority, FL"/>
    <n v="1100"/>
    <x v="32"/>
    <x v="10"/>
    <n v="251"/>
    <x v="0"/>
    <x v="1027"/>
    <n v="251"/>
  </r>
  <r>
    <s v="Coastal"/>
    <n v="786"/>
    <s v="Ocean Port Authority, FL"/>
    <n v="6858"/>
    <x v="74"/>
    <x v="10"/>
    <n v="251"/>
    <x v="0"/>
    <x v="1027"/>
    <n v="251"/>
  </r>
  <r>
    <s v="Coastal"/>
    <n v="786"/>
    <s v="Ocean Port Authority, FL"/>
    <n v="6747"/>
    <x v="78"/>
    <x v="10"/>
    <n v="226"/>
    <x v="0"/>
    <x v="1028"/>
    <n v="226"/>
  </r>
  <r>
    <s v="Coastal"/>
    <n v="786"/>
    <s v="Ocean Port Authority, FL"/>
    <n v="7500"/>
    <x v="60"/>
    <x v="10"/>
    <n v="224"/>
    <x v="1523"/>
    <x v="1029"/>
    <n v="224"/>
  </r>
  <r>
    <s v="Coastal"/>
    <n v="786"/>
    <s v="Ocean Port Authority, FL"/>
    <n v="7230"/>
    <x v="22"/>
    <x v="10"/>
    <n v="223"/>
    <x v="605"/>
    <x v="1030"/>
    <n v="223"/>
  </r>
  <r>
    <s v="Coastal"/>
    <n v="786"/>
    <s v="Ocean Port Authority, FL"/>
    <n v="7210"/>
    <x v="59"/>
    <x v="10"/>
    <n v="204"/>
    <x v="417"/>
    <x v="403"/>
    <n v="204"/>
  </r>
  <r>
    <s v="Coastal"/>
    <n v="786"/>
    <s v="Ocean Port Authority, FL"/>
    <n v="6811"/>
    <x v="76"/>
    <x v="10"/>
    <n v="183"/>
    <x v="0"/>
    <x v="1031"/>
    <n v="183"/>
  </r>
  <r>
    <s v="Coastal"/>
    <n v="786"/>
    <s v="Ocean Port Authority, FL"/>
    <n v="7400"/>
    <x v="77"/>
    <x v="10"/>
    <n v="174"/>
    <x v="0"/>
    <x v="227"/>
    <n v="174"/>
  </r>
  <r>
    <s v="Coastal"/>
    <n v="786"/>
    <s v="Ocean Port Authority, FL"/>
    <n v="3291"/>
    <x v="117"/>
    <x v="10"/>
    <n v="167"/>
    <x v="0"/>
    <x v="1032"/>
    <n v="167"/>
  </r>
  <r>
    <s v="Coastal"/>
    <n v="786"/>
    <s v="Ocean Port Authority, FL"/>
    <n v="2330"/>
    <x v="1"/>
    <x v="10"/>
    <n v="135"/>
    <x v="0"/>
    <x v="599"/>
    <n v="135"/>
  </r>
  <r>
    <s v="Coastal"/>
    <n v="786"/>
    <s v="Ocean Port Authority, FL"/>
    <n v="6871"/>
    <x v="73"/>
    <x v="10"/>
    <n v="134"/>
    <x v="0"/>
    <x v="1033"/>
    <n v="134"/>
  </r>
  <r>
    <s v="Coastal"/>
    <n v="786"/>
    <s v="Ocean Port Authority, FL"/>
    <n v="4420"/>
    <x v="8"/>
    <x v="10"/>
    <n v="132"/>
    <x v="333"/>
    <x v="234"/>
    <n v="132"/>
  </r>
  <r>
    <s v="Coastal"/>
    <n v="786"/>
    <s v="Ocean Port Authority, FL"/>
    <n v="5320"/>
    <x v="13"/>
    <x v="10"/>
    <n v="110"/>
    <x v="0"/>
    <x v="1034"/>
    <n v="110"/>
  </r>
  <r>
    <s v="Coastal"/>
    <n v="786"/>
    <s v="Ocean Port Authority, FL"/>
    <n v="5240"/>
    <x v="89"/>
    <x v="10"/>
    <n v="108"/>
    <x v="0"/>
    <x v="513"/>
    <n v="108"/>
  </r>
  <r>
    <s v="Coastal"/>
    <n v="786"/>
    <s v="Ocean Port Authority, FL"/>
    <n v="4900"/>
    <x v="14"/>
    <x v="10"/>
    <n v="107"/>
    <x v="0"/>
    <x v="1035"/>
    <n v="107"/>
  </r>
  <r>
    <s v="Coastal"/>
    <n v="786"/>
    <s v="Ocean Port Authority, FL"/>
    <n v="5220"/>
    <x v="30"/>
    <x v="10"/>
    <n v="98"/>
    <x v="0"/>
    <x v="537"/>
    <n v="98"/>
  </r>
  <r>
    <s v="Coastal"/>
    <n v="786"/>
    <s v="Ocean Port Authority, FL"/>
    <n v="6822"/>
    <x v="84"/>
    <x v="10"/>
    <n v="86"/>
    <x v="0"/>
    <x v="256"/>
    <n v="86"/>
  </r>
  <r>
    <s v="Coastal"/>
    <n v="786"/>
    <s v="Ocean Port Authority, FL"/>
    <n v="6653"/>
    <x v="24"/>
    <x v="10"/>
    <n v="71"/>
    <x v="0"/>
    <x v="209"/>
    <n v="71"/>
  </r>
  <r>
    <s v="Coastal"/>
    <n v="786"/>
    <s v="Ocean Port Authority, FL"/>
    <n v="6861"/>
    <x v="69"/>
    <x v="10"/>
    <n v="68"/>
    <x v="0"/>
    <x v="213"/>
    <n v="68"/>
  </r>
  <r>
    <s v="Coastal"/>
    <n v="786"/>
    <s v="Ocean Port Authority, FL"/>
    <n v="6134"/>
    <x v="82"/>
    <x v="10"/>
    <n v="49"/>
    <x v="0"/>
    <x v="1036"/>
    <n v="49"/>
  </r>
  <r>
    <s v="Coastal"/>
    <n v="786"/>
    <s v="Ocean Port Authority, FL"/>
    <n v="4323"/>
    <x v="6"/>
    <x v="10"/>
    <n v="45"/>
    <x v="0"/>
    <x v="124"/>
    <n v="45"/>
  </r>
  <r>
    <s v="Coastal"/>
    <n v="786"/>
    <s v="Ocean Port Authority, FL"/>
    <n v="3283"/>
    <x v="111"/>
    <x v="10"/>
    <n v="44"/>
    <x v="0"/>
    <x v="449"/>
    <n v="44"/>
  </r>
  <r>
    <s v="Coastal"/>
    <n v="786"/>
    <s v="Ocean Port Authority, FL"/>
    <n v="2430"/>
    <x v="11"/>
    <x v="10"/>
    <n v="42"/>
    <x v="0"/>
    <x v="130"/>
    <n v="42"/>
  </r>
  <r>
    <s v="Coastal"/>
    <n v="786"/>
    <s v="Ocean Port Authority, FL"/>
    <n v="6344"/>
    <x v="25"/>
    <x v="10"/>
    <n v="39"/>
    <x v="0"/>
    <x v="376"/>
    <n v="39"/>
  </r>
  <r>
    <s v="Coastal"/>
    <n v="786"/>
    <s v="Ocean Port Authority, FL"/>
    <n v="6891"/>
    <x v="93"/>
    <x v="10"/>
    <n v="39"/>
    <x v="0"/>
    <x v="376"/>
    <n v="39"/>
  </r>
  <r>
    <s v="Coastal"/>
    <n v="786"/>
    <s v="Ocean Port Authority, FL"/>
    <n v="4680"/>
    <x v="70"/>
    <x v="10"/>
    <n v="37"/>
    <x v="613"/>
    <x v="0"/>
    <n v="37"/>
  </r>
  <r>
    <s v="Coastal"/>
    <n v="786"/>
    <s v="Ocean Port Authority, FL"/>
    <n v="5330"/>
    <x v="16"/>
    <x v="10"/>
    <n v="35"/>
    <x v="0"/>
    <x v="1037"/>
    <n v="35"/>
  </r>
  <r>
    <s v="Coastal"/>
    <n v="786"/>
    <s v="Ocean Port Authority, FL"/>
    <n v="6817"/>
    <x v="119"/>
    <x v="10"/>
    <n v="32"/>
    <x v="0"/>
    <x v="410"/>
    <n v="32"/>
  </r>
  <r>
    <s v="Coastal"/>
    <n v="786"/>
    <s v="Ocean Port Authority, FL"/>
    <n v="6893"/>
    <x v="113"/>
    <x v="10"/>
    <n v="27"/>
    <x v="0"/>
    <x v="271"/>
    <n v="27"/>
  </r>
  <r>
    <s v="Coastal"/>
    <n v="786"/>
    <s v="Ocean Port Authority, FL"/>
    <n v="4783"/>
    <x v="7"/>
    <x v="10"/>
    <n v="26"/>
    <x v="0"/>
    <x v="160"/>
    <n v="26"/>
  </r>
  <r>
    <s v="Coastal"/>
    <n v="786"/>
    <s v="Ocean Port Authority, FL"/>
    <n v="2211"/>
    <x v="0"/>
    <x v="10"/>
    <n v="24"/>
    <x v="391"/>
    <x v="0"/>
    <n v="24"/>
  </r>
  <r>
    <s v="Coastal"/>
    <n v="786"/>
    <s v="Ocean Port Authority, FL"/>
    <n v="3240"/>
    <x v="53"/>
    <x v="10"/>
    <n v="24"/>
    <x v="391"/>
    <x v="0"/>
    <n v="24"/>
  </r>
  <r>
    <s v="Coastal"/>
    <n v="786"/>
    <s v="Ocean Port Authority, FL"/>
    <n v="5370"/>
    <x v="81"/>
    <x v="10"/>
    <n v="24"/>
    <x v="0"/>
    <x v="236"/>
    <n v="24"/>
  </r>
  <r>
    <s v="Coastal"/>
    <n v="786"/>
    <s v="Ocean Port Authority, FL"/>
    <n v="3260"/>
    <x v="107"/>
    <x v="10"/>
    <n v="21"/>
    <x v="0"/>
    <x v="129"/>
    <n v="21"/>
  </r>
  <r>
    <s v="Coastal"/>
    <n v="786"/>
    <s v="Ocean Port Authority, FL"/>
    <n v="6442"/>
    <x v="85"/>
    <x v="10"/>
    <n v="21"/>
    <x v="0"/>
    <x v="129"/>
    <n v="21"/>
  </r>
  <r>
    <s v="Coastal"/>
    <n v="786"/>
    <s v="Ocean Port Authority, FL"/>
    <n v="6835"/>
    <x v="92"/>
    <x v="10"/>
    <n v="20"/>
    <x v="0"/>
    <x v="125"/>
    <n v="20"/>
  </r>
  <r>
    <s v="Coastal"/>
    <n v="786"/>
    <s v="Ocean Port Authority, FL"/>
    <n v="6781"/>
    <x v="128"/>
    <x v="10"/>
    <n v="18"/>
    <x v="0"/>
    <x v="454"/>
    <n v="18"/>
  </r>
  <r>
    <s v="Coastal"/>
    <n v="786"/>
    <s v="Ocean Port Authority, FL"/>
    <n v="3297"/>
    <x v="116"/>
    <x v="10"/>
    <n v="17"/>
    <x v="0"/>
    <x v="133"/>
    <n v="17"/>
  </r>
  <r>
    <s v="Coastal"/>
    <n v="786"/>
    <s v="Ocean Port Authority, FL"/>
    <n v="3275"/>
    <x v="47"/>
    <x v="10"/>
    <n v="15"/>
    <x v="312"/>
    <x v="258"/>
    <n v="15"/>
  </r>
  <r>
    <s v="Coastal"/>
    <n v="786"/>
    <s v="Ocean Port Authority, FL"/>
    <n v="3272"/>
    <x v="137"/>
    <x v="10"/>
    <n v="14"/>
    <x v="0"/>
    <x v="411"/>
    <n v="14"/>
  </r>
  <r>
    <s v="Coastal"/>
    <n v="786"/>
    <s v="Ocean Port Authority, FL"/>
    <n v="4190"/>
    <x v="99"/>
    <x v="10"/>
    <n v="13"/>
    <x v="0"/>
    <x v="1038"/>
    <n v="13"/>
  </r>
  <r>
    <s v="Coastal"/>
    <n v="786"/>
    <s v="Ocean Port Authority, FL"/>
    <n v="3276"/>
    <x v="12"/>
    <x v="10"/>
    <n v="12"/>
    <x v="0"/>
    <x v="1007"/>
    <n v="12"/>
  </r>
  <r>
    <s v="Coastal"/>
    <n v="786"/>
    <s v="Ocean Port Authority, FL"/>
    <n v="3250"/>
    <x v="108"/>
    <x v="10"/>
    <n v="10"/>
    <x v="0"/>
    <x v="238"/>
    <n v="10"/>
  </r>
  <r>
    <s v="Coastal"/>
    <n v="786"/>
    <s v="Ocean Port Authority, FL"/>
    <n v="4782"/>
    <x v="45"/>
    <x v="10"/>
    <n v="8"/>
    <x v="0"/>
    <x v="232"/>
    <n v="8"/>
  </r>
  <r>
    <s v="Coastal"/>
    <n v="786"/>
    <s v="Ocean Port Authority, FL"/>
    <n v="2640"/>
    <x v="110"/>
    <x v="10"/>
    <n v="6"/>
    <x v="0"/>
    <x v="131"/>
    <n v="6"/>
  </r>
  <r>
    <s v="Coastal"/>
    <n v="786"/>
    <s v="Ocean Port Authority, FL"/>
    <n v="4322"/>
    <x v="33"/>
    <x v="10"/>
    <n v="6"/>
    <x v="0"/>
    <x v="131"/>
    <n v="6"/>
  </r>
  <r>
    <s v="Coastal"/>
    <n v="786"/>
    <s v="Ocean Port Authority, FL"/>
    <n v="5312"/>
    <x v="52"/>
    <x v="10"/>
    <n v="6"/>
    <x v="0"/>
    <x v="131"/>
    <n v="6"/>
  </r>
  <r>
    <s v="Coastal"/>
    <n v="786"/>
    <s v="Ocean Port Authority, FL"/>
    <n v="5421"/>
    <x v="88"/>
    <x v="10"/>
    <n v="5"/>
    <x v="0"/>
    <x v="258"/>
    <n v="5"/>
  </r>
  <r>
    <s v="Coastal"/>
    <n v="786"/>
    <s v="Ocean Port Authority, FL"/>
    <n v="4310"/>
    <x v="96"/>
    <x v="10"/>
    <n v="3"/>
    <x v="393"/>
    <x v="0"/>
    <n v="3"/>
  </r>
  <r>
    <s v="Coastal"/>
    <n v="786"/>
    <s v="Ocean Port Authority, FL"/>
    <n v="6839"/>
    <x v="106"/>
    <x v="10"/>
    <n v="3"/>
    <x v="0"/>
    <x v="128"/>
    <n v="3"/>
  </r>
  <r>
    <s v="Coastal"/>
    <n v="786"/>
    <s v="Ocean Port Authority, FL"/>
    <n v="2540"/>
    <x v="15"/>
    <x v="10"/>
    <n v="2"/>
    <x v="0"/>
    <x v="284"/>
    <n v="2"/>
  </r>
  <r>
    <s v="Coastal"/>
    <n v="786"/>
    <s v="Ocean Port Authority, FL"/>
    <n v="3110"/>
    <x v="36"/>
    <x v="10"/>
    <n v="2"/>
    <x v="0"/>
    <x v="284"/>
    <n v="2"/>
  </r>
  <r>
    <s v="Coastal"/>
    <n v="786"/>
    <s v="Ocean Port Authority, FL"/>
    <n v="3230"/>
    <x v="80"/>
    <x v="10"/>
    <n v="2"/>
    <x v="0"/>
    <x v="284"/>
    <n v="2"/>
  </r>
  <r>
    <s v="Coastal"/>
    <n v="786"/>
    <s v="Ocean Port Authority, FL"/>
    <n v="3130"/>
    <x v="37"/>
    <x v="10"/>
    <n v="1"/>
    <x v="0"/>
    <x v="276"/>
    <n v="1"/>
  </r>
  <r>
    <s v="Coastal"/>
    <n v="786"/>
    <s v="Ocean Port Authority, FL"/>
    <n v="3284"/>
    <x v="97"/>
    <x v="10"/>
    <n v="1"/>
    <x v="0"/>
    <x v="276"/>
    <n v="1"/>
  </r>
  <r>
    <s v="Coastal"/>
    <n v="786"/>
    <s v="Ocean Port Authority, FL"/>
    <n v="3292"/>
    <x v="51"/>
    <x v="10"/>
    <n v="1"/>
    <x v="0"/>
    <x v="276"/>
    <n v="1"/>
  </r>
  <r>
    <s v="Coastal"/>
    <n v="786"/>
    <s v="Ocean Port Authority, FL"/>
    <n v="5422"/>
    <x v="66"/>
    <x v="10"/>
    <n v="1"/>
    <x v="0"/>
    <x v="276"/>
    <n v="1"/>
  </r>
  <r>
    <s v="Coastal"/>
    <n v="786"/>
    <s v="Ocean Port Authority, FL"/>
    <n v="6136"/>
    <x v="95"/>
    <x v="10"/>
    <n v="1"/>
    <x v="0"/>
    <x v="276"/>
    <n v="1"/>
  </r>
  <r>
    <s v="Coastal"/>
    <n v="786"/>
    <s v="Ocean Port Authority, FL"/>
    <n v="6857"/>
    <x v="104"/>
    <x v="10"/>
    <n v="1"/>
    <x v="0"/>
    <x v="276"/>
    <n v="1"/>
  </r>
  <r>
    <s v="Great Lakes"/>
    <n v="3007"/>
    <s v="Ogdensburg Port Authority, NY"/>
    <n v="4783"/>
    <x v="7"/>
    <x v="10"/>
    <n v="178862"/>
    <x v="1524"/>
    <x v="0"/>
    <n v="178862"/>
  </r>
  <r>
    <s v="Coastal"/>
    <n v="5003"/>
    <s v="Old Harbor, AK"/>
    <n v="6134"/>
    <x v="82"/>
    <x v="10"/>
    <n v="67903"/>
    <x v="546"/>
    <x v="1039"/>
    <n v="67903"/>
  </r>
  <r>
    <s v="Coastal"/>
    <n v="5003"/>
    <s v="Old Harbor, AK"/>
    <n v="2330"/>
    <x v="1"/>
    <x v="2020"/>
    <n v="37607"/>
    <x v="1525"/>
    <x v="1040"/>
    <n v="41496"/>
  </r>
  <r>
    <s v="Coastal"/>
    <n v="5003"/>
    <s v="Old Harbor, AK"/>
    <n v="6782"/>
    <x v="27"/>
    <x v="10"/>
    <n v="14931"/>
    <x v="0"/>
    <x v="1041"/>
    <n v="14931"/>
  </r>
  <r>
    <s v="Coastal"/>
    <n v="5003"/>
    <s v="Old Harbor, AK"/>
    <n v="6839"/>
    <x v="106"/>
    <x v="10"/>
    <n v="5965"/>
    <x v="0"/>
    <x v="1042"/>
    <n v="5965"/>
  </r>
  <r>
    <s v="Coastal"/>
    <n v="5003"/>
    <s v="Old Harbor, AK"/>
    <n v="6838"/>
    <x v="131"/>
    <x v="10"/>
    <n v="4892"/>
    <x v="210"/>
    <x v="1043"/>
    <n v="4892"/>
  </r>
  <r>
    <s v="Coastal"/>
    <n v="5003"/>
    <s v="Old Harbor, AK"/>
    <n v="2211"/>
    <x v="0"/>
    <x v="1601"/>
    <n v="0"/>
    <x v="0"/>
    <x v="0"/>
    <n v="582"/>
  </r>
  <r>
    <s v="Coastal"/>
    <n v="5003"/>
    <s v="Old Harbor, AK"/>
    <n v="2221"/>
    <x v="9"/>
    <x v="2021"/>
    <n v="0"/>
    <x v="0"/>
    <x v="0"/>
    <n v="372"/>
  </r>
  <r>
    <s v="Coastal"/>
    <n v="5003"/>
    <s v="Old Harbor, AK"/>
    <n v="6835"/>
    <x v="92"/>
    <x v="10"/>
    <n v="213"/>
    <x v="0"/>
    <x v="966"/>
    <n v="213"/>
  </r>
  <r>
    <s v="Coastal"/>
    <n v="5003"/>
    <s v="Old Harbor, AK"/>
    <n v="7600"/>
    <x v="68"/>
    <x v="10"/>
    <n v="69"/>
    <x v="819"/>
    <x v="273"/>
    <n v="69"/>
  </r>
  <r>
    <s v="Coastal"/>
    <n v="5003"/>
    <s v="Old Harbor, AK"/>
    <n v="4650"/>
    <x v="67"/>
    <x v="10"/>
    <n v="65"/>
    <x v="181"/>
    <x v="0"/>
    <n v="65"/>
  </r>
  <r>
    <s v="Coastal"/>
    <n v="5003"/>
    <s v="Old Harbor, AK"/>
    <n v="3299"/>
    <x v="79"/>
    <x v="10"/>
    <n v="38"/>
    <x v="819"/>
    <x v="0"/>
    <n v="38"/>
  </r>
  <r>
    <s v="Coastal"/>
    <n v="5003"/>
    <s v="Old Harbor, AK"/>
    <n v="7900"/>
    <x v="21"/>
    <x v="10"/>
    <n v="35"/>
    <x v="310"/>
    <x v="0"/>
    <n v="35"/>
  </r>
  <r>
    <s v="Coastal"/>
    <n v="5003"/>
    <s v="Old Harbor, AK"/>
    <n v="5190"/>
    <x v="83"/>
    <x v="10"/>
    <n v="19"/>
    <x v="417"/>
    <x v="0"/>
    <n v="19"/>
  </r>
  <r>
    <s v="Coastal"/>
    <n v="5003"/>
    <s v="Old Harbor, AK"/>
    <n v="7500"/>
    <x v="60"/>
    <x v="10"/>
    <n v="16"/>
    <x v="452"/>
    <x v="0"/>
    <n v="16"/>
  </r>
  <r>
    <s v="Coastal"/>
    <n v="5003"/>
    <s v="Old Harbor, AK"/>
    <n v="3276"/>
    <x v="12"/>
    <x v="10"/>
    <n v="12"/>
    <x v="0"/>
    <x v="1007"/>
    <n v="12"/>
  </r>
  <r>
    <s v="Coastal"/>
    <n v="5003"/>
    <s v="Old Harbor, AK"/>
    <n v="7110"/>
    <x v="4"/>
    <x v="10"/>
    <n v="4"/>
    <x v="504"/>
    <x v="0"/>
    <n v="4"/>
  </r>
  <r>
    <s v="Coastal"/>
    <n v="2398"/>
    <s v="Orange County Nav District, TX"/>
    <n v="2100"/>
    <x v="35"/>
    <x v="2022"/>
    <n v="0"/>
    <x v="0"/>
    <x v="0"/>
    <n v="775332"/>
  </r>
  <r>
    <s v="Coastal"/>
    <n v="2398"/>
    <s v="Orange County Nav District, TX"/>
    <n v="5220"/>
    <x v="30"/>
    <x v="2023"/>
    <n v="0"/>
    <x v="0"/>
    <x v="0"/>
    <n v="221200"/>
  </r>
  <r>
    <s v="Coastal"/>
    <n v="2398"/>
    <s v="Orange County Nav District, TX"/>
    <n v="2429"/>
    <x v="17"/>
    <x v="2024"/>
    <n v="0"/>
    <x v="0"/>
    <x v="0"/>
    <n v="184613"/>
  </r>
  <r>
    <s v="Coastal"/>
    <n v="2398"/>
    <s v="Orange County Nav District, TX"/>
    <n v="2340"/>
    <x v="3"/>
    <x v="493"/>
    <n v="0"/>
    <x v="0"/>
    <x v="0"/>
    <n v="180248"/>
  </r>
  <r>
    <s v="Coastal"/>
    <n v="2398"/>
    <s v="Orange County Nav District, TX"/>
    <n v="4322"/>
    <x v="33"/>
    <x v="2025"/>
    <n v="0"/>
    <x v="0"/>
    <x v="0"/>
    <n v="177599"/>
  </r>
  <r>
    <s v="Coastal"/>
    <n v="2398"/>
    <s v="Orange County Nav District, TX"/>
    <n v="3240"/>
    <x v="53"/>
    <x v="2026"/>
    <n v="0"/>
    <x v="0"/>
    <x v="0"/>
    <n v="153600"/>
  </r>
  <r>
    <s v="Coastal"/>
    <n v="2398"/>
    <s v="Orange County Nav District, TX"/>
    <n v="2211"/>
    <x v="0"/>
    <x v="2027"/>
    <n v="0"/>
    <x v="0"/>
    <x v="0"/>
    <n v="146448"/>
  </r>
  <r>
    <s v="Coastal"/>
    <n v="2398"/>
    <s v="Orange County Nav District, TX"/>
    <n v="2330"/>
    <x v="1"/>
    <x v="2028"/>
    <n v="16868"/>
    <x v="0"/>
    <x v="1044"/>
    <n v="144521"/>
  </r>
  <r>
    <s v="Coastal"/>
    <n v="2398"/>
    <s v="Orange County Nav District, TX"/>
    <n v="5360"/>
    <x v="94"/>
    <x v="2029"/>
    <n v="0"/>
    <x v="0"/>
    <x v="0"/>
    <n v="130879"/>
  </r>
  <r>
    <s v="Coastal"/>
    <n v="2398"/>
    <s v="Orange County Nav District, TX"/>
    <n v="3211"/>
    <x v="124"/>
    <x v="2030"/>
    <n v="0"/>
    <x v="0"/>
    <x v="0"/>
    <n v="86251"/>
  </r>
  <r>
    <s v="Coastal"/>
    <n v="2398"/>
    <s v="Orange County Nav District, TX"/>
    <n v="4420"/>
    <x v="8"/>
    <x v="2031"/>
    <n v="0"/>
    <x v="0"/>
    <x v="0"/>
    <n v="45292"/>
  </r>
  <r>
    <s v="Coastal"/>
    <n v="2398"/>
    <s v="Orange County Nav District, TX"/>
    <n v="2640"/>
    <x v="110"/>
    <x v="2032"/>
    <n v="0"/>
    <x v="0"/>
    <x v="0"/>
    <n v="22368"/>
  </r>
  <r>
    <s v="Coastal"/>
    <n v="2398"/>
    <s v="Orange County Nav District, TX"/>
    <n v="3219"/>
    <x v="19"/>
    <x v="2033"/>
    <n v="0"/>
    <x v="0"/>
    <x v="0"/>
    <n v="20523"/>
  </r>
  <r>
    <s v="Coastal"/>
    <n v="2398"/>
    <s v="Orange County Nav District, TX"/>
    <n v="3230"/>
    <x v="80"/>
    <x v="2034"/>
    <n v="0"/>
    <x v="0"/>
    <x v="0"/>
    <n v="15518"/>
  </r>
  <r>
    <s v="Coastal"/>
    <n v="2398"/>
    <s v="Orange County Nav District, TX"/>
    <n v="5312"/>
    <x v="52"/>
    <x v="2035"/>
    <n v="0"/>
    <x v="0"/>
    <x v="0"/>
    <n v="6283"/>
  </r>
  <r>
    <s v="Coastal"/>
    <n v="2398"/>
    <s v="Orange County Nav District, TX"/>
    <n v="3212"/>
    <x v="39"/>
    <x v="2036"/>
    <n v="0"/>
    <x v="0"/>
    <x v="0"/>
    <n v="3402"/>
  </r>
  <r>
    <s v="Coastal"/>
    <n v="2398"/>
    <s v="Orange County Nav District, TX"/>
    <n v="9900"/>
    <x v="18"/>
    <x v="10"/>
    <n v="719"/>
    <x v="1526"/>
    <x v="0"/>
    <n v="719"/>
  </r>
  <r>
    <s v="Coastal"/>
    <n v="2398"/>
    <s v="Orange County Nav District, TX"/>
    <n v="7110"/>
    <x v="4"/>
    <x v="2037"/>
    <n v="0"/>
    <x v="0"/>
    <x v="0"/>
    <n v="310"/>
  </r>
  <r>
    <s v="Internal"/>
    <n v="2297"/>
    <s v="Osceola, AR"/>
    <n v="6522"/>
    <x v="26"/>
    <x v="2038"/>
    <n v="0"/>
    <x v="0"/>
    <x v="0"/>
    <n v="311949"/>
  </r>
  <r>
    <s v="Internal"/>
    <n v="2297"/>
    <s v="Osceola, AR"/>
    <n v="6442"/>
    <x v="85"/>
    <x v="2039"/>
    <n v="0"/>
    <x v="0"/>
    <x v="0"/>
    <n v="142011"/>
  </r>
  <r>
    <s v="Internal"/>
    <n v="2297"/>
    <s v="Osceola, AR"/>
    <n v="6344"/>
    <x v="25"/>
    <x v="2040"/>
    <n v="0"/>
    <x v="0"/>
    <x v="0"/>
    <n v="61618"/>
  </r>
  <r>
    <s v="Internal"/>
    <n v="2297"/>
    <s v="Osceola, AR"/>
    <n v="6241"/>
    <x v="28"/>
    <x v="2041"/>
    <n v="0"/>
    <x v="0"/>
    <x v="0"/>
    <n v="12527"/>
  </r>
  <r>
    <s v="Internal"/>
    <n v="2297"/>
    <s v="Osceola, AR"/>
    <n v="3110"/>
    <x v="36"/>
    <x v="2042"/>
    <n v="0"/>
    <x v="0"/>
    <x v="0"/>
    <n v="11142"/>
  </r>
  <r>
    <s v="Internal"/>
    <n v="2297"/>
    <s v="Osceola, AR"/>
    <n v="4420"/>
    <x v="8"/>
    <x v="2043"/>
    <n v="0"/>
    <x v="0"/>
    <x v="0"/>
    <n v="4690"/>
  </r>
  <r>
    <s v="Internal"/>
    <n v="2297"/>
    <s v="Osceola, AR"/>
    <n v="5330"/>
    <x v="16"/>
    <x v="2044"/>
    <n v="0"/>
    <x v="0"/>
    <x v="0"/>
    <n v="3579"/>
  </r>
  <r>
    <s v="Internal"/>
    <n v="2297"/>
    <s v="Osceola, AR"/>
    <n v="6654"/>
    <x v="50"/>
    <x v="2045"/>
    <n v="0"/>
    <x v="0"/>
    <x v="0"/>
    <n v="2080"/>
  </r>
  <r>
    <s v="Internal"/>
    <n v="2297"/>
    <s v="Osceola, AR"/>
    <n v="3130"/>
    <x v="37"/>
    <x v="2046"/>
    <n v="0"/>
    <x v="0"/>
    <x v="0"/>
    <n v="1548"/>
  </r>
  <r>
    <s v="Great Lakes"/>
    <n v="3111"/>
    <s v="Oswego, NY"/>
    <n v="5220"/>
    <x v="30"/>
    <x v="10"/>
    <n v="175689"/>
    <x v="1527"/>
    <x v="0"/>
    <n v="175689"/>
  </r>
  <r>
    <s v="Great Lakes"/>
    <n v="3111"/>
    <s v="Oswego, NY"/>
    <n v="5422"/>
    <x v="66"/>
    <x v="10"/>
    <n v="41196"/>
    <x v="1528"/>
    <x v="0"/>
    <n v="41196"/>
  </r>
  <r>
    <s v="Great Lakes"/>
    <n v="3111"/>
    <s v="Oswego, NY"/>
    <n v="3260"/>
    <x v="107"/>
    <x v="10"/>
    <n v="39391"/>
    <x v="1529"/>
    <x v="0"/>
    <n v="39391"/>
  </r>
  <r>
    <s v="Great Lakes"/>
    <n v="3111"/>
    <s v="Oswego, NY"/>
    <n v="4900"/>
    <x v="14"/>
    <x v="10"/>
    <n v="12230"/>
    <x v="1530"/>
    <x v="0"/>
    <n v="12230"/>
  </r>
  <r>
    <s v="Great Lakes"/>
    <n v="3111"/>
    <s v="Oswego, NY"/>
    <n v="2330"/>
    <x v="1"/>
    <x v="10"/>
    <n v="8048"/>
    <x v="1531"/>
    <x v="0"/>
    <n v="8048"/>
  </r>
  <r>
    <s v="Great Lakes"/>
    <n v="3111"/>
    <s v="Oswego, NY"/>
    <n v="6891"/>
    <x v="93"/>
    <x v="10"/>
    <n v="4305"/>
    <x v="1532"/>
    <x v="0"/>
    <n v="4305"/>
  </r>
  <r>
    <s v="Great Lakes"/>
    <n v="3111"/>
    <s v="Oswego, NY"/>
    <n v="7120"/>
    <x v="71"/>
    <x v="10"/>
    <n v="981"/>
    <x v="1533"/>
    <x v="0"/>
    <n v="981"/>
  </r>
  <r>
    <s v="Internal"/>
    <n v="7712"/>
    <s v="Ottawa Port District, IL"/>
    <n v="6344"/>
    <x v="25"/>
    <x v="2047"/>
    <n v="0"/>
    <x v="0"/>
    <x v="0"/>
    <n v="602431"/>
  </r>
  <r>
    <s v="Internal"/>
    <n v="7712"/>
    <s v="Ottawa Port District, IL"/>
    <n v="6522"/>
    <x v="26"/>
    <x v="2048"/>
    <n v="0"/>
    <x v="0"/>
    <x v="0"/>
    <n v="213253"/>
  </r>
  <r>
    <s v="Internal"/>
    <n v="7712"/>
    <s v="Ottawa Port District, IL"/>
    <n v="4161"/>
    <x v="54"/>
    <x v="2049"/>
    <n v="0"/>
    <x v="0"/>
    <x v="0"/>
    <n v="70900"/>
  </r>
  <r>
    <s v="Internal"/>
    <n v="7712"/>
    <s v="Ottawa Port District, IL"/>
    <n v="3110"/>
    <x v="36"/>
    <x v="2050"/>
    <n v="0"/>
    <x v="0"/>
    <x v="0"/>
    <n v="58043"/>
  </r>
  <r>
    <s v="Internal"/>
    <n v="7712"/>
    <s v="Ottawa Port District, IL"/>
    <n v="3190"/>
    <x v="38"/>
    <x v="2051"/>
    <n v="0"/>
    <x v="0"/>
    <x v="0"/>
    <n v="49527"/>
  </r>
  <r>
    <s v="Internal"/>
    <n v="7712"/>
    <s v="Ottawa Port District, IL"/>
    <n v="3130"/>
    <x v="37"/>
    <x v="2052"/>
    <n v="0"/>
    <x v="0"/>
    <x v="0"/>
    <n v="40288"/>
  </r>
  <r>
    <s v="Internal"/>
    <n v="7712"/>
    <s v="Ottawa Port District, IL"/>
    <n v="3276"/>
    <x v="12"/>
    <x v="2053"/>
    <n v="0"/>
    <x v="0"/>
    <x v="0"/>
    <n v="30840"/>
  </r>
  <r>
    <s v="Internal"/>
    <n v="7712"/>
    <s v="Ottawa Port District, IL"/>
    <n v="4783"/>
    <x v="7"/>
    <x v="2054"/>
    <n v="0"/>
    <x v="0"/>
    <x v="0"/>
    <n v="30165"/>
  </r>
  <r>
    <s v="Internal"/>
    <n v="7712"/>
    <s v="Ottawa Port District, IL"/>
    <n v="3211"/>
    <x v="124"/>
    <x v="2055"/>
    <n v="0"/>
    <x v="0"/>
    <x v="0"/>
    <n v="27345"/>
  </r>
  <r>
    <s v="Internal"/>
    <n v="7712"/>
    <s v="Ottawa Port District, IL"/>
    <n v="4331"/>
    <x v="29"/>
    <x v="2056"/>
    <n v="0"/>
    <x v="0"/>
    <x v="0"/>
    <n v="26700"/>
  </r>
  <r>
    <s v="Internal"/>
    <n v="7712"/>
    <s v="Ottawa Port District, IL"/>
    <n v="6782"/>
    <x v="27"/>
    <x v="2057"/>
    <n v="0"/>
    <x v="0"/>
    <x v="0"/>
    <n v="22924"/>
  </r>
  <r>
    <s v="Internal"/>
    <n v="7712"/>
    <s v="Ottawa Port District, IL"/>
    <n v="4782"/>
    <x v="45"/>
    <x v="2058"/>
    <n v="0"/>
    <x v="0"/>
    <x v="0"/>
    <n v="15185"/>
  </r>
  <r>
    <s v="Internal"/>
    <n v="7712"/>
    <s v="Ottawa Port District, IL"/>
    <n v="3219"/>
    <x v="19"/>
    <x v="2059"/>
    <n v="0"/>
    <x v="0"/>
    <x v="0"/>
    <n v="14287"/>
  </r>
  <r>
    <s v="Internal"/>
    <n v="7712"/>
    <s v="Ottawa Port District, IL"/>
    <n v="3279"/>
    <x v="58"/>
    <x v="2060"/>
    <n v="0"/>
    <x v="0"/>
    <x v="0"/>
    <n v="11963"/>
  </r>
  <r>
    <s v="Internal"/>
    <n v="7712"/>
    <s v="Ottawa Port District, IL"/>
    <n v="3120"/>
    <x v="41"/>
    <x v="2061"/>
    <n v="0"/>
    <x v="0"/>
    <x v="0"/>
    <n v="9109"/>
  </r>
  <r>
    <s v="Internal"/>
    <n v="7712"/>
    <s v="Ottawa Port District, IL"/>
    <n v="6590"/>
    <x v="23"/>
    <x v="2062"/>
    <n v="0"/>
    <x v="0"/>
    <x v="0"/>
    <n v="8182"/>
  </r>
  <r>
    <s v="Internal"/>
    <n v="7712"/>
    <s v="Ottawa Port District, IL"/>
    <n v="3275"/>
    <x v="47"/>
    <x v="2063"/>
    <n v="0"/>
    <x v="0"/>
    <x v="0"/>
    <n v="3350"/>
  </r>
  <r>
    <s v="Internal"/>
    <n v="7712"/>
    <s v="Ottawa Port District, IL"/>
    <n v="4650"/>
    <x v="67"/>
    <x v="2064"/>
    <n v="0"/>
    <x v="0"/>
    <x v="0"/>
    <n v="3313"/>
  </r>
  <r>
    <s v="Internal"/>
    <n v="7712"/>
    <s v="Ottawa Port District, IL"/>
    <n v="4420"/>
    <x v="8"/>
    <x v="2065"/>
    <n v="0"/>
    <x v="0"/>
    <x v="0"/>
    <n v="3108"/>
  </r>
  <r>
    <s v="Internal"/>
    <n v="7712"/>
    <s v="Ottawa Port District, IL"/>
    <n v="4670"/>
    <x v="90"/>
    <x v="2066"/>
    <n v="0"/>
    <x v="0"/>
    <x v="0"/>
    <n v="1664"/>
  </r>
  <r>
    <s v="Internal"/>
    <n v="7712"/>
    <s v="Ottawa Port District, IL"/>
    <n v="1200"/>
    <x v="43"/>
    <x v="450"/>
    <n v="0"/>
    <x v="0"/>
    <x v="0"/>
    <n v="1656"/>
  </r>
  <r>
    <s v="Internal"/>
    <n v="7712"/>
    <s v="Ottawa Port District, IL"/>
    <n v="1100"/>
    <x v="32"/>
    <x v="617"/>
    <n v="0"/>
    <x v="0"/>
    <x v="0"/>
    <n v="1637"/>
  </r>
  <r>
    <s v="Internal"/>
    <n v="7712"/>
    <s v="Ottawa Port District, IL"/>
    <n v="2540"/>
    <x v="15"/>
    <x v="2067"/>
    <n v="0"/>
    <x v="0"/>
    <x v="0"/>
    <n v="1628"/>
  </r>
  <r>
    <s v="Internal"/>
    <n v="7712"/>
    <s v="Ottawa Port District, IL"/>
    <n v="6241"/>
    <x v="28"/>
    <x v="741"/>
    <n v="0"/>
    <x v="0"/>
    <x v="0"/>
    <n v="1559"/>
  </r>
  <r>
    <s v="Internal"/>
    <n v="7712"/>
    <s v="Ottawa Port District, IL"/>
    <n v="6442"/>
    <x v="85"/>
    <x v="2068"/>
    <n v="0"/>
    <x v="0"/>
    <x v="0"/>
    <n v="1225"/>
  </r>
  <r>
    <s v="Internal"/>
    <n v="2331"/>
    <s v="Owensboro Riverport, KY"/>
    <n v="4331"/>
    <x v="29"/>
    <x v="2069"/>
    <n v="0"/>
    <x v="0"/>
    <x v="0"/>
    <n v="516000"/>
  </r>
  <r>
    <s v="Internal"/>
    <n v="2331"/>
    <s v="Owensboro Riverport, KY"/>
    <n v="6590"/>
    <x v="23"/>
    <x v="2070"/>
    <n v="0"/>
    <x v="0"/>
    <x v="0"/>
    <n v="491434"/>
  </r>
  <r>
    <s v="Internal"/>
    <n v="2331"/>
    <s v="Owensboro Riverport, KY"/>
    <n v="6344"/>
    <x v="25"/>
    <x v="2071"/>
    <n v="0"/>
    <x v="0"/>
    <x v="0"/>
    <n v="470953"/>
  </r>
  <r>
    <s v="Internal"/>
    <n v="2331"/>
    <s v="Owensboro Riverport, KY"/>
    <n v="4322"/>
    <x v="33"/>
    <x v="2072"/>
    <n v="0"/>
    <x v="0"/>
    <x v="0"/>
    <n v="345086"/>
  </r>
  <r>
    <s v="Internal"/>
    <n v="2331"/>
    <s v="Owensboro Riverport, KY"/>
    <n v="6522"/>
    <x v="26"/>
    <x v="2073"/>
    <n v="0"/>
    <x v="0"/>
    <x v="0"/>
    <n v="255638"/>
  </r>
  <r>
    <s v="Internal"/>
    <n v="2331"/>
    <s v="Owensboro Riverport, KY"/>
    <n v="3219"/>
    <x v="19"/>
    <x v="2074"/>
    <n v="0"/>
    <x v="0"/>
    <x v="0"/>
    <n v="143292"/>
  </r>
  <r>
    <s v="Internal"/>
    <n v="2331"/>
    <s v="Owensboro Riverport, KY"/>
    <n v="6653"/>
    <x v="24"/>
    <x v="2075"/>
    <n v="0"/>
    <x v="0"/>
    <x v="0"/>
    <n v="140791"/>
  </r>
  <r>
    <s v="Internal"/>
    <n v="2331"/>
    <s v="Owensboro Riverport, KY"/>
    <n v="5422"/>
    <x v="66"/>
    <x v="2076"/>
    <n v="0"/>
    <x v="0"/>
    <x v="0"/>
    <n v="76284"/>
  </r>
  <r>
    <s v="Internal"/>
    <n v="2331"/>
    <s v="Owensboro Riverport, KY"/>
    <n v="3110"/>
    <x v="36"/>
    <x v="2077"/>
    <n v="0"/>
    <x v="0"/>
    <x v="0"/>
    <n v="69433"/>
  </r>
  <r>
    <s v="Internal"/>
    <n v="2331"/>
    <s v="Owensboro Riverport, KY"/>
    <n v="2330"/>
    <x v="1"/>
    <x v="2078"/>
    <n v="0"/>
    <x v="0"/>
    <x v="0"/>
    <n v="67528"/>
  </r>
  <r>
    <s v="Internal"/>
    <n v="2331"/>
    <s v="Owensboro Riverport, KY"/>
    <n v="6241"/>
    <x v="28"/>
    <x v="2079"/>
    <n v="0"/>
    <x v="0"/>
    <x v="0"/>
    <n v="40310"/>
  </r>
  <r>
    <s v="Internal"/>
    <n v="2331"/>
    <s v="Owensboro Riverport, KY"/>
    <n v="5220"/>
    <x v="30"/>
    <x v="2080"/>
    <n v="0"/>
    <x v="0"/>
    <x v="0"/>
    <n v="39232"/>
  </r>
  <r>
    <s v="Internal"/>
    <n v="2331"/>
    <s v="Owensboro Riverport, KY"/>
    <n v="2430"/>
    <x v="11"/>
    <x v="2081"/>
    <n v="0"/>
    <x v="0"/>
    <x v="0"/>
    <n v="30523"/>
  </r>
  <r>
    <s v="Internal"/>
    <n v="2331"/>
    <s v="Owensboro Riverport, KY"/>
    <n v="4420"/>
    <x v="8"/>
    <x v="2082"/>
    <n v="0"/>
    <x v="0"/>
    <x v="0"/>
    <n v="27352"/>
  </r>
  <r>
    <s v="Internal"/>
    <n v="2331"/>
    <s v="Owensboro Riverport, KY"/>
    <n v="6885"/>
    <x v="72"/>
    <x v="2083"/>
    <n v="0"/>
    <x v="0"/>
    <x v="0"/>
    <n v="22916"/>
  </r>
  <r>
    <s v="Internal"/>
    <n v="2331"/>
    <s v="Owensboro Riverport, KY"/>
    <n v="3130"/>
    <x v="37"/>
    <x v="2084"/>
    <n v="0"/>
    <x v="0"/>
    <x v="0"/>
    <n v="21774"/>
  </r>
  <r>
    <s v="Internal"/>
    <n v="2331"/>
    <s v="Owensboro Riverport, KY"/>
    <n v="5360"/>
    <x v="94"/>
    <x v="2085"/>
    <n v="0"/>
    <x v="0"/>
    <x v="0"/>
    <n v="17933"/>
  </r>
  <r>
    <s v="Internal"/>
    <n v="2331"/>
    <s v="Owensboro Riverport, KY"/>
    <n v="3190"/>
    <x v="38"/>
    <x v="2086"/>
    <n v="0"/>
    <x v="0"/>
    <x v="0"/>
    <n v="17164"/>
  </r>
  <r>
    <s v="Internal"/>
    <n v="2331"/>
    <s v="Owensboro Riverport, KY"/>
    <n v="5480"/>
    <x v="20"/>
    <x v="2087"/>
    <n v="0"/>
    <x v="0"/>
    <x v="0"/>
    <n v="7808"/>
  </r>
  <r>
    <s v="Internal"/>
    <n v="2331"/>
    <s v="Owensboro Riverport, KY"/>
    <n v="3120"/>
    <x v="41"/>
    <x v="2088"/>
    <n v="0"/>
    <x v="0"/>
    <x v="0"/>
    <n v="6075"/>
  </r>
  <r>
    <s v="Internal"/>
    <n v="2331"/>
    <s v="Owensboro Riverport, KY"/>
    <n v="7110"/>
    <x v="4"/>
    <x v="2089"/>
    <n v="0"/>
    <x v="0"/>
    <x v="0"/>
    <n v="1894"/>
  </r>
  <r>
    <s v="Internal"/>
    <n v="2331"/>
    <s v="Owensboro Riverport, KY"/>
    <n v="6782"/>
    <x v="27"/>
    <x v="2090"/>
    <n v="0"/>
    <x v="0"/>
    <x v="0"/>
    <n v="1617"/>
  </r>
  <r>
    <s v="Internal"/>
    <n v="2331"/>
    <s v="Owensboro Riverport, KY"/>
    <n v="5312"/>
    <x v="52"/>
    <x v="1195"/>
    <n v="0"/>
    <x v="0"/>
    <x v="0"/>
    <n v="1607"/>
  </r>
  <r>
    <s v="Internal"/>
    <n v="2331"/>
    <s v="Owensboro Riverport, KY"/>
    <n v="5390"/>
    <x v="44"/>
    <x v="2091"/>
    <n v="0"/>
    <x v="0"/>
    <x v="0"/>
    <n v="1346"/>
  </r>
  <r>
    <s v="Internal"/>
    <n v="2331"/>
    <s v="Owensboro Riverport, KY"/>
    <n v="5330"/>
    <x v="16"/>
    <x v="2092"/>
    <n v="0"/>
    <x v="0"/>
    <x v="0"/>
    <n v="1327"/>
  </r>
  <r>
    <s v="Coastal"/>
    <n v="4151"/>
    <s v="Oxnard Harbor District, CA"/>
    <n v="6856"/>
    <x v="126"/>
    <x v="10"/>
    <n v="713343"/>
    <x v="1534"/>
    <x v="0"/>
    <n v="713343"/>
  </r>
  <r>
    <s v="Coastal"/>
    <n v="4151"/>
    <s v="Oxnard Harbor District, CA"/>
    <n v="7210"/>
    <x v="59"/>
    <x v="10"/>
    <n v="561221"/>
    <x v="1535"/>
    <x v="1045"/>
    <n v="561221"/>
  </r>
  <r>
    <s v="Coastal"/>
    <n v="4151"/>
    <s v="Oxnard Harbor District, CA"/>
    <n v="6857"/>
    <x v="104"/>
    <x v="10"/>
    <n v="434553"/>
    <x v="1536"/>
    <x v="1046"/>
    <n v="434553"/>
  </r>
  <r>
    <s v="Coastal"/>
    <n v="4151"/>
    <s v="Oxnard Harbor District, CA"/>
    <n v="3110"/>
    <x v="36"/>
    <x v="10"/>
    <n v="143021"/>
    <x v="1537"/>
    <x v="0"/>
    <n v="143021"/>
  </r>
  <r>
    <s v="Coastal"/>
    <n v="4151"/>
    <s v="Oxnard Harbor District, CA"/>
    <n v="7900"/>
    <x v="21"/>
    <x v="2093"/>
    <n v="47295"/>
    <x v="1538"/>
    <x v="1047"/>
    <n v="65442"/>
  </r>
  <r>
    <s v="Coastal"/>
    <n v="4151"/>
    <s v="Oxnard Harbor District, CA"/>
    <n v="7110"/>
    <x v="4"/>
    <x v="513"/>
    <n v="62579"/>
    <x v="1539"/>
    <x v="1048"/>
    <n v="62691"/>
  </r>
  <r>
    <s v="Coastal"/>
    <n v="4151"/>
    <s v="Oxnard Harbor District, CA"/>
    <n v="6654"/>
    <x v="50"/>
    <x v="10"/>
    <n v="51155"/>
    <x v="1540"/>
    <x v="1049"/>
    <n v="51155"/>
  </r>
  <r>
    <s v="Coastal"/>
    <n v="4151"/>
    <s v="Oxnard Harbor District, CA"/>
    <n v="7500"/>
    <x v="60"/>
    <x v="10"/>
    <n v="49134"/>
    <x v="1541"/>
    <x v="1050"/>
    <n v="49134"/>
  </r>
  <r>
    <s v="Coastal"/>
    <n v="4151"/>
    <s v="Oxnard Harbor District, CA"/>
    <n v="9900"/>
    <x v="18"/>
    <x v="10"/>
    <n v="14575"/>
    <x v="1542"/>
    <x v="1051"/>
    <n v="14575"/>
  </r>
  <r>
    <s v="Coastal"/>
    <n v="4151"/>
    <s v="Oxnard Harbor District, CA"/>
    <n v="6858"/>
    <x v="74"/>
    <x v="10"/>
    <n v="14269"/>
    <x v="1543"/>
    <x v="1052"/>
    <n v="14269"/>
  </r>
  <r>
    <s v="Coastal"/>
    <n v="4151"/>
    <s v="Oxnard Harbor District, CA"/>
    <n v="4225"/>
    <x v="10"/>
    <x v="10"/>
    <n v="12920"/>
    <x v="0"/>
    <x v="1053"/>
    <n v="12920"/>
  </r>
  <r>
    <s v="Coastal"/>
    <n v="4151"/>
    <s v="Oxnard Harbor District, CA"/>
    <n v="7120"/>
    <x v="71"/>
    <x v="10"/>
    <n v="10734"/>
    <x v="1544"/>
    <x v="1054"/>
    <n v="10734"/>
  </r>
  <r>
    <s v="Coastal"/>
    <n v="4151"/>
    <s v="Oxnard Harbor District, CA"/>
    <n v="5120"/>
    <x v="63"/>
    <x v="10"/>
    <n v="10361"/>
    <x v="153"/>
    <x v="1055"/>
    <n v="10361"/>
  </r>
  <r>
    <s v="Coastal"/>
    <n v="4151"/>
    <s v="Oxnard Harbor District, CA"/>
    <n v="7600"/>
    <x v="68"/>
    <x v="10"/>
    <n v="10357"/>
    <x v="1545"/>
    <x v="1056"/>
    <n v="10357"/>
  </r>
  <r>
    <s v="Coastal"/>
    <n v="4151"/>
    <s v="Oxnard Harbor District, CA"/>
    <n v="6822"/>
    <x v="84"/>
    <x v="10"/>
    <n v="8626"/>
    <x v="291"/>
    <x v="1057"/>
    <n v="8626"/>
  </r>
  <r>
    <s v="Coastal"/>
    <n v="4151"/>
    <s v="Oxnard Harbor District, CA"/>
    <n v="6811"/>
    <x v="76"/>
    <x v="10"/>
    <n v="8174"/>
    <x v="1546"/>
    <x v="1058"/>
    <n v="8174"/>
  </r>
  <r>
    <s v="Coastal"/>
    <n v="4151"/>
    <s v="Oxnard Harbor District, CA"/>
    <n v="6893"/>
    <x v="113"/>
    <x v="10"/>
    <n v="7811"/>
    <x v="1547"/>
    <x v="1059"/>
    <n v="7811"/>
  </r>
  <r>
    <s v="Coastal"/>
    <n v="4151"/>
    <s v="Oxnard Harbor District, CA"/>
    <n v="6861"/>
    <x v="69"/>
    <x v="10"/>
    <n v="7635"/>
    <x v="1548"/>
    <x v="0"/>
    <n v="7635"/>
  </r>
  <r>
    <s v="Coastal"/>
    <n v="4151"/>
    <s v="Oxnard Harbor District, CA"/>
    <n v="3279"/>
    <x v="58"/>
    <x v="10"/>
    <n v="7496"/>
    <x v="1088"/>
    <x v="0"/>
    <n v="7496"/>
  </r>
  <r>
    <s v="Coastal"/>
    <n v="4151"/>
    <s v="Oxnard Harbor District, CA"/>
    <n v="6889"/>
    <x v="42"/>
    <x v="10"/>
    <n v="6991"/>
    <x v="1549"/>
    <x v="1060"/>
    <n v="6991"/>
  </r>
  <r>
    <s v="Coastal"/>
    <n v="4151"/>
    <s v="Oxnard Harbor District, CA"/>
    <n v="5480"/>
    <x v="20"/>
    <x v="10"/>
    <n v="5205"/>
    <x v="1550"/>
    <x v="1061"/>
    <n v="5205"/>
  </r>
  <r>
    <s v="Coastal"/>
    <n v="4151"/>
    <s v="Oxnard Harbor District, CA"/>
    <n v="4331"/>
    <x v="29"/>
    <x v="2094"/>
    <n v="10"/>
    <x v="0"/>
    <x v="238"/>
    <n v="3810"/>
  </r>
  <r>
    <s v="Coastal"/>
    <n v="4151"/>
    <s v="Oxnard Harbor District, CA"/>
    <n v="3286"/>
    <x v="57"/>
    <x v="10"/>
    <n v="3683"/>
    <x v="1551"/>
    <x v="1062"/>
    <n v="3683"/>
  </r>
  <r>
    <s v="Coastal"/>
    <n v="4151"/>
    <s v="Oxnard Harbor District, CA"/>
    <n v="6871"/>
    <x v="73"/>
    <x v="10"/>
    <n v="3482"/>
    <x v="1552"/>
    <x v="0"/>
    <n v="3482"/>
  </r>
  <r>
    <s v="Coastal"/>
    <n v="4151"/>
    <s v="Oxnard Harbor District, CA"/>
    <n v="5330"/>
    <x v="16"/>
    <x v="10"/>
    <n v="3104"/>
    <x v="1553"/>
    <x v="0"/>
    <n v="3104"/>
  </r>
  <r>
    <s v="Coastal"/>
    <n v="4151"/>
    <s v="Oxnard Harbor District, CA"/>
    <n v="5540"/>
    <x v="64"/>
    <x v="10"/>
    <n v="3000"/>
    <x v="1554"/>
    <x v="543"/>
    <n v="3000"/>
  </r>
  <r>
    <s v="Coastal"/>
    <n v="4151"/>
    <s v="Oxnard Harbor District, CA"/>
    <n v="2340"/>
    <x v="3"/>
    <x v="2095"/>
    <n v="0"/>
    <x v="0"/>
    <x v="0"/>
    <n v="2904"/>
  </r>
  <r>
    <s v="Coastal"/>
    <n v="4151"/>
    <s v="Oxnard Harbor District, CA"/>
    <n v="6653"/>
    <x v="24"/>
    <x v="10"/>
    <n v="2184"/>
    <x v="1555"/>
    <x v="1063"/>
    <n v="2184"/>
  </r>
  <r>
    <s v="Coastal"/>
    <n v="4151"/>
    <s v="Oxnard Harbor District, CA"/>
    <n v="6134"/>
    <x v="82"/>
    <x v="10"/>
    <n v="1873"/>
    <x v="1556"/>
    <x v="1023"/>
    <n v="1873"/>
  </r>
  <r>
    <s v="Coastal"/>
    <n v="4151"/>
    <s v="Oxnard Harbor District, CA"/>
    <n v="6747"/>
    <x v="78"/>
    <x v="10"/>
    <n v="1710"/>
    <x v="1557"/>
    <x v="1064"/>
    <n v="1710"/>
  </r>
  <r>
    <s v="Coastal"/>
    <n v="4151"/>
    <s v="Oxnard Harbor District, CA"/>
    <n v="5290"/>
    <x v="49"/>
    <x v="10"/>
    <n v="1184"/>
    <x v="383"/>
    <x v="1033"/>
    <n v="1184"/>
  </r>
  <r>
    <s v="Coastal"/>
    <n v="4151"/>
    <s v="Oxnard Harbor District, CA"/>
    <n v="3276"/>
    <x v="12"/>
    <x v="10"/>
    <n v="971"/>
    <x v="1558"/>
    <x v="1065"/>
    <n v="971"/>
  </r>
  <r>
    <s v="Coastal"/>
    <n v="4151"/>
    <s v="Oxnard Harbor District, CA"/>
    <n v="6885"/>
    <x v="72"/>
    <x v="10"/>
    <n v="957"/>
    <x v="1559"/>
    <x v="12"/>
    <n v="957"/>
  </r>
  <r>
    <s v="Coastal"/>
    <n v="4151"/>
    <s v="Oxnard Harbor District, CA"/>
    <n v="6817"/>
    <x v="119"/>
    <x v="10"/>
    <n v="943"/>
    <x v="1560"/>
    <x v="966"/>
    <n v="943"/>
  </r>
  <r>
    <s v="Coastal"/>
    <n v="4151"/>
    <s v="Oxnard Harbor District, CA"/>
    <n v="3285"/>
    <x v="87"/>
    <x v="10"/>
    <n v="938"/>
    <x v="1561"/>
    <x v="1066"/>
    <n v="938"/>
  </r>
  <r>
    <s v="Coastal"/>
    <n v="4151"/>
    <s v="Oxnard Harbor District, CA"/>
    <n v="3220"/>
    <x v="2"/>
    <x v="10"/>
    <n v="927"/>
    <x v="1562"/>
    <x v="258"/>
    <n v="927"/>
  </r>
  <r>
    <s v="Coastal"/>
    <n v="4151"/>
    <s v="Oxnard Harbor District, CA"/>
    <n v="6136"/>
    <x v="95"/>
    <x v="10"/>
    <n v="887"/>
    <x v="1563"/>
    <x v="129"/>
    <n v="887"/>
  </r>
  <r>
    <s v="Coastal"/>
    <n v="4151"/>
    <s v="Oxnard Harbor District, CA"/>
    <n v="7230"/>
    <x v="22"/>
    <x v="10"/>
    <n v="877"/>
    <x v="1347"/>
    <x v="262"/>
    <n v="877"/>
  </r>
  <r>
    <s v="Coastal"/>
    <n v="4151"/>
    <s v="Oxnard Harbor District, CA"/>
    <n v="3275"/>
    <x v="47"/>
    <x v="10"/>
    <n v="855"/>
    <x v="1564"/>
    <x v="1067"/>
    <n v="855"/>
  </r>
  <r>
    <s v="Coastal"/>
    <n v="4151"/>
    <s v="Oxnard Harbor District, CA"/>
    <n v="5190"/>
    <x v="83"/>
    <x v="10"/>
    <n v="724"/>
    <x v="1565"/>
    <x v="616"/>
    <n v="724"/>
  </r>
  <r>
    <s v="Coastal"/>
    <n v="4151"/>
    <s v="Oxnard Harbor District, CA"/>
    <n v="5422"/>
    <x v="66"/>
    <x v="10"/>
    <n v="673"/>
    <x v="1566"/>
    <x v="0"/>
    <n v="673"/>
  </r>
  <r>
    <s v="Coastal"/>
    <n v="4151"/>
    <s v="Oxnard Harbor District, CA"/>
    <n v="7400"/>
    <x v="77"/>
    <x v="10"/>
    <n v="552"/>
    <x v="1567"/>
    <x v="234"/>
    <n v="552"/>
  </r>
  <r>
    <s v="Coastal"/>
    <n v="4151"/>
    <s v="Oxnard Harbor District, CA"/>
    <n v="5370"/>
    <x v="81"/>
    <x v="10"/>
    <n v="476"/>
    <x v="1568"/>
    <x v="273"/>
    <n v="476"/>
  </r>
  <r>
    <s v="Coastal"/>
    <n v="4151"/>
    <s v="Oxnard Harbor District, CA"/>
    <n v="6899"/>
    <x v="114"/>
    <x v="10"/>
    <n v="457"/>
    <x v="500"/>
    <x v="236"/>
    <n v="457"/>
  </r>
  <r>
    <s v="Coastal"/>
    <n v="4151"/>
    <s v="Oxnard Harbor District, CA"/>
    <n v="6782"/>
    <x v="27"/>
    <x v="10"/>
    <n v="444"/>
    <x v="440"/>
    <x v="1068"/>
    <n v="444"/>
  </r>
  <r>
    <s v="Coastal"/>
    <n v="4151"/>
    <s v="Oxnard Harbor District, CA"/>
    <n v="2330"/>
    <x v="1"/>
    <x v="10"/>
    <n v="439"/>
    <x v="183"/>
    <x v="1069"/>
    <n v="439"/>
  </r>
  <r>
    <s v="Coastal"/>
    <n v="4151"/>
    <s v="Oxnard Harbor District, CA"/>
    <n v="4782"/>
    <x v="45"/>
    <x v="10"/>
    <n v="378"/>
    <x v="0"/>
    <x v="1070"/>
    <n v="378"/>
  </r>
  <r>
    <s v="Coastal"/>
    <n v="4151"/>
    <s v="Oxnard Harbor District, CA"/>
    <n v="3299"/>
    <x v="79"/>
    <x v="10"/>
    <n v="280"/>
    <x v="596"/>
    <x v="405"/>
    <n v="280"/>
  </r>
  <r>
    <s v="Coastal"/>
    <n v="4151"/>
    <s v="Oxnard Harbor District, CA"/>
    <n v="3130"/>
    <x v="37"/>
    <x v="10"/>
    <n v="271"/>
    <x v="0"/>
    <x v="1071"/>
    <n v="271"/>
  </r>
  <r>
    <s v="Coastal"/>
    <n v="4151"/>
    <s v="Oxnard Harbor District, CA"/>
    <n v="5312"/>
    <x v="52"/>
    <x v="10"/>
    <n v="265"/>
    <x v="1569"/>
    <x v="258"/>
    <n v="265"/>
  </r>
  <r>
    <s v="Coastal"/>
    <n v="4151"/>
    <s v="Oxnard Harbor District, CA"/>
    <n v="3292"/>
    <x v="51"/>
    <x v="10"/>
    <n v="187"/>
    <x v="715"/>
    <x v="238"/>
    <n v="187"/>
  </r>
  <r>
    <s v="Coastal"/>
    <n v="4151"/>
    <s v="Oxnard Harbor District, CA"/>
    <n v="7220"/>
    <x v="103"/>
    <x v="10"/>
    <n v="152"/>
    <x v="1087"/>
    <x v="256"/>
    <n v="152"/>
  </r>
  <r>
    <s v="Coastal"/>
    <n v="4151"/>
    <s v="Oxnard Harbor District, CA"/>
    <n v="5240"/>
    <x v="89"/>
    <x v="10"/>
    <n v="149"/>
    <x v="392"/>
    <x v="1072"/>
    <n v="149"/>
  </r>
  <r>
    <s v="Coastal"/>
    <n v="4151"/>
    <s v="Oxnard Harbor District, CA"/>
    <n v="6442"/>
    <x v="85"/>
    <x v="10"/>
    <n v="142"/>
    <x v="408"/>
    <x v="0"/>
    <n v="142"/>
  </r>
  <r>
    <s v="Coastal"/>
    <n v="4151"/>
    <s v="Oxnard Harbor District, CA"/>
    <n v="6835"/>
    <x v="92"/>
    <x v="10"/>
    <n v="134"/>
    <x v="1570"/>
    <x v="0"/>
    <n v="134"/>
  </r>
  <r>
    <s v="Coastal"/>
    <n v="4151"/>
    <s v="Oxnard Harbor District, CA"/>
    <n v="6891"/>
    <x v="93"/>
    <x v="10"/>
    <n v="126"/>
    <x v="412"/>
    <x v="249"/>
    <n v="126"/>
  </r>
  <r>
    <s v="Coastal"/>
    <n v="4151"/>
    <s v="Oxnard Harbor District, CA"/>
    <n v="4310"/>
    <x v="96"/>
    <x v="10"/>
    <n v="111"/>
    <x v="180"/>
    <x v="0"/>
    <n v="111"/>
  </r>
  <r>
    <s v="Coastal"/>
    <n v="4151"/>
    <s v="Oxnard Harbor District, CA"/>
    <n v="3230"/>
    <x v="80"/>
    <x v="10"/>
    <n v="109"/>
    <x v="409"/>
    <x v="284"/>
    <n v="109"/>
  </r>
  <r>
    <s v="Coastal"/>
    <n v="4151"/>
    <s v="Oxnard Harbor District, CA"/>
    <n v="3284"/>
    <x v="97"/>
    <x v="10"/>
    <n v="94"/>
    <x v="556"/>
    <x v="409"/>
    <n v="94"/>
  </r>
  <r>
    <s v="Coastal"/>
    <n v="4151"/>
    <s v="Oxnard Harbor District, CA"/>
    <n v="3282"/>
    <x v="91"/>
    <x v="10"/>
    <n v="88"/>
    <x v="451"/>
    <x v="228"/>
    <n v="88"/>
  </r>
  <r>
    <s v="Coastal"/>
    <n v="4151"/>
    <s v="Oxnard Harbor District, CA"/>
    <n v="5429"/>
    <x v="61"/>
    <x v="10"/>
    <n v="82"/>
    <x v="1084"/>
    <x v="0"/>
    <n v="82"/>
  </r>
  <r>
    <s v="Coastal"/>
    <n v="4151"/>
    <s v="Oxnard Harbor District, CA"/>
    <n v="3219"/>
    <x v="19"/>
    <x v="10"/>
    <n v="69"/>
    <x v="1086"/>
    <x v="0"/>
    <n v="69"/>
  </r>
  <r>
    <s v="Coastal"/>
    <n v="4151"/>
    <s v="Oxnard Harbor District, CA"/>
    <n v="6344"/>
    <x v="25"/>
    <x v="10"/>
    <n v="68"/>
    <x v="209"/>
    <x v="124"/>
    <n v="68"/>
  </r>
  <r>
    <s v="Coastal"/>
    <n v="4151"/>
    <s v="Oxnard Harbor District, CA"/>
    <n v="4190"/>
    <x v="99"/>
    <x v="10"/>
    <n v="65"/>
    <x v="412"/>
    <x v="1007"/>
    <n v="65"/>
  </r>
  <r>
    <s v="Coastal"/>
    <n v="4151"/>
    <s v="Oxnard Harbor District, CA"/>
    <n v="3260"/>
    <x v="107"/>
    <x v="10"/>
    <n v="62"/>
    <x v="205"/>
    <x v="276"/>
    <n v="62"/>
  </r>
  <r>
    <s v="Coastal"/>
    <n v="4151"/>
    <s v="Oxnard Harbor District, CA"/>
    <n v="5421"/>
    <x v="88"/>
    <x v="10"/>
    <n v="59"/>
    <x v="388"/>
    <x v="1007"/>
    <n v="59"/>
  </r>
  <r>
    <s v="Coastal"/>
    <n v="4151"/>
    <s v="Oxnard Harbor District, CA"/>
    <n v="4189"/>
    <x v="65"/>
    <x v="10"/>
    <n v="56"/>
    <x v="1571"/>
    <x v="0"/>
    <n v="56"/>
  </r>
  <r>
    <s v="Coastal"/>
    <n v="4151"/>
    <s v="Oxnard Harbor District, CA"/>
    <n v="6445"/>
    <x v="136"/>
    <x v="10"/>
    <n v="51"/>
    <x v="206"/>
    <x v="0"/>
    <n v="51"/>
  </r>
  <r>
    <s v="Coastal"/>
    <n v="4151"/>
    <s v="Oxnard Harbor District, CA"/>
    <n v="6872"/>
    <x v="100"/>
    <x v="10"/>
    <n v="51"/>
    <x v="206"/>
    <x v="0"/>
    <n v="51"/>
  </r>
  <r>
    <s v="Coastal"/>
    <n v="4151"/>
    <s v="Oxnard Harbor District, CA"/>
    <n v="4900"/>
    <x v="14"/>
    <x v="10"/>
    <n v="45"/>
    <x v="210"/>
    <x v="86"/>
    <n v="45"/>
  </r>
  <r>
    <s v="Coastal"/>
    <n v="4151"/>
    <s v="Oxnard Harbor District, CA"/>
    <n v="7300"/>
    <x v="115"/>
    <x v="10"/>
    <n v="42"/>
    <x v="152"/>
    <x v="238"/>
    <n v="42"/>
  </r>
  <r>
    <s v="Coastal"/>
    <n v="4151"/>
    <s v="Oxnard Harbor District, CA"/>
    <n v="3283"/>
    <x v="111"/>
    <x v="10"/>
    <n v="39"/>
    <x v="0"/>
    <x v="376"/>
    <n v="39"/>
  </r>
  <r>
    <s v="Coastal"/>
    <n v="4151"/>
    <s v="Oxnard Harbor District, CA"/>
    <n v="6590"/>
    <x v="23"/>
    <x v="10"/>
    <n v="35"/>
    <x v="310"/>
    <x v="0"/>
    <n v="35"/>
  </r>
  <r>
    <s v="Coastal"/>
    <n v="4151"/>
    <s v="Oxnard Harbor District, CA"/>
    <n v="3297"/>
    <x v="116"/>
    <x v="10"/>
    <n v="32"/>
    <x v="453"/>
    <x v="235"/>
    <n v="32"/>
  </r>
  <r>
    <s v="Coastal"/>
    <n v="4151"/>
    <s v="Oxnard Harbor District, CA"/>
    <n v="5360"/>
    <x v="94"/>
    <x v="10"/>
    <n v="31"/>
    <x v="451"/>
    <x v="237"/>
    <n v="31"/>
  </r>
  <r>
    <s v="Coastal"/>
    <n v="4151"/>
    <s v="Oxnard Harbor District, CA"/>
    <n v="6839"/>
    <x v="106"/>
    <x v="10"/>
    <n v="29"/>
    <x v="0"/>
    <x v="1073"/>
    <n v="29"/>
  </r>
  <r>
    <s v="Coastal"/>
    <n v="4151"/>
    <s v="Oxnard Harbor District, CA"/>
    <n v="6838"/>
    <x v="131"/>
    <x v="10"/>
    <n v="25"/>
    <x v="154"/>
    <x v="237"/>
    <n v="25"/>
  </r>
  <r>
    <s v="Coastal"/>
    <n v="4151"/>
    <s v="Oxnard Harbor District, CA"/>
    <n v="4783"/>
    <x v="7"/>
    <x v="10"/>
    <n v="24"/>
    <x v="0"/>
    <x v="236"/>
    <n v="24"/>
  </r>
  <r>
    <s v="Coastal"/>
    <n v="4151"/>
    <s v="Oxnard Harbor District, CA"/>
    <n v="4650"/>
    <x v="67"/>
    <x v="10"/>
    <n v="22"/>
    <x v="210"/>
    <x v="0"/>
    <n v="22"/>
  </r>
  <r>
    <s v="Coastal"/>
    <n v="4151"/>
    <s v="Oxnard Harbor District, CA"/>
    <n v="4680"/>
    <x v="70"/>
    <x v="10"/>
    <n v="22"/>
    <x v="210"/>
    <x v="0"/>
    <n v="22"/>
  </r>
  <r>
    <s v="Coastal"/>
    <n v="4151"/>
    <s v="Oxnard Harbor District, CA"/>
    <n v="6746"/>
    <x v="118"/>
    <x v="10"/>
    <n v="22"/>
    <x v="0"/>
    <x v="383"/>
    <n v="22"/>
  </r>
  <r>
    <s v="Coastal"/>
    <n v="4151"/>
    <s v="Oxnard Harbor District, CA"/>
    <n v="1100"/>
    <x v="32"/>
    <x v="10"/>
    <n v="21"/>
    <x v="154"/>
    <x v="0"/>
    <n v="21"/>
  </r>
  <r>
    <s v="Coastal"/>
    <n v="4151"/>
    <s v="Oxnard Harbor District, CA"/>
    <n v="6521"/>
    <x v="121"/>
    <x v="10"/>
    <n v="21"/>
    <x v="0"/>
    <x v="129"/>
    <n v="21"/>
  </r>
  <r>
    <s v="Coastal"/>
    <n v="4151"/>
    <s v="Oxnard Harbor District, CA"/>
    <n v="6888"/>
    <x v="109"/>
    <x v="10"/>
    <n v="21"/>
    <x v="154"/>
    <x v="0"/>
    <n v="21"/>
  </r>
  <r>
    <s v="Coastal"/>
    <n v="4151"/>
    <s v="Oxnard Harbor District, CA"/>
    <n v="2430"/>
    <x v="11"/>
    <x v="10"/>
    <n v="20"/>
    <x v="0"/>
    <x v="125"/>
    <n v="20"/>
  </r>
  <r>
    <s v="Coastal"/>
    <n v="4151"/>
    <s v="Oxnard Harbor District, CA"/>
    <n v="3250"/>
    <x v="108"/>
    <x v="10"/>
    <n v="20"/>
    <x v="416"/>
    <x v="0"/>
    <n v="20"/>
  </r>
  <r>
    <s v="Coastal"/>
    <n v="4151"/>
    <s v="Oxnard Harbor District, CA"/>
    <n v="2640"/>
    <x v="110"/>
    <x v="10"/>
    <n v="19"/>
    <x v="417"/>
    <x v="0"/>
    <n v="19"/>
  </r>
  <r>
    <s v="Coastal"/>
    <n v="4151"/>
    <s v="Oxnard Harbor District, CA"/>
    <n v="3293"/>
    <x v="122"/>
    <x v="10"/>
    <n v="16"/>
    <x v="452"/>
    <x v="0"/>
    <n v="16"/>
  </r>
  <r>
    <s v="Coastal"/>
    <n v="4151"/>
    <s v="Oxnard Harbor District, CA"/>
    <n v="3211"/>
    <x v="124"/>
    <x v="10"/>
    <n v="15"/>
    <x v="612"/>
    <x v="0"/>
    <n v="15"/>
  </r>
  <r>
    <s v="Coastal"/>
    <n v="4151"/>
    <s v="Oxnard Harbor District, CA"/>
    <n v="6781"/>
    <x v="128"/>
    <x v="10"/>
    <n v="13"/>
    <x v="0"/>
    <x v="1038"/>
    <n v="13"/>
  </r>
  <r>
    <s v="Coastal"/>
    <n v="4151"/>
    <s v="Oxnard Harbor District, CA"/>
    <n v="3291"/>
    <x v="117"/>
    <x v="10"/>
    <n v="12"/>
    <x v="14"/>
    <x v="276"/>
    <n v="12"/>
  </r>
  <r>
    <s v="Coastal"/>
    <n v="4151"/>
    <s v="Oxnard Harbor District, CA"/>
    <n v="3274"/>
    <x v="86"/>
    <x v="10"/>
    <n v="11"/>
    <x v="0"/>
    <x v="274"/>
    <n v="11"/>
  </r>
  <r>
    <s v="Coastal"/>
    <n v="4151"/>
    <s v="Oxnard Harbor District, CA"/>
    <n v="4161"/>
    <x v="54"/>
    <x v="10"/>
    <n v="10"/>
    <x v="312"/>
    <x v="0"/>
    <n v="10"/>
  </r>
  <r>
    <s v="Coastal"/>
    <n v="4151"/>
    <s v="Oxnard Harbor District, CA"/>
    <n v="2211"/>
    <x v="0"/>
    <x v="10"/>
    <n v="6"/>
    <x v="207"/>
    <x v="0"/>
    <n v="6"/>
  </r>
  <r>
    <s v="Coastal"/>
    <n v="4151"/>
    <s v="Oxnard Harbor District, CA"/>
    <n v="3273"/>
    <x v="46"/>
    <x v="10"/>
    <n v="6"/>
    <x v="207"/>
    <x v="0"/>
    <n v="6"/>
  </r>
  <r>
    <s v="Coastal"/>
    <n v="4151"/>
    <s v="Oxnard Harbor District, CA"/>
    <n v="4150"/>
    <x v="101"/>
    <x v="10"/>
    <n v="5"/>
    <x v="168"/>
    <x v="0"/>
    <n v="5"/>
  </r>
  <r>
    <s v="Internal"/>
    <n v="2302"/>
    <s v="Paducah-McCracken Riverport, KY"/>
    <n v="4331"/>
    <x v="29"/>
    <x v="2096"/>
    <n v="0"/>
    <x v="0"/>
    <x v="0"/>
    <n v="5147346"/>
  </r>
  <r>
    <s v="Internal"/>
    <n v="2302"/>
    <s v="Paducah-McCracken Riverport, KY"/>
    <n v="1100"/>
    <x v="32"/>
    <x v="2097"/>
    <n v="0"/>
    <x v="0"/>
    <x v="0"/>
    <n v="1244458"/>
  </r>
  <r>
    <s v="Internal"/>
    <n v="2302"/>
    <s v="Paducah-McCracken Riverport, KY"/>
    <n v="2330"/>
    <x v="1"/>
    <x v="2098"/>
    <n v="0"/>
    <x v="0"/>
    <x v="0"/>
    <n v="440230"/>
  </r>
  <r>
    <s v="Internal"/>
    <n v="2302"/>
    <s v="Paducah-McCracken Riverport, KY"/>
    <n v="2211"/>
    <x v="0"/>
    <x v="2099"/>
    <n v="0"/>
    <x v="0"/>
    <x v="0"/>
    <n v="348415"/>
  </r>
  <r>
    <s v="Internal"/>
    <n v="2302"/>
    <s v="Paducah-McCracken Riverport, KY"/>
    <n v="2540"/>
    <x v="15"/>
    <x v="2100"/>
    <n v="0"/>
    <x v="0"/>
    <x v="0"/>
    <n v="244927"/>
  </r>
  <r>
    <s v="Internal"/>
    <n v="2302"/>
    <s v="Paducah-McCracken Riverport, KY"/>
    <n v="5220"/>
    <x v="30"/>
    <x v="2101"/>
    <n v="0"/>
    <x v="0"/>
    <x v="0"/>
    <n v="75850"/>
  </r>
  <r>
    <s v="Internal"/>
    <n v="2302"/>
    <s v="Paducah-McCracken Riverport, KY"/>
    <n v="2340"/>
    <x v="3"/>
    <x v="2102"/>
    <n v="0"/>
    <x v="0"/>
    <x v="0"/>
    <n v="46309"/>
  </r>
  <r>
    <s v="Internal"/>
    <n v="2302"/>
    <s v="Paducah-McCracken Riverport, KY"/>
    <n v="3130"/>
    <x v="37"/>
    <x v="2103"/>
    <n v="0"/>
    <x v="0"/>
    <x v="0"/>
    <n v="23388"/>
  </r>
  <r>
    <s v="Internal"/>
    <n v="2302"/>
    <s v="Paducah-McCracken Riverport, KY"/>
    <n v="6241"/>
    <x v="28"/>
    <x v="2104"/>
    <n v="0"/>
    <x v="0"/>
    <x v="0"/>
    <n v="16209"/>
  </r>
  <r>
    <s v="Internal"/>
    <n v="2302"/>
    <s v="Paducah-McCracken Riverport, KY"/>
    <n v="1200"/>
    <x v="43"/>
    <x v="2105"/>
    <n v="0"/>
    <x v="0"/>
    <x v="0"/>
    <n v="13707"/>
  </r>
  <r>
    <s v="Internal"/>
    <n v="2302"/>
    <s v="Paducah-McCracken Riverport, KY"/>
    <n v="6522"/>
    <x v="26"/>
    <x v="2106"/>
    <n v="0"/>
    <x v="0"/>
    <x v="0"/>
    <n v="10954"/>
  </r>
  <r>
    <s v="Internal"/>
    <n v="2302"/>
    <s v="Paducah-McCracken Riverport, KY"/>
    <n v="4335"/>
    <x v="5"/>
    <x v="2107"/>
    <n v="0"/>
    <x v="0"/>
    <x v="0"/>
    <n v="10135"/>
  </r>
  <r>
    <s v="Internal"/>
    <n v="2302"/>
    <s v="Paducah-McCracken Riverport, KY"/>
    <n v="3110"/>
    <x v="36"/>
    <x v="678"/>
    <n v="0"/>
    <x v="0"/>
    <x v="0"/>
    <n v="9072"/>
  </r>
  <r>
    <s v="Internal"/>
    <n v="2302"/>
    <s v="Paducah-McCracken Riverport, KY"/>
    <n v="5480"/>
    <x v="20"/>
    <x v="2108"/>
    <n v="0"/>
    <x v="0"/>
    <x v="0"/>
    <n v="6833"/>
  </r>
  <r>
    <s v="Internal"/>
    <n v="2302"/>
    <s v="Paducah-McCracken Riverport, KY"/>
    <n v="6344"/>
    <x v="25"/>
    <x v="2109"/>
    <n v="0"/>
    <x v="0"/>
    <x v="0"/>
    <n v="5636"/>
  </r>
  <r>
    <s v="Internal"/>
    <n v="2302"/>
    <s v="Paducah-McCracken Riverport, KY"/>
    <n v="3190"/>
    <x v="38"/>
    <x v="2110"/>
    <n v="0"/>
    <x v="0"/>
    <x v="0"/>
    <n v="4713"/>
  </r>
  <r>
    <s v="Internal"/>
    <n v="2302"/>
    <s v="Paducah-McCracken Riverport, KY"/>
    <n v="3286"/>
    <x v="57"/>
    <x v="2111"/>
    <n v="0"/>
    <x v="0"/>
    <x v="0"/>
    <n v="4200"/>
  </r>
  <r>
    <s v="Internal"/>
    <n v="2302"/>
    <s v="Paducah-McCracken Riverport, KY"/>
    <n v="3120"/>
    <x v="41"/>
    <x v="2112"/>
    <n v="0"/>
    <x v="0"/>
    <x v="0"/>
    <n v="3254"/>
  </r>
  <r>
    <s v="Internal"/>
    <n v="2302"/>
    <s v="Paducah-McCracken Riverport, KY"/>
    <n v="2221"/>
    <x v="9"/>
    <x v="2113"/>
    <n v="0"/>
    <x v="0"/>
    <x v="0"/>
    <n v="1932"/>
  </r>
  <r>
    <s v="Internal"/>
    <n v="2302"/>
    <s v="Paducah-McCracken Riverport, KY"/>
    <n v="4322"/>
    <x v="33"/>
    <x v="1497"/>
    <n v="0"/>
    <x v="0"/>
    <x v="0"/>
    <n v="1500"/>
  </r>
  <r>
    <s v="Internal"/>
    <n v="2302"/>
    <s v="Paducah-McCracken Riverport, KY"/>
    <n v="6782"/>
    <x v="27"/>
    <x v="1497"/>
    <n v="0"/>
    <x v="0"/>
    <x v="0"/>
    <n v="1500"/>
  </r>
  <r>
    <s v="Internal"/>
    <n v="2302"/>
    <s v="Paducah-McCracken Riverport, KY"/>
    <n v="4161"/>
    <x v="54"/>
    <x v="634"/>
    <n v="0"/>
    <x v="0"/>
    <x v="0"/>
    <n v="1231"/>
  </r>
  <r>
    <s v="Internal"/>
    <n v="2302"/>
    <s v="Paducah-McCracken Riverport, KY"/>
    <n v="5240"/>
    <x v="89"/>
    <x v="510"/>
    <n v="0"/>
    <x v="0"/>
    <x v="0"/>
    <n v="80"/>
  </r>
  <r>
    <s v="Coastal"/>
    <n v="2441"/>
    <s v="Panama City Port Authority, FL"/>
    <n v="4150"/>
    <x v="101"/>
    <x v="10"/>
    <n v="826501"/>
    <x v="0"/>
    <x v="1074"/>
    <n v="826501"/>
  </r>
  <r>
    <s v="Coastal"/>
    <n v="2441"/>
    <s v="Panama City Port Authority, FL"/>
    <n v="5421"/>
    <x v="88"/>
    <x v="10"/>
    <n v="387054"/>
    <x v="1572"/>
    <x v="365"/>
    <n v="387054"/>
  </r>
  <r>
    <s v="Coastal"/>
    <n v="2441"/>
    <s v="Panama City Port Authority, FL"/>
    <n v="2211"/>
    <x v="0"/>
    <x v="2114"/>
    <n v="1"/>
    <x v="0"/>
    <x v="276"/>
    <n v="280329"/>
  </r>
  <r>
    <s v="Coastal"/>
    <n v="2441"/>
    <s v="Panama City Port Authority, FL"/>
    <n v="5120"/>
    <x v="63"/>
    <x v="10"/>
    <n v="224516"/>
    <x v="1573"/>
    <x v="1075"/>
    <n v="224516"/>
  </r>
  <r>
    <s v="Coastal"/>
    <n v="2441"/>
    <s v="Panama City Port Authority, FL"/>
    <n v="4225"/>
    <x v="10"/>
    <x v="10"/>
    <n v="107035"/>
    <x v="1574"/>
    <x v="1076"/>
    <n v="107035"/>
  </r>
  <r>
    <s v="Coastal"/>
    <n v="2441"/>
    <s v="Panama City Port Authority, FL"/>
    <n v="4322"/>
    <x v="33"/>
    <x v="10"/>
    <n v="82680"/>
    <x v="1575"/>
    <x v="0"/>
    <n v="82680"/>
  </r>
  <r>
    <s v="Coastal"/>
    <n v="2441"/>
    <s v="Panama City Port Authority, FL"/>
    <n v="2330"/>
    <x v="1"/>
    <x v="2115"/>
    <n v="121"/>
    <x v="212"/>
    <x v="1077"/>
    <n v="79491"/>
  </r>
  <r>
    <s v="Coastal"/>
    <n v="2441"/>
    <s v="Panama City Port Authority, FL"/>
    <n v="2430"/>
    <x v="11"/>
    <x v="2116"/>
    <n v="3"/>
    <x v="0"/>
    <x v="128"/>
    <n v="68109"/>
  </r>
  <r>
    <s v="Coastal"/>
    <n v="2441"/>
    <s v="Panama City Port Authority, FL"/>
    <n v="2221"/>
    <x v="9"/>
    <x v="2117"/>
    <n v="0"/>
    <x v="0"/>
    <x v="0"/>
    <n v="54269"/>
  </r>
  <r>
    <s v="Coastal"/>
    <n v="2441"/>
    <s v="Panama City Port Authority, FL"/>
    <n v="4331"/>
    <x v="29"/>
    <x v="2118"/>
    <n v="28"/>
    <x v="168"/>
    <x v="86"/>
    <n v="38728"/>
  </r>
  <r>
    <s v="Coastal"/>
    <n v="2441"/>
    <s v="Panama City Port Authority, FL"/>
    <n v="6654"/>
    <x v="50"/>
    <x v="10"/>
    <n v="33381"/>
    <x v="1576"/>
    <x v="1078"/>
    <n v="33381"/>
  </r>
  <r>
    <s v="Coastal"/>
    <n v="2441"/>
    <s v="Panama City Port Authority, FL"/>
    <n v="7500"/>
    <x v="60"/>
    <x v="10"/>
    <n v="29519"/>
    <x v="1577"/>
    <x v="1079"/>
    <n v="29519"/>
  </r>
  <r>
    <s v="Coastal"/>
    <n v="2441"/>
    <s v="Panama City Port Authority, FL"/>
    <n v="7900"/>
    <x v="21"/>
    <x v="10"/>
    <n v="27656"/>
    <x v="1578"/>
    <x v="1080"/>
    <n v="27656"/>
  </r>
  <r>
    <s v="Coastal"/>
    <n v="2441"/>
    <s v="Panama City Port Authority, FL"/>
    <n v="4189"/>
    <x v="65"/>
    <x v="10"/>
    <n v="26241"/>
    <x v="1579"/>
    <x v="1081"/>
    <n v="26241"/>
  </r>
  <r>
    <s v="Coastal"/>
    <n v="2441"/>
    <s v="Panama City Port Authority, FL"/>
    <n v="6865"/>
    <x v="75"/>
    <x v="10"/>
    <n v="22057"/>
    <x v="1144"/>
    <x v="0"/>
    <n v="22057"/>
  </r>
  <r>
    <s v="Coastal"/>
    <n v="2441"/>
    <s v="Panama City Port Authority, FL"/>
    <n v="6889"/>
    <x v="42"/>
    <x v="10"/>
    <n v="15192"/>
    <x v="1580"/>
    <x v="1082"/>
    <n v="15192"/>
  </r>
  <r>
    <s v="Coastal"/>
    <n v="2441"/>
    <s v="Panama City Port Authority, FL"/>
    <n v="3285"/>
    <x v="87"/>
    <x v="10"/>
    <n v="14700"/>
    <x v="1019"/>
    <x v="1083"/>
    <n v="14700"/>
  </r>
  <r>
    <s v="Coastal"/>
    <n v="2441"/>
    <s v="Panama City Port Authority, FL"/>
    <n v="7600"/>
    <x v="68"/>
    <x v="10"/>
    <n v="10652"/>
    <x v="1581"/>
    <x v="1084"/>
    <n v="10652"/>
  </r>
  <r>
    <s v="Coastal"/>
    <n v="2441"/>
    <s v="Panama City Port Authority, FL"/>
    <n v="6134"/>
    <x v="82"/>
    <x v="10"/>
    <n v="10626"/>
    <x v="1582"/>
    <x v="394"/>
    <n v="10626"/>
  </r>
  <r>
    <s v="Coastal"/>
    <n v="2441"/>
    <s v="Panama City Port Authority, FL"/>
    <n v="6857"/>
    <x v="104"/>
    <x v="10"/>
    <n v="9919"/>
    <x v="1583"/>
    <x v="234"/>
    <n v="9919"/>
  </r>
  <r>
    <s v="Coastal"/>
    <n v="2441"/>
    <s v="Panama City Port Authority, FL"/>
    <n v="3286"/>
    <x v="57"/>
    <x v="10"/>
    <n v="9762"/>
    <x v="1584"/>
    <x v="1085"/>
    <n v="9762"/>
  </r>
  <r>
    <s v="Coastal"/>
    <n v="2441"/>
    <s v="Panama City Port Authority, FL"/>
    <n v="7110"/>
    <x v="4"/>
    <x v="2119"/>
    <n v="8677"/>
    <x v="458"/>
    <x v="1086"/>
    <n v="9051"/>
  </r>
  <r>
    <s v="Coastal"/>
    <n v="2441"/>
    <s v="Panama City Port Authority, FL"/>
    <n v="5330"/>
    <x v="16"/>
    <x v="2120"/>
    <n v="58"/>
    <x v="20"/>
    <x v="82"/>
    <n v="7537"/>
  </r>
  <r>
    <s v="Coastal"/>
    <n v="2441"/>
    <s v="Panama City Port Authority, FL"/>
    <n v="4783"/>
    <x v="7"/>
    <x v="10"/>
    <n v="5227"/>
    <x v="1585"/>
    <x v="1087"/>
    <n v="5227"/>
  </r>
  <r>
    <s v="Coastal"/>
    <n v="2441"/>
    <s v="Panama City Port Authority, FL"/>
    <n v="7400"/>
    <x v="77"/>
    <x v="10"/>
    <n v="5184"/>
    <x v="975"/>
    <x v="1088"/>
    <n v="5184"/>
  </r>
  <r>
    <s v="Coastal"/>
    <n v="2441"/>
    <s v="Panama City Port Authority, FL"/>
    <n v="9900"/>
    <x v="18"/>
    <x v="10"/>
    <n v="5100"/>
    <x v="1586"/>
    <x v="1089"/>
    <n v="5100"/>
  </r>
  <r>
    <s v="Coastal"/>
    <n v="2441"/>
    <s v="Panama City Port Authority, FL"/>
    <n v="7210"/>
    <x v="59"/>
    <x v="10"/>
    <n v="3896"/>
    <x v="1587"/>
    <x v="1090"/>
    <n v="3896"/>
  </r>
  <r>
    <s v="Coastal"/>
    <n v="2441"/>
    <s v="Panama City Port Authority, FL"/>
    <n v="5290"/>
    <x v="49"/>
    <x v="10"/>
    <n v="3712"/>
    <x v="1588"/>
    <x v="1091"/>
    <n v="3712"/>
  </r>
  <r>
    <s v="Coastal"/>
    <n v="2441"/>
    <s v="Panama City Port Authority, FL"/>
    <n v="6885"/>
    <x v="72"/>
    <x v="10"/>
    <n v="3213"/>
    <x v="1589"/>
    <x v="1092"/>
    <n v="3213"/>
  </r>
  <r>
    <s v="Coastal"/>
    <n v="2441"/>
    <s v="Panama City Port Authority, FL"/>
    <n v="5480"/>
    <x v="20"/>
    <x v="10"/>
    <n v="2907"/>
    <x v="1590"/>
    <x v="1093"/>
    <n v="2907"/>
  </r>
  <r>
    <s v="Coastal"/>
    <n v="2441"/>
    <s v="Panama City Port Authority, FL"/>
    <n v="6893"/>
    <x v="113"/>
    <x v="10"/>
    <n v="2569"/>
    <x v="1591"/>
    <x v="1094"/>
    <n v="2569"/>
  </r>
  <r>
    <s v="Coastal"/>
    <n v="2441"/>
    <s v="Panama City Port Authority, FL"/>
    <n v="5240"/>
    <x v="89"/>
    <x v="10"/>
    <n v="2214"/>
    <x v="1592"/>
    <x v="226"/>
    <n v="2214"/>
  </r>
  <r>
    <s v="Coastal"/>
    <n v="2441"/>
    <s v="Panama City Port Authority, FL"/>
    <n v="3219"/>
    <x v="19"/>
    <x v="10"/>
    <n v="2029"/>
    <x v="0"/>
    <x v="1095"/>
    <n v="2029"/>
  </r>
  <r>
    <s v="Coastal"/>
    <n v="2441"/>
    <s v="Panama City Port Authority, FL"/>
    <n v="3299"/>
    <x v="79"/>
    <x v="10"/>
    <n v="1676"/>
    <x v="154"/>
    <x v="1096"/>
    <n v="1676"/>
  </r>
  <r>
    <s v="Coastal"/>
    <n v="2441"/>
    <s v="Panama City Port Authority, FL"/>
    <n v="2340"/>
    <x v="3"/>
    <x v="2121"/>
    <n v="0"/>
    <x v="0"/>
    <x v="0"/>
    <n v="1524"/>
  </r>
  <r>
    <s v="Coastal"/>
    <n v="2441"/>
    <s v="Panama City Port Authority, FL"/>
    <n v="5110"/>
    <x v="112"/>
    <x v="10"/>
    <n v="1499"/>
    <x v="0"/>
    <x v="1097"/>
    <n v="1499"/>
  </r>
  <r>
    <s v="Coastal"/>
    <n v="2441"/>
    <s v="Panama City Port Authority, FL"/>
    <n v="6861"/>
    <x v="69"/>
    <x v="10"/>
    <n v="1352"/>
    <x v="1593"/>
    <x v="0"/>
    <n v="1352"/>
  </r>
  <r>
    <s v="Coastal"/>
    <n v="2441"/>
    <s v="Panama City Port Authority, FL"/>
    <n v="7120"/>
    <x v="71"/>
    <x v="10"/>
    <n v="1338"/>
    <x v="1594"/>
    <x v="1098"/>
    <n v="1338"/>
  </r>
  <r>
    <s v="Coastal"/>
    <n v="2441"/>
    <s v="Panama City Port Authority, FL"/>
    <n v="5190"/>
    <x v="83"/>
    <x v="10"/>
    <n v="1249"/>
    <x v="1595"/>
    <x v="1099"/>
    <n v="1249"/>
  </r>
  <r>
    <s v="Coastal"/>
    <n v="2441"/>
    <s v="Panama City Port Authority, FL"/>
    <n v="4680"/>
    <x v="70"/>
    <x v="10"/>
    <n v="995"/>
    <x v="1596"/>
    <x v="0"/>
    <n v="995"/>
  </r>
  <r>
    <s v="Coastal"/>
    <n v="2441"/>
    <s v="Panama City Port Authority, FL"/>
    <n v="3276"/>
    <x v="12"/>
    <x v="10"/>
    <n v="951"/>
    <x v="1597"/>
    <x v="582"/>
    <n v="951"/>
  </r>
  <r>
    <s v="Coastal"/>
    <n v="2441"/>
    <s v="Panama City Port Authority, FL"/>
    <n v="3284"/>
    <x v="97"/>
    <x v="10"/>
    <n v="880"/>
    <x v="1598"/>
    <x v="276"/>
    <n v="880"/>
  </r>
  <r>
    <s v="Coastal"/>
    <n v="2441"/>
    <s v="Panama City Port Authority, FL"/>
    <n v="5540"/>
    <x v="64"/>
    <x v="10"/>
    <n v="790"/>
    <x v="410"/>
    <x v="1100"/>
    <n v="790"/>
  </r>
  <r>
    <s v="Coastal"/>
    <n v="2441"/>
    <s v="Panama City Port Authority, FL"/>
    <n v="6817"/>
    <x v="119"/>
    <x v="10"/>
    <n v="562"/>
    <x v="417"/>
    <x v="1101"/>
    <n v="562"/>
  </r>
  <r>
    <s v="Coastal"/>
    <n v="2441"/>
    <s v="Panama City Port Authority, FL"/>
    <n v="6782"/>
    <x v="27"/>
    <x v="10"/>
    <n v="508"/>
    <x v="206"/>
    <x v="1102"/>
    <n v="508"/>
  </r>
  <r>
    <s v="Coastal"/>
    <n v="2441"/>
    <s v="Panama City Port Authority, FL"/>
    <n v="6747"/>
    <x v="78"/>
    <x v="10"/>
    <n v="492"/>
    <x v="308"/>
    <x v="1103"/>
    <n v="492"/>
  </r>
  <r>
    <s v="Coastal"/>
    <n v="2441"/>
    <s v="Panama City Port Authority, FL"/>
    <n v="3279"/>
    <x v="58"/>
    <x v="10"/>
    <n v="448"/>
    <x v="154"/>
    <x v="1104"/>
    <n v="448"/>
  </r>
  <r>
    <s v="Coastal"/>
    <n v="2441"/>
    <s v="Panama City Port Authority, FL"/>
    <n v="6811"/>
    <x v="76"/>
    <x v="10"/>
    <n v="392"/>
    <x v="0"/>
    <x v="1105"/>
    <n v="392"/>
  </r>
  <r>
    <s v="Coastal"/>
    <n v="2441"/>
    <s v="Panama City Port Authority, FL"/>
    <n v="4782"/>
    <x v="45"/>
    <x v="10"/>
    <n v="342"/>
    <x v="0"/>
    <x v="1054"/>
    <n v="342"/>
  </r>
  <r>
    <s v="Coastal"/>
    <n v="2441"/>
    <s v="Panama City Port Authority, FL"/>
    <n v="6136"/>
    <x v="95"/>
    <x v="10"/>
    <n v="310"/>
    <x v="147"/>
    <x v="1106"/>
    <n v="310"/>
  </r>
  <r>
    <s v="Coastal"/>
    <n v="2441"/>
    <s v="Panama City Port Authority, FL"/>
    <n v="3260"/>
    <x v="107"/>
    <x v="10"/>
    <n v="274"/>
    <x v="445"/>
    <x v="664"/>
    <n v="274"/>
  </r>
  <r>
    <s v="Coastal"/>
    <n v="2441"/>
    <s v="Panama City Port Authority, FL"/>
    <n v="4170"/>
    <x v="55"/>
    <x v="10"/>
    <n v="273"/>
    <x v="0"/>
    <x v="1107"/>
    <n v="273"/>
  </r>
  <r>
    <s v="Coastal"/>
    <n v="2441"/>
    <s v="Panama City Port Authority, FL"/>
    <n v="6822"/>
    <x v="84"/>
    <x v="10"/>
    <n v="222"/>
    <x v="459"/>
    <x v="1108"/>
    <n v="222"/>
  </r>
  <r>
    <s v="Coastal"/>
    <n v="2441"/>
    <s v="Panama City Port Authority, FL"/>
    <n v="3275"/>
    <x v="47"/>
    <x v="10"/>
    <n v="188"/>
    <x v="1599"/>
    <x v="233"/>
    <n v="188"/>
  </r>
  <r>
    <s v="Coastal"/>
    <n v="2441"/>
    <s v="Panama City Port Authority, FL"/>
    <n v="6899"/>
    <x v="114"/>
    <x v="10"/>
    <n v="183"/>
    <x v="819"/>
    <x v="453"/>
    <n v="183"/>
  </r>
  <r>
    <s v="Coastal"/>
    <n v="2441"/>
    <s v="Panama City Port Authority, FL"/>
    <n v="6835"/>
    <x v="92"/>
    <x v="10"/>
    <n v="161"/>
    <x v="1600"/>
    <x v="0"/>
    <n v="161"/>
  </r>
  <r>
    <s v="Coastal"/>
    <n v="2441"/>
    <s v="Panama City Port Authority, FL"/>
    <n v="4650"/>
    <x v="67"/>
    <x v="10"/>
    <n v="157"/>
    <x v="0"/>
    <x v="104"/>
    <n v="157"/>
  </r>
  <r>
    <s v="Coastal"/>
    <n v="2441"/>
    <s v="Panama City Port Authority, FL"/>
    <n v="3220"/>
    <x v="2"/>
    <x v="10"/>
    <n v="156"/>
    <x v="0"/>
    <x v="1109"/>
    <n v="156"/>
  </r>
  <r>
    <s v="Coastal"/>
    <n v="2441"/>
    <s v="Panama City Port Authority, FL"/>
    <n v="5422"/>
    <x v="66"/>
    <x v="10"/>
    <n v="146"/>
    <x v="0"/>
    <x v="1110"/>
    <n v="146"/>
  </r>
  <r>
    <s v="Coastal"/>
    <n v="2441"/>
    <s v="Panama City Port Authority, FL"/>
    <n v="5220"/>
    <x v="30"/>
    <x v="10"/>
    <n v="136"/>
    <x v="0"/>
    <x v="451"/>
    <n v="136"/>
  </r>
  <r>
    <s v="Coastal"/>
    <n v="2441"/>
    <s v="Panama City Port Authority, FL"/>
    <n v="3292"/>
    <x v="51"/>
    <x v="10"/>
    <n v="131"/>
    <x v="688"/>
    <x v="0"/>
    <n v="131"/>
  </r>
  <r>
    <s v="Coastal"/>
    <n v="2441"/>
    <s v="Panama City Port Authority, FL"/>
    <n v="5360"/>
    <x v="94"/>
    <x v="10"/>
    <n v="125"/>
    <x v="168"/>
    <x v="1111"/>
    <n v="125"/>
  </r>
  <r>
    <s v="Coastal"/>
    <n v="2441"/>
    <s v="Panama City Port Authority, FL"/>
    <n v="6888"/>
    <x v="109"/>
    <x v="10"/>
    <n v="113"/>
    <x v="0"/>
    <x v="425"/>
    <n v="113"/>
  </r>
  <r>
    <s v="Coastal"/>
    <n v="2441"/>
    <s v="Panama City Port Authority, FL"/>
    <n v="7230"/>
    <x v="22"/>
    <x v="10"/>
    <n v="107"/>
    <x v="313"/>
    <x v="537"/>
    <n v="107"/>
  </r>
  <r>
    <s v="Coastal"/>
    <n v="2441"/>
    <s v="Panama City Port Authority, FL"/>
    <n v="6891"/>
    <x v="93"/>
    <x v="10"/>
    <n v="106"/>
    <x v="0"/>
    <x v="231"/>
    <n v="106"/>
  </r>
  <r>
    <s v="Coastal"/>
    <n v="2441"/>
    <s v="Panama City Port Authority, FL"/>
    <n v="4310"/>
    <x v="96"/>
    <x v="10"/>
    <n v="103"/>
    <x v="0"/>
    <x v="233"/>
    <n v="103"/>
  </r>
  <r>
    <s v="Coastal"/>
    <n v="2441"/>
    <s v="Panama City Port Authority, FL"/>
    <n v="5429"/>
    <x v="61"/>
    <x v="10"/>
    <n v="103"/>
    <x v="226"/>
    <x v="276"/>
    <n v="103"/>
  </r>
  <r>
    <s v="Coastal"/>
    <n v="2441"/>
    <s v="Panama City Port Authority, FL"/>
    <n v="6858"/>
    <x v="74"/>
    <x v="10"/>
    <n v="103"/>
    <x v="150"/>
    <x v="134"/>
    <n v="103"/>
  </r>
  <r>
    <s v="Coastal"/>
    <n v="2441"/>
    <s v="Panama City Port Authority, FL"/>
    <n v="3250"/>
    <x v="108"/>
    <x v="10"/>
    <n v="89"/>
    <x v="0"/>
    <x v="452"/>
    <n v="89"/>
  </r>
  <r>
    <s v="Coastal"/>
    <n v="2441"/>
    <s v="Panama City Port Authority, FL"/>
    <n v="6856"/>
    <x v="126"/>
    <x v="10"/>
    <n v="85"/>
    <x v="0"/>
    <x v="257"/>
    <n v="85"/>
  </r>
  <r>
    <s v="Coastal"/>
    <n v="2441"/>
    <s v="Panama City Port Authority, FL"/>
    <n v="3274"/>
    <x v="86"/>
    <x v="10"/>
    <n v="72"/>
    <x v="0"/>
    <x v="1006"/>
    <n v="72"/>
  </r>
  <r>
    <s v="Coastal"/>
    <n v="2441"/>
    <s v="Panama City Port Authority, FL"/>
    <n v="3190"/>
    <x v="38"/>
    <x v="10"/>
    <n v="67"/>
    <x v="0"/>
    <x v="281"/>
    <n v="67"/>
  </r>
  <r>
    <s v="Coastal"/>
    <n v="2441"/>
    <s v="Panama City Port Authority, FL"/>
    <n v="5370"/>
    <x v="81"/>
    <x v="10"/>
    <n v="67"/>
    <x v="0"/>
    <x v="281"/>
    <n v="67"/>
  </r>
  <r>
    <s v="Coastal"/>
    <n v="2441"/>
    <s v="Panama City Port Authority, FL"/>
    <n v="6653"/>
    <x v="24"/>
    <x v="10"/>
    <n v="63"/>
    <x v="0"/>
    <x v="119"/>
    <n v="63"/>
  </r>
  <r>
    <s v="Coastal"/>
    <n v="2441"/>
    <s v="Panama City Port Authority, FL"/>
    <n v="6442"/>
    <x v="85"/>
    <x v="10"/>
    <n v="60"/>
    <x v="556"/>
    <x v="0"/>
    <n v="60"/>
  </r>
  <r>
    <s v="Coastal"/>
    <n v="2441"/>
    <s v="Panama City Port Authority, FL"/>
    <n v="6894"/>
    <x v="120"/>
    <x v="10"/>
    <n v="57"/>
    <x v="0"/>
    <x v="448"/>
    <n v="57"/>
  </r>
  <r>
    <s v="Coastal"/>
    <n v="2441"/>
    <s v="Panama City Port Authority, FL"/>
    <n v="3282"/>
    <x v="91"/>
    <x v="10"/>
    <n v="50"/>
    <x v="0"/>
    <x v="667"/>
    <n v="50"/>
  </r>
  <r>
    <s v="Coastal"/>
    <n v="2441"/>
    <s v="Panama City Port Authority, FL"/>
    <n v="3297"/>
    <x v="116"/>
    <x v="10"/>
    <n v="48"/>
    <x v="0"/>
    <x v="572"/>
    <n v="48"/>
  </r>
  <r>
    <s v="Coastal"/>
    <n v="2441"/>
    <s v="Panama City Port Authority, FL"/>
    <n v="3230"/>
    <x v="80"/>
    <x v="10"/>
    <n v="37"/>
    <x v="0"/>
    <x v="132"/>
    <n v="37"/>
  </r>
  <r>
    <s v="Coastal"/>
    <n v="2441"/>
    <s v="Panama City Port Authority, FL"/>
    <n v="3240"/>
    <x v="53"/>
    <x v="10"/>
    <n v="34"/>
    <x v="0"/>
    <x v="409"/>
    <n v="34"/>
  </r>
  <r>
    <s v="Coastal"/>
    <n v="2441"/>
    <s v="Panama City Port Authority, FL"/>
    <n v="6781"/>
    <x v="128"/>
    <x v="10"/>
    <n v="29"/>
    <x v="0"/>
    <x v="1073"/>
    <n v="29"/>
  </r>
  <r>
    <s v="Coastal"/>
    <n v="2441"/>
    <s v="Panama City Port Authority, FL"/>
    <n v="3283"/>
    <x v="111"/>
    <x v="10"/>
    <n v="27"/>
    <x v="415"/>
    <x v="276"/>
    <n v="27"/>
  </r>
  <r>
    <s v="Coastal"/>
    <n v="2441"/>
    <s v="Panama City Port Authority, FL"/>
    <n v="2410"/>
    <x v="98"/>
    <x v="10"/>
    <n v="26"/>
    <x v="0"/>
    <x v="160"/>
    <n v="26"/>
  </r>
  <r>
    <s v="Coastal"/>
    <n v="2441"/>
    <s v="Panama City Port Authority, FL"/>
    <n v="3291"/>
    <x v="117"/>
    <x v="10"/>
    <n v="26"/>
    <x v="415"/>
    <x v="0"/>
    <n v="26"/>
  </r>
  <r>
    <s v="Coastal"/>
    <n v="2441"/>
    <s v="Panama City Port Authority, FL"/>
    <n v="4190"/>
    <x v="99"/>
    <x v="10"/>
    <n v="26"/>
    <x v="391"/>
    <x v="284"/>
    <n v="26"/>
  </r>
  <r>
    <s v="Coastal"/>
    <n v="2441"/>
    <s v="Panama City Port Authority, FL"/>
    <n v="3293"/>
    <x v="122"/>
    <x v="10"/>
    <n v="22"/>
    <x v="0"/>
    <x v="383"/>
    <n v="22"/>
  </r>
  <r>
    <s v="Coastal"/>
    <n v="2441"/>
    <s v="Panama City Port Authority, FL"/>
    <n v="5390"/>
    <x v="44"/>
    <x v="10"/>
    <n v="22"/>
    <x v="393"/>
    <x v="235"/>
    <n v="22"/>
  </r>
  <r>
    <s v="Coastal"/>
    <n v="2441"/>
    <s v="Panama City Port Authority, FL"/>
    <n v="2640"/>
    <x v="110"/>
    <x v="10"/>
    <n v="15"/>
    <x v="0"/>
    <x v="220"/>
    <n v="15"/>
  </r>
  <r>
    <s v="Coastal"/>
    <n v="2441"/>
    <s v="Panama City Port Authority, FL"/>
    <n v="4420"/>
    <x v="8"/>
    <x v="10"/>
    <n v="14"/>
    <x v="0"/>
    <x v="411"/>
    <n v="14"/>
  </r>
  <r>
    <s v="Coastal"/>
    <n v="2441"/>
    <s v="Panama City Port Authority, FL"/>
    <n v="4900"/>
    <x v="14"/>
    <x v="10"/>
    <n v="11"/>
    <x v="168"/>
    <x v="131"/>
    <n v="11"/>
  </r>
  <r>
    <s v="Coastal"/>
    <n v="2441"/>
    <s v="Panama City Port Authority, FL"/>
    <n v="4323"/>
    <x v="6"/>
    <x v="10"/>
    <n v="6"/>
    <x v="0"/>
    <x v="131"/>
    <n v="6"/>
  </r>
  <r>
    <s v="Coastal"/>
    <n v="2441"/>
    <s v="Panama City Port Authority, FL"/>
    <n v="6839"/>
    <x v="106"/>
    <x v="10"/>
    <n v="6"/>
    <x v="0"/>
    <x v="131"/>
    <n v="6"/>
  </r>
  <r>
    <s v="Coastal"/>
    <n v="2441"/>
    <s v="Panama City Port Authority, FL"/>
    <n v="6590"/>
    <x v="23"/>
    <x v="10"/>
    <n v="3"/>
    <x v="0"/>
    <x v="128"/>
    <n v="3"/>
  </r>
  <r>
    <s v="Coastal"/>
    <n v="2441"/>
    <s v="Panama City Port Authority, FL"/>
    <n v="5312"/>
    <x v="52"/>
    <x v="10"/>
    <n v="2"/>
    <x v="212"/>
    <x v="0"/>
    <n v="2"/>
  </r>
  <r>
    <s v="Coastal"/>
    <n v="2441"/>
    <s v="Panama City Port Authority, FL"/>
    <n v="7300"/>
    <x v="115"/>
    <x v="10"/>
    <n v="2"/>
    <x v="0"/>
    <x v="284"/>
    <n v="2"/>
  </r>
  <r>
    <s v="Coastal"/>
    <n v="2441"/>
    <s v="Panama City Port Authority, FL"/>
    <n v="3211"/>
    <x v="124"/>
    <x v="10"/>
    <n v="1"/>
    <x v="0"/>
    <x v="276"/>
    <n v="1"/>
  </r>
  <r>
    <s v="Coastal"/>
    <n v="4450"/>
    <s v="Pearl Harbor, O'ahu, HI"/>
    <n v="2221"/>
    <x v="9"/>
    <x v="2122"/>
    <n v="0"/>
    <x v="0"/>
    <x v="0"/>
    <n v="39809"/>
  </r>
  <r>
    <s v="Internal"/>
    <n v="542"/>
    <s v="Peekskill, NY"/>
    <n v="2340"/>
    <x v="3"/>
    <x v="2123"/>
    <n v="0"/>
    <x v="0"/>
    <x v="0"/>
    <n v="42547"/>
  </r>
  <r>
    <s v="Internal"/>
    <n v="542"/>
    <s v="Peekskill, NY"/>
    <n v="2330"/>
    <x v="1"/>
    <x v="2124"/>
    <n v="0"/>
    <x v="0"/>
    <x v="0"/>
    <n v="11502"/>
  </r>
  <r>
    <s v="Internal"/>
    <n v="2263"/>
    <s v="Pemiscot County Port, MO"/>
    <n v="6522"/>
    <x v="26"/>
    <x v="2125"/>
    <n v="0"/>
    <x v="0"/>
    <x v="0"/>
    <n v="581540"/>
  </r>
  <r>
    <s v="Internal"/>
    <n v="2263"/>
    <s v="Pemiscot County Port, MO"/>
    <n v="6344"/>
    <x v="25"/>
    <x v="2126"/>
    <n v="0"/>
    <x v="0"/>
    <x v="0"/>
    <n v="269961"/>
  </r>
  <r>
    <s v="Internal"/>
    <n v="2263"/>
    <s v="Pemiscot County Port, MO"/>
    <n v="3110"/>
    <x v="36"/>
    <x v="2127"/>
    <n v="0"/>
    <x v="0"/>
    <x v="0"/>
    <n v="188236"/>
  </r>
  <r>
    <s v="Internal"/>
    <n v="2263"/>
    <s v="Pemiscot County Port, MO"/>
    <n v="6442"/>
    <x v="85"/>
    <x v="2128"/>
    <n v="0"/>
    <x v="0"/>
    <x v="0"/>
    <n v="181969"/>
  </r>
  <r>
    <s v="Internal"/>
    <n v="2263"/>
    <s v="Pemiscot County Port, MO"/>
    <n v="2330"/>
    <x v="1"/>
    <x v="2129"/>
    <n v="0"/>
    <x v="0"/>
    <x v="0"/>
    <n v="164760"/>
  </r>
  <r>
    <s v="Internal"/>
    <n v="2263"/>
    <s v="Pemiscot County Port, MO"/>
    <n v="6241"/>
    <x v="28"/>
    <x v="2130"/>
    <n v="0"/>
    <x v="0"/>
    <x v="0"/>
    <n v="91821"/>
  </r>
  <r>
    <s v="Internal"/>
    <n v="2263"/>
    <s v="Pemiscot County Port, MO"/>
    <n v="3130"/>
    <x v="37"/>
    <x v="2131"/>
    <n v="0"/>
    <x v="0"/>
    <x v="0"/>
    <n v="55299"/>
  </r>
  <r>
    <s v="Internal"/>
    <n v="2263"/>
    <s v="Pemiscot County Port, MO"/>
    <n v="4331"/>
    <x v="29"/>
    <x v="2132"/>
    <n v="0"/>
    <x v="0"/>
    <x v="0"/>
    <n v="26557"/>
  </r>
  <r>
    <s v="Internal"/>
    <n v="2263"/>
    <s v="Pemiscot County Port, MO"/>
    <n v="3190"/>
    <x v="38"/>
    <x v="2133"/>
    <n v="0"/>
    <x v="0"/>
    <x v="0"/>
    <n v="24730"/>
  </r>
  <r>
    <s v="Internal"/>
    <n v="2263"/>
    <s v="Pemiscot County Port, MO"/>
    <n v="5330"/>
    <x v="16"/>
    <x v="2134"/>
    <n v="0"/>
    <x v="0"/>
    <x v="0"/>
    <n v="21970"/>
  </r>
  <r>
    <s v="Internal"/>
    <n v="2263"/>
    <s v="Pemiscot County Port, MO"/>
    <n v="3120"/>
    <x v="41"/>
    <x v="2135"/>
    <n v="0"/>
    <x v="0"/>
    <x v="0"/>
    <n v="21590"/>
  </r>
  <r>
    <s v="Internal"/>
    <n v="2263"/>
    <s v="Pemiscot County Port, MO"/>
    <n v="6654"/>
    <x v="50"/>
    <x v="2136"/>
    <n v="0"/>
    <x v="0"/>
    <x v="0"/>
    <n v="10497"/>
  </r>
  <r>
    <s v="Internal"/>
    <n v="2263"/>
    <s v="Pemiscot County Port, MO"/>
    <n v="4783"/>
    <x v="7"/>
    <x v="2137"/>
    <n v="0"/>
    <x v="0"/>
    <x v="0"/>
    <n v="8190"/>
  </r>
  <r>
    <s v="Internal"/>
    <n v="2263"/>
    <s v="Pemiscot County Port, MO"/>
    <n v="6782"/>
    <x v="27"/>
    <x v="2138"/>
    <n v="0"/>
    <x v="0"/>
    <x v="0"/>
    <n v="7140"/>
  </r>
  <r>
    <s v="Internal"/>
    <n v="2263"/>
    <s v="Pemiscot County Port, MO"/>
    <n v="6447"/>
    <x v="132"/>
    <x v="2139"/>
    <n v="0"/>
    <x v="0"/>
    <x v="0"/>
    <n v="1606"/>
  </r>
  <r>
    <s v="Coastal"/>
    <n v="4826"/>
    <s v="Petersburg, AK"/>
    <n v="7900"/>
    <x v="21"/>
    <x v="2140"/>
    <n v="0"/>
    <x v="0"/>
    <x v="0"/>
    <n v="118363"/>
  </r>
  <r>
    <s v="Coastal"/>
    <n v="4826"/>
    <s v="Petersburg, AK"/>
    <n v="4331"/>
    <x v="29"/>
    <x v="2141"/>
    <n v="0"/>
    <x v="0"/>
    <x v="0"/>
    <n v="64905"/>
  </r>
  <r>
    <s v="Coastal"/>
    <n v="4826"/>
    <s v="Petersburg, AK"/>
    <n v="6887"/>
    <x v="138"/>
    <x v="2142"/>
    <n v="0"/>
    <x v="0"/>
    <x v="0"/>
    <n v="59828"/>
  </r>
  <r>
    <s v="Coastal"/>
    <n v="4826"/>
    <s v="Petersburg, AK"/>
    <n v="6134"/>
    <x v="82"/>
    <x v="2143"/>
    <n v="0"/>
    <x v="0"/>
    <x v="0"/>
    <n v="45400"/>
  </r>
  <r>
    <s v="Coastal"/>
    <n v="4826"/>
    <s v="Petersburg, AK"/>
    <n v="7400"/>
    <x v="77"/>
    <x v="2144"/>
    <n v="0"/>
    <x v="0"/>
    <x v="0"/>
    <n v="22251"/>
  </r>
  <r>
    <s v="Coastal"/>
    <n v="4826"/>
    <s v="Petersburg, AK"/>
    <n v="8900"/>
    <x v="139"/>
    <x v="2145"/>
    <n v="0"/>
    <x v="0"/>
    <x v="0"/>
    <n v="16765"/>
  </r>
  <r>
    <s v="Coastal"/>
    <n v="4826"/>
    <s v="Petersburg, AK"/>
    <n v="6889"/>
    <x v="42"/>
    <x v="2146"/>
    <n v="0"/>
    <x v="0"/>
    <x v="0"/>
    <n v="13499"/>
  </r>
  <r>
    <s v="Coastal"/>
    <n v="4826"/>
    <s v="Petersburg, AK"/>
    <n v="6885"/>
    <x v="72"/>
    <x v="2147"/>
    <n v="0"/>
    <x v="0"/>
    <x v="0"/>
    <n v="12879"/>
  </r>
  <r>
    <s v="Coastal"/>
    <n v="4826"/>
    <s v="Petersburg, AK"/>
    <n v="2430"/>
    <x v="11"/>
    <x v="2148"/>
    <n v="0"/>
    <x v="0"/>
    <x v="0"/>
    <n v="12203"/>
  </r>
  <r>
    <s v="Coastal"/>
    <n v="4826"/>
    <s v="Petersburg, AK"/>
    <n v="7210"/>
    <x v="59"/>
    <x v="2149"/>
    <n v="0"/>
    <x v="0"/>
    <x v="0"/>
    <n v="11465"/>
  </r>
  <r>
    <s v="Coastal"/>
    <n v="4826"/>
    <s v="Petersburg, AK"/>
    <n v="6782"/>
    <x v="27"/>
    <x v="2150"/>
    <n v="0"/>
    <x v="0"/>
    <x v="0"/>
    <n v="8481"/>
  </r>
  <r>
    <s v="Coastal"/>
    <n v="4826"/>
    <s v="Petersburg, AK"/>
    <n v="7110"/>
    <x v="4"/>
    <x v="2151"/>
    <n v="0"/>
    <x v="0"/>
    <x v="0"/>
    <n v="8354"/>
  </r>
  <r>
    <s v="Coastal"/>
    <n v="4826"/>
    <s v="Petersburg, AK"/>
    <n v="5480"/>
    <x v="20"/>
    <x v="2152"/>
    <n v="0"/>
    <x v="0"/>
    <x v="0"/>
    <n v="8206"/>
  </r>
  <r>
    <s v="Coastal"/>
    <n v="4826"/>
    <s v="Petersburg, AK"/>
    <n v="2211"/>
    <x v="0"/>
    <x v="2153"/>
    <n v="0"/>
    <x v="0"/>
    <x v="0"/>
    <n v="7943"/>
  </r>
  <r>
    <s v="Coastal"/>
    <n v="4826"/>
    <s v="Petersburg, AK"/>
    <n v="5360"/>
    <x v="94"/>
    <x v="2154"/>
    <n v="0"/>
    <x v="0"/>
    <x v="0"/>
    <n v="7572"/>
  </r>
  <r>
    <s v="Coastal"/>
    <n v="4826"/>
    <s v="Petersburg, AK"/>
    <n v="4783"/>
    <x v="7"/>
    <x v="2155"/>
    <n v="0"/>
    <x v="0"/>
    <x v="0"/>
    <n v="7495"/>
  </r>
  <r>
    <s v="Coastal"/>
    <n v="4826"/>
    <s v="Petersburg, AK"/>
    <n v="4189"/>
    <x v="65"/>
    <x v="2156"/>
    <n v="0"/>
    <x v="0"/>
    <x v="0"/>
    <n v="6188"/>
  </r>
  <r>
    <s v="Coastal"/>
    <n v="4826"/>
    <s v="Petersburg, AK"/>
    <n v="3299"/>
    <x v="79"/>
    <x v="2157"/>
    <n v="0"/>
    <x v="0"/>
    <x v="0"/>
    <n v="5474"/>
  </r>
  <r>
    <s v="Coastal"/>
    <n v="4826"/>
    <s v="Petersburg, AK"/>
    <n v="2990"/>
    <x v="102"/>
    <x v="1976"/>
    <n v="0"/>
    <x v="0"/>
    <x v="0"/>
    <n v="4835"/>
  </r>
  <r>
    <s v="Coastal"/>
    <n v="4826"/>
    <s v="Petersburg, AK"/>
    <n v="5190"/>
    <x v="83"/>
    <x v="2158"/>
    <n v="0"/>
    <x v="0"/>
    <x v="0"/>
    <n v="4460"/>
  </r>
  <r>
    <s v="Coastal"/>
    <n v="4826"/>
    <s v="Petersburg, AK"/>
    <n v="5290"/>
    <x v="49"/>
    <x v="2159"/>
    <n v="0"/>
    <x v="0"/>
    <x v="0"/>
    <n v="3535"/>
  </r>
  <r>
    <s v="Coastal"/>
    <n v="4826"/>
    <s v="Petersburg, AK"/>
    <n v="7120"/>
    <x v="71"/>
    <x v="2160"/>
    <n v="0"/>
    <x v="0"/>
    <x v="0"/>
    <n v="3472"/>
  </r>
  <r>
    <s v="Coastal"/>
    <n v="4826"/>
    <s v="Petersburg, AK"/>
    <n v="4420"/>
    <x v="8"/>
    <x v="2161"/>
    <n v="0"/>
    <x v="0"/>
    <x v="0"/>
    <n v="2598"/>
  </r>
  <r>
    <s v="Coastal"/>
    <n v="4826"/>
    <s v="Petersburg, AK"/>
    <n v="4225"/>
    <x v="10"/>
    <x v="2162"/>
    <n v="0"/>
    <x v="0"/>
    <x v="0"/>
    <n v="2081"/>
  </r>
  <r>
    <s v="Coastal"/>
    <n v="4826"/>
    <s v="Petersburg, AK"/>
    <n v="7500"/>
    <x v="60"/>
    <x v="2163"/>
    <n v="0"/>
    <x v="0"/>
    <x v="0"/>
    <n v="1427"/>
  </r>
  <r>
    <s v="Coastal"/>
    <n v="4826"/>
    <s v="Petersburg, AK"/>
    <n v="6136"/>
    <x v="95"/>
    <x v="2164"/>
    <n v="0"/>
    <x v="0"/>
    <x v="0"/>
    <n v="1350"/>
  </r>
  <r>
    <s v="Coastal"/>
    <n v="4826"/>
    <s v="Petersburg, AK"/>
    <n v="3293"/>
    <x v="122"/>
    <x v="2165"/>
    <n v="0"/>
    <x v="0"/>
    <x v="0"/>
    <n v="1309"/>
  </r>
  <r>
    <s v="Coastal"/>
    <n v="4826"/>
    <s v="Petersburg, AK"/>
    <n v="7230"/>
    <x v="22"/>
    <x v="2166"/>
    <n v="0"/>
    <x v="0"/>
    <x v="0"/>
    <n v="1253"/>
  </r>
  <r>
    <s v="Coastal"/>
    <n v="4826"/>
    <s v="Petersburg, AK"/>
    <n v="5370"/>
    <x v="81"/>
    <x v="1330"/>
    <n v="0"/>
    <x v="0"/>
    <x v="0"/>
    <n v="1162"/>
  </r>
  <r>
    <s v="Coastal"/>
    <n v="4826"/>
    <s v="Petersburg, AK"/>
    <n v="5540"/>
    <x v="64"/>
    <x v="2167"/>
    <n v="0"/>
    <x v="0"/>
    <x v="0"/>
    <n v="999"/>
  </r>
  <r>
    <s v="Coastal"/>
    <n v="4826"/>
    <s v="Petersburg, AK"/>
    <n v="5240"/>
    <x v="89"/>
    <x v="2168"/>
    <n v="0"/>
    <x v="0"/>
    <x v="0"/>
    <n v="882"/>
  </r>
  <r>
    <s v="Coastal"/>
    <n v="4826"/>
    <s v="Petersburg, AK"/>
    <n v="3282"/>
    <x v="91"/>
    <x v="2169"/>
    <n v="0"/>
    <x v="0"/>
    <x v="0"/>
    <n v="837"/>
  </r>
  <r>
    <s v="Coastal"/>
    <n v="4826"/>
    <s v="Petersburg, AK"/>
    <n v="7220"/>
    <x v="103"/>
    <x v="2170"/>
    <n v="0"/>
    <x v="0"/>
    <x v="0"/>
    <n v="546"/>
  </r>
  <r>
    <s v="Coastal"/>
    <n v="4826"/>
    <s v="Petersburg, AK"/>
    <n v="7600"/>
    <x v="68"/>
    <x v="2171"/>
    <n v="0"/>
    <x v="0"/>
    <x v="0"/>
    <n v="438"/>
  </r>
  <r>
    <s v="Coastal"/>
    <n v="4826"/>
    <s v="Petersburg, AK"/>
    <n v="6835"/>
    <x v="92"/>
    <x v="2172"/>
    <n v="0"/>
    <x v="0"/>
    <x v="0"/>
    <n v="376"/>
  </r>
  <r>
    <s v="Coastal"/>
    <n v="4826"/>
    <s v="Petersburg, AK"/>
    <n v="3286"/>
    <x v="57"/>
    <x v="2173"/>
    <n v="0"/>
    <x v="0"/>
    <x v="0"/>
    <n v="309"/>
  </r>
  <r>
    <s v="Coastal"/>
    <n v="4826"/>
    <s v="Petersburg, AK"/>
    <n v="2340"/>
    <x v="3"/>
    <x v="2174"/>
    <n v="0"/>
    <x v="0"/>
    <x v="0"/>
    <n v="283"/>
  </r>
  <r>
    <s v="Coastal"/>
    <n v="4826"/>
    <s v="Petersburg, AK"/>
    <n v="6899"/>
    <x v="114"/>
    <x v="1381"/>
    <n v="0"/>
    <x v="0"/>
    <x v="0"/>
    <n v="120"/>
  </r>
  <r>
    <s v="Coastal"/>
    <n v="4826"/>
    <s v="Petersburg, AK"/>
    <n v="3220"/>
    <x v="2"/>
    <x v="2175"/>
    <n v="0"/>
    <x v="0"/>
    <x v="0"/>
    <n v="104"/>
  </r>
  <r>
    <s v="Coastal"/>
    <n v="4826"/>
    <s v="Petersburg, AK"/>
    <n v="5330"/>
    <x v="16"/>
    <x v="413"/>
    <n v="0"/>
    <x v="0"/>
    <x v="0"/>
    <n v="51"/>
  </r>
  <r>
    <s v="Coastal"/>
    <n v="4826"/>
    <s v="Petersburg, AK"/>
    <n v="4170"/>
    <x v="55"/>
    <x v="422"/>
    <n v="0"/>
    <x v="0"/>
    <x v="0"/>
    <n v="3"/>
  </r>
  <r>
    <s v="Great Lakes"/>
    <n v="3784"/>
    <s v="Petoskey, MI"/>
    <n v="4335"/>
    <x v="5"/>
    <x v="1717"/>
    <n v="0"/>
    <x v="0"/>
    <x v="0"/>
    <n v="1450"/>
  </r>
  <r>
    <s v="Great Lakes"/>
    <n v="3784"/>
    <s v="Petoskey, MI"/>
    <n v="7110"/>
    <x v="4"/>
    <x v="510"/>
    <n v="0"/>
    <x v="0"/>
    <x v="0"/>
    <n v="80"/>
  </r>
  <r>
    <s v="Great Lakes"/>
    <n v="3784"/>
    <s v="Petoskey, MI"/>
    <n v="3293"/>
    <x v="122"/>
    <x v="524"/>
    <n v="0"/>
    <x v="0"/>
    <x v="0"/>
    <n v="10"/>
  </r>
  <r>
    <s v="Coastal"/>
    <n v="552"/>
    <s v="Philadelphia Regional Port, PA"/>
    <n v="2100"/>
    <x v="35"/>
    <x v="2176"/>
    <n v="2843802"/>
    <x v="1601"/>
    <x v="0"/>
    <n v="8317335"/>
  </r>
  <r>
    <s v="Coastal"/>
    <n v="552"/>
    <s v="Philadelphia Regional Port, PA"/>
    <n v="2640"/>
    <x v="110"/>
    <x v="10"/>
    <n v="4470951"/>
    <x v="1602"/>
    <x v="1112"/>
    <n v="4470951"/>
  </r>
  <r>
    <s v="Coastal"/>
    <n v="552"/>
    <s v="Philadelphia Regional Port, PA"/>
    <n v="3211"/>
    <x v="124"/>
    <x v="10"/>
    <n v="1571661"/>
    <x v="1603"/>
    <x v="1113"/>
    <n v="1571661"/>
  </r>
  <r>
    <s v="Coastal"/>
    <n v="552"/>
    <s v="Philadelphia Regional Port, PA"/>
    <n v="6857"/>
    <x v="104"/>
    <x v="10"/>
    <n v="1511078"/>
    <x v="1604"/>
    <x v="1114"/>
    <n v="1511078"/>
  </r>
  <r>
    <s v="Coastal"/>
    <n v="552"/>
    <s v="Philadelphia Regional Port, PA"/>
    <n v="2211"/>
    <x v="0"/>
    <x v="2177"/>
    <n v="247910"/>
    <x v="1605"/>
    <x v="1115"/>
    <n v="1497073"/>
  </r>
  <r>
    <s v="Coastal"/>
    <n v="552"/>
    <s v="Philadelphia Regional Port, PA"/>
    <n v="7900"/>
    <x v="21"/>
    <x v="2178"/>
    <n v="331712"/>
    <x v="1606"/>
    <x v="1116"/>
    <n v="740881"/>
  </r>
  <r>
    <s v="Coastal"/>
    <n v="552"/>
    <s v="Philadelphia Regional Port, PA"/>
    <n v="3219"/>
    <x v="19"/>
    <x v="2179"/>
    <n v="75391"/>
    <x v="1607"/>
    <x v="1117"/>
    <n v="729868"/>
  </r>
  <r>
    <s v="Coastal"/>
    <n v="552"/>
    <s v="Philadelphia Regional Port, PA"/>
    <n v="4783"/>
    <x v="7"/>
    <x v="10"/>
    <n v="714389"/>
    <x v="1608"/>
    <x v="1118"/>
    <n v="714389"/>
  </r>
  <r>
    <s v="Coastal"/>
    <n v="552"/>
    <s v="Philadelphia Regional Port, PA"/>
    <n v="2340"/>
    <x v="3"/>
    <x v="2180"/>
    <n v="0"/>
    <x v="0"/>
    <x v="0"/>
    <n v="689781"/>
  </r>
  <r>
    <s v="Coastal"/>
    <n v="552"/>
    <s v="Philadelphia Regional Port, PA"/>
    <n v="6811"/>
    <x v="76"/>
    <x v="10"/>
    <n v="598529"/>
    <x v="1609"/>
    <x v="1119"/>
    <n v="598529"/>
  </r>
  <r>
    <s v="Coastal"/>
    <n v="552"/>
    <s v="Philadelphia Regional Port, PA"/>
    <n v="4225"/>
    <x v="10"/>
    <x v="10"/>
    <n v="595798"/>
    <x v="1610"/>
    <x v="1120"/>
    <n v="595798"/>
  </r>
  <r>
    <s v="Coastal"/>
    <n v="552"/>
    <s v="Philadelphia Regional Port, PA"/>
    <n v="5220"/>
    <x v="30"/>
    <x v="10"/>
    <n v="579349"/>
    <x v="1611"/>
    <x v="1121"/>
    <n v="579349"/>
  </r>
  <r>
    <s v="Coastal"/>
    <n v="552"/>
    <s v="Philadelphia Regional Port, PA"/>
    <n v="3220"/>
    <x v="2"/>
    <x v="2181"/>
    <n v="26353"/>
    <x v="1612"/>
    <x v="1122"/>
    <n v="566244"/>
  </r>
  <r>
    <s v="Coastal"/>
    <n v="552"/>
    <s v="Philadelphia Regional Port, PA"/>
    <n v="6872"/>
    <x v="100"/>
    <x v="10"/>
    <n v="503950"/>
    <x v="1613"/>
    <x v="1123"/>
    <n v="503950"/>
  </r>
  <r>
    <s v="Coastal"/>
    <n v="552"/>
    <s v="Philadelphia Regional Port, PA"/>
    <n v="6856"/>
    <x v="126"/>
    <x v="10"/>
    <n v="421373"/>
    <x v="1614"/>
    <x v="213"/>
    <n v="421373"/>
  </r>
  <r>
    <s v="Coastal"/>
    <n v="552"/>
    <s v="Philadelphia Regional Port, PA"/>
    <n v="7210"/>
    <x v="59"/>
    <x v="10"/>
    <n v="418128"/>
    <x v="1615"/>
    <x v="1124"/>
    <n v="418128"/>
  </r>
  <r>
    <s v="Coastal"/>
    <n v="552"/>
    <s v="Philadelphia Regional Port, PA"/>
    <n v="6889"/>
    <x v="42"/>
    <x v="10"/>
    <n v="407636"/>
    <x v="1616"/>
    <x v="1125"/>
    <n v="407636"/>
  </r>
  <r>
    <s v="Coastal"/>
    <n v="552"/>
    <s v="Philadelphia Regional Port, PA"/>
    <n v="5120"/>
    <x v="63"/>
    <x v="10"/>
    <n v="311381"/>
    <x v="1617"/>
    <x v="1126"/>
    <n v="311381"/>
  </r>
  <r>
    <s v="Coastal"/>
    <n v="552"/>
    <s v="Philadelphia Regional Port, PA"/>
    <n v="2350"/>
    <x v="40"/>
    <x v="2182"/>
    <n v="532"/>
    <x v="0"/>
    <x v="1127"/>
    <n v="266756"/>
  </r>
  <r>
    <s v="Coastal"/>
    <n v="552"/>
    <s v="Philadelphia Regional Port, PA"/>
    <n v="2429"/>
    <x v="17"/>
    <x v="2183"/>
    <n v="59"/>
    <x v="418"/>
    <x v="1128"/>
    <n v="259215"/>
  </r>
  <r>
    <s v="Coastal"/>
    <n v="552"/>
    <s v="Philadelphia Regional Port, PA"/>
    <n v="3110"/>
    <x v="36"/>
    <x v="10"/>
    <n v="257667"/>
    <x v="1618"/>
    <x v="1129"/>
    <n v="257667"/>
  </r>
  <r>
    <s v="Coastal"/>
    <n v="552"/>
    <s v="Philadelphia Regional Port, PA"/>
    <n v="4420"/>
    <x v="8"/>
    <x v="2184"/>
    <n v="227942"/>
    <x v="1619"/>
    <x v="1130"/>
    <n v="250455"/>
  </r>
  <r>
    <s v="Coastal"/>
    <n v="552"/>
    <s v="Philadelphia Regional Port, PA"/>
    <n v="3286"/>
    <x v="57"/>
    <x v="10"/>
    <n v="226194"/>
    <x v="1620"/>
    <x v="1131"/>
    <n v="226194"/>
  </r>
  <r>
    <s v="Coastal"/>
    <n v="552"/>
    <s v="Philadelphia Regional Port, PA"/>
    <n v="4189"/>
    <x v="65"/>
    <x v="10"/>
    <n v="223024"/>
    <x v="1621"/>
    <x v="1132"/>
    <n v="223024"/>
  </r>
  <r>
    <s v="Coastal"/>
    <n v="552"/>
    <s v="Philadelphia Regional Port, PA"/>
    <n v="2330"/>
    <x v="1"/>
    <x v="2185"/>
    <n v="50641"/>
    <x v="1622"/>
    <x v="105"/>
    <n v="215011"/>
  </r>
  <r>
    <s v="Coastal"/>
    <n v="552"/>
    <s v="Philadelphia Regional Port, PA"/>
    <n v="7600"/>
    <x v="68"/>
    <x v="10"/>
    <n v="208603"/>
    <x v="1623"/>
    <x v="1133"/>
    <n v="208603"/>
  </r>
  <r>
    <s v="Coastal"/>
    <n v="552"/>
    <s v="Philadelphia Regional Port, PA"/>
    <n v="5330"/>
    <x v="16"/>
    <x v="10"/>
    <n v="193331"/>
    <x v="1624"/>
    <x v="1134"/>
    <n v="193331"/>
  </r>
  <r>
    <s v="Coastal"/>
    <n v="552"/>
    <s v="Philadelphia Regional Port, PA"/>
    <n v="3260"/>
    <x v="107"/>
    <x v="2186"/>
    <n v="19541"/>
    <x v="1540"/>
    <x v="1135"/>
    <n v="186894"/>
  </r>
  <r>
    <s v="Coastal"/>
    <n v="552"/>
    <s v="Philadelphia Regional Port, PA"/>
    <n v="7110"/>
    <x v="4"/>
    <x v="10"/>
    <n v="185543"/>
    <x v="1625"/>
    <x v="1136"/>
    <n v="185543"/>
  </r>
  <r>
    <s v="Coastal"/>
    <n v="552"/>
    <s v="Philadelphia Regional Port, PA"/>
    <n v="4860"/>
    <x v="31"/>
    <x v="10"/>
    <n v="173002"/>
    <x v="1626"/>
    <x v="0"/>
    <n v="173002"/>
  </r>
  <r>
    <s v="Coastal"/>
    <n v="552"/>
    <s v="Philadelphia Regional Port, PA"/>
    <n v="6654"/>
    <x v="50"/>
    <x v="10"/>
    <n v="170431"/>
    <x v="1627"/>
    <x v="1137"/>
    <n v="170431"/>
  </r>
  <r>
    <s v="Coastal"/>
    <n v="552"/>
    <s v="Philadelphia Regional Port, PA"/>
    <n v="5360"/>
    <x v="94"/>
    <x v="2187"/>
    <n v="168918"/>
    <x v="1628"/>
    <x v="1138"/>
    <n v="169456"/>
  </r>
  <r>
    <s v="Coastal"/>
    <n v="552"/>
    <s v="Philadelphia Regional Port, PA"/>
    <n v="5480"/>
    <x v="20"/>
    <x v="10"/>
    <n v="134612"/>
    <x v="1629"/>
    <x v="1139"/>
    <n v="134612"/>
  </r>
  <r>
    <s v="Coastal"/>
    <n v="552"/>
    <s v="Philadelphia Regional Port, PA"/>
    <n v="4331"/>
    <x v="29"/>
    <x v="10"/>
    <n v="132124"/>
    <x v="1630"/>
    <x v="1140"/>
    <n v="132124"/>
  </r>
  <r>
    <s v="Coastal"/>
    <n v="552"/>
    <s v="Philadelphia Regional Port, PA"/>
    <n v="6861"/>
    <x v="69"/>
    <x v="10"/>
    <n v="120247"/>
    <x v="1631"/>
    <x v="1141"/>
    <n v="120247"/>
  </r>
  <r>
    <s v="Coastal"/>
    <n v="552"/>
    <s v="Philadelphia Regional Port, PA"/>
    <n v="6888"/>
    <x v="109"/>
    <x v="10"/>
    <n v="118911"/>
    <x v="1632"/>
    <x v="1142"/>
    <n v="118911"/>
  </r>
  <r>
    <s v="Coastal"/>
    <n v="552"/>
    <s v="Philadelphia Regional Port, PA"/>
    <n v="7120"/>
    <x v="71"/>
    <x v="10"/>
    <n v="115503"/>
    <x v="1633"/>
    <x v="1143"/>
    <n v="115503"/>
  </r>
  <r>
    <s v="Coastal"/>
    <n v="552"/>
    <s v="Philadelphia Regional Port, PA"/>
    <n v="3292"/>
    <x v="51"/>
    <x v="10"/>
    <n v="114480"/>
    <x v="1634"/>
    <x v="1144"/>
    <n v="114480"/>
  </r>
  <r>
    <s v="Coastal"/>
    <n v="552"/>
    <s v="Philadelphia Regional Port, PA"/>
    <n v="2430"/>
    <x v="11"/>
    <x v="2188"/>
    <n v="9379"/>
    <x v="1192"/>
    <x v="1145"/>
    <n v="112908"/>
  </r>
  <r>
    <s v="Coastal"/>
    <n v="552"/>
    <s v="Philadelphia Regional Port, PA"/>
    <n v="5540"/>
    <x v="64"/>
    <x v="10"/>
    <n v="111392"/>
    <x v="1635"/>
    <x v="1146"/>
    <n v="111392"/>
  </r>
  <r>
    <s v="Coastal"/>
    <n v="552"/>
    <s v="Philadelphia Regional Port, PA"/>
    <n v="4323"/>
    <x v="6"/>
    <x v="10"/>
    <n v="104578"/>
    <x v="1636"/>
    <x v="214"/>
    <n v="104578"/>
  </r>
  <r>
    <s v="Coastal"/>
    <n v="552"/>
    <s v="Philadelphia Regional Port, PA"/>
    <n v="6822"/>
    <x v="84"/>
    <x v="10"/>
    <n v="98710"/>
    <x v="1637"/>
    <x v="1147"/>
    <n v="98710"/>
  </r>
  <r>
    <s v="Coastal"/>
    <n v="552"/>
    <s v="Philadelphia Regional Port, PA"/>
    <n v="9900"/>
    <x v="18"/>
    <x v="10"/>
    <n v="96503"/>
    <x v="1638"/>
    <x v="1148"/>
    <n v="96503"/>
  </r>
  <r>
    <s v="Coastal"/>
    <n v="552"/>
    <s v="Philadelphia Regional Port, PA"/>
    <n v="3276"/>
    <x v="12"/>
    <x v="119"/>
    <n v="27097"/>
    <x v="1639"/>
    <x v="1149"/>
    <n v="93325"/>
  </r>
  <r>
    <s v="Coastal"/>
    <n v="552"/>
    <s v="Philadelphia Regional Port, PA"/>
    <n v="3230"/>
    <x v="80"/>
    <x v="10"/>
    <n v="89994"/>
    <x v="1640"/>
    <x v="1150"/>
    <n v="89994"/>
  </r>
  <r>
    <s v="Coastal"/>
    <n v="552"/>
    <s v="Philadelphia Regional Port, PA"/>
    <n v="6858"/>
    <x v="74"/>
    <x v="10"/>
    <n v="83154"/>
    <x v="1641"/>
    <x v="1151"/>
    <n v="83154"/>
  </r>
  <r>
    <s v="Coastal"/>
    <n v="552"/>
    <s v="Philadelphia Regional Port, PA"/>
    <n v="6885"/>
    <x v="72"/>
    <x v="10"/>
    <n v="82890"/>
    <x v="1642"/>
    <x v="1152"/>
    <n v="82890"/>
  </r>
  <r>
    <s v="Coastal"/>
    <n v="552"/>
    <s v="Philadelphia Regional Port, PA"/>
    <n v="5320"/>
    <x v="13"/>
    <x v="10"/>
    <n v="81702"/>
    <x v="1643"/>
    <x v="663"/>
    <n v="81702"/>
  </r>
  <r>
    <s v="Coastal"/>
    <n v="552"/>
    <s v="Philadelphia Regional Port, PA"/>
    <n v="7500"/>
    <x v="60"/>
    <x v="10"/>
    <n v="80766"/>
    <x v="1644"/>
    <x v="1153"/>
    <n v="80766"/>
  </r>
  <r>
    <s v="Coastal"/>
    <n v="552"/>
    <s v="Philadelphia Regional Port, PA"/>
    <n v="3274"/>
    <x v="86"/>
    <x v="2189"/>
    <n v="64265"/>
    <x v="1645"/>
    <x v="1154"/>
    <n v="71582"/>
  </r>
  <r>
    <s v="Coastal"/>
    <n v="552"/>
    <s v="Philadelphia Regional Port, PA"/>
    <n v="3285"/>
    <x v="87"/>
    <x v="10"/>
    <n v="68168"/>
    <x v="1646"/>
    <x v="1155"/>
    <n v="68168"/>
  </r>
  <r>
    <s v="Coastal"/>
    <n v="552"/>
    <s v="Philadelphia Regional Port, PA"/>
    <n v="3275"/>
    <x v="47"/>
    <x v="10"/>
    <n v="67796"/>
    <x v="1647"/>
    <x v="1156"/>
    <n v="67796"/>
  </r>
  <r>
    <s v="Coastal"/>
    <n v="552"/>
    <s v="Philadelphia Regional Port, PA"/>
    <n v="6817"/>
    <x v="119"/>
    <x v="10"/>
    <n v="65187"/>
    <x v="1648"/>
    <x v="1157"/>
    <n v="65187"/>
  </r>
  <r>
    <s v="Coastal"/>
    <n v="552"/>
    <s v="Philadelphia Regional Port, PA"/>
    <n v="5290"/>
    <x v="49"/>
    <x v="10"/>
    <n v="61203"/>
    <x v="1649"/>
    <x v="1158"/>
    <n v="61203"/>
  </r>
  <r>
    <s v="Coastal"/>
    <n v="552"/>
    <s v="Philadelphia Regional Port, PA"/>
    <n v="1100"/>
    <x v="32"/>
    <x v="10"/>
    <n v="59411"/>
    <x v="1650"/>
    <x v="1159"/>
    <n v="59411"/>
  </r>
  <r>
    <s v="Coastal"/>
    <n v="552"/>
    <s v="Philadelphia Regional Port, PA"/>
    <n v="3299"/>
    <x v="79"/>
    <x v="10"/>
    <n v="55950"/>
    <x v="1651"/>
    <x v="1160"/>
    <n v="55950"/>
  </r>
  <r>
    <s v="Coastal"/>
    <n v="552"/>
    <s v="Philadelphia Regional Port, PA"/>
    <n v="6871"/>
    <x v="73"/>
    <x v="10"/>
    <n v="47680"/>
    <x v="1652"/>
    <x v="1161"/>
    <n v="47680"/>
  </r>
  <r>
    <s v="Coastal"/>
    <n v="552"/>
    <s v="Philadelphia Regional Port, PA"/>
    <n v="6747"/>
    <x v="78"/>
    <x v="10"/>
    <n v="41994"/>
    <x v="1653"/>
    <x v="1162"/>
    <n v="41994"/>
  </r>
  <r>
    <s v="Coastal"/>
    <n v="552"/>
    <s v="Philadelphia Regional Port, PA"/>
    <n v="6839"/>
    <x v="106"/>
    <x v="10"/>
    <n v="38467"/>
    <x v="1654"/>
    <x v="1163"/>
    <n v="38467"/>
  </r>
  <r>
    <s v="Coastal"/>
    <n v="552"/>
    <s v="Philadelphia Regional Port, PA"/>
    <n v="3130"/>
    <x v="37"/>
    <x v="10"/>
    <n v="32148"/>
    <x v="1655"/>
    <x v="1007"/>
    <n v="32148"/>
  </r>
  <r>
    <s v="Coastal"/>
    <n v="552"/>
    <s v="Philadelphia Regional Port, PA"/>
    <n v="4680"/>
    <x v="70"/>
    <x v="10"/>
    <n v="30032"/>
    <x v="1656"/>
    <x v="1164"/>
    <n v="30032"/>
  </r>
  <r>
    <s v="Coastal"/>
    <n v="552"/>
    <s v="Philadelphia Regional Port, PA"/>
    <n v="7400"/>
    <x v="77"/>
    <x v="10"/>
    <n v="29589"/>
    <x v="1657"/>
    <x v="1165"/>
    <n v="29589"/>
  </r>
  <r>
    <s v="Coastal"/>
    <n v="552"/>
    <s v="Philadelphia Regional Port, PA"/>
    <n v="3284"/>
    <x v="97"/>
    <x v="10"/>
    <n v="29579"/>
    <x v="1658"/>
    <x v="1166"/>
    <n v="29579"/>
  </r>
  <r>
    <s v="Coastal"/>
    <n v="552"/>
    <s v="Philadelphia Regional Port, PA"/>
    <n v="2410"/>
    <x v="98"/>
    <x v="10"/>
    <n v="29318"/>
    <x v="1659"/>
    <x v="1167"/>
    <n v="29318"/>
  </r>
  <r>
    <s v="Coastal"/>
    <n v="552"/>
    <s v="Philadelphia Regional Port, PA"/>
    <n v="5370"/>
    <x v="81"/>
    <x v="10"/>
    <n v="28848"/>
    <x v="1660"/>
    <x v="1168"/>
    <n v="28848"/>
  </r>
  <r>
    <s v="Coastal"/>
    <n v="552"/>
    <s v="Philadelphia Regional Port, PA"/>
    <n v="5240"/>
    <x v="89"/>
    <x v="10"/>
    <n v="28475"/>
    <x v="1661"/>
    <x v="1169"/>
    <n v="28475"/>
  </r>
  <r>
    <s v="Coastal"/>
    <n v="552"/>
    <s v="Philadelphia Regional Port, PA"/>
    <n v="6782"/>
    <x v="27"/>
    <x v="10"/>
    <n v="27367"/>
    <x v="1662"/>
    <x v="1170"/>
    <n v="27367"/>
  </r>
  <r>
    <s v="Coastal"/>
    <n v="552"/>
    <s v="Philadelphia Regional Port, PA"/>
    <n v="5429"/>
    <x v="61"/>
    <x v="10"/>
    <n v="24331"/>
    <x v="1663"/>
    <x v="1171"/>
    <n v="24331"/>
  </r>
  <r>
    <s v="Coastal"/>
    <n v="552"/>
    <s v="Philadelphia Regional Port, PA"/>
    <n v="4690"/>
    <x v="62"/>
    <x v="10"/>
    <n v="23671"/>
    <x v="1664"/>
    <x v="1172"/>
    <n v="23671"/>
  </r>
  <r>
    <s v="Coastal"/>
    <n v="552"/>
    <s v="Philadelphia Regional Port, PA"/>
    <n v="5422"/>
    <x v="66"/>
    <x v="10"/>
    <n v="22973"/>
    <x v="1665"/>
    <x v="1173"/>
    <n v="22973"/>
  </r>
  <r>
    <s v="Coastal"/>
    <n v="552"/>
    <s v="Philadelphia Regional Port, PA"/>
    <n v="3282"/>
    <x v="91"/>
    <x v="10"/>
    <n v="21891"/>
    <x v="1666"/>
    <x v="1174"/>
    <n v="21891"/>
  </r>
  <r>
    <s v="Coastal"/>
    <n v="552"/>
    <s v="Philadelphia Regional Port, PA"/>
    <n v="6899"/>
    <x v="114"/>
    <x v="10"/>
    <n v="20275"/>
    <x v="1667"/>
    <x v="1175"/>
    <n v="20275"/>
  </r>
  <r>
    <s v="Coastal"/>
    <n v="552"/>
    <s v="Philadelphia Regional Port, PA"/>
    <n v="3190"/>
    <x v="38"/>
    <x v="10"/>
    <n v="19589"/>
    <x v="1668"/>
    <x v="1176"/>
    <n v="19589"/>
  </r>
  <r>
    <s v="Coastal"/>
    <n v="552"/>
    <s v="Philadelphia Regional Port, PA"/>
    <n v="3297"/>
    <x v="116"/>
    <x v="10"/>
    <n v="19330"/>
    <x v="1669"/>
    <x v="1177"/>
    <n v="19330"/>
  </r>
  <r>
    <s v="Coastal"/>
    <n v="552"/>
    <s v="Philadelphia Regional Port, PA"/>
    <n v="6134"/>
    <x v="82"/>
    <x v="10"/>
    <n v="18631"/>
    <x v="1670"/>
    <x v="1178"/>
    <n v="18631"/>
  </r>
  <r>
    <s v="Coastal"/>
    <n v="552"/>
    <s v="Philadelphia Regional Port, PA"/>
    <n v="6522"/>
    <x v="26"/>
    <x v="10"/>
    <n v="18100"/>
    <x v="1671"/>
    <x v="1085"/>
    <n v="18100"/>
  </r>
  <r>
    <s v="Coastal"/>
    <n v="552"/>
    <s v="Philadelphia Regional Port, PA"/>
    <n v="4170"/>
    <x v="55"/>
    <x v="10"/>
    <n v="16778"/>
    <x v="1672"/>
    <x v="1179"/>
    <n v="16778"/>
  </r>
  <r>
    <s v="Coastal"/>
    <n v="552"/>
    <s v="Philadelphia Regional Port, PA"/>
    <n v="7300"/>
    <x v="115"/>
    <x v="10"/>
    <n v="16490"/>
    <x v="1673"/>
    <x v="1038"/>
    <n v="16490"/>
  </r>
  <r>
    <s v="Coastal"/>
    <n v="552"/>
    <s v="Philadelphia Regional Port, PA"/>
    <n v="6136"/>
    <x v="95"/>
    <x v="10"/>
    <n v="15505"/>
    <x v="1674"/>
    <x v="1180"/>
    <n v="15505"/>
  </r>
  <r>
    <s v="Coastal"/>
    <n v="552"/>
    <s v="Philadelphia Regional Port, PA"/>
    <n v="5421"/>
    <x v="88"/>
    <x v="10"/>
    <n v="15289"/>
    <x v="1675"/>
    <x v="1181"/>
    <n v="15289"/>
  </r>
  <r>
    <s v="Coastal"/>
    <n v="552"/>
    <s v="Philadelphia Regional Port, PA"/>
    <n v="3250"/>
    <x v="108"/>
    <x v="10"/>
    <n v="13096"/>
    <x v="1676"/>
    <x v="1182"/>
    <n v="13096"/>
  </r>
  <r>
    <s v="Coastal"/>
    <n v="552"/>
    <s v="Philadelphia Regional Port, PA"/>
    <n v="6344"/>
    <x v="25"/>
    <x v="10"/>
    <n v="12667"/>
    <x v="1677"/>
    <x v="1183"/>
    <n v="12667"/>
  </r>
  <r>
    <s v="Coastal"/>
    <n v="552"/>
    <s v="Philadelphia Regional Port, PA"/>
    <n v="5110"/>
    <x v="112"/>
    <x v="10"/>
    <n v="10742"/>
    <x v="576"/>
    <x v="428"/>
    <n v="10742"/>
  </r>
  <r>
    <s v="Coastal"/>
    <n v="552"/>
    <s v="Philadelphia Regional Port, PA"/>
    <n v="5190"/>
    <x v="83"/>
    <x v="10"/>
    <n v="10730"/>
    <x v="1678"/>
    <x v="1184"/>
    <n v="10730"/>
  </r>
  <r>
    <s v="Coastal"/>
    <n v="552"/>
    <s v="Philadelphia Regional Port, PA"/>
    <n v="3240"/>
    <x v="53"/>
    <x v="10"/>
    <n v="10726"/>
    <x v="1679"/>
    <x v="1185"/>
    <n v="10726"/>
  </r>
  <r>
    <s v="Coastal"/>
    <n v="552"/>
    <s v="Philadelphia Regional Port, PA"/>
    <n v="6653"/>
    <x v="24"/>
    <x v="10"/>
    <n v="10358"/>
    <x v="1680"/>
    <x v="1186"/>
    <n v="10358"/>
  </r>
  <r>
    <s v="Coastal"/>
    <n v="552"/>
    <s v="Philadelphia Regional Port, PA"/>
    <n v="6891"/>
    <x v="93"/>
    <x v="10"/>
    <n v="10170"/>
    <x v="1681"/>
    <x v="1187"/>
    <n v="10170"/>
  </r>
  <r>
    <s v="Coastal"/>
    <n v="552"/>
    <s v="Philadelphia Regional Port, PA"/>
    <n v="3279"/>
    <x v="58"/>
    <x v="10"/>
    <n v="9462"/>
    <x v="1682"/>
    <x v="1188"/>
    <n v="9462"/>
  </r>
  <r>
    <s v="Coastal"/>
    <n v="552"/>
    <s v="Philadelphia Regional Port, PA"/>
    <n v="4190"/>
    <x v="99"/>
    <x v="10"/>
    <n v="9316"/>
    <x v="1683"/>
    <x v="1189"/>
    <n v="9316"/>
  </r>
  <r>
    <s v="Coastal"/>
    <n v="552"/>
    <s v="Philadelphia Regional Port, PA"/>
    <n v="4110"/>
    <x v="105"/>
    <x v="10"/>
    <n v="8781"/>
    <x v="1684"/>
    <x v="1190"/>
    <n v="8781"/>
  </r>
  <r>
    <s v="Coastal"/>
    <n v="552"/>
    <s v="Philadelphia Regional Port, PA"/>
    <n v="4782"/>
    <x v="45"/>
    <x v="10"/>
    <n v="7507"/>
    <x v="1022"/>
    <x v="1191"/>
    <n v="7507"/>
  </r>
  <r>
    <s v="Coastal"/>
    <n v="552"/>
    <s v="Philadelphia Regional Port, PA"/>
    <n v="3281"/>
    <x v="125"/>
    <x v="10"/>
    <n v="7430"/>
    <x v="1685"/>
    <x v="0"/>
    <n v="7430"/>
  </r>
  <r>
    <s v="Coastal"/>
    <n v="552"/>
    <s v="Philadelphia Regional Port, PA"/>
    <n v="3291"/>
    <x v="117"/>
    <x v="10"/>
    <n v="6138"/>
    <x v="1686"/>
    <x v="1192"/>
    <n v="6138"/>
  </r>
  <r>
    <s v="Coastal"/>
    <n v="552"/>
    <s v="Philadelphia Regional Port, PA"/>
    <n v="5390"/>
    <x v="44"/>
    <x v="10"/>
    <n v="6078"/>
    <x v="1687"/>
    <x v="1193"/>
    <n v="6078"/>
  </r>
  <r>
    <s v="Coastal"/>
    <n v="552"/>
    <s v="Philadelphia Regional Port, PA"/>
    <n v="5312"/>
    <x v="52"/>
    <x v="10"/>
    <n v="6045"/>
    <x v="1688"/>
    <x v="1194"/>
    <n v="6045"/>
  </r>
  <r>
    <s v="Coastal"/>
    <n v="552"/>
    <s v="Philadelphia Regional Port, PA"/>
    <n v="4150"/>
    <x v="101"/>
    <x v="10"/>
    <n v="5869"/>
    <x v="1689"/>
    <x v="228"/>
    <n v="5869"/>
  </r>
  <r>
    <s v="Coastal"/>
    <n v="552"/>
    <s v="Philadelphia Regional Port, PA"/>
    <n v="6835"/>
    <x v="92"/>
    <x v="10"/>
    <n v="4692"/>
    <x v="1690"/>
    <x v="1195"/>
    <n v="4692"/>
  </r>
  <r>
    <s v="Coastal"/>
    <n v="552"/>
    <s v="Philadelphia Regional Port, PA"/>
    <n v="3283"/>
    <x v="111"/>
    <x v="10"/>
    <n v="4382"/>
    <x v="1691"/>
    <x v="1196"/>
    <n v="4382"/>
  </r>
  <r>
    <s v="Coastal"/>
    <n v="552"/>
    <s v="Philadelphia Regional Port, PA"/>
    <n v="5315"/>
    <x v="48"/>
    <x v="10"/>
    <n v="4136"/>
    <x v="1692"/>
    <x v="1197"/>
    <n v="4136"/>
  </r>
  <r>
    <s v="Coastal"/>
    <n v="552"/>
    <s v="Philadelphia Regional Port, PA"/>
    <n v="4900"/>
    <x v="14"/>
    <x v="10"/>
    <n v="3681"/>
    <x v="1693"/>
    <x v="1198"/>
    <n v="3681"/>
  </r>
  <r>
    <s v="Coastal"/>
    <n v="552"/>
    <s v="Philadelphia Regional Port, PA"/>
    <n v="4650"/>
    <x v="67"/>
    <x v="10"/>
    <n v="3622"/>
    <x v="1694"/>
    <x v="1199"/>
    <n v="3622"/>
  </r>
  <r>
    <s v="Coastal"/>
    <n v="552"/>
    <s v="Philadelphia Regional Port, PA"/>
    <n v="6838"/>
    <x v="131"/>
    <x v="10"/>
    <n v="3292"/>
    <x v="1695"/>
    <x v="1200"/>
    <n v="3292"/>
  </r>
  <r>
    <s v="Coastal"/>
    <n v="552"/>
    <s v="Philadelphia Regional Port, PA"/>
    <n v="2540"/>
    <x v="15"/>
    <x v="10"/>
    <n v="3026"/>
    <x v="410"/>
    <x v="1201"/>
    <n v="3026"/>
  </r>
  <r>
    <s v="Coastal"/>
    <n v="552"/>
    <s v="Philadelphia Regional Port, PA"/>
    <n v="6590"/>
    <x v="23"/>
    <x v="10"/>
    <n v="2411"/>
    <x v="1696"/>
    <x v="1202"/>
    <n v="2411"/>
  </r>
  <r>
    <s v="Coastal"/>
    <n v="552"/>
    <s v="Philadelphia Regional Port, PA"/>
    <n v="6865"/>
    <x v="75"/>
    <x v="10"/>
    <n v="2194"/>
    <x v="1697"/>
    <x v="166"/>
    <n v="2194"/>
  </r>
  <r>
    <s v="Coastal"/>
    <n v="552"/>
    <s v="Philadelphia Regional Port, PA"/>
    <n v="4161"/>
    <x v="54"/>
    <x v="10"/>
    <n v="1061"/>
    <x v="1698"/>
    <x v="1203"/>
    <n v="1061"/>
  </r>
  <r>
    <s v="Coastal"/>
    <n v="552"/>
    <s v="Philadelphia Regional Port, PA"/>
    <n v="6746"/>
    <x v="118"/>
    <x v="10"/>
    <n v="1024"/>
    <x v="1699"/>
    <x v="1204"/>
    <n v="1024"/>
  </r>
  <r>
    <s v="Coastal"/>
    <n v="552"/>
    <s v="Philadelphia Regional Port, PA"/>
    <n v="4630"/>
    <x v="127"/>
    <x v="10"/>
    <n v="914"/>
    <x v="1700"/>
    <x v="124"/>
    <n v="914"/>
  </r>
  <r>
    <s v="Coastal"/>
    <n v="552"/>
    <s v="Philadelphia Regional Port, PA"/>
    <n v="7230"/>
    <x v="22"/>
    <x v="10"/>
    <n v="903"/>
    <x v="1701"/>
    <x v="1205"/>
    <n v="903"/>
  </r>
  <r>
    <s v="Coastal"/>
    <n v="552"/>
    <s v="Philadelphia Regional Port, PA"/>
    <n v="6893"/>
    <x v="113"/>
    <x v="10"/>
    <n v="763"/>
    <x v="1702"/>
    <x v="124"/>
    <n v="763"/>
  </r>
  <r>
    <s v="Coastal"/>
    <n v="552"/>
    <s v="Philadelphia Regional Port, PA"/>
    <n v="6781"/>
    <x v="128"/>
    <x v="10"/>
    <n v="712"/>
    <x v="0"/>
    <x v="1001"/>
    <n v="712"/>
  </r>
  <r>
    <s v="Coastal"/>
    <n v="552"/>
    <s v="Philadelphia Regional Port, PA"/>
    <n v="4310"/>
    <x v="96"/>
    <x v="10"/>
    <n v="646"/>
    <x v="1703"/>
    <x v="0"/>
    <n v="646"/>
  </r>
  <r>
    <s v="Coastal"/>
    <n v="552"/>
    <s v="Philadelphia Regional Port, PA"/>
    <n v="5210"/>
    <x v="130"/>
    <x v="10"/>
    <n v="616"/>
    <x v="1119"/>
    <x v="133"/>
    <n v="616"/>
  </r>
  <r>
    <s v="Coastal"/>
    <n v="552"/>
    <s v="Philadelphia Regional Port, PA"/>
    <n v="6521"/>
    <x v="121"/>
    <x v="10"/>
    <n v="566"/>
    <x v="1704"/>
    <x v="0"/>
    <n v="566"/>
  </r>
  <r>
    <s v="Coastal"/>
    <n v="552"/>
    <s v="Philadelphia Regional Port, PA"/>
    <n v="6894"/>
    <x v="120"/>
    <x v="10"/>
    <n v="556"/>
    <x v="1705"/>
    <x v="276"/>
    <n v="556"/>
  </r>
  <r>
    <s v="Coastal"/>
    <n v="552"/>
    <s v="Philadelphia Regional Port, PA"/>
    <n v="7220"/>
    <x v="103"/>
    <x v="10"/>
    <n v="533"/>
    <x v="1363"/>
    <x v="1000"/>
    <n v="533"/>
  </r>
  <r>
    <s v="Coastal"/>
    <n v="552"/>
    <s v="Philadelphia Regional Port, PA"/>
    <n v="3298"/>
    <x v="123"/>
    <x v="10"/>
    <n v="394"/>
    <x v="385"/>
    <x v="257"/>
    <n v="394"/>
  </r>
  <r>
    <s v="Coastal"/>
    <n v="552"/>
    <s v="Philadelphia Regional Port, PA"/>
    <n v="3293"/>
    <x v="122"/>
    <x v="10"/>
    <n v="382"/>
    <x v="444"/>
    <x v="223"/>
    <n v="382"/>
  </r>
  <r>
    <s v="Coastal"/>
    <n v="552"/>
    <s v="Philadelphia Regional Port, PA"/>
    <n v="6442"/>
    <x v="85"/>
    <x v="10"/>
    <n v="232"/>
    <x v="1087"/>
    <x v="1206"/>
    <n v="232"/>
  </r>
  <r>
    <s v="Coastal"/>
    <n v="552"/>
    <s v="Philadelphia Regional Port, PA"/>
    <n v="4410"/>
    <x v="34"/>
    <x v="10"/>
    <n v="124"/>
    <x v="503"/>
    <x v="276"/>
    <n v="124"/>
  </r>
  <r>
    <s v="Coastal"/>
    <n v="552"/>
    <s v="Philadelphia Regional Port, PA"/>
    <n v="3273"/>
    <x v="46"/>
    <x v="10"/>
    <n v="48"/>
    <x v="0"/>
    <x v="572"/>
    <n v="48"/>
  </r>
  <r>
    <s v="Coastal"/>
    <n v="552"/>
    <s v="Philadelphia Regional Port, PA"/>
    <n v="3272"/>
    <x v="137"/>
    <x v="10"/>
    <n v="38"/>
    <x v="856"/>
    <x v="166"/>
    <n v="38"/>
  </r>
  <r>
    <s v="Coastal"/>
    <n v="552"/>
    <s v="Philadelphia Regional Port, PA"/>
    <n v="4515"/>
    <x v="129"/>
    <x v="10"/>
    <n v="27"/>
    <x v="451"/>
    <x v="0"/>
    <n v="27"/>
  </r>
  <r>
    <s v="Coastal"/>
    <n v="552"/>
    <s v="Philadelphia Regional Port, PA"/>
    <n v="1200"/>
    <x v="43"/>
    <x v="10"/>
    <n v="25"/>
    <x v="0"/>
    <x v="263"/>
    <n v="25"/>
  </r>
  <r>
    <s v="Coastal"/>
    <n v="552"/>
    <s v="Philadelphia Regional Port, PA"/>
    <n v="3212"/>
    <x v="39"/>
    <x v="10"/>
    <n v="24"/>
    <x v="391"/>
    <x v="0"/>
    <n v="24"/>
  </r>
  <r>
    <s v="Coastal"/>
    <n v="552"/>
    <s v="Philadelphia Regional Port, PA"/>
    <n v="6241"/>
    <x v="28"/>
    <x v="10"/>
    <n v="22"/>
    <x v="210"/>
    <x v="0"/>
    <n v="22"/>
  </r>
  <r>
    <s v="Coastal"/>
    <n v="552"/>
    <s v="Philadelphia Regional Port, PA"/>
    <n v="4322"/>
    <x v="33"/>
    <x v="10"/>
    <n v="1"/>
    <x v="19"/>
    <x v="0"/>
    <n v="1"/>
  </r>
  <r>
    <s v="Internal"/>
    <n v="6103"/>
    <s v="Pine Bluff-Jefferson County, AR"/>
    <n v="6522"/>
    <x v="26"/>
    <x v="2190"/>
    <n v="0"/>
    <x v="0"/>
    <x v="0"/>
    <n v="116429"/>
  </r>
  <r>
    <s v="Internal"/>
    <n v="6103"/>
    <s v="Pine Bluff-Jefferson County, AR"/>
    <n v="4335"/>
    <x v="5"/>
    <x v="2191"/>
    <n v="0"/>
    <x v="0"/>
    <x v="0"/>
    <n v="86876"/>
  </r>
  <r>
    <s v="Internal"/>
    <n v="6103"/>
    <s v="Pine Bluff-Jefferson County, AR"/>
    <n v="6442"/>
    <x v="85"/>
    <x v="2192"/>
    <n v="0"/>
    <x v="0"/>
    <x v="0"/>
    <n v="52730"/>
  </r>
  <r>
    <s v="Internal"/>
    <n v="6103"/>
    <s v="Pine Bluff-Jefferson County, AR"/>
    <n v="3110"/>
    <x v="36"/>
    <x v="2193"/>
    <n v="0"/>
    <x v="0"/>
    <x v="0"/>
    <n v="49033"/>
  </r>
  <r>
    <s v="Internal"/>
    <n v="6103"/>
    <s v="Pine Bluff-Jefferson County, AR"/>
    <n v="3190"/>
    <x v="38"/>
    <x v="2194"/>
    <n v="0"/>
    <x v="0"/>
    <x v="0"/>
    <n v="40887"/>
  </r>
  <r>
    <s v="Internal"/>
    <n v="6103"/>
    <s v="Pine Bluff-Jefferson County, AR"/>
    <n v="2330"/>
    <x v="1"/>
    <x v="2195"/>
    <n v="0"/>
    <x v="0"/>
    <x v="0"/>
    <n v="26588"/>
  </r>
  <r>
    <s v="Internal"/>
    <n v="6103"/>
    <s v="Pine Bluff-Jefferson County, AR"/>
    <n v="3130"/>
    <x v="37"/>
    <x v="2196"/>
    <n v="0"/>
    <x v="0"/>
    <x v="0"/>
    <n v="24255"/>
  </r>
  <r>
    <s v="Internal"/>
    <n v="6103"/>
    <s v="Pine Bluff-Jefferson County, AR"/>
    <n v="4310"/>
    <x v="96"/>
    <x v="2197"/>
    <n v="0"/>
    <x v="0"/>
    <x v="0"/>
    <n v="24013"/>
  </r>
  <r>
    <s v="Internal"/>
    <n v="6103"/>
    <s v="Pine Bluff-Jefferson County, AR"/>
    <n v="3120"/>
    <x v="41"/>
    <x v="2198"/>
    <n v="0"/>
    <x v="0"/>
    <x v="0"/>
    <n v="18698"/>
  </r>
  <r>
    <s v="Internal"/>
    <n v="6103"/>
    <s v="Pine Bluff-Jefferson County, AR"/>
    <n v="6241"/>
    <x v="28"/>
    <x v="2199"/>
    <n v="0"/>
    <x v="0"/>
    <x v="0"/>
    <n v="16457"/>
  </r>
  <r>
    <s v="Internal"/>
    <n v="6103"/>
    <s v="Pine Bluff-Jefferson County, AR"/>
    <n v="5390"/>
    <x v="44"/>
    <x v="2200"/>
    <n v="0"/>
    <x v="0"/>
    <x v="0"/>
    <n v="15635"/>
  </r>
  <r>
    <s v="Internal"/>
    <n v="6103"/>
    <s v="Pine Bluff-Jefferson County, AR"/>
    <n v="4900"/>
    <x v="14"/>
    <x v="2201"/>
    <n v="0"/>
    <x v="0"/>
    <x v="0"/>
    <n v="8319"/>
  </r>
  <r>
    <s v="Internal"/>
    <n v="6103"/>
    <s v="Pine Bluff-Jefferson County, AR"/>
    <n v="6344"/>
    <x v="25"/>
    <x v="2202"/>
    <n v="0"/>
    <x v="0"/>
    <x v="0"/>
    <n v="8111"/>
  </r>
  <r>
    <s v="Internal"/>
    <n v="6103"/>
    <s v="Pine Bluff-Jefferson County, AR"/>
    <n v="5422"/>
    <x v="66"/>
    <x v="2203"/>
    <n v="0"/>
    <x v="0"/>
    <x v="0"/>
    <n v="4612"/>
  </r>
  <r>
    <s v="Internal"/>
    <n v="6103"/>
    <s v="Pine Bluff-Jefferson County, AR"/>
    <n v="5330"/>
    <x v="16"/>
    <x v="2204"/>
    <n v="0"/>
    <x v="0"/>
    <x v="0"/>
    <n v="3224"/>
  </r>
  <r>
    <s v="Internal"/>
    <n v="2358"/>
    <s v="Pittsburgh, PA Port of"/>
    <n v="1100"/>
    <x v="32"/>
    <x v="2205"/>
    <n v="0"/>
    <x v="0"/>
    <x v="0"/>
    <n v="9541880"/>
  </r>
  <r>
    <s v="Internal"/>
    <n v="2358"/>
    <s v="Pittsburgh, PA Port of"/>
    <n v="4322"/>
    <x v="33"/>
    <x v="2206"/>
    <n v="0"/>
    <x v="0"/>
    <x v="0"/>
    <n v="1556387"/>
  </r>
  <r>
    <s v="Internal"/>
    <n v="2358"/>
    <s v="Pittsburgh, PA Port of"/>
    <n v="4331"/>
    <x v="29"/>
    <x v="2207"/>
    <n v="0"/>
    <x v="0"/>
    <x v="0"/>
    <n v="986284"/>
  </r>
  <r>
    <s v="Internal"/>
    <n v="2358"/>
    <s v="Pittsburgh, PA Port of"/>
    <n v="4323"/>
    <x v="6"/>
    <x v="2208"/>
    <n v="0"/>
    <x v="0"/>
    <x v="0"/>
    <n v="889631"/>
  </r>
  <r>
    <s v="Internal"/>
    <n v="2358"/>
    <s v="Pittsburgh, PA Port of"/>
    <n v="1200"/>
    <x v="43"/>
    <x v="2209"/>
    <n v="0"/>
    <x v="0"/>
    <x v="0"/>
    <n v="620994"/>
  </r>
  <r>
    <s v="Internal"/>
    <n v="2358"/>
    <s v="Pittsburgh, PA Port of"/>
    <n v="2330"/>
    <x v="1"/>
    <x v="2210"/>
    <n v="0"/>
    <x v="0"/>
    <x v="0"/>
    <n v="418363"/>
  </r>
  <r>
    <s v="Internal"/>
    <n v="2358"/>
    <s v="Pittsburgh, PA Port of"/>
    <n v="4420"/>
    <x v="8"/>
    <x v="2211"/>
    <n v="0"/>
    <x v="0"/>
    <x v="0"/>
    <n v="340665"/>
  </r>
  <r>
    <s v="Internal"/>
    <n v="2358"/>
    <s v="Pittsburgh, PA Port of"/>
    <n v="2350"/>
    <x v="40"/>
    <x v="2212"/>
    <n v="0"/>
    <x v="0"/>
    <x v="0"/>
    <n v="222402"/>
  </r>
  <r>
    <s v="Internal"/>
    <n v="2358"/>
    <s v="Pittsburgh, PA Port of"/>
    <n v="5315"/>
    <x v="48"/>
    <x v="2213"/>
    <n v="0"/>
    <x v="0"/>
    <x v="0"/>
    <n v="206101"/>
  </r>
  <r>
    <s v="Internal"/>
    <n v="2358"/>
    <s v="Pittsburgh, PA Port of"/>
    <n v="4783"/>
    <x v="7"/>
    <x v="2214"/>
    <n v="0"/>
    <x v="0"/>
    <x v="0"/>
    <n v="186657"/>
  </r>
  <r>
    <s v="Internal"/>
    <n v="2358"/>
    <s v="Pittsburgh, PA Port of"/>
    <n v="5330"/>
    <x v="16"/>
    <x v="2215"/>
    <n v="0"/>
    <x v="0"/>
    <x v="0"/>
    <n v="173736"/>
  </r>
  <r>
    <s v="Internal"/>
    <n v="2358"/>
    <s v="Pittsburgh, PA Port of"/>
    <n v="2211"/>
    <x v="0"/>
    <x v="2216"/>
    <n v="0"/>
    <x v="0"/>
    <x v="0"/>
    <n v="158852"/>
  </r>
  <r>
    <s v="Internal"/>
    <n v="2358"/>
    <s v="Pittsburgh, PA Port of"/>
    <n v="5360"/>
    <x v="94"/>
    <x v="2217"/>
    <n v="0"/>
    <x v="0"/>
    <x v="0"/>
    <n v="114436"/>
  </r>
  <r>
    <s v="Internal"/>
    <n v="2358"/>
    <s v="Pittsburgh, PA Port of"/>
    <n v="2430"/>
    <x v="11"/>
    <x v="2218"/>
    <n v="0"/>
    <x v="0"/>
    <x v="0"/>
    <n v="110735"/>
  </r>
  <r>
    <s v="Internal"/>
    <n v="2358"/>
    <s v="Pittsburgh, PA Port of"/>
    <n v="3219"/>
    <x v="19"/>
    <x v="2219"/>
    <n v="0"/>
    <x v="0"/>
    <x v="0"/>
    <n v="71250"/>
  </r>
  <r>
    <s v="Internal"/>
    <n v="2358"/>
    <s v="Pittsburgh, PA Port of"/>
    <n v="3274"/>
    <x v="86"/>
    <x v="2220"/>
    <n v="0"/>
    <x v="0"/>
    <x v="0"/>
    <n v="70361"/>
  </r>
  <r>
    <s v="Internal"/>
    <n v="2358"/>
    <s v="Pittsburgh, PA Port of"/>
    <n v="3260"/>
    <x v="107"/>
    <x v="2221"/>
    <n v="0"/>
    <x v="0"/>
    <x v="0"/>
    <n v="66312"/>
  </r>
  <r>
    <s v="Internal"/>
    <n v="2358"/>
    <s v="Pittsburgh, PA Port of"/>
    <n v="5220"/>
    <x v="30"/>
    <x v="2222"/>
    <n v="0"/>
    <x v="0"/>
    <x v="0"/>
    <n v="63968"/>
  </r>
  <r>
    <s v="Internal"/>
    <n v="2358"/>
    <s v="Pittsburgh, PA Port of"/>
    <n v="5370"/>
    <x v="81"/>
    <x v="2223"/>
    <n v="0"/>
    <x v="0"/>
    <x v="0"/>
    <n v="59297"/>
  </r>
  <r>
    <s v="Internal"/>
    <n v="2358"/>
    <s v="Pittsburgh, PA Port of"/>
    <n v="4860"/>
    <x v="31"/>
    <x v="2224"/>
    <n v="0"/>
    <x v="0"/>
    <x v="0"/>
    <n v="54106"/>
  </r>
  <r>
    <s v="Internal"/>
    <n v="2358"/>
    <s v="Pittsburgh, PA Port of"/>
    <n v="2340"/>
    <x v="3"/>
    <x v="2225"/>
    <n v="0"/>
    <x v="0"/>
    <x v="0"/>
    <n v="52676"/>
  </r>
  <r>
    <s v="Internal"/>
    <n v="2358"/>
    <s v="Pittsburgh, PA Port of"/>
    <n v="3220"/>
    <x v="2"/>
    <x v="2226"/>
    <n v="0"/>
    <x v="0"/>
    <x v="0"/>
    <n v="46025"/>
  </r>
  <r>
    <s v="Internal"/>
    <n v="2358"/>
    <s v="Pittsburgh, PA Port of"/>
    <n v="2540"/>
    <x v="15"/>
    <x v="2227"/>
    <n v="0"/>
    <x v="0"/>
    <x v="0"/>
    <n v="42647"/>
  </r>
  <r>
    <s v="Internal"/>
    <n v="2358"/>
    <s v="Pittsburgh, PA Port of"/>
    <n v="4782"/>
    <x v="45"/>
    <x v="2228"/>
    <n v="0"/>
    <x v="0"/>
    <x v="0"/>
    <n v="40227"/>
  </r>
  <r>
    <s v="Internal"/>
    <n v="2358"/>
    <s v="Pittsburgh, PA Port of"/>
    <n v="4650"/>
    <x v="67"/>
    <x v="2229"/>
    <n v="0"/>
    <x v="0"/>
    <x v="0"/>
    <n v="37131"/>
  </r>
  <r>
    <s v="Internal"/>
    <n v="2358"/>
    <s v="Pittsburgh, PA Port of"/>
    <n v="3276"/>
    <x v="12"/>
    <x v="2230"/>
    <n v="0"/>
    <x v="0"/>
    <x v="0"/>
    <n v="34176"/>
  </r>
  <r>
    <s v="Internal"/>
    <n v="2358"/>
    <s v="Pittsburgh, PA Port of"/>
    <n v="3110"/>
    <x v="36"/>
    <x v="2231"/>
    <n v="0"/>
    <x v="0"/>
    <x v="0"/>
    <n v="32712"/>
  </r>
  <r>
    <s v="Internal"/>
    <n v="2358"/>
    <s v="Pittsburgh, PA Port of"/>
    <n v="4161"/>
    <x v="54"/>
    <x v="2232"/>
    <n v="0"/>
    <x v="0"/>
    <x v="0"/>
    <n v="25192"/>
  </r>
  <r>
    <s v="Internal"/>
    <n v="2358"/>
    <s v="Pittsburgh, PA Port of"/>
    <n v="4900"/>
    <x v="14"/>
    <x v="2233"/>
    <n v="0"/>
    <x v="0"/>
    <x v="0"/>
    <n v="22659"/>
  </r>
  <r>
    <s v="Internal"/>
    <n v="2358"/>
    <s v="Pittsburgh, PA Port of"/>
    <n v="2221"/>
    <x v="9"/>
    <x v="2234"/>
    <n v="0"/>
    <x v="0"/>
    <x v="0"/>
    <n v="21861"/>
  </r>
  <r>
    <s v="Internal"/>
    <n v="2358"/>
    <s v="Pittsburgh, PA Port of"/>
    <n v="4670"/>
    <x v="90"/>
    <x v="2235"/>
    <n v="0"/>
    <x v="0"/>
    <x v="0"/>
    <n v="19569"/>
  </r>
  <r>
    <s v="Internal"/>
    <n v="2358"/>
    <s v="Pittsburgh, PA Port of"/>
    <n v="4410"/>
    <x v="34"/>
    <x v="2236"/>
    <n v="0"/>
    <x v="0"/>
    <x v="0"/>
    <n v="18091"/>
  </r>
  <r>
    <s v="Internal"/>
    <n v="2358"/>
    <s v="Pittsburgh, PA Port of"/>
    <n v="3130"/>
    <x v="37"/>
    <x v="2237"/>
    <n v="0"/>
    <x v="0"/>
    <x v="0"/>
    <n v="17067"/>
  </r>
  <r>
    <s v="Internal"/>
    <n v="2358"/>
    <s v="Pittsburgh, PA Port of"/>
    <n v="3212"/>
    <x v="39"/>
    <x v="2238"/>
    <n v="0"/>
    <x v="0"/>
    <x v="0"/>
    <n v="15707"/>
  </r>
  <r>
    <s v="Internal"/>
    <n v="2358"/>
    <s v="Pittsburgh, PA Port of"/>
    <n v="5390"/>
    <x v="44"/>
    <x v="2239"/>
    <n v="0"/>
    <x v="0"/>
    <x v="0"/>
    <n v="11721"/>
  </r>
  <r>
    <s v="Internal"/>
    <n v="2358"/>
    <s v="Pittsburgh, PA Port of"/>
    <n v="4690"/>
    <x v="62"/>
    <x v="2240"/>
    <n v="0"/>
    <x v="0"/>
    <x v="0"/>
    <n v="11494"/>
  </r>
  <r>
    <s v="Internal"/>
    <n v="2358"/>
    <s v="Pittsburgh, PA Port of"/>
    <n v="5290"/>
    <x v="49"/>
    <x v="2241"/>
    <n v="0"/>
    <x v="0"/>
    <x v="0"/>
    <n v="11301"/>
  </r>
  <r>
    <s v="Internal"/>
    <n v="2358"/>
    <s v="Pittsburgh, PA Port of"/>
    <n v="3275"/>
    <x v="47"/>
    <x v="2242"/>
    <n v="0"/>
    <x v="0"/>
    <x v="0"/>
    <n v="9457"/>
  </r>
  <r>
    <s v="Internal"/>
    <n v="2358"/>
    <s v="Pittsburgh, PA Port of"/>
    <n v="5480"/>
    <x v="20"/>
    <x v="2243"/>
    <n v="0"/>
    <x v="0"/>
    <x v="0"/>
    <n v="9343"/>
  </r>
  <r>
    <s v="Internal"/>
    <n v="2358"/>
    <s v="Pittsburgh, PA Port of"/>
    <n v="3230"/>
    <x v="80"/>
    <x v="2244"/>
    <n v="0"/>
    <x v="0"/>
    <x v="0"/>
    <n v="8260"/>
  </r>
  <r>
    <s v="Internal"/>
    <n v="2358"/>
    <s v="Pittsburgh, PA Port of"/>
    <n v="2410"/>
    <x v="98"/>
    <x v="2245"/>
    <n v="0"/>
    <x v="0"/>
    <x v="0"/>
    <n v="6637"/>
  </r>
  <r>
    <s v="Internal"/>
    <n v="2358"/>
    <s v="Pittsburgh, PA Port of"/>
    <n v="3190"/>
    <x v="38"/>
    <x v="2246"/>
    <n v="0"/>
    <x v="0"/>
    <x v="0"/>
    <n v="5952"/>
  </r>
  <r>
    <s v="Internal"/>
    <n v="2358"/>
    <s v="Pittsburgh, PA Port of"/>
    <n v="2429"/>
    <x v="17"/>
    <x v="2247"/>
    <n v="0"/>
    <x v="0"/>
    <x v="0"/>
    <n v="4692"/>
  </r>
  <r>
    <s v="Internal"/>
    <n v="2358"/>
    <s v="Pittsburgh, PA Port of"/>
    <n v="3120"/>
    <x v="41"/>
    <x v="2248"/>
    <n v="0"/>
    <x v="0"/>
    <x v="0"/>
    <n v="4466"/>
  </r>
  <r>
    <s v="Internal"/>
    <n v="2358"/>
    <s v="Pittsburgh, PA Port of"/>
    <n v="5312"/>
    <x v="52"/>
    <x v="2249"/>
    <n v="0"/>
    <x v="0"/>
    <x v="0"/>
    <n v="3226"/>
  </r>
  <r>
    <s v="Internal"/>
    <n v="2358"/>
    <s v="Pittsburgh, PA Port of"/>
    <n v="7120"/>
    <x v="71"/>
    <x v="2250"/>
    <n v="0"/>
    <x v="0"/>
    <x v="0"/>
    <n v="3033"/>
  </r>
  <r>
    <s v="Internal"/>
    <n v="2358"/>
    <s v="Pittsburgh, PA Port of"/>
    <n v="6522"/>
    <x v="26"/>
    <x v="2251"/>
    <n v="0"/>
    <x v="0"/>
    <x v="0"/>
    <n v="1710"/>
  </r>
  <r>
    <s v="Internal"/>
    <n v="2358"/>
    <s v="Pittsburgh, PA Port of"/>
    <n v="3299"/>
    <x v="79"/>
    <x v="723"/>
    <n v="0"/>
    <x v="0"/>
    <x v="0"/>
    <n v="1658"/>
  </r>
  <r>
    <s v="Internal"/>
    <n v="2358"/>
    <s v="Pittsburgh, PA Port of"/>
    <n v="5240"/>
    <x v="89"/>
    <x v="510"/>
    <n v="0"/>
    <x v="0"/>
    <x v="0"/>
    <n v="80"/>
  </r>
  <r>
    <s v="Coastal"/>
    <n v="2255"/>
    <s v="Plaquemines Port District, LA"/>
    <n v="2540"/>
    <x v="15"/>
    <x v="2252"/>
    <n v="6171543"/>
    <x v="1706"/>
    <x v="1207"/>
    <n v="9516682"/>
  </r>
  <r>
    <s v="Coastal"/>
    <n v="2255"/>
    <s v="Plaquemines Port District, LA"/>
    <n v="1100"/>
    <x v="32"/>
    <x v="2253"/>
    <n v="2314835"/>
    <x v="1707"/>
    <x v="1208"/>
    <n v="7674956"/>
  </r>
  <r>
    <s v="Coastal"/>
    <n v="2255"/>
    <s v="Plaquemines Port District, LA"/>
    <n v="6344"/>
    <x v="25"/>
    <x v="2254"/>
    <n v="3794413"/>
    <x v="0"/>
    <x v="1209"/>
    <n v="7600890"/>
  </r>
  <r>
    <s v="Coastal"/>
    <n v="2255"/>
    <s v="Plaquemines Port District, LA"/>
    <n v="5312"/>
    <x v="52"/>
    <x v="2255"/>
    <n v="1698036"/>
    <x v="1708"/>
    <x v="0"/>
    <n v="3690556"/>
  </r>
  <r>
    <s v="Coastal"/>
    <n v="2255"/>
    <s v="Plaquemines Port District, LA"/>
    <n v="2330"/>
    <x v="1"/>
    <x v="2256"/>
    <n v="1537342"/>
    <x v="1709"/>
    <x v="1210"/>
    <n v="3467667"/>
  </r>
  <r>
    <s v="Coastal"/>
    <n v="2255"/>
    <s v="Plaquemines Port District, LA"/>
    <n v="1200"/>
    <x v="43"/>
    <x v="2257"/>
    <n v="134083"/>
    <x v="0"/>
    <x v="1211"/>
    <n v="3046138"/>
  </r>
  <r>
    <s v="Coastal"/>
    <n v="2255"/>
    <s v="Plaquemines Port District, LA"/>
    <n v="6522"/>
    <x v="26"/>
    <x v="2258"/>
    <n v="1374155"/>
    <x v="1710"/>
    <x v="1212"/>
    <n v="2907458"/>
  </r>
  <r>
    <s v="Coastal"/>
    <n v="2255"/>
    <s v="Plaquemines Port District, LA"/>
    <n v="6782"/>
    <x v="27"/>
    <x v="2259"/>
    <n v="1588108"/>
    <x v="1711"/>
    <x v="1213"/>
    <n v="2239472"/>
  </r>
  <r>
    <s v="Coastal"/>
    <n v="2255"/>
    <s v="Plaquemines Port District, LA"/>
    <n v="6241"/>
    <x v="28"/>
    <x v="2260"/>
    <n v="969186"/>
    <x v="0"/>
    <x v="1214"/>
    <n v="2088698"/>
  </r>
  <r>
    <s v="Coastal"/>
    <n v="2255"/>
    <s v="Plaquemines Port District, LA"/>
    <n v="2100"/>
    <x v="35"/>
    <x v="2261"/>
    <n v="441220"/>
    <x v="0"/>
    <x v="1215"/>
    <n v="1769105"/>
  </r>
  <r>
    <s v="Coastal"/>
    <n v="2255"/>
    <s v="Plaquemines Port District, LA"/>
    <n v="6442"/>
    <x v="85"/>
    <x v="2262"/>
    <n v="557506"/>
    <x v="0"/>
    <x v="1216"/>
    <n v="1237390"/>
  </r>
  <r>
    <s v="Coastal"/>
    <n v="2255"/>
    <s v="Plaquemines Port District, LA"/>
    <n v="2211"/>
    <x v="0"/>
    <x v="2263"/>
    <n v="477593"/>
    <x v="0"/>
    <x v="1217"/>
    <n v="717743"/>
  </r>
  <r>
    <s v="Coastal"/>
    <n v="2255"/>
    <s v="Plaquemines Port District, LA"/>
    <n v="2340"/>
    <x v="3"/>
    <x v="2264"/>
    <n v="103614"/>
    <x v="1712"/>
    <x v="0"/>
    <n v="581247"/>
  </r>
  <r>
    <s v="Coastal"/>
    <n v="2255"/>
    <s v="Plaquemines Port District, LA"/>
    <n v="3130"/>
    <x v="37"/>
    <x v="2265"/>
    <n v="338562"/>
    <x v="1713"/>
    <x v="0"/>
    <n v="578697"/>
  </r>
  <r>
    <s v="Coastal"/>
    <n v="2255"/>
    <s v="Plaquemines Port District, LA"/>
    <n v="2350"/>
    <x v="40"/>
    <x v="2266"/>
    <n v="303513"/>
    <x v="1714"/>
    <x v="1218"/>
    <n v="526082"/>
  </r>
  <r>
    <s v="Coastal"/>
    <n v="2255"/>
    <s v="Plaquemines Port District, LA"/>
    <n v="3219"/>
    <x v="19"/>
    <x v="2267"/>
    <n v="81947"/>
    <x v="1715"/>
    <x v="1219"/>
    <n v="413158"/>
  </r>
  <r>
    <s v="Coastal"/>
    <n v="2255"/>
    <s v="Plaquemines Port District, LA"/>
    <n v="5315"/>
    <x v="48"/>
    <x v="2268"/>
    <n v="242377"/>
    <x v="1716"/>
    <x v="0"/>
    <n v="411967"/>
  </r>
  <r>
    <s v="Coastal"/>
    <n v="2255"/>
    <s v="Plaquemines Port District, LA"/>
    <n v="4900"/>
    <x v="14"/>
    <x v="10"/>
    <n v="352461"/>
    <x v="1717"/>
    <x v="0"/>
    <n v="352461"/>
  </r>
  <r>
    <s v="Coastal"/>
    <n v="2255"/>
    <s v="Plaquemines Port District, LA"/>
    <n v="3110"/>
    <x v="36"/>
    <x v="2269"/>
    <n v="243820"/>
    <x v="1718"/>
    <x v="0"/>
    <n v="316342"/>
  </r>
  <r>
    <s v="Coastal"/>
    <n v="2255"/>
    <s v="Plaquemines Port District, LA"/>
    <n v="6590"/>
    <x v="23"/>
    <x v="2270"/>
    <n v="17489"/>
    <x v="0"/>
    <x v="1220"/>
    <n v="241516"/>
  </r>
  <r>
    <s v="Coastal"/>
    <n v="2255"/>
    <s v="Plaquemines Port District, LA"/>
    <n v="4331"/>
    <x v="29"/>
    <x v="2271"/>
    <n v="121"/>
    <x v="1248"/>
    <x v="0"/>
    <n v="222910"/>
  </r>
  <r>
    <s v="Coastal"/>
    <n v="2255"/>
    <s v="Plaquemines Port District, LA"/>
    <n v="4322"/>
    <x v="33"/>
    <x v="2272"/>
    <n v="36456"/>
    <x v="1719"/>
    <x v="0"/>
    <n v="206238"/>
  </r>
  <r>
    <s v="Coastal"/>
    <n v="2255"/>
    <s v="Plaquemines Port District, LA"/>
    <n v="3212"/>
    <x v="39"/>
    <x v="2273"/>
    <n v="22241"/>
    <x v="1720"/>
    <x v="0"/>
    <n v="201566"/>
  </r>
  <r>
    <s v="Coastal"/>
    <n v="2255"/>
    <s v="Plaquemines Port District, LA"/>
    <n v="2429"/>
    <x v="17"/>
    <x v="2274"/>
    <n v="37556"/>
    <x v="0"/>
    <x v="1221"/>
    <n v="188486"/>
  </r>
  <r>
    <s v="Coastal"/>
    <n v="2255"/>
    <s v="Plaquemines Port District, LA"/>
    <n v="4335"/>
    <x v="5"/>
    <x v="2275"/>
    <n v="0"/>
    <x v="0"/>
    <x v="0"/>
    <n v="182753"/>
  </r>
  <r>
    <s v="Coastal"/>
    <n v="2255"/>
    <s v="Plaquemines Port District, LA"/>
    <n v="3190"/>
    <x v="38"/>
    <x v="2276"/>
    <n v="117584"/>
    <x v="1721"/>
    <x v="0"/>
    <n v="163489"/>
  </r>
  <r>
    <s v="Coastal"/>
    <n v="2255"/>
    <s v="Plaquemines Port District, LA"/>
    <n v="3220"/>
    <x v="2"/>
    <x v="2277"/>
    <n v="113657"/>
    <x v="1722"/>
    <x v="1222"/>
    <n v="161438"/>
  </r>
  <r>
    <s v="Coastal"/>
    <n v="2255"/>
    <s v="Plaquemines Port District, LA"/>
    <n v="4420"/>
    <x v="8"/>
    <x v="2278"/>
    <n v="63203"/>
    <x v="1723"/>
    <x v="0"/>
    <n v="145261"/>
  </r>
  <r>
    <s v="Coastal"/>
    <n v="2255"/>
    <s v="Plaquemines Port District, LA"/>
    <n v="4410"/>
    <x v="34"/>
    <x v="2279"/>
    <n v="89911"/>
    <x v="1724"/>
    <x v="1223"/>
    <n v="129167"/>
  </r>
  <r>
    <s v="Coastal"/>
    <n v="2255"/>
    <s v="Plaquemines Port District, LA"/>
    <n v="3211"/>
    <x v="124"/>
    <x v="2280"/>
    <n v="51249"/>
    <x v="1725"/>
    <x v="1224"/>
    <n v="128089"/>
  </r>
  <r>
    <s v="Coastal"/>
    <n v="2255"/>
    <s v="Plaquemines Port District, LA"/>
    <n v="7110"/>
    <x v="4"/>
    <x v="2281"/>
    <n v="34886"/>
    <x v="1726"/>
    <x v="1225"/>
    <n v="121577"/>
  </r>
  <r>
    <s v="Coastal"/>
    <n v="2255"/>
    <s v="Plaquemines Port District, LA"/>
    <n v="3276"/>
    <x v="12"/>
    <x v="2282"/>
    <n v="119776"/>
    <x v="1727"/>
    <x v="1226"/>
    <n v="120525"/>
  </r>
  <r>
    <s v="Coastal"/>
    <n v="2255"/>
    <s v="Plaquemines Port District, LA"/>
    <n v="4650"/>
    <x v="67"/>
    <x v="2283"/>
    <n v="75158"/>
    <x v="1728"/>
    <x v="0"/>
    <n v="116588"/>
  </r>
  <r>
    <s v="Coastal"/>
    <n v="2255"/>
    <s v="Plaquemines Port District, LA"/>
    <n v="3286"/>
    <x v="57"/>
    <x v="2284"/>
    <n v="43290"/>
    <x v="1729"/>
    <x v="1227"/>
    <n v="112705"/>
  </r>
  <r>
    <s v="Coastal"/>
    <n v="2255"/>
    <s v="Plaquemines Port District, LA"/>
    <n v="5220"/>
    <x v="30"/>
    <x v="2285"/>
    <n v="0"/>
    <x v="0"/>
    <x v="0"/>
    <n v="105177"/>
  </r>
  <r>
    <s v="Coastal"/>
    <n v="2255"/>
    <s v="Plaquemines Port District, LA"/>
    <n v="6747"/>
    <x v="78"/>
    <x v="2286"/>
    <n v="0"/>
    <x v="0"/>
    <x v="0"/>
    <n v="98490"/>
  </r>
  <r>
    <s v="Coastal"/>
    <n v="2255"/>
    <s v="Plaquemines Port District, LA"/>
    <n v="4783"/>
    <x v="7"/>
    <x v="2287"/>
    <n v="75178"/>
    <x v="1730"/>
    <x v="0"/>
    <n v="95848"/>
  </r>
  <r>
    <s v="Coastal"/>
    <n v="2255"/>
    <s v="Plaquemines Port District, LA"/>
    <n v="4670"/>
    <x v="90"/>
    <x v="2288"/>
    <n v="73968"/>
    <x v="1731"/>
    <x v="0"/>
    <n v="79369"/>
  </r>
  <r>
    <s v="Coastal"/>
    <n v="2255"/>
    <s v="Plaquemines Port District, LA"/>
    <n v="6861"/>
    <x v="69"/>
    <x v="2289"/>
    <n v="0"/>
    <x v="0"/>
    <x v="0"/>
    <n v="72831"/>
  </r>
  <r>
    <s v="Coastal"/>
    <n v="2255"/>
    <s v="Plaquemines Port District, LA"/>
    <n v="3120"/>
    <x v="41"/>
    <x v="2290"/>
    <n v="0"/>
    <x v="0"/>
    <x v="0"/>
    <n v="70801"/>
  </r>
  <r>
    <s v="Coastal"/>
    <n v="2255"/>
    <s v="Plaquemines Port District, LA"/>
    <n v="3240"/>
    <x v="53"/>
    <x v="10"/>
    <n v="64837"/>
    <x v="1732"/>
    <x v="1228"/>
    <n v="64837"/>
  </r>
  <r>
    <s v="Coastal"/>
    <n v="2255"/>
    <s v="Plaquemines Port District, LA"/>
    <n v="2221"/>
    <x v="9"/>
    <x v="2291"/>
    <n v="41971"/>
    <x v="0"/>
    <x v="1229"/>
    <n v="62265"/>
  </r>
  <r>
    <s v="Coastal"/>
    <n v="2255"/>
    <s v="Plaquemines Port District, LA"/>
    <n v="2430"/>
    <x v="11"/>
    <x v="2292"/>
    <n v="45632"/>
    <x v="1733"/>
    <x v="1230"/>
    <n v="53320"/>
  </r>
  <r>
    <s v="Coastal"/>
    <n v="2255"/>
    <s v="Plaquemines Port District, LA"/>
    <n v="6653"/>
    <x v="24"/>
    <x v="10"/>
    <n v="52151"/>
    <x v="1734"/>
    <x v="1231"/>
    <n v="52151"/>
  </r>
  <r>
    <s v="Coastal"/>
    <n v="2255"/>
    <s v="Plaquemines Port District, LA"/>
    <n v="3230"/>
    <x v="80"/>
    <x v="2293"/>
    <n v="36039"/>
    <x v="1735"/>
    <x v="1232"/>
    <n v="48417"/>
  </r>
  <r>
    <s v="Coastal"/>
    <n v="2255"/>
    <s v="Plaquemines Port District, LA"/>
    <n v="3275"/>
    <x v="47"/>
    <x v="2294"/>
    <n v="42429"/>
    <x v="1736"/>
    <x v="1233"/>
    <n v="48135"/>
  </r>
  <r>
    <s v="Coastal"/>
    <n v="2255"/>
    <s v="Plaquemines Port District, LA"/>
    <n v="7900"/>
    <x v="21"/>
    <x v="2295"/>
    <n v="18849"/>
    <x v="1737"/>
    <x v="1234"/>
    <n v="30501"/>
  </r>
  <r>
    <s v="Coastal"/>
    <n v="2255"/>
    <s v="Plaquemines Port District, LA"/>
    <n v="2640"/>
    <x v="110"/>
    <x v="2296"/>
    <n v="0"/>
    <x v="0"/>
    <x v="0"/>
    <n v="25752"/>
  </r>
  <r>
    <s v="Coastal"/>
    <n v="2255"/>
    <s v="Plaquemines Port District, LA"/>
    <n v="3298"/>
    <x v="123"/>
    <x v="10"/>
    <n v="25074"/>
    <x v="0"/>
    <x v="1235"/>
    <n v="25074"/>
  </r>
  <r>
    <s v="Coastal"/>
    <n v="2255"/>
    <s v="Plaquemines Port District, LA"/>
    <n v="4782"/>
    <x v="45"/>
    <x v="2297"/>
    <n v="1101"/>
    <x v="1738"/>
    <x v="0"/>
    <n v="24545"/>
  </r>
  <r>
    <s v="Coastal"/>
    <n v="2255"/>
    <s v="Plaquemines Port District, LA"/>
    <n v="2410"/>
    <x v="98"/>
    <x v="2298"/>
    <n v="9222"/>
    <x v="1739"/>
    <x v="0"/>
    <n v="20905"/>
  </r>
  <r>
    <s v="Coastal"/>
    <n v="2255"/>
    <s v="Plaquemines Port District, LA"/>
    <n v="4690"/>
    <x v="62"/>
    <x v="2299"/>
    <n v="13241"/>
    <x v="1740"/>
    <x v="0"/>
    <n v="20377"/>
  </r>
  <r>
    <s v="Coastal"/>
    <n v="2255"/>
    <s v="Plaquemines Port District, LA"/>
    <n v="6889"/>
    <x v="42"/>
    <x v="10"/>
    <n v="17155"/>
    <x v="1741"/>
    <x v="0"/>
    <n v="17155"/>
  </r>
  <r>
    <s v="Coastal"/>
    <n v="2255"/>
    <s v="Plaquemines Port District, LA"/>
    <n v="6654"/>
    <x v="50"/>
    <x v="870"/>
    <n v="6462"/>
    <x v="0"/>
    <x v="1236"/>
    <n v="16917"/>
  </r>
  <r>
    <s v="Coastal"/>
    <n v="2255"/>
    <s v="Plaquemines Port District, LA"/>
    <n v="5290"/>
    <x v="49"/>
    <x v="10"/>
    <n v="11766"/>
    <x v="1742"/>
    <x v="0"/>
    <n v="11766"/>
  </r>
  <r>
    <s v="Coastal"/>
    <n v="2255"/>
    <s v="Plaquemines Port District, LA"/>
    <n v="7500"/>
    <x v="60"/>
    <x v="10"/>
    <n v="11355"/>
    <x v="1743"/>
    <x v="0"/>
    <n v="11355"/>
  </r>
  <r>
    <s v="Coastal"/>
    <n v="2255"/>
    <s v="Plaquemines Port District, LA"/>
    <n v="6838"/>
    <x v="131"/>
    <x v="10"/>
    <n v="11044"/>
    <x v="1744"/>
    <x v="0"/>
    <n v="11044"/>
  </r>
  <r>
    <s v="Coastal"/>
    <n v="2255"/>
    <s v="Plaquemines Port District, LA"/>
    <n v="7600"/>
    <x v="68"/>
    <x v="10"/>
    <n v="7358"/>
    <x v="0"/>
    <x v="1237"/>
    <n v="7358"/>
  </r>
  <r>
    <s v="Coastal"/>
    <n v="2255"/>
    <s v="Plaquemines Port District, LA"/>
    <n v="3297"/>
    <x v="116"/>
    <x v="10"/>
    <n v="7326"/>
    <x v="1745"/>
    <x v="1238"/>
    <n v="7326"/>
  </r>
  <r>
    <s v="Coastal"/>
    <n v="2255"/>
    <s v="Plaquemines Port District, LA"/>
    <n v="5370"/>
    <x v="81"/>
    <x v="2300"/>
    <n v="0"/>
    <x v="0"/>
    <x v="0"/>
    <n v="5437"/>
  </r>
  <r>
    <s v="Coastal"/>
    <n v="2255"/>
    <s v="Plaquemines Port District, LA"/>
    <n v="5190"/>
    <x v="83"/>
    <x v="10"/>
    <n v="4395"/>
    <x v="1746"/>
    <x v="0"/>
    <n v="4395"/>
  </r>
  <r>
    <s v="Coastal"/>
    <n v="2255"/>
    <s v="Plaquemines Port District, LA"/>
    <n v="3260"/>
    <x v="107"/>
    <x v="10"/>
    <n v="3578"/>
    <x v="339"/>
    <x v="1239"/>
    <n v="3578"/>
  </r>
  <r>
    <s v="Coastal"/>
    <n v="2255"/>
    <s v="Plaquemines Port District, LA"/>
    <n v="5390"/>
    <x v="44"/>
    <x v="2301"/>
    <n v="0"/>
    <x v="0"/>
    <x v="0"/>
    <n v="3271"/>
  </r>
  <r>
    <s v="Coastal"/>
    <n v="2255"/>
    <s v="Plaquemines Port District, LA"/>
    <n v="3285"/>
    <x v="87"/>
    <x v="10"/>
    <n v="3031"/>
    <x v="1747"/>
    <x v="391"/>
    <n v="3031"/>
  </r>
  <r>
    <s v="Coastal"/>
    <n v="2255"/>
    <s v="Plaquemines Port District, LA"/>
    <n v="5422"/>
    <x v="66"/>
    <x v="2302"/>
    <n v="1646"/>
    <x v="1748"/>
    <x v="0"/>
    <n v="2801"/>
  </r>
  <r>
    <s v="Coastal"/>
    <n v="2255"/>
    <s v="Plaquemines Port District, LA"/>
    <n v="3279"/>
    <x v="58"/>
    <x v="10"/>
    <n v="2230"/>
    <x v="0"/>
    <x v="874"/>
    <n v="2230"/>
  </r>
  <r>
    <s v="Coastal"/>
    <n v="2255"/>
    <s v="Plaquemines Port District, LA"/>
    <n v="5421"/>
    <x v="88"/>
    <x v="10"/>
    <n v="2207"/>
    <x v="1749"/>
    <x v="0"/>
    <n v="2207"/>
  </r>
  <r>
    <s v="Coastal"/>
    <n v="2255"/>
    <s v="Plaquemines Port District, LA"/>
    <n v="3282"/>
    <x v="91"/>
    <x v="10"/>
    <n v="2120"/>
    <x v="0"/>
    <x v="1240"/>
    <n v="2120"/>
  </r>
  <r>
    <s v="Coastal"/>
    <n v="2255"/>
    <s v="Plaquemines Port District, LA"/>
    <n v="8900"/>
    <x v="139"/>
    <x v="1367"/>
    <n v="0"/>
    <x v="0"/>
    <x v="0"/>
    <n v="1832"/>
  </r>
  <r>
    <s v="Coastal"/>
    <n v="2255"/>
    <s v="Plaquemines Port District, LA"/>
    <n v="5429"/>
    <x v="61"/>
    <x v="2303"/>
    <n v="0"/>
    <x v="0"/>
    <x v="0"/>
    <n v="1598"/>
  </r>
  <r>
    <s v="Coastal"/>
    <n v="2255"/>
    <s v="Plaquemines Port District, LA"/>
    <n v="7120"/>
    <x v="71"/>
    <x v="10"/>
    <n v="1552"/>
    <x v="1750"/>
    <x v="0"/>
    <n v="1552"/>
  </r>
  <r>
    <s v="Coastal"/>
    <n v="2255"/>
    <s v="Plaquemines Port District, LA"/>
    <n v="4310"/>
    <x v="96"/>
    <x v="10"/>
    <n v="1257"/>
    <x v="1751"/>
    <x v="0"/>
    <n v="1257"/>
  </r>
  <r>
    <s v="Coastal"/>
    <n v="2255"/>
    <s v="Plaquemines Port District, LA"/>
    <n v="5360"/>
    <x v="94"/>
    <x v="2304"/>
    <n v="0"/>
    <x v="0"/>
    <x v="0"/>
    <n v="802"/>
  </r>
  <r>
    <s v="Coastal"/>
    <n v="2255"/>
    <s v="Plaquemines Port District, LA"/>
    <n v="5480"/>
    <x v="20"/>
    <x v="1154"/>
    <n v="166"/>
    <x v="527"/>
    <x v="0"/>
    <n v="416"/>
  </r>
  <r>
    <s v="Coastal"/>
    <n v="2255"/>
    <s v="Plaquemines Port District, LA"/>
    <n v="3299"/>
    <x v="79"/>
    <x v="10"/>
    <n v="386"/>
    <x v="0"/>
    <x v="1241"/>
    <n v="386"/>
  </r>
  <r>
    <s v="Coastal"/>
    <n v="2255"/>
    <s v="Plaquemines Port District, LA"/>
    <n v="4338"/>
    <x v="142"/>
    <x v="2305"/>
    <n v="0"/>
    <x v="0"/>
    <x v="0"/>
    <n v="360"/>
  </r>
  <r>
    <s v="Coastal"/>
    <n v="2255"/>
    <s v="Plaquemines Port District, LA"/>
    <n v="2990"/>
    <x v="102"/>
    <x v="10"/>
    <n v="72"/>
    <x v="611"/>
    <x v="0"/>
    <n v="72"/>
  </r>
  <r>
    <s v="Coastal"/>
    <n v="2255"/>
    <s v="Plaquemines Port District, LA"/>
    <n v="7230"/>
    <x v="22"/>
    <x v="10"/>
    <n v="5"/>
    <x v="168"/>
    <x v="0"/>
    <n v="5"/>
  </r>
  <r>
    <s v="Coastal"/>
    <n v="4981"/>
    <s v="Point Hope, AK"/>
    <n v="2330"/>
    <x v="1"/>
    <x v="2306"/>
    <n v="0"/>
    <x v="0"/>
    <x v="0"/>
    <n v="3910"/>
  </r>
  <r>
    <s v="Coastal"/>
    <n v="4981"/>
    <s v="Point Hope, AK"/>
    <n v="2211"/>
    <x v="0"/>
    <x v="2307"/>
    <n v="0"/>
    <x v="0"/>
    <x v="0"/>
    <n v="340"/>
  </r>
  <r>
    <s v="Coastal"/>
    <n v="4981"/>
    <s v="Point Hope, AK"/>
    <n v="7210"/>
    <x v="59"/>
    <x v="201"/>
    <n v="0"/>
    <x v="0"/>
    <x v="0"/>
    <n v="70"/>
  </r>
  <r>
    <s v="Coastal"/>
    <n v="4981"/>
    <s v="Point Hope, AK"/>
    <n v="4189"/>
    <x v="65"/>
    <x v="646"/>
    <n v="0"/>
    <x v="0"/>
    <x v="0"/>
    <n v="62"/>
  </r>
  <r>
    <s v="Coastal"/>
    <n v="4981"/>
    <s v="Point Hope, AK"/>
    <n v="2990"/>
    <x v="102"/>
    <x v="2308"/>
    <n v="0"/>
    <x v="0"/>
    <x v="0"/>
    <n v="56"/>
  </r>
  <r>
    <s v="Coastal"/>
    <n v="4981"/>
    <s v="Point Hope, AK"/>
    <n v="7900"/>
    <x v="21"/>
    <x v="202"/>
    <n v="0"/>
    <x v="0"/>
    <x v="0"/>
    <n v="53"/>
  </r>
  <r>
    <s v="Coastal"/>
    <n v="4981"/>
    <s v="Point Hope, AK"/>
    <n v="3299"/>
    <x v="79"/>
    <x v="1065"/>
    <n v="0"/>
    <x v="0"/>
    <x v="0"/>
    <n v="20"/>
  </r>
  <r>
    <s v="Coastal"/>
    <n v="4981"/>
    <s v="Point Hope, AK"/>
    <n v="7110"/>
    <x v="4"/>
    <x v="1065"/>
    <n v="0"/>
    <x v="0"/>
    <x v="0"/>
    <n v="20"/>
  </r>
  <r>
    <s v="Coastal"/>
    <n v="4981"/>
    <s v="Point Hope, AK"/>
    <n v="7400"/>
    <x v="77"/>
    <x v="185"/>
    <n v="0"/>
    <x v="0"/>
    <x v="0"/>
    <n v="16"/>
  </r>
  <r>
    <s v="Coastal"/>
    <n v="4981"/>
    <s v="Point Hope, AK"/>
    <n v="6887"/>
    <x v="138"/>
    <x v="483"/>
    <n v="0"/>
    <x v="0"/>
    <x v="0"/>
    <n v="12"/>
  </r>
  <r>
    <s v="Coastal"/>
    <n v="4981"/>
    <s v="Point Hope, AK"/>
    <n v="5370"/>
    <x v="81"/>
    <x v="649"/>
    <n v="0"/>
    <x v="0"/>
    <x v="0"/>
    <n v="8"/>
  </r>
  <r>
    <s v="Coastal"/>
    <n v="4981"/>
    <s v="Point Hope, AK"/>
    <n v="7120"/>
    <x v="71"/>
    <x v="485"/>
    <n v="0"/>
    <x v="0"/>
    <x v="0"/>
    <n v="4"/>
  </r>
  <r>
    <s v="Coastal"/>
    <n v="4981"/>
    <s v="Point Hope, AK"/>
    <n v="4331"/>
    <x v="29"/>
    <x v="131"/>
    <n v="0"/>
    <x v="0"/>
    <x v="0"/>
    <n v="2"/>
  </r>
  <r>
    <s v="Coastal"/>
    <n v="4981"/>
    <s v="Point Hope, AK"/>
    <n v="7230"/>
    <x v="22"/>
    <x v="131"/>
    <n v="0"/>
    <x v="0"/>
    <x v="0"/>
    <n v="2"/>
  </r>
  <r>
    <s v="Coastal"/>
    <n v="2151"/>
    <s v="Ponce Port Authority, PR"/>
    <n v="1100"/>
    <x v="32"/>
    <x v="10"/>
    <n v="1456201"/>
    <x v="1752"/>
    <x v="0"/>
    <n v="1456201"/>
  </r>
  <r>
    <s v="Coastal"/>
    <n v="2151"/>
    <s v="Ponce Port Authority, PR"/>
    <n v="5220"/>
    <x v="30"/>
    <x v="10"/>
    <n v="309242"/>
    <x v="1753"/>
    <x v="0"/>
    <n v="309242"/>
  </r>
  <r>
    <s v="Coastal"/>
    <n v="2151"/>
    <s v="Ponce Port Authority, PR"/>
    <n v="6865"/>
    <x v="75"/>
    <x v="10"/>
    <n v="104182"/>
    <x v="1754"/>
    <x v="0"/>
    <n v="104182"/>
  </r>
  <r>
    <s v="Coastal"/>
    <n v="2151"/>
    <s v="Ponce Port Authority, PR"/>
    <n v="4420"/>
    <x v="8"/>
    <x v="10"/>
    <n v="55226"/>
    <x v="0"/>
    <x v="1242"/>
    <n v="55226"/>
  </r>
  <r>
    <s v="Coastal"/>
    <n v="2151"/>
    <s v="Ponce Port Authority, PR"/>
    <n v="2330"/>
    <x v="1"/>
    <x v="10"/>
    <n v="38649"/>
    <x v="1755"/>
    <x v="537"/>
    <n v="38649"/>
  </r>
  <r>
    <s v="Coastal"/>
    <n v="2151"/>
    <s v="Ponce Port Authority, PR"/>
    <n v="7110"/>
    <x v="4"/>
    <x v="10"/>
    <n v="14713"/>
    <x v="1756"/>
    <x v="0"/>
    <n v="14713"/>
  </r>
  <r>
    <s v="Coastal"/>
    <n v="2151"/>
    <s v="Ponce Port Authority, PR"/>
    <n v="5360"/>
    <x v="94"/>
    <x v="10"/>
    <n v="5322"/>
    <x v="1757"/>
    <x v="0"/>
    <n v="5322"/>
  </r>
  <r>
    <s v="Coastal"/>
    <n v="2151"/>
    <s v="Ponce Port Authority, PR"/>
    <n v="9900"/>
    <x v="18"/>
    <x v="10"/>
    <n v="2876"/>
    <x v="1758"/>
    <x v="0"/>
    <n v="2876"/>
  </r>
  <r>
    <s v="Coastal"/>
    <n v="2151"/>
    <s v="Ponce Port Authority, PR"/>
    <n v="5480"/>
    <x v="20"/>
    <x v="10"/>
    <n v="410"/>
    <x v="1759"/>
    <x v="0"/>
    <n v="410"/>
  </r>
  <r>
    <s v="Coastal"/>
    <n v="2151"/>
    <s v="Ponce Port Authority, PR"/>
    <n v="2211"/>
    <x v="0"/>
    <x v="10"/>
    <n v="181"/>
    <x v="0"/>
    <x v="111"/>
    <n v="181"/>
  </r>
  <r>
    <s v="Coastal"/>
    <n v="2151"/>
    <s v="Ponce Port Authority, PR"/>
    <n v="7120"/>
    <x v="71"/>
    <x v="10"/>
    <n v="51"/>
    <x v="206"/>
    <x v="0"/>
    <n v="51"/>
  </r>
  <r>
    <s v="Coastal"/>
    <n v="2151"/>
    <s v="Ponce Port Authority, PR"/>
    <n v="3286"/>
    <x v="57"/>
    <x v="10"/>
    <n v="9"/>
    <x v="313"/>
    <x v="0"/>
    <n v="9"/>
  </r>
  <r>
    <s v="Coastal"/>
    <n v="2416"/>
    <s v="Port Arthur, TX"/>
    <n v="2330"/>
    <x v="1"/>
    <x v="2309"/>
    <n v="8157815"/>
    <x v="1760"/>
    <x v="1243"/>
    <n v="12137857"/>
  </r>
  <r>
    <s v="Coastal"/>
    <n v="2416"/>
    <s v="Port Arthur, TX"/>
    <n v="2211"/>
    <x v="0"/>
    <x v="2310"/>
    <n v="3474537"/>
    <x v="1761"/>
    <x v="1244"/>
    <n v="9079839"/>
  </r>
  <r>
    <s v="Coastal"/>
    <n v="2416"/>
    <s v="Port Arthur, TX"/>
    <n v="2540"/>
    <x v="15"/>
    <x v="2311"/>
    <n v="6116705"/>
    <x v="1762"/>
    <x v="1245"/>
    <n v="6285815"/>
  </r>
  <r>
    <s v="Coastal"/>
    <n v="2416"/>
    <s v="Port Arthur, TX"/>
    <n v="2340"/>
    <x v="3"/>
    <x v="2312"/>
    <n v="916779"/>
    <x v="1763"/>
    <x v="0"/>
    <n v="2349246"/>
  </r>
  <r>
    <s v="Coastal"/>
    <n v="2416"/>
    <s v="Port Arthur, TX"/>
    <n v="2100"/>
    <x v="35"/>
    <x v="2313"/>
    <n v="1800230"/>
    <x v="1764"/>
    <x v="1246"/>
    <n v="1966245"/>
  </r>
  <r>
    <s v="Coastal"/>
    <n v="2416"/>
    <s v="Port Arthur, TX"/>
    <n v="2429"/>
    <x v="17"/>
    <x v="2314"/>
    <n v="80938"/>
    <x v="0"/>
    <x v="1247"/>
    <n v="1954649"/>
  </r>
  <r>
    <s v="Coastal"/>
    <n v="2416"/>
    <s v="Port Arthur, TX"/>
    <n v="2350"/>
    <x v="40"/>
    <x v="2315"/>
    <n v="102213"/>
    <x v="0"/>
    <x v="1248"/>
    <n v="832487"/>
  </r>
  <r>
    <s v="Coastal"/>
    <n v="2416"/>
    <s v="Port Arthur, TX"/>
    <n v="2221"/>
    <x v="9"/>
    <x v="2316"/>
    <n v="314234"/>
    <x v="0"/>
    <x v="1249"/>
    <n v="782956"/>
  </r>
  <r>
    <s v="Coastal"/>
    <n v="2416"/>
    <s v="Port Arthur, TX"/>
    <n v="3211"/>
    <x v="124"/>
    <x v="2317"/>
    <n v="8657"/>
    <x v="1765"/>
    <x v="0"/>
    <n v="658944"/>
  </r>
  <r>
    <s v="Coastal"/>
    <n v="2416"/>
    <s v="Port Arthur, TX"/>
    <n v="3212"/>
    <x v="39"/>
    <x v="2318"/>
    <n v="0"/>
    <x v="0"/>
    <x v="0"/>
    <n v="581469"/>
  </r>
  <r>
    <s v="Coastal"/>
    <n v="2416"/>
    <s v="Port Arthur, TX"/>
    <n v="3219"/>
    <x v="19"/>
    <x v="2319"/>
    <n v="100117"/>
    <x v="0"/>
    <x v="1250"/>
    <n v="542525"/>
  </r>
  <r>
    <s v="Coastal"/>
    <n v="2416"/>
    <s v="Port Arthur, TX"/>
    <n v="4225"/>
    <x v="10"/>
    <x v="10"/>
    <n v="471196"/>
    <x v="1766"/>
    <x v="1251"/>
    <n v="471196"/>
  </r>
  <r>
    <s v="Coastal"/>
    <n v="2416"/>
    <s v="Port Arthur, TX"/>
    <n v="2640"/>
    <x v="110"/>
    <x v="2320"/>
    <n v="313030"/>
    <x v="19"/>
    <x v="1252"/>
    <n v="429664"/>
  </r>
  <r>
    <s v="Coastal"/>
    <n v="2416"/>
    <s v="Port Arthur, TX"/>
    <n v="2990"/>
    <x v="102"/>
    <x v="2321"/>
    <n v="1097"/>
    <x v="1767"/>
    <x v="0"/>
    <n v="357202"/>
  </r>
  <r>
    <s v="Coastal"/>
    <n v="2416"/>
    <s v="Port Arthur, TX"/>
    <n v="3220"/>
    <x v="2"/>
    <x v="2322"/>
    <n v="303894"/>
    <x v="1768"/>
    <x v="1253"/>
    <n v="338446"/>
  </r>
  <r>
    <s v="Coastal"/>
    <n v="2416"/>
    <s v="Port Arthur, TX"/>
    <n v="4150"/>
    <x v="101"/>
    <x v="10"/>
    <n v="300860"/>
    <x v="0"/>
    <x v="1254"/>
    <n v="300860"/>
  </r>
  <r>
    <s v="Coastal"/>
    <n v="2416"/>
    <s v="Port Arthur, TX"/>
    <n v="2430"/>
    <x v="11"/>
    <x v="2323"/>
    <n v="12410"/>
    <x v="1769"/>
    <x v="1255"/>
    <n v="189265"/>
  </r>
  <r>
    <s v="Coastal"/>
    <n v="2416"/>
    <s v="Port Arthur, TX"/>
    <n v="3297"/>
    <x v="116"/>
    <x v="2324"/>
    <n v="0"/>
    <x v="0"/>
    <x v="0"/>
    <n v="180645"/>
  </r>
  <r>
    <s v="Coastal"/>
    <n v="2416"/>
    <s v="Port Arthur, TX"/>
    <n v="3299"/>
    <x v="79"/>
    <x v="2325"/>
    <n v="2"/>
    <x v="212"/>
    <x v="0"/>
    <n v="123974"/>
  </r>
  <r>
    <s v="Coastal"/>
    <n v="2416"/>
    <s v="Port Arthur, TX"/>
    <n v="1200"/>
    <x v="43"/>
    <x v="2326"/>
    <n v="11971"/>
    <x v="1770"/>
    <x v="0"/>
    <n v="111930"/>
  </r>
  <r>
    <s v="Coastal"/>
    <n v="2416"/>
    <s v="Port Arthur, TX"/>
    <n v="4322"/>
    <x v="33"/>
    <x v="2327"/>
    <n v="37834"/>
    <x v="1771"/>
    <x v="0"/>
    <n v="72539"/>
  </r>
  <r>
    <s v="Coastal"/>
    <n v="2416"/>
    <s v="Port Arthur, TX"/>
    <n v="4189"/>
    <x v="65"/>
    <x v="10"/>
    <n v="61720"/>
    <x v="1772"/>
    <x v="0"/>
    <n v="61720"/>
  </r>
  <r>
    <s v="Coastal"/>
    <n v="2416"/>
    <s v="Port Arthur, TX"/>
    <n v="9900"/>
    <x v="18"/>
    <x v="10"/>
    <n v="58343"/>
    <x v="1773"/>
    <x v="384"/>
    <n v="58343"/>
  </r>
  <r>
    <s v="Coastal"/>
    <n v="2416"/>
    <s v="Port Arthur, TX"/>
    <n v="4331"/>
    <x v="29"/>
    <x v="2328"/>
    <n v="54994"/>
    <x v="1774"/>
    <x v="0"/>
    <n v="56986"/>
  </r>
  <r>
    <s v="Coastal"/>
    <n v="2416"/>
    <s v="Port Arthur, TX"/>
    <n v="3260"/>
    <x v="107"/>
    <x v="10"/>
    <n v="52148"/>
    <x v="0"/>
    <x v="1256"/>
    <n v="52148"/>
  </r>
  <r>
    <s v="Coastal"/>
    <n v="2416"/>
    <s v="Port Arthur, TX"/>
    <n v="5540"/>
    <x v="64"/>
    <x v="10"/>
    <n v="51621"/>
    <x v="1775"/>
    <x v="0"/>
    <n v="51621"/>
  </r>
  <r>
    <s v="Coastal"/>
    <n v="2416"/>
    <s v="Port Arthur, TX"/>
    <n v="5120"/>
    <x v="63"/>
    <x v="10"/>
    <n v="43874"/>
    <x v="0"/>
    <x v="1257"/>
    <n v="43874"/>
  </r>
  <r>
    <s v="Coastal"/>
    <n v="2416"/>
    <s v="Port Arthur, TX"/>
    <n v="5422"/>
    <x v="66"/>
    <x v="2329"/>
    <n v="38285"/>
    <x v="1776"/>
    <x v="0"/>
    <n v="39482"/>
  </r>
  <r>
    <s v="Coastal"/>
    <n v="2416"/>
    <s v="Port Arthur, TX"/>
    <n v="7210"/>
    <x v="59"/>
    <x v="10"/>
    <n v="28966"/>
    <x v="1777"/>
    <x v="1258"/>
    <n v="28966"/>
  </r>
  <r>
    <s v="Coastal"/>
    <n v="2416"/>
    <s v="Port Arthur, TX"/>
    <n v="3272"/>
    <x v="137"/>
    <x v="2330"/>
    <n v="24461"/>
    <x v="1778"/>
    <x v="1259"/>
    <n v="26861"/>
  </r>
  <r>
    <s v="Coastal"/>
    <n v="2416"/>
    <s v="Port Arthur, TX"/>
    <n v="3274"/>
    <x v="86"/>
    <x v="2331"/>
    <n v="0"/>
    <x v="0"/>
    <x v="0"/>
    <n v="16626"/>
  </r>
  <r>
    <s v="Coastal"/>
    <n v="2416"/>
    <s v="Port Arthur, TX"/>
    <n v="6782"/>
    <x v="27"/>
    <x v="2332"/>
    <n v="0"/>
    <x v="0"/>
    <x v="0"/>
    <n v="7175"/>
  </r>
  <r>
    <s v="Coastal"/>
    <n v="2416"/>
    <s v="Port Arthur, TX"/>
    <n v="7110"/>
    <x v="4"/>
    <x v="2333"/>
    <n v="1947"/>
    <x v="1779"/>
    <x v="816"/>
    <n v="6127"/>
  </r>
  <r>
    <s v="Coastal"/>
    <n v="2416"/>
    <s v="Port Arthur, TX"/>
    <n v="3110"/>
    <x v="36"/>
    <x v="2334"/>
    <n v="0"/>
    <x v="0"/>
    <x v="0"/>
    <n v="4686"/>
  </r>
  <r>
    <s v="Coastal"/>
    <n v="2416"/>
    <s v="Port Arthur, TX"/>
    <n v="7400"/>
    <x v="77"/>
    <x v="10"/>
    <n v="4248"/>
    <x v="1780"/>
    <x v="0"/>
    <n v="4248"/>
  </r>
  <r>
    <s v="Coastal"/>
    <n v="2416"/>
    <s v="Port Arthur, TX"/>
    <n v="3279"/>
    <x v="58"/>
    <x v="10"/>
    <n v="3826"/>
    <x v="19"/>
    <x v="1260"/>
    <n v="3826"/>
  </r>
  <r>
    <s v="Coastal"/>
    <n v="2416"/>
    <s v="Port Arthur, TX"/>
    <n v="7120"/>
    <x v="71"/>
    <x v="10"/>
    <n v="3237"/>
    <x v="1781"/>
    <x v="1261"/>
    <n v="3237"/>
  </r>
  <r>
    <s v="Coastal"/>
    <n v="2416"/>
    <s v="Port Arthur, TX"/>
    <n v="5480"/>
    <x v="20"/>
    <x v="10"/>
    <n v="1898"/>
    <x v="1782"/>
    <x v="0"/>
    <n v="1898"/>
  </r>
  <r>
    <s v="Coastal"/>
    <n v="2416"/>
    <s v="Port Arthur, TX"/>
    <n v="7900"/>
    <x v="21"/>
    <x v="4"/>
    <n v="1585"/>
    <x v="1783"/>
    <x v="208"/>
    <n v="1785"/>
  </r>
  <r>
    <s v="Coastal"/>
    <n v="2416"/>
    <s v="Port Arthur, TX"/>
    <n v="3230"/>
    <x v="80"/>
    <x v="2335"/>
    <n v="0"/>
    <x v="0"/>
    <x v="0"/>
    <n v="1678"/>
  </r>
  <r>
    <s v="Coastal"/>
    <n v="2416"/>
    <s v="Port Arthur, TX"/>
    <n v="4420"/>
    <x v="8"/>
    <x v="1497"/>
    <n v="0"/>
    <x v="0"/>
    <x v="0"/>
    <n v="1500"/>
  </r>
  <r>
    <s v="Coastal"/>
    <n v="2416"/>
    <s v="Port Arthur, TX"/>
    <n v="7230"/>
    <x v="22"/>
    <x v="10"/>
    <n v="935"/>
    <x v="1784"/>
    <x v="819"/>
    <n v="935"/>
  </r>
  <r>
    <s v="Coastal"/>
    <n v="2416"/>
    <s v="Port Arthur, TX"/>
    <n v="8900"/>
    <x v="139"/>
    <x v="2336"/>
    <n v="0"/>
    <x v="0"/>
    <x v="0"/>
    <n v="657"/>
  </r>
  <r>
    <s v="Coastal"/>
    <n v="2416"/>
    <s v="Port Arthur, TX"/>
    <n v="7600"/>
    <x v="68"/>
    <x v="10"/>
    <n v="445"/>
    <x v="1568"/>
    <x v="0"/>
    <n v="445"/>
  </r>
  <r>
    <s v="Coastal"/>
    <n v="2416"/>
    <s v="Port Arthur, TX"/>
    <n v="7500"/>
    <x v="60"/>
    <x v="10"/>
    <n v="440"/>
    <x v="148"/>
    <x v="1262"/>
    <n v="440"/>
  </r>
  <r>
    <s v="Coastal"/>
    <n v="2416"/>
    <s v="Port Arthur, TX"/>
    <n v="5370"/>
    <x v="81"/>
    <x v="2337"/>
    <n v="0"/>
    <x v="0"/>
    <x v="0"/>
    <n v="410"/>
  </r>
  <r>
    <s v="Coastal"/>
    <n v="2416"/>
    <s v="Port Arthur, TX"/>
    <n v="6888"/>
    <x v="109"/>
    <x v="10"/>
    <n v="226"/>
    <x v="1785"/>
    <x v="0"/>
    <n v="226"/>
  </r>
  <r>
    <s v="Coastal"/>
    <n v="2416"/>
    <s v="Port Arthur, TX"/>
    <n v="3286"/>
    <x v="57"/>
    <x v="10"/>
    <n v="155"/>
    <x v="0"/>
    <x v="1263"/>
    <n v="155"/>
  </r>
  <r>
    <s v="Coastal"/>
    <n v="2416"/>
    <s v="Port Arthur, TX"/>
    <n v="7220"/>
    <x v="103"/>
    <x v="10"/>
    <n v="71"/>
    <x v="523"/>
    <x v="272"/>
    <n v="71"/>
  </r>
  <r>
    <s v="Coastal"/>
    <n v="2416"/>
    <s v="Port Arthur, TX"/>
    <n v="4650"/>
    <x v="67"/>
    <x v="10"/>
    <n v="54"/>
    <x v="475"/>
    <x v="0"/>
    <n v="54"/>
  </r>
  <r>
    <s v="Coastal"/>
    <n v="2416"/>
    <s v="Port Arthur, TX"/>
    <n v="6889"/>
    <x v="42"/>
    <x v="10"/>
    <n v="32"/>
    <x v="152"/>
    <x v="0"/>
    <n v="32"/>
  </r>
  <r>
    <s v="Coastal"/>
    <n v="2416"/>
    <s v="Port Arthur, TX"/>
    <n v="6653"/>
    <x v="24"/>
    <x v="10"/>
    <n v="20"/>
    <x v="0"/>
    <x v="125"/>
    <n v="20"/>
  </r>
  <r>
    <s v="Coastal"/>
    <n v="2416"/>
    <s v="Port Arthur, TX"/>
    <n v="6654"/>
    <x v="50"/>
    <x v="10"/>
    <n v="20"/>
    <x v="452"/>
    <x v="237"/>
    <n v="20"/>
  </r>
  <r>
    <s v="Coastal"/>
    <n v="2416"/>
    <s v="Port Arthur, TX"/>
    <n v="6241"/>
    <x v="28"/>
    <x v="10"/>
    <n v="16"/>
    <x v="452"/>
    <x v="0"/>
    <n v="16"/>
  </r>
  <r>
    <s v="Coastal"/>
    <n v="2416"/>
    <s v="Port Arthur, TX"/>
    <n v="6885"/>
    <x v="72"/>
    <x v="10"/>
    <n v="16"/>
    <x v="452"/>
    <x v="0"/>
    <n v="16"/>
  </r>
  <r>
    <s v="Coastal"/>
    <n v="2416"/>
    <s v="Port Arthur, TX"/>
    <n v="7300"/>
    <x v="115"/>
    <x v="10"/>
    <n v="10"/>
    <x v="312"/>
    <x v="0"/>
    <n v="10"/>
  </r>
  <r>
    <s v="Coastal"/>
    <n v="2416"/>
    <s v="Port Arthur, TX"/>
    <n v="3275"/>
    <x v="47"/>
    <x v="10"/>
    <n v="9"/>
    <x v="313"/>
    <x v="0"/>
    <n v="9"/>
  </r>
  <r>
    <s v="Coastal"/>
    <n v="2416"/>
    <s v="Port Arthur, TX"/>
    <n v="3285"/>
    <x v="87"/>
    <x v="10"/>
    <n v="3"/>
    <x v="393"/>
    <x v="0"/>
    <n v="3"/>
  </r>
  <r>
    <s v="Coastal"/>
    <n v="2416"/>
    <s v="Port Arthur, TX"/>
    <n v="6857"/>
    <x v="104"/>
    <x v="10"/>
    <n v="2"/>
    <x v="212"/>
    <x v="0"/>
    <n v="2"/>
  </r>
  <r>
    <s v="Coastal"/>
    <n v="2257"/>
    <s v="Port Bienville, MS"/>
    <n v="3220"/>
    <x v="2"/>
    <x v="2338"/>
    <n v="0"/>
    <x v="0"/>
    <x v="0"/>
    <n v="109018"/>
  </r>
  <r>
    <s v="Coastal"/>
    <n v="2257"/>
    <s v="Port Bienville, MS"/>
    <n v="3219"/>
    <x v="19"/>
    <x v="2339"/>
    <n v="0"/>
    <x v="0"/>
    <x v="0"/>
    <n v="74143"/>
  </r>
  <r>
    <s v="Coastal"/>
    <n v="2257"/>
    <s v="Port Bienville, MS"/>
    <n v="1100"/>
    <x v="32"/>
    <x v="2340"/>
    <n v="0"/>
    <x v="0"/>
    <x v="0"/>
    <n v="71286"/>
  </r>
  <r>
    <s v="Coastal"/>
    <n v="2257"/>
    <s v="Port Bienville, MS"/>
    <n v="3240"/>
    <x v="53"/>
    <x v="2341"/>
    <n v="0"/>
    <x v="0"/>
    <x v="0"/>
    <n v="18000"/>
  </r>
  <r>
    <s v="Coastal"/>
    <n v="2257"/>
    <s v="Port Bienville, MS"/>
    <n v="5330"/>
    <x v="16"/>
    <x v="2342"/>
    <n v="0"/>
    <x v="0"/>
    <x v="0"/>
    <n v="7388"/>
  </r>
  <r>
    <s v="Coastal"/>
    <n v="1911"/>
    <s v="Port Everglades, FL"/>
    <n v="2211"/>
    <x v="0"/>
    <x v="2343"/>
    <n v="1330540"/>
    <x v="1786"/>
    <x v="1264"/>
    <n v="7888100"/>
  </r>
  <r>
    <s v="Coastal"/>
    <n v="1911"/>
    <s v="Port Everglades, FL"/>
    <n v="2221"/>
    <x v="9"/>
    <x v="2344"/>
    <n v="1363582"/>
    <x v="1787"/>
    <x v="1265"/>
    <n v="3720542"/>
  </r>
  <r>
    <s v="Coastal"/>
    <n v="1911"/>
    <s v="Port Everglades, FL"/>
    <n v="2330"/>
    <x v="1"/>
    <x v="2345"/>
    <n v="379775"/>
    <x v="1788"/>
    <x v="1266"/>
    <n v="2521187"/>
  </r>
  <r>
    <s v="Coastal"/>
    <n v="1911"/>
    <s v="Port Everglades, FL"/>
    <n v="5220"/>
    <x v="30"/>
    <x v="10"/>
    <n v="1118693"/>
    <x v="1789"/>
    <x v="1267"/>
    <n v="1118693"/>
  </r>
  <r>
    <s v="Coastal"/>
    <n v="1911"/>
    <s v="Port Everglades, FL"/>
    <n v="7900"/>
    <x v="21"/>
    <x v="10"/>
    <n v="812847"/>
    <x v="1790"/>
    <x v="1268"/>
    <n v="812847"/>
  </r>
  <r>
    <s v="Coastal"/>
    <n v="1911"/>
    <s v="Port Everglades, FL"/>
    <n v="5290"/>
    <x v="49"/>
    <x v="10"/>
    <n v="795155"/>
    <x v="1791"/>
    <x v="1269"/>
    <n v="795155"/>
  </r>
  <r>
    <s v="Coastal"/>
    <n v="1911"/>
    <s v="Port Everglades, FL"/>
    <n v="7500"/>
    <x v="60"/>
    <x v="10"/>
    <n v="595529"/>
    <x v="1792"/>
    <x v="1270"/>
    <n v="595529"/>
  </r>
  <r>
    <s v="Coastal"/>
    <n v="1911"/>
    <s v="Port Everglades, FL"/>
    <n v="6857"/>
    <x v="104"/>
    <x v="10"/>
    <n v="422170"/>
    <x v="1793"/>
    <x v="1271"/>
    <n v="422170"/>
  </r>
  <r>
    <s v="Coastal"/>
    <n v="1911"/>
    <s v="Port Everglades, FL"/>
    <n v="6856"/>
    <x v="126"/>
    <x v="10"/>
    <n v="309922"/>
    <x v="1794"/>
    <x v="1272"/>
    <n v="309922"/>
  </r>
  <r>
    <s v="Coastal"/>
    <n v="1911"/>
    <s v="Port Everglades, FL"/>
    <n v="6654"/>
    <x v="50"/>
    <x v="10"/>
    <n v="285926"/>
    <x v="1795"/>
    <x v="1273"/>
    <n v="285926"/>
  </r>
  <r>
    <s v="Coastal"/>
    <n v="1911"/>
    <s v="Port Everglades, FL"/>
    <n v="7210"/>
    <x v="59"/>
    <x v="10"/>
    <n v="278015"/>
    <x v="1796"/>
    <x v="1274"/>
    <n v="278015"/>
  </r>
  <r>
    <s v="Coastal"/>
    <n v="1911"/>
    <s v="Port Everglades, FL"/>
    <n v="6885"/>
    <x v="72"/>
    <x v="10"/>
    <n v="262451"/>
    <x v="1797"/>
    <x v="1275"/>
    <n v="262451"/>
  </r>
  <r>
    <s v="Coastal"/>
    <n v="1911"/>
    <s v="Port Everglades, FL"/>
    <n v="6889"/>
    <x v="42"/>
    <x v="10"/>
    <n v="260001"/>
    <x v="1798"/>
    <x v="1276"/>
    <n v="260001"/>
  </r>
  <r>
    <s v="Coastal"/>
    <n v="1911"/>
    <s v="Port Everglades, FL"/>
    <n v="4860"/>
    <x v="31"/>
    <x v="10"/>
    <n v="240486"/>
    <x v="1799"/>
    <x v="284"/>
    <n v="240486"/>
  </r>
  <r>
    <s v="Coastal"/>
    <n v="1911"/>
    <s v="Port Everglades, FL"/>
    <n v="2340"/>
    <x v="3"/>
    <x v="2346"/>
    <n v="79873"/>
    <x v="1800"/>
    <x v="0"/>
    <n v="230257"/>
  </r>
  <r>
    <s v="Coastal"/>
    <n v="1911"/>
    <s v="Port Everglades, FL"/>
    <n v="5540"/>
    <x v="64"/>
    <x v="10"/>
    <n v="220744"/>
    <x v="1801"/>
    <x v="1277"/>
    <n v="220744"/>
  </r>
  <r>
    <s v="Coastal"/>
    <n v="1911"/>
    <s v="Port Everglades, FL"/>
    <n v="9900"/>
    <x v="18"/>
    <x v="10"/>
    <n v="206385"/>
    <x v="1802"/>
    <x v="1278"/>
    <n v="206385"/>
  </r>
  <r>
    <s v="Coastal"/>
    <n v="1911"/>
    <s v="Port Everglades, FL"/>
    <n v="3220"/>
    <x v="2"/>
    <x v="2347"/>
    <n v="48143"/>
    <x v="1803"/>
    <x v="1279"/>
    <n v="205842"/>
  </r>
  <r>
    <s v="Coastal"/>
    <n v="1911"/>
    <s v="Port Everglades, FL"/>
    <n v="5480"/>
    <x v="20"/>
    <x v="10"/>
    <n v="204688"/>
    <x v="1804"/>
    <x v="1280"/>
    <n v="204688"/>
  </r>
  <r>
    <s v="Coastal"/>
    <n v="1911"/>
    <s v="Port Everglades, FL"/>
    <n v="6858"/>
    <x v="74"/>
    <x v="10"/>
    <n v="199459"/>
    <x v="1805"/>
    <x v="1281"/>
    <n v="199459"/>
  </r>
  <r>
    <s v="Coastal"/>
    <n v="1911"/>
    <s v="Port Everglades, FL"/>
    <n v="5120"/>
    <x v="63"/>
    <x v="10"/>
    <n v="190833"/>
    <x v="1806"/>
    <x v="1282"/>
    <n v="190833"/>
  </r>
  <r>
    <s v="Coastal"/>
    <n v="1911"/>
    <s v="Port Everglades, FL"/>
    <n v="5360"/>
    <x v="94"/>
    <x v="10"/>
    <n v="176898"/>
    <x v="1807"/>
    <x v="1283"/>
    <n v="176898"/>
  </r>
  <r>
    <s v="Coastal"/>
    <n v="1911"/>
    <s v="Port Everglades, FL"/>
    <n v="7600"/>
    <x v="68"/>
    <x v="10"/>
    <n v="156488"/>
    <x v="1808"/>
    <x v="1284"/>
    <n v="156488"/>
  </r>
  <r>
    <s v="Coastal"/>
    <n v="1911"/>
    <s v="Port Everglades, FL"/>
    <n v="7110"/>
    <x v="4"/>
    <x v="10"/>
    <n v="155900"/>
    <x v="1809"/>
    <x v="1285"/>
    <n v="155900"/>
  </r>
  <r>
    <s v="Coastal"/>
    <n v="1911"/>
    <s v="Port Everglades, FL"/>
    <n v="6811"/>
    <x v="76"/>
    <x v="10"/>
    <n v="121216"/>
    <x v="1810"/>
    <x v="1286"/>
    <n v="121216"/>
  </r>
  <r>
    <s v="Coastal"/>
    <n v="1911"/>
    <s v="Port Everglades, FL"/>
    <n v="2430"/>
    <x v="11"/>
    <x v="2348"/>
    <n v="2751"/>
    <x v="19"/>
    <x v="1287"/>
    <n v="120517"/>
  </r>
  <r>
    <s v="Coastal"/>
    <n v="1911"/>
    <s v="Port Everglades, FL"/>
    <n v="3286"/>
    <x v="57"/>
    <x v="10"/>
    <n v="117978"/>
    <x v="1811"/>
    <x v="1288"/>
    <n v="117978"/>
  </r>
  <r>
    <s v="Coastal"/>
    <n v="1911"/>
    <s v="Port Everglades, FL"/>
    <n v="7120"/>
    <x v="71"/>
    <x v="10"/>
    <n v="115565"/>
    <x v="1812"/>
    <x v="1289"/>
    <n v="115565"/>
  </r>
  <r>
    <s v="Coastal"/>
    <n v="1911"/>
    <s v="Port Everglades, FL"/>
    <n v="6747"/>
    <x v="78"/>
    <x v="10"/>
    <n v="109784"/>
    <x v="1813"/>
    <x v="1290"/>
    <n v="109784"/>
  </r>
  <r>
    <s v="Coastal"/>
    <n v="1911"/>
    <s v="Port Everglades, FL"/>
    <n v="3275"/>
    <x v="47"/>
    <x v="10"/>
    <n v="94364"/>
    <x v="1814"/>
    <x v="1291"/>
    <n v="94364"/>
  </r>
  <r>
    <s v="Coastal"/>
    <n v="1911"/>
    <s v="Port Everglades, FL"/>
    <n v="6822"/>
    <x v="84"/>
    <x v="10"/>
    <n v="89190"/>
    <x v="1815"/>
    <x v="1292"/>
    <n v="89190"/>
  </r>
  <r>
    <s v="Coastal"/>
    <n v="1911"/>
    <s v="Port Everglades, FL"/>
    <n v="4690"/>
    <x v="62"/>
    <x v="10"/>
    <n v="88612"/>
    <x v="1816"/>
    <x v="704"/>
    <n v="88612"/>
  </r>
  <r>
    <s v="Coastal"/>
    <n v="1911"/>
    <s v="Port Everglades, FL"/>
    <n v="4189"/>
    <x v="65"/>
    <x v="10"/>
    <n v="78694"/>
    <x v="1817"/>
    <x v="1293"/>
    <n v="78694"/>
  </r>
  <r>
    <s v="Coastal"/>
    <n v="1911"/>
    <s v="Port Everglades, FL"/>
    <n v="4650"/>
    <x v="67"/>
    <x v="10"/>
    <n v="74335"/>
    <x v="1818"/>
    <x v="1294"/>
    <n v="74335"/>
  </r>
  <r>
    <s v="Coastal"/>
    <n v="1911"/>
    <s v="Port Everglades, FL"/>
    <n v="3211"/>
    <x v="124"/>
    <x v="2349"/>
    <n v="627"/>
    <x v="0"/>
    <x v="1295"/>
    <n v="71450"/>
  </r>
  <r>
    <s v="Coastal"/>
    <n v="1911"/>
    <s v="Port Everglades, FL"/>
    <n v="2100"/>
    <x v="35"/>
    <x v="10"/>
    <n v="69674"/>
    <x v="1819"/>
    <x v="0"/>
    <n v="69674"/>
  </r>
  <r>
    <s v="Coastal"/>
    <n v="1911"/>
    <s v="Port Everglades, FL"/>
    <n v="3285"/>
    <x v="87"/>
    <x v="10"/>
    <n v="68260"/>
    <x v="1820"/>
    <x v="1296"/>
    <n v="68260"/>
  </r>
  <r>
    <s v="Coastal"/>
    <n v="1911"/>
    <s v="Port Everglades, FL"/>
    <n v="6134"/>
    <x v="82"/>
    <x v="10"/>
    <n v="62317"/>
    <x v="1821"/>
    <x v="724"/>
    <n v="62317"/>
  </r>
  <r>
    <s v="Coastal"/>
    <n v="1911"/>
    <s v="Port Everglades, FL"/>
    <n v="6891"/>
    <x v="93"/>
    <x v="10"/>
    <n v="58406"/>
    <x v="1822"/>
    <x v="1297"/>
    <n v="58406"/>
  </r>
  <r>
    <s v="Coastal"/>
    <n v="1911"/>
    <s v="Port Everglades, FL"/>
    <n v="4225"/>
    <x v="10"/>
    <x v="10"/>
    <n v="54599"/>
    <x v="1823"/>
    <x v="1298"/>
    <n v="54599"/>
  </r>
  <r>
    <s v="Coastal"/>
    <n v="1911"/>
    <s v="Port Everglades, FL"/>
    <n v="4323"/>
    <x v="6"/>
    <x v="10"/>
    <n v="53781"/>
    <x v="1824"/>
    <x v="1299"/>
    <n v="53781"/>
  </r>
  <r>
    <s v="Coastal"/>
    <n v="1911"/>
    <s v="Port Everglades, FL"/>
    <n v="5240"/>
    <x v="89"/>
    <x v="10"/>
    <n v="43127"/>
    <x v="1825"/>
    <x v="1300"/>
    <n v="43127"/>
  </r>
  <r>
    <s v="Coastal"/>
    <n v="1911"/>
    <s v="Port Everglades, FL"/>
    <n v="6888"/>
    <x v="109"/>
    <x v="10"/>
    <n v="36521"/>
    <x v="1826"/>
    <x v="1301"/>
    <n v="36521"/>
  </r>
  <r>
    <s v="Coastal"/>
    <n v="1911"/>
    <s v="Port Everglades, FL"/>
    <n v="7230"/>
    <x v="22"/>
    <x v="10"/>
    <n v="35571"/>
    <x v="902"/>
    <x v="1302"/>
    <n v="35571"/>
  </r>
  <r>
    <s v="Coastal"/>
    <n v="1911"/>
    <s v="Port Everglades, FL"/>
    <n v="6653"/>
    <x v="24"/>
    <x v="10"/>
    <n v="34128"/>
    <x v="1827"/>
    <x v="1303"/>
    <n v="34128"/>
  </r>
  <r>
    <s v="Coastal"/>
    <n v="1911"/>
    <s v="Port Everglades, FL"/>
    <n v="4680"/>
    <x v="70"/>
    <x v="10"/>
    <n v="33070"/>
    <x v="1828"/>
    <x v="1304"/>
    <n v="33070"/>
  </r>
  <r>
    <s v="Coastal"/>
    <n v="1911"/>
    <s v="Port Everglades, FL"/>
    <n v="5190"/>
    <x v="83"/>
    <x v="10"/>
    <n v="31737"/>
    <x v="1829"/>
    <x v="1305"/>
    <n v="31737"/>
  </r>
  <r>
    <s v="Coastal"/>
    <n v="1911"/>
    <s v="Port Everglades, FL"/>
    <n v="5110"/>
    <x v="112"/>
    <x v="10"/>
    <n v="30991"/>
    <x v="1830"/>
    <x v="225"/>
    <n v="30991"/>
  </r>
  <r>
    <s v="Coastal"/>
    <n v="1911"/>
    <s v="Port Everglades, FL"/>
    <n v="6861"/>
    <x v="69"/>
    <x v="10"/>
    <n v="30125"/>
    <x v="1831"/>
    <x v="1306"/>
    <n v="30125"/>
  </r>
  <r>
    <s v="Coastal"/>
    <n v="1911"/>
    <s v="Port Everglades, FL"/>
    <n v="7400"/>
    <x v="77"/>
    <x v="10"/>
    <n v="29206"/>
    <x v="1832"/>
    <x v="1307"/>
    <n v="29206"/>
  </r>
  <r>
    <s v="Coastal"/>
    <n v="1911"/>
    <s v="Port Everglades, FL"/>
    <n v="2640"/>
    <x v="110"/>
    <x v="10"/>
    <n v="28622"/>
    <x v="1833"/>
    <x v="1308"/>
    <n v="28622"/>
  </r>
  <r>
    <s v="Coastal"/>
    <n v="1911"/>
    <s v="Port Everglades, FL"/>
    <n v="5422"/>
    <x v="66"/>
    <x v="10"/>
    <n v="26615"/>
    <x v="1834"/>
    <x v="1309"/>
    <n v="26615"/>
  </r>
  <r>
    <s v="Coastal"/>
    <n v="1911"/>
    <s v="Port Everglades, FL"/>
    <n v="6442"/>
    <x v="85"/>
    <x v="10"/>
    <n v="26613"/>
    <x v="1835"/>
    <x v="1310"/>
    <n v="26613"/>
  </r>
  <r>
    <s v="Coastal"/>
    <n v="1911"/>
    <s v="Port Everglades, FL"/>
    <n v="6893"/>
    <x v="113"/>
    <x v="10"/>
    <n v="25510"/>
    <x v="1836"/>
    <x v="1311"/>
    <n v="25510"/>
  </r>
  <r>
    <s v="Coastal"/>
    <n v="1911"/>
    <s v="Port Everglades, FL"/>
    <n v="3274"/>
    <x v="86"/>
    <x v="10"/>
    <n v="25365"/>
    <x v="296"/>
    <x v="1312"/>
    <n v="25365"/>
  </r>
  <r>
    <s v="Coastal"/>
    <n v="1911"/>
    <s v="Port Everglades, FL"/>
    <n v="6136"/>
    <x v="95"/>
    <x v="10"/>
    <n v="20929"/>
    <x v="1837"/>
    <x v="1313"/>
    <n v="20929"/>
  </r>
  <r>
    <s v="Coastal"/>
    <n v="1911"/>
    <s v="Port Everglades, FL"/>
    <n v="6899"/>
    <x v="114"/>
    <x v="10"/>
    <n v="20876"/>
    <x v="1838"/>
    <x v="1314"/>
    <n v="20876"/>
  </r>
  <r>
    <s v="Coastal"/>
    <n v="1911"/>
    <s v="Port Everglades, FL"/>
    <n v="3276"/>
    <x v="12"/>
    <x v="10"/>
    <n v="17814"/>
    <x v="1839"/>
    <x v="1315"/>
    <n v="17814"/>
  </r>
  <r>
    <s v="Coastal"/>
    <n v="1911"/>
    <s v="Port Everglades, FL"/>
    <n v="3299"/>
    <x v="79"/>
    <x v="10"/>
    <n v="17344"/>
    <x v="1840"/>
    <x v="1316"/>
    <n v="17344"/>
  </r>
  <r>
    <s v="Coastal"/>
    <n v="1911"/>
    <s v="Port Everglades, FL"/>
    <n v="5312"/>
    <x v="52"/>
    <x v="10"/>
    <n v="15978"/>
    <x v="1841"/>
    <x v="1317"/>
    <n v="15978"/>
  </r>
  <r>
    <s v="Coastal"/>
    <n v="1911"/>
    <s v="Port Everglades, FL"/>
    <n v="6871"/>
    <x v="73"/>
    <x v="10"/>
    <n v="15690"/>
    <x v="1842"/>
    <x v="1318"/>
    <n v="15690"/>
  </r>
  <r>
    <s v="Coastal"/>
    <n v="1911"/>
    <s v="Port Everglades, FL"/>
    <n v="6782"/>
    <x v="27"/>
    <x v="10"/>
    <n v="15283"/>
    <x v="1843"/>
    <x v="1319"/>
    <n v="15283"/>
  </r>
  <r>
    <s v="Coastal"/>
    <n v="1911"/>
    <s v="Port Everglades, FL"/>
    <n v="4782"/>
    <x v="45"/>
    <x v="10"/>
    <n v="15233"/>
    <x v="1844"/>
    <x v="1320"/>
    <n v="15233"/>
  </r>
  <r>
    <s v="Coastal"/>
    <n v="1911"/>
    <s v="Port Everglades, FL"/>
    <n v="4420"/>
    <x v="8"/>
    <x v="10"/>
    <n v="14689"/>
    <x v="1845"/>
    <x v="1321"/>
    <n v="14689"/>
  </r>
  <r>
    <s v="Coastal"/>
    <n v="1911"/>
    <s v="Port Everglades, FL"/>
    <n v="4331"/>
    <x v="29"/>
    <x v="10"/>
    <n v="13770"/>
    <x v="1846"/>
    <x v="1322"/>
    <n v="13770"/>
  </r>
  <r>
    <s v="Coastal"/>
    <n v="1911"/>
    <s v="Port Everglades, FL"/>
    <n v="3282"/>
    <x v="91"/>
    <x v="10"/>
    <n v="13380"/>
    <x v="1847"/>
    <x v="1323"/>
    <n v="13380"/>
  </r>
  <r>
    <s v="Coastal"/>
    <n v="1911"/>
    <s v="Port Everglades, FL"/>
    <n v="6894"/>
    <x v="120"/>
    <x v="10"/>
    <n v="12256"/>
    <x v="1848"/>
    <x v="569"/>
    <n v="12256"/>
  </r>
  <r>
    <s v="Coastal"/>
    <n v="1911"/>
    <s v="Port Everglades, FL"/>
    <n v="4310"/>
    <x v="96"/>
    <x v="10"/>
    <n v="11995"/>
    <x v="1849"/>
    <x v="12"/>
    <n v="11995"/>
  </r>
  <r>
    <s v="Coastal"/>
    <n v="1911"/>
    <s v="Port Everglades, FL"/>
    <n v="4150"/>
    <x v="101"/>
    <x v="10"/>
    <n v="11421"/>
    <x v="1850"/>
    <x v="1033"/>
    <n v="11421"/>
  </r>
  <r>
    <s v="Coastal"/>
    <n v="1911"/>
    <s v="Port Everglades, FL"/>
    <n v="6344"/>
    <x v="25"/>
    <x v="10"/>
    <n v="10908"/>
    <x v="1851"/>
    <x v="1324"/>
    <n v="10908"/>
  </r>
  <r>
    <s v="Coastal"/>
    <n v="1911"/>
    <s v="Port Everglades, FL"/>
    <n v="5370"/>
    <x v="81"/>
    <x v="10"/>
    <n v="10437"/>
    <x v="1852"/>
    <x v="1325"/>
    <n v="10437"/>
  </r>
  <r>
    <s v="Coastal"/>
    <n v="1911"/>
    <s v="Port Everglades, FL"/>
    <n v="6835"/>
    <x v="92"/>
    <x v="10"/>
    <n v="9836"/>
    <x v="1853"/>
    <x v="1326"/>
    <n v="9836"/>
  </r>
  <r>
    <s v="Coastal"/>
    <n v="1911"/>
    <s v="Port Everglades, FL"/>
    <n v="3279"/>
    <x v="58"/>
    <x v="10"/>
    <n v="9723"/>
    <x v="1854"/>
    <x v="1327"/>
    <n v="9723"/>
  </r>
  <r>
    <s v="Coastal"/>
    <n v="1911"/>
    <s v="Port Everglades, FL"/>
    <n v="4900"/>
    <x v="14"/>
    <x v="10"/>
    <n v="9568"/>
    <x v="1855"/>
    <x v="1328"/>
    <n v="9568"/>
  </r>
  <r>
    <s v="Coastal"/>
    <n v="1911"/>
    <s v="Port Everglades, FL"/>
    <n v="6839"/>
    <x v="106"/>
    <x v="10"/>
    <n v="9148"/>
    <x v="1856"/>
    <x v="1329"/>
    <n v="9148"/>
  </r>
  <r>
    <s v="Coastal"/>
    <n v="1911"/>
    <s v="Port Everglades, FL"/>
    <n v="5421"/>
    <x v="88"/>
    <x v="10"/>
    <n v="8865"/>
    <x v="272"/>
    <x v="1330"/>
    <n v="8865"/>
  </r>
  <r>
    <s v="Coastal"/>
    <n v="1911"/>
    <s v="Port Everglades, FL"/>
    <n v="5330"/>
    <x v="16"/>
    <x v="10"/>
    <n v="8669"/>
    <x v="1322"/>
    <x v="1331"/>
    <n v="8669"/>
  </r>
  <r>
    <s v="Coastal"/>
    <n v="1911"/>
    <s v="Port Everglades, FL"/>
    <n v="3292"/>
    <x v="51"/>
    <x v="10"/>
    <n v="8656"/>
    <x v="1857"/>
    <x v="1332"/>
    <n v="8656"/>
  </r>
  <r>
    <s v="Coastal"/>
    <n v="1911"/>
    <s v="Port Everglades, FL"/>
    <n v="6817"/>
    <x v="119"/>
    <x v="10"/>
    <n v="8022"/>
    <x v="1858"/>
    <x v="1333"/>
    <n v="8022"/>
  </r>
  <r>
    <s v="Coastal"/>
    <n v="1911"/>
    <s v="Port Everglades, FL"/>
    <n v="3284"/>
    <x v="97"/>
    <x v="10"/>
    <n v="6822"/>
    <x v="1859"/>
    <x v="1334"/>
    <n v="6822"/>
  </r>
  <r>
    <s v="Coastal"/>
    <n v="1911"/>
    <s v="Port Everglades, FL"/>
    <n v="3230"/>
    <x v="80"/>
    <x v="10"/>
    <n v="6182"/>
    <x v="1860"/>
    <x v="1335"/>
    <n v="6182"/>
  </r>
  <r>
    <s v="Coastal"/>
    <n v="1911"/>
    <s v="Port Everglades, FL"/>
    <n v="7220"/>
    <x v="103"/>
    <x v="10"/>
    <n v="5824"/>
    <x v="1861"/>
    <x v="759"/>
    <n v="5824"/>
  </r>
  <r>
    <s v="Coastal"/>
    <n v="1911"/>
    <s v="Port Everglades, FL"/>
    <n v="3250"/>
    <x v="108"/>
    <x v="10"/>
    <n v="5673"/>
    <x v="137"/>
    <x v="1336"/>
    <n v="5673"/>
  </r>
  <r>
    <s v="Coastal"/>
    <n v="1911"/>
    <s v="Port Everglades, FL"/>
    <n v="4783"/>
    <x v="7"/>
    <x v="10"/>
    <n v="5449"/>
    <x v="1862"/>
    <x v="1337"/>
    <n v="5449"/>
  </r>
  <r>
    <s v="Coastal"/>
    <n v="1911"/>
    <s v="Port Everglades, FL"/>
    <n v="4190"/>
    <x v="99"/>
    <x v="10"/>
    <n v="5218"/>
    <x v="1863"/>
    <x v="1097"/>
    <n v="5218"/>
  </r>
  <r>
    <s v="Coastal"/>
    <n v="1911"/>
    <s v="Port Everglades, FL"/>
    <n v="5429"/>
    <x v="61"/>
    <x v="10"/>
    <n v="4845"/>
    <x v="1864"/>
    <x v="1338"/>
    <n v="4845"/>
  </r>
  <r>
    <s v="Coastal"/>
    <n v="1911"/>
    <s v="Port Everglades, FL"/>
    <n v="3297"/>
    <x v="116"/>
    <x v="10"/>
    <n v="4631"/>
    <x v="1865"/>
    <x v="1339"/>
    <n v="4631"/>
  </r>
  <r>
    <s v="Coastal"/>
    <n v="1911"/>
    <s v="Port Everglades, FL"/>
    <n v="3190"/>
    <x v="38"/>
    <x v="10"/>
    <n v="4548"/>
    <x v="1866"/>
    <x v="1340"/>
    <n v="4548"/>
  </r>
  <r>
    <s v="Coastal"/>
    <n v="1911"/>
    <s v="Port Everglades, FL"/>
    <n v="3291"/>
    <x v="117"/>
    <x v="10"/>
    <n v="4456"/>
    <x v="1867"/>
    <x v="1341"/>
    <n v="4456"/>
  </r>
  <r>
    <s v="Coastal"/>
    <n v="1911"/>
    <s v="Port Everglades, FL"/>
    <n v="6746"/>
    <x v="118"/>
    <x v="10"/>
    <n v="3472"/>
    <x v="1868"/>
    <x v="1342"/>
    <n v="3472"/>
  </r>
  <r>
    <s v="Coastal"/>
    <n v="1911"/>
    <s v="Port Everglades, FL"/>
    <n v="4170"/>
    <x v="55"/>
    <x v="10"/>
    <n v="3061"/>
    <x v="276"/>
    <x v="1343"/>
    <n v="3061"/>
  </r>
  <r>
    <s v="Coastal"/>
    <n v="1911"/>
    <s v="Port Everglades, FL"/>
    <n v="3293"/>
    <x v="122"/>
    <x v="10"/>
    <n v="2484"/>
    <x v="410"/>
    <x v="1344"/>
    <n v="2484"/>
  </r>
  <r>
    <s v="Coastal"/>
    <n v="1911"/>
    <s v="Port Everglades, FL"/>
    <n v="4322"/>
    <x v="33"/>
    <x v="10"/>
    <n v="2453"/>
    <x v="1869"/>
    <x v="1345"/>
    <n v="2453"/>
  </r>
  <r>
    <s v="Coastal"/>
    <n v="1911"/>
    <s v="Port Everglades, FL"/>
    <n v="1100"/>
    <x v="32"/>
    <x v="10"/>
    <n v="2110"/>
    <x v="1870"/>
    <x v="214"/>
    <n v="2110"/>
  </r>
  <r>
    <s v="Coastal"/>
    <n v="1911"/>
    <s v="Port Everglades, FL"/>
    <n v="3240"/>
    <x v="53"/>
    <x v="10"/>
    <n v="2057"/>
    <x v="1871"/>
    <x v="1346"/>
    <n v="2057"/>
  </r>
  <r>
    <s v="Coastal"/>
    <n v="1911"/>
    <s v="Port Everglades, FL"/>
    <n v="3219"/>
    <x v="19"/>
    <x v="10"/>
    <n v="1739"/>
    <x v="291"/>
    <x v="1347"/>
    <n v="1739"/>
  </r>
  <r>
    <s v="Coastal"/>
    <n v="1911"/>
    <s v="Port Everglades, FL"/>
    <n v="6590"/>
    <x v="23"/>
    <x v="10"/>
    <n v="1730"/>
    <x v="1872"/>
    <x v="1348"/>
    <n v="1730"/>
  </r>
  <r>
    <s v="Coastal"/>
    <n v="1911"/>
    <s v="Port Everglades, FL"/>
    <n v="3260"/>
    <x v="107"/>
    <x v="10"/>
    <n v="1667"/>
    <x v="1873"/>
    <x v="1349"/>
    <n v="1667"/>
  </r>
  <r>
    <s v="Coastal"/>
    <n v="1911"/>
    <s v="Port Everglades, FL"/>
    <n v="6838"/>
    <x v="131"/>
    <x v="10"/>
    <n v="1474"/>
    <x v="1874"/>
    <x v="454"/>
    <n v="1474"/>
  </r>
  <r>
    <s v="Coastal"/>
    <n v="1911"/>
    <s v="Port Everglades, FL"/>
    <n v="2350"/>
    <x v="40"/>
    <x v="10"/>
    <n v="1378"/>
    <x v="1875"/>
    <x v="1350"/>
    <n v="1378"/>
  </r>
  <r>
    <s v="Coastal"/>
    <n v="1911"/>
    <s v="Port Everglades, FL"/>
    <n v="3130"/>
    <x v="37"/>
    <x v="10"/>
    <n v="1374"/>
    <x v="1693"/>
    <x v="93"/>
    <n v="1374"/>
  </r>
  <r>
    <s v="Coastal"/>
    <n v="1911"/>
    <s v="Port Everglades, FL"/>
    <n v="6781"/>
    <x v="128"/>
    <x v="10"/>
    <n v="1341"/>
    <x v="1876"/>
    <x v="1351"/>
    <n v="1341"/>
  </r>
  <r>
    <s v="Coastal"/>
    <n v="1911"/>
    <s v="Port Everglades, FL"/>
    <n v="6522"/>
    <x v="26"/>
    <x v="10"/>
    <n v="1312"/>
    <x v="720"/>
    <x v="1352"/>
    <n v="1312"/>
  </r>
  <r>
    <s v="Coastal"/>
    <n v="1911"/>
    <s v="Port Everglades, FL"/>
    <n v="5390"/>
    <x v="44"/>
    <x v="10"/>
    <n v="1220"/>
    <x v="1877"/>
    <x v="1353"/>
    <n v="1220"/>
  </r>
  <r>
    <s v="Coastal"/>
    <n v="1911"/>
    <s v="Port Everglades, FL"/>
    <n v="2540"/>
    <x v="15"/>
    <x v="10"/>
    <n v="1004"/>
    <x v="1878"/>
    <x v="1190"/>
    <n v="1004"/>
  </r>
  <r>
    <s v="Coastal"/>
    <n v="1911"/>
    <s v="Port Everglades, FL"/>
    <n v="3283"/>
    <x v="111"/>
    <x v="10"/>
    <n v="958"/>
    <x v="1879"/>
    <x v="1354"/>
    <n v="958"/>
  </r>
  <r>
    <s v="Coastal"/>
    <n v="1911"/>
    <s v="Port Everglades, FL"/>
    <n v="3110"/>
    <x v="36"/>
    <x v="10"/>
    <n v="881"/>
    <x v="1880"/>
    <x v="379"/>
    <n v="881"/>
  </r>
  <r>
    <s v="Coastal"/>
    <n v="1911"/>
    <s v="Port Everglades, FL"/>
    <n v="4110"/>
    <x v="105"/>
    <x v="10"/>
    <n v="577"/>
    <x v="1522"/>
    <x v="442"/>
    <n v="577"/>
  </r>
  <r>
    <s v="Coastal"/>
    <n v="1911"/>
    <s v="Port Everglades, FL"/>
    <n v="7300"/>
    <x v="115"/>
    <x v="10"/>
    <n v="514"/>
    <x v="1881"/>
    <x v="1029"/>
    <n v="514"/>
  </r>
  <r>
    <s v="Coastal"/>
    <n v="1911"/>
    <s v="Port Everglades, FL"/>
    <n v="3273"/>
    <x v="46"/>
    <x v="10"/>
    <n v="487"/>
    <x v="418"/>
    <x v="1355"/>
    <n v="487"/>
  </r>
  <r>
    <s v="Coastal"/>
    <n v="1911"/>
    <s v="Port Everglades, FL"/>
    <n v="5315"/>
    <x v="48"/>
    <x v="10"/>
    <n v="437"/>
    <x v="1882"/>
    <x v="82"/>
    <n v="437"/>
  </r>
  <r>
    <s v="Coastal"/>
    <n v="1911"/>
    <s v="Port Everglades, FL"/>
    <n v="6872"/>
    <x v="100"/>
    <x v="10"/>
    <n v="384"/>
    <x v="976"/>
    <x v="1356"/>
    <n v="384"/>
  </r>
  <r>
    <s v="Coastal"/>
    <n v="1911"/>
    <s v="Port Everglades, FL"/>
    <n v="6445"/>
    <x v="136"/>
    <x v="10"/>
    <n v="383"/>
    <x v="1883"/>
    <x v="1357"/>
    <n v="383"/>
  </r>
  <r>
    <s v="Coastal"/>
    <n v="1911"/>
    <s v="Port Everglades, FL"/>
    <n v="3298"/>
    <x v="123"/>
    <x v="10"/>
    <n v="324"/>
    <x v="1083"/>
    <x v="104"/>
    <n v="324"/>
  </r>
  <r>
    <s v="Coastal"/>
    <n v="1911"/>
    <s v="Port Everglades, FL"/>
    <n v="3272"/>
    <x v="137"/>
    <x v="10"/>
    <n v="275"/>
    <x v="19"/>
    <x v="1358"/>
    <n v="275"/>
  </r>
  <r>
    <s v="Coastal"/>
    <n v="1911"/>
    <s v="Port Everglades, FL"/>
    <n v="2410"/>
    <x v="98"/>
    <x v="10"/>
    <n v="272"/>
    <x v="669"/>
    <x v="1359"/>
    <n v="272"/>
  </r>
  <r>
    <s v="Coastal"/>
    <n v="1911"/>
    <s v="Port Everglades, FL"/>
    <n v="4161"/>
    <x v="54"/>
    <x v="10"/>
    <n v="262"/>
    <x v="611"/>
    <x v="123"/>
    <n v="262"/>
  </r>
  <r>
    <s v="Coastal"/>
    <n v="1911"/>
    <s v="Port Everglades, FL"/>
    <n v="6241"/>
    <x v="28"/>
    <x v="10"/>
    <n v="238"/>
    <x v="14"/>
    <x v="1360"/>
    <n v="238"/>
  </r>
  <r>
    <s v="Coastal"/>
    <n v="1911"/>
    <s v="Port Everglades, FL"/>
    <n v="4515"/>
    <x v="129"/>
    <x v="10"/>
    <n v="181"/>
    <x v="1879"/>
    <x v="0"/>
    <n v="181"/>
  </r>
  <r>
    <s v="Coastal"/>
    <n v="1911"/>
    <s v="Port Everglades, FL"/>
    <n v="2429"/>
    <x v="17"/>
    <x v="10"/>
    <n v="161"/>
    <x v="0"/>
    <x v="120"/>
    <n v="161"/>
  </r>
  <r>
    <s v="Coastal"/>
    <n v="1911"/>
    <s v="Port Everglades, FL"/>
    <n v="6521"/>
    <x v="121"/>
    <x v="10"/>
    <n v="149"/>
    <x v="208"/>
    <x v="1361"/>
    <n v="149"/>
  </r>
  <r>
    <s v="Coastal"/>
    <n v="1911"/>
    <s v="Port Everglades, FL"/>
    <n v="6447"/>
    <x v="132"/>
    <x v="10"/>
    <n v="118"/>
    <x v="152"/>
    <x v="256"/>
    <n v="118"/>
  </r>
  <r>
    <s v="Coastal"/>
    <n v="1911"/>
    <s v="Port Everglades, FL"/>
    <n v="4410"/>
    <x v="34"/>
    <x v="10"/>
    <n v="108"/>
    <x v="0"/>
    <x v="513"/>
    <n v="108"/>
  </r>
  <r>
    <s v="Coastal"/>
    <n v="1911"/>
    <s v="Port Everglades, FL"/>
    <n v="5210"/>
    <x v="130"/>
    <x v="10"/>
    <n v="78"/>
    <x v="412"/>
    <x v="263"/>
    <n v="78"/>
  </r>
  <r>
    <s v="Coastal"/>
    <n v="1911"/>
    <s v="Port Everglades, FL"/>
    <n v="6534"/>
    <x v="141"/>
    <x v="10"/>
    <n v="69"/>
    <x v="1086"/>
    <x v="0"/>
    <n v="69"/>
  </r>
  <r>
    <s v="Coastal"/>
    <n v="1911"/>
    <s v="Port Everglades, FL"/>
    <n v="2990"/>
    <x v="102"/>
    <x v="10"/>
    <n v="68"/>
    <x v="1884"/>
    <x v="0"/>
    <n v="68"/>
  </r>
  <r>
    <s v="Coastal"/>
    <n v="1911"/>
    <s v="Port Everglades, FL"/>
    <n v="4741"/>
    <x v="56"/>
    <x v="10"/>
    <n v="27"/>
    <x v="19"/>
    <x v="160"/>
    <n v="27"/>
  </r>
  <r>
    <s v="Coastal"/>
    <n v="1911"/>
    <s v="Port Everglades, FL"/>
    <n v="3212"/>
    <x v="39"/>
    <x v="10"/>
    <n v="12"/>
    <x v="0"/>
    <x v="1007"/>
    <n v="12"/>
  </r>
  <r>
    <s v="Coastal"/>
    <n v="1911"/>
    <s v="Port Everglades, FL"/>
    <n v="5320"/>
    <x v="13"/>
    <x v="10"/>
    <n v="7"/>
    <x v="393"/>
    <x v="237"/>
    <n v="7"/>
  </r>
  <r>
    <s v="Coastal"/>
    <n v="1911"/>
    <s v="Port Everglades, FL"/>
    <n v="4670"/>
    <x v="90"/>
    <x v="10"/>
    <n v="5"/>
    <x v="504"/>
    <x v="276"/>
    <n v="5"/>
  </r>
  <r>
    <s v="Coastal"/>
    <n v="1911"/>
    <s v="Port Everglades, FL"/>
    <n v="6865"/>
    <x v="75"/>
    <x v="10"/>
    <n v="2"/>
    <x v="0"/>
    <x v="284"/>
    <n v="2"/>
  </r>
  <r>
    <s v="Coastal"/>
    <n v="1911"/>
    <s v="Port Everglades, FL"/>
    <n v="3281"/>
    <x v="125"/>
    <x v="10"/>
    <n v="1"/>
    <x v="0"/>
    <x v="276"/>
    <n v="1"/>
  </r>
  <r>
    <s v="Coastal"/>
    <n v="2408"/>
    <s v="Port Freeport, TX"/>
    <n v="2640"/>
    <x v="110"/>
    <x v="2350"/>
    <n v="22205105"/>
    <x v="1885"/>
    <x v="1362"/>
    <n v="22228836"/>
  </r>
  <r>
    <s v="Coastal"/>
    <n v="2408"/>
    <s v="Port Freeport, TX"/>
    <n v="2100"/>
    <x v="35"/>
    <x v="2351"/>
    <n v="8332121"/>
    <x v="1886"/>
    <x v="1363"/>
    <n v="8416060"/>
  </r>
  <r>
    <s v="Coastal"/>
    <n v="2408"/>
    <s v="Port Freeport, TX"/>
    <n v="2429"/>
    <x v="17"/>
    <x v="2352"/>
    <n v="1072557"/>
    <x v="0"/>
    <x v="1364"/>
    <n v="1515300"/>
  </r>
  <r>
    <s v="Coastal"/>
    <n v="2408"/>
    <s v="Port Freeport, TX"/>
    <n v="3220"/>
    <x v="2"/>
    <x v="2353"/>
    <n v="1059625"/>
    <x v="1887"/>
    <x v="1365"/>
    <n v="1310202"/>
  </r>
  <r>
    <s v="Coastal"/>
    <n v="2408"/>
    <s v="Port Freeport, TX"/>
    <n v="3274"/>
    <x v="86"/>
    <x v="2354"/>
    <n v="1095520"/>
    <x v="0"/>
    <x v="1366"/>
    <n v="1278738"/>
  </r>
  <r>
    <s v="Coastal"/>
    <n v="2408"/>
    <s v="Port Freeport, TX"/>
    <n v="2330"/>
    <x v="1"/>
    <x v="2355"/>
    <n v="327147"/>
    <x v="1888"/>
    <x v="1367"/>
    <n v="1006182"/>
  </r>
  <r>
    <s v="Coastal"/>
    <n v="2408"/>
    <s v="Port Freeport, TX"/>
    <n v="3211"/>
    <x v="124"/>
    <x v="2356"/>
    <n v="689419"/>
    <x v="1889"/>
    <x v="1368"/>
    <n v="945021"/>
  </r>
  <r>
    <s v="Coastal"/>
    <n v="2408"/>
    <s v="Port Freeport, TX"/>
    <n v="3219"/>
    <x v="19"/>
    <x v="2357"/>
    <n v="321024"/>
    <x v="1890"/>
    <x v="1369"/>
    <n v="895509"/>
  </r>
  <r>
    <s v="Coastal"/>
    <n v="2408"/>
    <s v="Port Freeport, TX"/>
    <n v="3273"/>
    <x v="46"/>
    <x v="2358"/>
    <n v="72211"/>
    <x v="1891"/>
    <x v="1370"/>
    <n v="479171"/>
  </r>
  <r>
    <s v="Coastal"/>
    <n v="2408"/>
    <s v="Port Freeport, TX"/>
    <n v="3286"/>
    <x v="57"/>
    <x v="2359"/>
    <n v="323445"/>
    <x v="1892"/>
    <x v="1371"/>
    <n v="404256"/>
  </r>
  <r>
    <s v="Coastal"/>
    <n v="2408"/>
    <s v="Port Freeport, TX"/>
    <n v="5360"/>
    <x v="94"/>
    <x v="2360"/>
    <n v="327308"/>
    <x v="1893"/>
    <x v="704"/>
    <n v="387520"/>
  </r>
  <r>
    <s v="Coastal"/>
    <n v="2408"/>
    <s v="Port Freeport, TX"/>
    <n v="3212"/>
    <x v="39"/>
    <x v="2361"/>
    <n v="21231"/>
    <x v="1894"/>
    <x v="434"/>
    <n v="376190"/>
  </r>
  <r>
    <s v="Coastal"/>
    <n v="2408"/>
    <s v="Port Freeport, TX"/>
    <n v="3272"/>
    <x v="137"/>
    <x v="2362"/>
    <n v="0"/>
    <x v="0"/>
    <x v="0"/>
    <n v="325306"/>
  </r>
  <r>
    <s v="Coastal"/>
    <n v="2408"/>
    <s v="Port Freeport, TX"/>
    <n v="2211"/>
    <x v="0"/>
    <x v="2363"/>
    <n v="6042"/>
    <x v="1895"/>
    <x v="1372"/>
    <n v="282182"/>
  </r>
  <r>
    <s v="Coastal"/>
    <n v="2408"/>
    <s v="Port Freeport, TX"/>
    <n v="3260"/>
    <x v="107"/>
    <x v="2364"/>
    <n v="103898"/>
    <x v="1896"/>
    <x v="1373"/>
    <n v="279049"/>
  </r>
  <r>
    <s v="Coastal"/>
    <n v="2408"/>
    <s v="Port Freeport, TX"/>
    <n v="6856"/>
    <x v="126"/>
    <x v="10"/>
    <n v="276338"/>
    <x v="1897"/>
    <x v="694"/>
    <n v="276338"/>
  </r>
  <r>
    <s v="Coastal"/>
    <n v="2408"/>
    <s v="Port Freeport, TX"/>
    <n v="4322"/>
    <x v="33"/>
    <x v="10"/>
    <n v="275823"/>
    <x v="1898"/>
    <x v="0"/>
    <n v="275823"/>
  </r>
  <r>
    <s v="Coastal"/>
    <n v="2408"/>
    <s v="Port Freeport, TX"/>
    <n v="2340"/>
    <x v="3"/>
    <x v="2365"/>
    <n v="112187"/>
    <x v="1899"/>
    <x v="0"/>
    <n v="268738"/>
  </r>
  <r>
    <s v="Coastal"/>
    <n v="2408"/>
    <s v="Port Freeport, TX"/>
    <n v="3240"/>
    <x v="53"/>
    <x v="2366"/>
    <n v="45490"/>
    <x v="1900"/>
    <x v="1374"/>
    <n v="191229"/>
  </r>
  <r>
    <s v="Coastal"/>
    <n v="2408"/>
    <s v="Port Freeport, TX"/>
    <n v="7210"/>
    <x v="59"/>
    <x v="10"/>
    <n v="189598"/>
    <x v="1901"/>
    <x v="1375"/>
    <n v="189598"/>
  </r>
  <r>
    <s v="Coastal"/>
    <n v="2408"/>
    <s v="Port Freeport, TX"/>
    <n v="3230"/>
    <x v="80"/>
    <x v="2367"/>
    <n v="27387"/>
    <x v="1902"/>
    <x v="1376"/>
    <n v="118647"/>
  </r>
  <r>
    <s v="Coastal"/>
    <n v="2408"/>
    <s v="Port Freeport, TX"/>
    <n v="5370"/>
    <x v="81"/>
    <x v="2368"/>
    <n v="83508"/>
    <x v="1903"/>
    <x v="1068"/>
    <n v="110277"/>
  </r>
  <r>
    <s v="Coastal"/>
    <n v="2408"/>
    <s v="Port Freeport, TX"/>
    <n v="6442"/>
    <x v="85"/>
    <x v="2369"/>
    <n v="37662"/>
    <x v="211"/>
    <x v="1377"/>
    <n v="90362"/>
  </r>
  <r>
    <s v="Coastal"/>
    <n v="2408"/>
    <s v="Port Freeport, TX"/>
    <n v="7110"/>
    <x v="4"/>
    <x v="2370"/>
    <n v="84554"/>
    <x v="1904"/>
    <x v="1378"/>
    <n v="85892"/>
  </r>
  <r>
    <s v="Coastal"/>
    <n v="2408"/>
    <s v="Port Freeport, TX"/>
    <n v="4331"/>
    <x v="29"/>
    <x v="10"/>
    <n v="71401"/>
    <x v="1905"/>
    <x v="1358"/>
    <n v="71401"/>
  </r>
  <r>
    <s v="Coastal"/>
    <n v="2408"/>
    <s v="Port Freeport, TX"/>
    <n v="2990"/>
    <x v="102"/>
    <x v="2371"/>
    <n v="536"/>
    <x v="1906"/>
    <x v="0"/>
    <n v="45820"/>
  </r>
  <r>
    <s v="Coastal"/>
    <n v="2408"/>
    <s v="Port Freeport, TX"/>
    <n v="2430"/>
    <x v="11"/>
    <x v="2372"/>
    <n v="2234"/>
    <x v="0"/>
    <x v="1379"/>
    <n v="42383"/>
  </r>
  <r>
    <s v="Coastal"/>
    <n v="2408"/>
    <s v="Port Freeport, TX"/>
    <n v="7900"/>
    <x v="21"/>
    <x v="2373"/>
    <n v="28093"/>
    <x v="1907"/>
    <x v="1380"/>
    <n v="32368"/>
  </r>
  <r>
    <s v="Coastal"/>
    <n v="2408"/>
    <s v="Port Freeport, TX"/>
    <n v="3279"/>
    <x v="58"/>
    <x v="10"/>
    <n v="30368"/>
    <x v="1908"/>
    <x v="1381"/>
    <n v="30368"/>
  </r>
  <r>
    <s v="Coastal"/>
    <n v="2408"/>
    <s v="Port Freeport, TX"/>
    <n v="6857"/>
    <x v="104"/>
    <x v="10"/>
    <n v="26319"/>
    <x v="1909"/>
    <x v="1382"/>
    <n v="26319"/>
  </r>
  <r>
    <s v="Coastal"/>
    <n v="2408"/>
    <s v="Port Freeport, TX"/>
    <n v="3250"/>
    <x v="108"/>
    <x v="2374"/>
    <n v="122"/>
    <x v="0"/>
    <x v="1383"/>
    <n v="25552"/>
  </r>
  <r>
    <s v="Coastal"/>
    <n v="2408"/>
    <s v="Port Freeport, TX"/>
    <n v="7500"/>
    <x v="60"/>
    <x v="10"/>
    <n v="20703"/>
    <x v="1910"/>
    <x v="1384"/>
    <n v="20703"/>
  </r>
  <r>
    <s v="Coastal"/>
    <n v="2408"/>
    <s v="Port Freeport, TX"/>
    <n v="5320"/>
    <x v="13"/>
    <x v="10"/>
    <n v="20533"/>
    <x v="1911"/>
    <x v="0"/>
    <n v="20533"/>
  </r>
  <r>
    <s v="Coastal"/>
    <n v="2408"/>
    <s v="Port Freeport, TX"/>
    <n v="9900"/>
    <x v="18"/>
    <x v="10"/>
    <n v="20139"/>
    <x v="1912"/>
    <x v="1385"/>
    <n v="20139"/>
  </r>
  <r>
    <s v="Coastal"/>
    <n v="2408"/>
    <s v="Port Freeport, TX"/>
    <n v="3299"/>
    <x v="79"/>
    <x v="2375"/>
    <n v="12017"/>
    <x v="1913"/>
    <x v="1386"/>
    <n v="19245"/>
  </r>
  <r>
    <s v="Coastal"/>
    <n v="2408"/>
    <s v="Port Freeport, TX"/>
    <n v="4650"/>
    <x v="67"/>
    <x v="10"/>
    <n v="14499"/>
    <x v="1914"/>
    <x v="0"/>
    <n v="14499"/>
  </r>
  <r>
    <s v="Coastal"/>
    <n v="2408"/>
    <s v="Port Freeport, TX"/>
    <n v="5480"/>
    <x v="20"/>
    <x v="10"/>
    <n v="13769"/>
    <x v="1915"/>
    <x v="1387"/>
    <n v="13769"/>
  </r>
  <r>
    <s v="Coastal"/>
    <n v="2408"/>
    <s v="Port Freeport, TX"/>
    <n v="6811"/>
    <x v="76"/>
    <x v="10"/>
    <n v="11522"/>
    <x v="138"/>
    <x v="1388"/>
    <n v="11522"/>
  </r>
  <r>
    <s v="Coastal"/>
    <n v="2408"/>
    <s v="Port Freeport, TX"/>
    <n v="5421"/>
    <x v="88"/>
    <x v="10"/>
    <n v="10381"/>
    <x v="388"/>
    <x v="1389"/>
    <n v="10381"/>
  </r>
  <r>
    <s v="Coastal"/>
    <n v="2408"/>
    <s v="Port Freeport, TX"/>
    <n v="3275"/>
    <x v="47"/>
    <x v="2376"/>
    <n v="3233"/>
    <x v="1916"/>
    <x v="1390"/>
    <n v="9871"/>
  </r>
  <r>
    <s v="Coastal"/>
    <n v="2408"/>
    <s v="Port Freeport, TX"/>
    <n v="5330"/>
    <x v="16"/>
    <x v="624"/>
    <n v="6538"/>
    <x v="1917"/>
    <x v="454"/>
    <n v="9820"/>
  </r>
  <r>
    <s v="Coastal"/>
    <n v="2408"/>
    <s v="Port Freeport, TX"/>
    <n v="2350"/>
    <x v="40"/>
    <x v="10"/>
    <n v="9082"/>
    <x v="0"/>
    <x v="1391"/>
    <n v="9082"/>
  </r>
  <r>
    <s v="Coastal"/>
    <n v="2408"/>
    <s v="Port Freeport, TX"/>
    <n v="7600"/>
    <x v="68"/>
    <x v="10"/>
    <n v="7006"/>
    <x v="1918"/>
    <x v="1392"/>
    <n v="7006"/>
  </r>
  <r>
    <s v="Coastal"/>
    <n v="2408"/>
    <s v="Port Freeport, TX"/>
    <n v="6654"/>
    <x v="50"/>
    <x v="10"/>
    <n v="5961"/>
    <x v="1919"/>
    <x v="199"/>
    <n v="5961"/>
  </r>
  <r>
    <s v="Coastal"/>
    <n v="2408"/>
    <s v="Port Freeport, TX"/>
    <n v="4741"/>
    <x v="56"/>
    <x v="10"/>
    <n v="5844"/>
    <x v="0"/>
    <x v="1393"/>
    <n v="5844"/>
  </r>
  <r>
    <s v="Coastal"/>
    <n v="2408"/>
    <s v="Port Freeport, TX"/>
    <n v="5290"/>
    <x v="49"/>
    <x v="10"/>
    <n v="5675"/>
    <x v="1920"/>
    <x v="1394"/>
    <n v="5675"/>
  </r>
  <r>
    <s v="Coastal"/>
    <n v="2408"/>
    <s v="Port Freeport, TX"/>
    <n v="6858"/>
    <x v="74"/>
    <x v="10"/>
    <n v="5311"/>
    <x v="1921"/>
    <x v="1395"/>
    <n v="5311"/>
  </r>
  <r>
    <s v="Coastal"/>
    <n v="2408"/>
    <s v="Port Freeport, TX"/>
    <n v="6885"/>
    <x v="72"/>
    <x v="10"/>
    <n v="4740"/>
    <x v="1922"/>
    <x v="1396"/>
    <n v="4740"/>
  </r>
  <r>
    <s v="Coastal"/>
    <n v="2408"/>
    <s v="Port Freeport, TX"/>
    <n v="6889"/>
    <x v="42"/>
    <x v="10"/>
    <n v="4091"/>
    <x v="1923"/>
    <x v="765"/>
    <n v="4091"/>
  </r>
  <r>
    <s v="Coastal"/>
    <n v="2408"/>
    <s v="Port Freeport, TX"/>
    <n v="7120"/>
    <x v="71"/>
    <x v="10"/>
    <n v="3937"/>
    <x v="1924"/>
    <x v="1397"/>
    <n v="3937"/>
  </r>
  <r>
    <s v="Coastal"/>
    <n v="2408"/>
    <s v="Port Freeport, TX"/>
    <n v="2410"/>
    <x v="98"/>
    <x v="10"/>
    <n v="3526"/>
    <x v="1925"/>
    <x v="513"/>
    <n v="3526"/>
  </r>
  <r>
    <s v="Coastal"/>
    <n v="2408"/>
    <s v="Port Freeport, TX"/>
    <n v="6839"/>
    <x v="106"/>
    <x v="10"/>
    <n v="3472"/>
    <x v="0"/>
    <x v="1398"/>
    <n v="3472"/>
  </r>
  <r>
    <s v="Coastal"/>
    <n v="2408"/>
    <s v="Port Freeport, TX"/>
    <n v="3285"/>
    <x v="87"/>
    <x v="10"/>
    <n v="2237"/>
    <x v="390"/>
    <x v="1085"/>
    <n v="2237"/>
  </r>
  <r>
    <s v="Coastal"/>
    <n v="2408"/>
    <s v="Port Freeport, TX"/>
    <n v="3130"/>
    <x v="37"/>
    <x v="10"/>
    <n v="2216"/>
    <x v="1926"/>
    <x v="238"/>
    <n v="2216"/>
  </r>
  <r>
    <s v="Coastal"/>
    <n v="2408"/>
    <s v="Port Freeport, TX"/>
    <n v="3297"/>
    <x v="116"/>
    <x v="10"/>
    <n v="1998"/>
    <x v="0"/>
    <x v="1399"/>
    <n v="1998"/>
  </r>
  <r>
    <s v="Coastal"/>
    <n v="2408"/>
    <s v="Port Freeport, TX"/>
    <n v="4420"/>
    <x v="8"/>
    <x v="2377"/>
    <n v="66"/>
    <x v="0"/>
    <x v="758"/>
    <n v="1797"/>
  </r>
  <r>
    <s v="Coastal"/>
    <n v="2408"/>
    <s v="Port Freeport, TX"/>
    <n v="4189"/>
    <x v="65"/>
    <x v="10"/>
    <n v="1336"/>
    <x v="146"/>
    <x v="354"/>
    <n v="1336"/>
  </r>
  <r>
    <s v="Coastal"/>
    <n v="2408"/>
    <s v="Port Freeport, TX"/>
    <n v="6822"/>
    <x v="84"/>
    <x v="10"/>
    <n v="1327"/>
    <x v="976"/>
    <x v="765"/>
    <n v="1327"/>
  </r>
  <r>
    <s v="Coastal"/>
    <n v="2408"/>
    <s v="Port Freeport, TX"/>
    <n v="4782"/>
    <x v="45"/>
    <x v="10"/>
    <n v="1085"/>
    <x v="0"/>
    <x v="1400"/>
    <n v="1085"/>
  </r>
  <r>
    <s v="Coastal"/>
    <n v="2408"/>
    <s v="Port Freeport, TX"/>
    <n v="4783"/>
    <x v="7"/>
    <x v="10"/>
    <n v="1056"/>
    <x v="0"/>
    <x v="1401"/>
    <n v="1056"/>
  </r>
  <r>
    <s v="Coastal"/>
    <n v="2408"/>
    <s v="Port Freeport, TX"/>
    <n v="5120"/>
    <x v="63"/>
    <x v="10"/>
    <n v="988"/>
    <x v="1927"/>
    <x v="421"/>
    <n v="988"/>
  </r>
  <r>
    <s v="Coastal"/>
    <n v="2408"/>
    <s v="Port Freeport, TX"/>
    <n v="7230"/>
    <x v="22"/>
    <x v="10"/>
    <n v="962"/>
    <x v="1928"/>
    <x v="269"/>
    <n v="962"/>
  </r>
  <r>
    <s v="Coastal"/>
    <n v="2408"/>
    <s v="Port Freeport, TX"/>
    <n v="6747"/>
    <x v="78"/>
    <x v="10"/>
    <n v="868"/>
    <x v="1929"/>
    <x v="83"/>
    <n v="868"/>
  </r>
  <r>
    <s v="Coastal"/>
    <n v="2408"/>
    <s v="Port Freeport, TX"/>
    <n v="6893"/>
    <x v="113"/>
    <x v="10"/>
    <n v="851"/>
    <x v="0"/>
    <x v="1402"/>
    <n v="851"/>
  </r>
  <r>
    <s v="Coastal"/>
    <n v="2408"/>
    <s v="Port Freeport, TX"/>
    <n v="5540"/>
    <x v="64"/>
    <x v="10"/>
    <n v="790"/>
    <x v="1930"/>
    <x v="104"/>
    <n v="790"/>
  </r>
  <r>
    <s v="Coastal"/>
    <n v="2408"/>
    <s v="Port Freeport, TX"/>
    <n v="7220"/>
    <x v="103"/>
    <x v="10"/>
    <n v="685"/>
    <x v="1931"/>
    <x v="425"/>
    <n v="685"/>
  </r>
  <r>
    <s v="Coastal"/>
    <n v="2408"/>
    <s v="Port Freeport, TX"/>
    <n v="6782"/>
    <x v="27"/>
    <x v="10"/>
    <n v="647"/>
    <x v="1881"/>
    <x v="1107"/>
    <n v="647"/>
  </r>
  <r>
    <s v="Coastal"/>
    <n v="2408"/>
    <s v="Port Freeport, TX"/>
    <n v="4225"/>
    <x v="10"/>
    <x v="10"/>
    <n v="516"/>
    <x v="621"/>
    <x v="1003"/>
    <n v="516"/>
  </r>
  <r>
    <s v="Coastal"/>
    <n v="2408"/>
    <s v="Port Freeport, TX"/>
    <n v="3276"/>
    <x v="12"/>
    <x v="10"/>
    <n v="501"/>
    <x v="1884"/>
    <x v="1403"/>
    <n v="501"/>
  </r>
  <r>
    <s v="Coastal"/>
    <n v="2408"/>
    <s v="Port Freeport, TX"/>
    <n v="6134"/>
    <x v="82"/>
    <x v="10"/>
    <n v="341"/>
    <x v="599"/>
    <x v="1033"/>
    <n v="341"/>
  </r>
  <r>
    <s v="Coastal"/>
    <n v="2408"/>
    <s v="Port Freeport, TX"/>
    <n v="4900"/>
    <x v="14"/>
    <x v="10"/>
    <n v="322"/>
    <x v="0"/>
    <x v="206"/>
    <n v="322"/>
  </r>
  <r>
    <s v="Coastal"/>
    <n v="2408"/>
    <s v="Port Freeport, TX"/>
    <n v="7400"/>
    <x v="77"/>
    <x v="10"/>
    <n v="280"/>
    <x v="1248"/>
    <x v="1404"/>
    <n v="280"/>
  </r>
  <r>
    <s v="Coastal"/>
    <n v="2408"/>
    <s v="Port Freeport, TX"/>
    <n v="4161"/>
    <x v="54"/>
    <x v="10"/>
    <n v="275"/>
    <x v="1932"/>
    <x v="0"/>
    <n v="275"/>
  </r>
  <r>
    <s v="Coastal"/>
    <n v="2408"/>
    <s v="Port Freeport, TX"/>
    <n v="3292"/>
    <x v="51"/>
    <x v="10"/>
    <n v="238"/>
    <x v="416"/>
    <x v="616"/>
    <n v="238"/>
  </r>
  <r>
    <s v="Coastal"/>
    <n v="2408"/>
    <s v="Port Freeport, TX"/>
    <n v="4310"/>
    <x v="96"/>
    <x v="10"/>
    <n v="219"/>
    <x v="1602"/>
    <x v="1405"/>
    <n v="219"/>
  </r>
  <r>
    <s v="Coastal"/>
    <n v="2408"/>
    <s v="Port Freeport, TX"/>
    <n v="3291"/>
    <x v="117"/>
    <x v="10"/>
    <n v="174"/>
    <x v="1933"/>
    <x v="131"/>
    <n v="174"/>
  </r>
  <r>
    <s v="Coastal"/>
    <n v="2408"/>
    <s v="Port Freeport, TX"/>
    <n v="3284"/>
    <x v="97"/>
    <x v="10"/>
    <n v="173"/>
    <x v="880"/>
    <x v="1406"/>
    <n v="173"/>
  </r>
  <r>
    <s v="Coastal"/>
    <n v="2408"/>
    <s v="Port Freeport, TX"/>
    <n v="5240"/>
    <x v="89"/>
    <x v="10"/>
    <n v="168"/>
    <x v="414"/>
    <x v="12"/>
    <n v="168"/>
  </r>
  <r>
    <s v="Coastal"/>
    <n v="2408"/>
    <s v="Port Freeport, TX"/>
    <n v="6136"/>
    <x v="95"/>
    <x v="10"/>
    <n v="168"/>
    <x v="1934"/>
    <x v="26"/>
    <n v="168"/>
  </r>
  <r>
    <s v="Coastal"/>
    <n v="2408"/>
    <s v="Port Freeport, TX"/>
    <n v="6888"/>
    <x v="109"/>
    <x v="10"/>
    <n v="148"/>
    <x v="0"/>
    <x v="1407"/>
    <n v="148"/>
  </r>
  <r>
    <s v="Coastal"/>
    <n v="2408"/>
    <s v="Port Freeport, TX"/>
    <n v="3298"/>
    <x v="123"/>
    <x v="10"/>
    <n v="142"/>
    <x v="0"/>
    <x v="1408"/>
    <n v="142"/>
  </r>
  <r>
    <s v="Coastal"/>
    <n v="2408"/>
    <s v="Port Freeport, TX"/>
    <n v="5190"/>
    <x v="83"/>
    <x v="10"/>
    <n v="141"/>
    <x v="153"/>
    <x v="406"/>
    <n v="141"/>
  </r>
  <r>
    <s v="Coastal"/>
    <n v="2408"/>
    <s v="Port Freeport, TX"/>
    <n v="6590"/>
    <x v="23"/>
    <x v="10"/>
    <n v="129"/>
    <x v="695"/>
    <x v="0"/>
    <n v="129"/>
  </r>
  <r>
    <s v="Coastal"/>
    <n v="2408"/>
    <s v="Port Freeport, TX"/>
    <n v="6653"/>
    <x v="24"/>
    <x v="10"/>
    <n v="129"/>
    <x v="393"/>
    <x v="666"/>
    <n v="129"/>
  </r>
  <r>
    <s v="Coastal"/>
    <n v="2408"/>
    <s v="Port Freeport, TX"/>
    <n v="3282"/>
    <x v="91"/>
    <x v="10"/>
    <n v="95"/>
    <x v="0"/>
    <x v="1409"/>
    <n v="95"/>
  </r>
  <r>
    <s v="Coastal"/>
    <n v="2408"/>
    <s v="Port Freeport, TX"/>
    <n v="5422"/>
    <x v="66"/>
    <x v="10"/>
    <n v="74"/>
    <x v="212"/>
    <x v="1006"/>
    <n v="74"/>
  </r>
  <r>
    <s v="Coastal"/>
    <n v="2408"/>
    <s v="Port Freeport, TX"/>
    <n v="3283"/>
    <x v="111"/>
    <x v="10"/>
    <n v="70"/>
    <x v="0"/>
    <x v="408"/>
    <n v="70"/>
  </r>
  <r>
    <s v="Coastal"/>
    <n v="2408"/>
    <s v="Port Freeport, TX"/>
    <n v="5312"/>
    <x v="52"/>
    <x v="10"/>
    <n v="59"/>
    <x v="0"/>
    <x v="26"/>
    <n v="59"/>
  </r>
  <r>
    <s v="Coastal"/>
    <n v="2408"/>
    <s v="Port Freeport, TX"/>
    <n v="4680"/>
    <x v="70"/>
    <x v="10"/>
    <n v="44"/>
    <x v="0"/>
    <x v="449"/>
    <n v="44"/>
  </r>
  <r>
    <s v="Coastal"/>
    <n v="2408"/>
    <s v="Port Freeport, TX"/>
    <n v="4323"/>
    <x v="6"/>
    <x v="10"/>
    <n v="41"/>
    <x v="1019"/>
    <x v="0"/>
    <n v="41"/>
  </r>
  <r>
    <s v="Coastal"/>
    <n v="2408"/>
    <s v="Port Freeport, TX"/>
    <n v="6817"/>
    <x v="119"/>
    <x v="10"/>
    <n v="38"/>
    <x v="0"/>
    <x v="1190"/>
    <n v="38"/>
  </r>
  <r>
    <s v="Coastal"/>
    <n v="2408"/>
    <s v="Port Freeport, TX"/>
    <n v="6871"/>
    <x v="73"/>
    <x v="10"/>
    <n v="35"/>
    <x v="310"/>
    <x v="0"/>
    <n v="35"/>
  </r>
  <r>
    <s v="Coastal"/>
    <n v="2408"/>
    <s v="Port Freeport, TX"/>
    <n v="6344"/>
    <x v="25"/>
    <x v="10"/>
    <n v="31"/>
    <x v="393"/>
    <x v="234"/>
    <n v="31"/>
  </r>
  <r>
    <s v="Coastal"/>
    <n v="2408"/>
    <s v="Port Freeport, TX"/>
    <n v="6835"/>
    <x v="92"/>
    <x v="10"/>
    <n v="31"/>
    <x v="0"/>
    <x v="273"/>
    <n v="31"/>
  </r>
  <r>
    <s v="Coastal"/>
    <n v="2408"/>
    <s v="Port Freeport, TX"/>
    <n v="4190"/>
    <x v="99"/>
    <x v="10"/>
    <n v="28"/>
    <x v="0"/>
    <x v="234"/>
    <n v="28"/>
  </r>
  <r>
    <s v="Coastal"/>
    <n v="2408"/>
    <s v="Port Freeport, TX"/>
    <n v="5220"/>
    <x v="30"/>
    <x v="10"/>
    <n v="22"/>
    <x v="0"/>
    <x v="383"/>
    <n v="22"/>
  </r>
  <r>
    <s v="Coastal"/>
    <n v="2408"/>
    <s v="Port Freeport, TX"/>
    <n v="5429"/>
    <x v="61"/>
    <x v="10"/>
    <n v="14"/>
    <x v="0"/>
    <x v="411"/>
    <n v="14"/>
  </r>
  <r>
    <s v="Coastal"/>
    <n v="2408"/>
    <s v="Port Freeport, TX"/>
    <n v="3190"/>
    <x v="38"/>
    <x v="10"/>
    <n v="8"/>
    <x v="0"/>
    <x v="232"/>
    <n v="8"/>
  </r>
  <r>
    <s v="Coastal"/>
    <n v="2408"/>
    <s v="Port Freeport, TX"/>
    <n v="6746"/>
    <x v="118"/>
    <x v="10"/>
    <n v="5"/>
    <x v="168"/>
    <x v="0"/>
    <n v="5"/>
  </r>
  <r>
    <s v="Coastal"/>
    <n v="2408"/>
    <s v="Port Freeport, TX"/>
    <n v="7300"/>
    <x v="115"/>
    <x v="10"/>
    <n v="2"/>
    <x v="212"/>
    <x v="0"/>
    <n v="2"/>
  </r>
  <r>
    <s v="Coastal"/>
    <n v="2408"/>
    <s v="Port Freeport, TX"/>
    <n v="6521"/>
    <x v="121"/>
    <x v="10"/>
    <n v="1"/>
    <x v="0"/>
    <x v="276"/>
    <n v="1"/>
  </r>
  <r>
    <s v="Coastal"/>
    <n v="4835"/>
    <s v="Port Graham, AK"/>
    <n v="2211"/>
    <x v="0"/>
    <x v="2378"/>
    <n v="0"/>
    <x v="0"/>
    <x v="0"/>
    <n v="974"/>
  </r>
  <r>
    <s v="Coastal"/>
    <n v="4835"/>
    <s v="Port Graham, AK"/>
    <n v="2221"/>
    <x v="9"/>
    <x v="521"/>
    <n v="0"/>
    <x v="0"/>
    <x v="0"/>
    <n v="359"/>
  </r>
  <r>
    <s v="Great Lakes"/>
    <n v="3516"/>
    <s v="Port Huron, MI"/>
    <n v="4322"/>
    <x v="33"/>
    <x v="10"/>
    <n v="45017"/>
    <x v="1935"/>
    <x v="0"/>
    <n v="45017"/>
  </r>
  <r>
    <s v="Great Lakes"/>
    <n v="3516"/>
    <s v="Port Huron, MI"/>
    <n v="4331"/>
    <x v="29"/>
    <x v="10"/>
    <n v="39072"/>
    <x v="1936"/>
    <x v="0"/>
    <n v="39072"/>
  </r>
  <r>
    <s v="Great Lakes"/>
    <n v="3516"/>
    <s v="Port Huron, MI"/>
    <n v="4782"/>
    <x v="45"/>
    <x v="10"/>
    <n v="19098"/>
    <x v="1937"/>
    <x v="0"/>
    <n v="19098"/>
  </r>
  <r>
    <s v="Great Lakes"/>
    <n v="3516"/>
    <s v="Port Huron, MI"/>
    <n v="2211"/>
    <x v="0"/>
    <x v="10"/>
    <n v="8"/>
    <x v="418"/>
    <x v="0"/>
    <n v="8"/>
  </r>
  <r>
    <s v="Coastal"/>
    <n v="2422"/>
    <s v="Port Isabel-San Benito, TX"/>
    <n v="2221"/>
    <x v="9"/>
    <x v="2379"/>
    <n v="0"/>
    <x v="0"/>
    <x v="0"/>
    <n v="53009"/>
  </r>
  <r>
    <s v="Coastal"/>
    <n v="2422"/>
    <s v="Port Isabel-San Benito, TX"/>
    <n v="2330"/>
    <x v="1"/>
    <x v="2380"/>
    <n v="0"/>
    <x v="0"/>
    <x v="0"/>
    <n v="48242"/>
  </r>
  <r>
    <s v="Coastal"/>
    <n v="2422"/>
    <s v="Port Isabel-San Benito, TX"/>
    <n v="2350"/>
    <x v="40"/>
    <x v="2381"/>
    <n v="0"/>
    <x v="0"/>
    <x v="0"/>
    <n v="6918"/>
  </r>
  <r>
    <s v="Coastal"/>
    <n v="522"/>
    <s v="Port Jefferson, NY"/>
    <n v="2211"/>
    <x v="0"/>
    <x v="2382"/>
    <n v="0"/>
    <x v="0"/>
    <x v="0"/>
    <n v="1561946"/>
  </r>
  <r>
    <s v="Coastal"/>
    <n v="522"/>
    <s v="Port Jefferson, NY"/>
    <n v="2330"/>
    <x v="1"/>
    <x v="2383"/>
    <n v="0"/>
    <x v="0"/>
    <x v="0"/>
    <n v="466129"/>
  </r>
  <r>
    <s v="Coastal"/>
    <n v="522"/>
    <s v="Port Jefferson, NY"/>
    <n v="4331"/>
    <x v="29"/>
    <x v="2384"/>
    <n v="0"/>
    <x v="0"/>
    <x v="0"/>
    <n v="346505"/>
  </r>
  <r>
    <s v="Coastal"/>
    <n v="522"/>
    <s v="Port Jefferson, NY"/>
    <n v="3220"/>
    <x v="2"/>
    <x v="2385"/>
    <n v="0"/>
    <x v="0"/>
    <x v="0"/>
    <n v="184476"/>
  </r>
  <r>
    <s v="Coastal"/>
    <n v="522"/>
    <s v="Port Jefferson, NY"/>
    <n v="4335"/>
    <x v="5"/>
    <x v="2386"/>
    <n v="0"/>
    <x v="0"/>
    <x v="0"/>
    <n v="38917"/>
  </r>
  <r>
    <s v="Coastal"/>
    <n v="522"/>
    <s v="Port Jefferson, NY"/>
    <n v="2221"/>
    <x v="9"/>
    <x v="2387"/>
    <n v="0"/>
    <x v="0"/>
    <x v="0"/>
    <n v="30117"/>
  </r>
  <r>
    <s v="Coastal"/>
    <n v="522"/>
    <s v="Port Jefferson, NY"/>
    <n v="2340"/>
    <x v="3"/>
    <x v="2388"/>
    <n v="0"/>
    <x v="0"/>
    <x v="0"/>
    <n v="15094"/>
  </r>
  <r>
    <s v="Coastal"/>
    <n v="522"/>
    <s v="Port Jefferson, NY"/>
    <n v="2429"/>
    <x v="17"/>
    <x v="1328"/>
    <n v="0"/>
    <x v="0"/>
    <x v="0"/>
    <n v="1507"/>
  </r>
  <r>
    <s v="Coastal"/>
    <n v="5002"/>
    <s v="Port Lions, AK"/>
    <n v="2221"/>
    <x v="9"/>
    <x v="2389"/>
    <n v="0"/>
    <x v="0"/>
    <x v="0"/>
    <n v="3096"/>
  </r>
  <r>
    <s v="Coastal"/>
    <n v="5002"/>
    <s v="Port Lions, AK"/>
    <n v="2330"/>
    <x v="1"/>
    <x v="2390"/>
    <n v="0"/>
    <x v="0"/>
    <x v="0"/>
    <n v="1163"/>
  </r>
  <r>
    <s v="Coastal"/>
    <n v="5002"/>
    <s v="Port Lions, AK"/>
    <n v="2211"/>
    <x v="0"/>
    <x v="2391"/>
    <n v="0"/>
    <x v="0"/>
    <x v="0"/>
    <n v="380"/>
  </r>
  <r>
    <s v="Coastal"/>
    <n v="4926"/>
    <s v="Port Moller, AK"/>
    <n v="6134"/>
    <x v="82"/>
    <x v="2392"/>
    <n v="0"/>
    <x v="0"/>
    <x v="0"/>
    <n v="1984"/>
  </r>
  <r>
    <s v="Coastal"/>
    <n v="4926"/>
    <s v="Port Moller, AK"/>
    <n v="7900"/>
    <x v="21"/>
    <x v="759"/>
    <n v="0"/>
    <x v="0"/>
    <x v="0"/>
    <n v="520"/>
  </r>
  <r>
    <s v="Coastal"/>
    <n v="4926"/>
    <s v="Port Moller, AK"/>
    <n v="7110"/>
    <x v="4"/>
    <x v="182"/>
    <n v="0"/>
    <x v="0"/>
    <x v="0"/>
    <n v="31"/>
  </r>
  <r>
    <s v="Coastal"/>
    <n v="4926"/>
    <s v="Port Moller, AK"/>
    <n v="7400"/>
    <x v="77"/>
    <x v="186"/>
    <n v="0"/>
    <x v="0"/>
    <x v="0"/>
    <n v="5"/>
  </r>
  <r>
    <s v="Coastal"/>
    <n v="4820"/>
    <s v="Port of Alaska, AK"/>
    <n v="2221"/>
    <x v="9"/>
    <x v="2393"/>
    <n v="1289934"/>
    <x v="1938"/>
    <x v="0"/>
    <n v="1727526"/>
  </r>
  <r>
    <s v="Coastal"/>
    <n v="4820"/>
    <s v="Port of Alaska, AK"/>
    <n v="7900"/>
    <x v="21"/>
    <x v="2394"/>
    <n v="745"/>
    <x v="1939"/>
    <x v="0"/>
    <n v="727697"/>
  </r>
  <r>
    <s v="Coastal"/>
    <n v="4820"/>
    <s v="Port of Alaska, AK"/>
    <n v="6889"/>
    <x v="42"/>
    <x v="2395"/>
    <n v="0"/>
    <x v="0"/>
    <x v="0"/>
    <n v="184477"/>
  </r>
  <r>
    <s v="Coastal"/>
    <n v="4820"/>
    <s v="Port of Alaska, AK"/>
    <n v="2330"/>
    <x v="1"/>
    <x v="2396"/>
    <n v="101140"/>
    <x v="1940"/>
    <x v="0"/>
    <n v="118605"/>
  </r>
  <r>
    <s v="Coastal"/>
    <n v="4820"/>
    <s v="Port of Alaska, AK"/>
    <n v="5220"/>
    <x v="30"/>
    <x v="2397"/>
    <n v="87964"/>
    <x v="1941"/>
    <x v="0"/>
    <n v="88263"/>
  </r>
  <r>
    <s v="Coastal"/>
    <n v="4820"/>
    <s v="Port of Alaska, AK"/>
    <n v="7210"/>
    <x v="59"/>
    <x v="2398"/>
    <n v="0"/>
    <x v="0"/>
    <x v="0"/>
    <n v="72469"/>
  </r>
  <r>
    <s v="Coastal"/>
    <n v="4820"/>
    <s v="Port of Alaska, AK"/>
    <n v="7400"/>
    <x v="77"/>
    <x v="2399"/>
    <n v="0"/>
    <x v="0"/>
    <x v="0"/>
    <n v="72115"/>
  </r>
  <r>
    <s v="Coastal"/>
    <n v="4820"/>
    <s v="Port of Alaska, AK"/>
    <n v="6887"/>
    <x v="138"/>
    <x v="2400"/>
    <n v="0"/>
    <x v="0"/>
    <x v="0"/>
    <n v="68531"/>
  </r>
  <r>
    <s v="Coastal"/>
    <n v="4820"/>
    <s v="Port of Alaska, AK"/>
    <n v="6885"/>
    <x v="72"/>
    <x v="2401"/>
    <n v="10"/>
    <x v="312"/>
    <x v="0"/>
    <n v="33619"/>
  </r>
  <r>
    <s v="Coastal"/>
    <n v="4820"/>
    <s v="Port of Alaska, AK"/>
    <n v="4189"/>
    <x v="65"/>
    <x v="2402"/>
    <n v="34"/>
    <x v="605"/>
    <x v="0"/>
    <n v="33321"/>
  </r>
  <r>
    <s v="Coastal"/>
    <n v="4820"/>
    <s v="Port of Alaska, AK"/>
    <n v="6134"/>
    <x v="82"/>
    <x v="2403"/>
    <n v="16652"/>
    <x v="1942"/>
    <x v="1410"/>
    <n v="25799"/>
  </r>
  <r>
    <s v="Coastal"/>
    <n v="4820"/>
    <s v="Port of Alaska, AK"/>
    <n v="7110"/>
    <x v="4"/>
    <x v="2404"/>
    <n v="0"/>
    <x v="0"/>
    <x v="0"/>
    <n v="21916"/>
  </r>
  <r>
    <s v="Coastal"/>
    <n v="4820"/>
    <s v="Port of Alaska, AK"/>
    <n v="4420"/>
    <x v="8"/>
    <x v="2405"/>
    <n v="0"/>
    <x v="0"/>
    <x v="0"/>
    <n v="19104"/>
  </r>
  <r>
    <s v="Coastal"/>
    <n v="4820"/>
    <s v="Port of Alaska, AK"/>
    <n v="3220"/>
    <x v="2"/>
    <x v="2406"/>
    <n v="18090"/>
    <x v="1943"/>
    <x v="0"/>
    <n v="18795"/>
  </r>
  <r>
    <s v="Coastal"/>
    <n v="4820"/>
    <s v="Port of Alaska, AK"/>
    <n v="2211"/>
    <x v="0"/>
    <x v="2407"/>
    <n v="0"/>
    <x v="0"/>
    <x v="0"/>
    <n v="13573"/>
  </r>
  <r>
    <s v="Coastal"/>
    <n v="4820"/>
    <s v="Port of Alaska, AK"/>
    <n v="4783"/>
    <x v="7"/>
    <x v="1515"/>
    <n v="10362"/>
    <x v="1944"/>
    <x v="0"/>
    <n v="12317"/>
  </r>
  <r>
    <s v="Coastal"/>
    <n v="4820"/>
    <s v="Port of Alaska, AK"/>
    <n v="6856"/>
    <x v="126"/>
    <x v="2408"/>
    <n v="0"/>
    <x v="0"/>
    <x v="0"/>
    <n v="8545"/>
  </r>
  <r>
    <s v="Coastal"/>
    <n v="4820"/>
    <s v="Port of Alaska, AK"/>
    <n v="5190"/>
    <x v="83"/>
    <x v="2409"/>
    <n v="755"/>
    <x v="1928"/>
    <x v="0"/>
    <n v="7342"/>
  </r>
  <r>
    <s v="Coastal"/>
    <n v="4820"/>
    <s v="Port of Alaska, AK"/>
    <n v="6654"/>
    <x v="50"/>
    <x v="2410"/>
    <n v="0"/>
    <x v="0"/>
    <x v="0"/>
    <n v="5475"/>
  </r>
  <r>
    <s v="Coastal"/>
    <n v="4820"/>
    <s v="Port of Alaska, AK"/>
    <n v="7230"/>
    <x v="22"/>
    <x v="2411"/>
    <n v="0"/>
    <x v="0"/>
    <x v="0"/>
    <n v="5257"/>
  </r>
  <r>
    <s v="Coastal"/>
    <n v="4820"/>
    <s v="Port of Alaska, AK"/>
    <n v="2990"/>
    <x v="102"/>
    <x v="2412"/>
    <n v="0"/>
    <x v="0"/>
    <x v="0"/>
    <n v="5139"/>
  </r>
  <r>
    <s v="Coastal"/>
    <n v="4820"/>
    <s v="Port of Alaska, AK"/>
    <n v="3299"/>
    <x v="79"/>
    <x v="2413"/>
    <n v="0"/>
    <x v="0"/>
    <x v="0"/>
    <n v="5127"/>
  </r>
  <r>
    <s v="Coastal"/>
    <n v="4820"/>
    <s v="Port of Alaska, AK"/>
    <n v="7600"/>
    <x v="68"/>
    <x v="2414"/>
    <n v="527"/>
    <x v="1192"/>
    <x v="0"/>
    <n v="5112"/>
  </r>
  <r>
    <s v="Coastal"/>
    <n v="4820"/>
    <s v="Port of Alaska, AK"/>
    <n v="7120"/>
    <x v="71"/>
    <x v="2415"/>
    <n v="0"/>
    <x v="0"/>
    <x v="0"/>
    <n v="4374"/>
  </r>
  <r>
    <s v="Coastal"/>
    <n v="4820"/>
    <s v="Port of Alaska, AK"/>
    <n v="2350"/>
    <x v="40"/>
    <x v="872"/>
    <n v="0"/>
    <x v="0"/>
    <x v="0"/>
    <n v="3408"/>
  </r>
  <r>
    <s v="Coastal"/>
    <n v="4820"/>
    <s v="Port of Alaska, AK"/>
    <n v="5480"/>
    <x v="20"/>
    <x v="2416"/>
    <n v="15"/>
    <x v="612"/>
    <x v="0"/>
    <n v="2852"/>
  </r>
  <r>
    <s v="Coastal"/>
    <n v="4820"/>
    <s v="Port of Alaska, AK"/>
    <n v="6782"/>
    <x v="27"/>
    <x v="2417"/>
    <n v="1976"/>
    <x v="312"/>
    <x v="1411"/>
    <n v="2788"/>
  </r>
  <r>
    <s v="Coastal"/>
    <n v="4820"/>
    <s v="Port of Alaska, AK"/>
    <n v="5360"/>
    <x v="94"/>
    <x v="2418"/>
    <n v="0"/>
    <x v="0"/>
    <x v="0"/>
    <n v="2691"/>
  </r>
  <r>
    <s v="Coastal"/>
    <n v="4820"/>
    <s v="Port of Alaska, AK"/>
    <n v="6899"/>
    <x v="114"/>
    <x v="2419"/>
    <n v="0"/>
    <x v="0"/>
    <x v="0"/>
    <n v="2585"/>
  </r>
  <r>
    <s v="Coastal"/>
    <n v="4820"/>
    <s v="Port of Alaska, AK"/>
    <n v="6811"/>
    <x v="76"/>
    <x v="1983"/>
    <n v="0"/>
    <x v="0"/>
    <x v="0"/>
    <n v="2560"/>
  </r>
  <r>
    <s v="Coastal"/>
    <n v="4820"/>
    <s v="Port of Alaska, AK"/>
    <n v="6781"/>
    <x v="128"/>
    <x v="2420"/>
    <n v="0"/>
    <x v="0"/>
    <x v="0"/>
    <n v="2448"/>
  </r>
  <r>
    <s v="Coastal"/>
    <n v="4820"/>
    <s v="Port of Alaska, AK"/>
    <n v="5370"/>
    <x v="81"/>
    <x v="2421"/>
    <n v="0"/>
    <x v="0"/>
    <x v="0"/>
    <n v="2302"/>
  </r>
  <r>
    <s v="Coastal"/>
    <n v="4820"/>
    <s v="Port of Alaska, AK"/>
    <n v="3276"/>
    <x v="12"/>
    <x v="2422"/>
    <n v="24"/>
    <x v="0"/>
    <x v="236"/>
    <n v="2153"/>
  </r>
  <r>
    <s v="Coastal"/>
    <n v="4820"/>
    <s v="Port of Alaska, AK"/>
    <n v="4331"/>
    <x v="29"/>
    <x v="2423"/>
    <n v="0"/>
    <x v="0"/>
    <x v="0"/>
    <n v="1365"/>
  </r>
  <r>
    <s v="Coastal"/>
    <n v="4820"/>
    <s v="Port of Alaska, AK"/>
    <n v="5110"/>
    <x v="112"/>
    <x v="2424"/>
    <n v="0"/>
    <x v="0"/>
    <x v="0"/>
    <n v="1147"/>
  </r>
  <r>
    <s v="Coastal"/>
    <n v="4820"/>
    <s v="Port of Alaska, AK"/>
    <n v="5540"/>
    <x v="64"/>
    <x v="2425"/>
    <n v="55"/>
    <x v="719"/>
    <x v="0"/>
    <n v="1147"/>
  </r>
  <r>
    <s v="Coastal"/>
    <n v="4820"/>
    <s v="Port of Alaska, AK"/>
    <n v="3297"/>
    <x v="116"/>
    <x v="10"/>
    <n v="1017"/>
    <x v="985"/>
    <x v="0"/>
    <n v="1017"/>
  </r>
  <r>
    <s v="Coastal"/>
    <n v="4820"/>
    <s v="Port of Alaska, AK"/>
    <n v="6747"/>
    <x v="78"/>
    <x v="2426"/>
    <n v="0"/>
    <x v="0"/>
    <x v="0"/>
    <n v="970"/>
  </r>
  <r>
    <s v="Coastal"/>
    <n v="4820"/>
    <s v="Port of Alaska, AK"/>
    <n v="6861"/>
    <x v="69"/>
    <x v="2427"/>
    <n v="660"/>
    <x v="1945"/>
    <x v="0"/>
    <n v="789"/>
  </r>
  <r>
    <s v="Coastal"/>
    <n v="4820"/>
    <s v="Port of Alaska, AK"/>
    <n v="5240"/>
    <x v="89"/>
    <x v="637"/>
    <n v="0"/>
    <x v="0"/>
    <x v="0"/>
    <n v="610"/>
  </r>
  <r>
    <s v="Coastal"/>
    <n v="4820"/>
    <s v="Port of Alaska, AK"/>
    <n v="6835"/>
    <x v="92"/>
    <x v="10"/>
    <n v="571"/>
    <x v="1946"/>
    <x v="1412"/>
    <n v="571"/>
  </r>
  <r>
    <s v="Coastal"/>
    <n v="4820"/>
    <s v="Port of Alaska, AK"/>
    <n v="6136"/>
    <x v="95"/>
    <x v="10"/>
    <n v="510"/>
    <x v="180"/>
    <x v="1413"/>
    <n v="510"/>
  </r>
  <r>
    <s v="Coastal"/>
    <n v="4820"/>
    <s v="Port of Alaska, AK"/>
    <n v="4338"/>
    <x v="142"/>
    <x v="1987"/>
    <n v="0"/>
    <x v="0"/>
    <x v="0"/>
    <n v="416"/>
  </r>
  <r>
    <s v="Coastal"/>
    <n v="4820"/>
    <s v="Port of Alaska, AK"/>
    <n v="7500"/>
    <x v="60"/>
    <x v="2428"/>
    <n v="21"/>
    <x v="154"/>
    <x v="0"/>
    <n v="372"/>
  </r>
  <r>
    <s v="Coastal"/>
    <n v="4820"/>
    <s v="Port of Alaska, AK"/>
    <n v="5290"/>
    <x v="49"/>
    <x v="1206"/>
    <n v="0"/>
    <x v="0"/>
    <x v="0"/>
    <n v="326"/>
  </r>
  <r>
    <s v="Coastal"/>
    <n v="4820"/>
    <s v="Port of Alaska, AK"/>
    <n v="6839"/>
    <x v="106"/>
    <x v="485"/>
    <n v="316"/>
    <x v="0"/>
    <x v="94"/>
    <n v="320"/>
  </r>
  <r>
    <s v="Coastal"/>
    <n v="4820"/>
    <s v="Port of Alaska, AK"/>
    <n v="2640"/>
    <x v="110"/>
    <x v="2429"/>
    <n v="0"/>
    <x v="0"/>
    <x v="0"/>
    <n v="253"/>
  </r>
  <r>
    <s v="Coastal"/>
    <n v="4820"/>
    <s v="Port of Alaska, AK"/>
    <n v="8900"/>
    <x v="139"/>
    <x v="4"/>
    <n v="0"/>
    <x v="0"/>
    <x v="0"/>
    <n v="200"/>
  </r>
  <r>
    <s v="Coastal"/>
    <n v="4820"/>
    <s v="Port of Alaska, AK"/>
    <n v="3286"/>
    <x v="57"/>
    <x v="2430"/>
    <n v="158"/>
    <x v="1947"/>
    <x v="0"/>
    <n v="181"/>
  </r>
  <r>
    <s v="Coastal"/>
    <n v="4820"/>
    <s v="Port of Alaska, AK"/>
    <n v="3282"/>
    <x v="91"/>
    <x v="479"/>
    <n v="0"/>
    <x v="0"/>
    <x v="0"/>
    <n v="124"/>
  </r>
  <r>
    <s v="Coastal"/>
    <n v="4820"/>
    <s v="Port of Alaska, AK"/>
    <n v="7220"/>
    <x v="103"/>
    <x v="578"/>
    <n v="0"/>
    <x v="0"/>
    <x v="0"/>
    <n v="102"/>
  </r>
  <r>
    <s v="Coastal"/>
    <n v="4820"/>
    <s v="Port of Alaska, AK"/>
    <n v="6838"/>
    <x v="131"/>
    <x v="10"/>
    <n v="88"/>
    <x v="0"/>
    <x v="22"/>
    <n v="88"/>
  </r>
  <r>
    <s v="Coastal"/>
    <n v="4820"/>
    <s v="Port of Alaska, AK"/>
    <n v="4650"/>
    <x v="67"/>
    <x v="10"/>
    <n v="56"/>
    <x v="1571"/>
    <x v="0"/>
    <n v="56"/>
  </r>
  <r>
    <s v="Coastal"/>
    <n v="4820"/>
    <s v="Port of Alaska, AK"/>
    <n v="6746"/>
    <x v="118"/>
    <x v="845"/>
    <n v="0"/>
    <x v="0"/>
    <x v="0"/>
    <n v="54"/>
  </r>
  <r>
    <s v="Coastal"/>
    <n v="4820"/>
    <s v="Port of Alaska, AK"/>
    <n v="3285"/>
    <x v="87"/>
    <x v="202"/>
    <n v="0"/>
    <x v="0"/>
    <x v="0"/>
    <n v="53"/>
  </r>
  <r>
    <s v="Coastal"/>
    <n v="4820"/>
    <s v="Port of Alaska, AK"/>
    <n v="6653"/>
    <x v="24"/>
    <x v="10"/>
    <n v="16"/>
    <x v="452"/>
    <x v="0"/>
    <n v="16"/>
  </r>
  <r>
    <s v="Coastal"/>
    <n v="4820"/>
    <s v="Port of Alaska, AK"/>
    <n v="3190"/>
    <x v="38"/>
    <x v="186"/>
    <n v="0"/>
    <x v="0"/>
    <x v="0"/>
    <n v="5"/>
  </r>
  <r>
    <s v="Coastal"/>
    <n v="4820"/>
    <s v="Port of Alaska, AK"/>
    <n v="9900"/>
    <x v="18"/>
    <x v="10"/>
    <n v="1"/>
    <x v="19"/>
    <x v="0"/>
    <n v="1"/>
  </r>
  <r>
    <s v="Coastal"/>
    <n v="2430"/>
    <s v="Port of Bay City Matagorda, TX"/>
    <n v="3230"/>
    <x v="80"/>
    <x v="2431"/>
    <n v="0"/>
    <x v="0"/>
    <x v="0"/>
    <n v="312528"/>
  </r>
  <r>
    <s v="Coastal"/>
    <n v="2430"/>
    <s v="Port of Bay City Matagorda, TX"/>
    <n v="3220"/>
    <x v="2"/>
    <x v="2432"/>
    <n v="0"/>
    <x v="0"/>
    <x v="0"/>
    <n v="291014"/>
  </r>
  <r>
    <s v="Coastal"/>
    <n v="2430"/>
    <s v="Port of Bay City Matagorda, TX"/>
    <n v="2100"/>
    <x v="35"/>
    <x v="2433"/>
    <n v="0"/>
    <x v="0"/>
    <x v="0"/>
    <n v="190868"/>
  </r>
  <r>
    <s v="Coastal"/>
    <n v="2430"/>
    <s v="Port of Bay City Matagorda, TX"/>
    <n v="2640"/>
    <x v="110"/>
    <x v="2434"/>
    <n v="0"/>
    <x v="0"/>
    <x v="0"/>
    <n v="4800"/>
  </r>
  <r>
    <s v="Coastal"/>
    <n v="783"/>
    <s v="Port of Brunswick, GA"/>
    <n v="7210"/>
    <x v="59"/>
    <x v="10"/>
    <n v="1227823"/>
    <x v="1948"/>
    <x v="1414"/>
    <n v="1227823"/>
  </r>
  <r>
    <s v="Coastal"/>
    <n v="783"/>
    <s v="Port of Brunswick, GA"/>
    <n v="4150"/>
    <x v="101"/>
    <x v="10"/>
    <n v="338584"/>
    <x v="0"/>
    <x v="1415"/>
    <n v="338584"/>
  </r>
  <r>
    <s v="Coastal"/>
    <n v="783"/>
    <s v="Port of Brunswick, GA"/>
    <n v="4783"/>
    <x v="7"/>
    <x v="10"/>
    <n v="120162"/>
    <x v="1949"/>
    <x v="0"/>
    <n v="120162"/>
  </r>
  <r>
    <s v="Coastal"/>
    <n v="783"/>
    <s v="Port of Brunswick, GA"/>
    <n v="4900"/>
    <x v="14"/>
    <x v="10"/>
    <n v="113137"/>
    <x v="1950"/>
    <x v="0"/>
    <n v="113137"/>
  </r>
  <r>
    <s v="Coastal"/>
    <n v="783"/>
    <s v="Port of Brunswick, GA"/>
    <n v="7110"/>
    <x v="4"/>
    <x v="10"/>
    <n v="96394"/>
    <x v="1951"/>
    <x v="1416"/>
    <n v="96394"/>
  </r>
  <r>
    <s v="Coastal"/>
    <n v="783"/>
    <s v="Port of Brunswick, GA"/>
    <n v="6782"/>
    <x v="27"/>
    <x v="10"/>
    <n v="61091"/>
    <x v="0"/>
    <x v="1417"/>
    <n v="61091"/>
  </r>
  <r>
    <s v="Coastal"/>
    <n v="783"/>
    <s v="Port of Brunswick, GA"/>
    <n v="6858"/>
    <x v="74"/>
    <x v="10"/>
    <n v="60622"/>
    <x v="716"/>
    <x v="1418"/>
    <n v="60622"/>
  </r>
  <r>
    <s v="Coastal"/>
    <n v="783"/>
    <s v="Port of Brunswick, GA"/>
    <n v="3274"/>
    <x v="86"/>
    <x v="2435"/>
    <n v="8099"/>
    <x v="1952"/>
    <x v="0"/>
    <n v="56593"/>
  </r>
  <r>
    <s v="Coastal"/>
    <n v="783"/>
    <s v="Port of Brunswick, GA"/>
    <n v="3110"/>
    <x v="36"/>
    <x v="2436"/>
    <n v="30631"/>
    <x v="1953"/>
    <x v="0"/>
    <n v="45631"/>
  </r>
  <r>
    <s v="Coastal"/>
    <n v="783"/>
    <s v="Port of Brunswick, GA"/>
    <n v="4225"/>
    <x v="10"/>
    <x v="10"/>
    <n v="37913"/>
    <x v="206"/>
    <x v="1419"/>
    <n v="37913"/>
  </r>
  <r>
    <s v="Coastal"/>
    <n v="783"/>
    <s v="Port of Brunswick, GA"/>
    <n v="3220"/>
    <x v="2"/>
    <x v="10"/>
    <n v="22048"/>
    <x v="1198"/>
    <x v="1420"/>
    <n v="22048"/>
  </r>
  <r>
    <s v="Coastal"/>
    <n v="783"/>
    <s v="Port of Brunswick, GA"/>
    <n v="3190"/>
    <x v="38"/>
    <x v="10"/>
    <n v="22047"/>
    <x v="1954"/>
    <x v="1421"/>
    <n v="22047"/>
  </r>
  <r>
    <s v="Coastal"/>
    <n v="783"/>
    <s v="Port of Brunswick, GA"/>
    <n v="5120"/>
    <x v="63"/>
    <x v="10"/>
    <n v="15868"/>
    <x v="448"/>
    <x v="1422"/>
    <n v="15868"/>
  </r>
  <r>
    <s v="Coastal"/>
    <n v="783"/>
    <s v="Port of Brunswick, GA"/>
    <n v="7900"/>
    <x v="21"/>
    <x v="2437"/>
    <n v="11686"/>
    <x v="1955"/>
    <x v="1423"/>
    <n v="11980"/>
  </r>
  <r>
    <s v="Coastal"/>
    <n v="783"/>
    <s v="Port of Brunswick, GA"/>
    <n v="5540"/>
    <x v="64"/>
    <x v="10"/>
    <n v="10301"/>
    <x v="1956"/>
    <x v="0"/>
    <n v="10301"/>
  </r>
  <r>
    <s v="Coastal"/>
    <n v="783"/>
    <s v="Port of Brunswick, GA"/>
    <n v="4189"/>
    <x v="65"/>
    <x v="10"/>
    <n v="8182"/>
    <x v="1957"/>
    <x v="0"/>
    <n v="8182"/>
  </r>
  <r>
    <s v="Coastal"/>
    <n v="783"/>
    <s v="Port of Brunswick, GA"/>
    <n v="5480"/>
    <x v="20"/>
    <x v="10"/>
    <n v="5072"/>
    <x v="1958"/>
    <x v="1424"/>
    <n v="5072"/>
  </r>
  <r>
    <s v="Coastal"/>
    <n v="783"/>
    <s v="Port of Brunswick, GA"/>
    <n v="4310"/>
    <x v="96"/>
    <x v="10"/>
    <n v="4968"/>
    <x v="0"/>
    <x v="934"/>
    <n v="4968"/>
  </r>
  <r>
    <s v="Coastal"/>
    <n v="783"/>
    <s v="Port of Brunswick, GA"/>
    <n v="4110"/>
    <x v="105"/>
    <x v="10"/>
    <n v="4346"/>
    <x v="1959"/>
    <x v="0"/>
    <n v="4346"/>
  </r>
  <r>
    <s v="Coastal"/>
    <n v="783"/>
    <s v="Port of Brunswick, GA"/>
    <n v="5421"/>
    <x v="88"/>
    <x v="10"/>
    <n v="4280"/>
    <x v="0"/>
    <x v="1425"/>
    <n v="4280"/>
  </r>
  <r>
    <s v="Coastal"/>
    <n v="783"/>
    <s v="Port of Brunswick, GA"/>
    <n v="7120"/>
    <x v="71"/>
    <x v="10"/>
    <n v="4160"/>
    <x v="1960"/>
    <x v="1426"/>
    <n v="4160"/>
  </r>
  <r>
    <s v="Coastal"/>
    <n v="783"/>
    <s v="Port of Brunswick, GA"/>
    <n v="6822"/>
    <x v="84"/>
    <x v="10"/>
    <n v="3342"/>
    <x v="312"/>
    <x v="1427"/>
    <n v="3342"/>
  </r>
  <r>
    <s v="Coastal"/>
    <n v="783"/>
    <s v="Port of Brunswick, GA"/>
    <n v="7600"/>
    <x v="68"/>
    <x v="10"/>
    <n v="2610"/>
    <x v="1961"/>
    <x v="1428"/>
    <n v="2610"/>
  </r>
  <r>
    <s v="Coastal"/>
    <n v="783"/>
    <s v="Port of Brunswick, GA"/>
    <n v="3284"/>
    <x v="97"/>
    <x v="10"/>
    <n v="2563"/>
    <x v="0"/>
    <x v="625"/>
    <n v="2563"/>
  </r>
  <r>
    <s v="Coastal"/>
    <n v="783"/>
    <s v="Port of Brunswick, GA"/>
    <n v="7500"/>
    <x v="60"/>
    <x v="10"/>
    <n v="1837"/>
    <x v="1962"/>
    <x v="815"/>
    <n v="1837"/>
  </r>
  <r>
    <s v="Coastal"/>
    <n v="783"/>
    <s v="Port of Brunswick, GA"/>
    <n v="7230"/>
    <x v="22"/>
    <x v="10"/>
    <n v="1556"/>
    <x v="1963"/>
    <x v="1429"/>
    <n v="1556"/>
  </r>
  <r>
    <s v="Coastal"/>
    <n v="783"/>
    <s v="Port of Brunswick, GA"/>
    <n v="6654"/>
    <x v="50"/>
    <x v="10"/>
    <n v="1247"/>
    <x v="1964"/>
    <x v="1430"/>
    <n v="1247"/>
  </r>
  <r>
    <s v="Coastal"/>
    <n v="783"/>
    <s v="Port of Brunswick, GA"/>
    <n v="4420"/>
    <x v="8"/>
    <x v="10"/>
    <n v="1132"/>
    <x v="1965"/>
    <x v="1431"/>
    <n v="1132"/>
  </r>
  <r>
    <s v="Coastal"/>
    <n v="783"/>
    <s v="Port of Brunswick, GA"/>
    <n v="9900"/>
    <x v="18"/>
    <x v="10"/>
    <n v="1072"/>
    <x v="1966"/>
    <x v="1432"/>
    <n v="1072"/>
  </r>
  <r>
    <s v="Coastal"/>
    <n v="783"/>
    <s v="Port of Brunswick, GA"/>
    <n v="5370"/>
    <x v="81"/>
    <x v="10"/>
    <n v="774"/>
    <x v="1967"/>
    <x v="0"/>
    <n v="774"/>
  </r>
  <r>
    <s v="Coastal"/>
    <n v="783"/>
    <s v="Port of Brunswick, GA"/>
    <n v="7220"/>
    <x v="103"/>
    <x v="10"/>
    <n v="769"/>
    <x v="475"/>
    <x v="1433"/>
    <n v="769"/>
  </r>
  <r>
    <s v="Coastal"/>
    <n v="783"/>
    <s v="Port of Brunswick, GA"/>
    <n v="5190"/>
    <x v="83"/>
    <x v="10"/>
    <n v="463"/>
    <x v="1968"/>
    <x v="104"/>
    <n v="463"/>
  </r>
  <r>
    <s v="Coastal"/>
    <n v="783"/>
    <s v="Port of Brunswick, GA"/>
    <n v="6889"/>
    <x v="42"/>
    <x v="10"/>
    <n v="393"/>
    <x v="1969"/>
    <x v="166"/>
    <n v="393"/>
  </r>
  <r>
    <s v="Coastal"/>
    <n v="783"/>
    <s v="Port of Brunswick, GA"/>
    <n v="7400"/>
    <x v="77"/>
    <x v="10"/>
    <n v="364"/>
    <x v="447"/>
    <x v="1434"/>
    <n v="364"/>
  </r>
  <r>
    <s v="Coastal"/>
    <n v="783"/>
    <s v="Port of Brunswick, GA"/>
    <n v="5422"/>
    <x v="66"/>
    <x v="10"/>
    <n v="276"/>
    <x v="296"/>
    <x v="448"/>
    <n v="276"/>
  </r>
  <r>
    <s v="Coastal"/>
    <n v="783"/>
    <s v="Port of Brunswick, GA"/>
    <n v="5290"/>
    <x v="49"/>
    <x v="10"/>
    <n v="272"/>
    <x v="1493"/>
    <x v="220"/>
    <n v="272"/>
  </r>
  <r>
    <s v="Coastal"/>
    <n v="783"/>
    <s v="Port of Brunswick, GA"/>
    <n v="3286"/>
    <x v="57"/>
    <x v="10"/>
    <n v="227"/>
    <x v="1970"/>
    <x v="0"/>
    <n v="227"/>
  </r>
  <r>
    <s v="Coastal"/>
    <n v="783"/>
    <s v="Port of Brunswick, GA"/>
    <n v="2430"/>
    <x v="11"/>
    <x v="10"/>
    <n v="188"/>
    <x v="1586"/>
    <x v="0"/>
    <n v="188"/>
  </r>
  <r>
    <s v="Coastal"/>
    <n v="783"/>
    <s v="Port of Brunswick, GA"/>
    <n v="6899"/>
    <x v="114"/>
    <x v="10"/>
    <n v="167"/>
    <x v="313"/>
    <x v="208"/>
    <n v="167"/>
  </r>
  <r>
    <s v="Coastal"/>
    <n v="783"/>
    <s v="Port of Brunswick, GA"/>
    <n v="3240"/>
    <x v="53"/>
    <x v="10"/>
    <n v="155"/>
    <x v="204"/>
    <x v="411"/>
    <n v="155"/>
  </r>
  <r>
    <s v="Coastal"/>
    <n v="783"/>
    <s v="Port of Brunswick, GA"/>
    <n v="3250"/>
    <x v="108"/>
    <x v="10"/>
    <n v="138"/>
    <x v="313"/>
    <x v="12"/>
    <n v="138"/>
  </r>
  <r>
    <s v="Coastal"/>
    <n v="783"/>
    <s v="Port of Brunswick, GA"/>
    <n v="6885"/>
    <x v="72"/>
    <x v="10"/>
    <n v="133"/>
    <x v="1571"/>
    <x v="384"/>
    <n v="133"/>
  </r>
  <r>
    <s v="Coastal"/>
    <n v="783"/>
    <s v="Port of Brunswick, GA"/>
    <n v="6590"/>
    <x v="23"/>
    <x v="10"/>
    <n v="129"/>
    <x v="695"/>
    <x v="0"/>
    <n v="129"/>
  </r>
  <r>
    <s v="Coastal"/>
    <n v="783"/>
    <s v="Port of Brunswick, GA"/>
    <n v="4331"/>
    <x v="29"/>
    <x v="10"/>
    <n v="125"/>
    <x v="0"/>
    <x v="582"/>
    <n v="125"/>
  </r>
  <r>
    <s v="Coastal"/>
    <n v="783"/>
    <s v="Port of Brunswick, GA"/>
    <n v="3275"/>
    <x v="47"/>
    <x v="10"/>
    <n v="114"/>
    <x v="19"/>
    <x v="425"/>
    <n v="114"/>
  </r>
  <r>
    <s v="Coastal"/>
    <n v="783"/>
    <s v="Port of Brunswick, GA"/>
    <n v="3285"/>
    <x v="87"/>
    <x v="10"/>
    <n v="102"/>
    <x v="418"/>
    <x v="781"/>
    <n v="102"/>
  </r>
  <r>
    <s v="Coastal"/>
    <n v="783"/>
    <s v="Port of Brunswick, GA"/>
    <n v="2330"/>
    <x v="1"/>
    <x v="10"/>
    <n v="91"/>
    <x v="717"/>
    <x v="119"/>
    <n v="91"/>
  </r>
  <r>
    <s v="Coastal"/>
    <n v="783"/>
    <s v="Port of Brunswick, GA"/>
    <n v="7300"/>
    <x v="115"/>
    <x v="10"/>
    <n v="84"/>
    <x v="0"/>
    <x v="79"/>
    <n v="84"/>
  </r>
  <r>
    <s v="Coastal"/>
    <n v="783"/>
    <s v="Port of Brunswick, GA"/>
    <n v="5220"/>
    <x v="30"/>
    <x v="10"/>
    <n v="71"/>
    <x v="1085"/>
    <x v="0"/>
    <n v="71"/>
  </r>
  <r>
    <s v="Coastal"/>
    <n v="783"/>
    <s v="Port of Brunswick, GA"/>
    <n v="3293"/>
    <x v="122"/>
    <x v="10"/>
    <n v="68"/>
    <x v="451"/>
    <x v="272"/>
    <n v="68"/>
  </r>
  <r>
    <s v="Coastal"/>
    <n v="783"/>
    <s v="Port of Brunswick, GA"/>
    <n v="3230"/>
    <x v="80"/>
    <x v="10"/>
    <n v="43"/>
    <x v="415"/>
    <x v="133"/>
    <n v="43"/>
  </r>
  <r>
    <s v="Coastal"/>
    <n v="783"/>
    <s v="Port of Brunswick, GA"/>
    <n v="2410"/>
    <x v="98"/>
    <x v="10"/>
    <n v="42"/>
    <x v="0"/>
    <x v="130"/>
    <n v="42"/>
  </r>
  <r>
    <s v="Coastal"/>
    <n v="783"/>
    <s v="Port of Brunswick, GA"/>
    <n v="6811"/>
    <x v="76"/>
    <x v="10"/>
    <n v="37"/>
    <x v="613"/>
    <x v="0"/>
    <n v="37"/>
  </r>
  <r>
    <s v="Coastal"/>
    <n v="783"/>
    <s v="Port of Brunswick, GA"/>
    <n v="5110"/>
    <x v="112"/>
    <x v="10"/>
    <n v="35"/>
    <x v="0"/>
    <x v="1037"/>
    <n v="35"/>
  </r>
  <r>
    <s v="Coastal"/>
    <n v="783"/>
    <s v="Port of Brunswick, GA"/>
    <n v="5360"/>
    <x v="94"/>
    <x v="10"/>
    <n v="32"/>
    <x v="0"/>
    <x v="410"/>
    <n v="32"/>
  </r>
  <r>
    <s v="Coastal"/>
    <n v="783"/>
    <s v="Port of Brunswick, GA"/>
    <n v="5320"/>
    <x v="13"/>
    <x v="10"/>
    <n v="30"/>
    <x v="523"/>
    <x v="0"/>
    <n v="30"/>
  </r>
  <r>
    <s v="Coastal"/>
    <n v="783"/>
    <s v="Port of Brunswick, GA"/>
    <n v="5240"/>
    <x v="89"/>
    <x v="10"/>
    <n v="29"/>
    <x v="669"/>
    <x v="0"/>
    <n v="29"/>
  </r>
  <r>
    <s v="Coastal"/>
    <n v="783"/>
    <s v="Port of Brunswick, GA"/>
    <n v="3282"/>
    <x v="91"/>
    <x v="10"/>
    <n v="27"/>
    <x v="451"/>
    <x v="0"/>
    <n v="27"/>
  </r>
  <r>
    <s v="Coastal"/>
    <n v="783"/>
    <s v="Port of Brunswick, GA"/>
    <n v="6891"/>
    <x v="93"/>
    <x v="10"/>
    <n v="22"/>
    <x v="210"/>
    <x v="0"/>
    <n v="22"/>
  </r>
  <r>
    <s v="Coastal"/>
    <n v="783"/>
    <s v="Port of Brunswick, GA"/>
    <n v="6134"/>
    <x v="82"/>
    <x v="10"/>
    <n v="21"/>
    <x v="0"/>
    <x v="129"/>
    <n v="21"/>
  </r>
  <r>
    <s v="Coastal"/>
    <n v="783"/>
    <s v="Port of Brunswick, GA"/>
    <n v="4190"/>
    <x v="99"/>
    <x v="10"/>
    <n v="19"/>
    <x v="417"/>
    <x v="0"/>
    <n v="19"/>
  </r>
  <r>
    <s v="Coastal"/>
    <n v="783"/>
    <s v="Port of Brunswick, GA"/>
    <n v="5330"/>
    <x v="16"/>
    <x v="10"/>
    <n v="19"/>
    <x v="417"/>
    <x v="0"/>
    <n v="19"/>
  </r>
  <r>
    <s v="Coastal"/>
    <n v="783"/>
    <s v="Port of Brunswick, GA"/>
    <n v="3299"/>
    <x v="79"/>
    <x v="10"/>
    <n v="13"/>
    <x v="453"/>
    <x v="0"/>
    <n v="13"/>
  </r>
  <r>
    <s v="Coastal"/>
    <n v="783"/>
    <s v="Port of Brunswick, GA"/>
    <n v="3276"/>
    <x v="12"/>
    <x v="10"/>
    <n v="8"/>
    <x v="418"/>
    <x v="0"/>
    <n v="8"/>
  </r>
  <r>
    <s v="Coastal"/>
    <n v="783"/>
    <s v="Port of Brunswick, GA"/>
    <n v="3260"/>
    <x v="107"/>
    <x v="10"/>
    <n v="7"/>
    <x v="0"/>
    <x v="166"/>
    <n v="7"/>
  </r>
  <r>
    <s v="Coastal"/>
    <n v="783"/>
    <s v="Port of Brunswick, GA"/>
    <n v="3279"/>
    <x v="58"/>
    <x v="10"/>
    <n v="7"/>
    <x v="0"/>
    <x v="166"/>
    <n v="7"/>
  </r>
  <r>
    <s v="Coastal"/>
    <n v="783"/>
    <s v="Port of Brunswick, GA"/>
    <n v="5429"/>
    <x v="61"/>
    <x v="10"/>
    <n v="6"/>
    <x v="207"/>
    <x v="0"/>
    <n v="6"/>
  </r>
  <r>
    <s v="Coastal"/>
    <n v="783"/>
    <s v="Port of Brunswick, GA"/>
    <n v="3219"/>
    <x v="19"/>
    <x v="10"/>
    <n v="3"/>
    <x v="0"/>
    <x v="128"/>
    <n v="3"/>
  </r>
  <r>
    <s v="Coastal"/>
    <n v="783"/>
    <s v="Port of Brunswick, GA"/>
    <n v="5312"/>
    <x v="52"/>
    <x v="10"/>
    <n v="1"/>
    <x v="19"/>
    <x v="0"/>
    <n v="1"/>
  </r>
  <r>
    <s v="Coastal"/>
    <n v="775"/>
    <s v="Port of Charleston, SC"/>
    <n v="5312"/>
    <x v="52"/>
    <x v="10"/>
    <n v="2077181"/>
    <x v="1971"/>
    <x v="310"/>
    <n v="2077181"/>
  </r>
  <r>
    <s v="Coastal"/>
    <n v="775"/>
    <s v="Port of Charleston, SC"/>
    <n v="3286"/>
    <x v="57"/>
    <x v="10"/>
    <n v="2023091"/>
    <x v="1972"/>
    <x v="1435"/>
    <n v="2023091"/>
  </r>
  <r>
    <s v="Coastal"/>
    <n v="775"/>
    <s v="Port of Charleston, SC"/>
    <n v="7210"/>
    <x v="59"/>
    <x v="10"/>
    <n v="1774842"/>
    <x v="1973"/>
    <x v="1436"/>
    <n v="1774842"/>
  </r>
  <r>
    <s v="Coastal"/>
    <n v="775"/>
    <s v="Port of Charleston, SC"/>
    <n v="3219"/>
    <x v="19"/>
    <x v="2438"/>
    <n v="898393"/>
    <x v="1974"/>
    <x v="1437"/>
    <n v="1693493"/>
  </r>
  <r>
    <s v="Coastal"/>
    <n v="775"/>
    <s v="Port of Charleston, SC"/>
    <n v="7900"/>
    <x v="21"/>
    <x v="983"/>
    <n v="1612901"/>
    <x v="1975"/>
    <x v="1438"/>
    <n v="1614454"/>
  </r>
  <r>
    <s v="Coastal"/>
    <n v="775"/>
    <s v="Port of Charleston, SC"/>
    <n v="7500"/>
    <x v="60"/>
    <x v="10"/>
    <n v="1528734"/>
    <x v="1976"/>
    <x v="1439"/>
    <n v="1528734"/>
  </r>
  <r>
    <s v="Coastal"/>
    <n v="775"/>
    <s v="Port of Charleston, SC"/>
    <n v="7110"/>
    <x v="4"/>
    <x v="10"/>
    <n v="1418835"/>
    <x v="1977"/>
    <x v="1440"/>
    <n v="1418835"/>
  </r>
  <r>
    <s v="Coastal"/>
    <n v="775"/>
    <s v="Port of Charleston, SC"/>
    <n v="7600"/>
    <x v="68"/>
    <x v="10"/>
    <n v="1185090"/>
    <x v="1978"/>
    <x v="1441"/>
    <n v="1185090"/>
  </r>
  <r>
    <s v="Coastal"/>
    <n v="775"/>
    <s v="Port of Charleston, SC"/>
    <n v="4225"/>
    <x v="10"/>
    <x v="10"/>
    <n v="1117789"/>
    <x v="1979"/>
    <x v="1442"/>
    <n v="1117789"/>
  </r>
  <r>
    <s v="Coastal"/>
    <n v="775"/>
    <s v="Port of Charleston, SC"/>
    <n v="2211"/>
    <x v="0"/>
    <x v="2439"/>
    <n v="717234"/>
    <x v="1980"/>
    <x v="20"/>
    <n v="1106995"/>
  </r>
  <r>
    <s v="Coastal"/>
    <n v="775"/>
    <s v="Port of Charleston, SC"/>
    <n v="7120"/>
    <x v="71"/>
    <x v="10"/>
    <n v="911617"/>
    <x v="1981"/>
    <x v="1443"/>
    <n v="911617"/>
  </r>
  <r>
    <s v="Coastal"/>
    <n v="775"/>
    <s v="Port of Charleston, SC"/>
    <n v="5480"/>
    <x v="20"/>
    <x v="10"/>
    <n v="751523"/>
    <x v="1982"/>
    <x v="1444"/>
    <n v="751523"/>
  </r>
  <r>
    <s v="Coastal"/>
    <n v="775"/>
    <s v="Port of Charleston, SC"/>
    <n v="5120"/>
    <x v="63"/>
    <x v="10"/>
    <n v="599453"/>
    <x v="1983"/>
    <x v="1445"/>
    <n v="599453"/>
  </r>
  <r>
    <s v="Coastal"/>
    <n v="775"/>
    <s v="Port of Charleston, SC"/>
    <n v="6811"/>
    <x v="76"/>
    <x v="10"/>
    <n v="598583"/>
    <x v="1984"/>
    <x v="1446"/>
    <n v="598583"/>
  </r>
  <r>
    <s v="Coastal"/>
    <n v="775"/>
    <s v="Port of Charleston, SC"/>
    <n v="4189"/>
    <x v="65"/>
    <x v="10"/>
    <n v="532745"/>
    <x v="1985"/>
    <x v="1447"/>
    <n v="532745"/>
  </r>
  <r>
    <s v="Coastal"/>
    <n v="775"/>
    <s v="Port of Charleston, SC"/>
    <n v="2330"/>
    <x v="1"/>
    <x v="2440"/>
    <n v="379582"/>
    <x v="1986"/>
    <x v="1448"/>
    <n v="499546"/>
  </r>
  <r>
    <s v="Coastal"/>
    <n v="775"/>
    <s v="Port of Charleston, SC"/>
    <n v="6782"/>
    <x v="27"/>
    <x v="10"/>
    <n v="398970"/>
    <x v="1987"/>
    <x v="1449"/>
    <n v="398970"/>
  </r>
  <r>
    <s v="Coastal"/>
    <n v="775"/>
    <s v="Port of Charleston, SC"/>
    <n v="4170"/>
    <x v="55"/>
    <x v="10"/>
    <n v="372222"/>
    <x v="1988"/>
    <x v="1450"/>
    <n v="372222"/>
  </r>
  <r>
    <s v="Coastal"/>
    <n v="775"/>
    <s v="Port of Charleston, SC"/>
    <n v="5290"/>
    <x v="49"/>
    <x v="10"/>
    <n v="365961"/>
    <x v="1989"/>
    <x v="1451"/>
    <n v="365961"/>
  </r>
  <r>
    <s v="Coastal"/>
    <n v="775"/>
    <s v="Port of Charleston, SC"/>
    <n v="4420"/>
    <x v="8"/>
    <x v="10"/>
    <n v="354997"/>
    <x v="1990"/>
    <x v="1452"/>
    <n v="354997"/>
  </r>
  <r>
    <s v="Coastal"/>
    <n v="775"/>
    <s v="Port of Charleston, SC"/>
    <n v="4322"/>
    <x v="33"/>
    <x v="10"/>
    <n v="354929"/>
    <x v="1991"/>
    <x v="0"/>
    <n v="354929"/>
  </r>
  <r>
    <s v="Coastal"/>
    <n v="775"/>
    <s v="Port of Charleston, SC"/>
    <n v="4331"/>
    <x v="29"/>
    <x v="10"/>
    <n v="348118"/>
    <x v="1992"/>
    <x v="1453"/>
    <n v="348118"/>
  </r>
  <r>
    <s v="Coastal"/>
    <n v="775"/>
    <s v="Port of Charleston, SC"/>
    <n v="3299"/>
    <x v="79"/>
    <x v="10"/>
    <n v="279023"/>
    <x v="1993"/>
    <x v="1454"/>
    <n v="279023"/>
  </r>
  <r>
    <s v="Coastal"/>
    <n v="775"/>
    <s v="Port of Charleston, SC"/>
    <n v="5540"/>
    <x v="64"/>
    <x v="10"/>
    <n v="243821"/>
    <x v="1994"/>
    <x v="1455"/>
    <n v="243821"/>
  </r>
  <r>
    <s v="Coastal"/>
    <n v="775"/>
    <s v="Port of Charleston, SC"/>
    <n v="4680"/>
    <x v="70"/>
    <x v="10"/>
    <n v="239679"/>
    <x v="1995"/>
    <x v="1456"/>
    <n v="239679"/>
  </r>
  <r>
    <s v="Coastal"/>
    <n v="775"/>
    <s v="Port of Charleston, SC"/>
    <n v="4650"/>
    <x v="67"/>
    <x v="10"/>
    <n v="238907"/>
    <x v="1996"/>
    <x v="1457"/>
    <n v="238907"/>
  </r>
  <r>
    <s v="Coastal"/>
    <n v="775"/>
    <s v="Port of Charleston, SC"/>
    <n v="9900"/>
    <x v="18"/>
    <x v="10"/>
    <n v="220356"/>
    <x v="1997"/>
    <x v="1458"/>
    <n v="220356"/>
  </r>
  <r>
    <s v="Coastal"/>
    <n v="775"/>
    <s v="Port of Charleston, SC"/>
    <n v="3220"/>
    <x v="2"/>
    <x v="2441"/>
    <n v="206491"/>
    <x v="1998"/>
    <x v="1459"/>
    <n v="215649"/>
  </r>
  <r>
    <s v="Coastal"/>
    <n v="775"/>
    <s v="Port of Charleston, SC"/>
    <n v="5220"/>
    <x v="30"/>
    <x v="10"/>
    <n v="204843"/>
    <x v="1999"/>
    <x v="1406"/>
    <n v="204843"/>
  </r>
  <r>
    <s v="Coastal"/>
    <n v="775"/>
    <s v="Port of Charleston, SC"/>
    <n v="6885"/>
    <x v="72"/>
    <x v="10"/>
    <n v="203619"/>
    <x v="2000"/>
    <x v="1460"/>
    <n v="203619"/>
  </r>
  <r>
    <s v="Coastal"/>
    <n v="775"/>
    <s v="Port of Charleston, SC"/>
    <n v="3285"/>
    <x v="87"/>
    <x v="10"/>
    <n v="189234"/>
    <x v="2001"/>
    <x v="1461"/>
    <n v="189234"/>
  </r>
  <r>
    <s v="Coastal"/>
    <n v="775"/>
    <s v="Port of Charleston, SC"/>
    <n v="6893"/>
    <x v="113"/>
    <x v="10"/>
    <n v="189135"/>
    <x v="2002"/>
    <x v="1462"/>
    <n v="189135"/>
  </r>
  <r>
    <s v="Coastal"/>
    <n v="775"/>
    <s v="Port of Charleston, SC"/>
    <n v="4110"/>
    <x v="105"/>
    <x v="10"/>
    <n v="188674"/>
    <x v="2003"/>
    <x v="1463"/>
    <n v="188674"/>
  </r>
  <r>
    <s v="Coastal"/>
    <n v="775"/>
    <s v="Port of Charleston, SC"/>
    <n v="3230"/>
    <x v="80"/>
    <x v="10"/>
    <n v="184140"/>
    <x v="2004"/>
    <x v="1464"/>
    <n v="184140"/>
  </r>
  <r>
    <s v="Coastal"/>
    <n v="775"/>
    <s v="Port of Charleston, SC"/>
    <n v="6654"/>
    <x v="50"/>
    <x v="10"/>
    <n v="171428"/>
    <x v="2005"/>
    <x v="1465"/>
    <n v="171428"/>
  </r>
  <r>
    <s v="Coastal"/>
    <n v="775"/>
    <s v="Port of Charleston, SC"/>
    <n v="5422"/>
    <x v="66"/>
    <x v="10"/>
    <n v="168008"/>
    <x v="2006"/>
    <x v="1466"/>
    <n v="168008"/>
  </r>
  <r>
    <s v="Coastal"/>
    <n v="775"/>
    <s v="Port of Charleston, SC"/>
    <n v="6522"/>
    <x v="26"/>
    <x v="10"/>
    <n v="165039"/>
    <x v="2007"/>
    <x v="1467"/>
    <n v="165039"/>
  </r>
  <r>
    <s v="Coastal"/>
    <n v="775"/>
    <s v="Port of Charleston, SC"/>
    <n v="6871"/>
    <x v="73"/>
    <x v="10"/>
    <n v="164678"/>
    <x v="2008"/>
    <x v="1468"/>
    <n v="164678"/>
  </r>
  <r>
    <s v="Coastal"/>
    <n v="775"/>
    <s v="Port of Charleston, SC"/>
    <n v="4900"/>
    <x v="14"/>
    <x v="10"/>
    <n v="163260"/>
    <x v="2009"/>
    <x v="1469"/>
    <n v="163260"/>
  </r>
  <r>
    <s v="Coastal"/>
    <n v="775"/>
    <s v="Port of Charleston, SC"/>
    <n v="3276"/>
    <x v="12"/>
    <x v="10"/>
    <n v="161427"/>
    <x v="2010"/>
    <x v="1470"/>
    <n v="161427"/>
  </r>
  <r>
    <s v="Coastal"/>
    <n v="775"/>
    <s v="Port of Charleston, SC"/>
    <n v="4783"/>
    <x v="7"/>
    <x v="10"/>
    <n v="159232"/>
    <x v="2011"/>
    <x v="1471"/>
    <n v="159232"/>
  </r>
  <r>
    <s v="Coastal"/>
    <n v="775"/>
    <s v="Port of Charleston, SC"/>
    <n v="4323"/>
    <x v="6"/>
    <x v="10"/>
    <n v="158881"/>
    <x v="2012"/>
    <x v="1161"/>
    <n v="158881"/>
  </r>
  <r>
    <s v="Coastal"/>
    <n v="775"/>
    <s v="Port of Charleston, SC"/>
    <n v="3275"/>
    <x v="47"/>
    <x v="10"/>
    <n v="156981"/>
    <x v="2013"/>
    <x v="1472"/>
    <n v="156981"/>
  </r>
  <r>
    <s v="Coastal"/>
    <n v="775"/>
    <s v="Port of Charleston, SC"/>
    <n v="5240"/>
    <x v="89"/>
    <x v="10"/>
    <n v="155102"/>
    <x v="2014"/>
    <x v="1473"/>
    <n v="155102"/>
  </r>
  <r>
    <s v="Coastal"/>
    <n v="775"/>
    <s v="Port of Charleston, SC"/>
    <n v="6889"/>
    <x v="42"/>
    <x v="10"/>
    <n v="142044"/>
    <x v="2015"/>
    <x v="1474"/>
    <n v="142044"/>
  </r>
  <r>
    <s v="Coastal"/>
    <n v="775"/>
    <s v="Port of Charleston, SC"/>
    <n v="3240"/>
    <x v="53"/>
    <x v="10"/>
    <n v="139294"/>
    <x v="2016"/>
    <x v="1475"/>
    <n v="139294"/>
  </r>
  <r>
    <s v="Coastal"/>
    <n v="775"/>
    <s v="Port of Charleston, SC"/>
    <n v="6653"/>
    <x v="24"/>
    <x v="10"/>
    <n v="134256"/>
    <x v="2017"/>
    <x v="1476"/>
    <n v="134256"/>
  </r>
  <r>
    <s v="Coastal"/>
    <n v="775"/>
    <s v="Port of Charleston, SC"/>
    <n v="2221"/>
    <x v="9"/>
    <x v="2442"/>
    <n v="0"/>
    <x v="0"/>
    <x v="0"/>
    <n v="133180"/>
  </r>
  <r>
    <s v="Coastal"/>
    <n v="775"/>
    <s v="Port of Charleston, SC"/>
    <n v="7400"/>
    <x v="77"/>
    <x v="10"/>
    <n v="119346"/>
    <x v="2018"/>
    <x v="1477"/>
    <n v="119346"/>
  </r>
  <r>
    <s v="Coastal"/>
    <n v="775"/>
    <s v="Port of Charleston, SC"/>
    <n v="3250"/>
    <x v="108"/>
    <x v="10"/>
    <n v="109109"/>
    <x v="2019"/>
    <x v="1478"/>
    <n v="109109"/>
  </r>
  <r>
    <s v="Coastal"/>
    <n v="775"/>
    <s v="Port of Charleston, SC"/>
    <n v="5330"/>
    <x v="16"/>
    <x v="2443"/>
    <n v="96467"/>
    <x v="2020"/>
    <x v="1479"/>
    <n v="104581"/>
  </r>
  <r>
    <s v="Coastal"/>
    <n v="775"/>
    <s v="Port of Charleston, SC"/>
    <n v="5190"/>
    <x v="83"/>
    <x v="10"/>
    <n v="95389"/>
    <x v="2021"/>
    <x v="1480"/>
    <n v="95389"/>
  </r>
  <r>
    <s v="Coastal"/>
    <n v="775"/>
    <s v="Port of Charleston, SC"/>
    <n v="2340"/>
    <x v="3"/>
    <x v="2444"/>
    <n v="8"/>
    <x v="418"/>
    <x v="0"/>
    <n v="88602"/>
  </r>
  <r>
    <s v="Coastal"/>
    <n v="775"/>
    <s v="Port of Charleston, SC"/>
    <n v="3292"/>
    <x v="51"/>
    <x v="10"/>
    <n v="82539"/>
    <x v="2022"/>
    <x v="1481"/>
    <n v="82539"/>
  </r>
  <r>
    <s v="Coastal"/>
    <n v="775"/>
    <s v="Port of Charleston, SC"/>
    <n v="3282"/>
    <x v="91"/>
    <x v="10"/>
    <n v="77378"/>
    <x v="2023"/>
    <x v="1482"/>
    <n v="77378"/>
  </r>
  <r>
    <s v="Coastal"/>
    <n v="775"/>
    <s v="Port of Charleston, SC"/>
    <n v="4782"/>
    <x v="45"/>
    <x v="10"/>
    <n v="74408"/>
    <x v="2024"/>
    <x v="1483"/>
    <n v="74408"/>
  </r>
  <r>
    <s v="Coastal"/>
    <n v="775"/>
    <s v="Port of Charleston, SC"/>
    <n v="3284"/>
    <x v="97"/>
    <x v="10"/>
    <n v="72555"/>
    <x v="2025"/>
    <x v="1484"/>
    <n v="72555"/>
  </r>
  <r>
    <s v="Coastal"/>
    <n v="775"/>
    <s v="Port of Charleston, SC"/>
    <n v="6590"/>
    <x v="23"/>
    <x v="10"/>
    <n v="66004"/>
    <x v="2026"/>
    <x v="1485"/>
    <n v="66004"/>
  </r>
  <r>
    <s v="Coastal"/>
    <n v="775"/>
    <s v="Port of Charleston, SC"/>
    <n v="5360"/>
    <x v="94"/>
    <x v="10"/>
    <n v="65703"/>
    <x v="2027"/>
    <x v="1486"/>
    <n v="65703"/>
  </r>
  <r>
    <s v="Coastal"/>
    <n v="775"/>
    <s v="Port of Charleston, SC"/>
    <n v="3110"/>
    <x v="36"/>
    <x v="10"/>
    <n v="56228"/>
    <x v="2028"/>
    <x v="1487"/>
    <n v="56228"/>
  </r>
  <r>
    <s v="Coastal"/>
    <n v="775"/>
    <s v="Port of Charleston, SC"/>
    <n v="3260"/>
    <x v="107"/>
    <x v="10"/>
    <n v="55180"/>
    <x v="2029"/>
    <x v="1488"/>
    <n v="55180"/>
  </r>
  <r>
    <s v="Coastal"/>
    <n v="775"/>
    <s v="Port of Charleston, SC"/>
    <n v="6747"/>
    <x v="78"/>
    <x v="10"/>
    <n v="51937"/>
    <x v="2030"/>
    <x v="1489"/>
    <n v="51937"/>
  </r>
  <r>
    <s v="Coastal"/>
    <n v="775"/>
    <s v="Port of Charleston, SC"/>
    <n v="5429"/>
    <x v="61"/>
    <x v="10"/>
    <n v="49184"/>
    <x v="2031"/>
    <x v="1490"/>
    <n v="49184"/>
  </r>
  <r>
    <s v="Coastal"/>
    <n v="775"/>
    <s v="Port of Charleston, SC"/>
    <n v="3291"/>
    <x v="117"/>
    <x v="10"/>
    <n v="46488"/>
    <x v="2032"/>
    <x v="1491"/>
    <n v="46488"/>
  </r>
  <r>
    <s v="Coastal"/>
    <n v="775"/>
    <s v="Port of Charleston, SC"/>
    <n v="5370"/>
    <x v="81"/>
    <x v="10"/>
    <n v="44626"/>
    <x v="2033"/>
    <x v="958"/>
    <n v="44626"/>
  </r>
  <r>
    <s v="Coastal"/>
    <n v="775"/>
    <s v="Port of Charleston, SC"/>
    <n v="6839"/>
    <x v="106"/>
    <x v="10"/>
    <n v="44509"/>
    <x v="2034"/>
    <x v="1492"/>
    <n v="44509"/>
  </r>
  <r>
    <s v="Coastal"/>
    <n v="775"/>
    <s v="Port of Charleston, SC"/>
    <n v="6858"/>
    <x v="74"/>
    <x v="10"/>
    <n v="42678"/>
    <x v="2035"/>
    <x v="1493"/>
    <n v="42678"/>
  </r>
  <r>
    <s v="Coastal"/>
    <n v="775"/>
    <s v="Port of Charleston, SC"/>
    <n v="1100"/>
    <x v="32"/>
    <x v="10"/>
    <n v="42306"/>
    <x v="2036"/>
    <x v="738"/>
    <n v="42306"/>
  </r>
  <r>
    <s v="Coastal"/>
    <n v="775"/>
    <s v="Port of Charleston, SC"/>
    <n v="7300"/>
    <x v="115"/>
    <x v="10"/>
    <n v="39673"/>
    <x v="2037"/>
    <x v="1494"/>
    <n v="39673"/>
  </r>
  <r>
    <s v="Coastal"/>
    <n v="775"/>
    <s v="Port of Charleston, SC"/>
    <n v="5421"/>
    <x v="88"/>
    <x v="10"/>
    <n v="36708"/>
    <x v="2038"/>
    <x v="1495"/>
    <n v="36708"/>
  </r>
  <r>
    <s v="Coastal"/>
    <n v="775"/>
    <s v="Port of Charleston, SC"/>
    <n v="3274"/>
    <x v="86"/>
    <x v="1652"/>
    <n v="28136"/>
    <x v="2039"/>
    <x v="1496"/>
    <n v="31927"/>
  </r>
  <r>
    <s v="Coastal"/>
    <n v="775"/>
    <s v="Port of Charleston, SC"/>
    <n v="3283"/>
    <x v="111"/>
    <x v="10"/>
    <n v="31720"/>
    <x v="2040"/>
    <x v="1497"/>
    <n v="31720"/>
  </r>
  <r>
    <s v="Coastal"/>
    <n v="775"/>
    <s v="Port of Charleston, SC"/>
    <n v="3297"/>
    <x v="116"/>
    <x v="10"/>
    <n v="28106"/>
    <x v="2041"/>
    <x v="1498"/>
    <n v="28106"/>
  </r>
  <r>
    <s v="Coastal"/>
    <n v="775"/>
    <s v="Port of Charleston, SC"/>
    <n v="3298"/>
    <x v="123"/>
    <x v="10"/>
    <n v="28087"/>
    <x v="2042"/>
    <x v="1499"/>
    <n v="28087"/>
  </r>
  <r>
    <s v="Coastal"/>
    <n v="775"/>
    <s v="Port of Charleston, SC"/>
    <n v="6442"/>
    <x v="85"/>
    <x v="10"/>
    <n v="28049"/>
    <x v="2043"/>
    <x v="1500"/>
    <n v="28049"/>
  </r>
  <r>
    <s v="Coastal"/>
    <n v="775"/>
    <s v="Port of Charleston, SC"/>
    <n v="3293"/>
    <x v="122"/>
    <x v="10"/>
    <n v="24481"/>
    <x v="2044"/>
    <x v="1501"/>
    <n v="24481"/>
  </r>
  <r>
    <s v="Coastal"/>
    <n v="775"/>
    <s v="Port of Charleston, SC"/>
    <n v="4690"/>
    <x v="62"/>
    <x v="10"/>
    <n v="23285"/>
    <x v="2045"/>
    <x v="1502"/>
    <n v="23285"/>
  </r>
  <r>
    <s v="Coastal"/>
    <n v="775"/>
    <s v="Port of Charleston, SC"/>
    <n v="5390"/>
    <x v="44"/>
    <x v="10"/>
    <n v="21750"/>
    <x v="2046"/>
    <x v="1503"/>
    <n v="21750"/>
  </r>
  <r>
    <s v="Coastal"/>
    <n v="775"/>
    <s v="Port of Charleston, SC"/>
    <n v="6781"/>
    <x v="128"/>
    <x v="10"/>
    <n v="19888"/>
    <x v="2047"/>
    <x v="1504"/>
    <n v="19888"/>
  </r>
  <r>
    <s v="Coastal"/>
    <n v="775"/>
    <s v="Port of Charleston, SC"/>
    <n v="3130"/>
    <x v="37"/>
    <x v="10"/>
    <n v="19307"/>
    <x v="2048"/>
    <x v="1412"/>
    <n v="19307"/>
  </r>
  <r>
    <s v="Coastal"/>
    <n v="775"/>
    <s v="Port of Charleston, SC"/>
    <n v="5315"/>
    <x v="48"/>
    <x v="10"/>
    <n v="17836"/>
    <x v="2049"/>
    <x v="102"/>
    <n v="17836"/>
  </r>
  <r>
    <s v="Coastal"/>
    <n v="775"/>
    <s v="Port of Charleston, SC"/>
    <n v="6899"/>
    <x v="114"/>
    <x v="10"/>
    <n v="17453"/>
    <x v="2050"/>
    <x v="1505"/>
    <n v="17453"/>
  </r>
  <r>
    <s v="Coastal"/>
    <n v="775"/>
    <s v="Port of Charleston, SC"/>
    <n v="6822"/>
    <x v="84"/>
    <x v="10"/>
    <n v="17065"/>
    <x v="2051"/>
    <x v="1506"/>
    <n v="17065"/>
  </r>
  <r>
    <s v="Coastal"/>
    <n v="775"/>
    <s v="Port of Charleston, SC"/>
    <n v="3190"/>
    <x v="38"/>
    <x v="10"/>
    <n v="15395"/>
    <x v="2052"/>
    <x v="1507"/>
    <n v="15395"/>
  </r>
  <r>
    <s v="Coastal"/>
    <n v="775"/>
    <s v="Port of Charleston, SC"/>
    <n v="6344"/>
    <x v="25"/>
    <x v="10"/>
    <n v="14019"/>
    <x v="196"/>
    <x v="1508"/>
    <n v="14019"/>
  </r>
  <r>
    <s v="Coastal"/>
    <n v="775"/>
    <s v="Port of Charleston, SC"/>
    <n v="3279"/>
    <x v="58"/>
    <x v="10"/>
    <n v="13640"/>
    <x v="2053"/>
    <x v="1509"/>
    <n v="13640"/>
  </r>
  <r>
    <s v="Coastal"/>
    <n v="775"/>
    <s v="Port of Charleston, SC"/>
    <n v="2429"/>
    <x v="17"/>
    <x v="2445"/>
    <n v="12578"/>
    <x v="2054"/>
    <x v="126"/>
    <n v="13536"/>
  </r>
  <r>
    <s v="Coastal"/>
    <n v="775"/>
    <s v="Port of Charleston, SC"/>
    <n v="6521"/>
    <x v="121"/>
    <x v="10"/>
    <n v="13452"/>
    <x v="2055"/>
    <x v="1510"/>
    <n v="13452"/>
  </r>
  <r>
    <s v="Coastal"/>
    <n v="775"/>
    <s v="Port of Charleston, SC"/>
    <n v="6838"/>
    <x v="131"/>
    <x v="10"/>
    <n v="13104"/>
    <x v="2056"/>
    <x v="1511"/>
    <n v="13104"/>
  </r>
  <r>
    <s v="Coastal"/>
    <n v="775"/>
    <s v="Port of Charleston, SC"/>
    <n v="2410"/>
    <x v="98"/>
    <x v="10"/>
    <n v="11314"/>
    <x v="2057"/>
    <x v="1035"/>
    <n v="11314"/>
  </r>
  <r>
    <s v="Coastal"/>
    <n v="775"/>
    <s v="Port of Charleston, SC"/>
    <n v="6891"/>
    <x v="93"/>
    <x v="10"/>
    <n v="10763"/>
    <x v="2058"/>
    <x v="1512"/>
    <n v="10763"/>
  </r>
  <r>
    <s v="Coastal"/>
    <n v="775"/>
    <s v="Port of Charleston, SC"/>
    <n v="4161"/>
    <x v="54"/>
    <x v="10"/>
    <n v="10299"/>
    <x v="2059"/>
    <x v="1513"/>
    <n v="10299"/>
  </r>
  <r>
    <s v="Coastal"/>
    <n v="775"/>
    <s v="Port of Charleston, SC"/>
    <n v="4310"/>
    <x v="96"/>
    <x v="10"/>
    <n v="9625"/>
    <x v="2060"/>
    <x v="1514"/>
    <n v="9625"/>
  </r>
  <r>
    <s v="Coastal"/>
    <n v="775"/>
    <s v="Port of Charleston, SC"/>
    <n v="6835"/>
    <x v="92"/>
    <x v="10"/>
    <n v="9037"/>
    <x v="2061"/>
    <x v="748"/>
    <n v="9037"/>
  </r>
  <r>
    <s v="Coastal"/>
    <n v="775"/>
    <s v="Port of Charleston, SC"/>
    <n v="4190"/>
    <x v="99"/>
    <x v="10"/>
    <n v="8147"/>
    <x v="2062"/>
    <x v="1515"/>
    <n v="8147"/>
  </r>
  <r>
    <s v="Coastal"/>
    <n v="775"/>
    <s v="Port of Charleston, SC"/>
    <n v="6857"/>
    <x v="104"/>
    <x v="10"/>
    <n v="7776"/>
    <x v="2063"/>
    <x v="1516"/>
    <n v="7776"/>
  </r>
  <r>
    <s v="Coastal"/>
    <n v="775"/>
    <s v="Port of Charleston, SC"/>
    <n v="7220"/>
    <x v="103"/>
    <x v="10"/>
    <n v="6352"/>
    <x v="2064"/>
    <x v="1517"/>
    <n v="6352"/>
  </r>
  <r>
    <s v="Coastal"/>
    <n v="775"/>
    <s v="Port of Charleston, SC"/>
    <n v="4150"/>
    <x v="101"/>
    <x v="10"/>
    <n v="6174"/>
    <x v="2065"/>
    <x v="114"/>
    <n v="6174"/>
  </r>
  <r>
    <s v="Coastal"/>
    <n v="775"/>
    <s v="Port of Charleston, SC"/>
    <n v="6894"/>
    <x v="120"/>
    <x v="10"/>
    <n v="5903"/>
    <x v="2066"/>
    <x v="1518"/>
    <n v="5903"/>
  </r>
  <r>
    <s v="Coastal"/>
    <n v="775"/>
    <s v="Port of Charleston, SC"/>
    <n v="3211"/>
    <x v="124"/>
    <x v="10"/>
    <n v="5775"/>
    <x v="1217"/>
    <x v="1519"/>
    <n v="5775"/>
  </r>
  <r>
    <s v="Coastal"/>
    <n v="775"/>
    <s v="Port of Charleston, SC"/>
    <n v="4630"/>
    <x v="127"/>
    <x v="10"/>
    <n v="5361"/>
    <x v="2067"/>
    <x v="0"/>
    <n v="5361"/>
  </r>
  <r>
    <s v="Coastal"/>
    <n v="775"/>
    <s v="Port of Charleston, SC"/>
    <n v="7230"/>
    <x v="22"/>
    <x v="10"/>
    <n v="5068"/>
    <x v="2068"/>
    <x v="1520"/>
    <n v="5068"/>
  </r>
  <r>
    <s v="Coastal"/>
    <n v="775"/>
    <s v="Port of Charleston, SC"/>
    <n v="6136"/>
    <x v="95"/>
    <x v="10"/>
    <n v="4190"/>
    <x v="2069"/>
    <x v="1358"/>
    <n v="4190"/>
  </r>
  <r>
    <s v="Coastal"/>
    <n v="775"/>
    <s v="Port of Charleston, SC"/>
    <n v="2640"/>
    <x v="110"/>
    <x v="10"/>
    <n v="3551"/>
    <x v="2070"/>
    <x v="1521"/>
    <n v="3551"/>
  </r>
  <r>
    <s v="Coastal"/>
    <n v="775"/>
    <s v="Port of Charleston, SC"/>
    <n v="5110"/>
    <x v="112"/>
    <x v="10"/>
    <n v="3360"/>
    <x v="2071"/>
    <x v="1522"/>
    <n v="3360"/>
  </r>
  <r>
    <s v="Coastal"/>
    <n v="775"/>
    <s v="Port of Charleston, SC"/>
    <n v="6134"/>
    <x v="82"/>
    <x v="10"/>
    <n v="3252"/>
    <x v="2072"/>
    <x v="1523"/>
    <n v="3252"/>
  </r>
  <r>
    <s v="Coastal"/>
    <n v="775"/>
    <s v="Port of Charleston, SC"/>
    <n v="6861"/>
    <x v="69"/>
    <x v="10"/>
    <n v="2971"/>
    <x v="2073"/>
    <x v="582"/>
    <n v="2971"/>
  </r>
  <r>
    <s v="Coastal"/>
    <n v="775"/>
    <s v="Port of Charleston, SC"/>
    <n v="4670"/>
    <x v="90"/>
    <x v="10"/>
    <n v="2932"/>
    <x v="2074"/>
    <x v="0"/>
    <n v="2932"/>
  </r>
  <r>
    <s v="Coastal"/>
    <n v="775"/>
    <s v="Port of Charleston, SC"/>
    <n v="2430"/>
    <x v="11"/>
    <x v="10"/>
    <n v="2835"/>
    <x v="2075"/>
    <x v="1524"/>
    <n v="2835"/>
  </r>
  <r>
    <s v="Coastal"/>
    <n v="775"/>
    <s v="Port of Charleston, SC"/>
    <n v="4860"/>
    <x v="31"/>
    <x v="10"/>
    <n v="2787"/>
    <x v="908"/>
    <x v="1525"/>
    <n v="2787"/>
  </r>
  <r>
    <s v="Coastal"/>
    <n v="775"/>
    <s v="Port of Charleston, SC"/>
    <n v="2350"/>
    <x v="40"/>
    <x v="10"/>
    <n v="2467"/>
    <x v="2076"/>
    <x v="1526"/>
    <n v="2467"/>
  </r>
  <r>
    <s v="Coastal"/>
    <n v="775"/>
    <s v="Port of Charleston, SC"/>
    <n v="2540"/>
    <x v="15"/>
    <x v="10"/>
    <n v="1945"/>
    <x v="2077"/>
    <x v="1527"/>
    <n v="1945"/>
  </r>
  <r>
    <s v="Coastal"/>
    <n v="775"/>
    <s v="Port of Charleston, SC"/>
    <n v="6241"/>
    <x v="28"/>
    <x v="10"/>
    <n v="1915"/>
    <x v="302"/>
    <x v="1528"/>
    <n v="1915"/>
  </r>
  <r>
    <s v="Coastal"/>
    <n v="775"/>
    <s v="Port of Charleston, SC"/>
    <n v="6817"/>
    <x v="119"/>
    <x v="10"/>
    <n v="1799"/>
    <x v="2078"/>
    <x v="1529"/>
    <n v="1799"/>
  </r>
  <r>
    <s v="Coastal"/>
    <n v="775"/>
    <s v="Port of Charleston, SC"/>
    <n v="6888"/>
    <x v="109"/>
    <x v="10"/>
    <n v="1570"/>
    <x v="2079"/>
    <x v="1530"/>
    <n v="1570"/>
  </r>
  <r>
    <s v="Coastal"/>
    <n v="775"/>
    <s v="Port of Charleston, SC"/>
    <n v="6746"/>
    <x v="118"/>
    <x v="10"/>
    <n v="1412"/>
    <x v="1693"/>
    <x v="1531"/>
    <n v="1412"/>
  </r>
  <r>
    <s v="Coastal"/>
    <n v="775"/>
    <s v="Port of Charleston, SC"/>
    <n v="1200"/>
    <x v="43"/>
    <x v="10"/>
    <n v="1229"/>
    <x v="2080"/>
    <x v="1128"/>
    <n v="1229"/>
  </r>
  <r>
    <s v="Coastal"/>
    <n v="775"/>
    <s v="Port of Charleston, SC"/>
    <n v="6447"/>
    <x v="132"/>
    <x v="10"/>
    <n v="836"/>
    <x v="415"/>
    <x v="253"/>
    <n v="836"/>
  </r>
  <r>
    <s v="Coastal"/>
    <n v="775"/>
    <s v="Port of Charleston, SC"/>
    <n v="5320"/>
    <x v="13"/>
    <x v="10"/>
    <n v="710"/>
    <x v="2081"/>
    <x v="1532"/>
    <n v="710"/>
  </r>
  <r>
    <s v="Coastal"/>
    <n v="775"/>
    <s v="Port of Charleston, SC"/>
    <n v="6856"/>
    <x v="126"/>
    <x v="10"/>
    <n v="481"/>
    <x v="500"/>
    <x v="572"/>
    <n v="481"/>
  </r>
  <r>
    <s v="Coastal"/>
    <n v="775"/>
    <s v="Port of Charleston, SC"/>
    <n v="6872"/>
    <x v="100"/>
    <x v="10"/>
    <n v="395"/>
    <x v="2082"/>
    <x v="1533"/>
    <n v="395"/>
  </r>
  <r>
    <s v="Coastal"/>
    <n v="775"/>
    <s v="Port of Charleston, SC"/>
    <n v="3271"/>
    <x v="133"/>
    <x v="10"/>
    <n v="251"/>
    <x v="2083"/>
    <x v="0"/>
    <n v="251"/>
  </r>
  <r>
    <s v="Coastal"/>
    <n v="775"/>
    <s v="Port of Charleston, SC"/>
    <n v="6445"/>
    <x v="136"/>
    <x v="10"/>
    <n v="213"/>
    <x v="593"/>
    <x v="0"/>
    <n v="213"/>
  </r>
  <r>
    <s v="Coastal"/>
    <n v="775"/>
    <s v="Port of Charleston, SC"/>
    <n v="3281"/>
    <x v="125"/>
    <x v="10"/>
    <n v="183"/>
    <x v="715"/>
    <x v="131"/>
    <n v="183"/>
  </r>
  <r>
    <s v="Coastal"/>
    <n v="775"/>
    <s v="Port of Charleston, SC"/>
    <n v="3120"/>
    <x v="41"/>
    <x v="10"/>
    <n v="142"/>
    <x v="306"/>
    <x v="704"/>
    <n v="142"/>
  </r>
  <r>
    <s v="Coastal"/>
    <n v="775"/>
    <s v="Port of Charleston, SC"/>
    <n v="4515"/>
    <x v="129"/>
    <x v="10"/>
    <n v="124"/>
    <x v="1360"/>
    <x v="274"/>
    <n v="124"/>
  </r>
  <r>
    <s v="Coastal"/>
    <n v="775"/>
    <s v="Port of Charleston, SC"/>
    <n v="5210"/>
    <x v="130"/>
    <x v="10"/>
    <n v="122"/>
    <x v="151"/>
    <x v="26"/>
    <n v="122"/>
  </r>
  <r>
    <s v="Coastal"/>
    <n v="775"/>
    <s v="Port of Charleston, SC"/>
    <n v="3273"/>
    <x v="46"/>
    <x v="10"/>
    <n v="116"/>
    <x v="416"/>
    <x v="406"/>
    <n v="116"/>
  </r>
  <r>
    <s v="Coastal"/>
    <n v="775"/>
    <s v="Port of Charleston, SC"/>
    <n v="3212"/>
    <x v="39"/>
    <x v="10"/>
    <n v="104"/>
    <x v="1599"/>
    <x v="235"/>
    <n v="104"/>
  </r>
  <r>
    <s v="Coastal"/>
    <n v="775"/>
    <s v="Port of Charleston, SC"/>
    <n v="2100"/>
    <x v="35"/>
    <x v="10"/>
    <n v="97"/>
    <x v="539"/>
    <x v="0"/>
    <n v="97"/>
  </r>
  <r>
    <s v="Coastal"/>
    <n v="775"/>
    <s v="Port of Charleston, SC"/>
    <n v="4741"/>
    <x v="56"/>
    <x v="10"/>
    <n v="76"/>
    <x v="445"/>
    <x v="0"/>
    <n v="76"/>
  </r>
  <r>
    <s v="Coastal"/>
    <n v="775"/>
    <s v="Port of Charleston, SC"/>
    <n v="3272"/>
    <x v="137"/>
    <x v="10"/>
    <n v="59"/>
    <x v="313"/>
    <x v="667"/>
    <n v="59"/>
  </r>
  <r>
    <s v="Coastal"/>
    <n v="775"/>
    <s v="Port of Charleston, SC"/>
    <n v="4410"/>
    <x v="34"/>
    <x v="10"/>
    <n v="47"/>
    <x v="388"/>
    <x v="0"/>
    <n v="47"/>
  </r>
  <r>
    <s v="Coastal"/>
    <n v="775"/>
    <s v="Port of Charleston, SC"/>
    <n v="6443"/>
    <x v="135"/>
    <x v="10"/>
    <n v="39"/>
    <x v="414"/>
    <x v="0"/>
    <n v="39"/>
  </r>
  <r>
    <s v="Coastal"/>
    <n v="775"/>
    <s v="Port of Charleston, SC"/>
    <n v="4327"/>
    <x v="134"/>
    <x v="10"/>
    <n v="27"/>
    <x v="451"/>
    <x v="0"/>
    <n v="27"/>
  </r>
  <r>
    <s v="Coastal"/>
    <n v="775"/>
    <s v="Port of Charleston, SC"/>
    <n v="6865"/>
    <x v="75"/>
    <x v="10"/>
    <n v="7"/>
    <x v="311"/>
    <x v="0"/>
    <n v="7"/>
  </r>
  <r>
    <s v="Internal"/>
    <n v="4629"/>
    <s v="Port of Columbia County, OR"/>
    <n v="4331"/>
    <x v="29"/>
    <x v="2446"/>
    <n v="0"/>
    <x v="0"/>
    <x v="0"/>
    <n v="2457127"/>
  </r>
  <r>
    <s v="Internal"/>
    <n v="4629"/>
    <s v="Port of Columbia County, OR"/>
    <n v="4323"/>
    <x v="6"/>
    <x v="10"/>
    <n v="455639"/>
    <x v="2084"/>
    <x v="0"/>
    <n v="455639"/>
  </r>
  <r>
    <s v="Internal"/>
    <n v="4629"/>
    <s v="Port of Columbia County, OR"/>
    <n v="2330"/>
    <x v="1"/>
    <x v="2447"/>
    <n v="0"/>
    <x v="0"/>
    <x v="0"/>
    <n v="310752"/>
  </r>
  <r>
    <s v="Internal"/>
    <n v="4629"/>
    <s v="Port of Columbia County, OR"/>
    <n v="4189"/>
    <x v="65"/>
    <x v="2448"/>
    <n v="0"/>
    <x v="0"/>
    <x v="0"/>
    <n v="53287"/>
  </r>
  <r>
    <s v="Internal"/>
    <n v="4629"/>
    <s v="Port of Columbia County, OR"/>
    <n v="3190"/>
    <x v="38"/>
    <x v="2449"/>
    <n v="0"/>
    <x v="0"/>
    <x v="0"/>
    <n v="52856"/>
  </r>
  <r>
    <s v="Internal"/>
    <n v="4629"/>
    <s v="Port of Columbia County, OR"/>
    <n v="4170"/>
    <x v="55"/>
    <x v="2450"/>
    <n v="0"/>
    <x v="0"/>
    <x v="0"/>
    <n v="38085"/>
  </r>
  <r>
    <s v="Internal"/>
    <n v="4629"/>
    <s v="Port of Columbia County, OR"/>
    <n v="3220"/>
    <x v="2"/>
    <x v="2451"/>
    <n v="0"/>
    <x v="0"/>
    <x v="0"/>
    <n v="24325"/>
  </r>
  <r>
    <s v="Internal"/>
    <n v="4629"/>
    <s v="Port of Columbia County, OR"/>
    <n v="4150"/>
    <x v="101"/>
    <x v="2452"/>
    <n v="0"/>
    <x v="0"/>
    <x v="0"/>
    <n v="16369"/>
  </r>
  <r>
    <s v="Internal"/>
    <n v="4629"/>
    <s v="Port of Columbia County, OR"/>
    <n v="3110"/>
    <x v="36"/>
    <x v="10"/>
    <n v="4960"/>
    <x v="2085"/>
    <x v="0"/>
    <n v="4960"/>
  </r>
  <r>
    <s v="Internal"/>
    <n v="4629"/>
    <s v="Port of Columbia County, OR"/>
    <n v="4161"/>
    <x v="54"/>
    <x v="2453"/>
    <n v="0"/>
    <x v="0"/>
    <x v="0"/>
    <n v="3205"/>
  </r>
  <r>
    <s v="Internal"/>
    <n v="4629"/>
    <s v="Port of Columbia County, OR"/>
    <n v="2340"/>
    <x v="3"/>
    <x v="1204"/>
    <n v="0"/>
    <x v="0"/>
    <x v="0"/>
    <n v="441"/>
  </r>
  <r>
    <s v="Coastal"/>
    <n v="324"/>
    <s v="Port of Davisville, RI"/>
    <n v="7210"/>
    <x v="59"/>
    <x v="10"/>
    <n v="353443"/>
    <x v="2086"/>
    <x v="1534"/>
    <n v="353443"/>
  </r>
  <r>
    <s v="Coastal"/>
    <n v="324"/>
    <s v="Port of Davisville, RI"/>
    <n v="5360"/>
    <x v="94"/>
    <x v="2454"/>
    <n v="0"/>
    <x v="0"/>
    <x v="0"/>
    <n v="12042"/>
  </r>
  <r>
    <s v="Coastal"/>
    <n v="324"/>
    <s v="Port of Davisville, RI"/>
    <n v="9900"/>
    <x v="18"/>
    <x v="10"/>
    <n v="4571"/>
    <x v="2087"/>
    <x v="238"/>
    <n v="4571"/>
  </r>
  <r>
    <s v="Coastal"/>
    <n v="324"/>
    <s v="Port of Davisville, RI"/>
    <n v="5220"/>
    <x v="30"/>
    <x v="10"/>
    <n v="1317"/>
    <x v="2088"/>
    <x v="0"/>
    <n v="1317"/>
  </r>
  <r>
    <s v="Coastal"/>
    <n v="324"/>
    <s v="Port of Davisville, RI"/>
    <n v="7120"/>
    <x v="71"/>
    <x v="10"/>
    <n v="1257"/>
    <x v="1751"/>
    <x v="0"/>
    <n v="1257"/>
  </r>
  <r>
    <s v="Coastal"/>
    <n v="324"/>
    <s v="Port of Davisville, RI"/>
    <n v="7110"/>
    <x v="4"/>
    <x v="10"/>
    <n v="538"/>
    <x v="706"/>
    <x v="385"/>
    <n v="538"/>
  </r>
  <r>
    <s v="Coastal"/>
    <n v="324"/>
    <s v="Port of Davisville, RI"/>
    <n v="7900"/>
    <x v="21"/>
    <x v="10"/>
    <n v="372"/>
    <x v="2089"/>
    <x v="0"/>
    <n v="372"/>
  </r>
  <r>
    <s v="Coastal"/>
    <n v="324"/>
    <s v="Port of Davisville, RI"/>
    <n v="7500"/>
    <x v="60"/>
    <x v="10"/>
    <n v="155"/>
    <x v="2090"/>
    <x v="166"/>
    <n v="155"/>
  </r>
  <r>
    <s v="Coastal"/>
    <n v="324"/>
    <s v="Port of Davisville, RI"/>
    <n v="7600"/>
    <x v="68"/>
    <x v="10"/>
    <n v="78"/>
    <x v="1927"/>
    <x v="0"/>
    <n v="78"/>
  </r>
  <r>
    <s v="Coastal"/>
    <n v="324"/>
    <s v="Port of Davisville, RI"/>
    <n v="3299"/>
    <x v="79"/>
    <x v="10"/>
    <n v="21"/>
    <x v="154"/>
    <x v="0"/>
    <n v="21"/>
  </r>
  <r>
    <s v="Coastal"/>
    <n v="4727"/>
    <s v="Port of Everett, WA"/>
    <n v="4161"/>
    <x v="54"/>
    <x v="2455"/>
    <n v="2044"/>
    <x v="209"/>
    <x v="1535"/>
    <n v="478544"/>
  </r>
  <r>
    <s v="Coastal"/>
    <n v="4727"/>
    <s v="Port of Everett, WA"/>
    <n v="5220"/>
    <x v="30"/>
    <x v="10"/>
    <n v="223308"/>
    <x v="2091"/>
    <x v="284"/>
    <n v="223308"/>
  </r>
  <r>
    <s v="Coastal"/>
    <n v="4727"/>
    <s v="Port of Everett, WA"/>
    <n v="4331"/>
    <x v="29"/>
    <x v="2456"/>
    <n v="6403"/>
    <x v="2092"/>
    <x v="580"/>
    <n v="208541"/>
  </r>
  <r>
    <s v="Coastal"/>
    <n v="4727"/>
    <s v="Port of Everett, WA"/>
    <n v="4170"/>
    <x v="55"/>
    <x v="2457"/>
    <n v="37292"/>
    <x v="2093"/>
    <x v="1536"/>
    <n v="185622"/>
  </r>
  <r>
    <s v="Coastal"/>
    <n v="4727"/>
    <s v="Port of Everett, WA"/>
    <n v="4225"/>
    <x v="10"/>
    <x v="10"/>
    <n v="73402"/>
    <x v="1927"/>
    <x v="1537"/>
    <n v="73402"/>
  </r>
  <r>
    <s v="Coastal"/>
    <n v="4727"/>
    <s v="Port of Everett, WA"/>
    <n v="7900"/>
    <x v="21"/>
    <x v="10"/>
    <n v="72155"/>
    <x v="2094"/>
    <x v="1538"/>
    <n v="72155"/>
  </r>
  <r>
    <s v="Coastal"/>
    <n v="4727"/>
    <s v="Port of Everett, WA"/>
    <n v="7210"/>
    <x v="59"/>
    <x v="10"/>
    <n v="53827"/>
    <x v="2095"/>
    <x v="558"/>
    <n v="53827"/>
  </r>
  <r>
    <s v="Coastal"/>
    <n v="4727"/>
    <s v="Port of Everett, WA"/>
    <n v="7110"/>
    <x v="4"/>
    <x v="10"/>
    <n v="37980"/>
    <x v="2096"/>
    <x v="875"/>
    <n v="37980"/>
  </r>
  <r>
    <s v="Coastal"/>
    <n v="4727"/>
    <s v="Port of Everett, WA"/>
    <n v="2640"/>
    <x v="110"/>
    <x v="10"/>
    <n v="37939"/>
    <x v="2097"/>
    <x v="0"/>
    <n v="37939"/>
  </r>
  <r>
    <s v="Coastal"/>
    <n v="4727"/>
    <s v="Port of Everett, WA"/>
    <n v="2211"/>
    <x v="0"/>
    <x v="10"/>
    <n v="30759"/>
    <x v="2098"/>
    <x v="0"/>
    <n v="30759"/>
  </r>
  <r>
    <s v="Coastal"/>
    <n v="4727"/>
    <s v="Port of Everett, WA"/>
    <n v="7120"/>
    <x v="71"/>
    <x v="10"/>
    <n v="27432"/>
    <x v="2099"/>
    <x v="497"/>
    <n v="27432"/>
  </r>
  <r>
    <s v="Coastal"/>
    <n v="4727"/>
    <s v="Port of Everett, WA"/>
    <n v="4420"/>
    <x v="8"/>
    <x v="10"/>
    <n v="23370"/>
    <x v="1602"/>
    <x v="1539"/>
    <n v="23370"/>
  </r>
  <r>
    <s v="Coastal"/>
    <n v="4727"/>
    <s v="Port of Everett, WA"/>
    <n v="6781"/>
    <x v="128"/>
    <x v="10"/>
    <n v="23030"/>
    <x v="313"/>
    <x v="1540"/>
    <n v="23030"/>
  </r>
  <r>
    <s v="Coastal"/>
    <n v="4727"/>
    <s v="Port of Everett, WA"/>
    <n v="5480"/>
    <x v="20"/>
    <x v="10"/>
    <n v="16023"/>
    <x v="2100"/>
    <x v="1541"/>
    <n v="16023"/>
  </r>
  <r>
    <s v="Coastal"/>
    <n v="4727"/>
    <s v="Port of Everett, WA"/>
    <n v="6654"/>
    <x v="50"/>
    <x v="10"/>
    <n v="15207"/>
    <x v="2101"/>
    <x v="1542"/>
    <n v="15207"/>
  </r>
  <r>
    <s v="Coastal"/>
    <n v="4727"/>
    <s v="Port of Everett, WA"/>
    <n v="7600"/>
    <x v="68"/>
    <x v="10"/>
    <n v="13110"/>
    <x v="2102"/>
    <x v="1543"/>
    <n v="13110"/>
  </r>
  <r>
    <s v="Coastal"/>
    <n v="4727"/>
    <s v="Port of Everett, WA"/>
    <n v="5120"/>
    <x v="63"/>
    <x v="10"/>
    <n v="11385"/>
    <x v="2103"/>
    <x v="1544"/>
    <n v="11385"/>
  </r>
  <r>
    <s v="Coastal"/>
    <n v="4727"/>
    <s v="Port of Everett, WA"/>
    <n v="3276"/>
    <x v="12"/>
    <x v="10"/>
    <n v="11212"/>
    <x v="2104"/>
    <x v="1545"/>
    <n v="11212"/>
  </r>
  <r>
    <s v="Coastal"/>
    <n v="4727"/>
    <s v="Port of Everett, WA"/>
    <n v="2340"/>
    <x v="3"/>
    <x v="2458"/>
    <n v="0"/>
    <x v="0"/>
    <x v="0"/>
    <n v="10300"/>
  </r>
  <r>
    <s v="Coastal"/>
    <n v="4727"/>
    <s v="Port of Everett, WA"/>
    <n v="9900"/>
    <x v="18"/>
    <x v="10"/>
    <n v="8553"/>
    <x v="2105"/>
    <x v="1546"/>
    <n v="8553"/>
  </r>
  <r>
    <s v="Coastal"/>
    <n v="4727"/>
    <s v="Port of Everett, WA"/>
    <n v="3286"/>
    <x v="57"/>
    <x v="10"/>
    <n v="7989"/>
    <x v="2106"/>
    <x v="434"/>
    <n v="7989"/>
  </r>
  <r>
    <s v="Coastal"/>
    <n v="4727"/>
    <s v="Port of Everett, WA"/>
    <n v="7500"/>
    <x v="60"/>
    <x v="10"/>
    <n v="6850"/>
    <x v="2107"/>
    <x v="1547"/>
    <n v="6850"/>
  </r>
  <r>
    <s v="Coastal"/>
    <n v="4727"/>
    <s v="Port of Everett, WA"/>
    <n v="6782"/>
    <x v="27"/>
    <x v="10"/>
    <n v="6505"/>
    <x v="0"/>
    <x v="1548"/>
    <n v="6505"/>
  </r>
  <r>
    <s v="Coastal"/>
    <n v="4727"/>
    <s v="Port of Everett, WA"/>
    <n v="4323"/>
    <x v="6"/>
    <x v="2459"/>
    <n v="0"/>
    <x v="0"/>
    <x v="0"/>
    <n v="6000"/>
  </r>
  <r>
    <s v="Coastal"/>
    <n v="4727"/>
    <s v="Port of Everett, WA"/>
    <n v="5330"/>
    <x v="16"/>
    <x v="10"/>
    <n v="5790"/>
    <x v="2108"/>
    <x v="0"/>
    <n v="5790"/>
  </r>
  <r>
    <s v="Coastal"/>
    <n v="4727"/>
    <s v="Port of Everett, WA"/>
    <n v="6134"/>
    <x v="82"/>
    <x v="10"/>
    <n v="5672"/>
    <x v="1568"/>
    <x v="1549"/>
    <n v="5672"/>
  </r>
  <r>
    <s v="Coastal"/>
    <n v="4727"/>
    <s v="Port of Everett, WA"/>
    <n v="5370"/>
    <x v="81"/>
    <x v="10"/>
    <n v="4973"/>
    <x v="2109"/>
    <x v="1405"/>
    <n v="4973"/>
  </r>
  <r>
    <s v="Coastal"/>
    <n v="4727"/>
    <s v="Port of Everett, WA"/>
    <n v="6822"/>
    <x v="84"/>
    <x v="10"/>
    <n v="4447"/>
    <x v="310"/>
    <x v="1550"/>
    <n v="4447"/>
  </r>
  <r>
    <s v="Coastal"/>
    <n v="4727"/>
    <s v="Port of Everett, WA"/>
    <n v="7220"/>
    <x v="103"/>
    <x v="10"/>
    <n v="4416"/>
    <x v="2110"/>
    <x v="365"/>
    <n v="4416"/>
  </r>
  <r>
    <s v="Coastal"/>
    <n v="4727"/>
    <s v="Port of Everett, WA"/>
    <n v="4680"/>
    <x v="70"/>
    <x v="10"/>
    <n v="3429"/>
    <x v="386"/>
    <x v="1551"/>
    <n v="3429"/>
  </r>
  <r>
    <s v="Coastal"/>
    <n v="4727"/>
    <s v="Port of Everett, WA"/>
    <n v="5290"/>
    <x v="49"/>
    <x v="10"/>
    <n v="3063"/>
    <x v="2111"/>
    <x v="1552"/>
    <n v="3063"/>
  </r>
  <r>
    <s v="Coastal"/>
    <n v="4727"/>
    <s v="Port of Everett, WA"/>
    <n v="4189"/>
    <x v="65"/>
    <x v="10"/>
    <n v="2645"/>
    <x v="2112"/>
    <x v="1553"/>
    <n v="2645"/>
  </r>
  <r>
    <s v="Coastal"/>
    <n v="4727"/>
    <s v="Port of Everett, WA"/>
    <n v="6889"/>
    <x v="42"/>
    <x v="10"/>
    <n v="2031"/>
    <x v="2113"/>
    <x v="1345"/>
    <n v="2031"/>
  </r>
  <r>
    <s v="Coastal"/>
    <n v="4727"/>
    <s v="Port of Everett, WA"/>
    <n v="5240"/>
    <x v="89"/>
    <x v="10"/>
    <n v="2024"/>
    <x v="266"/>
    <x v="635"/>
    <n v="2024"/>
  </r>
  <r>
    <s v="Coastal"/>
    <n v="4727"/>
    <s v="Port of Everett, WA"/>
    <n v="3275"/>
    <x v="47"/>
    <x v="10"/>
    <n v="2008"/>
    <x v="2114"/>
    <x v="1532"/>
    <n v="2008"/>
  </r>
  <r>
    <s v="Coastal"/>
    <n v="4727"/>
    <s v="Port of Everett, WA"/>
    <n v="3220"/>
    <x v="2"/>
    <x v="10"/>
    <n v="1849"/>
    <x v="2115"/>
    <x v="1554"/>
    <n v="1849"/>
  </r>
  <r>
    <s v="Coastal"/>
    <n v="4727"/>
    <s v="Port of Everett, WA"/>
    <n v="3230"/>
    <x v="80"/>
    <x v="10"/>
    <n v="1815"/>
    <x v="2116"/>
    <x v="1167"/>
    <n v="1815"/>
  </r>
  <r>
    <s v="Coastal"/>
    <n v="4727"/>
    <s v="Port of Everett, WA"/>
    <n v="3260"/>
    <x v="107"/>
    <x v="10"/>
    <n v="1792"/>
    <x v="2117"/>
    <x v="404"/>
    <n v="1792"/>
  </r>
  <r>
    <s v="Coastal"/>
    <n v="4727"/>
    <s v="Port of Everett, WA"/>
    <n v="6857"/>
    <x v="104"/>
    <x v="10"/>
    <n v="1698"/>
    <x v="295"/>
    <x v="837"/>
    <n v="1698"/>
  </r>
  <r>
    <s v="Coastal"/>
    <n v="4727"/>
    <s v="Port of Everett, WA"/>
    <n v="6885"/>
    <x v="72"/>
    <x v="10"/>
    <n v="1653"/>
    <x v="2118"/>
    <x v="1555"/>
    <n v="1653"/>
  </r>
  <r>
    <s v="Coastal"/>
    <n v="4727"/>
    <s v="Port of Everett, WA"/>
    <n v="6899"/>
    <x v="114"/>
    <x v="10"/>
    <n v="1590"/>
    <x v="211"/>
    <x v="1556"/>
    <n v="1590"/>
  </r>
  <r>
    <s v="Coastal"/>
    <n v="4727"/>
    <s v="Port of Everett, WA"/>
    <n v="5540"/>
    <x v="64"/>
    <x v="10"/>
    <n v="1485"/>
    <x v="2119"/>
    <x v="233"/>
    <n v="1485"/>
  </r>
  <r>
    <s v="Coastal"/>
    <n v="4727"/>
    <s v="Port of Everett, WA"/>
    <n v="5422"/>
    <x v="66"/>
    <x v="10"/>
    <n v="1462"/>
    <x v="545"/>
    <x v="161"/>
    <n v="1462"/>
  </r>
  <r>
    <s v="Coastal"/>
    <n v="4727"/>
    <s v="Port of Everett, WA"/>
    <n v="6811"/>
    <x v="76"/>
    <x v="10"/>
    <n v="1459"/>
    <x v="415"/>
    <x v="1557"/>
    <n v="1459"/>
  </r>
  <r>
    <s v="Coastal"/>
    <n v="4727"/>
    <s v="Port of Everett, WA"/>
    <n v="3250"/>
    <x v="108"/>
    <x v="10"/>
    <n v="1404"/>
    <x v="2120"/>
    <x v="0"/>
    <n v="1404"/>
  </r>
  <r>
    <s v="Coastal"/>
    <n v="4727"/>
    <s v="Port of Everett, WA"/>
    <n v="6839"/>
    <x v="106"/>
    <x v="10"/>
    <n v="1328"/>
    <x v="451"/>
    <x v="1558"/>
    <n v="1328"/>
  </r>
  <r>
    <s v="Coastal"/>
    <n v="4727"/>
    <s v="Port of Everett, WA"/>
    <n v="4782"/>
    <x v="45"/>
    <x v="10"/>
    <n v="1212"/>
    <x v="475"/>
    <x v="1559"/>
    <n v="1212"/>
  </r>
  <r>
    <s v="Coastal"/>
    <n v="4727"/>
    <s v="Port of Everett, WA"/>
    <n v="6241"/>
    <x v="28"/>
    <x v="10"/>
    <n v="1183"/>
    <x v="0"/>
    <x v="1529"/>
    <n v="1183"/>
  </r>
  <r>
    <s v="Coastal"/>
    <n v="4727"/>
    <s v="Port of Everett, WA"/>
    <n v="7400"/>
    <x v="77"/>
    <x v="10"/>
    <n v="1047"/>
    <x v="281"/>
    <x v="1560"/>
    <n v="1047"/>
  </r>
  <r>
    <s v="Coastal"/>
    <n v="4727"/>
    <s v="Port of Everett, WA"/>
    <n v="6522"/>
    <x v="26"/>
    <x v="10"/>
    <n v="1036"/>
    <x v="0"/>
    <x v="804"/>
    <n v="1036"/>
  </r>
  <r>
    <s v="Coastal"/>
    <n v="4727"/>
    <s v="Port of Everett, WA"/>
    <n v="4900"/>
    <x v="14"/>
    <x v="10"/>
    <n v="1022"/>
    <x v="546"/>
    <x v="1561"/>
    <n v="1022"/>
  </r>
  <r>
    <s v="Coastal"/>
    <n v="4727"/>
    <s v="Port of Everett, WA"/>
    <n v="3285"/>
    <x v="87"/>
    <x v="10"/>
    <n v="1014"/>
    <x v="877"/>
    <x v="776"/>
    <n v="1014"/>
  </r>
  <r>
    <s v="Coastal"/>
    <n v="4727"/>
    <s v="Port of Everett, WA"/>
    <n v="6835"/>
    <x v="92"/>
    <x v="10"/>
    <n v="1006"/>
    <x v="2121"/>
    <x v="1006"/>
    <n v="1006"/>
  </r>
  <r>
    <s v="Coastal"/>
    <n v="4727"/>
    <s v="Port of Everett, WA"/>
    <n v="6871"/>
    <x v="73"/>
    <x v="10"/>
    <n v="970"/>
    <x v="1876"/>
    <x v="0"/>
    <n v="970"/>
  </r>
  <r>
    <s v="Coastal"/>
    <n v="4727"/>
    <s v="Port of Everett, WA"/>
    <n v="5190"/>
    <x v="83"/>
    <x v="10"/>
    <n v="931"/>
    <x v="2122"/>
    <x v="1036"/>
    <n v="931"/>
  </r>
  <r>
    <s v="Coastal"/>
    <n v="4727"/>
    <s v="Port of Everett, WA"/>
    <n v="3299"/>
    <x v="79"/>
    <x v="10"/>
    <n v="923"/>
    <x v="2123"/>
    <x v="402"/>
    <n v="923"/>
  </r>
  <r>
    <s v="Coastal"/>
    <n v="4727"/>
    <s v="Port of Everett, WA"/>
    <n v="5360"/>
    <x v="94"/>
    <x v="10"/>
    <n v="856"/>
    <x v="281"/>
    <x v="0"/>
    <n v="856"/>
  </r>
  <r>
    <s v="Coastal"/>
    <n v="4727"/>
    <s v="Port of Everett, WA"/>
    <n v="4650"/>
    <x v="67"/>
    <x v="10"/>
    <n v="758"/>
    <x v="2124"/>
    <x v="0"/>
    <n v="758"/>
  </r>
  <r>
    <s v="Coastal"/>
    <n v="4727"/>
    <s v="Port of Everett, WA"/>
    <n v="6858"/>
    <x v="74"/>
    <x v="10"/>
    <n v="727"/>
    <x v="2125"/>
    <x v="1562"/>
    <n v="727"/>
  </r>
  <r>
    <s v="Coastal"/>
    <n v="4727"/>
    <s v="Port of Everett, WA"/>
    <n v="6344"/>
    <x v="25"/>
    <x v="10"/>
    <n v="712"/>
    <x v="0"/>
    <x v="1001"/>
    <n v="712"/>
  </r>
  <r>
    <s v="Coastal"/>
    <n v="4727"/>
    <s v="Port of Everett, WA"/>
    <n v="3297"/>
    <x v="116"/>
    <x v="10"/>
    <n v="711"/>
    <x v="1703"/>
    <x v="270"/>
    <n v="711"/>
  </r>
  <r>
    <s v="Coastal"/>
    <n v="4727"/>
    <s v="Port of Everett, WA"/>
    <n v="3279"/>
    <x v="58"/>
    <x v="10"/>
    <n v="638"/>
    <x v="2126"/>
    <x v="1562"/>
    <n v="638"/>
  </r>
  <r>
    <s v="Coastal"/>
    <n v="4727"/>
    <s v="Port of Everett, WA"/>
    <n v="3282"/>
    <x v="91"/>
    <x v="10"/>
    <n v="626"/>
    <x v="2127"/>
    <x v="86"/>
    <n v="626"/>
  </r>
  <r>
    <s v="Coastal"/>
    <n v="4727"/>
    <s v="Port of Everett, WA"/>
    <n v="5429"/>
    <x v="61"/>
    <x v="10"/>
    <n v="572"/>
    <x v="1505"/>
    <x v="158"/>
    <n v="572"/>
  </r>
  <r>
    <s v="Coastal"/>
    <n v="4727"/>
    <s v="Port of Everett, WA"/>
    <n v="6443"/>
    <x v="135"/>
    <x v="10"/>
    <n v="562"/>
    <x v="0"/>
    <x v="1563"/>
    <n v="562"/>
  </r>
  <r>
    <s v="Coastal"/>
    <n v="4727"/>
    <s v="Port of Everett, WA"/>
    <n v="3292"/>
    <x v="51"/>
    <x v="10"/>
    <n v="518"/>
    <x v="2128"/>
    <x v="273"/>
    <n v="518"/>
  </r>
  <r>
    <s v="Coastal"/>
    <n v="4727"/>
    <s v="Port of Everett, WA"/>
    <n v="2330"/>
    <x v="1"/>
    <x v="10"/>
    <n v="504"/>
    <x v="2129"/>
    <x v="0"/>
    <n v="504"/>
  </r>
  <r>
    <s v="Coastal"/>
    <n v="4727"/>
    <s v="Port of Everett, WA"/>
    <n v="6136"/>
    <x v="95"/>
    <x v="10"/>
    <n v="503"/>
    <x v="2130"/>
    <x v="1073"/>
    <n v="503"/>
  </r>
  <r>
    <s v="Coastal"/>
    <n v="4727"/>
    <s v="Port of Everett, WA"/>
    <n v="6747"/>
    <x v="78"/>
    <x v="10"/>
    <n v="423"/>
    <x v="147"/>
    <x v="559"/>
    <n v="423"/>
  </r>
  <r>
    <s v="Coastal"/>
    <n v="4727"/>
    <s v="Port of Everett, WA"/>
    <n v="3219"/>
    <x v="19"/>
    <x v="10"/>
    <n v="327"/>
    <x v="612"/>
    <x v="1195"/>
    <n v="327"/>
  </r>
  <r>
    <s v="Coastal"/>
    <n v="4727"/>
    <s v="Port of Everett, WA"/>
    <n v="5421"/>
    <x v="88"/>
    <x v="10"/>
    <n v="255"/>
    <x v="2131"/>
    <x v="0"/>
    <n v="255"/>
  </r>
  <r>
    <s v="Coastal"/>
    <n v="4727"/>
    <s v="Port of Everett, WA"/>
    <n v="3284"/>
    <x v="97"/>
    <x v="10"/>
    <n v="240"/>
    <x v="300"/>
    <x v="214"/>
    <n v="240"/>
  </r>
  <r>
    <s v="Coastal"/>
    <n v="4727"/>
    <s v="Port of Everett, WA"/>
    <n v="3240"/>
    <x v="53"/>
    <x v="10"/>
    <n v="239"/>
    <x v="855"/>
    <x v="268"/>
    <n v="239"/>
  </r>
  <r>
    <s v="Coastal"/>
    <n v="4727"/>
    <s v="Port of Everett, WA"/>
    <n v="6861"/>
    <x v="69"/>
    <x v="10"/>
    <n v="223"/>
    <x v="297"/>
    <x v="0"/>
    <n v="223"/>
  </r>
  <r>
    <s v="Coastal"/>
    <n v="4727"/>
    <s v="Port of Everett, WA"/>
    <n v="6445"/>
    <x v="136"/>
    <x v="10"/>
    <n v="198"/>
    <x v="0"/>
    <x v="664"/>
    <n v="198"/>
  </r>
  <r>
    <s v="Coastal"/>
    <n v="4727"/>
    <s v="Port of Everett, WA"/>
    <n v="4190"/>
    <x v="99"/>
    <x v="10"/>
    <n v="176"/>
    <x v="299"/>
    <x v="228"/>
    <n v="176"/>
  </r>
  <r>
    <s v="Coastal"/>
    <n v="4727"/>
    <s v="Port of Everett, WA"/>
    <n v="6653"/>
    <x v="24"/>
    <x v="10"/>
    <n v="176"/>
    <x v="301"/>
    <x v="263"/>
    <n v="176"/>
  </r>
  <r>
    <s v="Coastal"/>
    <n v="4727"/>
    <s v="Port of Everett, WA"/>
    <n v="5390"/>
    <x v="44"/>
    <x v="10"/>
    <n v="166"/>
    <x v="354"/>
    <x v="238"/>
    <n v="166"/>
  </r>
  <r>
    <s v="Coastal"/>
    <n v="4727"/>
    <s v="Port of Everett, WA"/>
    <n v="6590"/>
    <x v="23"/>
    <x v="10"/>
    <n v="148"/>
    <x v="391"/>
    <x v="1361"/>
    <n v="148"/>
  </r>
  <r>
    <s v="Coastal"/>
    <n v="4727"/>
    <s v="Port of Everett, WA"/>
    <n v="6894"/>
    <x v="120"/>
    <x v="10"/>
    <n v="148"/>
    <x v="2090"/>
    <x v="0"/>
    <n v="148"/>
  </r>
  <r>
    <s v="Coastal"/>
    <n v="4727"/>
    <s v="Port of Everett, WA"/>
    <n v="7230"/>
    <x v="22"/>
    <x v="10"/>
    <n v="139"/>
    <x v="476"/>
    <x v="129"/>
    <n v="139"/>
  </r>
  <r>
    <s v="Coastal"/>
    <n v="4727"/>
    <s v="Port of Everett, WA"/>
    <n v="3273"/>
    <x v="46"/>
    <x v="10"/>
    <n v="129"/>
    <x v="719"/>
    <x v="1203"/>
    <n v="129"/>
  </r>
  <r>
    <s v="Coastal"/>
    <n v="4727"/>
    <s v="Port of Everett, WA"/>
    <n v="3281"/>
    <x v="125"/>
    <x v="10"/>
    <n v="105"/>
    <x v="410"/>
    <x v="0"/>
    <n v="105"/>
  </r>
  <r>
    <s v="Coastal"/>
    <n v="4727"/>
    <s v="Port of Everett, WA"/>
    <n v="4690"/>
    <x v="62"/>
    <x v="10"/>
    <n v="92"/>
    <x v="0"/>
    <x v="222"/>
    <n v="92"/>
  </r>
  <r>
    <s v="Coastal"/>
    <n v="4727"/>
    <s v="Port of Everett, WA"/>
    <n v="5320"/>
    <x v="13"/>
    <x v="10"/>
    <n v="82"/>
    <x v="1084"/>
    <x v="0"/>
    <n v="82"/>
  </r>
  <r>
    <s v="Coastal"/>
    <n v="4727"/>
    <s v="Port of Everett, WA"/>
    <n v="5312"/>
    <x v="52"/>
    <x v="10"/>
    <n v="73"/>
    <x v="576"/>
    <x v="0"/>
    <n v="73"/>
  </r>
  <r>
    <s v="Coastal"/>
    <n v="4727"/>
    <s v="Port of Everett, WA"/>
    <n v="3283"/>
    <x v="111"/>
    <x v="10"/>
    <n v="59"/>
    <x v="449"/>
    <x v="0"/>
    <n v="59"/>
  </r>
  <r>
    <s v="Coastal"/>
    <n v="4727"/>
    <s v="Port of Everett, WA"/>
    <n v="3293"/>
    <x v="122"/>
    <x v="10"/>
    <n v="59"/>
    <x v="449"/>
    <x v="0"/>
    <n v="59"/>
  </r>
  <r>
    <s v="Coastal"/>
    <n v="4727"/>
    <s v="Port of Everett, WA"/>
    <n v="3190"/>
    <x v="38"/>
    <x v="10"/>
    <n v="57"/>
    <x v="310"/>
    <x v="383"/>
    <n v="57"/>
  </r>
  <r>
    <s v="Coastal"/>
    <n v="4727"/>
    <s v="Port of Everett, WA"/>
    <n v="6838"/>
    <x v="131"/>
    <x v="10"/>
    <n v="57"/>
    <x v="0"/>
    <x v="448"/>
    <n v="57"/>
  </r>
  <r>
    <s v="Coastal"/>
    <n v="4727"/>
    <s v="Port of Everett, WA"/>
    <n v="3291"/>
    <x v="117"/>
    <x v="10"/>
    <n v="54"/>
    <x v="475"/>
    <x v="0"/>
    <n v="54"/>
  </r>
  <r>
    <s v="Coastal"/>
    <n v="4727"/>
    <s v="Port of Everett, WA"/>
    <n v="3298"/>
    <x v="123"/>
    <x v="10"/>
    <n v="50"/>
    <x v="717"/>
    <x v="383"/>
    <n v="50"/>
  </r>
  <r>
    <s v="Coastal"/>
    <n v="4727"/>
    <s v="Port of Everett, WA"/>
    <n v="6888"/>
    <x v="109"/>
    <x v="10"/>
    <n v="47"/>
    <x v="453"/>
    <x v="409"/>
    <n v="47"/>
  </r>
  <r>
    <s v="Coastal"/>
    <n v="4727"/>
    <s v="Port of Everett, WA"/>
    <n v="6891"/>
    <x v="93"/>
    <x v="10"/>
    <n v="41"/>
    <x v="51"/>
    <x v="258"/>
    <n v="41"/>
  </r>
  <r>
    <s v="Coastal"/>
    <n v="4727"/>
    <s v="Port of Everett, WA"/>
    <n v="4150"/>
    <x v="101"/>
    <x v="10"/>
    <n v="34"/>
    <x v="605"/>
    <x v="0"/>
    <n v="34"/>
  </r>
  <r>
    <s v="Coastal"/>
    <n v="4727"/>
    <s v="Port of Everett, WA"/>
    <n v="5110"/>
    <x v="112"/>
    <x v="10"/>
    <n v="22"/>
    <x v="0"/>
    <x v="383"/>
    <n v="22"/>
  </r>
  <r>
    <s v="Coastal"/>
    <n v="4727"/>
    <s v="Port of Everett, WA"/>
    <n v="2410"/>
    <x v="98"/>
    <x v="10"/>
    <n v="20"/>
    <x v="416"/>
    <x v="0"/>
    <n v="20"/>
  </r>
  <r>
    <s v="Coastal"/>
    <n v="4727"/>
    <s v="Port of Everett, WA"/>
    <n v="6746"/>
    <x v="118"/>
    <x v="10"/>
    <n v="18"/>
    <x v="0"/>
    <x v="454"/>
    <n v="18"/>
  </r>
  <r>
    <s v="Coastal"/>
    <n v="4727"/>
    <s v="Port of Everett, WA"/>
    <n v="4783"/>
    <x v="7"/>
    <x v="10"/>
    <n v="15"/>
    <x v="612"/>
    <x v="0"/>
    <n v="15"/>
  </r>
  <r>
    <s v="Coastal"/>
    <n v="4727"/>
    <s v="Port of Everett, WA"/>
    <n v="3212"/>
    <x v="39"/>
    <x v="10"/>
    <n v="9"/>
    <x v="313"/>
    <x v="0"/>
    <n v="9"/>
  </r>
  <r>
    <s v="Coastal"/>
    <n v="4727"/>
    <s v="Port of Everett, WA"/>
    <n v="4322"/>
    <x v="33"/>
    <x v="10"/>
    <n v="9"/>
    <x v="313"/>
    <x v="0"/>
    <n v="9"/>
  </r>
  <r>
    <s v="Coastal"/>
    <n v="4727"/>
    <s v="Port of Everett, WA"/>
    <n v="1200"/>
    <x v="43"/>
    <x v="10"/>
    <n v="6"/>
    <x v="0"/>
    <x v="131"/>
    <n v="6"/>
  </r>
  <r>
    <s v="Coastal"/>
    <n v="4727"/>
    <s v="Port of Everett, WA"/>
    <n v="6856"/>
    <x v="126"/>
    <x v="10"/>
    <n v="3"/>
    <x v="393"/>
    <x v="0"/>
    <n v="3"/>
  </r>
  <r>
    <s v="Coastal"/>
    <n v="4727"/>
    <s v="Port of Everett, WA"/>
    <n v="6893"/>
    <x v="113"/>
    <x v="10"/>
    <n v="2"/>
    <x v="212"/>
    <x v="0"/>
    <n v="2"/>
  </r>
  <r>
    <s v="Coastal"/>
    <n v="2252"/>
    <s v="Port of Greater Baton Rouge, LA"/>
    <n v="2330"/>
    <x v="1"/>
    <x v="2460"/>
    <n v="4642432"/>
    <x v="2132"/>
    <x v="1564"/>
    <n v="7629280"/>
  </r>
  <r>
    <s v="Coastal"/>
    <n v="2252"/>
    <s v="Port of Greater Baton Rouge, LA"/>
    <n v="6522"/>
    <x v="26"/>
    <x v="2461"/>
    <n v="2768891"/>
    <x v="2133"/>
    <x v="1565"/>
    <n v="6349066"/>
  </r>
  <r>
    <s v="Coastal"/>
    <n v="2252"/>
    <s v="Port of Greater Baton Rouge, LA"/>
    <n v="6344"/>
    <x v="25"/>
    <x v="2462"/>
    <n v="2455650"/>
    <x v="0"/>
    <x v="1566"/>
    <n v="5238456"/>
  </r>
  <r>
    <s v="Coastal"/>
    <n v="2252"/>
    <s v="Port of Greater Baton Rouge, LA"/>
    <n v="3110"/>
    <x v="36"/>
    <x v="2463"/>
    <n v="693625"/>
    <x v="2134"/>
    <x v="1567"/>
    <n v="5088860"/>
  </r>
  <r>
    <s v="Coastal"/>
    <n v="2252"/>
    <s v="Port of Greater Baton Rouge, LA"/>
    <n v="2340"/>
    <x v="3"/>
    <x v="2464"/>
    <n v="1225241"/>
    <x v="2135"/>
    <x v="1568"/>
    <n v="3725041"/>
  </r>
  <r>
    <s v="Coastal"/>
    <n v="2252"/>
    <s v="Port of Greater Baton Rouge, LA"/>
    <n v="2540"/>
    <x v="15"/>
    <x v="2465"/>
    <n v="1517829"/>
    <x v="0"/>
    <x v="1569"/>
    <n v="3337096"/>
  </r>
  <r>
    <s v="Coastal"/>
    <n v="2252"/>
    <s v="Port of Greater Baton Rouge, LA"/>
    <n v="6782"/>
    <x v="27"/>
    <x v="2466"/>
    <n v="2421456"/>
    <x v="2136"/>
    <x v="1570"/>
    <n v="3104800"/>
  </r>
  <r>
    <s v="Coastal"/>
    <n v="2252"/>
    <s v="Port of Greater Baton Rouge, LA"/>
    <n v="3220"/>
    <x v="2"/>
    <x v="2467"/>
    <n v="1721728"/>
    <x v="2137"/>
    <x v="1571"/>
    <n v="2972933"/>
  </r>
  <r>
    <s v="Coastal"/>
    <n v="2252"/>
    <s v="Port of Greater Baton Rouge, LA"/>
    <n v="3274"/>
    <x v="86"/>
    <x v="2468"/>
    <n v="850302"/>
    <x v="0"/>
    <x v="1572"/>
    <n v="2750002"/>
  </r>
  <r>
    <s v="Coastal"/>
    <n v="2252"/>
    <s v="Port of Greater Baton Rouge, LA"/>
    <n v="1100"/>
    <x v="32"/>
    <x v="2469"/>
    <n v="862630"/>
    <x v="0"/>
    <x v="1573"/>
    <n v="2300651"/>
  </r>
  <r>
    <s v="Coastal"/>
    <n v="2252"/>
    <s v="Port of Greater Baton Rouge, LA"/>
    <n v="2100"/>
    <x v="35"/>
    <x v="2470"/>
    <n v="930762"/>
    <x v="2138"/>
    <x v="0"/>
    <n v="2148873"/>
  </r>
  <r>
    <s v="Coastal"/>
    <n v="2252"/>
    <s v="Port of Greater Baton Rouge, LA"/>
    <n v="3212"/>
    <x v="39"/>
    <x v="2471"/>
    <n v="314777"/>
    <x v="2139"/>
    <x v="1574"/>
    <n v="2145787"/>
  </r>
  <r>
    <s v="Coastal"/>
    <n v="2252"/>
    <s v="Port of Greater Baton Rouge, LA"/>
    <n v="2430"/>
    <x v="11"/>
    <x v="2472"/>
    <n v="327429"/>
    <x v="0"/>
    <x v="1575"/>
    <n v="2135377"/>
  </r>
  <r>
    <s v="Coastal"/>
    <n v="2252"/>
    <s v="Port of Greater Baton Rouge, LA"/>
    <n v="2211"/>
    <x v="0"/>
    <x v="2473"/>
    <n v="274326"/>
    <x v="2140"/>
    <x v="1576"/>
    <n v="2135280"/>
  </r>
  <r>
    <s v="Coastal"/>
    <n v="2252"/>
    <s v="Port of Greater Baton Rouge, LA"/>
    <n v="1200"/>
    <x v="43"/>
    <x v="2474"/>
    <n v="73965"/>
    <x v="0"/>
    <x v="1577"/>
    <n v="2121680"/>
  </r>
  <r>
    <s v="Coastal"/>
    <n v="2252"/>
    <s v="Port of Greater Baton Rouge, LA"/>
    <n v="3219"/>
    <x v="19"/>
    <x v="2475"/>
    <n v="281729"/>
    <x v="2141"/>
    <x v="1578"/>
    <n v="1886357"/>
  </r>
  <r>
    <s v="Coastal"/>
    <n v="2252"/>
    <s v="Port of Greater Baton Rouge, LA"/>
    <n v="6590"/>
    <x v="23"/>
    <x v="2476"/>
    <n v="0"/>
    <x v="0"/>
    <x v="0"/>
    <n v="1849998"/>
  </r>
  <r>
    <s v="Coastal"/>
    <n v="2252"/>
    <s v="Port of Greater Baton Rouge, LA"/>
    <n v="4150"/>
    <x v="101"/>
    <x v="10"/>
    <n v="1726984"/>
    <x v="0"/>
    <x v="1579"/>
    <n v="1726984"/>
  </r>
  <r>
    <s v="Coastal"/>
    <n v="2252"/>
    <s v="Port of Greater Baton Rouge, LA"/>
    <n v="5312"/>
    <x v="52"/>
    <x v="2477"/>
    <n v="845884"/>
    <x v="2142"/>
    <x v="0"/>
    <n v="1412742"/>
  </r>
  <r>
    <s v="Coastal"/>
    <n v="2252"/>
    <s v="Port of Greater Baton Rouge, LA"/>
    <n v="2429"/>
    <x v="17"/>
    <x v="2478"/>
    <n v="49913"/>
    <x v="212"/>
    <x v="1580"/>
    <n v="921760"/>
  </r>
  <r>
    <s v="Coastal"/>
    <n v="2252"/>
    <s v="Port of Greater Baton Rouge, LA"/>
    <n v="4322"/>
    <x v="33"/>
    <x v="2479"/>
    <n v="0"/>
    <x v="0"/>
    <x v="0"/>
    <n v="856674"/>
  </r>
  <r>
    <s v="Coastal"/>
    <n v="2252"/>
    <s v="Port of Greater Baton Rouge, LA"/>
    <n v="2350"/>
    <x v="40"/>
    <x v="2480"/>
    <n v="47977"/>
    <x v="2143"/>
    <x v="1581"/>
    <n v="844288"/>
  </r>
  <r>
    <s v="Coastal"/>
    <n v="2252"/>
    <s v="Port of Greater Baton Rouge, LA"/>
    <n v="2640"/>
    <x v="110"/>
    <x v="2481"/>
    <n v="397200"/>
    <x v="2144"/>
    <x v="1582"/>
    <n v="738085"/>
  </r>
  <r>
    <s v="Coastal"/>
    <n v="2252"/>
    <s v="Port of Greater Baton Rouge, LA"/>
    <n v="3211"/>
    <x v="124"/>
    <x v="2482"/>
    <n v="136737"/>
    <x v="2145"/>
    <x v="1583"/>
    <n v="696514"/>
  </r>
  <r>
    <s v="Coastal"/>
    <n v="2252"/>
    <s v="Port of Greater Baton Rouge, LA"/>
    <n v="6442"/>
    <x v="85"/>
    <x v="2483"/>
    <n v="344156"/>
    <x v="0"/>
    <x v="1584"/>
    <n v="688909"/>
  </r>
  <r>
    <s v="Coastal"/>
    <n v="2252"/>
    <s v="Port of Greater Baton Rouge, LA"/>
    <n v="3299"/>
    <x v="79"/>
    <x v="2484"/>
    <n v="113824"/>
    <x v="0"/>
    <x v="1585"/>
    <n v="688524"/>
  </r>
  <r>
    <s v="Coastal"/>
    <n v="2252"/>
    <s v="Port of Greater Baton Rouge, LA"/>
    <n v="4331"/>
    <x v="29"/>
    <x v="2485"/>
    <n v="0"/>
    <x v="0"/>
    <x v="0"/>
    <n v="677331"/>
  </r>
  <r>
    <s v="Coastal"/>
    <n v="2252"/>
    <s v="Port of Greater Baton Rouge, LA"/>
    <n v="5220"/>
    <x v="30"/>
    <x v="2486"/>
    <n v="55116"/>
    <x v="2146"/>
    <x v="0"/>
    <n v="675681"/>
  </r>
  <r>
    <s v="Coastal"/>
    <n v="2252"/>
    <s v="Port of Greater Baton Rouge, LA"/>
    <n v="2221"/>
    <x v="9"/>
    <x v="2487"/>
    <n v="231292"/>
    <x v="0"/>
    <x v="1586"/>
    <n v="539960"/>
  </r>
  <r>
    <s v="Coastal"/>
    <n v="2252"/>
    <s v="Port of Greater Baton Rouge, LA"/>
    <n v="3272"/>
    <x v="137"/>
    <x v="2488"/>
    <n v="283"/>
    <x v="2147"/>
    <x v="0"/>
    <n v="488681"/>
  </r>
  <r>
    <s v="Coastal"/>
    <n v="2252"/>
    <s v="Port of Greater Baton Rouge, LA"/>
    <n v="3273"/>
    <x v="46"/>
    <x v="2489"/>
    <n v="231295"/>
    <x v="2148"/>
    <x v="1587"/>
    <n v="383029"/>
  </r>
  <r>
    <s v="Coastal"/>
    <n v="2252"/>
    <s v="Port of Greater Baton Rouge, LA"/>
    <n v="6241"/>
    <x v="28"/>
    <x v="2490"/>
    <n v="103220"/>
    <x v="0"/>
    <x v="1588"/>
    <n v="320167"/>
  </r>
  <r>
    <s v="Coastal"/>
    <n v="2252"/>
    <s v="Port of Greater Baton Rouge, LA"/>
    <n v="4420"/>
    <x v="8"/>
    <x v="2491"/>
    <n v="38023"/>
    <x v="2149"/>
    <x v="0"/>
    <n v="304943"/>
  </r>
  <r>
    <s v="Coastal"/>
    <n v="2252"/>
    <s v="Port of Greater Baton Rouge, LA"/>
    <n v="2990"/>
    <x v="102"/>
    <x v="2492"/>
    <n v="65771"/>
    <x v="2150"/>
    <x v="0"/>
    <n v="277639"/>
  </r>
  <r>
    <s v="Coastal"/>
    <n v="2252"/>
    <s v="Port of Greater Baton Rouge, LA"/>
    <n v="4900"/>
    <x v="14"/>
    <x v="2493"/>
    <n v="192109"/>
    <x v="2151"/>
    <x v="1589"/>
    <n v="221244"/>
  </r>
  <r>
    <s v="Coastal"/>
    <n v="2252"/>
    <s v="Port of Greater Baton Rouge, LA"/>
    <n v="6447"/>
    <x v="132"/>
    <x v="2494"/>
    <n v="128277"/>
    <x v="0"/>
    <x v="1590"/>
    <n v="209153"/>
  </r>
  <r>
    <s v="Coastal"/>
    <n v="2252"/>
    <s v="Port of Greater Baton Rouge, LA"/>
    <n v="3260"/>
    <x v="107"/>
    <x v="2495"/>
    <n v="14716"/>
    <x v="1656"/>
    <x v="1591"/>
    <n v="199079"/>
  </r>
  <r>
    <s v="Coastal"/>
    <n v="2252"/>
    <s v="Port of Greater Baton Rouge, LA"/>
    <n v="3130"/>
    <x v="37"/>
    <x v="2496"/>
    <n v="66633"/>
    <x v="2152"/>
    <x v="0"/>
    <n v="148056"/>
  </r>
  <r>
    <s v="Coastal"/>
    <n v="2252"/>
    <s v="Port of Greater Baton Rouge, LA"/>
    <n v="4335"/>
    <x v="5"/>
    <x v="2497"/>
    <n v="0"/>
    <x v="0"/>
    <x v="0"/>
    <n v="144722"/>
  </r>
  <r>
    <s v="Coastal"/>
    <n v="2252"/>
    <s v="Port of Greater Baton Rouge, LA"/>
    <n v="3286"/>
    <x v="57"/>
    <x v="2498"/>
    <n v="53198"/>
    <x v="2153"/>
    <x v="1592"/>
    <n v="126766"/>
  </r>
  <r>
    <s v="Coastal"/>
    <n v="2252"/>
    <s v="Port of Greater Baton Rouge, LA"/>
    <n v="5210"/>
    <x v="130"/>
    <x v="2499"/>
    <n v="0"/>
    <x v="0"/>
    <x v="0"/>
    <n v="123148"/>
  </r>
  <r>
    <s v="Coastal"/>
    <n v="2252"/>
    <s v="Port of Greater Baton Rouge, LA"/>
    <n v="3275"/>
    <x v="47"/>
    <x v="2500"/>
    <n v="67563"/>
    <x v="2154"/>
    <x v="0"/>
    <n v="106699"/>
  </r>
  <r>
    <s v="Coastal"/>
    <n v="2252"/>
    <s v="Port of Greater Baton Rouge, LA"/>
    <n v="4410"/>
    <x v="34"/>
    <x v="2501"/>
    <n v="64767"/>
    <x v="2155"/>
    <x v="0"/>
    <n v="91108"/>
  </r>
  <r>
    <s v="Coastal"/>
    <n v="2252"/>
    <s v="Port of Greater Baton Rouge, LA"/>
    <n v="3240"/>
    <x v="53"/>
    <x v="2502"/>
    <n v="60723"/>
    <x v="2156"/>
    <x v="1593"/>
    <n v="64600"/>
  </r>
  <r>
    <s v="Coastal"/>
    <n v="2252"/>
    <s v="Port of Greater Baton Rouge, LA"/>
    <n v="3190"/>
    <x v="38"/>
    <x v="2145"/>
    <n v="43736"/>
    <x v="2157"/>
    <x v="0"/>
    <n v="60501"/>
  </r>
  <r>
    <s v="Coastal"/>
    <n v="2252"/>
    <s v="Port of Greater Baton Rouge, LA"/>
    <n v="4783"/>
    <x v="7"/>
    <x v="2503"/>
    <n v="26676"/>
    <x v="2158"/>
    <x v="0"/>
    <n v="56627"/>
  </r>
  <r>
    <s v="Coastal"/>
    <n v="2252"/>
    <s v="Port of Greater Baton Rouge, LA"/>
    <n v="6889"/>
    <x v="42"/>
    <x v="51"/>
    <n v="4006"/>
    <x v="2159"/>
    <x v="0"/>
    <n v="49697"/>
  </r>
  <r>
    <s v="Coastal"/>
    <n v="2252"/>
    <s v="Port of Greater Baton Rouge, LA"/>
    <n v="3230"/>
    <x v="80"/>
    <x v="2504"/>
    <n v="12885"/>
    <x v="2160"/>
    <x v="1594"/>
    <n v="48384"/>
  </r>
  <r>
    <s v="Coastal"/>
    <n v="2252"/>
    <s v="Port of Greater Baton Rouge, LA"/>
    <n v="3276"/>
    <x v="12"/>
    <x v="2505"/>
    <n v="35444"/>
    <x v="2161"/>
    <x v="0"/>
    <n v="41515"/>
  </r>
  <r>
    <s v="Coastal"/>
    <n v="2252"/>
    <s v="Port of Greater Baton Rouge, LA"/>
    <n v="6653"/>
    <x v="24"/>
    <x v="10"/>
    <n v="40247"/>
    <x v="0"/>
    <x v="1595"/>
    <n v="40247"/>
  </r>
  <r>
    <s v="Coastal"/>
    <n v="2252"/>
    <s v="Port of Greater Baton Rouge, LA"/>
    <n v="3120"/>
    <x v="41"/>
    <x v="2506"/>
    <n v="0"/>
    <x v="0"/>
    <x v="0"/>
    <n v="38636"/>
  </r>
  <r>
    <s v="Coastal"/>
    <n v="2252"/>
    <s v="Port of Greater Baton Rouge, LA"/>
    <n v="6654"/>
    <x v="50"/>
    <x v="2507"/>
    <n v="6035"/>
    <x v="0"/>
    <x v="1596"/>
    <n v="28912"/>
  </r>
  <r>
    <s v="Coastal"/>
    <n v="2252"/>
    <s v="Port of Greater Baton Rouge, LA"/>
    <n v="7500"/>
    <x v="60"/>
    <x v="10"/>
    <n v="26476"/>
    <x v="940"/>
    <x v="1597"/>
    <n v="26476"/>
  </r>
  <r>
    <s v="Coastal"/>
    <n v="2252"/>
    <s v="Port of Greater Baton Rouge, LA"/>
    <n v="4650"/>
    <x v="67"/>
    <x v="2508"/>
    <n v="5391"/>
    <x v="2162"/>
    <x v="0"/>
    <n v="25071"/>
  </r>
  <r>
    <s v="Coastal"/>
    <n v="2252"/>
    <s v="Port of Greater Baton Rouge, LA"/>
    <n v="6865"/>
    <x v="75"/>
    <x v="2509"/>
    <n v="11023"/>
    <x v="2163"/>
    <x v="0"/>
    <n v="24796"/>
  </r>
  <r>
    <s v="Coastal"/>
    <n v="2252"/>
    <s v="Port of Greater Baton Rouge, LA"/>
    <n v="5330"/>
    <x v="16"/>
    <x v="10"/>
    <n v="23724"/>
    <x v="2164"/>
    <x v="0"/>
    <n v="23724"/>
  </r>
  <r>
    <s v="Coastal"/>
    <n v="2252"/>
    <s v="Port of Greater Baton Rouge, LA"/>
    <n v="9900"/>
    <x v="18"/>
    <x v="10"/>
    <n v="21147"/>
    <x v="2165"/>
    <x v="1598"/>
    <n v="21147"/>
  </r>
  <r>
    <s v="Coastal"/>
    <n v="2252"/>
    <s v="Port of Greater Baton Rouge, LA"/>
    <n v="5480"/>
    <x v="20"/>
    <x v="10"/>
    <n v="19347"/>
    <x v="2166"/>
    <x v="1599"/>
    <n v="19347"/>
  </r>
  <r>
    <s v="Coastal"/>
    <n v="2252"/>
    <s v="Port of Greater Baton Rouge, LA"/>
    <n v="2410"/>
    <x v="98"/>
    <x v="2298"/>
    <n v="6657"/>
    <x v="2167"/>
    <x v="0"/>
    <n v="18340"/>
  </r>
  <r>
    <s v="Coastal"/>
    <n v="2252"/>
    <s v="Port of Greater Baton Rouge, LA"/>
    <n v="4741"/>
    <x v="56"/>
    <x v="10"/>
    <n v="18083"/>
    <x v="2168"/>
    <x v="0"/>
    <n v="18083"/>
  </r>
  <r>
    <s v="Coastal"/>
    <n v="2252"/>
    <s v="Port of Greater Baton Rouge, LA"/>
    <n v="7900"/>
    <x v="21"/>
    <x v="589"/>
    <n v="13479"/>
    <x v="2169"/>
    <x v="1600"/>
    <n v="13579"/>
  </r>
  <r>
    <s v="Coastal"/>
    <n v="2252"/>
    <s v="Port of Greater Baton Rouge, LA"/>
    <n v="5315"/>
    <x v="48"/>
    <x v="10"/>
    <n v="11560"/>
    <x v="2170"/>
    <x v="0"/>
    <n v="11560"/>
  </r>
  <r>
    <s v="Coastal"/>
    <n v="2252"/>
    <s v="Port of Greater Baton Rouge, LA"/>
    <n v="6747"/>
    <x v="78"/>
    <x v="2510"/>
    <n v="0"/>
    <x v="0"/>
    <x v="0"/>
    <n v="11277"/>
  </r>
  <r>
    <s v="Coastal"/>
    <n v="2252"/>
    <s v="Port of Greater Baton Rouge, LA"/>
    <n v="7220"/>
    <x v="103"/>
    <x v="10"/>
    <n v="8203"/>
    <x v="0"/>
    <x v="1601"/>
    <n v="8203"/>
  </r>
  <r>
    <s v="Coastal"/>
    <n v="2252"/>
    <s v="Port of Greater Baton Rouge, LA"/>
    <n v="5240"/>
    <x v="89"/>
    <x v="10"/>
    <n v="6975"/>
    <x v="2171"/>
    <x v="0"/>
    <n v="6975"/>
  </r>
  <r>
    <s v="Coastal"/>
    <n v="2252"/>
    <s v="Port of Greater Baton Rouge, LA"/>
    <n v="7110"/>
    <x v="4"/>
    <x v="2511"/>
    <n v="4984"/>
    <x v="2172"/>
    <x v="1602"/>
    <n v="6534"/>
  </r>
  <r>
    <s v="Coastal"/>
    <n v="2252"/>
    <s v="Port of Greater Baton Rouge, LA"/>
    <n v="3279"/>
    <x v="58"/>
    <x v="10"/>
    <n v="4161"/>
    <x v="0"/>
    <x v="1603"/>
    <n v="4161"/>
  </r>
  <r>
    <s v="Coastal"/>
    <n v="2252"/>
    <s v="Port of Greater Baton Rouge, LA"/>
    <n v="4782"/>
    <x v="45"/>
    <x v="1807"/>
    <n v="0"/>
    <x v="0"/>
    <x v="0"/>
    <n v="3362"/>
  </r>
  <r>
    <s v="Coastal"/>
    <n v="2252"/>
    <s v="Port of Greater Baton Rouge, LA"/>
    <n v="4680"/>
    <x v="70"/>
    <x v="545"/>
    <n v="0"/>
    <x v="0"/>
    <x v="0"/>
    <n v="3359"/>
  </r>
  <r>
    <s v="Coastal"/>
    <n v="2252"/>
    <s v="Port of Greater Baton Rouge, LA"/>
    <n v="7600"/>
    <x v="68"/>
    <x v="10"/>
    <n v="2863"/>
    <x v="183"/>
    <x v="1604"/>
    <n v="2863"/>
  </r>
  <r>
    <s v="Coastal"/>
    <n v="2252"/>
    <s v="Port of Greater Baton Rouge, LA"/>
    <n v="6443"/>
    <x v="135"/>
    <x v="2512"/>
    <n v="0"/>
    <x v="0"/>
    <x v="0"/>
    <n v="2100"/>
  </r>
  <r>
    <s v="Coastal"/>
    <n v="2252"/>
    <s v="Port of Greater Baton Rouge, LA"/>
    <n v="4860"/>
    <x v="31"/>
    <x v="2513"/>
    <n v="0"/>
    <x v="0"/>
    <x v="0"/>
    <n v="1798"/>
  </r>
  <r>
    <s v="Coastal"/>
    <n v="2252"/>
    <s v="Port of Greater Baton Rouge, LA"/>
    <n v="4110"/>
    <x v="105"/>
    <x v="10"/>
    <n v="1653"/>
    <x v="353"/>
    <x v="0"/>
    <n v="1653"/>
  </r>
  <r>
    <s v="Coastal"/>
    <n v="2252"/>
    <s v="Port of Greater Baton Rouge, LA"/>
    <n v="6861"/>
    <x v="69"/>
    <x v="1062"/>
    <n v="0"/>
    <x v="0"/>
    <x v="0"/>
    <n v="1623"/>
  </r>
  <r>
    <s v="Coastal"/>
    <n v="2252"/>
    <s v="Port of Greater Baton Rouge, LA"/>
    <n v="3297"/>
    <x v="116"/>
    <x v="10"/>
    <n v="1612"/>
    <x v="0"/>
    <x v="1605"/>
    <n v="1612"/>
  </r>
  <r>
    <s v="Coastal"/>
    <n v="2252"/>
    <s v="Port of Greater Baton Rouge, LA"/>
    <n v="5290"/>
    <x v="49"/>
    <x v="10"/>
    <n v="1378"/>
    <x v="0"/>
    <x v="1606"/>
    <n v="1378"/>
  </r>
  <r>
    <s v="Coastal"/>
    <n v="2252"/>
    <s v="Port of Greater Baton Rouge, LA"/>
    <n v="3285"/>
    <x v="87"/>
    <x v="10"/>
    <n v="1182"/>
    <x v="0"/>
    <x v="1607"/>
    <n v="1182"/>
  </r>
  <r>
    <s v="Coastal"/>
    <n v="2252"/>
    <s v="Port of Greater Baton Rouge, LA"/>
    <n v="5190"/>
    <x v="83"/>
    <x v="10"/>
    <n v="934"/>
    <x v="2121"/>
    <x v="0"/>
    <n v="934"/>
  </r>
  <r>
    <s v="Coastal"/>
    <n v="2252"/>
    <s v="Port of Greater Baton Rouge, LA"/>
    <n v="5370"/>
    <x v="81"/>
    <x v="97"/>
    <n v="0"/>
    <x v="0"/>
    <x v="0"/>
    <n v="649"/>
  </r>
  <r>
    <s v="Coastal"/>
    <n v="2252"/>
    <s v="Port of Greater Baton Rouge, LA"/>
    <n v="3282"/>
    <x v="91"/>
    <x v="10"/>
    <n v="345"/>
    <x v="0"/>
    <x v="401"/>
    <n v="345"/>
  </r>
  <r>
    <s v="Coastal"/>
    <n v="2252"/>
    <s v="Port of Greater Baton Rouge, LA"/>
    <n v="7230"/>
    <x v="22"/>
    <x v="10"/>
    <n v="2"/>
    <x v="212"/>
    <x v="0"/>
    <n v="2"/>
  </r>
  <r>
    <s v="Internal"/>
    <n v="2439"/>
    <s v="Port of Greenville, MS"/>
    <n v="6522"/>
    <x v="26"/>
    <x v="2514"/>
    <n v="0"/>
    <x v="0"/>
    <x v="0"/>
    <n v="1100632"/>
  </r>
  <r>
    <s v="Internal"/>
    <n v="2439"/>
    <s v="Port of Greenville, MS"/>
    <n v="6344"/>
    <x v="25"/>
    <x v="2515"/>
    <n v="0"/>
    <x v="0"/>
    <x v="0"/>
    <n v="474786"/>
  </r>
  <r>
    <s v="Internal"/>
    <n v="2439"/>
    <s v="Port of Greenville, MS"/>
    <n v="2211"/>
    <x v="0"/>
    <x v="2516"/>
    <n v="0"/>
    <x v="0"/>
    <x v="0"/>
    <n v="199771"/>
  </r>
  <r>
    <s v="Internal"/>
    <n v="2439"/>
    <s v="Port of Greenville, MS"/>
    <n v="2330"/>
    <x v="1"/>
    <x v="2517"/>
    <n v="0"/>
    <x v="0"/>
    <x v="0"/>
    <n v="176533"/>
  </r>
  <r>
    <s v="Internal"/>
    <n v="2439"/>
    <s v="Port of Greenville, MS"/>
    <n v="4322"/>
    <x v="33"/>
    <x v="2518"/>
    <n v="0"/>
    <x v="0"/>
    <x v="0"/>
    <n v="150254"/>
  </r>
  <r>
    <s v="Internal"/>
    <n v="2439"/>
    <s v="Port of Greenville, MS"/>
    <n v="3110"/>
    <x v="36"/>
    <x v="2519"/>
    <n v="0"/>
    <x v="0"/>
    <x v="0"/>
    <n v="90387"/>
  </r>
  <r>
    <s v="Internal"/>
    <n v="2439"/>
    <s v="Port of Greenville, MS"/>
    <n v="4335"/>
    <x v="5"/>
    <x v="2520"/>
    <n v="0"/>
    <x v="0"/>
    <x v="0"/>
    <n v="81131"/>
  </r>
  <r>
    <s v="Internal"/>
    <n v="2439"/>
    <s v="Port of Greenville, MS"/>
    <n v="3130"/>
    <x v="37"/>
    <x v="2521"/>
    <n v="0"/>
    <x v="0"/>
    <x v="0"/>
    <n v="58996"/>
  </r>
  <r>
    <s v="Internal"/>
    <n v="2439"/>
    <s v="Port of Greenville, MS"/>
    <n v="3120"/>
    <x v="41"/>
    <x v="2522"/>
    <n v="0"/>
    <x v="0"/>
    <x v="0"/>
    <n v="29821"/>
  </r>
  <r>
    <s v="Internal"/>
    <n v="2439"/>
    <s v="Port of Greenville, MS"/>
    <n v="3220"/>
    <x v="2"/>
    <x v="2523"/>
    <n v="0"/>
    <x v="0"/>
    <x v="0"/>
    <n v="19775"/>
  </r>
  <r>
    <s v="Internal"/>
    <n v="2439"/>
    <s v="Port of Greenville, MS"/>
    <n v="6241"/>
    <x v="28"/>
    <x v="2524"/>
    <n v="0"/>
    <x v="0"/>
    <x v="0"/>
    <n v="17227"/>
  </r>
  <r>
    <s v="Internal"/>
    <n v="2439"/>
    <s v="Port of Greenville, MS"/>
    <n v="6782"/>
    <x v="27"/>
    <x v="2525"/>
    <n v="0"/>
    <x v="0"/>
    <x v="0"/>
    <n v="11314"/>
  </r>
  <r>
    <s v="Internal"/>
    <n v="2439"/>
    <s v="Port of Greenville, MS"/>
    <n v="4783"/>
    <x v="7"/>
    <x v="754"/>
    <n v="0"/>
    <x v="0"/>
    <x v="0"/>
    <n v="10673"/>
  </r>
  <r>
    <s v="Internal"/>
    <n v="2439"/>
    <s v="Port of Greenville, MS"/>
    <n v="3190"/>
    <x v="38"/>
    <x v="2526"/>
    <n v="0"/>
    <x v="0"/>
    <x v="0"/>
    <n v="9414"/>
  </r>
  <r>
    <s v="Internal"/>
    <n v="2439"/>
    <s v="Port of Greenville, MS"/>
    <n v="6442"/>
    <x v="85"/>
    <x v="2527"/>
    <n v="0"/>
    <x v="0"/>
    <x v="0"/>
    <n v="5570"/>
  </r>
  <r>
    <s v="Internal"/>
    <n v="2439"/>
    <s v="Port of Greenville, MS"/>
    <n v="6590"/>
    <x v="23"/>
    <x v="2528"/>
    <n v="0"/>
    <x v="0"/>
    <x v="0"/>
    <n v="4002"/>
  </r>
  <r>
    <s v="Internal"/>
    <n v="2439"/>
    <s v="Port of Greenville, MS"/>
    <n v="4331"/>
    <x v="29"/>
    <x v="2529"/>
    <n v="0"/>
    <x v="0"/>
    <x v="0"/>
    <n v="3560"/>
  </r>
  <r>
    <s v="Internal"/>
    <n v="2439"/>
    <s v="Port of Greenville, MS"/>
    <n v="3276"/>
    <x v="12"/>
    <x v="2530"/>
    <n v="0"/>
    <x v="0"/>
    <x v="0"/>
    <n v="3147"/>
  </r>
  <r>
    <s v="Internal"/>
    <n v="2439"/>
    <s v="Port of Greenville, MS"/>
    <n v="2350"/>
    <x v="40"/>
    <x v="2531"/>
    <n v="0"/>
    <x v="0"/>
    <x v="0"/>
    <n v="2716"/>
  </r>
  <r>
    <s v="Internal"/>
    <n v="2439"/>
    <s v="Port of Greenville, MS"/>
    <n v="6654"/>
    <x v="50"/>
    <x v="2532"/>
    <n v="0"/>
    <x v="0"/>
    <x v="0"/>
    <n v="2031"/>
  </r>
  <r>
    <s v="Internal"/>
    <n v="2439"/>
    <s v="Port of Greenville, MS"/>
    <n v="6857"/>
    <x v="104"/>
    <x v="1497"/>
    <n v="0"/>
    <x v="0"/>
    <x v="0"/>
    <n v="1500"/>
  </r>
  <r>
    <s v="Internal"/>
    <n v="2439"/>
    <s v="Port of Greenville, MS"/>
    <n v="6653"/>
    <x v="24"/>
    <x v="2533"/>
    <n v="0"/>
    <x v="0"/>
    <x v="0"/>
    <n v="1463"/>
  </r>
  <r>
    <s v="Coastal"/>
    <n v="2440"/>
    <s v="Port of Gulfport, MS"/>
    <n v="6856"/>
    <x v="126"/>
    <x v="10"/>
    <n v="597129"/>
    <x v="2173"/>
    <x v="1608"/>
    <n v="597129"/>
  </r>
  <r>
    <s v="Coastal"/>
    <n v="2440"/>
    <s v="Port of Gulfport, MS"/>
    <n v="4690"/>
    <x v="62"/>
    <x v="2534"/>
    <n v="558323"/>
    <x v="2174"/>
    <x v="0"/>
    <n v="559868"/>
  </r>
  <r>
    <s v="Coastal"/>
    <n v="2440"/>
    <s v="Port of Gulfport, MS"/>
    <n v="5120"/>
    <x v="63"/>
    <x v="10"/>
    <n v="184883"/>
    <x v="182"/>
    <x v="1609"/>
    <n v="184883"/>
  </r>
  <r>
    <s v="Coastal"/>
    <n v="2440"/>
    <s v="Port of Gulfport, MS"/>
    <n v="7500"/>
    <x v="60"/>
    <x v="10"/>
    <n v="143949"/>
    <x v="2175"/>
    <x v="1610"/>
    <n v="143949"/>
  </r>
  <r>
    <s v="Coastal"/>
    <n v="2440"/>
    <s v="Port of Gulfport, MS"/>
    <n v="6811"/>
    <x v="76"/>
    <x v="10"/>
    <n v="97896"/>
    <x v="720"/>
    <x v="1611"/>
    <n v="97896"/>
  </r>
  <r>
    <s v="Coastal"/>
    <n v="2440"/>
    <s v="Port of Gulfport, MS"/>
    <n v="7900"/>
    <x v="21"/>
    <x v="2535"/>
    <n v="55856"/>
    <x v="372"/>
    <x v="1612"/>
    <n v="76219"/>
  </r>
  <r>
    <s v="Coastal"/>
    <n v="2440"/>
    <s v="Port of Gulfport, MS"/>
    <n v="6893"/>
    <x v="113"/>
    <x v="10"/>
    <n v="67396"/>
    <x v="2176"/>
    <x v="1613"/>
    <n v="67396"/>
  </r>
  <r>
    <s v="Coastal"/>
    <n v="2440"/>
    <s v="Port of Gulfport, MS"/>
    <n v="6857"/>
    <x v="104"/>
    <x v="10"/>
    <n v="59844"/>
    <x v="2177"/>
    <x v="1614"/>
    <n v="59844"/>
  </r>
  <r>
    <s v="Coastal"/>
    <n v="2440"/>
    <s v="Port of Gulfport, MS"/>
    <n v="1200"/>
    <x v="43"/>
    <x v="2536"/>
    <n v="0"/>
    <x v="0"/>
    <x v="0"/>
    <n v="41091"/>
  </r>
  <r>
    <s v="Coastal"/>
    <n v="2440"/>
    <s v="Port of Gulfport, MS"/>
    <n v="4331"/>
    <x v="29"/>
    <x v="2537"/>
    <n v="16535"/>
    <x v="26"/>
    <x v="0"/>
    <n v="35035"/>
  </r>
  <r>
    <s v="Coastal"/>
    <n v="2440"/>
    <s v="Port of Gulfport, MS"/>
    <n v="9900"/>
    <x v="18"/>
    <x v="10"/>
    <n v="25602"/>
    <x v="2178"/>
    <x v="1615"/>
    <n v="25602"/>
  </r>
  <r>
    <s v="Coastal"/>
    <n v="2440"/>
    <s v="Port of Gulfport, MS"/>
    <n v="3219"/>
    <x v="19"/>
    <x v="10"/>
    <n v="15402"/>
    <x v="0"/>
    <x v="1616"/>
    <n v="15402"/>
  </r>
  <r>
    <s v="Coastal"/>
    <n v="2440"/>
    <s v="Port of Gulfport, MS"/>
    <n v="7210"/>
    <x v="59"/>
    <x v="10"/>
    <n v="15235"/>
    <x v="2179"/>
    <x v="1617"/>
    <n v="15235"/>
  </r>
  <r>
    <s v="Coastal"/>
    <n v="2440"/>
    <s v="Port of Gulfport, MS"/>
    <n v="5315"/>
    <x v="48"/>
    <x v="10"/>
    <n v="13212"/>
    <x v="2180"/>
    <x v="0"/>
    <n v="13212"/>
  </r>
  <r>
    <s v="Coastal"/>
    <n v="2440"/>
    <s v="Port of Gulfport, MS"/>
    <n v="3285"/>
    <x v="87"/>
    <x v="10"/>
    <n v="12658"/>
    <x v="2181"/>
    <x v="703"/>
    <n v="12658"/>
  </r>
  <r>
    <s v="Coastal"/>
    <n v="2440"/>
    <s v="Port of Gulfport, MS"/>
    <n v="2330"/>
    <x v="1"/>
    <x v="10"/>
    <n v="11459"/>
    <x v="51"/>
    <x v="1618"/>
    <n v="11459"/>
  </r>
  <r>
    <s v="Coastal"/>
    <n v="2440"/>
    <s v="Port of Gulfport, MS"/>
    <n v="4680"/>
    <x v="70"/>
    <x v="10"/>
    <n v="8231"/>
    <x v="1214"/>
    <x v="0"/>
    <n v="8231"/>
  </r>
  <r>
    <s v="Coastal"/>
    <n v="2440"/>
    <s v="Port of Gulfport, MS"/>
    <n v="4410"/>
    <x v="34"/>
    <x v="2538"/>
    <n v="0"/>
    <x v="0"/>
    <x v="0"/>
    <n v="7700"/>
  </r>
  <r>
    <s v="Coastal"/>
    <n v="2440"/>
    <s v="Port of Gulfport, MS"/>
    <n v="5540"/>
    <x v="64"/>
    <x v="10"/>
    <n v="7242"/>
    <x v="2182"/>
    <x v="258"/>
    <n v="7242"/>
  </r>
  <r>
    <s v="Coastal"/>
    <n v="2440"/>
    <s v="Port of Gulfport, MS"/>
    <n v="5190"/>
    <x v="83"/>
    <x v="10"/>
    <n v="6880"/>
    <x v="2183"/>
    <x v="1619"/>
    <n v="6880"/>
  </r>
  <r>
    <s v="Coastal"/>
    <n v="2440"/>
    <s v="Port of Gulfport, MS"/>
    <n v="3286"/>
    <x v="57"/>
    <x v="10"/>
    <n v="6696"/>
    <x v="2184"/>
    <x v="1620"/>
    <n v="6696"/>
  </r>
  <r>
    <s v="Coastal"/>
    <n v="2440"/>
    <s v="Port of Gulfport, MS"/>
    <n v="4225"/>
    <x v="10"/>
    <x v="10"/>
    <n v="6605"/>
    <x v="555"/>
    <x v="1621"/>
    <n v="6605"/>
  </r>
  <r>
    <s v="Coastal"/>
    <n v="2440"/>
    <s v="Port of Gulfport, MS"/>
    <n v="6822"/>
    <x v="84"/>
    <x v="10"/>
    <n v="6130"/>
    <x v="299"/>
    <x v="1622"/>
    <n v="6130"/>
  </r>
  <r>
    <s v="Coastal"/>
    <n v="2440"/>
    <s v="Port of Gulfport, MS"/>
    <n v="6889"/>
    <x v="42"/>
    <x v="10"/>
    <n v="5345"/>
    <x v="2185"/>
    <x v="1623"/>
    <n v="5345"/>
  </r>
  <r>
    <s v="Coastal"/>
    <n v="2440"/>
    <s v="Port of Gulfport, MS"/>
    <n v="2540"/>
    <x v="15"/>
    <x v="2539"/>
    <n v="0"/>
    <x v="0"/>
    <x v="0"/>
    <n v="5302"/>
  </r>
  <r>
    <s v="Coastal"/>
    <n v="2440"/>
    <s v="Port of Gulfport, MS"/>
    <n v="6654"/>
    <x v="50"/>
    <x v="10"/>
    <n v="4978"/>
    <x v="2186"/>
    <x v="1624"/>
    <n v="4978"/>
  </r>
  <r>
    <s v="Coastal"/>
    <n v="2440"/>
    <s v="Port of Gulfport, MS"/>
    <n v="7120"/>
    <x v="71"/>
    <x v="10"/>
    <n v="4109"/>
    <x v="2187"/>
    <x v="1625"/>
    <n v="4109"/>
  </r>
  <r>
    <s v="Coastal"/>
    <n v="2440"/>
    <s v="Port of Gulfport, MS"/>
    <n v="4189"/>
    <x v="65"/>
    <x v="10"/>
    <n v="3740"/>
    <x v="2188"/>
    <x v="1626"/>
    <n v="3740"/>
  </r>
  <r>
    <s v="Coastal"/>
    <n v="2440"/>
    <s v="Port of Gulfport, MS"/>
    <n v="7400"/>
    <x v="77"/>
    <x v="10"/>
    <n v="3381"/>
    <x v="2189"/>
    <x v="1627"/>
    <n v="3381"/>
  </r>
  <r>
    <s v="Coastal"/>
    <n v="2440"/>
    <s v="Port of Gulfport, MS"/>
    <n v="4420"/>
    <x v="8"/>
    <x v="1684"/>
    <n v="0"/>
    <x v="0"/>
    <x v="0"/>
    <n v="3100"/>
  </r>
  <r>
    <s v="Coastal"/>
    <n v="2440"/>
    <s v="Port of Gulfport, MS"/>
    <n v="7600"/>
    <x v="68"/>
    <x v="10"/>
    <n v="2972"/>
    <x v="2190"/>
    <x v="1628"/>
    <n v="2972"/>
  </r>
  <r>
    <s v="Coastal"/>
    <n v="2440"/>
    <s v="Port of Gulfport, MS"/>
    <n v="5110"/>
    <x v="112"/>
    <x v="10"/>
    <n v="2920"/>
    <x v="0"/>
    <x v="1629"/>
    <n v="2920"/>
  </r>
  <r>
    <s v="Coastal"/>
    <n v="2440"/>
    <s v="Port of Gulfport, MS"/>
    <n v="3284"/>
    <x v="97"/>
    <x v="10"/>
    <n v="2767"/>
    <x v="0"/>
    <x v="1630"/>
    <n v="2767"/>
  </r>
  <r>
    <s v="Coastal"/>
    <n v="2440"/>
    <s v="Port of Gulfport, MS"/>
    <n v="5480"/>
    <x v="20"/>
    <x v="10"/>
    <n v="1675"/>
    <x v="2191"/>
    <x v="1631"/>
    <n v="1675"/>
  </r>
  <r>
    <s v="Coastal"/>
    <n v="2440"/>
    <s v="Port of Gulfport, MS"/>
    <n v="6817"/>
    <x v="119"/>
    <x v="10"/>
    <n v="1673"/>
    <x v="413"/>
    <x v="1632"/>
    <n v="1673"/>
  </r>
  <r>
    <s v="Coastal"/>
    <n v="2440"/>
    <s v="Port of Gulfport, MS"/>
    <n v="4782"/>
    <x v="45"/>
    <x v="10"/>
    <n v="1665"/>
    <x v="0"/>
    <x v="1633"/>
    <n v="1665"/>
  </r>
  <r>
    <s v="Coastal"/>
    <n v="2440"/>
    <s v="Port of Gulfport, MS"/>
    <n v="2410"/>
    <x v="98"/>
    <x v="10"/>
    <n v="1409"/>
    <x v="0"/>
    <x v="1634"/>
    <n v="1409"/>
  </r>
  <r>
    <s v="Coastal"/>
    <n v="2440"/>
    <s v="Port of Gulfport, MS"/>
    <n v="6858"/>
    <x v="74"/>
    <x v="10"/>
    <n v="1367"/>
    <x v="2192"/>
    <x v="1635"/>
    <n v="1367"/>
  </r>
  <r>
    <s v="Coastal"/>
    <n v="2440"/>
    <s v="Port of Gulfport, MS"/>
    <n v="7110"/>
    <x v="4"/>
    <x v="2540"/>
    <n v="1261"/>
    <x v="2193"/>
    <x v="1636"/>
    <n v="1357"/>
  </r>
  <r>
    <s v="Coastal"/>
    <n v="2440"/>
    <s v="Port of Gulfport, MS"/>
    <n v="5422"/>
    <x v="66"/>
    <x v="10"/>
    <n v="1208"/>
    <x v="150"/>
    <x v="1637"/>
    <n v="1208"/>
  </r>
  <r>
    <s v="Coastal"/>
    <n v="2440"/>
    <s v="Port of Gulfport, MS"/>
    <n v="5290"/>
    <x v="49"/>
    <x v="10"/>
    <n v="1063"/>
    <x v="2194"/>
    <x v="418"/>
    <n v="1063"/>
  </r>
  <r>
    <s v="Coastal"/>
    <n v="2440"/>
    <s v="Port of Gulfport, MS"/>
    <n v="5370"/>
    <x v="81"/>
    <x v="10"/>
    <n v="843"/>
    <x v="2195"/>
    <x v="213"/>
    <n v="843"/>
  </r>
  <r>
    <s v="Coastal"/>
    <n v="2440"/>
    <s v="Port of Gulfport, MS"/>
    <n v="6781"/>
    <x v="128"/>
    <x v="10"/>
    <n v="793"/>
    <x v="0"/>
    <x v="1638"/>
    <n v="793"/>
  </r>
  <r>
    <s v="Coastal"/>
    <n v="2440"/>
    <s v="Port of Gulfport, MS"/>
    <n v="6747"/>
    <x v="78"/>
    <x v="10"/>
    <n v="746"/>
    <x v="354"/>
    <x v="1639"/>
    <n v="746"/>
  </r>
  <r>
    <s v="Coastal"/>
    <n v="2440"/>
    <s v="Port of Gulfport, MS"/>
    <n v="3282"/>
    <x v="91"/>
    <x v="10"/>
    <n v="730"/>
    <x v="0"/>
    <x v="1640"/>
    <n v="730"/>
  </r>
  <r>
    <s v="Coastal"/>
    <n v="2440"/>
    <s v="Port of Gulfport, MS"/>
    <n v="6885"/>
    <x v="72"/>
    <x v="10"/>
    <n v="661"/>
    <x v="2196"/>
    <x v="1641"/>
    <n v="661"/>
  </r>
  <r>
    <s v="Coastal"/>
    <n v="2440"/>
    <s v="Port of Gulfport, MS"/>
    <n v="6653"/>
    <x v="24"/>
    <x v="10"/>
    <n v="613"/>
    <x v="0"/>
    <x v="1515"/>
    <n v="613"/>
  </r>
  <r>
    <s v="Coastal"/>
    <n v="2440"/>
    <s v="Port of Gulfport, MS"/>
    <n v="6344"/>
    <x v="25"/>
    <x v="10"/>
    <n v="552"/>
    <x v="1084"/>
    <x v="1003"/>
    <n v="552"/>
  </r>
  <r>
    <s v="Coastal"/>
    <n v="2440"/>
    <s v="Port of Gulfport, MS"/>
    <n v="3276"/>
    <x v="12"/>
    <x v="10"/>
    <n v="501"/>
    <x v="838"/>
    <x v="1642"/>
    <n v="501"/>
  </r>
  <r>
    <s v="Coastal"/>
    <n v="2440"/>
    <s v="Port of Gulfport, MS"/>
    <n v="6891"/>
    <x v="93"/>
    <x v="10"/>
    <n v="437"/>
    <x v="0"/>
    <x v="1643"/>
    <n v="437"/>
  </r>
  <r>
    <s v="Coastal"/>
    <n v="2440"/>
    <s v="Port of Gulfport, MS"/>
    <n v="4161"/>
    <x v="54"/>
    <x v="10"/>
    <n v="255"/>
    <x v="2131"/>
    <x v="0"/>
    <n v="255"/>
  </r>
  <r>
    <s v="Coastal"/>
    <n v="2440"/>
    <s v="Port of Gulfport, MS"/>
    <n v="5240"/>
    <x v="89"/>
    <x v="10"/>
    <n v="170"/>
    <x v="19"/>
    <x v="1644"/>
    <n v="170"/>
  </r>
  <r>
    <s v="Coastal"/>
    <n v="2440"/>
    <s v="Port of Gulfport, MS"/>
    <n v="3299"/>
    <x v="79"/>
    <x v="10"/>
    <n v="157"/>
    <x v="0"/>
    <x v="104"/>
    <n v="157"/>
  </r>
  <r>
    <s v="Coastal"/>
    <n v="2440"/>
    <s v="Port of Gulfport, MS"/>
    <n v="5421"/>
    <x v="88"/>
    <x v="10"/>
    <n v="154"/>
    <x v="0"/>
    <x v="207"/>
    <n v="154"/>
  </r>
  <r>
    <s v="Coastal"/>
    <n v="2440"/>
    <s v="Port of Gulfport, MS"/>
    <n v="6782"/>
    <x v="27"/>
    <x v="10"/>
    <n v="145"/>
    <x v="0"/>
    <x v="453"/>
    <n v="145"/>
  </r>
  <r>
    <s v="Coastal"/>
    <n v="2440"/>
    <s v="Port of Gulfport, MS"/>
    <n v="6839"/>
    <x v="106"/>
    <x v="10"/>
    <n v="133"/>
    <x v="0"/>
    <x v="1645"/>
    <n v="133"/>
  </r>
  <r>
    <s v="Coastal"/>
    <n v="2440"/>
    <s v="Port of Gulfport, MS"/>
    <n v="3250"/>
    <x v="108"/>
    <x v="10"/>
    <n v="127"/>
    <x v="0"/>
    <x v="1646"/>
    <n v="127"/>
  </r>
  <r>
    <s v="Coastal"/>
    <n v="2440"/>
    <s v="Port of Gulfport, MS"/>
    <n v="3297"/>
    <x v="116"/>
    <x v="10"/>
    <n v="79"/>
    <x v="0"/>
    <x v="884"/>
    <n v="79"/>
  </r>
  <r>
    <s v="Coastal"/>
    <n v="2440"/>
    <s v="Port of Gulfport, MS"/>
    <n v="4783"/>
    <x v="7"/>
    <x v="10"/>
    <n v="70"/>
    <x v="0"/>
    <x v="408"/>
    <n v="70"/>
  </r>
  <r>
    <s v="Coastal"/>
    <n v="2440"/>
    <s v="Port of Gulfport, MS"/>
    <n v="3279"/>
    <x v="58"/>
    <x v="10"/>
    <n v="65"/>
    <x v="0"/>
    <x v="270"/>
    <n v="65"/>
  </r>
  <r>
    <s v="Coastal"/>
    <n v="2440"/>
    <s v="Port of Gulfport, MS"/>
    <n v="6136"/>
    <x v="95"/>
    <x v="10"/>
    <n v="46"/>
    <x v="416"/>
    <x v="160"/>
    <n v="46"/>
  </r>
  <r>
    <s v="Coastal"/>
    <n v="2440"/>
    <s v="Port of Gulfport, MS"/>
    <n v="6134"/>
    <x v="82"/>
    <x v="10"/>
    <n v="45"/>
    <x v="417"/>
    <x v="160"/>
    <n v="45"/>
  </r>
  <r>
    <s v="Coastal"/>
    <n v="2440"/>
    <s v="Port of Gulfport, MS"/>
    <n v="3275"/>
    <x v="47"/>
    <x v="10"/>
    <n v="43"/>
    <x v="0"/>
    <x v="704"/>
    <n v="43"/>
  </r>
  <r>
    <s v="Coastal"/>
    <n v="2440"/>
    <s v="Port of Gulfport, MS"/>
    <n v="6746"/>
    <x v="118"/>
    <x v="10"/>
    <n v="43"/>
    <x v="0"/>
    <x v="704"/>
    <n v="43"/>
  </r>
  <r>
    <s v="Coastal"/>
    <n v="2440"/>
    <s v="Port of Gulfport, MS"/>
    <n v="3260"/>
    <x v="107"/>
    <x v="10"/>
    <n v="41"/>
    <x v="0"/>
    <x v="272"/>
    <n v="41"/>
  </r>
  <r>
    <s v="Coastal"/>
    <n v="2440"/>
    <s v="Port of Gulfport, MS"/>
    <n v="3283"/>
    <x v="111"/>
    <x v="10"/>
    <n v="33"/>
    <x v="0"/>
    <x v="205"/>
    <n v="33"/>
  </r>
  <r>
    <s v="Coastal"/>
    <n v="2440"/>
    <s v="Port of Gulfport, MS"/>
    <n v="3240"/>
    <x v="53"/>
    <x v="10"/>
    <n v="23"/>
    <x v="0"/>
    <x v="86"/>
    <n v="23"/>
  </r>
  <r>
    <s v="Coastal"/>
    <n v="2440"/>
    <s v="Port of Gulfport, MS"/>
    <n v="2350"/>
    <x v="40"/>
    <x v="10"/>
    <n v="22"/>
    <x v="0"/>
    <x v="383"/>
    <n v="22"/>
  </r>
  <r>
    <s v="Coastal"/>
    <n v="2440"/>
    <s v="Port of Gulfport, MS"/>
    <n v="6838"/>
    <x v="131"/>
    <x v="10"/>
    <n v="22"/>
    <x v="0"/>
    <x v="383"/>
    <n v="22"/>
  </r>
  <r>
    <s v="Coastal"/>
    <n v="2440"/>
    <s v="Port of Gulfport, MS"/>
    <n v="4650"/>
    <x v="67"/>
    <x v="10"/>
    <n v="21"/>
    <x v="0"/>
    <x v="129"/>
    <n v="21"/>
  </r>
  <r>
    <s v="Coastal"/>
    <n v="2440"/>
    <s v="Port of Gulfport, MS"/>
    <n v="3220"/>
    <x v="2"/>
    <x v="10"/>
    <n v="20"/>
    <x v="393"/>
    <x v="133"/>
    <n v="20"/>
  </r>
  <r>
    <s v="Coastal"/>
    <n v="2440"/>
    <s v="Port of Gulfport, MS"/>
    <n v="5330"/>
    <x v="16"/>
    <x v="10"/>
    <n v="19"/>
    <x v="612"/>
    <x v="237"/>
    <n v="19"/>
  </r>
  <r>
    <s v="Coastal"/>
    <n v="2440"/>
    <s v="Port of Gulfport, MS"/>
    <n v="6871"/>
    <x v="73"/>
    <x v="10"/>
    <n v="19"/>
    <x v="19"/>
    <x v="454"/>
    <n v="19"/>
  </r>
  <r>
    <s v="Coastal"/>
    <n v="2440"/>
    <s v="Port of Gulfport, MS"/>
    <n v="5360"/>
    <x v="94"/>
    <x v="10"/>
    <n v="18"/>
    <x v="0"/>
    <x v="454"/>
    <n v="18"/>
  </r>
  <r>
    <s v="Coastal"/>
    <n v="2440"/>
    <s v="Port of Gulfport, MS"/>
    <n v="7300"/>
    <x v="115"/>
    <x v="10"/>
    <n v="13"/>
    <x v="453"/>
    <x v="0"/>
    <n v="13"/>
  </r>
  <r>
    <s v="Coastal"/>
    <n v="2440"/>
    <s v="Port of Gulfport, MS"/>
    <n v="2640"/>
    <x v="110"/>
    <x v="10"/>
    <n v="9"/>
    <x v="0"/>
    <x v="275"/>
    <n v="9"/>
  </r>
  <r>
    <s v="Coastal"/>
    <n v="2440"/>
    <s v="Port of Gulfport, MS"/>
    <n v="5390"/>
    <x v="44"/>
    <x v="10"/>
    <n v="9"/>
    <x v="0"/>
    <x v="275"/>
    <n v="9"/>
  </r>
  <r>
    <s v="Coastal"/>
    <n v="2440"/>
    <s v="Port of Gulfport, MS"/>
    <n v="6835"/>
    <x v="92"/>
    <x v="10"/>
    <n v="9"/>
    <x v="0"/>
    <x v="275"/>
    <n v="9"/>
  </r>
  <r>
    <s v="Coastal"/>
    <n v="2440"/>
    <s v="Port of Gulfport, MS"/>
    <n v="3292"/>
    <x v="51"/>
    <x v="10"/>
    <n v="7"/>
    <x v="0"/>
    <x v="166"/>
    <n v="7"/>
  </r>
  <r>
    <s v="Coastal"/>
    <n v="2440"/>
    <s v="Port of Gulfport, MS"/>
    <n v="3230"/>
    <x v="80"/>
    <x v="10"/>
    <n v="6"/>
    <x v="0"/>
    <x v="131"/>
    <n v="6"/>
  </r>
  <r>
    <s v="Coastal"/>
    <n v="2440"/>
    <s v="Port of Gulfport, MS"/>
    <n v="7220"/>
    <x v="103"/>
    <x v="10"/>
    <n v="6"/>
    <x v="0"/>
    <x v="131"/>
    <n v="6"/>
  </r>
  <r>
    <s v="Coastal"/>
    <n v="2440"/>
    <s v="Port of Gulfport, MS"/>
    <n v="7230"/>
    <x v="22"/>
    <x v="10"/>
    <n v="6"/>
    <x v="207"/>
    <x v="0"/>
    <n v="6"/>
  </r>
  <r>
    <s v="Coastal"/>
    <n v="2440"/>
    <s v="Port of Gulfport, MS"/>
    <n v="3190"/>
    <x v="38"/>
    <x v="10"/>
    <n v="4"/>
    <x v="0"/>
    <x v="237"/>
    <n v="4"/>
  </r>
  <r>
    <s v="Coastal"/>
    <n v="2440"/>
    <s v="Port of Gulfport, MS"/>
    <n v="3291"/>
    <x v="117"/>
    <x v="10"/>
    <n v="4"/>
    <x v="0"/>
    <x v="237"/>
    <n v="4"/>
  </r>
  <r>
    <s v="Coastal"/>
    <n v="2440"/>
    <s v="Port of Gulfport, MS"/>
    <n v="5312"/>
    <x v="52"/>
    <x v="10"/>
    <n v="4"/>
    <x v="504"/>
    <x v="0"/>
    <n v="4"/>
  </r>
  <r>
    <s v="Coastal"/>
    <n v="2402"/>
    <s v="Port of Harlingen Authority, TX"/>
    <n v="2330"/>
    <x v="1"/>
    <x v="2541"/>
    <n v="0"/>
    <x v="0"/>
    <x v="0"/>
    <n v="2071406"/>
  </r>
  <r>
    <s v="Coastal"/>
    <n v="2402"/>
    <s v="Port of Harlingen Authority, TX"/>
    <n v="2211"/>
    <x v="0"/>
    <x v="2542"/>
    <n v="0"/>
    <x v="0"/>
    <x v="0"/>
    <n v="157122"/>
  </r>
  <r>
    <s v="Coastal"/>
    <n v="2402"/>
    <s v="Port of Harlingen Authority, TX"/>
    <n v="6861"/>
    <x v="69"/>
    <x v="2543"/>
    <n v="0"/>
    <x v="0"/>
    <x v="0"/>
    <n v="112164"/>
  </r>
  <r>
    <s v="Coastal"/>
    <n v="2402"/>
    <s v="Port of Harlingen Authority, TX"/>
    <n v="3220"/>
    <x v="2"/>
    <x v="2544"/>
    <n v="0"/>
    <x v="0"/>
    <x v="0"/>
    <n v="56095"/>
  </r>
  <r>
    <s v="Coastal"/>
    <n v="2402"/>
    <s v="Port of Harlingen Authority, TX"/>
    <n v="3110"/>
    <x v="36"/>
    <x v="2545"/>
    <n v="0"/>
    <x v="0"/>
    <x v="0"/>
    <n v="51681"/>
  </r>
  <r>
    <s v="Coastal"/>
    <n v="2402"/>
    <s v="Port of Harlingen Authority, TX"/>
    <n v="2221"/>
    <x v="9"/>
    <x v="2546"/>
    <n v="0"/>
    <x v="0"/>
    <x v="0"/>
    <n v="4968"/>
  </r>
  <r>
    <s v="Coastal"/>
    <n v="2402"/>
    <s v="Port of Harlingen Authority, TX"/>
    <n v="2429"/>
    <x v="17"/>
    <x v="2547"/>
    <n v="0"/>
    <x v="0"/>
    <x v="0"/>
    <n v="344"/>
  </r>
  <r>
    <s v="Coastal"/>
    <n v="2030"/>
    <s v="Port of Iberia District, LA"/>
    <n v="4783"/>
    <x v="7"/>
    <x v="2548"/>
    <n v="0"/>
    <x v="0"/>
    <x v="0"/>
    <n v="1128954"/>
  </r>
  <r>
    <s v="Coastal"/>
    <n v="2030"/>
    <s v="Port of Iberia District, LA"/>
    <n v="4322"/>
    <x v="33"/>
    <x v="2549"/>
    <n v="0"/>
    <x v="0"/>
    <x v="0"/>
    <n v="246254"/>
  </r>
  <r>
    <s v="Coastal"/>
    <n v="2030"/>
    <s v="Port of Iberia District, LA"/>
    <n v="6861"/>
    <x v="69"/>
    <x v="2550"/>
    <n v="0"/>
    <x v="0"/>
    <x v="0"/>
    <n v="238945"/>
  </r>
  <r>
    <s v="Coastal"/>
    <n v="2030"/>
    <s v="Port of Iberia District, LA"/>
    <n v="4900"/>
    <x v="14"/>
    <x v="2551"/>
    <n v="0"/>
    <x v="0"/>
    <x v="0"/>
    <n v="114403"/>
  </r>
  <r>
    <s v="Coastal"/>
    <n v="2030"/>
    <s v="Port of Iberia District, LA"/>
    <n v="5370"/>
    <x v="81"/>
    <x v="2552"/>
    <n v="0"/>
    <x v="0"/>
    <x v="0"/>
    <n v="77662"/>
  </r>
  <r>
    <s v="Coastal"/>
    <n v="2030"/>
    <s v="Port of Iberia District, LA"/>
    <n v="3276"/>
    <x v="12"/>
    <x v="2553"/>
    <n v="0"/>
    <x v="0"/>
    <x v="0"/>
    <n v="74951"/>
  </r>
  <r>
    <s v="Coastal"/>
    <n v="2030"/>
    <s v="Port of Iberia District, LA"/>
    <n v="4331"/>
    <x v="29"/>
    <x v="2554"/>
    <n v="0"/>
    <x v="0"/>
    <x v="0"/>
    <n v="65006"/>
  </r>
  <r>
    <s v="Coastal"/>
    <n v="2030"/>
    <s v="Port of Iberia District, LA"/>
    <n v="4420"/>
    <x v="8"/>
    <x v="2555"/>
    <n v="0"/>
    <x v="0"/>
    <x v="0"/>
    <n v="10682"/>
  </r>
  <r>
    <s v="Coastal"/>
    <n v="2030"/>
    <s v="Port of Iberia District, LA"/>
    <n v="7110"/>
    <x v="4"/>
    <x v="2556"/>
    <n v="0"/>
    <x v="0"/>
    <x v="0"/>
    <n v="4039"/>
  </r>
  <r>
    <s v="Coastal"/>
    <n v="2030"/>
    <s v="Port of Iberia District, LA"/>
    <n v="7900"/>
    <x v="21"/>
    <x v="2557"/>
    <n v="0"/>
    <x v="0"/>
    <x v="0"/>
    <n v="2699"/>
  </r>
  <r>
    <s v="Coastal"/>
    <n v="2030"/>
    <s v="Port of Iberia District, LA"/>
    <n v="4335"/>
    <x v="5"/>
    <x v="2558"/>
    <n v="0"/>
    <x v="0"/>
    <x v="0"/>
    <n v="1666"/>
  </r>
  <r>
    <s v="Coastal"/>
    <n v="2030"/>
    <s v="Port of Iberia District, LA"/>
    <n v="3120"/>
    <x v="41"/>
    <x v="2559"/>
    <n v="0"/>
    <x v="0"/>
    <x v="0"/>
    <n v="1429"/>
  </r>
  <r>
    <s v="Coastal"/>
    <n v="2030"/>
    <s v="Port of Iberia District, LA"/>
    <n v="4338"/>
    <x v="142"/>
    <x v="2305"/>
    <n v="0"/>
    <x v="0"/>
    <x v="0"/>
    <n v="360"/>
  </r>
  <r>
    <s v="Coastal"/>
    <n v="4626"/>
    <s v="Port of Kalama, WA"/>
    <n v="6241"/>
    <x v="28"/>
    <x v="2560"/>
    <n v="5357419"/>
    <x v="0"/>
    <x v="1647"/>
    <n v="6728116"/>
  </r>
  <r>
    <s v="Coastal"/>
    <n v="4626"/>
    <s v="Port of Kalama, WA"/>
    <n v="6522"/>
    <x v="26"/>
    <x v="2561"/>
    <n v="6322909"/>
    <x v="0"/>
    <x v="1648"/>
    <n v="6345043"/>
  </r>
  <r>
    <s v="Coastal"/>
    <n v="4626"/>
    <s v="Port of Kalama, WA"/>
    <n v="6344"/>
    <x v="25"/>
    <x v="10"/>
    <n v="4654668"/>
    <x v="0"/>
    <x v="1649"/>
    <n v="4654668"/>
  </r>
  <r>
    <s v="Coastal"/>
    <n v="4626"/>
    <s v="Port of Kalama, WA"/>
    <n v="5330"/>
    <x v="16"/>
    <x v="10"/>
    <n v="310444"/>
    <x v="2197"/>
    <x v="0"/>
    <n v="310444"/>
  </r>
  <r>
    <s v="Coastal"/>
    <n v="4626"/>
    <s v="Port of Kalama, WA"/>
    <n v="6447"/>
    <x v="132"/>
    <x v="10"/>
    <n v="145505"/>
    <x v="0"/>
    <x v="1650"/>
    <n v="145505"/>
  </r>
  <r>
    <s v="Coastal"/>
    <n v="4626"/>
    <s v="Port of Kalama, WA"/>
    <n v="3212"/>
    <x v="39"/>
    <x v="10"/>
    <n v="93889"/>
    <x v="2198"/>
    <x v="0"/>
    <n v="93889"/>
  </r>
  <r>
    <s v="Coastal"/>
    <n v="4626"/>
    <s v="Port of Kalama, WA"/>
    <n v="4331"/>
    <x v="29"/>
    <x v="2562"/>
    <n v="0"/>
    <x v="0"/>
    <x v="0"/>
    <n v="59770"/>
  </r>
  <r>
    <s v="Coastal"/>
    <n v="4626"/>
    <s v="Port of Kalama, WA"/>
    <n v="9900"/>
    <x v="18"/>
    <x v="10"/>
    <n v="15118"/>
    <x v="2199"/>
    <x v="0"/>
    <n v="15118"/>
  </r>
  <r>
    <s v="Coastal"/>
    <n v="4626"/>
    <s v="Port of Kalama, WA"/>
    <n v="5480"/>
    <x v="20"/>
    <x v="10"/>
    <n v="12568"/>
    <x v="2200"/>
    <x v="0"/>
    <n v="12568"/>
  </r>
  <r>
    <s v="Coastal"/>
    <n v="4626"/>
    <s v="Port of Kalama, WA"/>
    <n v="3276"/>
    <x v="12"/>
    <x v="10"/>
    <n v="11161"/>
    <x v="0"/>
    <x v="1651"/>
    <n v="11161"/>
  </r>
  <r>
    <s v="Coastal"/>
    <n v="4626"/>
    <s v="Port of Kalama, WA"/>
    <n v="2340"/>
    <x v="3"/>
    <x v="2563"/>
    <n v="0"/>
    <x v="0"/>
    <x v="0"/>
    <n v="9596"/>
  </r>
  <r>
    <s v="Coastal"/>
    <n v="4110"/>
    <s v="Port of Long Beach, CA"/>
    <n v="2100"/>
    <x v="35"/>
    <x v="2564"/>
    <n v="18010957"/>
    <x v="2201"/>
    <x v="1652"/>
    <n v="26780341"/>
  </r>
  <r>
    <s v="Coastal"/>
    <n v="4110"/>
    <s v="Port of Long Beach, CA"/>
    <n v="7900"/>
    <x v="21"/>
    <x v="2565"/>
    <n v="8688869"/>
    <x v="2202"/>
    <x v="1653"/>
    <n v="10447124"/>
  </r>
  <r>
    <s v="Coastal"/>
    <n v="4110"/>
    <s v="Port of Long Beach, CA"/>
    <n v="2540"/>
    <x v="15"/>
    <x v="10"/>
    <n v="4910828"/>
    <x v="718"/>
    <x v="1654"/>
    <n v="4910828"/>
  </r>
  <r>
    <s v="Coastal"/>
    <n v="4110"/>
    <s v="Port of Long Beach, CA"/>
    <n v="7120"/>
    <x v="71"/>
    <x v="2566"/>
    <n v="3876915"/>
    <x v="2203"/>
    <x v="1655"/>
    <n v="3887723"/>
  </r>
  <r>
    <s v="Coastal"/>
    <n v="4110"/>
    <s v="Port of Long Beach, CA"/>
    <n v="2330"/>
    <x v="1"/>
    <x v="2567"/>
    <n v="2249405"/>
    <x v="2204"/>
    <x v="1656"/>
    <n v="3029339"/>
  </r>
  <r>
    <s v="Coastal"/>
    <n v="4110"/>
    <s v="Port of Long Beach, CA"/>
    <n v="7500"/>
    <x v="60"/>
    <x v="2568"/>
    <n v="3011970"/>
    <x v="2205"/>
    <x v="1657"/>
    <n v="3012012"/>
  </r>
  <r>
    <s v="Coastal"/>
    <n v="4110"/>
    <s v="Port of Long Beach, CA"/>
    <n v="7600"/>
    <x v="68"/>
    <x v="2569"/>
    <n v="2987986"/>
    <x v="2206"/>
    <x v="1658"/>
    <n v="2993241"/>
  </r>
  <r>
    <s v="Coastal"/>
    <n v="4110"/>
    <s v="Port of Long Beach, CA"/>
    <n v="5480"/>
    <x v="20"/>
    <x v="2570"/>
    <n v="2193479"/>
    <x v="2207"/>
    <x v="1659"/>
    <n v="2193636"/>
  </r>
  <r>
    <s v="Coastal"/>
    <n v="4110"/>
    <s v="Port of Long Beach, CA"/>
    <n v="7110"/>
    <x v="4"/>
    <x v="2571"/>
    <n v="2115446"/>
    <x v="2208"/>
    <x v="1660"/>
    <n v="2148437"/>
  </r>
  <r>
    <s v="Coastal"/>
    <n v="4110"/>
    <s v="Port of Long Beach, CA"/>
    <n v="7210"/>
    <x v="59"/>
    <x v="2572"/>
    <n v="2028379"/>
    <x v="2209"/>
    <x v="1661"/>
    <n v="2099737"/>
  </r>
  <r>
    <s v="Coastal"/>
    <n v="4110"/>
    <s v="Port of Long Beach, CA"/>
    <n v="4225"/>
    <x v="10"/>
    <x v="10"/>
    <n v="1901770"/>
    <x v="2210"/>
    <x v="1662"/>
    <n v="1901770"/>
  </r>
  <r>
    <s v="Coastal"/>
    <n v="4110"/>
    <s v="Port of Long Beach, CA"/>
    <n v="2340"/>
    <x v="3"/>
    <x v="2573"/>
    <n v="79331"/>
    <x v="2211"/>
    <x v="0"/>
    <n v="1846690"/>
  </r>
  <r>
    <s v="Coastal"/>
    <n v="4110"/>
    <s v="Port of Long Beach, CA"/>
    <n v="4410"/>
    <x v="34"/>
    <x v="10"/>
    <n v="1770870"/>
    <x v="2212"/>
    <x v="1663"/>
    <n v="1770870"/>
  </r>
  <r>
    <s v="Coastal"/>
    <n v="4110"/>
    <s v="Port of Long Beach, CA"/>
    <n v="5290"/>
    <x v="49"/>
    <x v="182"/>
    <n v="1551582"/>
    <x v="2213"/>
    <x v="1664"/>
    <n v="1551613"/>
  </r>
  <r>
    <s v="Coastal"/>
    <n v="4110"/>
    <s v="Port of Long Beach, CA"/>
    <n v="2211"/>
    <x v="0"/>
    <x v="2574"/>
    <n v="530827"/>
    <x v="2214"/>
    <x v="1665"/>
    <n v="1435776"/>
  </r>
  <r>
    <s v="Coastal"/>
    <n v="4110"/>
    <s v="Port of Long Beach, CA"/>
    <n v="6782"/>
    <x v="27"/>
    <x v="2575"/>
    <n v="1281087"/>
    <x v="2215"/>
    <x v="1666"/>
    <n v="1284479"/>
  </r>
  <r>
    <s v="Coastal"/>
    <n v="4110"/>
    <s v="Port of Long Beach, CA"/>
    <n v="4331"/>
    <x v="29"/>
    <x v="2576"/>
    <n v="976073"/>
    <x v="2216"/>
    <x v="1667"/>
    <n v="1166273"/>
  </r>
  <r>
    <s v="Coastal"/>
    <n v="4110"/>
    <s v="Port of Long Beach, CA"/>
    <n v="3286"/>
    <x v="57"/>
    <x v="1822"/>
    <n v="1154309"/>
    <x v="2217"/>
    <x v="1668"/>
    <n v="1154381"/>
  </r>
  <r>
    <s v="Coastal"/>
    <n v="4110"/>
    <s v="Port of Long Beach, CA"/>
    <n v="1100"/>
    <x v="32"/>
    <x v="10"/>
    <n v="1026372"/>
    <x v="2218"/>
    <x v="1669"/>
    <n v="1026372"/>
  </r>
  <r>
    <s v="Coastal"/>
    <n v="4110"/>
    <s v="Port of Long Beach, CA"/>
    <n v="6522"/>
    <x v="26"/>
    <x v="10"/>
    <n v="827408"/>
    <x v="1598"/>
    <x v="1670"/>
    <n v="827408"/>
  </r>
  <r>
    <s v="Coastal"/>
    <n v="4110"/>
    <s v="Port of Long Beach, CA"/>
    <n v="6889"/>
    <x v="42"/>
    <x v="2577"/>
    <n v="561473"/>
    <x v="2219"/>
    <x v="1671"/>
    <n v="722551"/>
  </r>
  <r>
    <s v="Coastal"/>
    <n v="4110"/>
    <s v="Port of Long Beach, CA"/>
    <n v="4680"/>
    <x v="70"/>
    <x v="10"/>
    <n v="668957"/>
    <x v="2220"/>
    <x v="1672"/>
    <n v="668957"/>
  </r>
  <r>
    <s v="Coastal"/>
    <n v="4110"/>
    <s v="Port of Long Beach, CA"/>
    <n v="6893"/>
    <x v="113"/>
    <x v="10"/>
    <n v="668837"/>
    <x v="2221"/>
    <x v="1673"/>
    <n v="668837"/>
  </r>
  <r>
    <s v="Coastal"/>
    <n v="4110"/>
    <s v="Port of Long Beach, CA"/>
    <n v="6781"/>
    <x v="128"/>
    <x v="844"/>
    <n v="663936"/>
    <x v="2222"/>
    <x v="1674"/>
    <n v="664002"/>
  </r>
  <r>
    <s v="Coastal"/>
    <n v="4110"/>
    <s v="Port of Long Beach, CA"/>
    <n v="3276"/>
    <x v="12"/>
    <x v="200"/>
    <n v="608453"/>
    <x v="2223"/>
    <x v="1675"/>
    <n v="608526"/>
  </r>
  <r>
    <s v="Coastal"/>
    <n v="4110"/>
    <s v="Port of Long Beach, CA"/>
    <n v="6811"/>
    <x v="76"/>
    <x v="2578"/>
    <n v="563728"/>
    <x v="2224"/>
    <x v="1676"/>
    <n v="575155"/>
  </r>
  <r>
    <s v="Coastal"/>
    <n v="4110"/>
    <s v="Port of Long Beach, CA"/>
    <n v="6857"/>
    <x v="104"/>
    <x v="184"/>
    <n v="574285"/>
    <x v="2225"/>
    <x v="1677"/>
    <n v="574304"/>
  </r>
  <r>
    <s v="Coastal"/>
    <n v="4110"/>
    <s v="Port of Long Beach, CA"/>
    <n v="6885"/>
    <x v="72"/>
    <x v="2351"/>
    <n v="456570"/>
    <x v="2226"/>
    <x v="1678"/>
    <n v="540509"/>
  </r>
  <r>
    <s v="Coastal"/>
    <n v="4110"/>
    <s v="Port of Long Beach, CA"/>
    <n v="6654"/>
    <x v="50"/>
    <x v="2579"/>
    <n v="471468"/>
    <x v="2227"/>
    <x v="1679"/>
    <n v="526633"/>
  </r>
  <r>
    <s v="Coastal"/>
    <n v="4110"/>
    <s v="Port of Long Beach, CA"/>
    <n v="4420"/>
    <x v="8"/>
    <x v="2580"/>
    <n v="506643"/>
    <x v="2228"/>
    <x v="1680"/>
    <n v="508727"/>
  </r>
  <r>
    <s v="Coastal"/>
    <n v="4110"/>
    <s v="Port of Long Beach, CA"/>
    <n v="5240"/>
    <x v="89"/>
    <x v="10"/>
    <n v="462578"/>
    <x v="2229"/>
    <x v="1681"/>
    <n v="462578"/>
  </r>
  <r>
    <s v="Coastal"/>
    <n v="4110"/>
    <s v="Port of Long Beach, CA"/>
    <n v="4741"/>
    <x v="56"/>
    <x v="10"/>
    <n v="434518"/>
    <x v="0"/>
    <x v="1682"/>
    <n v="434518"/>
  </r>
  <r>
    <s v="Coastal"/>
    <n v="4110"/>
    <s v="Port of Long Beach, CA"/>
    <n v="6858"/>
    <x v="74"/>
    <x v="2581"/>
    <n v="392433"/>
    <x v="2230"/>
    <x v="1683"/>
    <n v="395191"/>
  </r>
  <r>
    <s v="Coastal"/>
    <n v="4110"/>
    <s v="Port of Long Beach, CA"/>
    <n v="5422"/>
    <x v="66"/>
    <x v="10"/>
    <n v="362381"/>
    <x v="2231"/>
    <x v="1684"/>
    <n v="362381"/>
  </r>
  <r>
    <s v="Coastal"/>
    <n v="4110"/>
    <s v="Port of Long Beach, CA"/>
    <n v="3285"/>
    <x v="87"/>
    <x v="2582"/>
    <n v="353844"/>
    <x v="2232"/>
    <x v="1685"/>
    <n v="354057"/>
  </r>
  <r>
    <s v="Coastal"/>
    <n v="4110"/>
    <s v="Port of Long Beach, CA"/>
    <n v="5190"/>
    <x v="83"/>
    <x v="2583"/>
    <n v="344779"/>
    <x v="2233"/>
    <x v="1686"/>
    <n v="347915"/>
  </r>
  <r>
    <s v="Coastal"/>
    <n v="4110"/>
    <s v="Port of Long Beach, CA"/>
    <n v="5120"/>
    <x v="63"/>
    <x v="10"/>
    <n v="346861"/>
    <x v="2234"/>
    <x v="1687"/>
    <n v="346861"/>
  </r>
  <r>
    <s v="Coastal"/>
    <n v="4110"/>
    <s v="Port of Long Beach, CA"/>
    <n v="5220"/>
    <x v="30"/>
    <x v="10"/>
    <n v="343946"/>
    <x v="2235"/>
    <x v="1403"/>
    <n v="343946"/>
  </r>
  <r>
    <s v="Coastal"/>
    <n v="4110"/>
    <s v="Port of Long Beach, CA"/>
    <n v="9900"/>
    <x v="18"/>
    <x v="10"/>
    <n v="343695"/>
    <x v="2236"/>
    <x v="1688"/>
    <n v="343695"/>
  </r>
  <r>
    <s v="Coastal"/>
    <n v="4110"/>
    <s v="Port of Long Beach, CA"/>
    <n v="5540"/>
    <x v="64"/>
    <x v="848"/>
    <n v="331510"/>
    <x v="2237"/>
    <x v="1689"/>
    <n v="331523"/>
  </r>
  <r>
    <s v="Coastal"/>
    <n v="4110"/>
    <s v="Port of Long Beach, CA"/>
    <n v="6839"/>
    <x v="106"/>
    <x v="410"/>
    <n v="319011"/>
    <x v="2238"/>
    <x v="1690"/>
    <n v="319200"/>
  </r>
  <r>
    <s v="Coastal"/>
    <n v="4110"/>
    <s v="Port of Long Beach, CA"/>
    <n v="7400"/>
    <x v="77"/>
    <x v="2584"/>
    <n v="249188"/>
    <x v="2239"/>
    <x v="1691"/>
    <n v="309342"/>
  </r>
  <r>
    <s v="Coastal"/>
    <n v="4110"/>
    <s v="Port of Long Beach, CA"/>
    <n v="6344"/>
    <x v="25"/>
    <x v="10"/>
    <n v="308962"/>
    <x v="2240"/>
    <x v="1692"/>
    <n v="308962"/>
  </r>
  <r>
    <s v="Coastal"/>
    <n v="4110"/>
    <s v="Port of Long Beach, CA"/>
    <n v="5330"/>
    <x v="16"/>
    <x v="10"/>
    <n v="292202"/>
    <x v="2241"/>
    <x v="1693"/>
    <n v="292202"/>
  </r>
  <r>
    <s v="Coastal"/>
    <n v="4110"/>
    <s v="Port of Long Beach, CA"/>
    <n v="6888"/>
    <x v="109"/>
    <x v="10"/>
    <n v="282373"/>
    <x v="2242"/>
    <x v="1694"/>
    <n v="282373"/>
  </r>
  <r>
    <s v="Coastal"/>
    <n v="4110"/>
    <s v="Port of Long Beach, CA"/>
    <n v="4323"/>
    <x v="6"/>
    <x v="10"/>
    <n v="265800"/>
    <x v="2243"/>
    <x v="1695"/>
    <n v="265800"/>
  </r>
  <r>
    <s v="Coastal"/>
    <n v="4110"/>
    <s v="Port of Long Beach, CA"/>
    <n v="6822"/>
    <x v="84"/>
    <x v="10"/>
    <n v="250164"/>
    <x v="2244"/>
    <x v="1696"/>
    <n v="250164"/>
  </r>
  <r>
    <s v="Coastal"/>
    <n v="4110"/>
    <s v="Port of Long Beach, CA"/>
    <n v="6747"/>
    <x v="78"/>
    <x v="10"/>
    <n v="238042"/>
    <x v="2245"/>
    <x v="1697"/>
    <n v="238042"/>
  </r>
  <r>
    <s v="Coastal"/>
    <n v="4110"/>
    <s v="Port of Long Beach, CA"/>
    <n v="3299"/>
    <x v="79"/>
    <x v="2585"/>
    <n v="217534"/>
    <x v="2246"/>
    <x v="1698"/>
    <n v="225186"/>
  </r>
  <r>
    <s v="Coastal"/>
    <n v="4110"/>
    <s v="Port of Long Beach, CA"/>
    <n v="4189"/>
    <x v="65"/>
    <x v="2586"/>
    <n v="157145"/>
    <x v="2247"/>
    <x v="1699"/>
    <n v="211898"/>
  </r>
  <r>
    <s v="Coastal"/>
    <n v="4110"/>
    <s v="Port of Long Beach, CA"/>
    <n v="3292"/>
    <x v="51"/>
    <x v="10"/>
    <n v="193922"/>
    <x v="2248"/>
    <x v="1700"/>
    <n v="193922"/>
  </r>
  <r>
    <s v="Coastal"/>
    <n v="4110"/>
    <s v="Port of Long Beach, CA"/>
    <n v="5370"/>
    <x v="81"/>
    <x v="2587"/>
    <n v="188398"/>
    <x v="2249"/>
    <x v="1701"/>
    <n v="189611"/>
  </r>
  <r>
    <s v="Coastal"/>
    <n v="4110"/>
    <s v="Port of Long Beach, CA"/>
    <n v="2221"/>
    <x v="9"/>
    <x v="2588"/>
    <n v="166055"/>
    <x v="2250"/>
    <x v="1702"/>
    <n v="182323"/>
  </r>
  <r>
    <s v="Coastal"/>
    <n v="4110"/>
    <s v="Port of Long Beach, CA"/>
    <n v="6442"/>
    <x v="85"/>
    <x v="2589"/>
    <n v="164440"/>
    <x v="2251"/>
    <x v="1703"/>
    <n v="164586"/>
  </r>
  <r>
    <s v="Coastal"/>
    <n v="4110"/>
    <s v="Port of Long Beach, CA"/>
    <n v="3275"/>
    <x v="47"/>
    <x v="10"/>
    <n v="152706"/>
    <x v="2252"/>
    <x v="1704"/>
    <n v="152706"/>
  </r>
  <r>
    <s v="Coastal"/>
    <n v="4110"/>
    <s v="Port of Long Beach, CA"/>
    <n v="6653"/>
    <x v="24"/>
    <x v="10"/>
    <n v="143172"/>
    <x v="2253"/>
    <x v="1705"/>
    <n v="143172"/>
  </r>
  <r>
    <s v="Coastal"/>
    <n v="4110"/>
    <s v="Port of Long Beach, CA"/>
    <n v="4860"/>
    <x v="31"/>
    <x v="10"/>
    <n v="131590"/>
    <x v="2254"/>
    <x v="1706"/>
    <n v="131590"/>
  </r>
  <r>
    <s v="Coastal"/>
    <n v="4110"/>
    <s v="Port of Long Beach, CA"/>
    <n v="3220"/>
    <x v="2"/>
    <x v="2451"/>
    <n v="104500"/>
    <x v="2255"/>
    <x v="1707"/>
    <n v="128825"/>
  </r>
  <r>
    <s v="Coastal"/>
    <n v="4110"/>
    <s v="Port of Long Beach, CA"/>
    <n v="6136"/>
    <x v="95"/>
    <x v="10"/>
    <n v="114117"/>
    <x v="2256"/>
    <x v="1708"/>
    <n v="114117"/>
  </r>
  <r>
    <s v="Coastal"/>
    <n v="4110"/>
    <s v="Port of Long Beach, CA"/>
    <n v="6134"/>
    <x v="82"/>
    <x v="826"/>
    <n v="110954"/>
    <x v="2257"/>
    <x v="1709"/>
    <n v="110968"/>
  </r>
  <r>
    <s v="Coastal"/>
    <n v="4110"/>
    <s v="Port of Long Beach, CA"/>
    <n v="3230"/>
    <x v="80"/>
    <x v="10"/>
    <n v="107265"/>
    <x v="2258"/>
    <x v="1710"/>
    <n v="107265"/>
  </r>
  <r>
    <s v="Coastal"/>
    <n v="4110"/>
    <s v="Port of Long Beach, CA"/>
    <n v="4783"/>
    <x v="7"/>
    <x v="10"/>
    <n v="106253"/>
    <x v="2259"/>
    <x v="1711"/>
    <n v="106253"/>
  </r>
  <r>
    <s v="Coastal"/>
    <n v="4110"/>
    <s v="Port of Long Beach, CA"/>
    <n v="3293"/>
    <x v="122"/>
    <x v="10"/>
    <n v="105742"/>
    <x v="2260"/>
    <x v="1712"/>
    <n v="105742"/>
  </r>
  <r>
    <s v="Coastal"/>
    <n v="4110"/>
    <s v="Port of Long Beach, CA"/>
    <n v="3274"/>
    <x v="86"/>
    <x v="10"/>
    <n v="104607"/>
    <x v="2261"/>
    <x v="189"/>
    <n v="104607"/>
  </r>
  <r>
    <s v="Coastal"/>
    <n v="4110"/>
    <s v="Port of Long Beach, CA"/>
    <n v="4170"/>
    <x v="55"/>
    <x v="10"/>
    <n v="94720"/>
    <x v="2262"/>
    <x v="1713"/>
    <n v="94720"/>
  </r>
  <r>
    <s v="Coastal"/>
    <n v="4110"/>
    <s v="Port of Long Beach, CA"/>
    <n v="3291"/>
    <x v="117"/>
    <x v="1192"/>
    <n v="94283"/>
    <x v="2263"/>
    <x v="1714"/>
    <n v="94317"/>
  </r>
  <r>
    <s v="Coastal"/>
    <n v="4110"/>
    <s v="Port of Long Beach, CA"/>
    <n v="6835"/>
    <x v="92"/>
    <x v="10"/>
    <n v="90452"/>
    <x v="2264"/>
    <x v="1715"/>
    <n v="90452"/>
  </r>
  <r>
    <s v="Coastal"/>
    <n v="4110"/>
    <s v="Port of Long Beach, CA"/>
    <n v="2429"/>
    <x v="17"/>
    <x v="2590"/>
    <n v="62456"/>
    <x v="2265"/>
    <x v="1716"/>
    <n v="81386"/>
  </r>
  <r>
    <s v="Coastal"/>
    <n v="4110"/>
    <s v="Port of Long Beach, CA"/>
    <n v="5421"/>
    <x v="88"/>
    <x v="10"/>
    <n v="72910"/>
    <x v="2266"/>
    <x v="1291"/>
    <n v="72910"/>
  </r>
  <r>
    <s v="Coastal"/>
    <n v="4110"/>
    <s v="Port of Long Beach, CA"/>
    <n v="3240"/>
    <x v="53"/>
    <x v="10"/>
    <n v="69410"/>
    <x v="2267"/>
    <x v="1717"/>
    <n v="69410"/>
  </r>
  <r>
    <s v="Coastal"/>
    <n v="4110"/>
    <s v="Port of Long Beach, CA"/>
    <n v="3284"/>
    <x v="97"/>
    <x v="10"/>
    <n v="69121"/>
    <x v="2268"/>
    <x v="1718"/>
    <n v="69121"/>
  </r>
  <r>
    <s v="Coastal"/>
    <n v="4110"/>
    <s v="Port of Long Beach, CA"/>
    <n v="3250"/>
    <x v="108"/>
    <x v="10"/>
    <n v="67484"/>
    <x v="2269"/>
    <x v="1719"/>
    <n v="67484"/>
  </r>
  <r>
    <s v="Coastal"/>
    <n v="4110"/>
    <s v="Port of Long Beach, CA"/>
    <n v="6899"/>
    <x v="114"/>
    <x v="2591"/>
    <n v="33467"/>
    <x v="2270"/>
    <x v="1720"/>
    <n v="49683"/>
  </r>
  <r>
    <s v="Coastal"/>
    <n v="4110"/>
    <s v="Port of Long Beach, CA"/>
    <n v="5360"/>
    <x v="94"/>
    <x v="2592"/>
    <n v="36920"/>
    <x v="2271"/>
    <x v="1721"/>
    <n v="47287"/>
  </r>
  <r>
    <s v="Coastal"/>
    <n v="4110"/>
    <s v="Port of Long Beach, CA"/>
    <n v="2410"/>
    <x v="98"/>
    <x v="10"/>
    <n v="46359"/>
    <x v="2272"/>
    <x v="1722"/>
    <n v="46359"/>
  </r>
  <r>
    <s v="Coastal"/>
    <n v="4110"/>
    <s v="Port of Long Beach, CA"/>
    <n v="3282"/>
    <x v="91"/>
    <x v="2593"/>
    <n v="44108"/>
    <x v="2273"/>
    <x v="1723"/>
    <n v="44436"/>
  </r>
  <r>
    <s v="Coastal"/>
    <n v="4110"/>
    <s v="Port of Long Beach, CA"/>
    <n v="5312"/>
    <x v="52"/>
    <x v="10"/>
    <n v="39812"/>
    <x v="2274"/>
    <x v="1724"/>
    <n v="39812"/>
  </r>
  <r>
    <s v="Coastal"/>
    <n v="4110"/>
    <s v="Port of Long Beach, CA"/>
    <n v="6871"/>
    <x v="73"/>
    <x v="2171"/>
    <n v="38542"/>
    <x v="2275"/>
    <x v="1725"/>
    <n v="38980"/>
  </r>
  <r>
    <s v="Coastal"/>
    <n v="4110"/>
    <s v="Port of Long Beach, CA"/>
    <n v="4190"/>
    <x v="99"/>
    <x v="10"/>
    <n v="38025"/>
    <x v="2276"/>
    <x v="1726"/>
    <n v="38025"/>
  </r>
  <r>
    <s v="Coastal"/>
    <n v="4110"/>
    <s v="Port of Long Beach, CA"/>
    <n v="3219"/>
    <x v="19"/>
    <x v="10"/>
    <n v="37501"/>
    <x v="2277"/>
    <x v="1727"/>
    <n v="37501"/>
  </r>
  <r>
    <s v="Coastal"/>
    <n v="4110"/>
    <s v="Port of Long Beach, CA"/>
    <n v="1200"/>
    <x v="43"/>
    <x v="10"/>
    <n v="36377"/>
    <x v="19"/>
    <x v="1728"/>
    <n v="36377"/>
  </r>
  <r>
    <s v="Coastal"/>
    <n v="4110"/>
    <s v="Port of Long Beach, CA"/>
    <n v="5390"/>
    <x v="44"/>
    <x v="10"/>
    <n v="35621"/>
    <x v="2278"/>
    <x v="378"/>
    <n v="35621"/>
  </r>
  <r>
    <s v="Coastal"/>
    <n v="4110"/>
    <s v="Port of Long Beach, CA"/>
    <n v="3260"/>
    <x v="107"/>
    <x v="10"/>
    <n v="34156"/>
    <x v="2279"/>
    <x v="1729"/>
    <n v="34156"/>
  </r>
  <r>
    <s v="Coastal"/>
    <n v="4110"/>
    <s v="Port of Long Beach, CA"/>
    <n v="4900"/>
    <x v="14"/>
    <x v="10"/>
    <n v="32946"/>
    <x v="2280"/>
    <x v="1730"/>
    <n v="32946"/>
  </r>
  <r>
    <s v="Coastal"/>
    <n v="4110"/>
    <s v="Port of Long Beach, CA"/>
    <n v="6891"/>
    <x v="93"/>
    <x v="641"/>
    <n v="30221"/>
    <x v="2281"/>
    <x v="1731"/>
    <n v="30582"/>
  </r>
  <r>
    <s v="Coastal"/>
    <n v="4110"/>
    <s v="Port of Long Beach, CA"/>
    <n v="6590"/>
    <x v="23"/>
    <x v="10"/>
    <n v="29218"/>
    <x v="2282"/>
    <x v="1732"/>
    <n v="29218"/>
  </r>
  <r>
    <s v="Coastal"/>
    <n v="4110"/>
    <s v="Port of Long Beach, CA"/>
    <n v="4310"/>
    <x v="96"/>
    <x v="10"/>
    <n v="28360"/>
    <x v="2283"/>
    <x v="1190"/>
    <n v="28360"/>
  </r>
  <r>
    <s v="Coastal"/>
    <n v="4110"/>
    <s v="Port of Long Beach, CA"/>
    <n v="3190"/>
    <x v="38"/>
    <x v="2594"/>
    <n v="24577"/>
    <x v="2284"/>
    <x v="1733"/>
    <n v="26537"/>
  </r>
  <r>
    <s v="Coastal"/>
    <n v="4110"/>
    <s v="Port of Long Beach, CA"/>
    <n v="6861"/>
    <x v="69"/>
    <x v="10"/>
    <n v="23518"/>
    <x v="2285"/>
    <x v="1734"/>
    <n v="23518"/>
  </r>
  <r>
    <s v="Coastal"/>
    <n v="4110"/>
    <s v="Port of Long Beach, CA"/>
    <n v="3297"/>
    <x v="116"/>
    <x v="10"/>
    <n v="23185"/>
    <x v="2286"/>
    <x v="1735"/>
    <n v="23185"/>
  </r>
  <r>
    <s v="Coastal"/>
    <n v="4110"/>
    <s v="Port of Long Beach, CA"/>
    <n v="6817"/>
    <x v="119"/>
    <x v="10"/>
    <n v="23026"/>
    <x v="2287"/>
    <x v="1736"/>
    <n v="23026"/>
  </r>
  <r>
    <s v="Coastal"/>
    <n v="4110"/>
    <s v="Port of Long Beach, CA"/>
    <n v="3281"/>
    <x v="125"/>
    <x v="10"/>
    <n v="22681"/>
    <x v="2288"/>
    <x v="1737"/>
    <n v="22681"/>
  </r>
  <r>
    <s v="Coastal"/>
    <n v="4110"/>
    <s v="Port of Long Beach, CA"/>
    <n v="6838"/>
    <x v="131"/>
    <x v="10"/>
    <n v="22470"/>
    <x v="2289"/>
    <x v="1738"/>
    <n v="22470"/>
  </r>
  <r>
    <s v="Coastal"/>
    <n v="4110"/>
    <s v="Port of Long Beach, CA"/>
    <n v="4782"/>
    <x v="45"/>
    <x v="10"/>
    <n v="21844"/>
    <x v="2290"/>
    <x v="1739"/>
    <n v="21844"/>
  </r>
  <r>
    <s v="Coastal"/>
    <n v="4110"/>
    <s v="Port of Long Beach, CA"/>
    <n v="6447"/>
    <x v="132"/>
    <x v="10"/>
    <n v="20633"/>
    <x v="0"/>
    <x v="1740"/>
    <n v="20633"/>
  </r>
  <r>
    <s v="Coastal"/>
    <n v="4110"/>
    <s v="Port of Long Beach, CA"/>
    <n v="5429"/>
    <x v="61"/>
    <x v="10"/>
    <n v="16116"/>
    <x v="1844"/>
    <x v="1741"/>
    <n v="16116"/>
  </r>
  <r>
    <s v="Coastal"/>
    <n v="4110"/>
    <s v="Port of Long Beach, CA"/>
    <n v="2350"/>
    <x v="40"/>
    <x v="2595"/>
    <n v="10218"/>
    <x v="2291"/>
    <x v="1742"/>
    <n v="15553"/>
  </r>
  <r>
    <s v="Coastal"/>
    <n v="4110"/>
    <s v="Port of Long Beach, CA"/>
    <n v="6856"/>
    <x v="126"/>
    <x v="818"/>
    <n v="14486"/>
    <x v="2292"/>
    <x v="266"/>
    <n v="15400"/>
  </r>
  <r>
    <s v="Coastal"/>
    <n v="4110"/>
    <s v="Port of Long Beach, CA"/>
    <n v="3279"/>
    <x v="58"/>
    <x v="10"/>
    <n v="14592"/>
    <x v="2293"/>
    <x v="1743"/>
    <n v="14592"/>
  </r>
  <r>
    <s v="Coastal"/>
    <n v="4110"/>
    <s v="Port of Long Beach, CA"/>
    <n v="2990"/>
    <x v="102"/>
    <x v="2596"/>
    <n v="329"/>
    <x v="819"/>
    <x v="1744"/>
    <n v="12883"/>
  </r>
  <r>
    <s v="Coastal"/>
    <n v="4110"/>
    <s v="Port of Long Beach, CA"/>
    <n v="7300"/>
    <x v="115"/>
    <x v="10"/>
    <n v="12651"/>
    <x v="2294"/>
    <x v="993"/>
    <n v="12651"/>
  </r>
  <r>
    <s v="Coastal"/>
    <n v="4110"/>
    <s v="Port of Long Beach, CA"/>
    <n v="6894"/>
    <x v="120"/>
    <x v="10"/>
    <n v="12490"/>
    <x v="2295"/>
    <x v="449"/>
    <n v="12490"/>
  </r>
  <r>
    <s v="Coastal"/>
    <n v="4110"/>
    <s v="Port of Long Beach, CA"/>
    <n v="6746"/>
    <x v="118"/>
    <x v="10"/>
    <n v="11828"/>
    <x v="2296"/>
    <x v="1197"/>
    <n v="11828"/>
  </r>
  <r>
    <s v="Coastal"/>
    <n v="4110"/>
    <s v="Port of Long Beach, CA"/>
    <n v="3283"/>
    <x v="111"/>
    <x v="10"/>
    <n v="10017"/>
    <x v="2297"/>
    <x v="1745"/>
    <n v="10017"/>
  </r>
  <r>
    <s v="Coastal"/>
    <n v="4110"/>
    <s v="Port of Long Beach, CA"/>
    <n v="4650"/>
    <x v="67"/>
    <x v="10"/>
    <n v="9713"/>
    <x v="2298"/>
    <x v="1746"/>
    <n v="9713"/>
  </r>
  <r>
    <s v="Coastal"/>
    <n v="4110"/>
    <s v="Port of Long Beach, CA"/>
    <n v="7220"/>
    <x v="103"/>
    <x v="10"/>
    <n v="8768"/>
    <x v="2299"/>
    <x v="1747"/>
    <n v="8768"/>
  </r>
  <r>
    <s v="Coastal"/>
    <n v="4110"/>
    <s v="Port of Long Beach, CA"/>
    <n v="4110"/>
    <x v="105"/>
    <x v="10"/>
    <n v="7009"/>
    <x v="2300"/>
    <x v="0"/>
    <n v="7009"/>
  </r>
  <r>
    <s v="Coastal"/>
    <n v="4110"/>
    <s v="Port of Long Beach, CA"/>
    <n v="7230"/>
    <x v="22"/>
    <x v="2597"/>
    <n v="6789"/>
    <x v="2301"/>
    <x v="1748"/>
    <n v="7008"/>
  </r>
  <r>
    <s v="Coastal"/>
    <n v="4110"/>
    <s v="Port of Long Beach, CA"/>
    <n v="4150"/>
    <x v="101"/>
    <x v="10"/>
    <n v="6972"/>
    <x v="2302"/>
    <x v="84"/>
    <n v="6972"/>
  </r>
  <r>
    <s v="Coastal"/>
    <n v="4110"/>
    <s v="Port of Long Beach, CA"/>
    <n v="2640"/>
    <x v="110"/>
    <x v="10"/>
    <n v="6665"/>
    <x v="2303"/>
    <x v="1749"/>
    <n v="6665"/>
  </r>
  <r>
    <s v="Coastal"/>
    <n v="4110"/>
    <s v="Port of Long Beach, CA"/>
    <n v="5315"/>
    <x v="48"/>
    <x v="10"/>
    <n v="6594"/>
    <x v="2304"/>
    <x v="1035"/>
    <n v="6594"/>
  </r>
  <r>
    <s v="Coastal"/>
    <n v="4110"/>
    <s v="Port of Long Beach, CA"/>
    <n v="6534"/>
    <x v="141"/>
    <x v="10"/>
    <n v="5436"/>
    <x v="838"/>
    <x v="1750"/>
    <n v="5436"/>
  </r>
  <r>
    <s v="Coastal"/>
    <n v="4110"/>
    <s v="Port of Long Beach, CA"/>
    <n v="4322"/>
    <x v="33"/>
    <x v="10"/>
    <n v="5084"/>
    <x v="2305"/>
    <x v="751"/>
    <n v="5084"/>
  </r>
  <r>
    <s v="Coastal"/>
    <n v="4110"/>
    <s v="Port of Long Beach, CA"/>
    <n v="6872"/>
    <x v="100"/>
    <x v="10"/>
    <n v="4092"/>
    <x v="2306"/>
    <x v="1005"/>
    <n v="4092"/>
  </r>
  <r>
    <s v="Coastal"/>
    <n v="4110"/>
    <s v="Port of Long Beach, CA"/>
    <n v="5320"/>
    <x v="13"/>
    <x v="10"/>
    <n v="4068"/>
    <x v="2307"/>
    <x v="1751"/>
    <n v="4068"/>
  </r>
  <r>
    <s v="Coastal"/>
    <n v="4110"/>
    <s v="Port of Long Beach, CA"/>
    <n v="4690"/>
    <x v="62"/>
    <x v="10"/>
    <n v="4027"/>
    <x v="381"/>
    <x v="1752"/>
    <n v="4027"/>
  </r>
  <r>
    <s v="Coastal"/>
    <n v="4110"/>
    <s v="Port of Long Beach, CA"/>
    <n v="5110"/>
    <x v="112"/>
    <x v="10"/>
    <n v="3993"/>
    <x v="2308"/>
    <x v="215"/>
    <n v="3993"/>
  </r>
  <r>
    <s v="Coastal"/>
    <n v="4110"/>
    <s v="Port of Long Beach, CA"/>
    <n v="4161"/>
    <x v="54"/>
    <x v="10"/>
    <n v="3282"/>
    <x v="2309"/>
    <x v="1753"/>
    <n v="3282"/>
  </r>
  <r>
    <s v="Coastal"/>
    <n v="4110"/>
    <s v="Port of Long Beach, CA"/>
    <n v="6521"/>
    <x v="121"/>
    <x v="10"/>
    <n v="2762"/>
    <x v="2310"/>
    <x v="1754"/>
    <n v="2762"/>
  </r>
  <r>
    <s v="Coastal"/>
    <n v="4110"/>
    <s v="Port of Long Beach, CA"/>
    <n v="3130"/>
    <x v="37"/>
    <x v="10"/>
    <n v="1930"/>
    <x v="1596"/>
    <x v="1755"/>
    <n v="1930"/>
  </r>
  <r>
    <s v="Coastal"/>
    <n v="4110"/>
    <s v="Port of Long Beach, CA"/>
    <n v="3110"/>
    <x v="36"/>
    <x v="10"/>
    <n v="1548"/>
    <x v="2311"/>
    <x v="1756"/>
    <n v="1548"/>
  </r>
  <r>
    <s v="Coastal"/>
    <n v="4110"/>
    <s v="Port of Long Beach, CA"/>
    <n v="4515"/>
    <x v="129"/>
    <x v="10"/>
    <n v="1235"/>
    <x v="2312"/>
    <x v="205"/>
    <n v="1235"/>
  </r>
  <r>
    <s v="Coastal"/>
    <n v="4110"/>
    <s v="Port of Long Beach, CA"/>
    <n v="3298"/>
    <x v="123"/>
    <x v="10"/>
    <n v="1234"/>
    <x v="2313"/>
    <x v="1757"/>
    <n v="1234"/>
  </r>
  <r>
    <s v="Coastal"/>
    <n v="4110"/>
    <s v="Port of Long Beach, CA"/>
    <n v="6445"/>
    <x v="136"/>
    <x v="10"/>
    <n v="1225"/>
    <x v="2314"/>
    <x v="1635"/>
    <n v="1225"/>
  </r>
  <r>
    <s v="Coastal"/>
    <n v="4110"/>
    <s v="Port of Long Beach, CA"/>
    <n v="2430"/>
    <x v="11"/>
    <x v="10"/>
    <n v="1070"/>
    <x v="607"/>
    <x v="1758"/>
    <n v="1070"/>
  </r>
  <r>
    <s v="Coastal"/>
    <n v="4110"/>
    <s v="Port of Long Beach, CA"/>
    <n v="3273"/>
    <x v="46"/>
    <x v="10"/>
    <n v="951"/>
    <x v="2315"/>
    <x v="1759"/>
    <n v="951"/>
  </r>
  <r>
    <s v="Coastal"/>
    <n v="4110"/>
    <s v="Port of Long Beach, CA"/>
    <n v="3211"/>
    <x v="124"/>
    <x v="10"/>
    <n v="940"/>
    <x v="2316"/>
    <x v="559"/>
    <n v="940"/>
  </r>
  <r>
    <s v="Coastal"/>
    <n v="4110"/>
    <s v="Port of Long Beach, CA"/>
    <n v="4630"/>
    <x v="127"/>
    <x v="10"/>
    <n v="867"/>
    <x v="2317"/>
    <x v="223"/>
    <n v="867"/>
  </r>
  <r>
    <s v="Coastal"/>
    <n v="4110"/>
    <s v="Port of Long Beach, CA"/>
    <n v="6241"/>
    <x v="28"/>
    <x v="10"/>
    <n v="862"/>
    <x v="2318"/>
    <x v="1760"/>
    <n v="862"/>
  </r>
  <r>
    <s v="Coastal"/>
    <n v="4110"/>
    <s v="Port of Long Beach, CA"/>
    <n v="6443"/>
    <x v="135"/>
    <x v="10"/>
    <n v="547"/>
    <x v="208"/>
    <x v="1348"/>
    <n v="547"/>
  </r>
  <r>
    <s v="Coastal"/>
    <n v="4110"/>
    <s v="Port of Long Beach, CA"/>
    <n v="3120"/>
    <x v="41"/>
    <x v="10"/>
    <n v="382"/>
    <x v="447"/>
    <x v="883"/>
    <n v="382"/>
  </r>
  <r>
    <s v="Coastal"/>
    <n v="4110"/>
    <s v="Port of Long Beach, CA"/>
    <n v="3272"/>
    <x v="137"/>
    <x v="10"/>
    <n v="338"/>
    <x v="2319"/>
    <x v="448"/>
    <n v="338"/>
  </r>
  <r>
    <s v="Coastal"/>
    <n v="4110"/>
    <s v="Port of Long Beach, CA"/>
    <n v="6865"/>
    <x v="75"/>
    <x v="10"/>
    <n v="327"/>
    <x v="1080"/>
    <x v="132"/>
    <n v="327"/>
  </r>
  <r>
    <s v="Coastal"/>
    <n v="4110"/>
    <s v="Port of Long Beach, CA"/>
    <n v="3212"/>
    <x v="39"/>
    <x v="10"/>
    <n v="195"/>
    <x v="503"/>
    <x v="1006"/>
    <n v="195"/>
  </r>
  <r>
    <s v="Coastal"/>
    <n v="4110"/>
    <s v="Port of Long Beach, CA"/>
    <n v="3271"/>
    <x v="133"/>
    <x v="10"/>
    <n v="179"/>
    <x v="855"/>
    <x v="0"/>
    <n v="179"/>
  </r>
  <r>
    <s v="Coastal"/>
    <n v="4110"/>
    <s v="Port of Long Beach, CA"/>
    <n v="5210"/>
    <x v="130"/>
    <x v="10"/>
    <n v="132"/>
    <x v="716"/>
    <x v="258"/>
    <n v="132"/>
  </r>
  <r>
    <s v="Coastal"/>
    <n v="4110"/>
    <s v="Port of Long Beach, CA"/>
    <n v="6887"/>
    <x v="138"/>
    <x v="416"/>
    <n v="0"/>
    <x v="0"/>
    <x v="0"/>
    <n v="28"/>
  </r>
  <r>
    <s v="Coastal"/>
    <n v="4110"/>
    <s v="Port of Long Beach, CA"/>
    <n v="8900"/>
    <x v="139"/>
    <x v="1350"/>
    <n v="0"/>
    <x v="0"/>
    <x v="0"/>
    <n v="18"/>
  </r>
  <r>
    <s v="Coastal"/>
    <n v="4110"/>
    <s v="Port of Long Beach, CA"/>
    <n v="4670"/>
    <x v="90"/>
    <x v="10"/>
    <n v="6"/>
    <x v="207"/>
    <x v="0"/>
    <n v="6"/>
  </r>
  <r>
    <s v="Coastal"/>
    <n v="4622"/>
    <s v="Port of Longview, WA"/>
    <n v="6344"/>
    <x v="25"/>
    <x v="10"/>
    <n v="2867370"/>
    <x v="0"/>
    <x v="1761"/>
    <n v="2867370"/>
  </r>
  <r>
    <s v="Coastal"/>
    <n v="4622"/>
    <s v="Port of Longview, WA"/>
    <n v="6522"/>
    <x v="26"/>
    <x v="10"/>
    <n v="2856101"/>
    <x v="0"/>
    <x v="1762"/>
    <n v="2856101"/>
  </r>
  <r>
    <s v="Coastal"/>
    <n v="4622"/>
    <s v="Port of Longview, WA"/>
    <n v="6241"/>
    <x v="28"/>
    <x v="2598"/>
    <n v="1430794"/>
    <x v="0"/>
    <x v="1763"/>
    <n v="1825637"/>
  </r>
  <r>
    <s v="Coastal"/>
    <n v="4622"/>
    <s v="Port of Longview, WA"/>
    <n v="4170"/>
    <x v="55"/>
    <x v="2599"/>
    <n v="1556862"/>
    <x v="2320"/>
    <x v="1764"/>
    <n v="1648297"/>
  </r>
  <r>
    <s v="Coastal"/>
    <n v="4622"/>
    <s v="Port of Longview, WA"/>
    <n v="2540"/>
    <x v="15"/>
    <x v="10"/>
    <n v="879314"/>
    <x v="2321"/>
    <x v="1765"/>
    <n v="879314"/>
  </r>
  <r>
    <s v="Coastal"/>
    <n v="4622"/>
    <s v="Port of Longview, WA"/>
    <n v="3276"/>
    <x v="12"/>
    <x v="10"/>
    <n v="761562"/>
    <x v="2322"/>
    <x v="1766"/>
    <n v="761562"/>
  </r>
  <r>
    <s v="Coastal"/>
    <n v="4622"/>
    <s v="Port of Longview, WA"/>
    <n v="6782"/>
    <x v="27"/>
    <x v="10"/>
    <n v="495263"/>
    <x v="0"/>
    <x v="1767"/>
    <n v="495263"/>
  </r>
  <r>
    <s v="Coastal"/>
    <n v="4622"/>
    <s v="Port of Longview, WA"/>
    <n v="4161"/>
    <x v="54"/>
    <x v="2600"/>
    <n v="0"/>
    <x v="0"/>
    <x v="0"/>
    <n v="373095"/>
  </r>
  <r>
    <s v="Coastal"/>
    <n v="4622"/>
    <s v="Port of Longview, WA"/>
    <n v="4420"/>
    <x v="8"/>
    <x v="10"/>
    <n v="228179"/>
    <x v="0"/>
    <x v="1768"/>
    <n v="228179"/>
  </r>
  <r>
    <s v="Coastal"/>
    <n v="4622"/>
    <s v="Port of Longview, WA"/>
    <n v="3130"/>
    <x v="37"/>
    <x v="10"/>
    <n v="99841"/>
    <x v="0"/>
    <x v="1769"/>
    <n v="99841"/>
  </r>
  <r>
    <s v="Coastal"/>
    <n v="4622"/>
    <s v="Port of Longview, WA"/>
    <n v="4410"/>
    <x v="34"/>
    <x v="10"/>
    <n v="73461"/>
    <x v="2323"/>
    <x v="0"/>
    <n v="73461"/>
  </r>
  <r>
    <s v="Coastal"/>
    <n v="4622"/>
    <s v="Port of Longview, WA"/>
    <n v="4783"/>
    <x v="7"/>
    <x v="10"/>
    <n v="52000"/>
    <x v="2324"/>
    <x v="0"/>
    <n v="52000"/>
  </r>
  <r>
    <s v="Coastal"/>
    <n v="4622"/>
    <s v="Port of Longview, WA"/>
    <n v="4189"/>
    <x v="65"/>
    <x v="10"/>
    <n v="45341"/>
    <x v="0"/>
    <x v="1770"/>
    <n v="45341"/>
  </r>
  <r>
    <s v="Coastal"/>
    <n v="4622"/>
    <s v="Port of Longview, WA"/>
    <n v="5330"/>
    <x v="16"/>
    <x v="10"/>
    <n v="42469"/>
    <x v="2325"/>
    <x v="0"/>
    <n v="42469"/>
  </r>
  <r>
    <s v="Coastal"/>
    <n v="4622"/>
    <s v="Port of Longview, WA"/>
    <n v="5480"/>
    <x v="20"/>
    <x v="10"/>
    <n v="30348"/>
    <x v="2326"/>
    <x v="1771"/>
    <n v="30348"/>
  </r>
  <r>
    <s v="Coastal"/>
    <n v="4622"/>
    <s v="Port of Longview, WA"/>
    <n v="2340"/>
    <x v="3"/>
    <x v="2601"/>
    <n v="0"/>
    <x v="0"/>
    <x v="0"/>
    <n v="29335"/>
  </r>
  <r>
    <s v="Coastal"/>
    <n v="4622"/>
    <s v="Port of Longview, WA"/>
    <n v="7110"/>
    <x v="4"/>
    <x v="10"/>
    <n v="21079"/>
    <x v="2327"/>
    <x v="1772"/>
    <n v="21079"/>
  </r>
  <r>
    <s v="Coastal"/>
    <n v="4622"/>
    <s v="Port of Longview, WA"/>
    <n v="5370"/>
    <x v="81"/>
    <x v="10"/>
    <n v="18242"/>
    <x v="2328"/>
    <x v="0"/>
    <n v="18242"/>
  </r>
  <r>
    <s v="Coastal"/>
    <n v="4622"/>
    <s v="Port of Longview, WA"/>
    <n v="5422"/>
    <x v="66"/>
    <x v="10"/>
    <n v="13185"/>
    <x v="2329"/>
    <x v="0"/>
    <n v="13185"/>
  </r>
  <r>
    <s v="Coastal"/>
    <n v="4622"/>
    <s v="Port of Longview, WA"/>
    <n v="7900"/>
    <x v="21"/>
    <x v="10"/>
    <n v="11017"/>
    <x v="2330"/>
    <x v="276"/>
    <n v="11017"/>
  </r>
  <r>
    <s v="Coastal"/>
    <n v="4622"/>
    <s v="Port of Longview, WA"/>
    <n v="4150"/>
    <x v="101"/>
    <x v="827"/>
    <n v="5172"/>
    <x v="0"/>
    <x v="1773"/>
    <n v="6021"/>
  </r>
  <r>
    <s v="Coastal"/>
    <n v="4622"/>
    <s v="Port of Longview, WA"/>
    <n v="5540"/>
    <x v="64"/>
    <x v="10"/>
    <n v="3739"/>
    <x v="960"/>
    <x v="0"/>
    <n v="3739"/>
  </r>
  <r>
    <s v="Coastal"/>
    <n v="4622"/>
    <s v="Port of Longview, WA"/>
    <n v="9900"/>
    <x v="18"/>
    <x v="10"/>
    <n v="3512"/>
    <x v="2331"/>
    <x v="0"/>
    <n v="3512"/>
  </r>
  <r>
    <s v="Coastal"/>
    <n v="4622"/>
    <s v="Port of Longview, WA"/>
    <n v="7120"/>
    <x v="71"/>
    <x v="10"/>
    <n v="3405"/>
    <x v="2332"/>
    <x v="0"/>
    <n v="3405"/>
  </r>
  <r>
    <s v="Coastal"/>
    <n v="4622"/>
    <s v="Port of Longview, WA"/>
    <n v="3286"/>
    <x v="57"/>
    <x v="10"/>
    <n v="2628"/>
    <x v="2333"/>
    <x v="0"/>
    <n v="2628"/>
  </r>
  <r>
    <s v="Coastal"/>
    <n v="4622"/>
    <s v="Port of Longview, WA"/>
    <n v="5312"/>
    <x v="52"/>
    <x v="10"/>
    <n v="290"/>
    <x v="1080"/>
    <x v="0"/>
    <n v="290"/>
  </r>
  <r>
    <s v="Coastal"/>
    <n v="4622"/>
    <s v="Port of Longview, WA"/>
    <n v="7500"/>
    <x v="60"/>
    <x v="10"/>
    <n v="270"/>
    <x v="130"/>
    <x v="0"/>
    <n v="270"/>
  </r>
  <r>
    <s v="Coastal"/>
    <n v="4622"/>
    <s v="Port of Longview, WA"/>
    <n v="2330"/>
    <x v="1"/>
    <x v="10"/>
    <n v="115"/>
    <x v="299"/>
    <x v="0"/>
    <n v="115"/>
  </r>
  <r>
    <s v="Coastal"/>
    <n v="4622"/>
    <s v="Port of Longview, WA"/>
    <n v="7230"/>
    <x v="22"/>
    <x v="10"/>
    <n v="42"/>
    <x v="413"/>
    <x v="0"/>
    <n v="42"/>
  </r>
  <r>
    <s v="Coastal"/>
    <n v="4120"/>
    <s v="Port of Los Angeles, CA"/>
    <n v="7900"/>
    <x v="21"/>
    <x v="2602"/>
    <n v="10614547"/>
    <x v="2334"/>
    <x v="1774"/>
    <n v="10654044"/>
  </r>
  <r>
    <s v="Coastal"/>
    <n v="4120"/>
    <s v="Port of Los Angeles, CA"/>
    <n v="7120"/>
    <x v="71"/>
    <x v="10"/>
    <n v="4131751"/>
    <x v="2335"/>
    <x v="1775"/>
    <n v="4131751"/>
  </r>
  <r>
    <s v="Coastal"/>
    <n v="4120"/>
    <s v="Port of Los Angeles, CA"/>
    <n v="7600"/>
    <x v="68"/>
    <x v="10"/>
    <n v="3605766"/>
    <x v="2336"/>
    <x v="1776"/>
    <n v="3605766"/>
  </r>
  <r>
    <s v="Coastal"/>
    <n v="4120"/>
    <s v="Port of Los Angeles, CA"/>
    <n v="7500"/>
    <x v="60"/>
    <x v="10"/>
    <n v="3419531"/>
    <x v="2337"/>
    <x v="1777"/>
    <n v="3419531"/>
  </r>
  <r>
    <s v="Coastal"/>
    <n v="4120"/>
    <s v="Port of Los Angeles, CA"/>
    <n v="2330"/>
    <x v="1"/>
    <x v="2603"/>
    <n v="1887910"/>
    <x v="2338"/>
    <x v="1778"/>
    <n v="3155025"/>
  </r>
  <r>
    <s v="Coastal"/>
    <n v="4120"/>
    <s v="Port of Los Angeles, CA"/>
    <n v="5480"/>
    <x v="20"/>
    <x v="2604"/>
    <n v="2930535"/>
    <x v="2339"/>
    <x v="1779"/>
    <n v="2932315"/>
  </r>
  <r>
    <s v="Coastal"/>
    <n v="4120"/>
    <s v="Port of Los Angeles, CA"/>
    <n v="7110"/>
    <x v="4"/>
    <x v="2605"/>
    <n v="2767479"/>
    <x v="2340"/>
    <x v="1780"/>
    <n v="2768599"/>
  </r>
  <r>
    <s v="Coastal"/>
    <n v="4120"/>
    <s v="Port of Los Angeles, CA"/>
    <n v="2221"/>
    <x v="9"/>
    <x v="2606"/>
    <n v="2351509"/>
    <x v="2341"/>
    <x v="1781"/>
    <n v="2426602"/>
  </r>
  <r>
    <s v="Coastal"/>
    <n v="4120"/>
    <s v="Port of Los Angeles, CA"/>
    <n v="7210"/>
    <x v="59"/>
    <x v="1717"/>
    <n v="2292565"/>
    <x v="2342"/>
    <x v="1782"/>
    <n v="2294015"/>
  </r>
  <r>
    <s v="Coastal"/>
    <n v="4120"/>
    <s v="Port of Los Angeles, CA"/>
    <n v="6782"/>
    <x v="27"/>
    <x v="10"/>
    <n v="1749964"/>
    <x v="2343"/>
    <x v="1783"/>
    <n v="1749964"/>
  </r>
  <r>
    <s v="Coastal"/>
    <n v="4120"/>
    <s v="Port of Los Angeles, CA"/>
    <n v="4225"/>
    <x v="10"/>
    <x v="10"/>
    <n v="1602511"/>
    <x v="2344"/>
    <x v="1784"/>
    <n v="1602511"/>
  </r>
  <r>
    <s v="Coastal"/>
    <n v="4120"/>
    <s v="Port of Los Angeles, CA"/>
    <n v="3286"/>
    <x v="57"/>
    <x v="10"/>
    <n v="1589832"/>
    <x v="2345"/>
    <x v="1785"/>
    <n v="1589832"/>
  </r>
  <r>
    <s v="Coastal"/>
    <n v="4120"/>
    <s v="Port of Los Angeles, CA"/>
    <n v="6781"/>
    <x v="128"/>
    <x v="10"/>
    <n v="1544341"/>
    <x v="2346"/>
    <x v="1786"/>
    <n v="1544341"/>
  </r>
  <r>
    <s v="Coastal"/>
    <n v="4120"/>
    <s v="Port of Los Angeles, CA"/>
    <n v="4420"/>
    <x v="8"/>
    <x v="10"/>
    <n v="1286943"/>
    <x v="2347"/>
    <x v="1787"/>
    <n v="1286943"/>
  </r>
  <r>
    <s v="Coastal"/>
    <n v="4120"/>
    <s v="Port of Los Angeles, CA"/>
    <n v="2340"/>
    <x v="3"/>
    <x v="2607"/>
    <n v="331992"/>
    <x v="2348"/>
    <x v="0"/>
    <n v="1268340"/>
  </r>
  <r>
    <s v="Coastal"/>
    <n v="4120"/>
    <s v="Port of Los Angeles, CA"/>
    <n v="5320"/>
    <x v="13"/>
    <x v="10"/>
    <n v="1129048"/>
    <x v="2349"/>
    <x v="1788"/>
    <n v="1129048"/>
  </r>
  <r>
    <s v="Coastal"/>
    <n v="4120"/>
    <s v="Port of Los Angeles, CA"/>
    <n v="6522"/>
    <x v="26"/>
    <x v="10"/>
    <n v="1095142"/>
    <x v="2350"/>
    <x v="1789"/>
    <n v="1095142"/>
  </r>
  <r>
    <s v="Coastal"/>
    <n v="4120"/>
    <s v="Port of Los Angeles, CA"/>
    <n v="2100"/>
    <x v="35"/>
    <x v="2608"/>
    <n v="951361"/>
    <x v="2351"/>
    <x v="0"/>
    <n v="1092269"/>
  </r>
  <r>
    <s v="Coastal"/>
    <n v="4120"/>
    <s v="Port of Los Angeles, CA"/>
    <n v="2211"/>
    <x v="0"/>
    <x v="2609"/>
    <n v="475773"/>
    <x v="2352"/>
    <x v="1790"/>
    <n v="1001934"/>
  </r>
  <r>
    <s v="Coastal"/>
    <n v="4120"/>
    <s v="Port of Los Angeles, CA"/>
    <n v="5290"/>
    <x v="49"/>
    <x v="2610"/>
    <n v="963371"/>
    <x v="2353"/>
    <x v="1791"/>
    <n v="963611"/>
  </r>
  <r>
    <s v="Coastal"/>
    <n v="4120"/>
    <s v="Port of Los Angeles, CA"/>
    <n v="4680"/>
    <x v="70"/>
    <x v="10"/>
    <n v="755025"/>
    <x v="2354"/>
    <x v="1792"/>
    <n v="755025"/>
  </r>
  <r>
    <s v="Coastal"/>
    <n v="4120"/>
    <s v="Port of Los Angeles, CA"/>
    <n v="6893"/>
    <x v="113"/>
    <x v="10"/>
    <n v="696039"/>
    <x v="2355"/>
    <x v="1793"/>
    <n v="696039"/>
  </r>
  <r>
    <s v="Coastal"/>
    <n v="4120"/>
    <s v="Port of Los Angeles, CA"/>
    <n v="6889"/>
    <x v="42"/>
    <x v="10"/>
    <n v="651516"/>
    <x v="2356"/>
    <x v="1794"/>
    <n v="651516"/>
  </r>
  <r>
    <s v="Coastal"/>
    <n v="4120"/>
    <s v="Port of Los Angeles, CA"/>
    <n v="6857"/>
    <x v="104"/>
    <x v="10"/>
    <n v="625530"/>
    <x v="2357"/>
    <x v="1795"/>
    <n v="625530"/>
  </r>
  <r>
    <s v="Coastal"/>
    <n v="4120"/>
    <s v="Port of Los Angeles, CA"/>
    <n v="5240"/>
    <x v="89"/>
    <x v="10"/>
    <n v="596286"/>
    <x v="2358"/>
    <x v="1796"/>
    <n v="596286"/>
  </r>
  <r>
    <s v="Coastal"/>
    <n v="4120"/>
    <s v="Port of Los Angeles, CA"/>
    <n v="6811"/>
    <x v="76"/>
    <x v="10"/>
    <n v="587654"/>
    <x v="2359"/>
    <x v="1797"/>
    <n v="587654"/>
  </r>
  <r>
    <s v="Coastal"/>
    <n v="4120"/>
    <s v="Port of Los Angeles, CA"/>
    <n v="3276"/>
    <x v="12"/>
    <x v="10"/>
    <n v="508594"/>
    <x v="2360"/>
    <x v="1798"/>
    <n v="508594"/>
  </r>
  <r>
    <s v="Coastal"/>
    <n v="4120"/>
    <s v="Port of Los Angeles, CA"/>
    <n v="6654"/>
    <x v="50"/>
    <x v="10"/>
    <n v="508207"/>
    <x v="2361"/>
    <x v="1799"/>
    <n v="508207"/>
  </r>
  <r>
    <s v="Coastal"/>
    <n v="4120"/>
    <s v="Port of Los Angeles, CA"/>
    <n v="5330"/>
    <x v="16"/>
    <x v="10"/>
    <n v="508151"/>
    <x v="2362"/>
    <x v="1800"/>
    <n v="508151"/>
  </r>
  <r>
    <s v="Coastal"/>
    <n v="4120"/>
    <s v="Port of Los Angeles, CA"/>
    <n v="6858"/>
    <x v="74"/>
    <x v="10"/>
    <n v="507416"/>
    <x v="2363"/>
    <x v="1801"/>
    <n v="507416"/>
  </r>
  <r>
    <s v="Coastal"/>
    <n v="4120"/>
    <s v="Port of Los Angeles, CA"/>
    <n v="9900"/>
    <x v="18"/>
    <x v="10"/>
    <n v="471778"/>
    <x v="2364"/>
    <x v="1802"/>
    <n v="471778"/>
  </r>
  <r>
    <s v="Coastal"/>
    <n v="4120"/>
    <s v="Port of Los Angeles, CA"/>
    <n v="5120"/>
    <x v="63"/>
    <x v="10"/>
    <n v="448747"/>
    <x v="2365"/>
    <x v="1803"/>
    <n v="448747"/>
  </r>
  <r>
    <s v="Coastal"/>
    <n v="4120"/>
    <s v="Port of Los Angeles, CA"/>
    <n v="3285"/>
    <x v="87"/>
    <x v="10"/>
    <n v="434624"/>
    <x v="2366"/>
    <x v="1804"/>
    <n v="434624"/>
  </r>
  <r>
    <s v="Coastal"/>
    <n v="4120"/>
    <s v="Port of Los Angeles, CA"/>
    <n v="5190"/>
    <x v="83"/>
    <x v="10"/>
    <n v="410626"/>
    <x v="2367"/>
    <x v="1805"/>
    <n v="410626"/>
  </r>
  <r>
    <s v="Coastal"/>
    <n v="4120"/>
    <s v="Port of Los Angeles, CA"/>
    <n v="5370"/>
    <x v="81"/>
    <x v="10"/>
    <n v="373452"/>
    <x v="2368"/>
    <x v="1806"/>
    <n v="373452"/>
  </r>
  <r>
    <s v="Coastal"/>
    <n v="4120"/>
    <s v="Port of Los Angeles, CA"/>
    <n v="7400"/>
    <x v="77"/>
    <x v="10"/>
    <n v="352655"/>
    <x v="2369"/>
    <x v="1807"/>
    <n v="352655"/>
  </r>
  <r>
    <s v="Coastal"/>
    <n v="4120"/>
    <s v="Port of Los Angeles, CA"/>
    <n v="5422"/>
    <x v="66"/>
    <x v="10"/>
    <n v="343480"/>
    <x v="2370"/>
    <x v="1808"/>
    <n v="343480"/>
  </r>
  <r>
    <s v="Coastal"/>
    <n v="4120"/>
    <s v="Port of Los Angeles, CA"/>
    <n v="3275"/>
    <x v="47"/>
    <x v="10"/>
    <n v="301446"/>
    <x v="2371"/>
    <x v="1809"/>
    <n v="301446"/>
  </r>
  <r>
    <s v="Coastal"/>
    <n v="4120"/>
    <s v="Port of Los Angeles, CA"/>
    <n v="3299"/>
    <x v="79"/>
    <x v="10"/>
    <n v="292663"/>
    <x v="2372"/>
    <x v="1810"/>
    <n v="292663"/>
  </r>
  <r>
    <s v="Coastal"/>
    <n v="4120"/>
    <s v="Port of Los Angeles, CA"/>
    <n v="5540"/>
    <x v="64"/>
    <x v="10"/>
    <n v="289687"/>
    <x v="2373"/>
    <x v="1811"/>
    <n v="289687"/>
  </r>
  <r>
    <s v="Coastal"/>
    <n v="4120"/>
    <s v="Port of Los Angeles, CA"/>
    <n v="6822"/>
    <x v="84"/>
    <x v="10"/>
    <n v="283990"/>
    <x v="2374"/>
    <x v="1812"/>
    <n v="283990"/>
  </r>
  <r>
    <s v="Coastal"/>
    <n v="4120"/>
    <s v="Port of Los Angeles, CA"/>
    <n v="6839"/>
    <x v="106"/>
    <x v="10"/>
    <n v="245918"/>
    <x v="2375"/>
    <x v="1813"/>
    <n v="245918"/>
  </r>
  <r>
    <s v="Coastal"/>
    <n v="4120"/>
    <s v="Port of Los Angeles, CA"/>
    <n v="6747"/>
    <x v="78"/>
    <x v="10"/>
    <n v="213875"/>
    <x v="2376"/>
    <x v="1814"/>
    <n v="213875"/>
  </r>
  <r>
    <s v="Coastal"/>
    <n v="4120"/>
    <s v="Port of Los Angeles, CA"/>
    <n v="6885"/>
    <x v="72"/>
    <x v="10"/>
    <n v="211588"/>
    <x v="2377"/>
    <x v="1815"/>
    <n v="211588"/>
  </r>
  <r>
    <s v="Coastal"/>
    <n v="4120"/>
    <s v="Port of Los Angeles, CA"/>
    <n v="3274"/>
    <x v="86"/>
    <x v="10"/>
    <n v="196758"/>
    <x v="2378"/>
    <x v="1816"/>
    <n v="196758"/>
  </r>
  <r>
    <s v="Coastal"/>
    <n v="4120"/>
    <s v="Port of Los Angeles, CA"/>
    <n v="6344"/>
    <x v="25"/>
    <x v="10"/>
    <n v="196596"/>
    <x v="2379"/>
    <x v="1817"/>
    <n v="196596"/>
  </r>
  <r>
    <s v="Coastal"/>
    <n v="4120"/>
    <s v="Port of Los Angeles, CA"/>
    <n v="6136"/>
    <x v="95"/>
    <x v="10"/>
    <n v="192335"/>
    <x v="2380"/>
    <x v="1818"/>
    <n v="192335"/>
  </r>
  <r>
    <s v="Coastal"/>
    <n v="4120"/>
    <s v="Port of Los Angeles, CA"/>
    <n v="6442"/>
    <x v="85"/>
    <x v="10"/>
    <n v="182929"/>
    <x v="2381"/>
    <x v="1819"/>
    <n v="182929"/>
  </r>
  <r>
    <s v="Coastal"/>
    <n v="4120"/>
    <s v="Port of Los Angeles, CA"/>
    <n v="6134"/>
    <x v="82"/>
    <x v="10"/>
    <n v="163665"/>
    <x v="2382"/>
    <x v="1820"/>
    <n v="163665"/>
  </r>
  <r>
    <s v="Coastal"/>
    <n v="4120"/>
    <s v="Port of Los Angeles, CA"/>
    <n v="5360"/>
    <x v="94"/>
    <x v="10"/>
    <n v="123858"/>
    <x v="2383"/>
    <x v="1821"/>
    <n v="123858"/>
  </r>
  <r>
    <s v="Coastal"/>
    <n v="4120"/>
    <s v="Port of Los Angeles, CA"/>
    <n v="3230"/>
    <x v="80"/>
    <x v="10"/>
    <n v="120832"/>
    <x v="2384"/>
    <x v="1822"/>
    <n v="120832"/>
  </r>
  <r>
    <s v="Coastal"/>
    <n v="4120"/>
    <s v="Port of Los Angeles, CA"/>
    <n v="3220"/>
    <x v="2"/>
    <x v="2611"/>
    <n v="114873"/>
    <x v="2385"/>
    <x v="1823"/>
    <n v="116235"/>
  </r>
  <r>
    <s v="Coastal"/>
    <n v="4120"/>
    <s v="Port of Los Angeles, CA"/>
    <n v="3240"/>
    <x v="53"/>
    <x v="10"/>
    <n v="110398"/>
    <x v="2386"/>
    <x v="1824"/>
    <n v="110398"/>
  </r>
  <r>
    <s v="Coastal"/>
    <n v="4120"/>
    <s v="Port of Los Angeles, CA"/>
    <n v="2540"/>
    <x v="15"/>
    <x v="2612"/>
    <n v="104288"/>
    <x v="609"/>
    <x v="1825"/>
    <n v="105163"/>
  </r>
  <r>
    <s v="Coastal"/>
    <n v="4120"/>
    <s v="Port of Los Angeles, CA"/>
    <n v="3250"/>
    <x v="108"/>
    <x v="10"/>
    <n v="103783"/>
    <x v="2387"/>
    <x v="1826"/>
    <n v="103783"/>
  </r>
  <r>
    <s v="Coastal"/>
    <n v="4120"/>
    <s v="Port of Los Angeles, CA"/>
    <n v="4189"/>
    <x v="65"/>
    <x v="10"/>
    <n v="103705"/>
    <x v="2388"/>
    <x v="1827"/>
    <n v="103705"/>
  </r>
  <r>
    <s v="Coastal"/>
    <n v="4120"/>
    <s v="Port of Los Angeles, CA"/>
    <n v="6835"/>
    <x v="92"/>
    <x v="10"/>
    <n v="97934"/>
    <x v="2389"/>
    <x v="1828"/>
    <n v="97934"/>
  </r>
  <r>
    <s v="Coastal"/>
    <n v="4120"/>
    <s v="Port of Los Angeles, CA"/>
    <n v="3292"/>
    <x v="51"/>
    <x v="10"/>
    <n v="94498"/>
    <x v="2390"/>
    <x v="1829"/>
    <n v="94498"/>
  </r>
  <r>
    <s v="Coastal"/>
    <n v="4120"/>
    <s v="Port of Los Angeles, CA"/>
    <n v="2350"/>
    <x v="40"/>
    <x v="2613"/>
    <n v="15969"/>
    <x v="2391"/>
    <x v="1830"/>
    <n v="85472"/>
  </r>
  <r>
    <s v="Coastal"/>
    <n v="4120"/>
    <s v="Port of Los Angeles, CA"/>
    <n v="3284"/>
    <x v="97"/>
    <x v="10"/>
    <n v="84181"/>
    <x v="2392"/>
    <x v="1831"/>
    <n v="84181"/>
  </r>
  <r>
    <s v="Coastal"/>
    <n v="4120"/>
    <s v="Port of Los Angeles, CA"/>
    <n v="2429"/>
    <x v="17"/>
    <x v="2614"/>
    <n v="221"/>
    <x v="605"/>
    <x v="380"/>
    <n v="82447"/>
  </r>
  <r>
    <s v="Coastal"/>
    <n v="4120"/>
    <s v="Port of Los Angeles, CA"/>
    <n v="3293"/>
    <x v="122"/>
    <x v="10"/>
    <n v="82314"/>
    <x v="2393"/>
    <x v="1832"/>
    <n v="82314"/>
  </r>
  <r>
    <s v="Coastal"/>
    <n v="4120"/>
    <s v="Port of Los Angeles, CA"/>
    <n v="6590"/>
    <x v="23"/>
    <x v="10"/>
    <n v="82298"/>
    <x v="2394"/>
    <x v="1833"/>
    <n v="82298"/>
  </r>
  <r>
    <s v="Coastal"/>
    <n v="4120"/>
    <s v="Port of Los Angeles, CA"/>
    <n v="6888"/>
    <x v="109"/>
    <x v="10"/>
    <n v="78543"/>
    <x v="2395"/>
    <x v="1834"/>
    <n v="78543"/>
  </r>
  <r>
    <s v="Coastal"/>
    <n v="4120"/>
    <s v="Port of Los Angeles, CA"/>
    <n v="6653"/>
    <x v="24"/>
    <x v="10"/>
    <n v="77185"/>
    <x v="2396"/>
    <x v="1835"/>
    <n v="77185"/>
  </r>
  <r>
    <s v="Coastal"/>
    <n v="4120"/>
    <s v="Port of Los Angeles, CA"/>
    <n v="4410"/>
    <x v="34"/>
    <x v="10"/>
    <n v="75980"/>
    <x v="1360"/>
    <x v="1836"/>
    <n v="75980"/>
  </r>
  <r>
    <s v="Coastal"/>
    <n v="4120"/>
    <s v="Port of Los Angeles, CA"/>
    <n v="4170"/>
    <x v="55"/>
    <x v="10"/>
    <n v="73942"/>
    <x v="1650"/>
    <x v="1837"/>
    <n v="73942"/>
  </r>
  <r>
    <s v="Coastal"/>
    <n v="4120"/>
    <s v="Port of Los Angeles, CA"/>
    <n v="5421"/>
    <x v="88"/>
    <x v="10"/>
    <n v="71554"/>
    <x v="2397"/>
    <x v="1838"/>
    <n v="71554"/>
  </r>
  <r>
    <s v="Coastal"/>
    <n v="4120"/>
    <s v="Port of Los Angeles, CA"/>
    <n v="6861"/>
    <x v="69"/>
    <x v="10"/>
    <n v="70744"/>
    <x v="2398"/>
    <x v="1839"/>
    <n v="70744"/>
  </r>
  <r>
    <s v="Coastal"/>
    <n v="4120"/>
    <s v="Port of Los Angeles, CA"/>
    <n v="5390"/>
    <x v="44"/>
    <x v="10"/>
    <n v="69029"/>
    <x v="2399"/>
    <x v="1840"/>
    <n v="69029"/>
  </r>
  <r>
    <s v="Coastal"/>
    <n v="4120"/>
    <s v="Port of Los Angeles, CA"/>
    <n v="3282"/>
    <x v="91"/>
    <x v="10"/>
    <n v="61980"/>
    <x v="2400"/>
    <x v="1841"/>
    <n v="61980"/>
  </r>
  <r>
    <s v="Coastal"/>
    <n v="4120"/>
    <s v="Port of Los Angeles, CA"/>
    <n v="3260"/>
    <x v="107"/>
    <x v="10"/>
    <n v="53600"/>
    <x v="2401"/>
    <x v="1842"/>
    <n v="53600"/>
  </r>
  <r>
    <s v="Coastal"/>
    <n v="4120"/>
    <s v="Port of Los Angeles, CA"/>
    <n v="6447"/>
    <x v="132"/>
    <x v="10"/>
    <n v="47525"/>
    <x v="2402"/>
    <x v="1843"/>
    <n v="47525"/>
  </r>
  <r>
    <s v="Coastal"/>
    <n v="4120"/>
    <s v="Port of Los Angeles, CA"/>
    <n v="3297"/>
    <x v="116"/>
    <x v="10"/>
    <n v="45103"/>
    <x v="2403"/>
    <x v="1844"/>
    <n v="45103"/>
  </r>
  <r>
    <s v="Coastal"/>
    <n v="4120"/>
    <s v="Port of Los Angeles, CA"/>
    <n v="5312"/>
    <x v="52"/>
    <x v="10"/>
    <n v="43341"/>
    <x v="2404"/>
    <x v="1845"/>
    <n v="43341"/>
  </r>
  <r>
    <s v="Coastal"/>
    <n v="4120"/>
    <s v="Port of Los Angeles, CA"/>
    <n v="4782"/>
    <x v="45"/>
    <x v="10"/>
    <n v="42694"/>
    <x v="2405"/>
    <x v="1846"/>
    <n v="42694"/>
  </r>
  <r>
    <s v="Coastal"/>
    <n v="4120"/>
    <s v="Port of Los Angeles, CA"/>
    <n v="6899"/>
    <x v="114"/>
    <x v="10"/>
    <n v="39702"/>
    <x v="2406"/>
    <x v="1847"/>
    <n v="39702"/>
  </r>
  <r>
    <s v="Coastal"/>
    <n v="4120"/>
    <s v="Port of Los Angeles, CA"/>
    <n v="3219"/>
    <x v="19"/>
    <x v="10"/>
    <n v="38840"/>
    <x v="2407"/>
    <x v="1848"/>
    <n v="38840"/>
  </r>
  <r>
    <s v="Coastal"/>
    <n v="4120"/>
    <s v="Port of Los Angeles, CA"/>
    <n v="4190"/>
    <x v="99"/>
    <x v="10"/>
    <n v="38402"/>
    <x v="2408"/>
    <x v="1849"/>
    <n v="38402"/>
  </r>
  <r>
    <s v="Coastal"/>
    <n v="4120"/>
    <s v="Port of Los Angeles, CA"/>
    <n v="3190"/>
    <x v="38"/>
    <x v="10"/>
    <n v="38343"/>
    <x v="2409"/>
    <x v="1850"/>
    <n v="38343"/>
  </r>
  <r>
    <s v="Coastal"/>
    <n v="4120"/>
    <s v="Port of Los Angeles, CA"/>
    <n v="3279"/>
    <x v="58"/>
    <x v="10"/>
    <n v="36513"/>
    <x v="2410"/>
    <x v="1851"/>
    <n v="36513"/>
  </r>
  <r>
    <s v="Coastal"/>
    <n v="4120"/>
    <s v="Port of Los Angeles, CA"/>
    <n v="4331"/>
    <x v="29"/>
    <x v="2615"/>
    <n v="30805"/>
    <x v="2411"/>
    <x v="1852"/>
    <n v="34030"/>
  </r>
  <r>
    <s v="Coastal"/>
    <n v="4120"/>
    <s v="Port of Los Angeles, CA"/>
    <n v="3291"/>
    <x v="117"/>
    <x v="10"/>
    <n v="33770"/>
    <x v="2412"/>
    <x v="1853"/>
    <n v="33770"/>
  </r>
  <r>
    <s v="Coastal"/>
    <n v="4120"/>
    <s v="Port of Los Angeles, CA"/>
    <n v="6871"/>
    <x v="73"/>
    <x v="10"/>
    <n v="32742"/>
    <x v="2413"/>
    <x v="1854"/>
    <n v="32742"/>
  </r>
  <r>
    <s v="Coastal"/>
    <n v="4120"/>
    <s v="Port of Los Angeles, CA"/>
    <n v="6817"/>
    <x v="119"/>
    <x v="10"/>
    <n v="30273"/>
    <x v="2414"/>
    <x v="1855"/>
    <n v="30273"/>
  </r>
  <r>
    <s v="Coastal"/>
    <n v="4120"/>
    <s v="Port of Los Angeles, CA"/>
    <n v="3281"/>
    <x v="125"/>
    <x v="10"/>
    <n v="29451"/>
    <x v="2415"/>
    <x v="1856"/>
    <n v="29451"/>
  </r>
  <r>
    <s v="Coastal"/>
    <n v="4120"/>
    <s v="Port of Los Angeles, CA"/>
    <n v="5220"/>
    <x v="30"/>
    <x v="10"/>
    <n v="29200"/>
    <x v="2416"/>
    <x v="1857"/>
    <n v="29200"/>
  </r>
  <r>
    <s v="Coastal"/>
    <n v="4120"/>
    <s v="Port of Los Angeles, CA"/>
    <n v="6891"/>
    <x v="93"/>
    <x v="10"/>
    <n v="28497"/>
    <x v="2417"/>
    <x v="1858"/>
    <n v="28497"/>
  </r>
  <r>
    <s v="Coastal"/>
    <n v="4120"/>
    <s v="Port of Los Angeles, CA"/>
    <n v="6241"/>
    <x v="28"/>
    <x v="10"/>
    <n v="28278"/>
    <x v="560"/>
    <x v="1859"/>
    <n v="28278"/>
  </r>
  <r>
    <s v="Coastal"/>
    <n v="4120"/>
    <s v="Port of Los Angeles, CA"/>
    <n v="4900"/>
    <x v="14"/>
    <x v="10"/>
    <n v="27625"/>
    <x v="2418"/>
    <x v="1860"/>
    <n v="27625"/>
  </r>
  <r>
    <s v="Coastal"/>
    <n v="4120"/>
    <s v="Port of Los Angeles, CA"/>
    <n v="4783"/>
    <x v="7"/>
    <x v="10"/>
    <n v="25139"/>
    <x v="2419"/>
    <x v="1861"/>
    <n v="25139"/>
  </r>
  <r>
    <s v="Coastal"/>
    <n v="4120"/>
    <s v="Port of Los Angeles, CA"/>
    <n v="6856"/>
    <x v="126"/>
    <x v="10"/>
    <n v="21404"/>
    <x v="2420"/>
    <x v="1862"/>
    <n v="21404"/>
  </r>
  <r>
    <s v="Coastal"/>
    <n v="4120"/>
    <s v="Port of Los Angeles, CA"/>
    <n v="2430"/>
    <x v="11"/>
    <x v="10"/>
    <n v="21372"/>
    <x v="145"/>
    <x v="1863"/>
    <n v="21372"/>
  </r>
  <r>
    <s v="Coastal"/>
    <n v="4120"/>
    <s v="Port of Los Angeles, CA"/>
    <n v="5429"/>
    <x v="61"/>
    <x v="10"/>
    <n v="20708"/>
    <x v="2421"/>
    <x v="1864"/>
    <n v="20708"/>
  </r>
  <r>
    <s v="Coastal"/>
    <n v="4120"/>
    <s v="Port of Los Angeles, CA"/>
    <n v="6894"/>
    <x v="120"/>
    <x v="10"/>
    <n v="18299"/>
    <x v="2422"/>
    <x v="751"/>
    <n v="18299"/>
  </r>
  <r>
    <s v="Coastal"/>
    <n v="4120"/>
    <s v="Port of Los Angeles, CA"/>
    <n v="4650"/>
    <x v="67"/>
    <x v="10"/>
    <n v="17083"/>
    <x v="2423"/>
    <x v="1865"/>
    <n v="17083"/>
  </r>
  <r>
    <s v="Coastal"/>
    <n v="4120"/>
    <s v="Port of Los Angeles, CA"/>
    <n v="7220"/>
    <x v="103"/>
    <x v="10"/>
    <n v="16959"/>
    <x v="2424"/>
    <x v="1866"/>
    <n v="16959"/>
  </r>
  <r>
    <s v="Coastal"/>
    <n v="4120"/>
    <s v="Port of Los Angeles, CA"/>
    <n v="4310"/>
    <x v="96"/>
    <x v="10"/>
    <n v="16414"/>
    <x v="2425"/>
    <x v="700"/>
    <n v="16414"/>
  </r>
  <r>
    <s v="Coastal"/>
    <n v="4120"/>
    <s v="Port of Los Angeles, CA"/>
    <n v="7300"/>
    <x v="115"/>
    <x v="10"/>
    <n v="15972"/>
    <x v="2426"/>
    <x v="1359"/>
    <n v="15972"/>
  </r>
  <r>
    <s v="Coastal"/>
    <n v="4120"/>
    <s v="Port of Los Angeles, CA"/>
    <n v="2410"/>
    <x v="98"/>
    <x v="10"/>
    <n v="13813"/>
    <x v="2427"/>
    <x v="1867"/>
    <n v="13813"/>
  </r>
  <r>
    <s v="Coastal"/>
    <n v="4120"/>
    <s v="Port of Los Angeles, CA"/>
    <n v="3272"/>
    <x v="137"/>
    <x v="10"/>
    <n v="12556"/>
    <x v="2428"/>
    <x v="222"/>
    <n v="12556"/>
  </r>
  <r>
    <s v="Coastal"/>
    <n v="4120"/>
    <s v="Port of Los Angeles, CA"/>
    <n v="7230"/>
    <x v="22"/>
    <x v="10"/>
    <n v="10753"/>
    <x v="2429"/>
    <x v="1868"/>
    <n v="10753"/>
  </r>
  <r>
    <s v="Coastal"/>
    <n v="4120"/>
    <s v="Port of Los Angeles, CA"/>
    <n v="3283"/>
    <x v="111"/>
    <x v="10"/>
    <n v="10653"/>
    <x v="2430"/>
    <x v="1063"/>
    <n v="10653"/>
  </r>
  <r>
    <s v="Coastal"/>
    <n v="4120"/>
    <s v="Port of Los Angeles, CA"/>
    <n v="3130"/>
    <x v="37"/>
    <x v="10"/>
    <n v="10568"/>
    <x v="2431"/>
    <x v="1869"/>
    <n v="10568"/>
  </r>
  <r>
    <s v="Coastal"/>
    <n v="4120"/>
    <s v="Port of Los Angeles, CA"/>
    <n v="6746"/>
    <x v="118"/>
    <x v="10"/>
    <n v="10430"/>
    <x v="2432"/>
    <x v="1870"/>
    <n v="10430"/>
  </r>
  <r>
    <s v="Coastal"/>
    <n v="4120"/>
    <s v="Port of Los Angeles, CA"/>
    <n v="4690"/>
    <x v="62"/>
    <x v="10"/>
    <n v="9409"/>
    <x v="1505"/>
    <x v="1871"/>
    <n v="9409"/>
  </r>
  <r>
    <s v="Coastal"/>
    <n v="4120"/>
    <s v="Port of Los Angeles, CA"/>
    <n v="5315"/>
    <x v="48"/>
    <x v="10"/>
    <n v="9123"/>
    <x v="2433"/>
    <x v="1872"/>
    <n v="9123"/>
  </r>
  <r>
    <s v="Coastal"/>
    <n v="4120"/>
    <s v="Port of Los Angeles, CA"/>
    <n v="2640"/>
    <x v="110"/>
    <x v="10"/>
    <n v="8875"/>
    <x v="2434"/>
    <x v="1023"/>
    <n v="8875"/>
  </r>
  <r>
    <s v="Coastal"/>
    <n v="4120"/>
    <s v="Port of Los Angeles, CA"/>
    <n v="6521"/>
    <x v="121"/>
    <x v="10"/>
    <n v="8556"/>
    <x v="2435"/>
    <x v="1873"/>
    <n v="8556"/>
  </r>
  <r>
    <s v="Coastal"/>
    <n v="4120"/>
    <s v="Port of Los Angeles, CA"/>
    <n v="6838"/>
    <x v="131"/>
    <x v="10"/>
    <n v="7229"/>
    <x v="9"/>
    <x v="1874"/>
    <n v="7229"/>
  </r>
  <r>
    <s v="Coastal"/>
    <n v="4120"/>
    <s v="Port of Los Angeles, CA"/>
    <n v="5110"/>
    <x v="112"/>
    <x v="10"/>
    <n v="4723"/>
    <x v="2436"/>
    <x v="569"/>
    <n v="4723"/>
  </r>
  <r>
    <s v="Coastal"/>
    <n v="4120"/>
    <s v="Port of Los Angeles, CA"/>
    <n v="4323"/>
    <x v="6"/>
    <x v="10"/>
    <n v="4483"/>
    <x v="2437"/>
    <x v="1875"/>
    <n v="4483"/>
  </r>
  <r>
    <s v="Coastal"/>
    <n v="4120"/>
    <s v="Port of Los Angeles, CA"/>
    <n v="3273"/>
    <x v="46"/>
    <x v="10"/>
    <n v="4345"/>
    <x v="2438"/>
    <x v="1876"/>
    <n v="4345"/>
  </r>
  <r>
    <s v="Coastal"/>
    <n v="4120"/>
    <s v="Port of Los Angeles, CA"/>
    <n v="6872"/>
    <x v="100"/>
    <x v="10"/>
    <n v="3787"/>
    <x v="2439"/>
    <x v="1877"/>
    <n v="3787"/>
  </r>
  <r>
    <s v="Coastal"/>
    <n v="4120"/>
    <s v="Port of Los Angeles, CA"/>
    <n v="4161"/>
    <x v="54"/>
    <x v="10"/>
    <n v="3785"/>
    <x v="966"/>
    <x v="1878"/>
    <n v="3785"/>
  </r>
  <r>
    <s v="Coastal"/>
    <n v="4120"/>
    <s v="Port of Los Angeles, CA"/>
    <n v="4110"/>
    <x v="105"/>
    <x v="10"/>
    <n v="3032"/>
    <x v="2440"/>
    <x v="1190"/>
    <n v="3032"/>
  </r>
  <r>
    <s v="Coastal"/>
    <n v="4120"/>
    <s v="Port of Los Angeles, CA"/>
    <n v="4150"/>
    <x v="101"/>
    <x v="10"/>
    <n v="2839"/>
    <x v="2441"/>
    <x v="1879"/>
    <n v="2839"/>
  </r>
  <r>
    <s v="Coastal"/>
    <n v="4120"/>
    <s v="Port of Los Angeles, CA"/>
    <n v="4860"/>
    <x v="31"/>
    <x v="10"/>
    <n v="2749"/>
    <x v="2442"/>
    <x v="1880"/>
    <n v="2749"/>
  </r>
  <r>
    <s v="Coastal"/>
    <n v="4120"/>
    <s v="Port of Los Angeles, CA"/>
    <n v="3271"/>
    <x v="133"/>
    <x v="10"/>
    <n v="2669"/>
    <x v="2443"/>
    <x v="1035"/>
    <n v="2669"/>
  </r>
  <r>
    <s v="Coastal"/>
    <n v="4120"/>
    <s v="Port of Los Angeles, CA"/>
    <n v="6445"/>
    <x v="136"/>
    <x v="10"/>
    <n v="2554"/>
    <x v="2444"/>
    <x v="1881"/>
    <n v="2554"/>
  </r>
  <r>
    <s v="Coastal"/>
    <n v="4120"/>
    <s v="Port of Los Angeles, CA"/>
    <n v="4741"/>
    <x v="56"/>
    <x v="10"/>
    <n v="2514"/>
    <x v="0"/>
    <x v="1882"/>
    <n v="2514"/>
  </r>
  <r>
    <s v="Coastal"/>
    <n v="4120"/>
    <s v="Port of Los Angeles, CA"/>
    <n v="1100"/>
    <x v="32"/>
    <x v="10"/>
    <n v="2457"/>
    <x v="2445"/>
    <x v="223"/>
    <n v="2457"/>
  </r>
  <r>
    <s v="Coastal"/>
    <n v="4120"/>
    <s v="Port of Los Angeles, CA"/>
    <n v="4322"/>
    <x v="33"/>
    <x v="10"/>
    <n v="2425"/>
    <x v="2446"/>
    <x v="1004"/>
    <n v="2425"/>
  </r>
  <r>
    <s v="Coastal"/>
    <n v="4120"/>
    <s v="Port of Los Angeles, CA"/>
    <n v="6443"/>
    <x v="135"/>
    <x v="10"/>
    <n v="2410"/>
    <x v="2447"/>
    <x v="1294"/>
    <n v="2410"/>
  </r>
  <r>
    <s v="Coastal"/>
    <n v="4120"/>
    <s v="Port of Los Angeles, CA"/>
    <n v="4515"/>
    <x v="129"/>
    <x v="10"/>
    <n v="1718"/>
    <x v="2448"/>
    <x v="1405"/>
    <n v="1718"/>
  </r>
  <r>
    <s v="Coastal"/>
    <n v="4120"/>
    <s v="Port of Los Angeles, CA"/>
    <n v="3110"/>
    <x v="36"/>
    <x v="10"/>
    <n v="1584"/>
    <x v="2449"/>
    <x v="1883"/>
    <n v="1584"/>
  </r>
  <r>
    <s v="Coastal"/>
    <n v="4120"/>
    <s v="Port of Los Angeles, CA"/>
    <n v="3211"/>
    <x v="124"/>
    <x v="10"/>
    <n v="1346"/>
    <x v="2450"/>
    <x v="623"/>
    <n v="1346"/>
  </r>
  <r>
    <s v="Coastal"/>
    <n v="4120"/>
    <s v="Port of Los Angeles, CA"/>
    <n v="3298"/>
    <x v="123"/>
    <x v="10"/>
    <n v="1101"/>
    <x v="2451"/>
    <x v="1884"/>
    <n v="1101"/>
  </r>
  <r>
    <s v="Coastal"/>
    <n v="4120"/>
    <s v="Port of Los Angeles, CA"/>
    <n v="6865"/>
    <x v="75"/>
    <x v="10"/>
    <n v="705"/>
    <x v="1513"/>
    <x v="1885"/>
    <n v="705"/>
  </r>
  <r>
    <s v="Coastal"/>
    <n v="4120"/>
    <s v="Port of Los Angeles, CA"/>
    <n v="3212"/>
    <x v="39"/>
    <x v="10"/>
    <n v="217"/>
    <x v="1249"/>
    <x v="1404"/>
    <n v="217"/>
  </r>
  <r>
    <s v="Coastal"/>
    <n v="4120"/>
    <s v="Port of Los Angeles, CA"/>
    <n v="8900"/>
    <x v="139"/>
    <x v="2616"/>
    <n v="0"/>
    <x v="0"/>
    <x v="0"/>
    <n v="180"/>
  </r>
  <r>
    <s v="Coastal"/>
    <n v="4120"/>
    <s v="Port of Los Angeles, CA"/>
    <n v="3120"/>
    <x v="41"/>
    <x v="10"/>
    <n v="160"/>
    <x v="1599"/>
    <x v="1886"/>
    <n v="160"/>
  </r>
  <r>
    <s v="Coastal"/>
    <n v="4120"/>
    <s v="Port of Los Angeles, CA"/>
    <n v="6534"/>
    <x v="141"/>
    <x v="10"/>
    <n v="151"/>
    <x v="301"/>
    <x v="0"/>
    <n v="151"/>
  </r>
  <r>
    <s v="Coastal"/>
    <n v="4120"/>
    <s v="Port of Los Angeles, CA"/>
    <n v="4630"/>
    <x v="127"/>
    <x v="10"/>
    <n v="81"/>
    <x v="210"/>
    <x v="26"/>
    <n v="81"/>
  </r>
  <r>
    <s v="Coastal"/>
    <n v="4120"/>
    <s v="Port of Los Angeles, CA"/>
    <n v="4670"/>
    <x v="90"/>
    <x v="10"/>
    <n v="51"/>
    <x v="206"/>
    <x v="0"/>
    <n v="51"/>
  </r>
  <r>
    <s v="Coastal"/>
    <n v="4120"/>
    <s v="Port of Los Angeles, CA"/>
    <n v="2990"/>
    <x v="102"/>
    <x v="10"/>
    <n v="38"/>
    <x v="819"/>
    <x v="0"/>
    <n v="38"/>
  </r>
  <r>
    <s v="Coastal"/>
    <n v="4120"/>
    <s v="Port of Los Angeles, CA"/>
    <n v="5210"/>
    <x v="130"/>
    <x v="10"/>
    <n v="34"/>
    <x v="211"/>
    <x v="125"/>
    <n v="34"/>
  </r>
  <r>
    <s v="Coastal"/>
    <n v="4120"/>
    <s v="Port of Los Angeles, CA"/>
    <n v="1200"/>
    <x v="43"/>
    <x v="10"/>
    <n v="26"/>
    <x v="211"/>
    <x v="1007"/>
    <n v="26"/>
  </r>
  <r>
    <s v="Coastal"/>
    <n v="4344"/>
    <s v="Port of Oakland, CA"/>
    <n v="7900"/>
    <x v="21"/>
    <x v="2617"/>
    <n v="1682480"/>
    <x v="2452"/>
    <x v="1887"/>
    <n v="1943767"/>
  </r>
  <r>
    <s v="Coastal"/>
    <n v="4344"/>
    <s v="Port of Oakland, CA"/>
    <n v="4225"/>
    <x v="10"/>
    <x v="2618"/>
    <n v="1640920"/>
    <x v="2453"/>
    <x v="1888"/>
    <n v="1641225"/>
  </r>
  <r>
    <s v="Coastal"/>
    <n v="4344"/>
    <s v="Port of Oakland, CA"/>
    <n v="6857"/>
    <x v="104"/>
    <x v="2619"/>
    <n v="1578471"/>
    <x v="2454"/>
    <x v="1889"/>
    <n v="1578850"/>
  </r>
  <r>
    <s v="Coastal"/>
    <n v="4344"/>
    <s v="Port of Oakland, CA"/>
    <n v="4420"/>
    <x v="8"/>
    <x v="2620"/>
    <n v="1153899"/>
    <x v="2455"/>
    <x v="1890"/>
    <n v="1157600"/>
  </r>
  <r>
    <s v="Coastal"/>
    <n v="4344"/>
    <s v="Port of Oakland, CA"/>
    <n v="6885"/>
    <x v="72"/>
    <x v="2621"/>
    <n v="1012248"/>
    <x v="2456"/>
    <x v="1891"/>
    <n v="1038789"/>
  </r>
  <r>
    <s v="Coastal"/>
    <n v="4344"/>
    <s v="Port of Oakland, CA"/>
    <n v="6811"/>
    <x v="76"/>
    <x v="2622"/>
    <n v="979721"/>
    <x v="2457"/>
    <x v="1892"/>
    <n v="1007900"/>
  </r>
  <r>
    <s v="Coastal"/>
    <n v="4344"/>
    <s v="Port of Oakland, CA"/>
    <n v="6654"/>
    <x v="50"/>
    <x v="2623"/>
    <n v="665261"/>
    <x v="2458"/>
    <x v="1893"/>
    <n v="677345"/>
  </r>
  <r>
    <s v="Coastal"/>
    <n v="4344"/>
    <s v="Port of Oakland, CA"/>
    <n v="7600"/>
    <x v="68"/>
    <x v="2624"/>
    <n v="634718"/>
    <x v="2459"/>
    <x v="1894"/>
    <n v="634810"/>
  </r>
  <r>
    <s v="Coastal"/>
    <n v="4344"/>
    <s v="Port of Oakland, CA"/>
    <n v="7120"/>
    <x v="71"/>
    <x v="2625"/>
    <n v="593294"/>
    <x v="2460"/>
    <x v="1895"/>
    <n v="594862"/>
  </r>
  <r>
    <s v="Coastal"/>
    <n v="4344"/>
    <s v="Port of Oakland, CA"/>
    <n v="5480"/>
    <x v="20"/>
    <x v="2626"/>
    <n v="522507"/>
    <x v="2461"/>
    <x v="1896"/>
    <n v="522863"/>
  </r>
  <r>
    <s v="Coastal"/>
    <n v="4344"/>
    <s v="Port of Oakland, CA"/>
    <n v="6889"/>
    <x v="42"/>
    <x v="2627"/>
    <n v="406272"/>
    <x v="2462"/>
    <x v="1897"/>
    <n v="490722"/>
  </r>
  <r>
    <s v="Coastal"/>
    <n v="4344"/>
    <s v="Port of Oakland, CA"/>
    <n v="7500"/>
    <x v="60"/>
    <x v="10"/>
    <n v="485715"/>
    <x v="2463"/>
    <x v="1898"/>
    <n v="485715"/>
  </r>
  <r>
    <s v="Coastal"/>
    <n v="4344"/>
    <s v="Port of Oakland, CA"/>
    <n v="7110"/>
    <x v="4"/>
    <x v="2628"/>
    <n v="414489"/>
    <x v="2464"/>
    <x v="1899"/>
    <n v="428938"/>
  </r>
  <r>
    <s v="Coastal"/>
    <n v="4344"/>
    <s v="Port of Oakland, CA"/>
    <n v="6822"/>
    <x v="84"/>
    <x v="10"/>
    <n v="420299"/>
    <x v="2465"/>
    <x v="1900"/>
    <n v="420299"/>
  </r>
  <r>
    <s v="Coastal"/>
    <n v="4344"/>
    <s v="Port of Oakland, CA"/>
    <n v="5240"/>
    <x v="89"/>
    <x v="10"/>
    <n v="395529"/>
    <x v="2466"/>
    <x v="1901"/>
    <n v="395529"/>
  </r>
  <r>
    <s v="Coastal"/>
    <n v="4344"/>
    <s v="Port of Oakland, CA"/>
    <n v="6782"/>
    <x v="27"/>
    <x v="2629"/>
    <n v="382303"/>
    <x v="2467"/>
    <x v="1902"/>
    <n v="390916"/>
  </r>
  <r>
    <s v="Coastal"/>
    <n v="4344"/>
    <s v="Port of Oakland, CA"/>
    <n v="7210"/>
    <x v="59"/>
    <x v="2630"/>
    <n v="343399"/>
    <x v="2468"/>
    <x v="1903"/>
    <n v="369097"/>
  </r>
  <r>
    <s v="Coastal"/>
    <n v="4344"/>
    <s v="Port of Oakland, CA"/>
    <n v="6781"/>
    <x v="128"/>
    <x v="2631"/>
    <n v="345442"/>
    <x v="139"/>
    <x v="1904"/>
    <n v="360012"/>
  </r>
  <r>
    <s v="Coastal"/>
    <n v="4344"/>
    <s v="Port of Oakland, CA"/>
    <n v="6442"/>
    <x v="85"/>
    <x v="2632"/>
    <n v="339410"/>
    <x v="2469"/>
    <x v="1905"/>
    <n v="358634"/>
  </r>
  <r>
    <s v="Coastal"/>
    <n v="4344"/>
    <s v="Port of Oakland, CA"/>
    <n v="5290"/>
    <x v="49"/>
    <x v="10"/>
    <n v="317697"/>
    <x v="2470"/>
    <x v="1906"/>
    <n v="317697"/>
  </r>
  <r>
    <s v="Coastal"/>
    <n v="4344"/>
    <s v="Port of Oakland, CA"/>
    <n v="4680"/>
    <x v="70"/>
    <x v="10"/>
    <n v="301775"/>
    <x v="2471"/>
    <x v="1907"/>
    <n v="301775"/>
  </r>
  <r>
    <s v="Coastal"/>
    <n v="4344"/>
    <s v="Port of Oakland, CA"/>
    <n v="6858"/>
    <x v="74"/>
    <x v="10"/>
    <n v="250892"/>
    <x v="2472"/>
    <x v="1908"/>
    <n v="250892"/>
  </r>
  <r>
    <s v="Coastal"/>
    <n v="4344"/>
    <s v="Port of Oakland, CA"/>
    <n v="3286"/>
    <x v="57"/>
    <x v="417"/>
    <n v="225365"/>
    <x v="2473"/>
    <x v="1909"/>
    <n v="225391"/>
  </r>
  <r>
    <s v="Coastal"/>
    <n v="4344"/>
    <s v="Port of Oakland, CA"/>
    <n v="6888"/>
    <x v="109"/>
    <x v="10"/>
    <n v="176930"/>
    <x v="2474"/>
    <x v="1910"/>
    <n v="176930"/>
  </r>
  <r>
    <s v="Coastal"/>
    <n v="4344"/>
    <s v="Port of Oakland, CA"/>
    <n v="7400"/>
    <x v="77"/>
    <x v="2633"/>
    <n v="120024"/>
    <x v="2475"/>
    <x v="1911"/>
    <n v="171636"/>
  </r>
  <r>
    <s v="Coastal"/>
    <n v="4344"/>
    <s v="Port of Oakland, CA"/>
    <n v="6871"/>
    <x v="73"/>
    <x v="2634"/>
    <n v="164149"/>
    <x v="2476"/>
    <x v="1912"/>
    <n v="166600"/>
  </r>
  <r>
    <s v="Coastal"/>
    <n v="4344"/>
    <s v="Port of Oakland, CA"/>
    <n v="9900"/>
    <x v="18"/>
    <x v="10"/>
    <n v="153412"/>
    <x v="2477"/>
    <x v="1913"/>
    <n v="153412"/>
  </r>
  <r>
    <s v="Coastal"/>
    <n v="4344"/>
    <s v="Port of Oakland, CA"/>
    <n v="5540"/>
    <x v="64"/>
    <x v="1192"/>
    <n v="138633"/>
    <x v="2478"/>
    <x v="1914"/>
    <n v="138667"/>
  </r>
  <r>
    <s v="Coastal"/>
    <n v="4344"/>
    <s v="Port of Oakland, CA"/>
    <n v="4189"/>
    <x v="65"/>
    <x v="2635"/>
    <n v="114602"/>
    <x v="2479"/>
    <x v="1915"/>
    <n v="119678"/>
  </r>
  <r>
    <s v="Coastal"/>
    <n v="4344"/>
    <s v="Port of Oakland, CA"/>
    <n v="5190"/>
    <x v="83"/>
    <x v="2636"/>
    <n v="119029"/>
    <x v="2480"/>
    <x v="1916"/>
    <n v="119544"/>
  </r>
  <r>
    <s v="Coastal"/>
    <n v="4344"/>
    <s v="Port of Oakland, CA"/>
    <n v="6747"/>
    <x v="78"/>
    <x v="2637"/>
    <n v="111967"/>
    <x v="2481"/>
    <x v="1917"/>
    <n v="119376"/>
  </r>
  <r>
    <s v="Coastal"/>
    <n v="4344"/>
    <s v="Port of Oakland, CA"/>
    <n v="5120"/>
    <x v="63"/>
    <x v="10"/>
    <n v="117947"/>
    <x v="2482"/>
    <x v="1918"/>
    <n v="117947"/>
  </r>
  <r>
    <s v="Coastal"/>
    <n v="4344"/>
    <s v="Port of Oakland, CA"/>
    <n v="3276"/>
    <x v="12"/>
    <x v="1061"/>
    <n v="109487"/>
    <x v="2483"/>
    <x v="1919"/>
    <n v="109511"/>
  </r>
  <r>
    <s v="Coastal"/>
    <n v="4344"/>
    <s v="Port of Oakland, CA"/>
    <n v="6653"/>
    <x v="24"/>
    <x v="10"/>
    <n v="107246"/>
    <x v="2484"/>
    <x v="1920"/>
    <n v="107246"/>
  </r>
  <r>
    <s v="Coastal"/>
    <n v="4344"/>
    <s v="Port of Oakland, CA"/>
    <n v="6522"/>
    <x v="26"/>
    <x v="10"/>
    <n v="106334"/>
    <x v="2485"/>
    <x v="1921"/>
    <n v="106334"/>
  </r>
  <r>
    <s v="Coastal"/>
    <n v="4344"/>
    <s v="Port of Oakland, CA"/>
    <n v="4331"/>
    <x v="29"/>
    <x v="2638"/>
    <n v="3483"/>
    <x v="2486"/>
    <x v="1922"/>
    <n v="97604"/>
  </r>
  <r>
    <s v="Coastal"/>
    <n v="4344"/>
    <s v="Port of Oakland, CA"/>
    <n v="3299"/>
    <x v="79"/>
    <x v="2639"/>
    <n v="93376"/>
    <x v="2487"/>
    <x v="1923"/>
    <n v="95954"/>
  </r>
  <r>
    <s v="Coastal"/>
    <n v="4344"/>
    <s v="Port of Oakland, CA"/>
    <n v="6839"/>
    <x v="106"/>
    <x v="2640"/>
    <n v="72068"/>
    <x v="2488"/>
    <x v="1924"/>
    <n v="79033"/>
  </r>
  <r>
    <s v="Coastal"/>
    <n v="4344"/>
    <s v="Port of Oakland, CA"/>
    <n v="5422"/>
    <x v="66"/>
    <x v="10"/>
    <n v="78025"/>
    <x v="2489"/>
    <x v="1925"/>
    <n v="78025"/>
  </r>
  <r>
    <s v="Coastal"/>
    <n v="4344"/>
    <s v="Port of Oakland, CA"/>
    <n v="4900"/>
    <x v="14"/>
    <x v="10"/>
    <n v="68529"/>
    <x v="2490"/>
    <x v="1926"/>
    <n v="68529"/>
  </r>
  <r>
    <s v="Coastal"/>
    <n v="4344"/>
    <s v="Port of Oakland, CA"/>
    <n v="6817"/>
    <x v="119"/>
    <x v="10"/>
    <n v="67916"/>
    <x v="876"/>
    <x v="1927"/>
    <n v="67916"/>
  </r>
  <r>
    <s v="Coastal"/>
    <n v="4344"/>
    <s v="Port of Oakland, CA"/>
    <n v="3285"/>
    <x v="87"/>
    <x v="130"/>
    <n v="67699"/>
    <x v="2491"/>
    <x v="1928"/>
    <n v="67729"/>
  </r>
  <r>
    <s v="Coastal"/>
    <n v="4344"/>
    <s v="Port of Oakland, CA"/>
    <n v="4170"/>
    <x v="55"/>
    <x v="10"/>
    <n v="65723"/>
    <x v="2492"/>
    <x v="1929"/>
    <n v="65723"/>
  </r>
  <r>
    <s v="Coastal"/>
    <n v="4344"/>
    <s v="Port of Oakland, CA"/>
    <n v="2340"/>
    <x v="3"/>
    <x v="2641"/>
    <n v="0"/>
    <x v="0"/>
    <x v="0"/>
    <n v="65441"/>
  </r>
  <r>
    <s v="Coastal"/>
    <n v="4344"/>
    <s v="Port of Oakland, CA"/>
    <n v="6893"/>
    <x v="113"/>
    <x v="10"/>
    <n v="52522"/>
    <x v="253"/>
    <x v="1930"/>
    <n v="52522"/>
  </r>
  <r>
    <s v="Coastal"/>
    <n v="4344"/>
    <s v="Port of Oakland, CA"/>
    <n v="6899"/>
    <x v="114"/>
    <x v="2642"/>
    <n v="31163"/>
    <x v="2493"/>
    <x v="1931"/>
    <n v="50955"/>
  </r>
  <r>
    <s v="Coastal"/>
    <n v="4344"/>
    <s v="Port of Oakland, CA"/>
    <n v="3275"/>
    <x v="47"/>
    <x v="10"/>
    <n v="48356"/>
    <x v="2494"/>
    <x v="1932"/>
    <n v="48356"/>
  </r>
  <r>
    <s v="Coastal"/>
    <n v="4344"/>
    <s v="Port of Oakland, CA"/>
    <n v="3292"/>
    <x v="51"/>
    <x v="10"/>
    <n v="47535"/>
    <x v="2495"/>
    <x v="1933"/>
    <n v="47535"/>
  </r>
  <r>
    <s v="Coastal"/>
    <n v="4344"/>
    <s v="Port of Oakland, CA"/>
    <n v="3230"/>
    <x v="80"/>
    <x v="10"/>
    <n v="45800"/>
    <x v="2496"/>
    <x v="1934"/>
    <n v="45800"/>
  </r>
  <r>
    <s v="Coastal"/>
    <n v="4344"/>
    <s v="Port of Oakland, CA"/>
    <n v="6894"/>
    <x v="120"/>
    <x v="10"/>
    <n v="45254"/>
    <x v="2497"/>
    <x v="383"/>
    <n v="45254"/>
  </r>
  <r>
    <s v="Coastal"/>
    <n v="4344"/>
    <s v="Port of Oakland, CA"/>
    <n v="3190"/>
    <x v="38"/>
    <x v="2643"/>
    <n v="36607"/>
    <x v="2498"/>
    <x v="1935"/>
    <n v="43623"/>
  </r>
  <r>
    <s v="Coastal"/>
    <n v="4344"/>
    <s v="Port of Oakland, CA"/>
    <n v="5330"/>
    <x v="16"/>
    <x v="10"/>
    <n v="42921"/>
    <x v="2499"/>
    <x v="1936"/>
    <n v="42921"/>
  </r>
  <r>
    <s v="Coastal"/>
    <n v="4344"/>
    <s v="Port of Oakland, CA"/>
    <n v="6861"/>
    <x v="69"/>
    <x v="10"/>
    <n v="42583"/>
    <x v="2500"/>
    <x v="1937"/>
    <n v="42583"/>
  </r>
  <r>
    <s v="Coastal"/>
    <n v="4344"/>
    <s v="Port of Oakland, CA"/>
    <n v="5370"/>
    <x v="81"/>
    <x v="2644"/>
    <n v="33182"/>
    <x v="2501"/>
    <x v="1938"/>
    <n v="37021"/>
  </r>
  <r>
    <s v="Coastal"/>
    <n v="4344"/>
    <s v="Port of Oakland, CA"/>
    <n v="6136"/>
    <x v="95"/>
    <x v="10"/>
    <n v="32999"/>
    <x v="2502"/>
    <x v="1939"/>
    <n v="32999"/>
  </r>
  <r>
    <s v="Coastal"/>
    <n v="4344"/>
    <s v="Port of Oakland, CA"/>
    <n v="6590"/>
    <x v="23"/>
    <x v="10"/>
    <n v="32831"/>
    <x v="2503"/>
    <x v="1940"/>
    <n v="32831"/>
  </r>
  <r>
    <s v="Coastal"/>
    <n v="4344"/>
    <s v="Port of Oakland, CA"/>
    <n v="3284"/>
    <x v="97"/>
    <x v="10"/>
    <n v="32294"/>
    <x v="2504"/>
    <x v="1941"/>
    <n v="32294"/>
  </r>
  <r>
    <s v="Coastal"/>
    <n v="4344"/>
    <s v="Port of Oakland, CA"/>
    <n v="6872"/>
    <x v="100"/>
    <x v="10"/>
    <n v="31313"/>
    <x v="2505"/>
    <x v="1942"/>
    <n v="31313"/>
  </r>
  <r>
    <s v="Coastal"/>
    <n v="4344"/>
    <s v="Port of Oakland, CA"/>
    <n v="4190"/>
    <x v="99"/>
    <x v="10"/>
    <n v="29936"/>
    <x v="2506"/>
    <x v="1943"/>
    <n v="29936"/>
  </r>
  <r>
    <s v="Coastal"/>
    <n v="4344"/>
    <s v="Port of Oakland, CA"/>
    <n v="6344"/>
    <x v="25"/>
    <x v="10"/>
    <n v="26383"/>
    <x v="2507"/>
    <x v="1944"/>
    <n v="26383"/>
  </r>
  <r>
    <s v="Coastal"/>
    <n v="4344"/>
    <s v="Port of Oakland, CA"/>
    <n v="6134"/>
    <x v="82"/>
    <x v="421"/>
    <n v="26144"/>
    <x v="2508"/>
    <x v="1945"/>
    <n v="26150"/>
  </r>
  <r>
    <s v="Coastal"/>
    <n v="4344"/>
    <s v="Port of Oakland, CA"/>
    <n v="4310"/>
    <x v="96"/>
    <x v="10"/>
    <n v="24682"/>
    <x v="2509"/>
    <x v="433"/>
    <n v="24682"/>
  </r>
  <r>
    <s v="Coastal"/>
    <n v="4344"/>
    <s v="Port of Oakland, CA"/>
    <n v="3240"/>
    <x v="53"/>
    <x v="10"/>
    <n v="24223"/>
    <x v="2510"/>
    <x v="1946"/>
    <n v="24223"/>
  </r>
  <r>
    <s v="Coastal"/>
    <n v="4344"/>
    <s v="Port of Oakland, CA"/>
    <n v="3220"/>
    <x v="2"/>
    <x v="10"/>
    <n v="19452"/>
    <x v="2511"/>
    <x v="1947"/>
    <n v="19452"/>
  </r>
  <r>
    <s v="Coastal"/>
    <n v="4344"/>
    <s v="Port of Oakland, CA"/>
    <n v="6835"/>
    <x v="92"/>
    <x v="10"/>
    <n v="18915"/>
    <x v="2512"/>
    <x v="1948"/>
    <n v="18915"/>
  </r>
  <r>
    <s v="Coastal"/>
    <n v="4344"/>
    <s v="Port of Oakland, CA"/>
    <n v="3250"/>
    <x v="108"/>
    <x v="10"/>
    <n v="17559"/>
    <x v="2513"/>
    <x v="1949"/>
    <n v="17559"/>
  </r>
  <r>
    <s v="Coastal"/>
    <n v="4344"/>
    <s v="Port of Oakland, CA"/>
    <n v="3282"/>
    <x v="91"/>
    <x v="2645"/>
    <n v="16636"/>
    <x v="2514"/>
    <x v="1950"/>
    <n v="16707"/>
  </r>
  <r>
    <s v="Coastal"/>
    <n v="4344"/>
    <s v="Port of Oakland, CA"/>
    <n v="2410"/>
    <x v="98"/>
    <x v="10"/>
    <n v="15374"/>
    <x v="2515"/>
    <x v="1532"/>
    <n v="15374"/>
  </r>
  <r>
    <s v="Coastal"/>
    <n v="4344"/>
    <s v="Port of Oakland, CA"/>
    <n v="6746"/>
    <x v="118"/>
    <x v="2646"/>
    <n v="14265"/>
    <x v="2516"/>
    <x v="176"/>
    <n v="14306"/>
  </r>
  <r>
    <s v="Coastal"/>
    <n v="4344"/>
    <s v="Port of Oakland, CA"/>
    <n v="4782"/>
    <x v="45"/>
    <x v="10"/>
    <n v="14229"/>
    <x v="2517"/>
    <x v="1951"/>
    <n v="14229"/>
  </r>
  <r>
    <s v="Coastal"/>
    <n v="4344"/>
    <s v="Port of Oakland, CA"/>
    <n v="5421"/>
    <x v="88"/>
    <x v="10"/>
    <n v="12686"/>
    <x v="2518"/>
    <x v="1952"/>
    <n v="12686"/>
  </r>
  <r>
    <s v="Coastal"/>
    <n v="4344"/>
    <s v="Port of Oakland, CA"/>
    <n v="5390"/>
    <x v="44"/>
    <x v="10"/>
    <n v="10968"/>
    <x v="2519"/>
    <x v="0"/>
    <n v="10968"/>
  </r>
  <r>
    <s v="Coastal"/>
    <n v="4344"/>
    <s v="Port of Oakland, CA"/>
    <n v="3291"/>
    <x v="117"/>
    <x v="2430"/>
    <n v="10203"/>
    <x v="2520"/>
    <x v="1529"/>
    <n v="10226"/>
  </r>
  <r>
    <s v="Coastal"/>
    <n v="4344"/>
    <s v="Port of Oakland, CA"/>
    <n v="5220"/>
    <x v="30"/>
    <x v="10"/>
    <n v="8562"/>
    <x v="2521"/>
    <x v="207"/>
    <n v="8562"/>
  </r>
  <r>
    <s v="Coastal"/>
    <n v="4344"/>
    <s v="Port of Oakland, CA"/>
    <n v="3279"/>
    <x v="58"/>
    <x v="10"/>
    <n v="8065"/>
    <x v="2522"/>
    <x v="1953"/>
    <n v="8065"/>
  </r>
  <r>
    <s v="Coastal"/>
    <n v="4344"/>
    <s v="Port of Oakland, CA"/>
    <n v="5360"/>
    <x v="94"/>
    <x v="2647"/>
    <n v="6072"/>
    <x v="2523"/>
    <x v="1954"/>
    <n v="7704"/>
  </r>
  <r>
    <s v="Coastal"/>
    <n v="4344"/>
    <s v="Port of Oakland, CA"/>
    <n v="4650"/>
    <x v="67"/>
    <x v="10"/>
    <n v="7319"/>
    <x v="2524"/>
    <x v="1955"/>
    <n v="7319"/>
  </r>
  <r>
    <s v="Coastal"/>
    <n v="4344"/>
    <s v="Port of Oakland, CA"/>
    <n v="2330"/>
    <x v="1"/>
    <x v="10"/>
    <n v="6860"/>
    <x v="2525"/>
    <x v="1956"/>
    <n v="6860"/>
  </r>
  <r>
    <s v="Coastal"/>
    <n v="4344"/>
    <s v="Port of Oakland, CA"/>
    <n v="1100"/>
    <x v="32"/>
    <x v="10"/>
    <n v="6069"/>
    <x v="2526"/>
    <x v="0"/>
    <n v="6069"/>
  </r>
  <r>
    <s v="Coastal"/>
    <n v="4344"/>
    <s v="Port of Oakland, CA"/>
    <n v="4783"/>
    <x v="7"/>
    <x v="10"/>
    <n v="5912"/>
    <x v="2527"/>
    <x v="1957"/>
    <n v="5912"/>
  </r>
  <r>
    <s v="Coastal"/>
    <n v="4344"/>
    <s v="Port of Oakland, CA"/>
    <n v="3293"/>
    <x v="122"/>
    <x v="10"/>
    <n v="5865"/>
    <x v="2528"/>
    <x v="1958"/>
    <n v="5865"/>
  </r>
  <r>
    <s v="Coastal"/>
    <n v="4344"/>
    <s v="Port of Oakland, CA"/>
    <n v="6856"/>
    <x v="126"/>
    <x v="10"/>
    <n v="5541"/>
    <x v="2529"/>
    <x v="401"/>
    <n v="5541"/>
  </r>
  <r>
    <s v="Coastal"/>
    <n v="4344"/>
    <s v="Port of Oakland, CA"/>
    <n v="5312"/>
    <x v="52"/>
    <x v="10"/>
    <n v="5088"/>
    <x v="2530"/>
    <x v="377"/>
    <n v="5088"/>
  </r>
  <r>
    <s v="Coastal"/>
    <n v="4344"/>
    <s v="Port of Oakland, CA"/>
    <n v="6838"/>
    <x v="131"/>
    <x v="10"/>
    <n v="4815"/>
    <x v="2531"/>
    <x v="1959"/>
    <n v="4815"/>
  </r>
  <r>
    <s v="Coastal"/>
    <n v="4344"/>
    <s v="Port of Oakland, CA"/>
    <n v="3130"/>
    <x v="37"/>
    <x v="10"/>
    <n v="4791"/>
    <x v="2532"/>
    <x v="1960"/>
    <n v="4791"/>
  </r>
  <r>
    <s v="Coastal"/>
    <n v="4344"/>
    <s v="Port of Oakland, CA"/>
    <n v="6891"/>
    <x v="93"/>
    <x v="2648"/>
    <n v="3537"/>
    <x v="2533"/>
    <x v="1961"/>
    <n v="4256"/>
  </r>
  <r>
    <s v="Coastal"/>
    <n v="4344"/>
    <s v="Port of Oakland, CA"/>
    <n v="4690"/>
    <x v="62"/>
    <x v="10"/>
    <n v="3701"/>
    <x v="2534"/>
    <x v="1962"/>
    <n v="3701"/>
  </r>
  <r>
    <s v="Coastal"/>
    <n v="4344"/>
    <s v="Port of Oakland, CA"/>
    <n v="3297"/>
    <x v="116"/>
    <x v="10"/>
    <n v="3462"/>
    <x v="2535"/>
    <x v="1963"/>
    <n v="3462"/>
  </r>
  <r>
    <s v="Coastal"/>
    <n v="4344"/>
    <s v="Port of Oakland, CA"/>
    <n v="4150"/>
    <x v="101"/>
    <x v="10"/>
    <n v="3346"/>
    <x v="2536"/>
    <x v="1964"/>
    <n v="3346"/>
  </r>
  <r>
    <s v="Coastal"/>
    <n v="4344"/>
    <s v="Port of Oakland, CA"/>
    <n v="4161"/>
    <x v="54"/>
    <x v="10"/>
    <n v="3341"/>
    <x v="2537"/>
    <x v="1965"/>
    <n v="3341"/>
  </r>
  <r>
    <s v="Coastal"/>
    <n v="4344"/>
    <s v="Port of Oakland, CA"/>
    <n v="5429"/>
    <x v="61"/>
    <x v="10"/>
    <n v="3099"/>
    <x v="2538"/>
    <x v="1966"/>
    <n v="3099"/>
  </r>
  <r>
    <s v="Coastal"/>
    <n v="4344"/>
    <s v="Port of Oakland, CA"/>
    <n v="3110"/>
    <x v="36"/>
    <x v="10"/>
    <n v="2829"/>
    <x v="2539"/>
    <x v="1023"/>
    <n v="2829"/>
  </r>
  <r>
    <s v="Coastal"/>
    <n v="4344"/>
    <s v="Port of Oakland, CA"/>
    <n v="7230"/>
    <x v="22"/>
    <x v="1190"/>
    <n v="2167"/>
    <x v="2540"/>
    <x v="1967"/>
    <n v="2300"/>
  </r>
  <r>
    <s v="Coastal"/>
    <n v="4344"/>
    <s v="Port of Oakland, CA"/>
    <n v="3219"/>
    <x v="19"/>
    <x v="10"/>
    <n v="2290"/>
    <x v="1593"/>
    <x v="1879"/>
    <n v="2290"/>
  </r>
  <r>
    <s v="Coastal"/>
    <n v="4344"/>
    <s v="Port of Oakland, CA"/>
    <n v="5315"/>
    <x v="48"/>
    <x v="10"/>
    <n v="2086"/>
    <x v="2541"/>
    <x v="121"/>
    <n v="2086"/>
  </r>
  <r>
    <s v="Coastal"/>
    <n v="4344"/>
    <s v="Port of Oakland, CA"/>
    <n v="3260"/>
    <x v="107"/>
    <x v="10"/>
    <n v="1932"/>
    <x v="2542"/>
    <x v="1968"/>
    <n v="1932"/>
  </r>
  <r>
    <s v="Coastal"/>
    <n v="4344"/>
    <s v="Port of Oakland, CA"/>
    <n v="4110"/>
    <x v="105"/>
    <x v="10"/>
    <n v="1915"/>
    <x v="2543"/>
    <x v="276"/>
    <n v="1915"/>
  </r>
  <r>
    <s v="Coastal"/>
    <n v="4344"/>
    <s v="Port of Oakland, CA"/>
    <n v="7220"/>
    <x v="103"/>
    <x v="422"/>
    <n v="1812"/>
    <x v="1324"/>
    <x v="1969"/>
    <n v="1815"/>
  </r>
  <r>
    <s v="Coastal"/>
    <n v="4344"/>
    <s v="Port of Oakland, CA"/>
    <n v="4322"/>
    <x v="33"/>
    <x v="10"/>
    <n v="1720"/>
    <x v="2544"/>
    <x v="383"/>
    <n v="1720"/>
  </r>
  <r>
    <s v="Coastal"/>
    <n v="4344"/>
    <s v="Port of Oakland, CA"/>
    <n v="6521"/>
    <x v="121"/>
    <x v="10"/>
    <n v="1700"/>
    <x v="2545"/>
    <x v="1970"/>
    <n v="1700"/>
  </r>
  <r>
    <s v="Coastal"/>
    <n v="4344"/>
    <s v="Port of Oakland, CA"/>
    <n v="2640"/>
    <x v="110"/>
    <x v="10"/>
    <n v="1485"/>
    <x v="2546"/>
    <x v="448"/>
    <n v="1485"/>
  </r>
  <r>
    <s v="Coastal"/>
    <n v="4344"/>
    <s v="Port of Oakland, CA"/>
    <n v="4670"/>
    <x v="90"/>
    <x v="10"/>
    <n v="1298"/>
    <x v="2547"/>
    <x v="0"/>
    <n v="1298"/>
  </r>
  <r>
    <s v="Coastal"/>
    <n v="4344"/>
    <s v="Port of Oakland, CA"/>
    <n v="3283"/>
    <x v="111"/>
    <x v="10"/>
    <n v="1292"/>
    <x v="925"/>
    <x v="1361"/>
    <n v="1292"/>
  </r>
  <r>
    <s v="Coastal"/>
    <n v="4344"/>
    <s v="Port of Oakland, CA"/>
    <n v="4741"/>
    <x v="56"/>
    <x v="10"/>
    <n v="1071"/>
    <x v="2548"/>
    <x v="1971"/>
    <n v="1071"/>
  </r>
  <r>
    <s v="Coastal"/>
    <n v="4344"/>
    <s v="Port of Oakland, CA"/>
    <n v="6447"/>
    <x v="132"/>
    <x v="10"/>
    <n v="1064"/>
    <x v="416"/>
    <x v="1972"/>
    <n v="1064"/>
  </r>
  <r>
    <s v="Coastal"/>
    <n v="4344"/>
    <s v="Port of Oakland, CA"/>
    <n v="7300"/>
    <x v="115"/>
    <x v="10"/>
    <n v="938"/>
    <x v="2549"/>
    <x v="1973"/>
    <n v="938"/>
  </r>
  <r>
    <s v="Coastal"/>
    <n v="4344"/>
    <s v="Port of Oakland, CA"/>
    <n v="6887"/>
    <x v="138"/>
    <x v="2612"/>
    <n v="0"/>
    <x v="0"/>
    <x v="0"/>
    <n v="875"/>
  </r>
  <r>
    <s v="Coastal"/>
    <n v="4344"/>
    <s v="Port of Oakland, CA"/>
    <n v="3281"/>
    <x v="125"/>
    <x v="10"/>
    <n v="851"/>
    <x v="1945"/>
    <x v="1560"/>
    <n v="851"/>
  </r>
  <r>
    <s v="Coastal"/>
    <n v="4344"/>
    <s v="Port of Oakland, CA"/>
    <n v="3274"/>
    <x v="86"/>
    <x v="10"/>
    <n v="841"/>
    <x v="2550"/>
    <x v="1974"/>
    <n v="841"/>
  </r>
  <r>
    <s v="Coastal"/>
    <n v="4344"/>
    <s v="Port of Oakland, CA"/>
    <n v="2211"/>
    <x v="0"/>
    <x v="10"/>
    <n v="763"/>
    <x v="0"/>
    <x v="1975"/>
    <n v="763"/>
  </r>
  <r>
    <s v="Coastal"/>
    <n v="4344"/>
    <s v="Port of Oakland, CA"/>
    <n v="6445"/>
    <x v="136"/>
    <x v="10"/>
    <n v="722"/>
    <x v="0"/>
    <x v="1183"/>
    <n v="722"/>
  </r>
  <r>
    <s v="Coastal"/>
    <n v="4344"/>
    <s v="Port of Oakland, CA"/>
    <n v="2990"/>
    <x v="102"/>
    <x v="2649"/>
    <n v="0"/>
    <x v="0"/>
    <x v="0"/>
    <n v="648"/>
  </r>
  <r>
    <s v="Coastal"/>
    <n v="4344"/>
    <s v="Port of Oakland, CA"/>
    <n v="3272"/>
    <x v="137"/>
    <x v="10"/>
    <n v="638"/>
    <x v="974"/>
    <x v="1976"/>
    <n v="638"/>
  </r>
  <r>
    <s v="Coastal"/>
    <n v="4344"/>
    <s v="Port of Oakland, CA"/>
    <n v="6443"/>
    <x v="135"/>
    <x v="10"/>
    <n v="605"/>
    <x v="0"/>
    <x v="1977"/>
    <n v="605"/>
  </r>
  <r>
    <s v="Coastal"/>
    <n v="4344"/>
    <s v="Port of Oakland, CA"/>
    <n v="6534"/>
    <x v="141"/>
    <x v="10"/>
    <n v="586"/>
    <x v="2551"/>
    <x v="0"/>
    <n v="586"/>
  </r>
  <r>
    <s v="Coastal"/>
    <n v="4344"/>
    <s v="Port of Oakland, CA"/>
    <n v="3273"/>
    <x v="46"/>
    <x v="10"/>
    <n v="482"/>
    <x v="1571"/>
    <x v="842"/>
    <n v="482"/>
  </r>
  <r>
    <s v="Coastal"/>
    <n v="4344"/>
    <s v="Port of Oakland, CA"/>
    <n v="2540"/>
    <x v="15"/>
    <x v="10"/>
    <n v="478"/>
    <x v="0"/>
    <x v="1978"/>
    <n v="478"/>
  </r>
  <r>
    <s v="Coastal"/>
    <n v="4344"/>
    <s v="Port of Oakland, CA"/>
    <n v="4515"/>
    <x v="129"/>
    <x v="10"/>
    <n v="433"/>
    <x v="1077"/>
    <x v="238"/>
    <n v="433"/>
  </r>
  <r>
    <s v="Coastal"/>
    <n v="4344"/>
    <s v="Port of Oakland, CA"/>
    <n v="5320"/>
    <x v="13"/>
    <x v="10"/>
    <n v="422"/>
    <x v="2552"/>
    <x v="125"/>
    <n v="422"/>
  </r>
  <r>
    <s v="Coastal"/>
    <n v="4344"/>
    <s v="Port of Oakland, CA"/>
    <n v="4860"/>
    <x v="31"/>
    <x v="10"/>
    <n v="414"/>
    <x v="2553"/>
    <x v="0"/>
    <n v="414"/>
  </r>
  <r>
    <s v="Coastal"/>
    <n v="4344"/>
    <s v="Port of Oakland, CA"/>
    <n v="6241"/>
    <x v="28"/>
    <x v="10"/>
    <n v="376"/>
    <x v="415"/>
    <x v="1196"/>
    <n v="376"/>
  </r>
  <r>
    <s v="Coastal"/>
    <n v="4344"/>
    <s v="Port of Oakland, CA"/>
    <n v="3298"/>
    <x v="123"/>
    <x v="10"/>
    <n v="343"/>
    <x v="494"/>
    <x v="0"/>
    <n v="343"/>
  </r>
  <r>
    <s v="Coastal"/>
    <n v="4344"/>
    <s v="Port of Oakland, CA"/>
    <n v="3211"/>
    <x v="124"/>
    <x v="10"/>
    <n v="253"/>
    <x v="581"/>
    <x v="232"/>
    <n v="253"/>
  </r>
  <r>
    <s v="Coastal"/>
    <n v="4344"/>
    <s v="Port of Oakland, CA"/>
    <n v="5210"/>
    <x v="130"/>
    <x v="10"/>
    <n v="191"/>
    <x v="2554"/>
    <x v="0"/>
    <n v="191"/>
  </r>
  <r>
    <s v="Coastal"/>
    <n v="4344"/>
    <s v="Port of Oakland, CA"/>
    <n v="4323"/>
    <x v="6"/>
    <x v="10"/>
    <n v="187"/>
    <x v="388"/>
    <x v="1029"/>
    <n v="187"/>
  </r>
  <r>
    <s v="Coastal"/>
    <n v="4344"/>
    <s v="Port of Oakland, CA"/>
    <n v="2350"/>
    <x v="40"/>
    <x v="10"/>
    <n v="181"/>
    <x v="475"/>
    <x v="1646"/>
    <n v="181"/>
  </r>
  <r>
    <s v="Coastal"/>
    <n v="4344"/>
    <s v="Port of Oakland, CA"/>
    <n v="6865"/>
    <x v="75"/>
    <x v="10"/>
    <n v="163"/>
    <x v="1197"/>
    <x v="0"/>
    <n v="163"/>
  </r>
  <r>
    <s v="Coastal"/>
    <n v="4344"/>
    <s v="Port of Oakland, CA"/>
    <n v="3120"/>
    <x v="41"/>
    <x v="10"/>
    <n v="151"/>
    <x v="695"/>
    <x v="383"/>
    <n v="151"/>
  </r>
  <r>
    <s v="Coastal"/>
    <n v="4344"/>
    <s v="Port of Oakland, CA"/>
    <n v="5110"/>
    <x v="112"/>
    <x v="10"/>
    <n v="123"/>
    <x v="609"/>
    <x v="274"/>
    <n v="123"/>
  </r>
  <r>
    <s v="Coastal"/>
    <n v="4344"/>
    <s v="Port of Oakland, CA"/>
    <n v="2430"/>
    <x v="11"/>
    <x v="10"/>
    <n v="118"/>
    <x v="212"/>
    <x v="1067"/>
    <n v="118"/>
  </r>
  <r>
    <s v="Coastal"/>
    <n v="4344"/>
    <s v="Port of Oakland, CA"/>
    <n v="4327"/>
    <x v="134"/>
    <x v="10"/>
    <n v="82"/>
    <x v="1084"/>
    <x v="0"/>
    <n v="82"/>
  </r>
  <r>
    <s v="Coastal"/>
    <n v="4344"/>
    <s v="Port of Oakland, CA"/>
    <n v="2429"/>
    <x v="17"/>
    <x v="10"/>
    <n v="24"/>
    <x v="391"/>
    <x v="0"/>
    <n v="24"/>
  </r>
  <r>
    <s v="Coastal"/>
    <n v="4344"/>
    <s v="Port of Oakland, CA"/>
    <n v="2221"/>
    <x v="9"/>
    <x v="10"/>
    <n v="8"/>
    <x v="418"/>
    <x v="0"/>
    <n v="8"/>
  </r>
  <r>
    <s v="Coastal"/>
    <n v="4344"/>
    <s v="Port of Oakland, CA"/>
    <n v="4410"/>
    <x v="34"/>
    <x v="10"/>
    <n v="8"/>
    <x v="418"/>
    <x v="0"/>
    <n v="8"/>
  </r>
  <r>
    <s v="Coastal"/>
    <n v="4344"/>
    <s v="Port of Oakland, CA"/>
    <n v="3212"/>
    <x v="39"/>
    <x v="10"/>
    <n v="2"/>
    <x v="0"/>
    <x v="284"/>
    <n v="2"/>
  </r>
  <r>
    <s v="Coastal"/>
    <n v="4713"/>
    <s v="Port of Olympia, WA"/>
    <n v="4170"/>
    <x v="55"/>
    <x v="2650"/>
    <n v="764915"/>
    <x v="0"/>
    <x v="1979"/>
    <n v="972465"/>
  </r>
  <r>
    <s v="Coastal"/>
    <n v="4713"/>
    <s v="Port of Olympia, WA"/>
    <n v="7900"/>
    <x v="21"/>
    <x v="10"/>
    <n v="9837"/>
    <x v="0"/>
    <x v="1980"/>
    <n v="9837"/>
  </r>
  <r>
    <s v="Coastal"/>
    <n v="4713"/>
    <s v="Port of Olympia, WA"/>
    <n v="6839"/>
    <x v="106"/>
    <x v="10"/>
    <n v="7774"/>
    <x v="0"/>
    <x v="1981"/>
    <n v="7774"/>
  </r>
  <r>
    <s v="Coastal"/>
    <n v="4713"/>
    <s v="Port of Olympia, WA"/>
    <n v="6442"/>
    <x v="85"/>
    <x v="10"/>
    <n v="2655"/>
    <x v="2555"/>
    <x v="0"/>
    <n v="2655"/>
  </r>
  <r>
    <s v="Coastal"/>
    <n v="4713"/>
    <s v="Port of Olympia, WA"/>
    <n v="7110"/>
    <x v="4"/>
    <x v="10"/>
    <n v="1"/>
    <x v="0"/>
    <x v="276"/>
    <n v="1"/>
  </r>
  <r>
    <s v="Coastal"/>
    <n v="1983"/>
    <s v="Port of Palm Beach District, FL"/>
    <n v="6861"/>
    <x v="69"/>
    <x v="2651"/>
    <n v="6149"/>
    <x v="295"/>
    <x v="1982"/>
    <n v="662935"/>
  </r>
  <r>
    <s v="Coastal"/>
    <n v="1983"/>
    <s v="Port of Palm Beach District, FL"/>
    <n v="7900"/>
    <x v="21"/>
    <x v="10"/>
    <n v="326373"/>
    <x v="2556"/>
    <x v="1983"/>
    <n v="326373"/>
  </r>
  <r>
    <s v="Coastal"/>
    <n v="1983"/>
    <s v="Port of Palm Beach District, FL"/>
    <n v="6654"/>
    <x v="50"/>
    <x v="10"/>
    <n v="180542"/>
    <x v="2557"/>
    <x v="1984"/>
    <n v="180542"/>
  </r>
  <r>
    <s v="Coastal"/>
    <n v="1983"/>
    <s v="Port of Palm Beach District, FL"/>
    <n v="6889"/>
    <x v="42"/>
    <x v="10"/>
    <n v="145358"/>
    <x v="2558"/>
    <x v="1985"/>
    <n v="145358"/>
  </r>
  <r>
    <s v="Coastal"/>
    <n v="1983"/>
    <s v="Port of Palm Beach District, FL"/>
    <n v="2430"/>
    <x v="11"/>
    <x v="2652"/>
    <n v="14"/>
    <x v="19"/>
    <x v="1038"/>
    <n v="115209"/>
  </r>
  <r>
    <s v="Coastal"/>
    <n v="1983"/>
    <s v="Port of Palm Beach District, FL"/>
    <n v="9900"/>
    <x v="18"/>
    <x v="10"/>
    <n v="110132"/>
    <x v="2559"/>
    <x v="1986"/>
    <n v="110132"/>
  </r>
  <r>
    <s v="Coastal"/>
    <n v="1983"/>
    <s v="Port of Palm Beach District, FL"/>
    <n v="5360"/>
    <x v="94"/>
    <x v="10"/>
    <n v="105408"/>
    <x v="2560"/>
    <x v="1987"/>
    <n v="105408"/>
  </r>
  <r>
    <s v="Coastal"/>
    <n v="1983"/>
    <s v="Port of Palm Beach District, FL"/>
    <n v="2330"/>
    <x v="1"/>
    <x v="2653"/>
    <n v="8814"/>
    <x v="2561"/>
    <x v="1988"/>
    <n v="86715"/>
  </r>
  <r>
    <s v="Coastal"/>
    <n v="1983"/>
    <s v="Port of Palm Beach District, FL"/>
    <n v="6822"/>
    <x v="84"/>
    <x v="10"/>
    <n v="86345"/>
    <x v="2562"/>
    <x v="1989"/>
    <n v="86345"/>
  </r>
  <r>
    <s v="Coastal"/>
    <n v="1983"/>
    <s v="Port of Palm Beach District, FL"/>
    <n v="6811"/>
    <x v="76"/>
    <x v="10"/>
    <n v="85319"/>
    <x v="2563"/>
    <x v="1990"/>
    <n v="85319"/>
  </r>
  <r>
    <s v="Coastal"/>
    <n v="1983"/>
    <s v="Port of Palm Beach District, FL"/>
    <n v="5220"/>
    <x v="30"/>
    <x v="10"/>
    <n v="65391"/>
    <x v="2564"/>
    <x v="1991"/>
    <n v="65391"/>
  </r>
  <r>
    <s v="Coastal"/>
    <n v="1983"/>
    <s v="Port of Palm Beach District, FL"/>
    <n v="5290"/>
    <x v="49"/>
    <x v="10"/>
    <n v="62265"/>
    <x v="2565"/>
    <x v="1992"/>
    <n v="62265"/>
  </r>
  <r>
    <s v="Coastal"/>
    <n v="1983"/>
    <s v="Port of Palm Beach District, FL"/>
    <n v="4420"/>
    <x v="8"/>
    <x v="10"/>
    <n v="57013"/>
    <x v="2566"/>
    <x v="1993"/>
    <n v="57013"/>
  </r>
  <r>
    <s v="Coastal"/>
    <n v="1983"/>
    <s v="Port of Palm Beach District, FL"/>
    <n v="7600"/>
    <x v="68"/>
    <x v="10"/>
    <n v="45422"/>
    <x v="2567"/>
    <x v="1994"/>
    <n v="45422"/>
  </r>
  <r>
    <s v="Coastal"/>
    <n v="1983"/>
    <s v="Port of Palm Beach District, FL"/>
    <n v="6747"/>
    <x v="78"/>
    <x v="10"/>
    <n v="42435"/>
    <x v="2568"/>
    <x v="1995"/>
    <n v="42435"/>
  </r>
  <r>
    <s v="Coastal"/>
    <n v="1983"/>
    <s v="Port of Palm Beach District, FL"/>
    <n v="7110"/>
    <x v="4"/>
    <x v="10"/>
    <n v="41850"/>
    <x v="2569"/>
    <x v="1996"/>
    <n v="41850"/>
  </r>
  <r>
    <s v="Coastal"/>
    <n v="1983"/>
    <s v="Port of Palm Beach District, FL"/>
    <n v="7210"/>
    <x v="59"/>
    <x v="10"/>
    <n v="35644"/>
    <x v="2570"/>
    <x v="1997"/>
    <n v="35644"/>
  </r>
  <r>
    <s v="Coastal"/>
    <n v="1983"/>
    <s v="Port of Palm Beach District, FL"/>
    <n v="3285"/>
    <x v="87"/>
    <x v="10"/>
    <n v="35395"/>
    <x v="2571"/>
    <x v="1998"/>
    <n v="35395"/>
  </r>
  <r>
    <s v="Coastal"/>
    <n v="1983"/>
    <s v="Port of Palm Beach District, FL"/>
    <n v="5480"/>
    <x v="20"/>
    <x v="10"/>
    <n v="34983"/>
    <x v="2572"/>
    <x v="1999"/>
    <n v="34983"/>
  </r>
  <r>
    <s v="Coastal"/>
    <n v="1983"/>
    <s v="Port of Palm Beach District, FL"/>
    <n v="5540"/>
    <x v="64"/>
    <x v="10"/>
    <n v="32627"/>
    <x v="1324"/>
    <x v="2000"/>
    <n v="32627"/>
  </r>
  <r>
    <s v="Coastal"/>
    <n v="1983"/>
    <s v="Port of Palm Beach District, FL"/>
    <n v="4189"/>
    <x v="65"/>
    <x v="10"/>
    <n v="32418"/>
    <x v="2415"/>
    <x v="2001"/>
    <n v="32418"/>
  </r>
  <r>
    <s v="Coastal"/>
    <n v="1983"/>
    <s v="Port of Palm Beach District, FL"/>
    <n v="6885"/>
    <x v="72"/>
    <x v="10"/>
    <n v="31070"/>
    <x v="2573"/>
    <x v="2002"/>
    <n v="31070"/>
  </r>
  <r>
    <s v="Coastal"/>
    <n v="1983"/>
    <s v="Port of Palm Beach District, FL"/>
    <n v="7500"/>
    <x v="60"/>
    <x v="10"/>
    <n v="30039"/>
    <x v="2574"/>
    <x v="2003"/>
    <n v="30039"/>
  </r>
  <r>
    <s v="Coastal"/>
    <n v="1983"/>
    <s v="Port of Palm Beach District, FL"/>
    <n v="7120"/>
    <x v="71"/>
    <x v="10"/>
    <n v="30025"/>
    <x v="2575"/>
    <x v="2004"/>
    <n v="30025"/>
  </r>
  <r>
    <s v="Coastal"/>
    <n v="1983"/>
    <s v="Port of Palm Beach District, FL"/>
    <n v="6782"/>
    <x v="27"/>
    <x v="10"/>
    <n v="29840"/>
    <x v="2576"/>
    <x v="2005"/>
    <n v="29840"/>
  </r>
  <r>
    <s v="Coastal"/>
    <n v="1983"/>
    <s v="Port of Palm Beach District, FL"/>
    <n v="6865"/>
    <x v="75"/>
    <x v="10"/>
    <n v="26306"/>
    <x v="0"/>
    <x v="2006"/>
    <n v="26306"/>
  </r>
  <r>
    <s v="Coastal"/>
    <n v="1983"/>
    <s v="Port of Palm Beach District, FL"/>
    <n v="6857"/>
    <x v="104"/>
    <x v="10"/>
    <n v="25733"/>
    <x v="2577"/>
    <x v="2007"/>
    <n v="25733"/>
  </r>
  <r>
    <s v="Coastal"/>
    <n v="1983"/>
    <s v="Port of Palm Beach District, FL"/>
    <n v="5190"/>
    <x v="83"/>
    <x v="10"/>
    <n v="25447"/>
    <x v="2578"/>
    <x v="2008"/>
    <n v="25447"/>
  </r>
  <r>
    <s v="Coastal"/>
    <n v="1983"/>
    <s v="Port of Palm Beach District, FL"/>
    <n v="3293"/>
    <x v="122"/>
    <x v="10"/>
    <n v="23926"/>
    <x v="612"/>
    <x v="2009"/>
    <n v="23926"/>
  </r>
  <r>
    <s v="Coastal"/>
    <n v="1983"/>
    <s v="Port of Palm Beach District, FL"/>
    <n v="6888"/>
    <x v="109"/>
    <x v="10"/>
    <n v="21784"/>
    <x v="611"/>
    <x v="2003"/>
    <n v="21784"/>
  </r>
  <r>
    <s v="Coastal"/>
    <n v="1983"/>
    <s v="Port of Palm Beach District, FL"/>
    <n v="6858"/>
    <x v="74"/>
    <x v="10"/>
    <n v="21016"/>
    <x v="2579"/>
    <x v="2010"/>
    <n v="21016"/>
  </r>
  <r>
    <s v="Coastal"/>
    <n v="1983"/>
    <s v="Port of Palm Beach District, FL"/>
    <n v="3190"/>
    <x v="38"/>
    <x v="10"/>
    <n v="20436"/>
    <x v="2580"/>
    <x v="2011"/>
    <n v="20436"/>
  </r>
  <r>
    <s v="Coastal"/>
    <n v="1983"/>
    <s v="Port of Palm Beach District, FL"/>
    <n v="6134"/>
    <x v="82"/>
    <x v="10"/>
    <n v="18418"/>
    <x v="2581"/>
    <x v="2012"/>
    <n v="18418"/>
  </r>
  <r>
    <s v="Coastal"/>
    <n v="1983"/>
    <s v="Port of Palm Beach District, FL"/>
    <n v="4331"/>
    <x v="29"/>
    <x v="10"/>
    <n v="15930"/>
    <x v="2582"/>
    <x v="2013"/>
    <n v="15930"/>
  </r>
  <r>
    <s v="Coastal"/>
    <n v="1983"/>
    <s v="Port of Palm Beach District, FL"/>
    <n v="6856"/>
    <x v="126"/>
    <x v="10"/>
    <n v="15628"/>
    <x v="414"/>
    <x v="2014"/>
    <n v="15628"/>
  </r>
  <r>
    <s v="Coastal"/>
    <n v="1983"/>
    <s v="Port of Palm Beach District, FL"/>
    <n v="3286"/>
    <x v="57"/>
    <x v="10"/>
    <n v="15148"/>
    <x v="2583"/>
    <x v="2015"/>
    <n v="15148"/>
  </r>
  <r>
    <s v="Coastal"/>
    <n v="1983"/>
    <s v="Port of Palm Beach District, FL"/>
    <n v="7230"/>
    <x v="22"/>
    <x v="10"/>
    <n v="14012"/>
    <x v="2584"/>
    <x v="2016"/>
    <n v="14012"/>
  </r>
  <r>
    <s v="Coastal"/>
    <n v="1983"/>
    <s v="Port of Palm Beach District, FL"/>
    <n v="6891"/>
    <x v="93"/>
    <x v="10"/>
    <n v="11878"/>
    <x v="29"/>
    <x v="2017"/>
    <n v="11878"/>
  </r>
  <r>
    <s v="Coastal"/>
    <n v="1983"/>
    <s v="Port of Palm Beach District, FL"/>
    <n v="6442"/>
    <x v="85"/>
    <x v="10"/>
    <n v="11832"/>
    <x v="1555"/>
    <x v="2018"/>
    <n v="11832"/>
  </r>
  <r>
    <s v="Coastal"/>
    <n v="1983"/>
    <s v="Port of Palm Beach District, FL"/>
    <n v="4225"/>
    <x v="10"/>
    <x v="10"/>
    <n v="11786"/>
    <x v="293"/>
    <x v="2019"/>
    <n v="11786"/>
  </r>
  <r>
    <s v="Coastal"/>
    <n v="1983"/>
    <s v="Port of Palm Beach District, FL"/>
    <n v="6899"/>
    <x v="114"/>
    <x v="10"/>
    <n v="11363"/>
    <x v="130"/>
    <x v="2020"/>
    <n v="11363"/>
  </r>
  <r>
    <s v="Coastal"/>
    <n v="1983"/>
    <s v="Port of Palm Beach District, FL"/>
    <n v="6839"/>
    <x v="106"/>
    <x v="10"/>
    <n v="11298"/>
    <x v="412"/>
    <x v="2021"/>
    <n v="11298"/>
  </r>
  <r>
    <s v="Coastal"/>
    <n v="1983"/>
    <s v="Port of Palm Beach District, FL"/>
    <n v="4900"/>
    <x v="14"/>
    <x v="10"/>
    <n v="11176"/>
    <x v="2585"/>
    <x v="2022"/>
    <n v="11176"/>
  </r>
  <r>
    <s v="Coastal"/>
    <n v="1983"/>
    <s v="Port of Palm Beach District, FL"/>
    <n v="6653"/>
    <x v="24"/>
    <x v="10"/>
    <n v="8825"/>
    <x v="384"/>
    <x v="2023"/>
    <n v="8825"/>
  </r>
  <r>
    <s v="Coastal"/>
    <n v="1983"/>
    <s v="Port of Palm Beach District, FL"/>
    <n v="7400"/>
    <x v="77"/>
    <x v="10"/>
    <n v="8584"/>
    <x v="2586"/>
    <x v="2024"/>
    <n v="8584"/>
  </r>
  <r>
    <s v="Coastal"/>
    <n v="1983"/>
    <s v="Port of Palm Beach District, FL"/>
    <n v="3220"/>
    <x v="2"/>
    <x v="10"/>
    <n v="8202"/>
    <x v="2587"/>
    <x v="2025"/>
    <n v="8202"/>
  </r>
  <r>
    <s v="Coastal"/>
    <n v="1983"/>
    <s v="Port of Palm Beach District, FL"/>
    <n v="6817"/>
    <x v="119"/>
    <x v="10"/>
    <n v="7768"/>
    <x v="2588"/>
    <x v="2026"/>
    <n v="7768"/>
  </r>
  <r>
    <s v="Coastal"/>
    <n v="1983"/>
    <s v="Port of Palm Beach District, FL"/>
    <n v="3275"/>
    <x v="47"/>
    <x v="10"/>
    <n v="7555"/>
    <x v="2589"/>
    <x v="2027"/>
    <n v="7555"/>
  </r>
  <r>
    <s v="Coastal"/>
    <n v="1983"/>
    <s v="Port of Palm Beach District, FL"/>
    <n v="5240"/>
    <x v="89"/>
    <x v="10"/>
    <n v="7335"/>
    <x v="1784"/>
    <x v="2028"/>
    <n v="7335"/>
  </r>
  <r>
    <s v="Coastal"/>
    <n v="1983"/>
    <s v="Port of Palm Beach District, FL"/>
    <n v="2211"/>
    <x v="0"/>
    <x v="10"/>
    <n v="5816"/>
    <x v="612"/>
    <x v="2029"/>
    <n v="5816"/>
  </r>
  <r>
    <s v="Coastal"/>
    <n v="1983"/>
    <s v="Port of Palm Beach District, FL"/>
    <n v="3276"/>
    <x v="12"/>
    <x v="10"/>
    <n v="5489"/>
    <x v="2590"/>
    <x v="2030"/>
    <n v="5489"/>
  </r>
  <r>
    <s v="Coastal"/>
    <n v="1983"/>
    <s v="Port of Palm Beach District, FL"/>
    <n v="3282"/>
    <x v="91"/>
    <x v="10"/>
    <n v="5113"/>
    <x v="2591"/>
    <x v="2031"/>
    <n v="5113"/>
  </r>
  <r>
    <s v="Coastal"/>
    <n v="1983"/>
    <s v="Port of Palm Beach District, FL"/>
    <n v="2640"/>
    <x v="110"/>
    <x v="10"/>
    <n v="5062"/>
    <x v="2592"/>
    <x v="2032"/>
    <n v="5062"/>
  </r>
  <r>
    <s v="Coastal"/>
    <n v="1983"/>
    <s v="Port of Palm Beach District, FL"/>
    <n v="6835"/>
    <x v="92"/>
    <x v="10"/>
    <n v="4742"/>
    <x v="2593"/>
    <x v="2033"/>
    <n v="4742"/>
  </r>
  <r>
    <s v="Coastal"/>
    <n v="1983"/>
    <s v="Port of Palm Beach District, FL"/>
    <n v="6746"/>
    <x v="118"/>
    <x v="10"/>
    <n v="4124"/>
    <x v="2594"/>
    <x v="2034"/>
    <n v="4124"/>
  </r>
  <r>
    <s v="Coastal"/>
    <n v="1983"/>
    <s v="Port of Palm Beach District, FL"/>
    <n v="3274"/>
    <x v="86"/>
    <x v="10"/>
    <n v="3981"/>
    <x v="971"/>
    <x v="2035"/>
    <n v="3981"/>
  </r>
  <r>
    <s v="Coastal"/>
    <n v="1983"/>
    <s v="Port of Palm Beach District, FL"/>
    <n v="4170"/>
    <x v="55"/>
    <x v="10"/>
    <n v="3871"/>
    <x v="19"/>
    <x v="2036"/>
    <n v="3871"/>
  </r>
  <r>
    <s v="Coastal"/>
    <n v="1983"/>
    <s v="Port of Palm Beach District, FL"/>
    <n v="5370"/>
    <x v="81"/>
    <x v="10"/>
    <n v="3452"/>
    <x v="413"/>
    <x v="2037"/>
    <n v="3452"/>
  </r>
  <r>
    <s v="Coastal"/>
    <n v="1983"/>
    <s v="Port of Palm Beach District, FL"/>
    <n v="3279"/>
    <x v="58"/>
    <x v="10"/>
    <n v="3346"/>
    <x v="609"/>
    <x v="2038"/>
    <n v="3346"/>
  </r>
  <r>
    <s v="Coastal"/>
    <n v="1983"/>
    <s v="Port of Palm Beach District, FL"/>
    <n v="3240"/>
    <x v="53"/>
    <x v="10"/>
    <n v="2693"/>
    <x v="2595"/>
    <x v="2039"/>
    <n v="2693"/>
  </r>
  <r>
    <s v="Coastal"/>
    <n v="1983"/>
    <s v="Port of Palm Beach District, FL"/>
    <n v="5120"/>
    <x v="63"/>
    <x v="10"/>
    <n v="2693"/>
    <x v="2055"/>
    <x v="1500"/>
    <n v="2693"/>
  </r>
  <r>
    <s v="Coastal"/>
    <n v="1983"/>
    <s v="Port of Palm Beach District, FL"/>
    <n v="4680"/>
    <x v="70"/>
    <x v="10"/>
    <n v="2546"/>
    <x v="2596"/>
    <x v="257"/>
    <n v="2546"/>
  </r>
  <r>
    <s v="Coastal"/>
    <n v="1983"/>
    <s v="Port of Palm Beach District, FL"/>
    <n v="5330"/>
    <x v="16"/>
    <x v="10"/>
    <n v="2399"/>
    <x v="576"/>
    <x v="2040"/>
    <n v="2399"/>
  </r>
  <r>
    <s v="Coastal"/>
    <n v="1983"/>
    <s v="Port of Palm Beach District, FL"/>
    <n v="3299"/>
    <x v="79"/>
    <x v="10"/>
    <n v="1748"/>
    <x v="503"/>
    <x v="2041"/>
    <n v="1748"/>
  </r>
  <r>
    <s v="Coastal"/>
    <n v="1983"/>
    <s v="Port of Palm Beach District, FL"/>
    <n v="3230"/>
    <x v="80"/>
    <x v="10"/>
    <n v="1546"/>
    <x v="2597"/>
    <x v="2042"/>
    <n v="1546"/>
  </r>
  <r>
    <s v="Coastal"/>
    <n v="1983"/>
    <s v="Port of Palm Beach District, FL"/>
    <n v="6344"/>
    <x v="25"/>
    <x v="10"/>
    <n v="1526"/>
    <x v="1602"/>
    <x v="2043"/>
    <n v="1526"/>
  </r>
  <r>
    <s v="Coastal"/>
    <n v="1983"/>
    <s v="Port of Palm Beach District, FL"/>
    <n v="3284"/>
    <x v="97"/>
    <x v="10"/>
    <n v="1518"/>
    <x v="1558"/>
    <x v="2044"/>
    <n v="1518"/>
  </r>
  <r>
    <s v="Coastal"/>
    <n v="1983"/>
    <s v="Port of Palm Beach District, FL"/>
    <n v="3291"/>
    <x v="117"/>
    <x v="10"/>
    <n v="1511"/>
    <x v="2598"/>
    <x v="2045"/>
    <n v="1511"/>
  </r>
  <r>
    <s v="Coastal"/>
    <n v="1983"/>
    <s v="Port of Palm Beach District, FL"/>
    <n v="4783"/>
    <x v="7"/>
    <x v="10"/>
    <n v="1395"/>
    <x v="19"/>
    <x v="2046"/>
    <n v="1395"/>
  </r>
  <r>
    <s v="Coastal"/>
    <n v="1983"/>
    <s v="Port of Palm Beach District, FL"/>
    <n v="3219"/>
    <x v="19"/>
    <x v="10"/>
    <n v="1302"/>
    <x v="2147"/>
    <x v="2047"/>
    <n v="1302"/>
  </r>
  <r>
    <s v="Coastal"/>
    <n v="1983"/>
    <s v="Port of Palm Beach District, FL"/>
    <n v="5422"/>
    <x v="66"/>
    <x v="10"/>
    <n v="1288"/>
    <x v="1355"/>
    <x v="2048"/>
    <n v="1288"/>
  </r>
  <r>
    <s v="Coastal"/>
    <n v="1983"/>
    <s v="Port of Palm Beach District, FL"/>
    <n v="4322"/>
    <x v="33"/>
    <x v="10"/>
    <n v="1105"/>
    <x v="0"/>
    <x v="366"/>
    <n v="1105"/>
  </r>
  <r>
    <s v="Coastal"/>
    <n v="1983"/>
    <s v="Port of Palm Beach District, FL"/>
    <n v="6136"/>
    <x v="95"/>
    <x v="10"/>
    <n v="1101"/>
    <x v="436"/>
    <x v="118"/>
    <n v="1101"/>
  </r>
  <r>
    <s v="Coastal"/>
    <n v="1983"/>
    <s v="Port of Palm Beach District, FL"/>
    <n v="5110"/>
    <x v="112"/>
    <x v="10"/>
    <n v="1076"/>
    <x v="1490"/>
    <x v="2049"/>
    <n v="1076"/>
  </r>
  <r>
    <s v="Coastal"/>
    <n v="1983"/>
    <s v="Port of Palm Beach District, FL"/>
    <n v="2221"/>
    <x v="9"/>
    <x v="10"/>
    <n v="957"/>
    <x v="0"/>
    <x v="2050"/>
    <n v="957"/>
  </r>
  <r>
    <s v="Coastal"/>
    <n v="1983"/>
    <s v="Port of Palm Beach District, FL"/>
    <n v="4190"/>
    <x v="99"/>
    <x v="10"/>
    <n v="911"/>
    <x v="1084"/>
    <x v="1022"/>
    <n v="911"/>
  </r>
  <r>
    <s v="Coastal"/>
    <n v="1983"/>
    <s v="Port of Palm Beach District, FL"/>
    <n v="3297"/>
    <x v="116"/>
    <x v="10"/>
    <n v="886"/>
    <x v="720"/>
    <x v="2051"/>
    <n v="886"/>
  </r>
  <r>
    <s v="Coastal"/>
    <n v="1983"/>
    <s v="Port of Palm Beach District, FL"/>
    <n v="6781"/>
    <x v="128"/>
    <x v="10"/>
    <n v="881"/>
    <x v="2402"/>
    <x v="2052"/>
    <n v="881"/>
  </r>
  <r>
    <s v="Coastal"/>
    <n v="1983"/>
    <s v="Port of Palm Beach District, FL"/>
    <n v="5421"/>
    <x v="88"/>
    <x v="10"/>
    <n v="866"/>
    <x v="0"/>
    <x v="2053"/>
    <n v="866"/>
  </r>
  <r>
    <s v="Coastal"/>
    <n v="1983"/>
    <s v="Port of Palm Beach District, FL"/>
    <n v="2540"/>
    <x v="15"/>
    <x v="10"/>
    <n v="852"/>
    <x v="2599"/>
    <x v="1141"/>
    <n v="852"/>
  </r>
  <r>
    <s v="Coastal"/>
    <n v="1983"/>
    <s v="Port of Palm Beach District, FL"/>
    <n v="4323"/>
    <x v="6"/>
    <x v="10"/>
    <n v="794"/>
    <x v="459"/>
    <x v="2054"/>
    <n v="794"/>
  </r>
  <r>
    <s v="Coastal"/>
    <n v="1983"/>
    <s v="Port of Palm Beach District, FL"/>
    <n v="6894"/>
    <x v="120"/>
    <x v="10"/>
    <n v="785"/>
    <x v="2600"/>
    <x v="2055"/>
    <n v="785"/>
  </r>
  <r>
    <s v="Coastal"/>
    <n v="1983"/>
    <s v="Port of Palm Beach District, FL"/>
    <n v="3250"/>
    <x v="108"/>
    <x v="10"/>
    <n v="675"/>
    <x v="391"/>
    <x v="1066"/>
    <n v="675"/>
  </r>
  <r>
    <s v="Coastal"/>
    <n v="1983"/>
    <s v="Port of Palm Beach District, FL"/>
    <n v="7220"/>
    <x v="103"/>
    <x v="10"/>
    <n v="610"/>
    <x v="151"/>
    <x v="1002"/>
    <n v="610"/>
  </r>
  <r>
    <s v="Coastal"/>
    <n v="1983"/>
    <s v="Port of Palm Beach District, FL"/>
    <n v="4782"/>
    <x v="45"/>
    <x v="10"/>
    <n v="515"/>
    <x v="19"/>
    <x v="2056"/>
    <n v="515"/>
  </r>
  <r>
    <s v="Coastal"/>
    <n v="1983"/>
    <s v="Port of Palm Beach District, FL"/>
    <n v="6893"/>
    <x v="113"/>
    <x v="10"/>
    <n v="464"/>
    <x v="393"/>
    <x v="2057"/>
    <n v="464"/>
  </r>
  <r>
    <s v="Coastal"/>
    <n v="1983"/>
    <s v="Port of Palm Beach District, FL"/>
    <n v="5429"/>
    <x v="61"/>
    <x v="10"/>
    <n v="462"/>
    <x v="2601"/>
    <x v="401"/>
    <n v="462"/>
  </r>
  <r>
    <s v="Coastal"/>
    <n v="1983"/>
    <s v="Port of Palm Beach District, FL"/>
    <n v="4310"/>
    <x v="96"/>
    <x v="10"/>
    <n v="417"/>
    <x v="312"/>
    <x v="1431"/>
    <n v="417"/>
  </r>
  <r>
    <s v="Coastal"/>
    <n v="1983"/>
    <s v="Port of Palm Beach District, FL"/>
    <n v="6871"/>
    <x v="73"/>
    <x v="10"/>
    <n v="380"/>
    <x v="392"/>
    <x v="2058"/>
    <n v="380"/>
  </r>
  <r>
    <s v="Coastal"/>
    <n v="1983"/>
    <s v="Port of Palm Beach District, FL"/>
    <n v="1100"/>
    <x v="32"/>
    <x v="10"/>
    <n v="364"/>
    <x v="2602"/>
    <x v="448"/>
    <n v="364"/>
  </r>
  <r>
    <s v="Coastal"/>
    <n v="1983"/>
    <s v="Port of Palm Beach District, FL"/>
    <n v="3292"/>
    <x v="51"/>
    <x v="10"/>
    <n v="360"/>
    <x v="555"/>
    <x v="2059"/>
    <n v="360"/>
  </r>
  <r>
    <s v="Coastal"/>
    <n v="1983"/>
    <s v="Port of Palm Beach District, FL"/>
    <n v="2350"/>
    <x v="40"/>
    <x v="10"/>
    <n v="291"/>
    <x v="407"/>
    <x v="451"/>
    <n v="291"/>
  </r>
  <r>
    <s v="Coastal"/>
    <n v="1983"/>
    <s v="Port of Palm Beach District, FL"/>
    <n v="3211"/>
    <x v="124"/>
    <x v="10"/>
    <n v="280"/>
    <x v="0"/>
    <x v="2060"/>
    <n v="280"/>
  </r>
  <r>
    <s v="Coastal"/>
    <n v="1983"/>
    <s v="Port of Palm Beach District, FL"/>
    <n v="6590"/>
    <x v="23"/>
    <x v="10"/>
    <n v="261"/>
    <x v="446"/>
    <x v="1560"/>
    <n v="261"/>
  </r>
  <r>
    <s v="Coastal"/>
    <n v="1983"/>
    <s v="Port of Palm Beach District, FL"/>
    <n v="2990"/>
    <x v="102"/>
    <x v="10"/>
    <n v="255"/>
    <x v="2131"/>
    <x v="0"/>
    <n v="255"/>
  </r>
  <r>
    <s v="Coastal"/>
    <n v="1983"/>
    <s v="Port of Palm Beach District, FL"/>
    <n v="6838"/>
    <x v="131"/>
    <x v="10"/>
    <n v="204"/>
    <x v="393"/>
    <x v="102"/>
    <n v="204"/>
  </r>
  <r>
    <s v="Coastal"/>
    <n v="1983"/>
    <s v="Port of Palm Beach District, FL"/>
    <n v="3260"/>
    <x v="107"/>
    <x v="10"/>
    <n v="195"/>
    <x v="154"/>
    <x v="227"/>
    <n v="195"/>
  </r>
  <r>
    <s v="Coastal"/>
    <n v="1983"/>
    <s v="Port of Palm Beach District, FL"/>
    <n v="3283"/>
    <x v="111"/>
    <x v="10"/>
    <n v="183"/>
    <x v="390"/>
    <x v="513"/>
    <n v="183"/>
  </r>
  <r>
    <s v="Coastal"/>
    <n v="1983"/>
    <s v="Port of Palm Beach District, FL"/>
    <n v="2410"/>
    <x v="98"/>
    <x v="10"/>
    <n v="179"/>
    <x v="207"/>
    <x v="1356"/>
    <n v="179"/>
  </r>
  <r>
    <s v="Coastal"/>
    <n v="1983"/>
    <s v="Port of Palm Beach District, FL"/>
    <n v="5390"/>
    <x v="44"/>
    <x v="10"/>
    <n v="176"/>
    <x v="415"/>
    <x v="819"/>
    <n v="176"/>
  </r>
  <r>
    <s v="Coastal"/>
    <n v="1983"/>
    <s v="Port of Palm Beach District, FL"/>
    <n v="5312"/>
    <x v="52"/>
    <x v="10"/>
    <n v="154"/>
    <x v="819"/>
    <x v="1067"/>
    <n v="154"/>
  </r>
  <r>
    <s v="Coastal"/>
    <n v="1983"/>
    <s v="Port of Palm Beach District, FL"/>
    <n v="6445"/>
    <x v="136"/>
    <x v="10"/>
    <n v="150"/>
    <x v="1523"/>
    <x v="758"/>
    <n v="150"/>
  </r>
  <r>
    <s v="Coastal"/>
    <n v="1983"/>
    <s v="Port of Palm Beach District, FL"/>
    <n v="3110"/>
    <x v="36"/>
    <x v="10"/>
    <n v="141"/>
    <x v="0"/>
    <x v="2061"/>
    <n v="141"/>
  </r>
  <r>
    <s v="Coastal"/>
    <n v="1983"/>
    <s v="Port of Palm Beach District, FL"/>
    <n v="6521"/>
    <x v="121"/>
    <x v="10"/>
    <n v="99"/>
    <x v="0"/>
    <x v="1072"/>
    <n v="99"/>
  </r>
  <r>
    <s v="Coastal"/>
    <n v="1983"/>
    <s v="Port of Palm Beach District, FL"/>
    <n v="4161"/>
    <x v="54"/>
    <x v="10"/>
    <n v="82"/>
    <x v="0"/>
    <x v="700"/>
    <n v="82"/>
  </r>
  <r>
    <s v="Coastal"/>
    <n v="1983"/>
    <s v="Port of Palm Beach District, FL"/>
    <n v="4515"/>
    <x v="129"/>
    <x v="10"/>
    <n v="58"/>
    <x v="414"/>
    <x v="235"/>
    <n v="58"/>
  </r>
  <r>
    <s v="Coastal"/>
    <n v="1983"/>
    <s v="Port of Palm Beach District, FL"/>
    <n v="4650"/>
    <x v="67"/>
    <x v="10"/>
    <n v="53"/>
    <x v="0"/>
    <x v="214"/>
    <n v="53"/>
  </r>
  <r>
    <s v="Coastal"/>
    <n v="1983"/>
    <s v="Port of Palm Beach District, FL"/>
    <n v="7300"/>
    <x v="115"/>
    <x v="10"/>
    <n v="53"/>
    <x v="207"/>
    <x v="2062"/>
    <n v="53"/>
  </r>
  <r>
    <s v="Coastal"/>
    <n v="1983"/>
    <s v="Port of Palm Beach District, FL"/>
    <n v="3130"/>
    <x v="37"/>
    <x v="10"/>
    <n v="36"/>
    <x v="0"/>
    <x v="543"/>
    <n v="36"/>
  </r>
  <r>
    <s v="Coastal"/>
    <n v="1983"/>
    <s v="Port of Palm Beach District, FL"/>
    <n v="4690"/>
    <x v="62"/>
    <x v="10"/>
    <n v="36"/>
    <x v="0"/>
    <x v="543"/>
    <n v="36"/>
  </r>
  <r>
    <s v="Coastal"/>
    <n v="1983"/>
    <s v="Port of Palm Beach District, FL"/>
    <n v="4150"/>
    <x v="101"/>
    <x v="10"/>
    <n v="34"/>
    <x v="0"/>
    <x v="409"/>
    <n v="34"/>
  </r>
  <r>
    <s v="Coastal"/>
    <n v="1983"/>
    <s v="Port of Palm Beach District, FL"/>
    <n v="6534"/>
    <x v="141"/>
    <x v="10"/>
    <n v="23"/>
    <x v="504"/>
    <x v="235"/>
    <n v="23"/>
  </r>
  <r>
    <s v="Coastal"/>
    <n v="1983"/>
    <s v="Port of Palm Beach District, FL"/>
    <n v="4410"/>
    <x v="34"/>
    <x v="10"/>
    <n v="21"/>
    <x v="0"/>
    <x v="129"/>
    <n v="21"/>
  </r>
  <r>
    <s v="Coastal"/>
    <n v="1983"/>
    <s v="Port of Palm Beach District, FL"/>
    <n v="6522"/>
    <x v="26"/>
    <x v="10"/>
    <n v="21"/>
    <x v="0"/>
    <x v="129"/>
    <n v="21"/>
  </r>
  <r>
    <s v="Coastal"/>
    <n v="1983"/>
    <s v="Port of Palm Beach District, FL"/>
    <n v="3212"/>
    <x v="39"/>
    <x v="10"/>
    <n v="7"/>
    <x v="311"/>
    <x v="0"/>
    <n v="7"/>
  </r>
  <r>
    <s v="Coastal"/>
    <n v="1983"/>
    <s v="Port of Palm Beach District, FL"/>
    <n v="5320"/>
    <x v="13"/>
    <x v="10"/>
    <n v="7"/>
    <x v="19"/>
    <x v="131"/>
    <n v="7"/>
  </r>
  <r>
    <s v="Coastal"/>
    <n v="1983"/>
    <s v="Port of Palm Beach District, FL"/>
    <n v="3273"/>
    <x v="46"/>
    <x v="10"/>
    <n v="6"/>
    <x v="207"/>
    <x v="0"/>
    <n v="6"/>
  </r>
  <r>
    <s v="Coastal"/>
    <n v="1983"/>
    <s v="Port of Palm Beach District, FL"/>
    <n v="6241"/>
    <x v="28"/>
    <x v="10"/>
    <n v="3"/>
    <x v="0"/>
    <x v="128"/>
    <n v="3"/>
  </r>
  <r>
    <s v="Coastal"/>
    <n v="1983"/>
    <s v="Port of Palm Beach District, FL"/>
    <n v="6872"/>
    <x v="100"/>
    <x v="10"/>
    <n v="3"/>
    <x v="0"/>
    <x v="128"/>
    <n v="3"/>
  </r>
  <r>
    <s v="Coastal"/>
    <n v="1983"/>
    <s v="Port of Palm Beach District, FL"/>
    <n v="6443"/>
    <x v="135"/>
    <x v="10"/>
    <n v="2"/>
    <x v="212"/>
    <x v="0"/>
    <n v="2"/>
  </r>
  <r>
    <s v="Coastal"/>
    <n v="1983"/>
    <s v="Port of Palm Beach District, FL"/>
    <n v="5210"/>
    <x v="130"/>
    <x v="10"/>
    <n v="1"/>
    <x v="0"/>
    <x v="276"/>
    <n v="1"/>
  </r>
  <r>
    <s v="Coastal"/>
    <n v="1995"/>
    <s v="Port of Pascagoula, MS"/>
    <n v="2330"/>
    <x v="1"/>
    <x v="2654"/>
    <n v="4135990"/>
    <x v="2603"/>
    <x v="2063"/>
    <n v="6149101"/>
  </r>
  <r>
    <s v="Coastal"/>
    <n v="1995"/>
    <s v="Port of Pascagoula, MS"/>
    <n v="2211"/>
    <x v="0"/>
    <x v="2655"/>
    <n v="1473355"/>
    <x v="2604"/>
    <x v="2064"/>
    <n v="4755488"/>
  </r>
  <r>
    <s v="Coastal"/>
    <n v="1995"/>
    <s v="Port of Pascagoula, MS"/>
    <n v="2100"/>
    <x v="35"/>
    <x v="2656"/>
    <n v="3625111"/>
    <x v="2605"/>
    <x v="0"/>
    <n v="3863532"/>
  </r>
  <r>
    <s v="Coastal"/>
    <n v="1995"/>
    <s v="Port of Pascagoula, MS"/>
    <n v="2221"/>
    <x v="9"/>
    <x v="2657"/>
    <n v="554220"/>
    <x v="0"/>
    <x v="2065"/>
    <n v="2639846"/>
  </r>
  <r>
    <s v="Coastal"/>
    <n v="1995"/>
    <s v="Port of Pascagoula, MS"/>
    <n v="2540"/>
    <x v="15"/>
    <x v="10"/>
    <n v="1959806"/>
    <x v="0"/>
    <x v="2066"/>
    <n v="1959806"/>
  </r>
  <r>
    <s v="Coastal"/>
    <n v="1995"/>
    <s v="Port of Pascagoula, MS"/>
    <n v="2340"/>
    <x v="3"/>
    <x v="2658"/>
    <n v="1282638"/>
    <x v="2606"/>
    <x v="0"/>
    <n v="1457078"/>
  </r>
  <r>
    <s v="Coastal"/>
    <n v="1995"/>
    <s v="Port of Pascagoula, MS"/>
    <n v="2350"/>
    <x v="40"/>
    <x v="2659"/>
    <n v="562406"/>
    <x v="0"/>
    <x v="2067"/>
    <n v="886050"/>
  </r>
  <r>
    <s v="Coastal"/>
    <n v="1995"/>
    <s v="Port of Pascagoula, MS"/>
    <n v="3212"/>
    <x v="39"/>
    <x v="2660"/>
    <n v="0"/>
    <x v="0"/>
    <x v="0"/>
    <n v="540918"/>
  </r>
  <r>
    <s v="Coastal"/>
    <n v="1995"/>
    <s v="Port of Pascagoula, MS"/>
    <n v="3211"/>
    <x v="124"/>
    <x v="2661"/>
    <n v="0"/>
    <x v="0"/>
    <x v="0"/>
    <n v="336089"/>
  </r>
  <r>
    <s v="Coastal"/>
    <n v="1995"/>
    <s v="Port of Pascagoula, MS"/>
    <n v="3271"/>
    <x v="133"/>
    <x v="2662"/>
    <n v="0"/>
    <x v="0"/>
    <x v="0"/>
    <n v="229781"/>
  </r>
  <r>
    <s v="Coastal"/>
    <n v="1995"/>
    <s v="Port of Pascagoula, MS"/>
    <n v="2990"/>
    <x v="102"/>
    <x v="10"/>
    <n v="168440"/>
    <x v="2607"/>
    <x v="0"/>
    <n v="168440"/>
  </r>
  <r>
    <s v="Coastal"/>
    <n v="1995"/>
    <s v="Port of Pascagoula, MS"/>
    <n v="2429"/>
    <x v="17"/>
    <x v="2663"/>
    <n v="91712"/>
    <x v="0"/>
    <x v="2068"/>
    <n v="162978"/>
  </r>
  <r>
    <s v="Coastal"/>
    <n v="1995"/>
    <s v="Port of Pascagoula, MS"/>
    <n v="2640"/>
    <x v="110"/>
    <x v="2664"/>
    <n v="0"/>
    <x v="0"/>
    <x v="0"/>
    <n v="127391"/>
  </r>
  <r>
    <s v="Coastal"/>
    <n v="1995"/>
    <s v="Port of Pascagoula, MS"/>
    <n v="3220"/>
    <x v="2"/>
    <x v="2665"/>
    <n v="0"/>
    <x v="0"/>
    <x v="0"/>
    <n v="80518"/>
  </r>
  <r>
    <s v="Coastal"/>
    <n v="1995"/>
    <s v="Port of Pascagoula, MS"/>
    <n v="1200"/>
    <x v="43"/>
    <x v="10"/>
    <n v="72224"/>
    <x v="0"/>
    <x v="2069"/>
    <n v="72224"/>
  </r>
  <r>
    <s v="Coastal"/>
    <n v="1995"/>
    <s v="Port of Pascagoula, MS"/>
    <n v="3272"/>
    <x v="137"/>
    <x v="2666"/>
    <n v="0"/>
    <x v="0"/>
    <x v="0"/>
    <n v="71295"/>
  </r>
  <r>
    <s v="Coastal"/>
    <n v="1995"/>
    <s v="Port of Pascagoula, MS"/>
    <n v="3299"/>
    <x v="79"/>
    <x v="2667"/>
    <n v="0"/>
    <x v="0"/>
    <x v="0"/>
    <n v="69944"/>
  </r>
  <r>
    <s v="Coastal"/>
    <n v="1995"/>
    <s v="Port of Pascagoula, MS"/>
    <n v="4189"/>
    <x v="65"/>
    <x v="10"/>
    <n v="43051"/>
    <x v="0"/>
    <x v="2070"/>
    <n v="43051"/>
  </r>
  <r>
    <s v="Coastal"/>
    <n v="1995"/>
    <s v="Port of Pascagoula, MS"/>
    <n v="2430"/>
    <x v="11"/>
    <x v="2668"/>
    <n v="0"/>
    <x v="0"/>
    <x v="0"/>
    <n v="27879"/>
  </r>
  <r>
    <s v="Coastal"/>
    <n v="1995"/>
    <s v="Port of Pascagoula, MS"/>
    <n v="5320"/>
    <x v="13"/>
    <x v="10"/>
    <n v="25177"/>
    <x v="0"/>
    <x v="2071"/>
    <n v="25177"/>
  </r>
  <r>
    <s v="Coastal"/>
    <n v="1995"/>
    <s v="Port of Pascagoula, MS"/>
    <n v="5330"/>
    <x v="16"/>
    <x v="2669"/>
    <n v="0"/>
    <x v="0"/>
    <x v="0"/>
    <n v="13400"/>
  </r>
  <r>
    <s v="Coastal"/>
    <n v="1995"/>
    <s v="Port of Pascagoula, MS"/>
    <n v="3274"/>
    <x v="86"/>
    <x v="2670"/>
    <n v="0"/>
    <x v="0"/>
    <x v="0"/>
    <n v="9951"/>
  </r>
  <r>
    <s v="Coastal"/>
    <n v="1995"/>
    <s v="Port of Pascagoula, MS"/>
    <n v="5120"/>
    <x v="63"/>
    <x v="10"/>
    <n v="9565"/>
    <x v="0"/>
    <x v="2072"/>
    <n v="9565"/>
  </r>
  <r>
    <s v="Coastal"/>
    <n v="1995"/>
    <s v="Port of Pascagoula, MS"/>
    <n v="6782"/>
    <x v="27"/>
    <x v="2671"/>
    <n v="0"/>
    <x v="0"/>
    <x v="0"/>
    <n v="8853"/>
  </r>
  <r>
    <s v="Coastal"/>
    <n v="1995"/>
    <s v="Port of Pascagoula, MS"/>
    <n v="3219"/>
    <x v="19"/>
    <x v="2672"/>
    <n v="0"/>
    <x v="0"/>
    <x v="0"/>
    <n v="7588"/>
  </r>
  <r>
    <s v="Coastal"/>
    <n v="1995"/>
    <s v="Port of Pascagoula, MS"/>
    <n v="5540"/>
    <x v="64"/>
    <x v="10"/>
    <n v="6409"/>
    <x v="2608"/>
    <x v="2073"/>
    <n v="6409"/>
  </r>
  <r>
    <s v="Coastal"/>
    <n v="1995"/>
    <s v="Port of Pascagoula, MS"/>
    <n v="4170"/>
    <x v="55"/>
    <x v="10"/>
    <n v="4837"/>
    <x v="0"/>
    <x v="2074"/>
    <n v="4837"/>
  </r>
  <r>
    <s v="Coastal"/>
    <n v="1995"/>
    <s v="Port of Pascagoula, MS"/>
    <n v="4322"/>
    <x v="33"/>
    <x v="2673"/>
    <n v="0"/>
    <x v="0"/>
    <x v="0"/>
    <n v="4757"/>
  </r>
  <r>
    <s v="Coastal"/>
    <n v="1995"/>
    <s v="Port of Pascagoula, MS"/>
    <n v="7110"/>
    <x v="4"/>
    <x v="2674"/>
    <n v="3820"/>
    <x v="2609"/>
    <x v="454"/>
    <n v="4143"/>
  </r>
  <r>
    <s v="Coastal"/>
    <n v="1995"/>
    <s v="Port of Pascagoula, MS"/>
    <n v="6344"/>
    <x v="25"/>
    <x v="10"/>
    <n v="3700"/>
    <x v="0"/>
    <x v="2075"/>
    <n v="3700"/>
  </r>
  <r>
    <s v="Coastal"/>
    <n v="1995"/>
    <s v="Port of Pascagoula, MS"/>
    <n v="4420"/>
    <x v="8"/>
    <x v="448"/>
    <n v="0"/>
    <x v="0"/>
    <x v="0"/>
    <n v="3000"/>
  </r>
  <r>
    <s v="Coastal"/>
    <n v="1995"/>
    <s v="Port of Pascagoula, MS"/>
    <n v="3286"/>
    <x v="57"/>
    <x v="10"/>
    <n v="2145"/>
    <x v="2610"/>
    <x v="0"/>
    <n v="2145"/>
  </r>
  <r>
    <s v="Coastal"/>
    <n v="1995"/>
    <s v="Port of Pascagoula, MS"/>
    <n v="5360"/>
    <x v="94"/>
    <x v="10"/>
    <n v="2087"/>
    <x v="0"/>
    <x v="2076"/>
    <n v="2087"/>
  </r>
  <r>
    <s v="Coastal"/>
    <n v="1995"/>
    <s v="Port of Pascagoula, MS"/>
    <n v="3273"/>
    <x v="46"/>
    <x v="79"/>
    <n v="0"/>
    <x v="0"/>
    <x v="0"/>
    <n v="1700"/>
  </r>
  <r>
    <s v="Coastal"/>
    <n v="1995"/>
    <s v="Port of Pascagoula, MS"/>
    <n v="4860"/>
    <x v="31"/>
    <x v="1497"/>
    <n v="0"/>
    <x v="0"/>
    <x v="0"/>
    <n v="1500"/>
  </r>
  <r>
    <s v="Coastal"/>
    <n v="1995"/>
    <s v="Port of Pascagoula, MS"/>
    <n v="3297"/>
    <x v="116"/>
    <x v="10"/>
    <n v="1401"/>
    <x v="0"/>
    <x v="2077"/>
    <n v="1401"/>
  </r>
  <r>
    <s v="Coastal"/>
    <n v="1995"/>
    <s v="Port of Pascagoula, MS"/>
    <n v="6838"/>
    <x v="131"/>
    <x v="632"/>
    <n v="0"/>
    <x v="0"/>
    <x v="0"/>
    <n v="1400"/>
  </r>
  <r>
    <s v="Coastal"/>
    <n v="1995"/>
    <s v="Port of Pascagoula, MS"/>
    <n v="5480"/>
    <x v="20"/>
    <x v="10"/>
    <n v="1259"/>
    <x v="1913"/>
    <x v="765"/>
    <n v="1259"/>
  </r>
  <r>
    <s v="Coastal"/>
    <n v="1995"/>
    <s v="Port of Pascagoula, MS"/>
    <n v="7500"/>
    <x v="60"/>
    <x v="10"/>
    <n v="1155"/>
    <x v="0"/>
    <x v="2078"/>
    <n v="1155"/>
  </r>
  <r>
    <s v="Coastal"/>
    <n v="1995"/>
    <s v="Port of Pascagoula, MS"/>
    <n v="6653"/>
    <x v="24"/>
    <x v="10"/>
    <n v="882"/>
    <x v="0"/>
    <x v="2079"/>
    <n v="882"/>
  </r>
  <r>
    <s v="Coastal"/>
    <n v="1995"/>
    <s v="Port of Pascagoula, MS"/>
    <n v="7400"/>
    <x v="77"/>
    <x v="10"/>
    <n v="868"/>
    <x v="601"/>
    <x v="0"/>
    <n v="868"/>
  </r>
  <r>
    <s v="Coastal"/>
    <n v="1995"/>
    <s v="Port of Pascagoula, MS"/>
    <n v="4331"/>
    <x v="29"/>
    <x v="10"/>
    <n v="229"/>
    <x v="2611"/>
    <x v="0"/>
    <n v="229"/>
  </r>
  <r>
    <s v="Coastal"/>
    <n v="1995"/>
    <s v="Port of Pascagoula, MS"/>
    <n v="7900"/>
    <x v="21"/>
    <x v="1191"/>
    <n v="100"/>
    <x v="389"/>
    <x v="0"/>
    <n v="169"/>
  </r>
  <r>
    <s v="Coastal"/>
    <n v="1995"/>
    <s v="Port of Pascagoula, MS"/>
    <n v="7120"/>
    <x v="71"/>
    <x v="10"/>
    <n v="166"/>
    <x v="527"/>
    <x v="0"/>
    <n v="166"/>
  </r>
  <r>
    <s v="Coastal"/>
    <n v="1995"/>
    <s v="Port of Pascagoula, MS"/>
    <n v="9900"/>
    <x v="18"/>
    <x v="10"/>
    <n v="138"/>
    <x v="2612"/>
    <x v="0"/>
    <n v="138"/>
  </r>
  <r>
    <s v="Coastal"/>
    <n v="1995"/>
    <s v="Port of Pascagoula, MS"/>
    <n v="5370"/>
    <x v="81"/>
    <x v="10"/>
    <n v="26"/>
    <x v="415"/>
    <x v="0"/>
    <n v="26"/>
  </r>
  <r>
    <s v="Coastal"/>
    <n v="1995"/>
    <s v="Port of Pascagoula, MS"/>
    <n v="5390"/>
    <x v="44"/>
    <x v="10"/>
    <n v="7"/>
    <x v="0"/>
    <x v="166"/>
    <n v="7"/>
  </r>
  <r>
    <s v="Coastal"/>
    <n v="1995"/>
    <s v="Port of Pascagoula, MS"/>
    <n v="7230"/>
    <x v="22"/>
    <x v="10"/>
    <n v="3"/>
    <x v="393"/>
    <x v="0"/>
    <n v="3"/>
  </r>
  <r>
    <s v="Coastal"/>
    <n v="1995"/>
    <s v="Port of Pascagoula, MS"/>
    <n v="3275"/>
    <x v="47"/>
    <x v="10"/>
    <n v="2"/>
    <x v="212"/>
    <x v="0"/>
    <n v="2"/>
  </r>
  <r>
    <s v="Coastal"/>
    <n v="1995"/>
    <s v="Port of Pascagoula, MS"/>
    <n v="7210"/>
    <x v="59"/>
    <x v="10"/>
    <n v="1"/>
    <x v="19"/>
    <x v="0"/>
    <n v="1"/>
  </r>
  <r>
    <s v="Coastal"/>
    <n v="1991"/>
    <s v="Port of Pensacola, FL"/>
    <n v="2211"/>
    <x v="0"/>
    <x v="2675"/>
    <n v="0"/>
    <x v="0"/>
    <x v="0"/>
    <n v="375458"/>
  </r>
  <r>
    <s v="Coastal"/>
    <n v="1991"/>
    <s v="Port of Pensacola, FL"/>
    <n v="4322"/>
    <x v="33"/>
    <x v="2676"/>
    <n v="124010"/>
    <x v="2613"/>
    <x v="0"/>
    <n v="135043"/>
  </r>
  <r>
    <s v="Coastal"/>
    <n v="1991"/>
    <s v="Port of Pensacola, FL"/>
    <n v="5220"/>
    <x v="30"/>
    <x v="10"/>
    <n v="124906"/>
    <x v="2614"/>
    <x v="0"/>
    <n v="124906"/>
  </r>
  <r>
    <s v="Coastal"/>
    <n v="1991"/>
    <s v="Port of Pensacola, FL"/>
    <n v="2330"/>
    <x v="1"/>
    <x v="2677"/>
    <n v="0"/>
    <x v="0"/>
    <x v="0"/>
    <n v="84177"/>
  </r>
  <r>
    <s v="Coastal"/>
    <n v="1991"/>
    <s v="Port of Pensacola, FL"/>
    <n v="2221"/>
    <x v="9"/>
    <x v="2678"/>
    <n v="0"/>
    <x v="0"/>
    <x v="0"/>
    <n v="78252"/>
  </r>
  <r>
    <s v="Coastal"/>
    <n v="1991"/>
    <s v="Port of Pensacola, FL"/>
    <n v="3220"/>
    <x v="2"/>
    <x v="2679"/>
    <n v="0"/>
    <x v="0"/>
    <x v="0"/>
    <n v="64462"/>
  </r>
  <r>
    <s v="Coastal"/>
    <n v="1991"/>
    <s v="Port of Pensacola, FL"/>
    <n v="4331"/>
    <x v="29"/>
    <x v="2680"/>
    <n v="46295"/>
    <x v="2615"/>
    <x v="1886"/>
    <n v="61495"/>
  </r>
  <r>
    <s v="Coastal"/>
    <n v="1991"/>
    <s v="Port of Pensacola, FL"/>
    <n v="4420"/>
    <x v="8"/>
    <x v="2681"/>
    <n v="0"/>
    <x v="0"/>
    <x v="0"/>
    <n v="30100"/>
  </r>
  <r>
    <s v="Coastal"/>
    <n v="1991"/>
    <s v="Port of Pensacola, FL"/>
    <n v="7110"/>
    <x v="4"/>
    <x v="10"/>
    <n v="12260"/>
    <x v="2616"/>
    <x v="2080"/>
    <n v="12260"/>
  </r>
  <r>
    <s v="Coastal"/>
    <n v="1991"/>
    <s v="Port of Pensacola, FL"/>
    <n v="7900"/>
    <x v="21"/>
    <x v="10"/>
    <n v="10187"/>
    <x v="2617"/>
    <x v="2081"/>
    <n v="10187"/>
  </r>
  <r>
    <s v="Coastal"/>
    <n v="1991"/>
    <s v="Port of Pensacola, FL"/>
    <n v="2340"/>
    <x v="3"/>
    <x v="2682"/>
    <n v="0"/>
    <x v="0"/>
    <x v="0"/>
    <n v="8736"/>
  </r>
  <r>
    <s v="Coastal"/>
    <n v="1991"/>
    <s v="Port of Pensacola, FL"/>
    <n v="7120"/>
    <x v="71"/>
    <x v="10"/>
    <n v="4483"/>
    <x v="2618"/>
    <x v="263"/>
    <n v="4483"/>
  </r>
  <r>
    <s v="Coastal"/>
    <n v="1991"/>
    <s v="Port of Pensacola, FL"/>
    <n v="7600"/>
    <x v="68"/>
    <x v="10"/>
    <n v="2930"/>
    <x v="1758"/>
    <x v="126"/>
    <n v="2930"/>
  </r>
  <r>
    <s v="Coastal"/>
    <n v="1991"/>
    <s v="Port of Pensacola, FL"/>
    <n v="9900"/>
    <x v="18"/>
    <x v="10"/>
    <n v="2802"/>
    <x v="2619"/>
    <x v="0"/>
    <n v="2802"/>
  </r>
  <r>
    <s v="Coastal"/>
    <n v="1991"/>
    <s v="Port of Pensacola, FL"/>
    <n v="5480"/>
    <x v="20"/>
    <x v="10"/>
    <n v="2238"/>
    <x v="650"/>
    <x v="209"/>
    <n v="2238"/>
  </r>
  <r>
    <s v="Coastal"/>
    <n v="1991"/>
    <s v="Port of Pensacola, FL"/>
    <n v="7210"/>
    <x v="59"/>
    <x v="10"/>
    <n v="1771"/>
    <x v="2620"/>
    <x v="1968"/>
    <n v="1771"/>
  </r>
  <r>
    <s v="Coastal"/>
    <n v="1991"/>
    <s v="Port of Pensacola, FL"/>
    <n v="7500"/>
    <x v="60"/>
    <x v="10"/>
    <n v="1405"/>
    <x v="2312"/>
    <x v="2082"/>
    <n v="1405"/>
  </r>
  <r>
    <s v="Coastal"/>
    <n v="1991"/>
    <s v="Port of Pensacola, FL"/>
    <n v="6811"/>
    <x v="76"/>
    <x v="10"/>
    <n v="275"/>
    <x v="1932"/>
    <x v="0"/>
    <n v="275"/>
  </r>
  <r>
    <s v="Coastal"/>
    <n v="1991"/>
    <s v="Port of Pensacola, FL"/>
    <n v="7230"/>
    <x v="22"/>
    <x v="10"/>
    <n v="63"/>
    <x v="206"/>
    <x v="1007"/>
    <n v="63"/>
  </r>
  <r>
    <s v="Coastal"/>
    <n v="1991"/>
    <s v="Port of Pensacola, FL"/>
    <n v="3299"/>
    <x v="79"/>
    <x v="10"/>
    <n v="49"/>
    <x v="0"/>
    <x v="1036"/>
    <n v="49"/>
  </r>
  <r>
    <s v="Coastal"/>
    <n v="1991"/>
    <s v="Port of Pensacola, FL"/>
    <n v="6891"/>
    <x v="93"/>
    <x v="10"/>
    <n v="36"/>
    <x v="51"/>
    <x v="0"/>
    <n v="36"/>
  </r>
  <r>
    <s v="Coastal"/>
    <n v="1991"/>
    <s v="Port of Pensacola, FL"/>
    <n v="3286"/>
    <x v="57"/>
    <x v="10"/>
    <n v="31"/>
    <x v="856"/>
    <x v="0"/>
    <n v="31"/>
  </r>
  <r>
    <s v="Coastal"/>
    <n v="1991"/>
    <s v="Port of Pensacola, FL"/>
    <n v="6782"/>
    <x v="27"/>
    <x v="10"/>
    <n v="27"/>
    <x v="0"/>
    <x v="271"/>
    <n v="27"/>
  </r>
  <r>
    <s v="Coastal"/>
    <n v="1991"/>
    <s v="Port of Pensacola, FL"/>
    <n v="5190"/>
    <x v="83"/>
    <x v="10"/>
    <n v="19"/>
    <x v="417"/>
    <x v="0"/>
    <n v="19"/>
  </r>
  <r>
    <s v="Coastal"/>
    <n v="1991"/>
    <s v="Port of Pensacola, FL"/>
    <n v="3284"/>
    <x v="97"/>
    <x v="10"/>
    <n v="3"/>
    <x v="0"/>
    <x v="128"/>
    <n v="3"/>
  </r>
  <r>
    <s v="Coastal"/>
    <n v="1991"/>
    <s v="Port of Pensacola, FL"/>
    <n v="5370"/>
    <x v="81"/>
    <x v="10"/>
    <n v="1"/>
    <x v="0"/>
    <x v="276"/>
    <n v="1"/>
  </r>
  <r>
    <s v="Coastal"/>
    <n v="4646"/>
    <s v="Port of Portland, OR"/>
    <n v="6241"/>
    <x v="28"/>
    <x v="2683"/>
    <n v="3359257"/>
    <x v="0"/>
    <x v="2083"/>
    <n v="5397718"/>
  </r>
  <r>
    <s v="Coastal"/>
    <n v="4646"/>
    <s v="Port of Portland, OR"/>
    <n v="3276"/>
    <x v="12"/>
    <x v="10"/>
    <n v="4015588"/>
    <x v="2621"/>
    <x v="2084"/>
    <n v="4015588"/>
  </r>
  <r>
    <s v="Coastal"/>
    <n v="4646"/>
    <s v="Port of Portland, OR"/>
    <n v="3130"/>
    <x v="37"/>
    <x v="10"/>
    <n v="3182846"/>
    <x v="14"/>
    <x v="2085"/>
    <n v="3182846"/>
  </r>
  <r>
    <s v="Coastal"/>
    <n v="4646"/>
    <s v="Port of Portland, OR"/>
    <n v="4331"/>
    <x v="29"/>
    <x v="2684"/>
    <n v="41503"/>
    <x v="2622"/>
    <x v="0"/>
    <n v="2502645"/>
  </r>
  <r>
    <s v="Coastal"/>
    <n v="4646"/>
    <s v="Port of Portland, OR"/>
    <n v="2330"/>
    <x v="1"/>
    <x v="2685"/>
    <n v="193907"/>
    <x v="2623"/>
    <x v="0"/>
    <n v="1662726"/>
  </r>
  <r>
    <s v="Coastal"/>
    <n v="4646"/>
    <s v="Port of Portland, OR"/>
    <n v="2211"/>
    <x v="0"/>
    <x v="2686"/>
    <n v="115454"/>
    <x v="2624"/>
    <x v="0"/>
    <n v="1336166"/>
  </r>
  <r>
    <s v="Coastal"/>
    <n v="4646"/>
    <s v="Port of Portland, OR"/>
    <n v="5220"/>
    <x v="30"/>
    <x v="10"/>
    <n v="1068412"/>
    <x v="2625"/>
    <x v="0"/>
    <n v="1068412"/>
  </r>
  <r>
    <s v="Coastal"/>
    <n v="4646"/>
    <s v="Port of Portland, OR"/>
    <n v="2100"/>
    <x v="35"/>
    <x v="2687"/>
    <n v="0"/>
    <x v="0"/>
    <x v="0"/>
    <n v="820590"/>
  </r>
  <r>
    <s v="Coastal"/>
    <n v="4646"/>
    <s v="Port of Portland, OR"/>
    <n v="5190"/>
    <x v="83"/>
    <x v="379"/>
    <n v="3804"/>
    <x v="2626"/>
    <x v="0"/>
    <n v="509329"/>
  </r>
  <r>
    <s v="Coastal"/>
    <n v="4646"/>
    <s v="Port of Portland, OR"/>
    <n v="2221"/>
    <x v="9"/>
    <x v="2688"/>
    <n v="31296"/>
    <x v="2627"/>
    <x v="0"/>
    <n v="471115"/>
  </r>
  <r>
    <s v="Coastal"/>
    <n v="4646"/>
    <s v="Port of Portland, OR"/>
    <n v="4322"/>
    <x v="33"/>
    <x v="10"/>
    <n v="442352"/>
    <x v="2628"/>
    <x v="0"/>
    <n v="442352"/>
  </r>
  <r>
    <s v="Coastal"/>
    <n v="4646"/>
    <s v="Port of Portland, OR"/>
    <n v="3110"/>
    <x v="36"/>
    <x v="10"/>
    <n v="416022"/>
    <x v="2629"/>
    <x v="0"/>
    <n v="416022"/>
  </r>
  <r>
    <s v="Coastal"/>
    <n v="4646"/>
    <s v="Port of Portland, OR"/>
    <n v="7210"/>
    <x v="59"/>
    <x v="10"/>
    <n v="369884"/>
    <x v="2630"/>
    <x v="2086"/>
    <n v="369884"/>
  </r>
  <r>
    <s v="Coastal"/>
    <n v="4646"/>
    <s v="Port of Portland, OR"/>
    <n v="4420"/>
    <x v="8"/>
    <x v="2689"/>
    <n v="201627"/>
    <x v="2631"/>
    <x v="2087"/>
    <n v="309304"/>
  </r>
  <r>
    <s v="Coastal"/>
    <n v="4646"/>
    <s v="Port of Portland, OR"/>
    <n v="3220"/>
    <x v="2"/>
    <x v="2690"/>
    <n v="611"/>
    <x v="2632"/>
    <x v="0"/>
    <n v="301926"/>
  </r>
  <r>
    <s v="Coastal"/>
    <n v="4646"/>
    <s v="Port of Portland, OR"/>
    <n v="6522"/>
    <x v="26"/>
    <x v="10"/>
    <n v="295632"/>
    <x v="0"/>
    <x v="2088"/>
    <n v="295632"/>
  </r>
  <r>
    <s v="Coastal"/>
    <n v="4646"/>
    <s v="Port of Portland, OR"/>
    <n v="6781"/>
    <x v="128"/>
    <x v="10"/>
    <n v="215185"/>
    <x v="0"/>
    <x v="2089"/>
    <n v="215185"/>
  </r>
  <r>
    <s v="Coastal"/>
    <n v="4646"/>
    <s v="Port of Portland, OR"/>
    <n v="6782"/>
    <x v="27"/>
    <x v="10"/>
    <n v="181409"/>
    <x v="386"/>
    <x v="2090"/>
    <n v="181409"/>
  </r>
  <r>
    <s v="Coastal"/>
    <n v="4646"/>
    <s v="Port of Portland, OR"/>
    <n v="3190"/>
    <x v="38"/>
    <x v="2691"/>
    <n v="123056"/>
    <x v="2633"/>
    <x v="2091"/>
    <n v="140308"/>
  </r>
  <r>
    <s v="Coastal"/>
    <n v="4646"/>
    <s v="Port of Portland, OR"/>
    <n v="2340"/>
    <x v="3"/>
    <x v="2692"/>
    <n v="0"/>
    <x v="0"/>
    <x v="0"/>
    <n v="136216"/>
  </r>
  <r>
    <s v="Coastal"/>
    <n v="4646"/>
    <s v="Port of Portland, OR"/>
    <n v="7900"/>
    <x v="21"/>
    <x v="10"/>
    <n v="116803"/>
    <x v="2634"/>
    <x v="2092"/>
    <n v="116803"/>
  </r>
  <r>
    <s v="Coastal"/>
    <n v="4646"/>
    <s v="Port of Portland, OR"/>
    <n v="4860"/>
    <x v="31"/>
    <x v="10"/>
    <n v="65054"/>
    <x v="2635"/>
    <x v="0"/>
    <n v="65054"/>
  </r>
  <r>
    <s v="Coastal"/>
    <n v="4646"/>
    <s v="Port of Portland, OR"/>
    <n v="7120"/>
    <x v="71"/>
    <x v="10"/>
    <n v="56837"/>
    <x v="2636"/>
    <x v="2093"/>
    <n v="56837"/>
  </r>
  <r>
    <s v="Coastal"/>
    <n v="4646"/>
    <s v="Port of Portland, OR"/>
    <n v="7600"/>
    <x v="68"/>
    <x v="10"/>
    <n v="54819"/>
    <x v="2637"/>
    <x v="2094"/>
    <n v="54819"/>
  </r>
  <r>
    <s v="Coastal"/>
    <n v="4646"/>
    <s v="Port of Portland, OR"/>
    <n v="7110"/>
    <x v="4"/>
    <x v="10"/>
    <n v="40481"/>
    <x v="2638"/>
    <x v="1005"/>
    <n v="40481"/>
  </r>
  <r>
    <s v="Coastal"/>
    <n v="4646"/>
    <s v="Port of Portland, OR"/>
    <n v="2350"/>
    <x v="40"/>
    <x v="2693"/>
    <n v="0"/>
    <x v="0"/>
    <x v="0"/>
    <n v="31427"/>
  </r>
  <r>
    <s v="Coastal"/>
    <n v="4646"/>
    <s v="Port of Portland, OR"/>
    <n v="5480"/>
    <x v="20"/>
    <x v="10"/>
    <n v="30706"/>
    <x v="2639"/>
    <x v="12"/>
    <n v="30706"/>
  </r>
  <r>
    <s v="Coastal"/>
    <n v="4646"/>
    <s v="Port of Portland, OR"/>
    <n v="4680"/>
    <x v="70"/>
    <x v="10"/>
    <n v="28821"/>
    <x v="2640"/>
    <x v="2095"/>
    <n v="28821"/>
  </r>
  <r>
    <s v="Coastal"/>
    <n v="4646"/>
    <s v="Port of Portland, OR"/>
    <n v="6899"/>
    <x v="114"/>
    <x v="10"/>
    <n v="23291"/>
    <x v="294"/>
    <x v="729"/>
    <n v="23291"/>
  </r>
  <r>
    <s v="Coastal"/>
    <n v="4646"/>
    <s v="Port of Portland, OR"/>
    <n v="4225"/>
    <x v="10"/>
    <x v="10"/>
    <n v="22293"/>
    <x v="145"/>
    <x v="2096"/>
    <n v="22293"/>
  </r>
  <r>
    <s v="Coastal"/>
    <n v="4646"/>
    <s v="Port of Portland, OR"/>
    <n v="7500"/>
    <x v="60"/>
    <x v="10"/>
    <n v="20982"/>
    <x v="2641"/>
    <x v="130"/>
    <n v="20982"/>
  </r>
  <r>
    <s v="Coastal"/>
    <n v="4646"/>
    <s v="Port of Portland, OR"/>
    <n v="5290"/>
    <x v="49"/>
    <x v="10"/>
    <n v="19337"/>
    <x v="2642"/>
    <x v="20"/>
    <n v="19337"/>
  </r>
  <r>
    <s v="Coastal"/>
    <n v="4646"/>
    <s v="Port of Portland, OR"/>
    <n v="6654"/>
    <x v="50"/>
    <x v="10"/>
    <n v="15451"/>
    <x v="2643"/>
    <x v="2097"/>
    <n v="15451"/>
  </r>
  <r>
    <s v="Coastal"/>
    <n v="4646"/>
    <s v="Port of Portland, OR"/>
    <n v="4782"/>
    <x v="45"/>
    <x v="10"/>
    <n v="14497"/>
    <x v="2644"/>
    <x v="0"/>
    <n v="14497"/>
  </r>
  <r>
    <s v="Coastal"/>
    <n v="4646"/>
    <s v="Port of Portland, OR"/>
    <n v="5240"/>
    <x v="89"/>
    <x v="10"/>
    <n v="12530"/>
    <x v="2645"/>
    <x v="2098"/>
    <n v="12530"/>
  </r>
  <r>
    <s v="Coastal"/>
    <n v="4646"/>
    <s v="Port of Portland, OR"/>
    <n v="4630"/>
    <x v="127"/>
    <x v="10"/>
    <n v="11205"/>
    <x v="0"/>
    <x v="2099"/>
    <n v="11205"/>
  </r>
  <r>
    <s v="Coastal"/>
    <n v="4646"/>
    <s v="Port of Portland, OR"/>
    <n v="5320"/>
    <x v="13"/>
    <x v="10"/>
    <n v="11196"/>
    <x v="2646"/>
    <x v="0"/>
    <n v="11196"/>
  </r>
  <r>
    <s v="Coastal"/>
    <n v="4646"/>
    <s v="Port of Portland, OR"/>
    <n v="3286"/>
    <x v="57"/>
    <x v="10"/>
    <n v="9816"/>
    <x v="2647"/>
    <x v="1911"/>
    <n v="9816"/>
  </r>
  <r>
    <s v="Coastal"/>
    <n v="4646"/>
    <s v="Port of Portland, OR"/>
    <n v="3274"/>
    <x v="86"/>
    <x v="10"/>
    <n v="9426"/>
    <x v="2648"/>
    <x v="0"/>
    <n v="9426"/>
  </r>
  <r>
    <s v="Coastal"/>
    <n v="4646"/>
    <s v="Port of Portland, OR"/>
    <n v="3230"/>
    <x v="80"/>
    <x v="10"/>
    <n v="7872"/>
    <x v="2649"/>
    <x v="363"/>
    <n v="7872"/>
  </r>
  <r>
    <s v="Coastal"/>
    <n v="4646"/>
    <s v="Port of Portland, OR"/>
    <n v="5422"/>
    <x v="66"/>
    <x v="10"/>
    <n v="7118"/>
    <x v="2650"/>
    <x v="665"/>
    <n v="7118"/>
  </r>
  <r>
    <s v="Coastal"/>
    <n v="4646"/>
    <s v="Port of Portland, OR"/>
    <n v="6857"/>
    <x v="104"/>
    <x v="10"/>
    <n v="6663"/>
    <x v="2651"/>
    <x v="2100"/>
    <n v="6663"/>
  </r>
  <r>
    <s v="Coastal"/>
    <n v="4646"/>
    <s v="Port of Portland, OR"/>
    <n v="3275"/>
    <x v="47"/>
    <x v="10"/>
    <n v="6646"/>
    <x v="2652"/>
    <x v="2101"/>
    <n v="6646"/>
  </r>
  <r>
    <s v="Coastal"/>
    <n v="4646"/>
    <s v="Port of Portland, OR"/>
    <n v="3299"/>
    <x v="79"/>
    <x v="10"/>
    <n v="6577"/>
    <x v="2653"/>
    <x v="758"/>
    <n v="6577"/>
  </r>
  <r>
    <s v="Coastal"/>
    <n v="4646"/>
    <s v="Port of Portland, OR"/>
    <n v="7400"/>
    <x v="77"/>
    <x v="10"/>
    <n v="6400"/>
    <x v="2654"/>
    <x v="1206"/>
    <n v="6400"/>
  </r>
  <r>
    <s v="Coastal"/>
    <n v="4646"/>
    <s v="Port of Portland, OR"/>
    <n v="3293"/>
    <x v="122"/>
    <x v="10"/>
    <n v="5176"/>
    <x v="2655"/>
    <x v="0"/>
    <n v="5176"/>
  </r>
  <r>
    <s v="Coastal"/>
    <n v="4646"/>
    <s v="Port of Portland, OR"/>
    <n v="5360"/>
    <x v="94"/>
    <x v="10"/>
    <n v="4063"/>
    <x v="2656"/>
    <x v="0"/>
    <n v="4063"/>
  </r>
  <r>
    <s v="Coastal"/>
    <n v="4646"/>
    <s v="Port of Portland, OR"/>
    <n v="5540"/>
    <x v="64"/>
    <x v="10"/>
    <n v="3605"/>
    <x v="2657"/>
    <x v="704"/>
    <n v="3605"/>
  </r>
  <r>
    <s v="Coastal"/>
    <n v="4646"/>
    <s v="Port of Portland, OR"/>
    <n v="4189"/>
    <x v="65"/>
    <x v="10"/>
    <n v="3442"/>
    <x v="2658"/>
    <x v="371"/>
    <n v="3442"/>
  </r>
  <r>
    <s v="Coastal"/>
    <n v="4646"/>
    <s v="Port of Portland, OR"/>
    <n v="3285"/>
    <x v="87"/>
    <x v="10"/>
    <n v="2989"/>
    <x v="2659"/>
    <x v="166"/>
    <n v="2989"/>
  </r>
  <r>
    <s v="Coastal"/>
    <n v="4646"/>
    <s v="Port of Portland, OR"/>
    <n v="9900"/>
    <x v="18"/>
    <x v="10"/>
    <n v="2660"/>
    <x v="2660"/>
    <x v="2102"/>
    <n v="2660"/>
  </r>
  <r>
    <s v="Coastal"/>
    <n v="4646"/>
    <s v="Port of Portland, OR"/>
    <n v="6885"/>
    <x v="72"/>
    <x v="10"/>
    <n v="2615"/>
    <x v="2661"/>
    <x v="70"/>
    <n v="2615"/>
  </r>
  <r>
    <s v="Coastal"/>
    <n v="4646"/>
    <s v="Port of Portland, OR"/>
    <n v="6889"/>
    <x v="42"/>
    <x v="10"/>
    <n v="2287"/>
    <x v="1619"/>
    <x v="234"/>
    <n v="2287"/>
  </r>
  <r>
    <s v="Coastal"/>
    <n v="4646"/>
    <s v="Port of Portland, OR"/>
    <n v="5421"/>
    <x v="88"/>
    <x v="10"/>
    <n v="2278"/>
    <x v="2662"/>
    <x v="2103"/>
    <n v="2278"/>
  </r>
  <r>
    <s v="Coastal"/>
    <n v="4646"/>
    <s v="Port of Portland, OR"/>
    <n v="5370"/>
    <x v="81"/>
    <x v="10"/>
    <n v="2239"/>
    <x v="2663"/>
    <x v="0"/>
    <n v="2239"/>
  </r>
  <r>
    <s v="Coastal"/>
    <n v="4646"/>
    <s v="Port of Portland, OR"/>
    <n v="3240"/>
    <x v="53"/>
    <x v="10"/>
    <n v="2178"/>
    <x v="2664"/>
    <x v="0"/>
    <n v="2178"/>
  </r>
  <r>
    <s v="Coastal"/>
    <n v="4646"/>
    <s v="Port of Portland, OR"/>
    <n v="6839"/>
    <x v="106"/>
    <x v="10"/>
    <n v="1626"/>
    <x v="2665"/>
    <x v="1070"/>
    <n v="1626"/>
  </r>
  <r>
    <s v="Coastal"/>
    <n v="4646"/>
    <s v="Port of Portland, OR"/>
    <n v="3279"/>
    <x v="58"/>
    <x v="10"/>
    <n v="1457"/>
    <x v="2620"/>
    <x v="0"/>
    <n v="1457"/>
  </r>
  <r>
    <s v="Coastal"/>
    <n v="4646"/>
    <s v="Port of Portland, OR"/>
    <n v="6653"/>
    <x v="24"/>
    <x v="10"/>
    <n v="1238"/>
    <x v="2666"/>
    <x v="0"/>
    <n v="1238"/>
  </r>
  <r>
    <s v="Coastal"/>
    <n v="4646"/>
    <s v="Port of Portland, OR"/>
    <n v="6858"/>
    <x v="74"/>
    <x v="10"/>
    <n v="973"/>
    <x v="1190"/>
    <x v="2061"/>
    <n v="973"/>
  </r>
  <r>
    <s v="Coastal"/>
    <n v="4646"/>
    <s v="Port of Portland, OR"/>
    <n v="6445"/>
    <x v="136"/>
    <x v="10"/>
    <n v="964"/>
    <x v="203"/>
    <x v="2104"/>
    <n v="964"/>
  </r>
  <r>
    <s v="Coastal"/>
    <n v="4646"/>
    <s v="Port of Portland, OR"/>
    <n v="4190"/>
    <x v="99"/>
    <x v="10"/>
    <n v="807"/>
    <x v="2667"/>
    <x v="0"/>
    <n v="807"/>
  </r>
  <r>
    <s v="Coastal"/>
    <n v="4646"/>
    <s v="Port of Portland, OR"/>
    <n v="3284"/>
    <x v="97"/>
    <x v="10"/>
    <n v="778"/>
    <x v="2668"/>
    <x v="0"/>
    <n v="778"/>
  </r>
  <r>
    <s v="Coastal"/>
    <n v="4646"/>
    <s v="Port of Portland, OR"/>
    <n v="5390"/>
    <x v="44"/>
    <x v="10"/>
    <n v="769"/>
    <x v="2669"/>
    <x v="0"/>
    <n v="769"/>
  </r>
  <r>
    <s v="Coastal"/>
    <n v="4646"/>
    <s v="Port of Portland, OR"/>
    <n v="6442"/>
    <x v="85"/>
    <x v="10"/>
    <n v="742"/>
    <x v="2670"/>
    <x v="0"/>
    <n v="742"/>
  </r>
  <r>
    <s v="Coastal"/>
    <n v="4646"/>
    <s v="Port of Portland, OR"/>
    <n v="4170"/>
    <x v="55"/>
    <x v="10"/>
    <n v="734"/>
    <x v="416"/>
    <x v="2105"/>
    <n v="734"/>
  </r>
  <r>
    <s v="Coastal"/>
    <n v="4646"/>
    <s v="Port of Portland, OR"/>
    <n v="4150"/>
    <x v="101"/>
    <x v="10"/>
    <n v="661"/>
    <x v="2671"/>
    <x v="0"/>
    <n v="661"/>
  </r>
  <r>
    <s v="Coastal"/>
    <n v="4646"/>
    <s v="Port of Portland, OR"/>
    <n v="1100"/>
    <x v="32"/>
    <x v="10"/>
    <n v="636"/>
    <x v="1585"/>
    <x v="0"/>
    <n v="636"/>
  </r>
  <r>
    <s v="Coastal"/>
    <n v="4646"/>
    <s v="Port of Portland, OR"/>
    <n v="3219"/>
    <x v="19"/>
    <x v="10"/>
    <n v="562"/>
    <x v="2672"/>
    <x v="0"/>
    <n v="562"/>
  </r>
  <r>
    <s v="Coastal"/>
    <n v="4646"/>
    <s v="Port of Portland, OR"/>
    <n v="3283"/>
    <x v="111"/>
    <x v="10"/>
    <n v="549"/>
    <x v="972"/>
    <x v="0"/>
    <n v="549"/>
  </r>
  <r>
    <s v="Coastal"/>
    <n v="4646"/>
    <s v="Port of Portland, OR"/>
    <n v="7230"/>
    <x v="22"/>
    <x v="10"/>
    <n v="520"/>
    <x v="2310"/>
    <x v="0"/>
    <n v="520"/>
  </r>
  <r>
    <s v="Coastal"/>
    <n v="4646"/>
    <s v="Port of Portland, OR"/>
    <n v="6746"/>
    <x v="118"/>
    <x v="10"/>
    <n v="440"/>
    <x v="1019"/>
    <x v="1413"/>
    <n v="440"/>
  </r>
  <r>
    <s v="Coastal"/>
    <n v="4646"/>
    <s v="Port of Portland, OR"/>
    <n v="3292"/>
    <x v="51"/>
    <x v="10"/>
    <n v="386"/>
    <x v="1969"/>
    <x v="0"/>
    <n v="386"/>
  </r>
  <r>
    <s v="Coastal"/>
    <n v="4646"/>
    <s v="Port of Portland, OR"/>
    <n v="3250"/>
    <x v="108"/>
    <x v="10"/>
    <n v="347"/>
    <x v="2673"/>
    <x v="0"/>
    <n v="347"/>
  </r>
  <r>
    <s v="Coastal"/>
    <n v="4646"/>
    <s v="Port of Portland, OR"/>
    <n v="3282"/>
    <x v="91"/>
    <x v="10"/>
    <n v="334"/>
    <x v="2674"/>
    <x v="0"/>
    <n v="334"/>
  </r>
  <r>
    <s v="Coastal"/>
    <n v="4646"/>
    <s v="Port of Portland, OR"/>
    <n v="5120"/>
    <x v="63"/>
    <x v="10"/>
    <n v="334"/>
    <x v="2674"/>
    <x v="0"/>
    <n v="334"/>
  </r>
  <r>
    <s v="Coastal"/>
    <n v="4646"/>
    <s v="Port of Portland, OR"/>
    <n v="6822"/>
    <x v="84"/>
    <x v="10"/>
    <n v="320"/>
    <x v="1086"/>
    <x v="1027"/>
    <n v="320"/>
  </r>
  <r>
    <s v="Coastal"/>
    <n v="4646"/>
    <s v="Port of Portland, OR"/>
    <n v="6893"/>
    <x v="113"/>
    <x v="10"/>
    <n v="252"/>
    <x v="406"/>
    <x v="0"/>
    <n v="252"/>
  </r>
  <r>
    <s v="Coastal"/>
    <n v="4646"/>
    <s v="Port of Portland, OR"/>
    <n v="7300"/>
    <x v="115"/>
    <x v="10"/>
    <n v="198"/>
    <x v="2082"/>
    <x v="0"/>
    <n v="198"/>
  </r>
  <r>
    <s v="Coastal"/>
    <n v="4646"/>
    <s v="Port of Portland, OR"/>
    <n v="3260"/>
    <x v="107"/>
    <x v="10"/>
    <n v="195"/>
    <x v="2675"/>
    <x v="0"/>
    <n v="195"/>
  </r>
  <r>
    <s v="Coastal"/>
    <n v="4646"/>
    <s v="Port of Portland, OR"/>
    <n v="5429"/>
    <x v="61"/>
    <x v="10"/>
    <n v="189"/>
    <x v="2676"/>
    <x v="0"/>
    <n v="189"/>
  </r>
  <r>
    <s v="Coastal"/>
    <n v="4646"/>
    <s v="Port of Portland, OR"/>
    <n v="4110"/>
    <x v="105"/>
    <x v="10"/>
    <n v="147"/>
    <x v="387"/>
    <x v="0"/>
    <n v="147"/>
  </r>
  <r>
    <s v="Coastal"/>
    <n v="4646"/>
    <s v="Port of Portland, OR"/>
    <n v="5330"/>
    <x v="16"/>
    <x v="10"/>
    <n v="145"/>
    <x v="147"/>
    <x v="0"/>
    <n v="145"/>
  </r>
  <r>
    <s v="Coastal"/>
    <n v="4646"/>
    <s v="Port of Portland, OR"/>
    <n v="6747"/>
    <x v="78"/>
    <x v="10"/>
    <n v="132"/>
    <x v="226"/>
    <x v="433"/>
    <n v="132"/>
  </r>
  <r>
    <s v="Coastal"/>
    <n v="4646"/>
    <s v="Port of Portland, OR"/>
    <n v="6811"/>
    <x v="76"/>
    <x v="10"/>
    <n v="127"/>
    <x v="716"/>
    <x v="0"/>
    <n v="127"/>
  </r>
  <r>
    <s v="Coastal"/>
    <n v="4646"/>
    <s v="Port of Portland, OR"/>
    <n v="6835"/>
    <x v="92"/>
    <x v="10"/>
    <n v="93"/>
    <x v="2677"/>
    <x v="0"/>
    <n v="93"/>
  </r>
  <r>
    <s v="Coastal"/>
    <n v="4646"/>
    <s v="Port of Portland, OR"/>
    <n v="7220"/>
    <x v="103"/>
    <x v="10"/>
    <n v="84"/>
    <x v="1523"/>
    <x v="0"/>
    <n v="84"/>
  </r>
  <r>
    <s v="Coastal"/>
    <n v="4646"/>
    <s v="Port of Portland, OR"/>
    <n v="6871"/>
    <x v="73"/>
    <x v="10"/>
    <n v="83"/>
    <x v="540"/>
    <x v="0"/>
    <n v="83"/>
  </r>
  <r>
    <s v="Coastal"/>
    <n v="4646"/>
    <s v="Port of Portland, OR"/>
    <n v="6872"/>
    <x v="100"/>
    <x v="10"/>
    <n v="60"/>
    <x v="556"/>
    <x v="0"/>
    <n v="60"/>
  </r>
  <r>
    <s v="Coastal"/>
    <n v="4646"/>
    <s v="Port of Portland, OR"/>
    <n v="2640"/>
    <x v="110"/>
    <x v="10"/>
    <n v="53"/>
    <x v="412"/>
    <x v="0"/>
    <n v="53"/>
  </r>
  <r>
    <s v="Coastal"/>
    <n v="4646"/>
    <s v="Port of Portland, OR"/>
    <n v="6590"/>
    <x v="23"/>
    <x v="10"/>
    <n v="49"/>
    <x v="0"/>
    <x v="1036"/>
    <n v="49"/>
  </r>
  <r>
    <s v="Coastal"/>
    <n v="4646"/>
    <s v="Port of Portland, OR"/>
    <n v="3120"/>
    <x v="41"/>
    <x v="10"/>
    <n v="45"/>
    <x v="153"/>
    <x v="0"/>
    <n v="45"/>
  </r>
  <r>
    <s v="Coastal"/>
    <n v="4646"/>
    <s v="Port of Portland, OR"/>
    <n v="6134"/>
    <x v="82"/>
    <x v="10"/>
    <n v="36"/>
    <x v="51"/>
    <x v="0"/>
    <n v="36"/>
  </r>
  <r>
    <s v="Coastal"/>
    <n v="4646"/>
    <s v="Port of Portland, OR"/>
    <n v="4650"/>
    <x v="67"/>
    <x v="10"/>
    <n v="29"/>
    <x v="669"/>
    <x v="0"/>
    <n v="29"/>
  </r>
  <r>
    <s v="Coastal"/>
    <n v="4646"/>
    <s v="Port of Portland, OR"/>
    <n v="3297"/>
    <x v="116"/>
    <x v="10"/>
    <n v="25"/>
    <x v="208"/>
    <x v="0"/>
    <n v="25"/>
  </r>
  <r>
    <s v="Coastal"/>
    <n v="4646"/>
    <s v="Port of Portland, OR"/>
    <n v="4783"/>
    <x v="7"/>
    <x v="10"/>
    <n v="21"/>
    <x v="154"/>
    <x v="0"/>
    <n v="21"/>
  </r>
  <r>
    <s v="Coastal"/>
    <n v="4646"/>
    <s v="Port of Portland, OR"/>
    <n v="3291"/>
    <x v="117"/>
    <x v="10"/>
    <n v="19"/>
    <x v="417"/>
    <x v="0"/>
    <n v="19"/>
  </r>
  <r>
    <s v="Coastal"/>
    <n v="4646"/>
    <s v="Port of Portland, OR"/>
    <n v="6861"/>
    <x v="69"/>
    <x v="10"/>
    <n v="19"/>
    <x v="417"/>
    <x v="0"/>
    <n v="19"/>
  </r>
  <r>
    <s v="Coastal"/>
    <n v="4646"/>
    <s v="Port of Portland, OR"/>
    <n v="4323"/>
    <x v="6"/>
    <x v="10"/>
    <n v="18"/>
    <x v="170"/>
    <x v="0"/>
    <n v="18"/>
  </r>
  <r>
    <s v="Coastal"/>
    <n v="4646"/>
    <s v="Port of Portland, OR"/>
    <n v="6894"/>
    <x v="120"/>
    <x v="10"/>
    <n v="18"/>
    <x v="170"/>
    <x v="0"/>
    <n v="18"/>
  </r>
  <r>
    <s v="Coastal"/>
    <n v="4646"/>
    <s v="Port of Portland, OR"/>
    <n v="6344"/>
    <x v="25"/>
    <x v="10"/>
    <n v="13"/>
    <x v="453"/>
    <x v="0"/>
    <n v="13"/>
  </r>
  <r>
    <s v="Coastal"/>
    <n v="4646"/>
    <s v="Port of Portland, OR"/>
    <n v="6856"/>
    <x v="126"/>
    <x v="10"/>
    <n v="11"/>
    <x v="14"/>
    <x v="0"/>
    <n v="11"/>
  </r>
  <r>
    <s v="Coastal"/>
    <n v="4646"/>
    <s v="Port of Portland, OR"/>
    <n v="6888"/>
    <x v="109"/>
    <x v="10"/>
    <n v="10"/>
    <x v="312"/>
    <x v="0"/>
    <n v="10"/>
  </r>
  <r>
    <s v="Coastal"/>
    <n v="4646"/>
    <s v="Port of Portland, OR"/>
    <n v="2410"/>
    <x v="98"/>
    <x v="10"/>
    <n v="9"/>
    <x v="313"/>
    <x v="0"/>
    <n v="9"/>
  </r>
  <r>
    <s v="Coastal"/>
    <n v="4646"/>
    <s v="Port of Portland, OR"/>
    <n v="4900"/>
    <x v="14"/>
    <x v="10"/>
    <n v="9"/>
    <x v="313"/>
    <x v="0"/>
    <n v="9"/>
  </r>
  <r>
    <s v="Coastal"/>
    <n v="4646"/>
    <s v="Port of Portland, OR"/>
    <n v="5312"/>
    <x v="52"/>
    <x v="10"/>
    <n v="1"/>
    <x v="19"/>
    <x v="0"/>
    <n v="1"/>
  </r>
  <r>
    <s v="Coastal"/>
    <n v="203"/>
    <s v="Port of Providence, RI"/>
    <n v="2211"/>
    <x v="0"/>
    <x v="2694"/>
    <n v="1386912"/>
    <x v="2678"/>
    <x v="0"/>
    <n v="1789747"/>
  </r>
  <r>
    <s v="Coastal"/>
    <n v="203"/>
    <s v="Port of Providence, RI"/>
    <n v="2330"/>
    <x v="1"/>
    <x v="2695"/>
    <n v="407726"/>
    <x v="2679"/>
    <x v="0"/>
    <n v="1219841"/>
  </r>
  <r>
    <s v="Coastal"/>
    <n v="203"/>
    <s v="Port of Providence, RI"/>
    <n v="5220"/>
    <x v="30"/>
    <x v="2696"/>
    <n v="610740"/>
    <x v="2680"/>
    <x v="0"/>
    <n v="720061"/>
  </r>
  <r>
    <s v="Coastal"/>
    <n v="203"/>
    <s v="Port of Providence, RI"/>
    <n v="4783"/>
    <x v="7"/>
    <x v="10"/>
    <n v="573904"/>
    <x v="2681"/>
    <x v="0"/>
    <n v="573904"/>
  </r>
  <r>
    <s v="Coastal"/>
    <n v="203"/>
    <s v="Port of Providence, RI"/>
    <n v="2340"/>
    <x v="3"/>
    <x v="2697"/>
    <n v="0"/>
    <x v="0"/>
    <x v="0"/>
    <n v="330219"/>
  </r>
  <r>
    <s v="Coastal"/>
    <n v="203"/>
    <s v="Port of Providence, RI"/>
    <n v="4420"/>
    <x v="8"/>
    <x v="10"/>
    <n v="267188"/>
    <x v="0"/>
    <x v="2106"/>
    <n v="267188"/>
  </r>
  <r>
    <s v="Coastal"/>
    <n v="203"/>
    <s v="Port of Providence, RI"/>
    <n v="3220"/>
    <x v="2"/>
    <x v="2698"/>
    <n v="0"/>
    <x v="0"/>
    <x v="0"/>
    <n v="171876"/>
  </r>
  <r>
    <s v="Coastal"/>
    <n v="203"/>
    <s v="Port of Providence, RI"/>
    <n v="4900"/>
    <x v="14"/>
    <x v="10"/>
    <n v="161809"/>
    <x v="2682"/>
    <x v="0"/>
    <n v="161809"/>
  </r>
  <r>
    <s v="Coastal"/>
    <n v="203"/>
    <s v="Port of Providence, RI"/>
    <n v="4310"/>
    <x v="96"/>
    <x v="10"/>
    <n v="80503"/>
    <x v="2683"/>
    <x v="0"/>
    <n v="80503"/>
  </r>
  <r>
    <s v="Coastal"/>
    <n v="203"/>
    <s v="Port of Providence, RI"/>
    <n v="3274"/>
    <x v="86"/>
    <x v="10"/>
    <n v="62761"/>
    <x v="2684"/>
    <x v="0"/>
    <n v="62761"/>
  </r>
  <r>
    <s v="Coastal"/>
    <n v="203"/>
    <s v="Port of Providence, RI"/>
    <n v="7210"/>
    <x v="59"/>
    <x v="10"/>
    <n v="59512"/>
    <x v="2685"/>
    <x v="2107"/>
    <n v="59512"/>
  </r>
  <r>
    <s v="Coastal"/>
    <n v="203"/>
    <s v="Port of Providence, RI"/>
    <n v="2221"/>
    <x v="9"/>
    <x v="2699"/>
    <n v="0"/>
    <x v="0"/>
    <x v="0"/>
    <n v="53670"/>
  </r>
  <r>
    <s v="Coastal"/>
    <n v="203"/>
    <s v="Port of Providence, RI"/>
    <n v="5290"/>
    <x v="49"/>
    <x v="10"/>
    <n v="53344"/>
    <x v="2686"/>
    <x v="0"/>
    <n v="53344"/>
  </r>
  <r>
    <s v="Coastal"/>
    <n v="203"/>
    <s v="Port of Providence, RI"/>
    <n v="2540"/>
    <x v="15"/>
    <x v="10"/>
    <n v="47829"/>
    <x v="2687"/>
    <x v="0"/>
    <n v="47829"/>
  </r>
  <r>
    <s v="Coastal"/>
    <n v="203"/>
    <s v="Port of Providence, RI"/>
    <n v="2640"/>
    <x v="110"/>
    <x v="10"/>
    <n v="42192"/>
    <x v="2688"/>
    <x v="0"/>
    <n v="42192"/>
  </r>
  <r>
    <s v="Coastal"/>
    <n v="203"/>
    <s v="Port of Providence, RI"/>
    <n v="4322"/>
    <x v="33"/>
    <x v="10"/>
    <n v="38581"/>
    <x v="2689"/>
    <x v="0"/>
    <n v="38581"/>
  </r>
  <r>
    <s v="Coastal"/>
    <n v="203"/>
    <s v="Port of Providence, RI"/>
    <n v="2410"/>
    <x v="98"/>
    <x v="10"/>
    <n v="16448"/>
    <x v="2690"/>
    <x v="0"/>
    <n v="16448"/>
  </r>
  <r>
    <s v="Coastal"/>
    <n v="203"/>
    <s v="Port of Providence, RI"/>
    <n v="6653"/>
    <x v="24"/>
    <x v="10"/>
    <n v="7128"/>
    <x v="2691"/>
    <x v="0"/>
    <n v="7128"/>
  </r>
  <r>
    <s v="Coastal"/>
    <n v="203"/>
    <s v="Port of Providence, RI"/>
    <n v="2429"/>
    <x v="17"/>
    <x v="2700"/>
    <n v="0"/>
    <x v="0"/>
    <x v="0"/>
    <n v="6795"/>
  </r>
  <r>
    <s v="Coastal"/>
    <n v="203"/>
    <s v="Port of Providence, RI"/>
    <n v="4650"/>
    <x v="67"/>
    <x v="10"/>
    <n v="6675"/>
    <x v="2692"/>
    <x v="0"/>
    <n v="6675"/>
  </r>
  <r>
    <s v="Coastal"/>
    <n v="203"/>
    <s v="Port of Providence, RI"/>
    <n v="3275"/>
    <x v="47"/>
    <x v="10"/>
    <n v="5669"/>
    <x v="2065"/>
    <x v="0"/>
    <n v="5669"/>
  </r>
  <r>
    <s v="Coastal"/>
    <n v="203"/>
    <s v="Port of Providence, RI"/>
    <n v="4860"/>
    <x v="31"/>
    <x v="2701"/>
    <n v="0"/>
    <x v="0"/>
    <x v="0"/>
    <n v="5562"/>
  </r>
  <r>
    <s v="Coastal"/>
    <n v="203"/>
    <s v="Port of Providence, RI"/>
    <n v="6885"/>
    <x v="72"/>
    <x v="10"/>
    <n v="4814"/>
    <x v="2693"/>
    <x v="0"/>
    <n v="4814"/>
  </r>
  <r>
    <s v="Coastal"/>
    <n v="203"/>
    <s v="Port of Providence, RI"/>
    <n v="7110"/>
    <x v="4"/>
    <x v="10"/>
    <n v="2026"/>
    <x v="2694"/>
    <x v="2108"/>
    <n v="2026"/>
  </r>
  <r>
    <s v="Coastal"/>
    <n v="203"/>
    <s v="Port of Providence, RI"/>
    <n v="9900"/>
    <x v="18"/>
    <x v="10"/>
    <n v="1687"/>
    <x v="2695"/>
    <x v="0"/>
    <n v="1687"/>
  </r>
  <r>
    <s v="Coastal"/>
    <n v="203"/>
    <s v="Port of Providence, RI"/>
    <n v="5480"/>
    <x v="20"/>
    <x v="10"/>
    <n v="685"/>
    <x v="2696"/>
    <x v="0"/>
    <n v="685"/>
  </r>
  <r>
    <s v="Coastal"/>
    <n v="203"/>
    <s v="Port of Providence, RI"/>
    <n v="7120"/>
    <x v="71"/>
    <x v="10"/>
    <n v="637"/>
    <x v="2697"/>
    <x v="0"/>
    <n v="637"/>
  </r>
  <r>
    <s v="Coastal"/>
    <n v="203"/>
    <s v="Port of Providence, RI"/>
    <n v="7900"/>
    <x v="21"/>
    <x v="10"/>
    <n v="142"/>
    <x v="408"/>
    <x v="0"/>
    <n v="142"/>
  </r>
  <r>
    <s v="Coastal"/>
    <n v="203"/>
    <s v="Port of Providence, RI"/>
    <n v="7230"/>
    <x v="22"/>
    <x v="10"/>
    <n v="86"/>
    <x v="2698"/>
    <x v="0"/>
    <n v="86"/>
  </r>
  <r>
    <s v="Coastal"/>
    <n v="203"/>
    <s v="Port of Providence, RI"/>
    <n v="7400"/>
    <x v="77"/>
    <x v="10"/>
    <n v="18"/>
    <x v="170"/>
    <x v="0"/>
    <n v="18"/>
  </r>
  <r>
    <s v="Coastal"/>
    <n v="203"/>
    <s v="Port of Providence, RI"/>
    <n v="3299"/>
    <x v="79"/>
    <x v="10"/>
    <n v="11"/>
    <x v="14"/>
    <x v="0"/>
    <n v="11"/>
  </r>
  <r>
    <s v="Coastal"/>
    <n v="203"/>
    <s v="Port of Providence, RI"/>
    <n v="4680"/>
    <x v="70"/>
    <x v="10"/>
    <n v="1"/>
    <x v="19"/>
    <x v="0"/>
    <n v="1"/>
  </r>
  <r>
    <s v="Coastal"/>
    <n v="203"/>
    <s v="Port of Providence, RI"/>
    <n v="7600"/>
    <x v="68"/>
    <x v="10"/>
    <n v="1"/>
    <x v="19"/>
    <x v="0"/>
    <n v="1"/>
  </r>
  <r>
    <s v="Internal"/>
    <n v="2259"/>
    <s v="Port of Rosedale, MS"/>
    <n v="6522"/>
    <x v="26"/>
    <x v="2702"/>
    <n v="0"/>
    <x v="0"/>
    <x v="0"/>
    <n v="765067"/>
  </r>
  <r>
    <s v="Internal"/>
    <n v="2259"/>
    <s v="Port of Rosedale, MS"/>
    <n v="6344"/>
    <x v="25"/>
    <x v="2703"/>
    <n v="0"/>
    <x v="0"/>
    <x v="0"/>
    <n v="275449"/>
  </r>
  <r>
    <s v="Internal"/>
    <n v="2259"/>
    <s v="Port of Rosedale, MS"/>
    <n v="6442"/>
    <x v="85"/>
    <x v="2704"/>
    <n v="0"/>
    <x v="0"/>
    <x v="0"/>
    <n v="173451"/>
  </r>
  <r>
    <s v="Internal"/>
    <n v="2259"/>
    <s v="Port of Rosedale, MS"/>
    <n v="3110"/>
    <x v="36"/>
    <x v="2705"/>
    <n v="0"/>
    <x v="0"/>
    <x v="0"/>
    <n v="90153"/>
  </r>
  <r>
    <s v="Internal"/>
    <n v="2259"/>
    <s v="Port of Rosedale, MS"/>
    <n v="3130"/>
    <x v="37"/>
    <x v="2706"/>
    <n v="0"/>
    <x v="0"/>
    <x v="0"/>
    <n v="55176"/>
  </r>
  <r>
    <s v="Internal"/>
    <n v="2259"/>
    <s v="Port of Rosedale, MS"/>
    <n v="4782"/>
    <x v="45"/>
    <x v="2707"/>
    <n v="0"/>
    <x v="0"/>
    <x v="0"/>
    <n v="45326"/>
  </r>
  <r>
    <s v="Internal"/>
    <n v="2259"/>
    <s v="Port of Rosedale, MS"/>
    <n v="4331"/>
    <x v="29"/>
    <x v="2708"/>
    <n v="0"/>
    <x v="0"/>
    <x v="0"/>
    <n v="20727"/>
  </r>
  <r>
    <s v="Internal"/>
    <n v="2259"/>
    <s v="Port of Rosedale, MS"/>
    <n v="3120"/>
    <x v="41"/>
    <x v="2709"/>
    <n v="0"/>
    <x v="0"/>
    <x v="0"/>
    <n v="18844"/>
  </r>
  <r>
    <s v="Internal"/>
    <n v="2259"/>
    <s v="Port of Rosedale, MS"/>
    <n v="6654"/>
    <x v="50"/>
    <x v="2710"/>
    <n v="0"/>
    <x v="0"/>
    <x v="0"/>
    <n v="18614"/>
  </r>
  <r>
    <s v="Internal"/>
    <n v="2259"/>
    <s v="Port of Rosedale, MS"/>
    <n v="6447"/>
    <x v="132"/>
    <x v="2711"/>
    <n v="0"/>
    <x v="0"/>
    <x v="0"/>
    <n v="8603"/>
  </r>
  <r>
    <s v="Internal"/>
    <n v="2259"/>
    <s v="Port of Rosedale, MS"/>
    <n v="6241"/>
    <x v="28"/>
    <x v="2712"/>
    <n v="0"/>
    <x v="0"/>
    <x v="0"/>
    <n v="6174"/>
  </r>
  <r>
    <s v="Internal"/>
    <n v="2259"/>
    <s v="Port of Rosedale, MS"/>
    <n v="4335"/>
    <x v="5"/>
    <x v="2713"/>
    <n v="0"/>
    <x v="0"/>
    <x v="0"/>
    <n v="5646"/>
  </r>
  <r>
    <s v="Internal"/>
    <n v="2259"/>
    <s v="Port of Rosedale, MS"/>
    <n v="3190"/>
    <x v="38"/>
    <x v="2714"/>
    <n v="0"/>
    <x v="0"/>
    <x v="0"/>
    <n v="3277"/>
  </r>
  <r>
    <s v="Internal"/>
    <n v="2259"/>
    <s v="Port of Rosedale, MS"/>
    <n v="6443"/>
    <x v="135"/>
    <x v="2512"/>
    <n v="0"/>
    <x v="0"/>
    <x v="0"/>
    <n v="2100"/>
  </r>
  <r>
    <s v="Internal"/>
    <n v="2259"/>
    <s v="Port of Rosedale, MS"/>
    <n v="3276"/>
    <x v="12"/>
    <x v="1481"/>
    <n v="0"/>
    <x v="0"/>
    <x v="0"/>
    <n v="1636"/>
  </r>
  <r>
    <s v="Internal"/>
    <n v="2259"/>
    <s v="Port of Rosedale, MS"/>
    <n v="4900"/>
    <x v="14"/>
    <x v="2715"/>
    <n v="0"/>
    <x v="0"/>
    <x v="0"/>
    <n v="1605"/>
  </r>
  <r>
    <s v="Coastal"/>
    <n v="776"/>
    <s v="Port of Savannah, GA"/>
    <n v="7900"/>
    <x v="21"/>
    <x v="10"/>
    <n v="4347737"/>
    <x v="2699"/>
    <x v="2109"/>
    <n v="4347737"/>
  </r>
  <r>
    <s v="Coastal"/>
    <n v="776"/>
    <s v="Port of Savannah, GA"/>
    <n v="4225"/>
    <x v="10"/>
    <x v="10"/>
    <n v="2740101"/>
    <x v="2700"/>
    <x v="2110"/>
    <n v="2740101"/>
  </r>
  <r>
    <s v="Coastal"/>
    <n v="776"/>
    <s v="Port of Savannah, GA"/>
    <n v="7600"/>
    <x v="68"/>
    <x v="10"/>
    <n v="2652999"/>
    <x v="2701"/>
    <x v="2111"/>
    <n v="2652999"/>
  </r>
  <r>
    <s v="Coastal"/>
    <n v="776"/>
    <s v="Port of Savannah, GA"/>
    <n v="7500"/>
    <x v="60"/>
    <x v="10"/>
    <n v="2245729"/>
    <x v="2702"/>
    <x v="2112"/>
    <n v="2245729"/>
  </r>
  <r>
    <s v="Coastal"/>
    <n v="776"/>
    <s v="Port of Savannah, GA"/>
    <n v="4782"/>
    <x v="45"/>
    <x v="10"/>
    <n v="2055085"/>
    <x v="2703"/>
    <x v="2113"/>
    <n v="2055085"/>
  </r>
  <r>
    <s v="Coastal"/>
    <n v="776"/>
    <s v="Port of Savannah, GA"/>
    <n v="2640"/>
    <x v="110"/>
    <x v="10"/>
    <n v="1922790"/>
    <x v="2704"/>
    <x v="2114"/>
    <n v="1922790"/>
  </r>
  <r>
    <s v="Coastal"/>
    <n v="776"/>
    <s v="Port of Savannah, GA"/>
    <n v="5120"/>
    <x v="63"/>
    <x v="10"/>
    <n v="1880747"/>
    <x v="2705"/>
    <x v="2115"/>
    <n v="1880747"/>
  </r>
  <r>
    <s v="Coastal"/>
    <n v="776"/>
    <s v="Port of Savannah, GA"/>
    <n v="7110"/>
    <x v="4"/>
    <x v="2716"/>
    <n v="1855444"/>
    <x v="2706"/>
    <x v="2116"/>
    <n v="1856889"/>
  </r>
  <r>
    <s v="Coastal"/>
    <n v="776"/>
    <s v="Port of Savannah, GA"/>
    <n v="7210"/>
    <x v="59"/>
    <x v="10"/>
    <n v="1794560"/>
    <x v="2707"/>
    <x v="2117"/>
    <n v="1794560"/>
  </r>
  <r>
    <s v="Coastal"/>
    <n v="776"/>
    <s v="Port of Savannah, GA"/>
    <n v="5290"/>
    <x v="49"/>
    <x v="10"/>
    <n v="1499856"/>
    <x v="2708"/>
    <x v="2118"/>
    <n v="1499856"/>
  </r>
  <r>
    <s v="Coastal"/>
    <n v="776"/>
    <s v="Port of Savannah, GA"/>
    <n v="4150"/>
    <x v="101"/>
    <x v="10"/>
    <n v="1482965"/>
    <x v="2709"/>
    <x v="2119"/>
    <n v="1482965"/>
  </r>
  <r>
    <s v="Coastal"/>
    <n v="776"/>
    <s v="Port of Savannah, GA"/>
    <n v="7120"/>
    <x v="71"/>
    <x v="10"/>
    <n v="1441496"/>
    <x v="2710"/>
    <x v="2120"/>
    <n v="1441496"/>
  </r>
  <r>
    <s v="Coastal"/>
    <n v="776"/>
    <s v="Port of Savannah, GA"/>
    <n v="5480"/>
    <x v="20"/>
    <x v="10"/>
    <n v="1358477"/>
    <x v="2711"/>
    <x v="2121"/>
    <n v="1358477"/>
  </r>
  <r>
    <s v="Coastal"/>
    <n v="776"/>
    <s v="Port of Savannah, GA"/>
    <n v="4170"/>
    <x v="55"/>
    <x v="10"/>
    <n v="1341308"/>
    <x v="2712"/>
    <x v="2122"/>
    <n v="1341308"/>
  </r>
  <r>
    <s v="Coastal"/>
    <n v="776"/>
    <s v="Port of Savannah, GA"/>
    <n v="3286"/>
    <x v="57"/>
    <x v="10"/>
    <n v="1268812"/>
    <x v="2713"/>
    <x v="2123"/>
    <n v="1268812"/>
  </r>
  <r>
    <s v="Coastal"/>
    <n v="776"/>
    <s v="Port of Savannah, GA"/>
    <n v="6811"/>
    <x v="76"/>
    <x v="10"/>
    <n v="1084342"/>
    <x v="2714"/>
    <x v="2124"/>
    <n v="1084342"/>
  </r>
  <r>
    <s v="Coastal"/>
    <n v="776"/>
    <s v="Port of Savannah, GA"/>
    <n v="6889"/>
    <x v="42"/>
    <x v="10"/>
    <n v="1071950"/>
    <x v="2715"/>
    <x v="2125"/>
    <n v="1071950"/>
  </r>
  <r>
    <s v="Coastal"/>
    <n v="776"/>
    <s v="Port of Savannah, GA"/>
    <n v="6893"/>
    <x v="113"/>
    <x v="10"/>
    <n v="1036688"/>
    <x v="2716"/>
    <x v="2126"/>
    <n v="1036688"/>
  </r>
  <r>
    <s v="Coastal"/>
    <n v="776"/>
    <s v="Port of Savannah, GA"/>
    <n v="6653"/>
    <x v="24"/>
    <x v="10"/>
    <n v="759621"/>
    <x v="2717"/>
    <x v="2127"/>
    <n v="759621"/>
  </r>
  <r>
    <s v="Coastal"/>
    <n v="776"/>
    <s v="Port of Savannah, GA"/>
    <n v="2211"/>
    <x v="0"/>
    <x v="2717"/>
    <n v="605088"/>
    <x v="2718"/>
    <x v="2128"/>
    <n v="737428"/>
  </r>
  <r>
    <s v="Coastal"/>
    <n v="776"/>
    <s v="Port of Savannah, GA"/>
    <n v="6782"/>
    <x v="27"/>
    <x v="10"/>
    <n v="728823"/>
    <x v="2719"/>
    <x v="2129"/>
    <n v="728823"/>
  </r>
  <r>
    <s v="Coastal"/>
    <n v="776"/>
    <s v="Port of Savannah, GA"/>
    <n v="4189"/>
    <x v="65"/>
    <x v="10"/>
    <n v="625576"/>
    <x v="2720"/>
    <x v="2130"/>
    <n v="625576"/>
  </r>
  <r>
    <s v="Coastal"/>
    <n v="776"/>
    <s v="Port of Savannah, GA"/>
    <n v="2330"/>
    <x v="1"/>
    <x v="2718"/>
    <n v="510172"/>
    <x v="2721"/>
    <x v="2131"/>
    <n v="590550"/>
  </r>
  <r>
    <s v="Coastal"/>
    <n v="776"/>
    <s v="Port of Savannah, GA"/>
    <n v="5220"/>
    <x v="30"/>
    <x v="10"/>
    <n v="580926"/>
    <x v="2722"/>
    <x v="1638"/>
    <n v="580926"/>
  </r>
  <r>
    <s v="Coastal"/>
    <n v="776"/>
    <s v="Port of Savannah, GA"/>
    <n v="4323"/>
    <x v="6"/>
    <x v="10"/>
    <n v="576436"/>
    <x v="2723"/>
    <x v="404"/>
    <n v="576436"/>
  </r>
  <r>
    <s v="Coastal"/>
    <n v="776"/>
    <s v="Port of Savannah, GA"/>
    <n v="6885"/>
    <x v="72"/>
    <x v="10"/>
    <n v="517479"/>
    <x v="2724"/>
    <x v="2132"/>
    <n v="517479"/>
  </r>
  <r>
    <s v="Coastal"/>
    <n v="776"/>
    <s v="Port of Savannah, GA"/>
    <n v="9900"/>
    <x v="18"/>
    <x v="10"/>
    <n v="359315"/>
    <x v="2725"/>
    <x v="2133"/>
    <n v="359315"/>
  </r>
  <r>
    <s v="Coastal"/>
    <n v="776"/>
    <s v="Port of Savannah, GA"/>
    <n v="6654"/>
    <x v="50"/>
    <x v="10"/>
    <n v="352174"/>
    <x v="2726"/>
    <x v="2134"/>
    <n v="352174"/>
  </r>
  <r>
    <s v="Coastal"/>
    <n v="776"/>
    <s v="Port of Savannah, GA"/>
    <n v="6590"/>
    <x v="23"/>
    <x v="10"/>
    <n v="332275"/>
    <x v="2727"/>
    <x v="2135"/>
    <n v="332275"/>
  </r>
  <r>
    <s v="Coastal"/>
    <n v="776"/>
    <s v="Port of Savannah, GA"/>
    <n v="5540"/>
    <x v="64"/>
    <x v="10"/>
    <n v="314545"/>
    <x v="2728"/>
    <x v="2136"/>
    <n v="314545"/>
  </r>
  <r>
    <s v="Coastal"/>
    <n v="776"/>
    <s v="Port of Savannah, GA"/>
    <n v="3275"/>
    <x v="47"/>
    <x v="10"/>
    <n v="305115"/>
    <x v="2729"/>
    <x v="2137"/>
    <n v="305115"/>
  </r>
  <r>
    <s v="Coastal"/>
    <n v="776"/>
    <s v="Port of Savannah, GA"/>
    <n v="5422"/>
    <x v="66"/>
    <x v="10"/>
    <n v="302982"/>
    <x v="2730"/>
    <x v="2138"/>
    <n v="302982"/>
  </r>
  <r>
    <s v="Coastal"/>
    <n v="776"/>
    <s v="Port of Savannah, GA"/>
    <n v="5240"/>
    <x v="89"/>
    <x v="10"/>
    <n v="301002"/>
    <x v="2731"/>
    <x v="2139"/>
    <n v="301002"/>
  </r>
  <r>
    <s v="Coastal"/>
    <n v="776"/>
    <s v="Port of Savannah, GA"/>
    <n v="3299"/>
    <x v="79"/>
    <x v="10"/>
    <n v="288667"/>
    <x v="2732"/>
    <x v="2140"/>
    <n v="288667"/>
  </r>
  <r>
    <s v="Coastal"/>
    <n v="776"/>
    <s v="Port of Savannah, GA"/>
    <n v="4331"/>
    <x v="29"/>
    <x v="10"/>
    <n v="272399"/>
    <x v="2733"/>
    <x v="2141"/>
    <n v="272399"/>
  </r>
  <r>
    <s v="Coastal"/>
    <n v="776"/>
    <s v="Port of Savannah, GA"/>
    <n v="5330"/>
    <x v="16"/>
    <x v="10"/>
    <n v="267858"/>
    <x v="2734"/>
    <x v="2142"/>
    <n v="267858"/>
  </r>
  <r>
    <s v="Coastal"/>
    <n v="776"/>
    <s v="Port of Savannah, GA"/>
    <n v="3276"/>
    <x v="12"/>
    <x v="10"/>
    <n v="255146"/>
    <x v="2735"/>
    <x v="2143"/>
    <n v="255146"/>
  </r>
  <r>
    <s v="Coastal"/>
    <n v="776"/>
    <s v="Port of Savannah, GA"/>
    <n v="6858"/>
    <x v="74"/>
    <x v="10"/>
    <n v="246429"/>
    <x v="2736"/>
    <x v="2144"/>
    <n v="246429"/>
  </r>
  <r>
    <s v="Coastal"/>
    <n v="776"/>
    <s v="Port of Savannah, GA"/>
    <n v="4110"/>
    <x v="105"/>
    <x v="10"/>
    <n v="241259"/>
    <x v="2737"/>
    <x v="2145"/>
    <n v="241259"/>
  </r>
  <r>
    <s v="Coastal"/>
    <n v="776"/>
    <s v="Port of Savannah, GA"/>
    <n v="4680"/>
    <x v="70"/>
    <x v="10"/>
    <n v="239849"/>
    <x v="2738"/>
    <x v="2146"/>
    <n v="239849"/>
  </r>
  <r>
    <s v="Coastal"/>
    <n v="776"/>
    <s v="Port of Savannah, GA"/>
    <n v="3274"/>
    <x v="86"/>
    <x v="2719"/>
    <n v="122295"/>
    <x v="2739"/>
    <x v="2147"/>
    <n v="235354"/>
  </r>
  <r>
    <s v="Coastal"/>
    <n v="776"/>
    <s v="Port of Savannah, GA"/>
    <n v="2340"/>
    <x v="3"/>
    <x v="2720"/>
    <n v="9"/>
    <x v="313"/>
    <x v="0"/>
    <n v="231290"/>
  </r>
  <r>
    <s v="Coastal"/>
    <n v="776"/>
    <s v="Port of Savannah, GA"/>
    <n v="3298"/>
    <x v="123"/>
    <x v="10"/>
    <n v="224939"/>
    <x v="2740"/>
    <x v="2148"/>
    <n v="224939"/>
  </r>
  <r>
    <s v="Coastal"/>
    <n v="776"/>
    <s v="Port of Savannah, GA"/>
    <n v="5360"/>
    <x v="94"/>
    <x v="10"/>
    <n v="204861"/>
    <x v="2741"/>
    <x v="2149"/>
    <n v="204861"/>
  </r>
  <r>
    <s v="Coastal"/>
    <n v="776"/>
    <s v="Port of Savannah, GA"/>
    <n v="4322"/>
    <x v="33"/>
    <x v="10"/>
    <n v="200636"/>
    <x v="2742"/>
    <x v="445"/>
    <n v="200636"/>
  </r>
  <r>
    <s v="Coastal"/>
    <n v="776"/>
    <s v="Port of Savannah, GA"/>
    <n v="4650"/>
    <x v="67"/>
    <x v="10"/>
    <n v="190809"/>
    <x v="2743"/>
    <x v="2150"/>
    <n v="190809"/>
  </r>
  <r>
    <s v="Coastal"/>
    <n v="776"/>
    <s v="Port of Savannah, GA"/>
    <n v="6861"/>
    <x v="69"/>
    <x v="2721"/>
    <n v="53605"/>
    <x v="2744"/>
    <x v="2151"/>
    <n v="183710"/>
  </r>
  <r>
    <s v="Coastal"/>
    <n v="776"/>
    <s v="Port of Savannah, GA"/>
    <n v="7400"/>
    <x v="77"/>
    <x v="180"/>
    <n v="182965"/>
    <x v="2745"/>
    <x v="2152"/>
    <n v="183040"/>
  </r>
  <r>
    <s v="Coastal"/>
    <n v="776"/>
    <s v="Port of Savannah, GA"/>
    <n v="3285"/>
    <x v="87"/>
    <x v="10"/>
    <n v="181542"/>
    <x v="2746"/>
    <x v="2153"/>
    <n v="181542"/>
  </r>
  <r>
    <s v="Coastal"/>
    <n v="776"/>
    <s v="Port of Savannah, GA"/>
    <n v="5190"/>
    <x v="83"/>
    <x v="10"/>
    <n v="180816"/>
    <x v="2747"/>
    <x v="2154"/>
    <n v="180816"/>
  </r>
  <r>
    <s v="Coastal"/>
    <n v="776"/>
    <s v="Port of Savannah, GA"/>
    <n v="6521"/>
    <x v="121"/>
    <x v="10"/>
    <n v="153167"/>
    <x v="2748"/>
    <x v="2155"/>
    <n v="153167"/>
  </r>
  <r>
    <s v="Coastal"/>
    <n v="776"/>
    <s v="Port of Savannah, GA"/>
    <n v="6747"/>
    <x v="78"/>
    <x v="10"/>
    <n v="145581"/>
    <x v="2749"/>
    <x v="2156"/>
    <n v="145581"/>
  </r>
  <r>
    <s v="Coastal"/>
    <n v="776"/>
    <s v="Port of Savannah, GA"/>
    <n v="3250"/>
    <x v="108"/>
    <x v="10"/>
    <n v="135925"/>
    <x v="2750"/>
    <x v="2157"/>
    <n v="135925"/>
  </r>
  <r>
    <s v="Coastal"/>
    <n v="776"/>
    <s v="Port of Savannah, GA"/>
    <n v="4420"/>
    <x v="8"/>
    <x v="10"/>
    <n v="129796"/>
    <x v="2751"/>
    <x v="2158"/>
    <n v="129796"/>
  </r>
  <r>
    <s v="Coastal"/>
    <n v="776"/>
    <s v="Port of Savannah, GA"/>
    <n v="6857"/>
    <x v="104"/>
    <x v="10"/>
    <n v="127429"/>
    <x v="2752"/>
    <x v="2159"/>
    <n v="127429"/>
  </r>
  <r>
    <s v="Coastal"/>
    <n v="776"/>
    <s v="Port of Savannah, GA"/>
    <n v="4900"/>
    <x v="14"/>
    <x v="10"/>
    <n v="123630"/>
    <x v="2753"/>
    <x v="2160"/>
    <n v="123630"/>
  </r>
  <r>
    <s v="Coastal"/>
    <n v="776"/>
    <s v="Port of Savannah, GA"/>
    <n v="5370"/>
    <x v="81"/>
    <x v="10"/>
    <n v="115433"/>
    <x v="2754"/>
    <x v="2161"/>
    <n v="115433"/>
  </r>
  <r>
    <s v="Coastal"/>
    <n v="776"/>
    <s v="Port of Savannah, GA"/>
    <n v="3230"/>
    <x v="80"/>
    <x v="10"/>
    <n v="104266"/>
    <x v="2755"/>
    <x v="76"/>
    <n v="104266"/>
  </r>
  <r>
    <s v="Coastal"/>
    <n v="776"/>
    <s v="Port of Savannah, GA"/>
    <n v="3220"/>
    <x v="2"/>
    <x v="10"/>
    <n v="103341"/>
    <x v="2756"/>
    <x v="2162"/>
    <n v="103341"/>
  </r>
  <r>
    <s v="Coastal"/>
    <n v="776"/>
    <s v="Port of Savannah, GA"/>
    <n v="3282"/>
    <x v="91"/>
    <x v="10"/>
    <n v="101861"/>
    <x v="2757"/>
    <x v="2163"/>
    <n v="101861"/>
  </r>
  <r>
    <s v="Coastal"/>
    <n v="776"/>
    <s v="Port of Savannah, GA"/>
    <n v="2430"/>
    <x v="11"/>
    <x v="2722"/>
    <n v="25871"/>
    <x v="2758"/>
    <x v="2164"/>
    <n v="101304"/>
  </r>
  <r>
    <s v="Coastal"/>
    <n v="776"/>
    <s v="Port of Savannah, GA"/>
    <n v="3284"/>
    <x v="97"/>
    <x v="10"/>
    <n v="97233"/>
    <x v="2759"/>
    <x v="2165"/>
    <n v="97233"/>
  </r>
  <r>
    <s v="Coastal"/>
    <n v="776"/>
    <s v="Port of Savannah, GA"/>
    <n v="3240"/>
    <x v="53"/>
    <x v="10"/>
    <n v="90546"/>
    <x v="2760"/>
    <x v="2166"/>
    <n v="90546"/>
  </r>
  <r>
    <s v="Coastal"/>
    <n v="776"/>
    <s v="Port of Savannah, GA"/>
    <n v="3272"/>
    <x v="137"/>
    <x v="10"/>
    <n v="86587"/>
    <x v="2761"/>
    <x v="1408"/>
    <n v="86587"/>
  </r>
  <r>
    <s v="Coastal"/>
    <n v="776"/>
    <s v="Port of Savannah, GA"/>
    <n v="6136"/>
    <x v="95"/>
    <x v="10"/>
    <n v="86049"/>
    <x v="2762"/>
    <x v="2145"/>
    <n v="86049"/>
  </r>
  <r>
    <s v="Coastal"/>
    <n v="776"/>
    <s v="Port of Savannah, GA"/>
    <n v="6888"/>
    <x v="109"/>
    <x v="10"/>
    <n v="85976"/>
    <x v="2763"/>
    <x v="2167"/>
    <n v="85976"/>
  </r>
  <r>
    <s v="Coastal"/>
    <n v="776"/>
    <s v="Port of Savannah, GA"/>
    <n v="5390"/>
    <x v="44"/>
    <x v="10"/>
    <n v="85703"/>
    <x v="2764"/>
    <x v="2168"/>
    <n v="85703"/>
  </r>
  <r>
    <s v="Coastal"/>
    <n v="776"/>
    <s v="Port of Savannah, GA"/>
    <n v="3219"/>
    <x v="19"/>
    <x v="10"/>
    <n v="79116"/>
    <x v="2765"/>
    <x v="2169"/>
    <n v="79116"/>
  </r>
  <r>
    <s v="Coastal"/>
    <n v="776"/>
    <s v="Port of Savannah, GA"/>
    <n v="3292"/>
    <x v="51"/>
    <x v="10"/>
    <n v="75970"/>
    <x v="2766"/>
    <x v="2170"/>
    <n v="75970"/>
  </r>
  <r>
    <s v="Coastal"/>
    <n v="776"/>
    <s v="Port of Savannah, GA"/>
    <n v="2350"/>
    <x v="40"/>
    <x v="2723"/>
    <n v="27610"/>
    <x v="2767"/>
    <x v="2171"/>
    <n v="67944"/>
  </r>
  <r>
    <s v="Coastal"/>
    <n v="776"/>
    <s v="Port of Savannah, GA"/>
    <n v="6835"/>
    <x v="92"/>
    <x v="10"/>
    <n v="67564"/>
    <x v="2768"/>
    <x v="209"/>
    <n v="67564"/>
  </r>
  <r>
    <s v="Coastal"/>
    <n v="776"/>
    <s v="Port of Savannah, GA"/>
    <n v="3190"/>
    <x v="38"/>
    <x v="10"/>
    <n v="66533"/>
    <x v="2769"/>
    <x v="2172"/>
    <n v="66533"/>
  </r>
  <r>
    <s v="Coastal"/>
    <n v="776"/>
    <s v="Port of Savannah, GA"/>
    <n v="6839"/>
    <x v="106"/>
    <x v="10"/>
    <n v="65561"/>
    <x v="2770"/>
    <x v="2173"/>
    <n v="65561"/>
  </r>
  <r>
    <s v="Coastal"/>
    <n v="776"/>
    <s v="Port of Savannah, GA"/>
    <n v="4310"/>
    <x v="96"/>
    <x v="10"/>
    <n v="64928"/>
    <x v="2771"/>
    <x v="2174"/>
    <n v="64928"/>
  </r>
  <r>
    <s v="Coastal"/>
    <n v="776"/>
    <s v="Port of Savannah, GA"/>
    <n v="6442"/>
    <x v="85"/>
    <x v="10"/>
    <n v="64470"/>
    <x v="2772"/>
    <x v="2175"/>
    <n v="64470"/>
  </r>
  <r>
    <s v="Coastal"/>
    <n v="776"/>
    <s v="Port of Savannah, GA"/>
    <n v="6871"/>
    <x v="73"/>
    <x v="10"/>
    <n v="63766"/>
    <x v="2773"/>
    <x v="2176"/>
    <n v="63766"/>
  </r>
  <r>
    <s v="Coastal"/>
    <n v="776"/>
    <s v="Port of Savannah, GA"/>
    <n v="3110"/>
    <x v="36"/>
    <x v="10"/>
    <n v="59049"/>
    <x v="2774"/>
    <x v="2177"/>
    <n v="59049"/>
  </r>
  <r>
    <s v="Coastal"/>
    <n v="776"/>
    <s v="Port of Savannah, GA"/>
    <n v="5421"/>
    <x v="88"/>
    <x v="10"/>
    <n v="51126"/>
    <x v="2775"/>
    <x v="2178"/>
    <n v="51126"/>
  </r>
  <r>
    <s v="Coastal"/>
    <n v="776"/>
    <s v="Port of Savannah, GA"/>
    <n v="2540"/>
    <x v="15"/>
    <x v="10"/>
    <n v="47673"/>
    <x v="2776"/>
    <x v="2179"/>
    <n v="47673"/>
  </r>
  <r>
    <s v="Coastal"/>
    <n v="776"/>
    <s v="Port of Savannah, GA"/>
    <n v="4190"/>
    <x v="99"/>
    <x v="10"/>
    <n v="47446"/>
    <x v="2777"/>
    <x v="2180"/>
    <n v="47446"/>
  </r>
  <r>
    <s v="Coastal"/>
    <n v="776"/>
    <s v="Port of Savannah, GA"/>
    <n v="4161"/>
    <x v="54"/>
    <x v="10"/>
    <n v="46507"/>
    <x v="2778"/>
    <x v="2181"/>
    <n v="46507"/>
  </r>
  <r>
    <s v="Coastal"/>
    <n v="776"/>
    <s v="Port of Savannah, GA"/>
    <n v="3260"/>
    <x v="107"/>
    <x v="10"/>
    <n v="43788"/>
    <x v="2779"/>
    <x v="2182"/>
    <n v="43788"/>
  </r>
  <r>
    <s v="Coastal"/>
    <n v="776"/>
    <s v="Port of Savannah, GA"/>
    <n v="3291"/>
    <x v="117"/>
    <x v="10"/>
    <n v="43395"/>
    <x v="2780"/>
    <x v="2183"/>
    <n v="43395"/>
  </r>
  <r>
    <s v="Coastal"/>
    <n v="776"/>
    <s v="Port of Savannah, GA"/>
    <n v="6522"/>
    <x v="26"/>
    <x v="10"/>
    <n v="42523"/>
    <x v="2781"/>
    <x v="2184"/>
    <n v="42523"/>
  </r>
  <r>
    <s v="Coastal"/>
    <n v="776"/>
    <s v="Port of Savannah, GA"/>
    <n v="6822"/>
    <x v="84"/>
    <x v="10"/>
    <n v="38649"/>
    <x v="2782"/>
    <x v="2185"/>
    <n v="38649"/>
  </r>
  <r>
    <s v="Coastal"/>
    <n v="776"/>
    <s v="Port of Savannah, GA"/>
    <n v="6134"/>
    <x v="82"/>
    <x v="10"/>
    <n v="37469"/>
    <x v="2783"/>
    <x v="2186"/>
    <n v="37469"/>
  </r>
  <r>
    <s v="Coastal"/>
    <n v="776"/>
    <s v="Port of Savannah, GA"/>
    <n v="5312"/>
    <x v="52"/>
    <x v="10"/>
    <n v="35334"/>
    <x v="2784"/>
    <x v="2187"/>
    <n v="35334"/>
  </r>
  <r>
    <s v="Coastal"/>
    <n v="776"/>
    <s v="Port of Savannah, GA"/>
    <n v="2221"/>
    <x v="9"/>
    <x v="2724"/>
    <n v="1"/>
    <x v="0"/>
    <x v="276"/>
    <n v="34982"/>
  </r>
  <r>
    <s v="Coastal"/>
    <n v="776"/>
    <s v="Port of Savannah, GA"/>
    <n v="5429"/>
    <x v="61"/>
    <x v="10"/>
    <n v="27245"/>
    <x v="2785"/>
    <x v="2188"/>
    <n v="27245"/>
  </r>
  <r>
    <s v="Coastal"/>
    <n v="776"/>
    <s v="Port of Savannah, GA"/>
    <n v="3130"/>
    <x v="37"/>
    <x v="10"/>
    <n v="26743"/>
    <x v="2786"/>
    <x v="2189"/>
    <n v="26743"/>
  </r>
  <r>
    <s v="Coastal"/>
    <n v="776"/>
    <s v="Port of Savannah, GA"/>
    <n v="3279"/>
    <x v="58"/>
    <x v="10"/>
    <n v="25678"/>
    <x v="2787"/>
    <x v="2190"/>
    <n v="25678"/>
  </r>
  <r>
    <s v="Coastal"/>
    <n v="776"/>
    <s v="Port of Savannah, GA"/>
    <n v="4783"/>
    <x v="7"/>
    <x v="10"/>
    <n v="24310"/>
    <x v="2788"/>
    <x v="2191"/>
    <n v="24310"/>
  </r>
  <r>
    <s v="Coastal"/>
    <n v="776"/>
    <s v="Port of Savannah, GA"/>
    <n v="6856"/>
    <x v="126"/>
    <x v="10"/>
    <n v="22553"/>
    <x v="2789"/>
    <x v="273"/>
    <n v="22553"/>
  </r>
  <r>
    <s v="Coastal"/>
    <n v="776"/>
    <s v="Port of Savannah, GA"/>
    <n v="6817"/>
    <x v="119"/>
    <x v="10"/>
    <n v="21483"/>
    <x v="1873"/>
    <x v="2192"/>
    <n v="21483"/>
  </r>
  <r>
    <s v="Coastal"/>
    <n v="776"/>
    <s v="Port of Savannah, GA"/>
    <n v="6891"/>
    <x v="93"/>
    <x v="10"/>
    <n v="20376"/>
    <x v="2790"/>
    <x v="2193"/>
    <n v="20376"/>
  </r>
  <r>
    <s v="Coastal"/>
    <n v="776"/>
    <s v="Port of Savannah, GA"/>
    <n v="3297"/>
    <x v="116"/>
    <x v="10"/>
    <n v="18985"/>
    <x v="2791"/>
    <x v="2194"/>
    <n v="18985"/>
  </r>
  <r>
    <s v="Coastal"/>
    <n v="776"/>
    <s v="Port of Savannah, GA"/>
    <n v="6865"/>
    <x v="75"/>
    <x v="10"/>
    <n v="13611"/>
    <x v="2792"/>
    <x v="1262"/>
    <n v="13611"/>
  </r>
  <r>
    <s v="Coastal"/>
    <n v="776"/>
    <s v="Port of Savannah, GA"/>
    <n v="3293"/>
    <x v="122"/>
    <x v="10"/>
    <n v="13272"/>
    <x v="2793"/>
    <x v="2195"/>
    <n v="13272"/>
  </r>
  <r>
    <s v="Coastal"/>
    <n v="776"/>
    <s v="Port of Savannah, GA"/>
    <n v="7300"/>
    <x v="115"/>
    <x v="10"/>
    <n v="13033"/>
    <x v="2794"/>
    <x v="2196"/>
    <n v="13033"/>
  </r>
  <r>
    <s v="Coastal"/>
    <n v="776"/>
    <s v="Port of Savannah, GA"/>
    <n v="6899"/>
    <x v="114"/>
    <x v="10"/>
    <n v="12457"/>
    <x v="2795"/>
    <x v="2197"/>
    <n v="12457"/>
  </r>
  <r>
    <s v="Coastal"/>
    <n v="776"/>
    <s v="Port of Savannah, GA"/>
    <n v="6781"/>
    <x v="128"/>
    <x v="10"/>
    <n v="11443"/>
    <x v="2796"/>
    <x v="2198"/>
    <n v="11443"/>
  </r>
  <r>
    <s v="Coastal"/>
    <n v="776"/>
    <s v="Port of Savannah, GA"/>
    <n v="6894"/>
    <x v="120"/>
    <x v="10"/>
    <n v="10963"/>
    <x v="2797"/>
    <x v="1973"/>
    <n v="10963"/>
  </r>
  <r>
    <s v="Coastal"/>
    <n v="776"/>
    <s v="Port of Savannah, GA"/>
    <n v="7230"/>
    <x v="22"/>
    <x v="10"/>
    <n v="9098"/>
    <x v="2798"/>
    <x v="2199"/>
    <n v="9098"/>
  </r>
  <r>
    <s v="Coastal"/>
    <n v="776"/>
    <s v="Port of Savannah, GA"/>
    <n v="3283"/>
    <x v="111"/>
    <x v="10"/>
    <n v="8854"/>
    <x v="2799"/>
    <x v="2200"/>
    <n v="8854"/>
  </r>
  <r>
    <s v="Coastal"/>
    <n v="776"/>
    <s v="Port of Savannah, GA"/>
    <n v="6344"/>
    <x v="25"/>
    <x v="10"/>
    <n v="7745"/>
    <x v="2800"/>
    <x v="2201"/>
    <n v="7745"/>
  </r>
  <r>
    <s v="Coastal"/>
    <n v="776"/>
    <s v="Port of Savannah, GA"/>
    <n v="3281"/>
    <x v="125"/>
    <x v="10"/>
    <n v="6055"/>
    <x v="2801"/>
    <x v="433"/>
    <n v="6055"/>
  </r>
  <r>
    <s v="Coastal"/>
    <n v="776"/>
    <s v="Port of Savannah, GA"/>
    <n v="2410"/>
    <x v="98"/>
    <x v="10"/>
    <n v="5896"/>
    <x v="2802"/>
    <x v="404"/>
    <n v="5896"/>
  </r>
  <r>
    <s v="Coastal"/>
    <n v="776"/>
    <s v="Port of Savannah, GA"/>
    <n v="7220"/>
    <x v="103"/>
    <x v="10"/>
    <n v="5731"/>
    <x v="2803"/>
    <x v="2202"/>
    <n v="5731"/>
  </r>
  <r>
    <s v="Coastal"/>
    <n v="776"/>
    <s v="Port of Savannah, GA"/>
    <n v="6746"/>
    <x v="118"/>
    <x v="10"/>
    <n v="4631"/>
    <x v="2804"/>
    <x v="2203"/>
    <n v="4631"/>
  </r>
  <r>
    <s v="Coastal"/>
    <n v="776"/>
    <s v="Port of Savannah, GA"/>
    <n v="3211"/>
    <x v="124"/>
    <x v="10"/>
    <n v="4291"/>
    <x v="2805"/>
    <x v="2204"/>
    <n v="4291"/>
  </r>
  <r>
    <s v="Coastal"/>
    <n v="776"/>
    <s v="Port of Savannah, GA"/>
    <n v="6838"/>
    <x v="131"/>
    <x v="10"/>
    <n v="4105"/>
    <x v="2806"/>
    <x v="2205"/>
    <n v="4105"/>
  </r>
  <r>
    <s v="Coastal"/>
    <n v="776"/>
    <s v="Port of Savannah, GA"/>
    <n v="1100"/>
    <x v="32"/>
    <x v="10"/>
    <n v="3739"/>
    <x v="2807"/>
    <x v="83"/>
    <n v="3739"/>
  </r>
  <r>
    <s v="Coastal"/>
    <n v="776"/>
    <s v="Port of Savannah, GA"/>
    <n v="5110"/>
    <x v="112"/>
    <x v="10"/>
    <n v="3662"/>
    <x v="2808"/>
    <x v="616"/>
    <n v="3662"/>
  </r>
  <r>
    <s v="Coastal"/>
    <n v="776"/>
    <s v="Port of Savannah, GA"/>
    <n v="4690"/>
    <x v="62"/>
    <x v="10"/>
    <n v="2789"/>
    <x v="2809"/>
    <x v="2206"/>
    <n v="2789"/>
  </r>
  <r>
    <s v="Coastal"/>
    <n v="776"/>
    <s v="Port of Savannah, GA"/>
    <n v="4860"/>
    <x v="31"/>
    <x v="10"/>
    <n v="2188"/>
    <x v="2810"/>
    <x v="268"/>
    <n v="2188"/>
  </r>
  <r>
    <s v="Coastal"/>
    <n v="776"/>
    <s v="Port of Savannah, GA"/>
    <n v="3273"/>
    <x v="46"/>
    <x v="10"/>
    <n v="1901"/>
    <x v="289"/>
    <x v="2046"/>
    <n v="1901"/>
  </r>
  <r>
    <s v="Coastal"/>
    <n v="776"/>
    <s v="Port of Savannah, GA"/>
    <n v="5315"/>
    <x v="48"/>
    <x v="10"/>
    <n v="1870"/>
    <x v="2811"/>
    <x v="1110"/>
    <n v="1870"/>
  </r>
  <r>
    <s v="Coastal"/>
    <n v="776"/>
    <s v="Port of Savannah, GA"/>
    <n v="5320"/>
    <x v="13"/>
    <x v="10"/>
    <n v="1694"/>
    <x v="2812"/>
    <x v="219"/>
    <n v="1694"/>
  </r>
  <r>
    <s v="Coastal"/>
    <n v="776"/>
    <s v="Port of Savannah, GA"/>
    <n v="4630"/>
    <x v="127"/>
    <x v="10"/>
    <n v="1466"/>
    <x v="2813"/>
    <x v="0"/>
    <n v="1466"/>
  </r>
  <r>
    <s v="Coastal"/>
    <n v="776"/>
    <s v="Port of Savannah, GA"/>
    <n v="3271"/>
    <x v="133"/>
    <x v="10"/>
    <n v="1247"/>
    <x v="2814"/>
    <x v="208"/>
    <n v="1247"/>
  </r>
  <r>
    <s v="Coastal"/>
    <n v="776"/>
    <s v="Port of Savannah, GA"/>
    <n v="5210"/>
    <x v="130"/>
    <x v="10"/>
    <n v="1099"/>
    <x v="2815"/>
    <x v="2207"/>
    <n v="1099"/>
  </r>
  <r>
    <s v="Coastal"/>
    <n v="776"/>
    <s v="Port of Savannah, GA"/>
    <n v="3212"/>
    <x v="39"/>
    <x v="10"/>
    <n v="477"/>
    <x v="139"/>
    <x v="0"/>
    <n v="477"/>
  </r>
  <r>
    <s v="Coastal"/>
    <n v="776"/>
    <s v="Port of Savannah, GA"/>
    <n v="2990"/>
    <x v="102"/>
    <x v="10"/>
    <n v="384"/>
    <x v="450"/>
    <x v="2059"/>
    <n v="384"/>
  </r>
  <r>
    <s v="Coastal"/>
    <n v="776"/>
    <s v="Port of Savannah, GA"/>
    <n v="6447"/>
    <x v="132"/>
    <x v="10"/>
    <n v="347"/>
    <x v="210"/>
    <x v="2208"/>
    <n v="347"/>
  </r>
  <r>
    <s v="Coastal"/>
    <n v="776"/>
    <s v="Port of Savannah, GA"/>
    <n v="4741"/>
    <x v="56"/>
    <x v="10"/>
    <n v="317"/>
    <x v="2675"/>
    <x v="1383"/>
    <n v="317"/>
  </r>
  <r>
    <s v="Coastal"/>
    <n v="776"/>
    <s v="Port of Savannah, GA"/>
    <n v="2429"/>
    <x v="17"/>
    <x v="10"/>
    <n v="315"/>
    <x v="555"/>
    <x v="75"/>
    <n v="315"/>
  </r>
  <r>
    <s v="Coastal"/>
    <n v="776"/>
    <s v="Port of Savannah, GA"/>
    <n v="6872"/>
    <x v="100"/>
    <x v="10"/>
    <n v="299"/>
    <x v="1591"/>
    <x v="406"/>
    <n v="299"/>
  </r>
  <r>
    <s v="Coastal"/>
    <n v="776"/>
    <s v="Port of Savannah, GA"/>
    <n v="6445"/>
    <x v="136"/>
    <x v="10"/>
    <n v="231"/>
    <x v="555"/>
    <x v="664"/>
    <n v="231"/>
  </r>
  <r>
    <s v="Coastal"/>
    <n v="776"/>
    <s v="Port of Savannah, GA"/>
    <n v="4670"/>
    <x v="90"/>
    <x v="10"/>
    <n v="217"/>
    <x v="2816"/>
    <x v="0"/>
    <n v="217"/>
  </r>
  <r>
    <s v="Coastal"/>
    <n v="776"/>
    <s v="Port of Savannah, GA"/>
    <n v="6241"/>
    <x v="28"/>
    <x v="10"/>
    <n v="217"/>
    <x v="1086"/>
    <x v="1407"/>
    <n v="217"/>
  </r>
  <r>
    <s v="Coastal"/>
    <n v="776"/>
    <s v="Port of Savannah, GA"/>
    <n v="6443"/>
    <x v="135"/>
    <x v="10"/>
    <n v="154"/>
    <x v="444"/>
    <x v="236"/>
    <n v="154"/>
  </r>
  <r>
    <s v="Coastal"/>
    <n v="776"/>
    <s v="Port of Savannah, GA"/>
    <n v="4515"/>
    <x v="129"/>
    <x v="10"/>
    <n v="102"/>
    <x v="181"/>
    <x v="132"/>
    <n v="102"/>
  </r>
  <r>
    <s v="Coastal"/>
    <n v="776"/>
    <s v="Port of Savannah, GA"/>
    <n v="4327"/>
    <x v="134"/>
    <x v="10"/>
    <n v="76"/>
    <x v="445"/>
    <x v="0"/>
    <n v="76"/>
  </r>
  <r>
    <s v="Coastal"/>
    <n v="776"/>
    <s v="Port of Savannah, GA"/>
    <n v="4410"/>
    <x v="34"/>
    <x v="10"/>
    <n v="27"/>
    <x v="451"/>
    <x v="0"/>
    <n v="27"/>
  </r>
  <r>
    <s v="Coastal"/>
    <n v="776"/>
    <s v="Port of Savannah, GA"/>
    <n v="6534"/>
    <x v="141"/>
    <x v="10"/>
    <n v="13"/>
    <x v="0"/>
    <x v="1038"/>
    <n v="13"/>
  </r>
  <r>
    <s v="Coastal"/>
    <n v="4636"/>
    <s v="Port of Vancouver USA, WA"/>
    <n v="6241"/>
    <x v="28"/>
    <x v="2725"/>
    <n v="3084184"/>
    <x v="0"/>
    <x v="2209"/>
    <n v="4339210"/>
  </r>
  <r>
    <s v="Coastal"/>
    <n v="4636"/>
    <s v="Port of Vancouver USA, WA"/>
    <n v="6522"/>
    <x v="26"/>
    <x v="10"/>
    <n v="1566559"/>
    <x v="0"/>
    <x v="2210"/>
    <n v="1566559"/>
  </r>
  <r>
    <s v="Coastal"/>
    <n v="4636"/>
    <s v="Port of Vancouver USA, WA"/>
    <n v="6344"/>
    <x v="25"/>
    <x v="10"/>
    <n v="948538"/>
    <x v="0"/>
    <x v="2211"/>
    <n v="948538"/>
  </r>
  <r>
    <s v="Coastal"/>
    <n v="4636"/>
    <s v="Port of Vancouver USA, WA"/>
    <n v="4420"/>
    <x v="8"/>
    <x v="10"/>
    <n v="471188"/>
    <x v="0"/>
    <x v="2212"/>
    <n v="471188"/>
  </r>
  <r>
    <s v="Coastal"/>
    <n v="4636"/>
    <s v="Port of Vancouver USA, WA"/>
    <n v="4331"/>
    <x v="29"/>
    <x v="2726"/>
    <n v="297"/>
    <x v="440"/>
    <x v="0"/>
    <n v="447005"/>
  </r>
  <r>
    <s v="Coastal"/>
    <n v="4636"/>
    <s v="Port of Vancouver USA, WA"/>
    <n v="8900"/>
    <x v="139"/>
    <x v="2727"/>
    <n v="0"/>
    <x v="0"/>
    <x v="0"/>
    <n v="358125"/>
  </r>
  <r>
    <s v="Coastal"/>
    <n v="4636"/>
    <s v="Port of Vancouver USA, WA"/>
    <n v="3274"/>
    <x v="86"/>
    <x v="10"/>
    <n v="248808"/>
    <x v="2817"/>
    <x v="0"/>
    <n v="248808"/>
  </r>
  <r>
    <s v="Coastal"/>
    <n v="4636"/>
    <s v="Port of Vancouver USA, WA"/>
    <n v="5320"/>
    <x v="13"/>
    <x v="10"/>
    <n v="197253"/>
    <x v="2818"/>
    <x v="2213"/>
    <n v="197253"/>
  </r>
  <r>
    <s v="Coastal"/>
    <n v="4636"/>
    <s v="Port of Vancouver USA, WA"/>
    <n v="4630"/>
    <x v="127"/>
    <x v="10"/>
    <n v="196186"/>
    <x v="0"/>
    <x v="2214"/>
    <n v="196186"/>
  </r>
  <r>
    <s v="Coastal"/>
    <n v="4636"/>
    <s v="Port of Vancouver USA, WA"/>
    <n v="6782"/>
    <x v="27"/>
    <x v="10"/>
    <n v="148378"/>
    <x v="168"/>
    <x v="2215"/>
    <n v="148378"/>
  </r>
  <r>
    <s v="Coastal"/>
    <n v="4636"/>
    <s v="Port of Vancouver USA, WA"/>
    <n v="7210"/>
    <x v="59"/>
    <x v="10"/>
    <n v="119820"/>
    <x v="2819"/>
    <x v="0"/>
    <n v="119820"/>
  </r>
  <r>
    <s v="Coastal"/>
    <n v="4636"/>
    <s v="Port of Vancouver USA, WA"/>
    <n v="4782"/>
    <x v="45"/>
    <x v="10"/>
    <n v="111008"/>
    <x v="0"/>
    <x v="2216"/>
    <n v="111008"/>
  </r>
  <r>
    <s v="Coastal"/>
    <n v="4636"/>
    <s v="Port of Vancouver USA, WA"/>
    <n v="3276"/>
    <x v="12"/>
    <x v="10"/>
    <n v="104152"/>
    <x v="2820"/>
    <x v="2217"/>
    <n v="104152"/>
  </r>
  <r>
    <s v="Coastal"/>
    <n v="4636"/>
    <s v="Port of Vancouver USA, WA"/>
    <n v="5330"/>
    <x v="16"/>
    <x v="10"/>
    <n v="61782"/>
    <x v="2821"/>
    <x v="0"/>
    <n v="61782"/>
  </r>
  <r>
    <s v="Coastal"/>
    <n v="4636"/>
    <s v="Port of Vancouver USA, WA"/>
    <n v="2330"/>
    <x v="1"/>
    <x v="2728"/>
    <n v="8331"/>
    <x v="2822"/>
    <x v="0"/>
    <n v="61119"/>
  </r>
  <r>
    <s v="Coastal"/>
    <n v="4636"/>
    <s v="Port of Vancouver USA, WA"/>
    <n v="5480"/>
    <x v="20"/>
    <x v="10"/>
    <n v="58474"/>
    <x v="2823"/>
    <x v="0"/>
    <n v="58474"/>
  </r>
  <r>
    <s v="Coastal"/>
    <n v="4636"/>
    <s v="Port of Vancouver USA, WA"/>
    <n v="3292"/>
    <x v="51"/>
    <x v="10"/>
    <n v="50078"/>
    <x v="0"/>
    <x v="2218"/>
    <n v="50078"/>
  </r>
  <r>
    <s v="Coastal"/>
    <n v="4636"/>
    <s v="Port of Vancouver USA, WA"/>
    <n v="5370"/>
    <x v="81"/>
    <x v="10"/>
    <n v="45333"/>
    <x v="2824"/>
    <x v="0"/>
    <n v="45333"/>
  </r>
  <r>
    <s v="Coastal"/>
    <n v="4636"/>
    <s v="Port of Vancouver USA, WA"/>
    <n v="2221"/>
    <x v="9"/>
    <x v="2729"/>
    <n v="0"/>
    <x v="0"/>
    <x v="0"/>
    <n v="42620"/>
  </r>
  <r>
    <s v="Coastal"/>
    <n v="4636"/>
    <s v="Port of Vancouver USA, WA"/>
    <n v="2540"/>
    <x v="15"/>
    <x v="10"/>
    <n v="34172"/>
    <x v="0"/>
    <x v="1231"/>
    <n v="34172"/>
  </r>
  <r>
    <s v="Coastal"/>
    <n v="4636"/>
    <s v="Port of Vancouver USA, WA"/>
    <n v="2340"/>
    <x v="3"/>
    <x v="2730"/>
    <n v="0"/>
    <x v="0"/>
    <x v="0"/>
    <n v="28291"/>
  </r>
  <r>
    <s v="Coastal"/>
    <n v="4636"/>
    <s v="Port of Vancouver USA, WA"/>
    <n v="5422"/>
    <x v="66"/>
    <x v="10"/>
    <n v="27956"/>
    <x v="2825"/>
    <x v="0"/>
    <n v="27956"/>
  </r>
  <r>
    <s v="Coastal"/>
    <n v="4636"/>
    <s v="Port of Vancouver USA, WA"/>
    <n v="5220"/>
    <x v="30"/>
    <x v="10"/>
    <n v="26675"/>
    <x v="2826"/>
    <x v="0"/>
    <n v="26675"/>
  </r>
  <r>
    <s v="Coastal"/>
    <n v="4636"/>
    <s v="Port of Vancouver USA, WA"/>
    <n v="4900"/>
    <x v="14"/>
    <x v="10"/>
    <n v="14040"/>
    <x v="0"/>
    <x v="2219"/>
    <n v="14040"/>
  </r>
  <r>
    <s v="Coastal"/>
    <n v="4636"/>
    <s v="Port of Vancouver USA, WA"/>
    <n v="5421"/>
    <x v="88"/>
    <x v="10"/>
    <n v="11653"/>
    <x v="2827"/>
    <x v="2099"/>
    <n v="11653"/>
  </r>
  <r>
    <s v="Coastal"/>
    <n v="4636"/>
    <s v="Port of Vancouver USA, WA"/>
    <n v="2211"/>
    <x v="0"/>
    <x v="2731"/>
    <n v="0"/>
    <x v="0"/>
    <x v="0"/>
    <n v="11173"/>
  </r>
  <r>
    <s v="Coastal"/>
    <n v="4636"/>
    <s v="Port of Vancouver USA, WA"/>
    <n v="7900"/>
    <x v="21"/>
    <x v="10"/>
    <n v="9613"/>
    <x v="2828"/>
    <x v="0"/>
    <n v="9613"/>
  </r>
  <r>
    <s v="Coastal"/>
    <n v="4636"/>
    <s v="Port of Vancouver USA, WA"/>
    <n v="9900"/>
    <x v="18"/>
    <x v="10"/>
    <n v="8104"/>
    <x v="2829"/>
    <x v="0"/>
    <n v="8104"/>
  </r>
  <r>
    <s v="Coastal"/>
    <n v="4636"/>
    <s v="Port of Vancouver USA, WA"/>
    <n v="3299"/>
    <x v="79"/>
    <x v="10"/>
    <n v="3311"/>
    <x v="2830"/>
    <x v="0"/>
    <n v="3311"/>
  </r>
  <r>
    <s v="Coastal"/>
    <n v="4636"/>
    <s v="Port of Vancouver USA, WA"/>
    <n v="7110"/>
    <x v="4"/>
    <x v="10"/>
    <n v="3174"/>
    <x v="2831"/>
    <x v="0"/>
    <n v="3174"/>
  </r>
  <r>
    <s v="Coastal"/>
    <n v="4636"/>
    <s v="Port of Vancouver USA, WA"/>
    <n v="5290"/>
    <x v="49"/>
    <x v="10"/>
    <n v="2761"/>
    <x v="2832"/>
    <x v="0"/>
    <n v="2761"/>
  </r>
  <r>
    <s v="Coastal"/>
    <n v="4636"/>
    <s v="Port of Vancouver USA, WA"/>
    <n v="7500"/>
    <x v="60"/>
    <x v="10"/>
    <n v="1770"/>
    <x v="418"/>
    <x v="2220"/>
    <n v="1770"/>
  </r>
  <r>
    <s v="Coastal"/>
    <n v="4636"/>
    <s v="Port of Vancouver USA, WA"/>
    <n v="7120"/>
    <x v="71"/>
    <x v="10"/>
    <n v="1416"/>
    <x v="2833"/>
    <x v="0"/>
    <n v="1416"/>
  </r>
  <r>
    <s v="Coastal"/>
    <n v="4636"/>
    <s v="Port of Vancouver USA, WA"/>
    <n v="5360"/>
    <x v="94"/>
    <x v="10"/>
    <n v="1148"/>
    <x v="2834"/>
    <x v="0"/>
    <n v="1148"/>
  </r>
  <r>
    <s v="Coastal"/>
    <n v="4636"/>
    <s v="Port of Vancouver USA, WA"/>
    <n v="4310"/>
    <x v="96"/>
    <x v="10"/>
    <n v="340"/>
    <x v="2835"/>
    <x v="0"/>
    <n v="340"/>
  </r>
  <r>
    <s v="Coastal"/>
    <n v="4636"/>
    <s v="Port of Vancouver USA, WA"/>
    <n v="3286"/>
    <x v="57"/>
    <x v="10"/>
    <n v="147"/>
    <x v="387"/>
    <x v="0"/>
    <n v="147"/>
  </r>
  <r>
    <s v="Coastal"/>
    <n v="4636"/>
    <s v="Port of Vancouver USA, WA"/>
    <n v="7600"/>
    <x v="68"/>
    <x v="10"/>
    <n v="30"/>
    <x v="523"/>
    <x v="0"/>
    <n v="30"/>
  </r>
  <r>
    <s v="Coastal"/>
    <n v="4636"/>
    <s v="Port of Vancouver USA, WA"/>
    <n v="7800"/>
    <x v="140"/>
    <x v="415"/>
    <n v="0"/>
    <x v="0"/>
    <x v="0"/>
    <n v="29"/>
  </r>
  <r>
    <s v="Coastal"/>
    <n v="4636"/>
    <s v="Port of Vancouver USA, WA"/>
    <n v="6885"/>
    <x v="72"/>
    <x v="10"/>
    <n v="28"/>
    <x v="717"/>
    <x v="0"/>
    <n v="28"/>
  </r>
  <r>
    <s v="Coastal"/>
    <n v="4636"/>
    <s v="Port of Vancouver USA, WA"/>
    <n v="3283"/>
    <x v="111"/>
    <x v="10"/>
    <n v="16"/>
    <x v="452"/>
    <x v="0"/>
    <n v="16"/>
  </r>
  <r>
    <s v="Coastal"/>
    <n v="4636"/>
    <s v="Port of Vancouver USA, WA"/>
    <n v="3275"/>
    <x v="47"/>
    <x v="10"/>
    <n v="7"/>
    <x v="311"/>
    <x v="0"/>
    <n v="7"/>
  </r>
  <r>
    <s v="Coastal"/>
    <n v="4636"/>
    <s v="Port of Vancouver USA, WA"/>
    <n v="6888"/>
    <x v="109"/>
    <x v="10"/>
    <n v="7"/>
    <x v="311"/>
    <x v="0"/>
    <n v="7"/>
  </r>
  <r>
    <s v="Coastal"/>
    <n v="4636"/>
    <s v="Port of Vancouver USA, WA"/>
    <n v="6654"/>
    <x v="50"/>
    <x v="10"/>
    <n v="5"/>
    <x v="168"/>
    <x v="0"/>
    <n v="5"/>
  </r>
  <r>
    <s v="Coastal"/>
    <n v="4636"/>
    <s v="Port of Vancouver USA, WA"/>
    <n v="7400"/>
    <x v="77"/>
    <x v="10"/>
    <n v="5"/>
    <x v="168"/>
    <x v="0"/>
    <n v="5"/>
  </r>
  <r>
    <s v="Coastal"/>
    <n v="4636"/>
    <s v="Port of Vancouver USA, WA"/>
    <n v="3284"/>
    <x v="97"/>
    <x v="10"/>
    <n v="3"/>
    <x v="393"/>
    <x v="0"/>
    <n v="3"/>
  </r>
  <r>
    <s v="Coastal"/>
    <n v="4636"/>
    <s v="Port of Vancouver USA, WA"/>
    <n v="3250"/>
    <x v="108"/>
    <x v="10"/>
    <n v="2"/>
    <x v="212"/>
    <x v="0"/>
    <n v="2"/>
  </r>
  <r>
    <s v="Coastal"/>
    <n v="4636"/>
    <s v="Port of Vancouver USA, WA"/>
    <n v="6857"/>
    <x v="104"/>
    <x v="10"/>
    <n v="2"/>
    <x v="212"/>
    <x v="0"/>
    <n v="2"/>
  </r>
  <r>
    <s v="Coastal"/>
    <n v="4636"/>
    <s v="Port of Vancouver USA, WA"/>
    <n v="6653"/>
    <x v="24"/>
    <x v="10"/>
    <n v="1"/>
    <x v="19"/>
    <x v="0"/>
    <n v="1"/>
  </r>
  <r>
    <s v="Coastal"/>
    <n v="4636"/>
    <s v="Port of Vancouver USA, WA"/>
    <n v="6811"/>
    <x v="76"/>
    <x v="10"/>
    <n v="1"/>
    <x v="19"/>
    <x v="0"/>
    <n v="1"/>
  </r>
  <r>
    <s v="Coastal"/>
    <n v="4636"/>
    <s v="Port of Vancouver USA, WA"/>
    <n v="6889"/>
    <x v="42"/>
    <x v="10"/>
    <n v="1"/>
    <x v="19"/>
    <x v="0"/>
    <n v="1"/>
  </r>
  <r>
    <s v="Internal"/>
    <n v="2438"/>
    <s v="Port of Vicksburg, MS"/>
    <n v="4322"/>
    <x v="33"/>
    <x v="2732"/>
    <n v="0"/>
    <x v="0"/>
    <x v="0"/>
    <n v="559547"/>
  </r>
  <r>
    <s v="Internal"/>
    <n v="2438"/>
    <s v="Port of Vicksburg, MS"/>
    <n v="2100"/>
    <x v="35"/>
    <x v="2733"/>
    <n v="0"/>
    <x v="0"/>
    <x v="0"/>
    <n v="529196"/>
  </r>
  <r>
    <s v="Internal"/>
    <n v="2438"/>
    <s v="Port of Vicksburg, MS"/>
    <n v="2330"/>
    <x v="1"/>
    <x v="2734"/>
    <n v="0"/>
    <x v="0"/>
    <x v="0"/>
    <n v="454184"/>
  </r>
  <r>
    <s v="Internal"/>
    <n v="2438"/>
    <s v="Port of Vicksburg, MS"/>
    <n v="3110"/>
    <x v="36"/>
    <x v="2735"/>
    <n v="0"/>
    <x v="0"/>
    <x v="0"/>
    <n v="274130"/>
  </r>
  <r>
    <s v="Internal"/>
    <n v="2438"/>
    <s v="Port of Vicksburg, MS"/>
    <n v="6522"/>
    <x v="26"/>
    <x v="2736"/>
    <n v="0"/>
    <x v="0"/>
    <x v="0"/>
    <n v="233277"/>
  </r>
  <r>
    <s v="Internal"/>
    <n v="2438"/>
    <s v="Port of Vicksburg, MS"/>
    <n v="2350"/>
    <x v="40"/>
    <x v="2737"/>
    <n v="0"/>
    <x v="0"/>
    <x v="0"/>
    <n v="192864"/>
  </r>
  <r>
    <s v="Internal"/>
    <n v="2438"/>
    <s v="Port of Vicksburg, MS"/>
    <n v="4335"/>
    <x v="5"/>
    <x v="2738"/>
    <n v="0"/>
    <x v="0"/>
    <x v="0"/>
    <n v="167841"/>
  </r>
  <r>
    <s v="Internal"/>
    <n v="2438"/>
    <s v="Port of Vicksburg, MS"/>
    <n v="5210"/>
    <x v="130"/>
    <x v="2739"/>
    <n v="0"/>
    <x v="0"/>
    <x v="0"/>
    <n v="147045"/>
  </r>
  <r>
    <s v="Internal"/>
    <n v="2438"/>
    <s v="Port of Vicksburg, MS"/>
    <n v="6344"/>
    <x v="25"/>
    <x v="2740"/>
    <n v="0"/>
    <x v="0"/>
    <x v="0"/>
    <n v="126412"/>
  </r>
  <r>
    <s v="Internal"/>
    <n v="2438"/>
    <s v="Port of Vicksburg, MS"/>
    <n v="5220"/>
    <x v="30"/>
    <x v="2741"/>
    <n v="0"/>
    <x v="0"/>
    <x v="0"/>
    <n v="111922"/>
  </r>
  <r>
    <s v="Internal"/>
    <n v="2438"/>
    <s v="Port of Vicksburg, MS"/>
    <n v="2211"/>
    <x v="0"/>
    <x v="2742"/>
    <n v="0"/>
    <x v="0"/>
    <x v="0"/>
    <n v="89488"/>
  </r>
  <r>
    <s v="Internal"/>
    <n v="2438"/>
    <s v="Port of Vicksburg, MS"/>
    <n v="2429"/>
    <x v="17"/>
    <x v="2743"/>
    <n v="0"/>
    <x v="0"/>
    <x v="0"/>
    <n v="83280"/>
  </r>
  <r>
    <s v="Internal"/>
    <n v="2438"/>
    <s v="Port of Vicksburg, MS"/>
    <n v="2430"/>
    <x v="11"/>
    <x v="2744"/>
    <n v="0"/>
    <x v="0"/>
    <x v="0"/>
    <n v="63725"/>
  </r>
  <r>
    <s v="Internal"/>
    <n v="2438"/>
    <s v="Port of Vicksburg, MS"/>
    <n v="3220"/>
    <x v="2"/>
    <x v="2745"/>
    <n v="0"/>
    <x v="0"/>
    <x v="0"/>
    <n v="58412"/>
  </r>
  <r>
    <s v="Internal"/>
    <n v="2438"/>
    <s v="Port of Vicksburg, MS"/>
    <n v="4331"/>
    <x v="29"/>
    <x v="2746"/>
    <n v="0"/>
    <x v="0"/>
    <x v="0"/>
    <n v="42753"/>
  </r>
  <r>
    <s v="Internal"/>
    <n v="2438"/>
    <s v="Port of Vicksburg, MS"/>
    <n v="4860"/>
    <x v="31"/>
    <x v="2747"/>
    <n v="0"/>
    <x v="0"/>
    <x v="0"/>
    <n v="30798"/>
  </r>
  <r>
    <s v="Internal"/>
    <n v="2438"/>
    <s v="Port of Vicksburg, MS"/>
    <n v="2340"/>
    <x v="3"/>
    <x v="2748"/>
    <n v="0"/>
    <x v="0"/>
    <x v="0"/>
    <n v="23316"/>
  </r>
  <r>
    <s v="Internal"/>
    <n v="2438"/>
    <s v="Port of Vicksburg, MS"/>
    <n v="3130"/>
    <x v="37"/>
    <x v="2749"/>
    <n v="0"/>
    <x v="0"/>
    <x v="0"/>
    <n v="21393"/>
  </r>
  <r>
    <s v="Internal"/>
    <n v="2438"/>
    <s v="Port of Vicksburg, MS"/>
    <n v="2540"/>
    <x v="15"/>
    <x v="2750"/>
    <n v="0"/>
    <x v="0"/>
    <x v="0"/>
    <n v="20700"/>
  </r>
  <r>
    <s v="Internal"/>
    <n v="2438"/>
    <s v="Port of Vicksburg, MS"/>
    <n v="3120"/>
    <x v="41"/>
    <x v="2751"/>
    <n v="0"/>
    <x v="0"/>
    <x v="0"/>
    <n v="12811"/>
  </r>
  <r>
    <s v="Internal"/>
    <n v="2438"/>
    <s v="Port of Vicksburg, MS"/>
    <n v="5330"/>
    <x v="16"/>
    <x v="2752"/>
    <n v="0"/>
    <x v="0"/>
    <x v="0"/>
    <n v="11862"/>
  </r>
  <r>
    <s v="Internal"/>
    <n v="2438"/>
    <s v="Port of Vicksburg, MS"/>
    <n v="6241"/>
    <x v="28"/>
    <x v="2753"/>
    <n v="0"/>
    <x v="0"/>
    <x v="0"/>
    <n v="8496"/>
  </r>
  <r>
    <s v="Internal"/>
    <n v="2438"/>
    <s v="Port of Vicksburg, MS"/>
    <n v="3190"/>
    <x v="38"/>
    <x v="1946"/>
    <n v="0"/>
    <x v="0"/>
    <x v="0"/>
    <n v="6082"/>
  </r>
  <r>
    <s v="Internal"/>
    <n v="2438"/>
    <s v="Port of Vicksburg, MS"/>
    <n v="6654"/>
    <x v="50"/>
    <x v="2754"/>
    <n v="0"/>
    <x v="0"/>
    <x v="0"/>
    <n v="5959"/>
  </r>
  <r>
    <s v="Internal"/>
    <n v="2438"/>
    <s v="Port of Vicksburg, MS"/>
    <n v="2990"/>
    <x v="102"/>
    <x v="1715"/>
    <n v="0"/>
    <x v="0"/>
    <x v="0"/>
    <n v="3400"/>
  </r>
  <r>
    <s v="Internal"/>
    <n v="2438"/>
    <s v="Port of Vicksburg, MS"/>
    <n v="5480"/>
    <x v="20"/>
    <x v="2755"/>
    <n v="0"/>
    <x v="0"/>
    <x v="0"/>
    <n v="2063"/>
  </r>
  <r>
    <s v="Internal"/>
    <n v="2438"/>
    <s v="Port of Vicksburg, MS"/>
    <n v="6782"/>
    <x v="27"/>
    <x v="616"/>
    <n v="0"/>
    <x v="0"/>
    <x v="0"/>
    <n v="1680"/>
  </r>
  <r>
    <s v="Internal"/>
    <n v="2438"/>
    <s v="Port of Vicksburg, MS"/>
    <n v="4323"/>
    <x v="6"/>
    <x v="2756"/>
    <n v="0"/>
    <x v="0"/>
    <x v="0"/>
    <n v="1460"/>
  </r>
  <r>
    <s v="Coastal"/>
    <n v="99"/>
    <s v="Portland, ME"/>
    <n v="2211"/>
    <x v="0"/>
    <x v="2757"/>
    <n v="1716124"/>
    <x v="2836"/>
    <x v="0"/>
    <n v="1744827"/>
  </r>
  <r>
    <s v="Coastal"/>
    <n v="99"/>
    <s v="Portland, ME"/>
    <n v="2330"/>
    <x v="1"/>
    <x v="2758"/>
    <n v="1134715"/>
    <x v="2837"/>
    <x v="0"/>
    <n v="1202831"/>
  </r>
  <r>
    <s v="Coastal"/>
    <n v="99"/>
    <s v="Portland, ME"/>
    <n v="2100"/>
    <x v="35"/>
    <x v="10"/>
    <n v="373282"/>
    <x v="2838"/>
    <x v="0"/>
    <n v="373282"/>
  </r>
  <r>
    <s v="Coastal"/>
    <n v="99"/>
    <s v="Portland, ME"/>
    <n v="3220"/>
    <x v="2"/>
    <x v="2759"/>
    <n v="68"/>
    <x v="1884"/>
    <x v="0"/>
    <n v="263860"/>
  </r>
  <r>
    <s v="Coastal"/>
    <n v="99"/>
    <s v="Portland, ME"/>
    <n v="4783"/>
    <x v="7"/>
    <x v="10"/>
    <n v="147887"/>
    <x v="2839"/>
    <x v="0"/>
    <n v="147887"/>
  </r>
  <r>
    <s v="Coastal"/>
    <n v="99"/>
    <s v="Portland, ME"/>
    <n v="4782"/>
    <x v="45"/>
    <x v="10"/>
    <n v="91432"/>
    <x v="2840"/>
    <x v="0"/>
    <n v="91432"/>
  </r>
  <r>
    <s v="Coastal"/>
    <n v="99"/>
    <s v="Portland, ME"/>
    <n v="1100"/>
    <x v="32"/>
    <x v="10"/>
    <n v="84878"/>
    <x v="2841"/>
    <x v="0"/>
    <n v="84878"/>
  </r>
  <r>
    <s v="Coastal"/>
    <n v="99"/>
    <s v="Portland, ME"/>
    <n v="2221"/>
    <x v="9"/>
    <x v="2760"/>
    <n v="8944"/>
    <x v="2842"/>
    <x v="0"/>
    <n v="76415"/>
  </r>
  <r>
    <s v="Coastal"/>
    <n v="99"/>
    <s v="Portland, ME"/>
    <n v="4900"/>
    <x v="14"/>
    <x v="10"/>
    <n v="74757"/>
    <x v="2843"/>
    <x v="0"/>
    <n v="74757"/>
  </r>
  <r>
    <s v="Coastal"/>
    <n v="99"/>
    <s v="Portland, ME"/>
    <n v="6134"/>
    <x v="82"/>
    <x v="10"/>
    <n v="65300"/>
    <x v="2844"/>
    <x v="0"/>
    <n v="65300"/>
  </r>
  <r>
    <s v="Coastal"/>
    <n v="99"/>
    <s v="Portland, ME"/>
    <n v="6888"/>
    <x v="109"/>
    <x v="10"/>
    <n v="53006"/>
    <x v="2845"/>
    <x v="0"/>
    <n v="53006"/>
  </r>
  <r>
    <s v="Coastal"/>
    <n v="99"/>
    <s v="Portland, ME"/>
    <n v="2340"/>
    <x v="3"/>
    <x v="2761"/>
    <n v="0"/>
    <x v="0"/>
    <x v="0"/>
    <n v="16146"/>
  </r>
  <r>
    <s v="Coastal"/>
    <n v="99"/>
    <s v="Portland, ME"/>
    <n v="7110"/>
    <x v="4"/>
    <x v="10"/>
    <n v="10023"/>
    <x v="2846"/>
    <x v="0"/>
    <n v="10023"/>
  </r>
  <r>
    <s v="Coastal"/>
    <n v="99"/>
    <s v="Portland, ME"/>
    <n v="6889"/>
    <x v="42"/>
    <x v="10"/>
    <n v="8348"/>
    <x v="2847"/>
    <x v="0"/>
    <n v="8348"/>
  </r>
  <r>
    <s v="Coastal"/>
    <n v="99"/>
    <s v="Portland, ME"/>
    <n v="5315"/>
    <x v="48"/>
    <x v="10"/>
    <n v="6887"/>
    <x v="2848"/>
    <x v="0"/>
    <n v="6887"/>
  </r>
  <r>
    <s v="Coastal"/>
    <n v="99"/>
    <s v="Portland, ME"/>
    <n v="5290"/>
    <x v="49"/>
    <x v="10"/>
    <n v="6240"/>
    <x v="2849"/>
    <x v="0"/>
    <n v="6240"/>
  </r>
  <r>
    <s v="Coastal"/>
    <n v="99"/>
    <s v="Portland, ME"/>
    <n v="7900"/>
    <x v="21"/>
    <x v="2437"/>
    <n v="4157"/>
    <x v="2850"/>
    <x v="0"/>
    <n v="4451"/>
  </r>
  <r>
    <s v="Coastal"/>
    <n v="99"/>
    <s v="Portland, ME"/>
    <n v="5240"/>
    <x v="89"/>
    <x v="10"/>
    <n v="4291"/>
    <x v="2851"/>
    <x v="0"/>
    <n v="4291"/>
  </r>
  <r>
    <s v="Coastal"/>
    <n v="99"/>
    <s v="Portland, ME"/>
    <n v="5120"/>
    <x v="63"/>
    <x v="10"/>
    <n v="4263"/>
    <x v="2852"/>
    <x v="0"/>
    <n v="4263"/>
  </r>
  <r>
    <s v="Coastal"/>
    <n v="99"/>
    <s v="Portland, ME"/>
    <n v="7500"/>
    <x v="60"/>
    <x v="10"/>
    <n v="3899"/>
    <x v="2853"/>
    <x v="0"/>
    <n v="3899"/>
  </r>
  <r>
    <s v="Coastal"/>
    <n v="99"/>
    <s v="Portland, ME"/>
    <n v="6838"/>
    <x v="131"/>
    <x v="10"/>
    <n v="3477"/>
    <x v="1588"/>
    <x v="0"/>
    <n v="3477"/>
  </r>
  <r>
    <s v="Coastal"/>
    <n v="99"/>
    <s v="Portland, ME"/>
    <n v="3286"/>
    <x v="57"/>
    <x v="10"/>
    <n v="3304"/>
    <x v="2308"/>
    <x v="0"/>
    <n v="3304"/>
  </r>
  <r>
    <s v="Coastal"/>
    <n v="99"/>
    <s v="Portland, ME"/>
    <n v="9900"/>
    <x v="18"/>
    <x v="10"/>
    <n v="3023"/>
    <x v="2854"/>
    <x v="0"/>
    <n v="3023"/>
  </r>
  <r>
    <s v="Coastal"/>
    <n v="99"/>
    <s v="Portland, ME"/>
    <n v="7600"/>
    <x v="68"/>
    <x v="10"/>
    <n v="2986"/>
    <x v="2855"/>
    <x v="0"/>
    <n v="2986"/>
  </r>
  <r>
    <s v="Coastal"/>
    <n v="99"/>
    <s v="Portland, ME"/>
    <n v="6136"/>
    <x v="95"/>
    <x v="10"/>
    <n v="2967"/>
    <x v="2856"/>
    <x v="0"/>
    <n v="2967"/>
  </r>
  <r>
    <s v="Coastal"/>
    <n v="99"/>
    <s v="Portland, ME"/>
    <n v="5421"/>
    <x v="88"/>
    <x v="10"/>
    <n v="2836"/>
    <x v="2857"/>
    <x v="0"/>
    <n v="2836"/>
  </r>
  <r>
    <s v="Coastal"/>
    <n v="99"/>
    <s v="Portland, ME"/>
    <n v="3276"/>
    <x v="12"/>
    <x v="10"/>
    <n v="2473"/>
    <x v="2858"/>
    <x v="0"/>
    <n v="2473"/>
  </r>
  <r>
    <s v="Coastal"/>
    <n v="99"/>
    <s v="Portland, ME"/>
    <n v="6654"/>
    <x v="50"/>
    <x v="10"/>
    <n v="1937"/>
    <x v="1183"/>
    <x v="0"/>
    <n v="1937"/>
  </r>
  <r>
    <s v="Coastal"/>
    <n v="99"/>
    <s v="Portland, ME"/>
    <n v="4190"/>
    <x v="99"/>
    <x v="10"/>
    <n v="1917"/>
    <x v="2859"/>
    <x v="0"/>
    <n v="1917"/>
  </r>
  <r>
    <s v="Coastal"/>
    <n v="99"/>
    <s v="Portland, ME"/>
    <n v="6885"/>
    <x v="72"/>
    <x v="10"/>
    <n v="1536"/>
    <x v="2860"/>
    <x v="0"/>
    <n v="1536"/>
  </r>
  <r>
    <s v="Coastal"/>
    <n v="99"/>
    <s v="Portland, ME"/>
    <n v="5480"/>
    <x v="20"/>
    <x v="10"/>
    <n v="1510"/>
    <x v="2861"/>
    <x v="0"/>
    <n v="1510"/>
  </r>
  <r>
    <s v="Coastal"/>
    <n v="99"/>
    <s v="Portland, ME"/>
    <n v="5360"/>
    <x v="94"/>
    <x v="10"/>
    <n v="1403"/>
    <x v="2862"/>
    <x v="0"/>
    <n v="1403"/>
  </r>
  <r>
    <s v="Coastal"/>
    <n v="99"/>
    <s v="Portland, ME"/>
    <n v="6858"/>
    <x v="74"/>
    <x v="10"/>
    <n v="1386"/>
    <x v="2863"/>
    <x v="0"/>
    <n v="1386"/>
  </r>
  <r>
    <s v="Coastal"/>
    <n v="99"/>
    <s v="Portland, ME"/>
    <n v="6839"/>
    <x v="106"/>
    <x v="10"/>
    <n v="1236"/>
    <x v="2864"/>
    <x v="0"/>
    <n v="1236"/>
  </r>
  <r>
    <s v="Coastal"/>
    <n v="99"/>
    <s v="Portland, ME"/>
    <n v="6835"/>
    <x v="92"/>
    <x v="10"/>
    <n v="1152"/>
    <x v="2865"/>
    <x v="0"/>
    <n v="1152"/>
  </r>
  <r>
    <s v="Coastal"/>
    <n v="99"/>
    <s v="Portland, ME"/>
    <n v="3285"/>
    <x v="87"/>
    <x v="10"/>
    <n v="1055"/>
    <x v="1000"/>
    <x v="0"/>
    <n v="1055"/>
  </r>
  <r>
    <s v="Coastal"/>
    <n v="99"/>
    <s v="Portland, ME"/>
    <n v="3284"/>
    <x v="97"/>
    <x v="10"/>
    <n v="882"/>
    <x v="2122"/>
    <x v="0"/>
    <n v="882"/>
  </r>
  <r>
    <s v="Coastal"/>
    <n v="99"/>
    <s v="Portland, ME"/>
    <n v="5190"/>
    <x v="83"/>
    <x v="10"/>
    <n v="836"/>
    <x v="2866"/>
    <x v="0"/>
    <n v="836"/>
  </r>
  <r>
    <s v="Coastal"/>
    <n v="99"/>
    <s v="Portland, ME"/>
    <n v="7210"/>
    <x v="59"/>
    <x v="10"/>
    <n v="737"/>
    <x v="2867"/>
    <x v="0"/>
    <n v="737"/>
  </r>
  <r>
    <s v="Coastal"/>
    <n v="99"/>
    <s v="Portland, ME"/>
    <n v="3293"/>
    <x v="122"/>
    <x v="10"/>
    <n v="701"/>
    <x v="1070"/>
    <x v="0"/>
    <n v="701"/>
  </r>
  <r>
    <s v="Coastal"/>
    <n v="99"/>
    <s v="Portland, ME"/>
    <n v="6747"/>
    <x v="78"/>
    <x v="10"/>
    <n v="667"/>
    <x v="1871"/>
    <x v="0"/>
    <n v="667"/>
  </r>
  <r>
    <s v="Coastal"/>
    <n v="99"/>
    <s v="Portland, ME"/>
    <n v="3292"/>
    <x v="51"/>
    <x v="10"/>
    <n v="626"/>
    <x v="192"/>
    <x v="0"/>
    <n v="626"/>
  </r>
  <r>
    <s v="Coastal"/>
    <n v="99"/>
    <s v="Portland, ME"/>
    <n v="6653"/>
    <x v="24"/>
    <x v="10"/>
    <n v="544"/>
    <x v="592"/>
    <x v="0"/>
    <n v="544"/>
  </r>
  <r>
    <s v="Coastal"/>
    <n v="99"/>
    <s v="Portland, ME"/>
    <n v="4225"/>
    <x v="10"/>
    <x v="10"/>
    <n v="498"/>
    <x v="1169"/>
    <x v="0"/>
    <n v="498"/>
  </r>
  <r>
    <s v="Coastal"/>
    <n v="99"/>
    <s v="Portland, ME"/>
    <n v="5429"/>
    <x v="61"/>
    <x v="10"/>
    <n v="381"/>
    <x v="1002"/>
    <x v="0"/>
    <n v="381"/>
  </r>
  <r>
    <s v="Coastal"/>
    <n v="99"/>
    <s v="Portland, ME"/>
    <n v="6893"/>
    <x v="113"/>
    <x v="10"/>
    <n v="374"/>
    <x v="1881"/>
    <x v="0"/>
    <n v="374"/>
  </r>
  <r>
    <s v="Coastal"/>
    <n v="99"/>
    <s v="Portland, ME"/>
    <n v="6894"/>
    <x v="120"/>
    <x v="10"/>
    <n v="350"/>
    <x v="1345"/>
    <x v="0"/>
    <n v="350"/>
  </r>
  <r>
    <s v="Coastal"/>
    <n v="99"/>
    <s v="Portland, ME"/>
    <n v="3279"/>
    <x v="58"/>
    <x v="10"/>
    <n v="314"/>
    <x v="879"/>
    <x v="0"/>
    <n v="314"/>
  </r>
  <r>
    <s v="Coastal"/>
    <n v="99"/>
    <s v="Portland, ME"/>
    <n v="7120"/>
    <x v="71"/>
    <x v="10"/>
    <n v="303"/>
    <x v="2868"/>
    <x v="0"/>
    <n v="303"/>
  </r>
  <r>
    <s v="Coastal"/>
    <n v="99"/>
    <s v="Portland, ME"/>
    <n v="3190"/>
    <x v="38"/>
    <x v="10"/>
    <n v="281"/>
    <x v="2319"/>
    <x v="0"/>
    <n v="281"/>
  </r>
  <r>
    <s v="Coastal"/>
    <n v="99"/>
    <s v="Portland, ME"/>
    <n v="7230"/>
    <x v="22"/>
    <x v="10"/>
    <n v="253"/>
    <x v="1359"/>
    <x v="0"/>
    <n v="253"/>
  </r>
  <r>
    <s v="Coastal"/>
    <n v="99"/>
    <s v="Portland, ME"/>
    <n v="3282"/>
    <x v="91"/>
    <x v="10"/>
    <n v="224"/>
    <x v="257"/>
    <x v="0"/>
    <n v="224"/>
  </r>
  <r>
    <s v="Coastal"/>
    <n v="99"/>
    <s v="Portland, ME"/>
    <n v="2640"/>
    <x v="110"/>
    <x v="10"/>
    <n v="223"/>
    <x v="297"/>
    <x v="0"/>
    <n v="223"/>
  </r>
  <r>
    <s v="Coastal"/>
    <n v="99"/>
    <s v="Portland, ME"/>
    <n v="7300"/>
    <x v="115"/>
    <x v="10"/>
    <n v="221"/>
    <x v="386"/>
    <x v="0"/>
    <n v="221"/>
  </r>
  <r>
    <s v="Coastal"/>
    <n v="99"/>
    <s v="Portland, ME"/>
    <n v="6857"/>
    <x v="104"/>
    <x v="10"/>
    <n v="205"/>
    <x v="2869"/>
    <x v="0"/>
    <n v="205"/>
  </r>
  <r>
    <s v="Coastal"/>
    <n v="99"/>
    <s v="Portland, ME"/>
    <n v="4650"/>
    <x v="67"/>
    <x v="10"/>
    <n v="203"/>
    <x v="1591"/>
    <x v="0"/>
    <n v="203"/>
  </r>
  <r>
    <s v="Coastal"/>
    <n v="99"/>
    <s v="Portland, ME"/>
    <n v="5540"/>
    <x v="64"/>
    <x v="10"/>
    <n v="202"/>
    <x v="714"/>
    <x v="0"/>
    <n v="202"/>
  </r>
  <r>
    <s v="Coastal"/>
    <n v="99"/>
    <s v="Portland, ME"/>
    <n v="6811"/>
    <x v="76"/>
    <x v="10"/>
    <n v="192"/>
    <x v="2870"/>
    <x v="0"/>
    <n v="192"/>
  </r>
  <r>
    <s v="Coastal"/>
    <n v="99"/>
    <s v="Portland, ME"/>
    <n v="7400"/>
    <x v="77"/>
    <x v="10"/>
    <n v="188"/>
    <x v="1586"/>
    <x v="0"/>
    <n v="188"/>
  </r>
  <r>
    <s v="Coastal"/>
    <n v="99"/>
    <s v="Portland, ME"/>
    <n v="5422"/>
    <x v="66"/>
    <x v="10"/>
    <n v="167"/>
    <x v="1083"/>
    <x v="0"/>
    <n v="167"/>
  </r>
  <r>
    <s v="Coastal"/>
    <n v="99"/>
    <s v="Portland, ME"/>
    <n v="6782"/>
    <x v="27"/>
    <x v="10"/>
    <n v="164"/>
    <x v="1335"/>
    <x v="0"/>
    <n v="164"/>
  </r>
  <r>
    <s v="Coastal"/>
    <n v="99"/>
    <s v="Portland, ME"/>
    <n v="6781"/>
    <x v="128"/>
    <x v="10"/>
    <n v="156"/>
    <x v="354"/>
    <x v="0"/>
    <n v="156"/>
  </r>
  <r>
    <s v="Coastal"/>
    <n v="99"/>
    <s v="Portland, ME"/>
    <n v="5220"/>
    <x v="30"/>
    <x v="10"/>
    <n v="151"/>
    <x v="301"/>
    <x v="0"/>
    <n v="151"/>
  </r>
  <r>
    <s v="Coastal"/>
    <n v="99"/>
    <s v="Portland, ME"/>
    <n v="6822"/>
    <x v="84"/>
    <x v="10"/>
    <n v="142"/>
    <x v="408"/>
    <x v="0"/>
    <n v="142"/>
  </r>
  <r>
    <s v="Coastal"/>
    <n v="99"/>
    <s v="Portland, ME"/>
    <n v="6856"/>
    <x v="126"/>
    <x v="10"/>
    <n v="137"/>
    <x v="303"/>
    <x v="0"/>
    <n v="137"/>
  </r>
  <r>
    <s v="Coastal"/>
    <n v="99"/>
    <s v="Portland, ME"/>
    <n v="6871"/>
    <x v="73"/>
    <x v="10"/>
    <n v="127"/>
    <x v="716"/>
    <x v="0"/>
    <n v="127"/>
  </r>
  <r>
    <s v="Coastal"/>
    <n v="99"/>
    <s v="Portland, ME"/>
    <n v="5370"/>
    <x v="81"/>
    <x v="10"/>
    <n v="117"/>
    <x v="2601"/>
    <x v="0"/>
    <n v="117"/>
  </r>
  <r>
    <s v="Coastal"/>
    <n v="99"/>
    <s v="Portland, ME"/>
    <n v="3260"/>
    <x v="107"/>
    <x v="10"/>
    <n v="109"/>
    <x v="1934"/>
    <x v="0"/>
    <n v="109"/>
  </r>
  <r>
    <s v="Coastal"/>
    <n v="99"/>
    <s v="Portland, ME"/>
    <n v="3299"/>
    <x v="79"/>
    <x v="10"/>
    <n v="93"/>
    <x v="2677"/>
    <x v="0"/>
    <n v="93"/>
  </r>
  <r>
    <s v="Coastal"/>
    <n v="99"/>
    <s v="Portland, ME"/>
    <n v="4110"/>
    <x v="105"/>
    <x v="10"/>
    <n v="87"/>
    <x v="150"/>
    <x v="0"/>
    <n v="87"/>
  </r>
  <r>
    <s v="Coastal"/>
    <n v="99"/>
    <s v="Portland, ME"/>
    <n v="3297"/>
    <x v="116"/>
    <x v="10"/>
    <n v="56"/>
    <x v="1571"/>
    <x v="0"/>
    <n v="56"/>
  </r>
  <r>
    <s v="Coastal"/>
    <n v="99"/>
    <s v="Portland, ME"/>
    <n v="5110"/>
    <x v="112"/>
    <x v="10"/>
    <n v="56"/>
    <x v="1571"/>
    <x v="0"/>
    <n v="56"/>
  </r>
  <r>
    <s v="Coastal"/>
    <n v="99"/>
    <s v="Portland, ME"/>
    <n v="7220"/>
    <x v="103"/>
    <x v="10"/>
    <n v="49"/>
    <x v="681"/>
    <x v="0"/>
    <n v="49"/>
  </r>
  <r>
    <s v="Coastal"/>
    <n v="99"/>
    <s v="Portland, ME"/>
    <n v="5330"/>
    <x v="16"/>
    <x v="10"/>
    <n v="43"/>
    <x v="720"/>
    <x v="0"/>
    <n v="43"/>
  </r>
  <r>
    <s v="Coastal"/>
    <n v="99"/>
    <s v="Portland, ME"/>
    <n v="6891"/>
    <x v="93"/>
    <x v="10"/>
    <n v="40"/>
    <x v="459"/>
    <x v="0"/>
    <n v="40"/>
  </r>
  <r>
    <s v="Coastal"/>
    <n v="99"/>
    <s v="Portland, ME"/>
    <n v="3291"/>
    <x v="117"/>
    <x v="10"/>
    <n v="39"/>
    <x v="414"/>
    <x v="0"/>
    <n v="39"/>
  </r>
  <r>
    <s v="Coastal"/>
    <n v="99"/>
    <s v="Portland, ME"/>
    <n v="4331"/>
    <x v="29"/>
    <x v="10"/>
    <n v="39"/>
    <x v="414"/>
    <x v="0"/>
    <n v="39"/>
  </r>
  <r>
    <s v="Coastal"/>
    <n v="99"/>
    <s v="Portland, ME"/>
    <n v="6817"/>
    <x v="119"/>
    <x v="10"/>
    <n v="36"/>
    <x v="51"/>
    <x v="0"/>
    <n v="36"/>
  </r>
  <r>
    <s v="Coastal"/>
    <n v="99"/>
    <s v="Portland, ME"/>
    <n v="6534"/>
    <x v="141"/>
    <x v="10"/>
    <n v="28"/>
    <x v="717"/>
    <x v="0"/>
    <n v="28"/>
  </r>
  <r>
    <s v="Coastal"/>
    <n v="99"/>
    <s v="Portland, ME"/>
    <n v="2540"/>
    <x v="15"/>
    <x v="10"/>
    <n v="25"/>
    <x v="208"/>
    <x v="0"/>
    <n v="25"/>
  </r>
  <r>
    <s v="Coastal"/>
    <n v="99"/>
    <s v="Portland, ME"/>
    <n v="3250"/>
    <x v="108"/>
    <x v="10"/>
    <n v="23"/>
    <x v="209"/>
    <x v="0"/>
    <n v="23"/>
  </r>
  <r>
    <s v="Coastal"/>
    <n v="99"/>
    <s v="Portland, ME"/>
    <n v="6442"/>
    <x v="85"/>
    <x v="10"/>
    <n v="22"/>
    <x v="210"/>
    <x v="0"/>
    <n v="22"/>
  </r>
  <r>
    <s v="Coastal"/>
    <n v="99"/>
    <s v="Portland, ME"/>
    <n v="3283"/>
    <x v="111"/>
    <x v="10"/>
    <n v="21"/>
    <x v="154"/>
    <x v="0"/>
    <n v="21"/>
  </r>
  <r>
    <s v="Coastal"/>
    <n v="99"/>
    <s v="Portland, ME"/>
    <n v="4189"/>
    <x v="65"/>
    <x v="10"/>
    <n v="21"/>
    <x v="154"/>
    <x v="0"/>
    <n v="21"/>
  </r>
  <r>
    <s v="Coastal"/>
    <n v="99"/>
    <s v="Portland, ME"/>
    <n v="5390"/>
    <x v="44"/>
    <x v="10"/>
    <n v="21"/>
    <x v="154"/>
    <x v="0"/>
    <n v="21"/>
  </r>
  <r>
    <s v="Coastal"/>
    <n v="99"/>
    <s v="Portland, ME"/>
    <n v="3240"/>
    <x v="53"/>
    <x v="10"/>
    <n v="20"/>
    <x v="416"/>
    <x v="0"/>
    <n v="20"/>
  </r>
  <r>
    <s v="Coastal"/>
    <n v="99"/>
    <s v="Portland, ME"/>
    <n v="6861"/>
    <x v="69"/>
    <x v="10"/>
    <n v="12"/>
    <x v="20"/>
    <x v="0"/>
    <n v="12"/>
  </r>
  <r>
    <s v="Coastal"/>
    <n v="99"/>
    <s v="Portland, ME"/>
    <n v="2410"/>
    <x v="98"/>
    <x v="10"/>
    <n v="1"/>
    <x v="19"/>
    <x v="0"/>
    <n v="1"/>
  </r>
  <r>
    <s v="Coastal"/>
    <n v="1992"/>
    <s v="PortMiami, FL"/>
    <n v="7900"/>
    <x v="21"/>
    <x v="10"/>
    <n v="1157279"/>
    <x v="2871"/>
    <x v="2221"/>
    <n v="1157279"/>
  </r>
  <r>
    <s v="Coastal"/>
    <n v="1992"/>
    <s v="PortMiami, FL"/>
    <n v="5290"/>
    <x v="49"/>
    <x v="10"/>
    <n v="1130043"/>
    <x v="2872"/>
    <x v="2222"/>
    <n v="1130043"/>
  </r>
  <r>
    <s v="Coastal"/>
    <n v="1992"/>
    <s v="PortMiami, FL"/>
    <n v="7500"/>
    <x v="60"/>
    <x v="10"/>
    <n v="673892"/>
    <x v="2873"/>
    <x v="2223"/>
    <n v="673892"/>
  </r>
  <r>
    <s v="Coastal"/>
    <n v="1992"/>
    <s v="PortMiami, FL"/>
    <n v="6654"/>
    <x v="50"/>
    <x v="10"/>
    <n v="496255"/>
    <x v="2874"/>
    <x v="2224"/>
    <n v="496255"/>
  </r>
  <r>
    <s v="Coastal"/>
    <n v="1992"/>
    <s v="PortMiami, FL"/>
    <n v="7210"/>
    <x v="59"/>
    <x v="10"/>
    <n v="455572"/>
    <x v="2875"/>
    <x v="2225"/>
    <n v="455572"/>
  </r>
  <r>
    <s v="Coastal"/>
    <n v="1992"/>
    <s v="PortMiami, FL"/>
    <n v="7600"/>
    <x v="68"/>
    <x v="10"/>
    <n v="323759"/>
    <x v="2876"/>
    <x v="2226"/>
    <n v="323759"/>
  </r>
  <r>
    <s v="Coastal"/>
    <n v="1992"/>
    <s v="PortMiami, FL"/>
    <n v="6885"/>
    <x v="72"/>
    <x v="10"/>
    <n v="294160"/>
    <x v="2877"/>
    <x v="2227"/>
    <n v="294160"/>
  </r>
  <r>
    <s v="Coastal"/>
    <n v="1992"/>
    <s v="PortMiami, FL"/>
    <n v="7120"/>
    <x v="71"/>
    <x v="10"/>
    <n v="282410"/>
    <x v="2878"/>
    <x v="2228"/>
    <n v="282410"/>
  </r>
  <r>
    <s v="Coastal"/>
    <n v="1992"/>
    <s v="PortMiami, FL"/>
    <n v="6889"/>
    <x v="42"/>
    <x v="10"/>
    <n v="280022"/>
    <x v="2879"/>
    <x v="2229"/>
    <n v="280022"/>
  </r>
  <r>
    <s v="Coastal"/>
    <n v="1992"/>
    <s v="PortMiami, FL"/>
    <n v="6857"/>
    <x v="104"/>
    <x v="10"/>
    <n v="253907"/>
    <x v="2880"/>
    <x v="2230"/>
    <n v="253907"/>
  </r>
  <r>
    <s v="Coastal"/>
    <n v="1992"/>
    <s v="PortMiami, FL"/>
    <n v="7110"/>
    <x v="4"/>
    <x v="10"/>
    <n v="238452"/>
    <x v="2881"/>
    <x v="2231"/>
    <n v="238452"/>
  </r>
  <r>
    <s v="Coastal"/>
    <n v="1992"/>
    <s v="PortMiami, FL"/>
    <n v="4680"/>
    <x v="70"/>
    <x v="10"/>
    <n v="222427"/>
    <x v="2882"/>
    <x v="2232"/>
    <n v="222427"/>
  </r>
  <r>
    <s v="Coastal"/>
    <n v="1992"/>
    <s v="PortMiami, FL"/>
    <n v="4225"/>
    <x v="10"/>
    <x v="10"/>
    <n v="209436"/>
    <x v="2883"/>
    <x v="2233"/>
    <n v="209436"/>
  </r>
  <r>
    <s v="Coastal"/>
    <n v="1992"/>
    <s v="PortMiami, FL"/>
    <n v="5480"/>
    <x v="20"/>
    <x v="10"/>
    <n v="206110"/>
    <x v="2884"/>
    <x v="2234"/>
    <n v="206110"/>
  </r>
  <r>
    <s v="Coastal"/>
    <n v="1992"/>
    <s v="PortMiami, FL"/>
    <n v="6888"/>
    <x v="109"/>
    <x v="10"/>
    <n v="206038"/>
    <x v="2885"/>
    <x v="2235"/>
    <n v="206038"/>
  </r>
  <r>
    <s v="Coastal"/>
    <n v="1992"/>
    <s v="PortMiami, FL"/>
    <n v="6858"/>
    <x v="74"/>
    <x v="10"/>
    <n v="185592"/>
    <x v="2886"/>
    <x v="2236"/>
    <n v="185592"/>
  </r>
  <r>
    <s v="Coastal"/>
    <n v="1992"/>
    <s v="PortMiami, FL"/>
    <n v="2340"/>
    <x v="3"/>
    <x v="2762"/>
    <n v="56655"/>
    <x v="2887"/>
    <x v="0"/>
    <n v="183411"/>
  </r>
  <r>
    <s v="Coastal"/>
    <n v="1992"/>
    <s v="PortMiami, FL"/>
    <n v="9900"/>
    <x v="18"/>
    <x v="10"/>
    <n v="168481"/>
    <x v="2888"/>
    <x v="2237"/>
    <n v="168481"/>
  </r>
  <r>
    <s v="Coastal"/>
    <n v="1992"/>
    <s v="PortMiami, FL"/>
    <n v="4420"/>
    <x v="8"/>
    <x v="10"/>
    <n v="153891"/>
    <x v="2889"/>
    <x v="2238"/>
    <n v="153891"/>
  </r>
  <r>
    <s v="Coastal"/>
    <n v="1992"/>
    <s v="PortMiami, FL"/>
    <n v="3285"/>
    <x v="87"/>
    <x v="10"/>
    <n v="111086"/>
    <x v="2890"/>
    <x v="2239"/>
    <n v="111086"/>
  </r>
  <r>
    <s v="Coastal"/>
    <n v="1992"/>
    <s v="PortMiami, FL"/>
    <n v="3286"/>
    <x v="57"/>
    <x v="10"/>
    <n v="110650"/>
    <x v="2891"/>
    <x v="2240"/>
    <n v="110650"/>
  </r>
  <r>
    <s v="Coastal"/>
    <n v="1992"/>
    <s v="PortMiami, FL"/>
    <n v="6822"/>
    <x v="84"/>
    <x v="10"/>
    <n v="99401"/>
    <x v="2789"/>
    <x v="2241"/>
    <n v="99401"/>
  </r>
  <r>
    <s v="Coastal"/>
    <n v="1992"/>
    <s v="PortMiami, FL"/>
    <n v="5240"/>
    <x v="89"/>
    <x v="10"/>
    <n v="95018"/>
    <x v="2892"/>
    <x v="2242"/>
    <n v="95018"/>
  </r>
  <r>
    <s v="Coastal"/>
    <n v="1992"/>
    <s v="PortMiami, FL"/>
    <n v="6891"/>
    <x v="93"/>
    <x v="10"/>
    <n v="94546"/>
    <x v="2893"/>
    <x v="2243"/>
    <n v="94546"/>
  </r>
  <r>
    <s v="Coastal"/>
    <n v="1992"/>
    <s v="PortMiami, FL"/>
    <n v="5540"/>
    <x v="64"/>
    <x v="10"/>
    <n v="89075"/>
    <x v="2894"/>
    <x v="2244"/>
    <n v="89075"/>
  </r>
  <r>
    <s v="Coastal"/>
    <n v="1992"/>
    <s v="PortMiami, FL"/>
    <n v="6136"/>
    <x v="95"/>
    <x v="10"/>
    <n v="88482"/>
    <x v="2895"/>
    <x v="1881"/>
    <n v="88482"/>
  </r>
  <r>
    <s v="Coastal"/>
    <n v="1992"/>
    <s v="PortMiami, FL"/>
    <n v="6811"/>
    <x v="76"/>
    <x v="10"/>
    <n v="77918"/>
    <x v="2896"/>
    <x v="2245"/>
    <n v="77918"/>
  </r>
  <r>
    <s v="Coastal"/>
    <n v="1992"/>
    <s v="PortMiami, FL"/>
    <n v="6856"/>
    <x v="126"/>
    <x v="10"/>
    <n v="76334"/>
    <x v="2897"/>
    <x v="2246"/>
    <n v="76334"/>
  </r>
  <r>
    <s v="Coastal"/>
    <n v="1992"/>
    <s v="PortMiami, FL"/>
    <n v="6747"/>
    <x v="78"/>
    <x v="10"/>
    <n v="71766"/>
    <x v="2898"/>
    <x v="2247"/>
    <n v="71766"/>
  </r>
  <r>
    <s v="Coastal"/>
    <n v="1992"/>
    <s v="PortMiami, FL"/>
    <n v="5120"/>
    <x v="63"/>
    <x v="10"/>
    <n v="64320"/>
    <x v="2899"/>
    <x v="2248"/>
    <n v="64320"/>
  </r>
  <r>
    <s v="Coastal"/>
    <n v="1992"/>
    <s v="PortMiami, FL"/>
    <n v="6134"/>
    <x v="82"/>
    <x v="10"/>
    <n v="55060"/>
    <x v="2900"/>
    <x v="2249"/>
    <n v="55060"/>
  </r>
  <r>
    <s v="Coastal"/>
    <n v="1992"/>
    <s v="PortMiami, FL"/>
    <n v="5422"/>
    <x v="66"/>
    <x v="10"/>
    <n v="53996"/>
    <x v="2901"/>
    <x v="2250"/>
    <n v="53996"/>
  </r>
  <r>
    <s v="Coastal"/>
    <n v="1992"/>
    <s v="PortMiami, FL"/>
    <n v="3275"/>
    <x v="47"/>
    <x v="10"/>
    <n v="53187"/>
    <x v="2902"/>
    <x v="2251"/>
    <n v="53187"/>
  </r>
  <r>
    <s v="Coastal"/>
    <n v="1992"/>
    <s v="PortMiami, FL"/>
    <n v="6653"/>
    <x v="24"/>
    <x v="10"/>
    <n v="49025"/>
    <x v="2903"/>
    <x v="2252"/>
    <n v="49025"/>
  </r>
  <r>
    <s v="Coastal"/>
    <n v="1992"/>
    <s v="PortMiami, FL"/>
    <n v="2330"/>
    <x v="1"/>
    <x v="2763"/>
    <n v="28812"/>
    <x v="2904"/>
    <x v="2253"/>
    <n v="44342"/>
  </r>
  <r>
    <s v="Coastal"/>
    <n v="1992"/>
    <s v="PortMiami, FL"/>
    <n v="4189"/>
    <x v="65"/>
    <x v="10"/>
    <n v="43198"/>
    <x v="2905"/>
    <x v="2254"/>
    <n v="43198"/>
  </r>
  <r>
    <s v="Coastal"/>
    <n v="1992"/>
    <s v="PortMiami, FL"/>
    <n v="5190"/>
    <x v="83"/>
    <x v="10"/>
    <n v="37890"/>
    <x v="2906"/>
    <x v="2255"/>
    <n v="37890"/>
  </r>
  <r>
    <s v="Coastal"/>
    <n v="1992"/>
    <s v="PortMiami, FL"/>
    <n v="3299"/>
    <x v="79"/>
    <x v="10"/>
    <n v="33001"/>
    <x v="2907"/>
    <x v="2256"/>
    <n v="33001"/>
  </r>
  <r>
    <s v="Coastal"/>
    <n v="1992"/>
    <s v="PortMiami, FL"/>
    <n v="6893"/>
    <x v="113"/>
    <x v="10"/>
    <n v="31720"/>
    <x v="2908"/>
    <x v="2257"/>
    <n v="31720"/>
  </r>
  <r>
    <s v="Coastal"/>
    <n v="1992"/>
    <s v="PortMiami, FL"/>
    <n v="6442"/>
    <x v="85"/>
    <x v="10"/>
    <n v="31601"/>
    <x v="2909"/>
    <x v="2258"/>
    <n v="31601"/>
  </r>
  <r>
    <s v="Coastal"/>
    <n v="1992"/>
    <s v="PortMiami, FL"/>
    <n v="6861"/>
    <x v="69"/>
    <x v="10"/>
    <n v="28991"/>
    <x v="2910"/>
    <x v="2259"/>
    <n v="28991"/>
  </r>
  <r>
    <s v="Coastal"/>
    <n v="1992"/>
    <s v="PortMiami, FL"/>
    <n v="4331"/>
    <x v="29"/>
    <x v="10"/>
    <n v="27346"/>
    <x v="2911"/>
    <x v="2260"/>
    <n v="27346"/>
  </r>
  <r>
    <s v="Coastal"/>
    <n v="1992"/>
    <s v="PortMiami, FL"/>
    <n v="5220"/>
    <x v="30"/>
    <x v="10"/>
    <n v="27126"/>
    <x v="2912"/>
    <x v="2261"/>
    <n v="27126"/>
  </r>
  <r>
    <s v="Coastal"/>
    <n v="1992"/>
    <s v="PortMiami, FL"/>
    <n v="7400"/>
    <x v="77"/>
    <x v="10"/>
    <n v="25375"/>
    <x v="2913"/>
    <x v="2262"/>
    <n v="25375"/>
  </r>
  <r>
    <s v="Coastal"/>
    <n v="1992"/>
    <s v="PortMiami, FL"/>
    <n v="5370"/>
    <x v="81"/>
    <x v="10"/>
    <n v="25189"/>
    <x v="2914"/>
    <x v="2263"/>
    <n v="25189"/>
  </r>
  <r>
    <s v="Coastal"/>
    <n v="1992"/>
    <s v="PortMiami, FL"/>
    <n v="3276"/>
    <x v="12"/>
    <x v="10"/>
    <n v="23393"/>
    <x v="2915"/>
    <x v="2264"/>
    <n v="23393"/>
  </r>
  <r>
    <s v="Coastal"/>
    <n v="1992"/>
    <s v="PortMiami, FL"/>
    <n v="3282"/>
    <x v="91"/>
    <x v="10"/>
    <n v="23355"/>
    <x v="2916"/>
    <x v="2265"/>
    <n v="23355"/>
  </r>
  <r>
    <s v="Coastal"/>
    <n v="1992"/>
    <s v="PortMiami, FL"/>
    <n v="6835"/>
    <x v="92"/>
    <x v="10"/>
    <n v="21404"/>
    <x v="2917"/>
    <x v="434"/>
    <n v="21404"/>
  </r>
  <r>
    <s v="Coastal"/>
    <n v="1992"/>
    <s v="PortMiami, FL"/>
    <n v="3220"/>
    <x v="2"/>
    <x v="10"/>
    <n v="20972"/>
    <x v="2918"/>
    <x v="2266"/>
    <n v="20972"/>
  </r>
  <r>
    <s v="Coastal"/>
    <n v="1992"/>
    <s v="PortMiami, FL"/>
    <n v="6899"/>
    <x v="114"/>
    <x v="10"/>
    <n v="20376"/>
    <x v="326"/>
    <x v="2267"/>
    <n v="20376"/>
  </r>
  <r>
    <s v="Coastal"/>
    <n v="1992"/>
    <s v="PortMiami, FL"/>
    <n v="6871"/>
    <x v="73"/>
    <x v="10"/>
    <n v="14913"/>
    <x v="2919"/>
    <x v="2268"/>
    <n v="14913"/>
  </r>
  <r>
    <s v="Coastal"/>
    <n v="1992"/>
    <s v="PortMiami, FL"/>
    <n v="6782"/>
    <x v="27"/>
    <x v="10"/>
    <n v="12828"/>
    <x v="2920"/>
    <x v="2269"/>
    <n v="12828"/>
  </r>
  <r>
    <s v="Coastal"/>
    <n v="1992"/>
    <s v="PortMiami, FL"/>
    <n v="6839"/>
    <x v="106"/>
    <x v="10"/>
    <n v="12801"/>
    <x v="2921"/>
    <x v="2270"/>
    <n v="12801"/>
  </r>
  <r>
    <s v="Coastal"/>
    <n v="1992"/>
    <s v="PortMiami, FL"/>
    <n v="5330"/>
    <x v="16"/>
    <x v="10"/>
    <n v="11304"/>
    <x v="2922"/>
    <x v="2271"/>
    <n v="11304"/>
  </r>
  <r>
    <s v="Coastal"/>
    <n v="1992"/>
    <s v="PortMiami, FL"/>
    <n v="5421"/>
    <x v="88"/>
    <x v="10"/>
    <n v="11222"/>
    <x v="2923"/>
    <x v="2272"/>
    <n v="11222"/>
  </r>
  <r>
    <s v="Coastal"/>
    <n v="1992"/>
    <s v="PortMiami, FL"/>
    <n v="6894"/>
    <x v="120"/>
    <x v="10"/>
    <n v="10752"/>
    <x v="2924"/>
    <x v="1413"/>
    <n v="10752"/>
  </r>
  <r>
    <s v="Coastal"/>
    <n v="1992"/>
    <s v="PortMiami, FL"/>
    <n v="3219"/>
    <x v="19"/>
    <x v="10"/>
    <n v="10426"/>
    <x v="2925"/>
    <x v="2273"/>
    <n v="10426"/>
  </r>
  <r>
    <s v="Coastal"/>
    <n v="1992"/>
    <s v="PortMiami, FL"/>
    <n v="3284"/>
    <x v="97"/>
    <x v="10"/>
    <n v="9667"/>
    <x v="2926"/>
    <x v="177"/>
    <n v="9667"/>
  </r>
  <r>
    <s v="Coastal"/>
    <n v="1992"/>
    <s v="PortMiami, FL"/>
    <n v="2211"/>
    <x v="0"/>
    <x v="10"/>
    <n v="9599"/>
    <x v="387"/>
    <x v="2274"/>
    <n v="9599"/>
  </r>
  <r>
    <s v="Coastal"/>
    <n v="1992"/>
    <s v="PortMiami, FL"/>
    <n v="4310"/>
    <x v="96"/>
    <x v="10"/>
    <n v="8714"/>
    <x v="1765"/>
    <x v="448"/>
    <n v="8714"/>
  </r>
  <r>
    <s v="Coastal"/>
    <n v="1992"/>
    <s v="PortMiami, FL"/>
    <n v="3274"/>
    <x v="86"/>
    <x v="10"/>
    <n v="8051"/>
    <x v="501"/>
    <x v="2275"/>
    <n v="8051"/>
  </r>
  <r>
    <s v="Coastal"/>
    <n v="1992"/>
    <s v="PortMiami, FL"/>
    <n v="3240"/>
    <x v="53"/>
    <x v="10"/>
    <n v="7846"/>
    <x v="2927"/>
    <x v="2276"/>
    <n v="7846"/>
  </r>
  <r>
    <s v="Coastal"/>
    <n v="1992"/>
    <s v="PortMiami, FL"/>
    <n v="3291"/>
    <x v="117"/>
    <x v="10"/>
    <n v="7810"/>
    <x v="2928"/>
    <x v="2277"/>
    <n v="7810"/>
  </r>
  <r>
    <s v="Coastal"/>
    <n v="1992"/>
    <s v="PortMiami, FL"/>
    <n v="4783"/>
    <x v="7"/>
    <x v="10"/>
    <n v="7629"/>
    <x v="2929"/>
    <x v="2278"/>
    <n v="7629"/>
  </r>
  <r>
    <s v="Coastal"/>
    <n v="1992"/>
    <s v="PortMiami, FL"/>
    <n v="5360"/>
    <x v="94"/>
    <x v="10"/>
    <n v="7626"/>
    <x v="2930"/>
    <x v="2279"/>
    <n v="7626"/>
  </r>
  <r>
    <s v="Coastal"/>
    <n v="1992"/>
    <s v="PortMiami, FL"/>
    <n v="4782"/>
    <x v="45"/>
    <x v="10"/>
    <n v="6458"/>
    <x v="2931"/>
    <x v="2280"/>
    <n v="6458"/>
  </r>
  <r>
    <s v="Coastal"/>
    <n v="1992"/>
    <s v="PortMiami, FL"/>
    <n v="3230"/>
    <x v="80"/>
    <x v="10"/>
    <n v="6435"/>
    <x v="2932"/>
    <x v="2281"/>
    <n v="6435"/>
  </r>
  <r>
    <s v="Coastal"/>
    <n v="1992"/>
    <s v="PortMiami, FL"/>
    <n v="6344"/>
    <x v="25"/>
    <x v="10"/>
    <n v="6427"/>
    <x v="2933"/>
    <x v="2282"/>
    <n v="6427"/>
  </r>
  <r>
    <s v="Coastal"/>
    <n v="1992"/>
    <s v="PortMiami, FL"/>
    <n v="3279"/>
    <x v="58"/>
    <x v="10"/>
    <n v="6345"/>
    <x v="285"/>
    <x v="2283"/>
    <n v="6345"/>
  </r>
  <r>
    <s v="Coastal"/>
    <n v="1992"/>
    <s v="PortMiami, FL"/>
    <n v="6521"/>
    <x v="121"/>
    <x v="10"/>
    <n v="6075"/>
    <x v="2934"/>
    <x v="2284"/>
    <n v="6075"/>
  </r>
  <r>
    <s v="Coastal"/>
    <n v="1992"/>
    <s v="PortMiami, FL"/>
    <n v="4322"/>
    <x v="33"/>
    <x v="10"/>
    <n v="5975"/>
    <x v="2935"/>
    <x v="85"/>
    <n v="5975"/>
  </r>
  <r>
    <s v="Coastal"/>
    <n v="1992"/>
    <s v="PortMiami, FL"/>
    <n v="3190"/>
    <x v="38"/>
    <x v="10"/>
    <n v="5928"/>
    <x v="2936"/>
    <x v="2285"/>
    <n v="5928"/>
  </r>
  <r>
    <s v="Coastal"/>
    <n v="1992"/>
    <s v="PortMiami, FL"/>
    <n v="3297"/>
    <x v="116"/>
    <x v="10"/>
    <n v="5829"/>
    <x v="939"/>
    <x v="2286"/>
    <n v="5829"/>
  </r>
  <r>
    <s v="Coastal"/>
    <n v="1992"/>
    <s v="PortMiami, FL"/>
    <n v="7230"/>
    <x v="22"/>
    <x v="10"/>
    <n v="5622"/>
    <x v="2937"/>
    <x v="2287"/>
    <n v="5622"/>
  </r>
  <r>
    <s v="Coastal"/>
    <n v="1992"/>
    <s v="PortMiami, FL"/>
    <n v="3292"/>
    <x v="51"/>
    <x v="10"/>
    <n v="5117"/>
    <x v="2938"/>
    <x v="2288"/>
    <n v="5117"/>
  </r>
  <r>
    <s v="Coastal"/>
    <n v="1992"/>
    <s v="PortMiami, FL"/>
    <n v="3250"/>
    <x v="108"/>
    <x v="10"/>
    <n v="4788"/>
    <x v="2939"/>
    <x v="2289"/>
    <n v="4788"/>
  </r>
  <r>
    <s v="Coastal"/>
    <n v="1992"/>
    <s v="PortMiami, FL"/>
    <n v="4190"/>
    <x v="99"/>
    <x v="10"/>
    <n v="4369"/>
    <x v="2940"/>
    <x v="2290"/>
    <n v="4369"/>
  </r>
  <r>
    <s v="Coastal"/>
    <n v="1992"/>
    <s v="PortMiami, FL"/>
    <n v="5429"/>
    <x v="61"/>
    <x v="10"/>
    <n v="3804"/>
    <x v="2941"/>
    <x v="2291"/>
    <n v="3804"/>
  </r>
  <r>
    <s v="Coastal"/>
    <n v="1992"/>
    <s v="PortMiami, FL"/>
    <n v="4150"/>
    <x v="101"/>
    <x v="10"/>
    <n v="3652"/>
    <x v="2942"/>
    <x v="104"/>
    <n v="3652"/>
  </r>
  <r>
    <s v="Coastal"/>
    <n v="1992"/>
    <s v="PortMiami, FL"/>
    <n v="1100"/>
    <x v="32"/>
    <x v="10"/>
    <n v="3645"/>
    <x v="2943"/>
    <x v="442"/>
    <n v="3645"/>
  </r>
  <r>
    <s v="Coastal"/>
    <n v="1992"/>
    <s v="PortMiami, FL"/>
    <n v="4650"/>
    <x v="67"/>
    <x v="10"/>
    <n v="3563"/>
    <x v="2944"/>
    <x v="2292"/>
    <n v="3563"/>
  </r>
  <r>
    <s v="Coastal"/>
    <n v="1992"/>
    <s v="PortMiami, FL"/>
    <n v="3260"/>
    <x v="107"/>
    <x v="10"/>
    <n v="3557"/>
    <x v="2945"/>
    <x v="2293"/>
    <n v="3557"/>
  </r>
  <r>
    <s v="Coastal"/>
    <n v="1992"/>
    <s v="PortMiami, FL"/>
    <n v="4900"/>
    <x v="14"/>
    <x v="10"/>
    <n v="3474"/>
    <x v="2946"/>
    <x v="2294"/>
    <n v="3474"/>
  </r>
  <r>
    <s v="Coastal"/>
    <n v="1992"/>
    <s v="PortMiami, FL"/>
    <n v="7220"/>
    <x v="103"/>
    <x v="10"/>
    <n v="3230"/>
    <x v="2947"/>
    <x v="2295"/>
    <n v="3230"/>
  </r>
  <r>
    <s v="Coastal"/>
    <n v="1992"/>
    <s v="PortMiami, FL"/>
    <n v="6746"/>
    <x v="118"/>
    <x v="10"/>
    <n v="3075"/>
    <x v="2948"/>
    <x v="2296"/>
    <n v="3075"/>
  </r>
  <r>
    <s v="Coastal"/>
    <n v="1992"/>
    <s v="PortMiami, FL"/>
    <n v="6817"/>
    <x v="119"/>
    <x v="10"/>
    <n v="3058"/>
    <x v="2949"/>
    <x v="2297"/>
    <n v="3058"/>
  </r>
  <r>
    <s v="Coastal"/>
    <n v="1992"/>
    <s v="PortMiami, FL"/>
    <n v="6590"/>
    <x v="23"/>
    <x v="10"/>
    <n v="3052"/>
    <x v="2950"/>
    <x v="881"/>
    <n v="3052"/>
  </r>
  <r>
    <s v="Coastal"/>
    <n v="1992"/>
    <s v="PortMiami, FL"/>
    <n v="2640"/>
    <x v="110"/>
    <x v="10"/>
    <n v="2914"/>
    <x v="2951"/>
    <x v="2298"/>
    <n v="2914"/>
  </r>
  <r>
    <s v="Coastal"/>
    <n v="1992"/>
    <s v="PortMiami, FL"/>
    <n v="5110"/>
    <x v="112"/>
    <x v="10"/>
    <n v="2703"/>
    <x v="695"/>
    <x v="2299"/>
    <n v="2703"/>
  </r>
  <r>
    <s v="Coastal"/>
    <n v="1992"/>
    <s v="PortMiami, FL"/>
    <n v="5390"/>
    <x v="44"/>
    <x v="10"/>
    <n v="2700"/>
    <x v="2952"/>
    <x v="2300"/>
    <n v="2700"/>
  </r>
  <r>
    <s v="Coastal"/>
    <n v="1992"/>
    <s v="PortMiami, FL"/>
    <n v="3283"/>
    <x v="111"/>
    <x v="10"/>
    <n v="2559"/>
    <x v="2953"/>
    <x v="241"/>
    <n v="2559"/>
  </r>
  <r>
    <s v="Coastal"/>
    <n v="1992"/>
    <s v="PortMiami, FL"/>
    <n v="6781"/>
    <x v="128"/>
    <x v="10"/>
    <n v="2519"/>
    <x v="2954"/>
    <x v="2271"/>
    <n v="2519"/>
  </r>
  <r>
    <s v="Coastal"/>
    <n v="1992"/>
    <s v="PortMiami, FL"/>
    <n v="2430"/>
    <x v="11"/>
    <x v="10"/>
    <n v="2501"/>
    <x v="19"/>
    <x v="2301"/>
    <n v="2501"/>
  </r>
  <r>
    <s v="Coastal"/>
    <n v="1992"/>
    <s v="PortMiami, FL"/>
    <n v="2350"/>
    <x v="40"/>
    <x v="10"/>
    <n v="2283"/>
    <x v="2955"/>
    <x v="2302"/>
    <n v="2283"/>
  </r>
  <r>
    <s v="Coastal"/>
    <n v="1992"/>
    <s v="PortMiami, FL"/>
    <n v="5312"/>
    <x v="52"/>
    <x v="10"/>
    <n v="1935"/>
    <x v="2956"/>
    <x v="2303"/>
    <n v="1935"/>
  </r>
  <r>
    <s v="Coastal"/>
    <n v="1992"/>
    <s v="PortMiami, FL"/>
    <n v="3211"/>
    <x v="124"/>
    <x v="10"/>
    <n v="1588"/>
    <x v="412"/>
    <x v="2304"/>
    <n v="1588"/>
  </r>
  <r>
    <s v="Coastal"/>
    <n v="1992"/>
    <s v="PortMiami, FL"/>
    <n v="7300"/>
    <x v="115"/>
    <x v="10"/>
    <n v="1426"/>
    <x v="2957"/>
    <x v="404"/>
    <n v="1426"/>
  </r>
  <r>
    <s v="Coastal"/>
    <n v="1992"/>
    <s v="PortMiami, FL"/>
    <n v="4690"/>
    <x v="62"/>
    <x v="10"/>
    <n v="1291"/>
    <x v="2947"/>
    <x v="205"/>
    <n v="1291"/>
  </r>
  <r>
    <s v="Coastal"/>
    <n v="1992"/>
    <s v="PortMiami, FL"/>
    <n v="2990"/>
    <x v="102"/>
    <x v="10"/>
    <n v="1038"/>
    <x v="2958"/>
    <x v="1353"/>
    <n v="1038"/>
  </r>
  <r>
    <s v="Coastal"/>
    <n v="1992"/>
    <s v="PortMiami, FL"/>
    <n v="6838"/>
    <x v="131"/>
    <x v="10"/>
    <n v="1032"/>
    <x v="2959"/>
    <x v="235"/>
    <n v="1032"/>
  </r>
  <r>
    <s v="Coastal"/>
    <n v="1992"/>
    <s v="PortMiami, FL"/>
    <n v="2410"/>
    <x v="98"/>
    <x v="10"/>
    <n v="857"/>
    <x v="2960"/>
    <x v="2305"/>
    <n v="857"/>
  </r>
  <r>
    <s v="Coastal"/>
    <n v="1992"/>
    <s v="PortMiami, FL"/>
    <n v="3273"/>
    <x v="46"/>
    <x v="10"/>
    <n v="817"/>
    <x v="2961"/>
    <x v="2306"/>
    <n v="817"/>
  </r>
  <r>
    <s v="Coastal"/>
    <n v="1992"/>
    <s v="PortMiami, FL"/>
    <n v="4515"/>
    <x v="129"/>
    <x v="10"/>
    <n v="718"/>
    <x v="1520"/>
    <x v="1355"/>
    <n v="718"/>
  </r>
  <r>
    <s v="Coastal"/>
    <n v="1992"/>
    <s v="PortMiami, FL"/>
    <n v="5315"/>
    <x v="48"/>
    <x v="10"/>
    <n v="706"/>
    <x v="2962"/>
    <x v="86"/>
    <n v="706"/>
  </r>
  <r>
    <s v="Coastal"/>
    <n v="1992"/>
    <s v="PortMiami, FL"/>
    <n v="4170"/>
    <x v="55"/>
    <x v="10"/>
    <n v="696"/>
    <x v="774"/>
    <x v="2307"/>
    <n v="696"/>
  </r>
  <r>
    <s v="Coastal"/>
    <n v="1992"/>
    <s v="PortMiami, FL"/>
    <n v="4110"/>
    <x v="105"/>
    <x v="10"/>
    <n v="675"/>
    <x v="539"/>
    <x v="1522"/>
    <n v="675"/>
  </r>
  <r>
    <s v="Coastal"/>
    <n v="1992"/>
    <s v="PortMiami, FL"/>
    <n v="6872"/>
    <x v="100"/>
    <x v="10"/>
    <n v="595"/>
    <x v="291"/>
    <x v="375"/>
    <n v="595"/>
  </r>
  <r>
    <s v="Coastal"/>
    <n v="1992"/>
    <s v="PortMiami, FL"/>
    <n v="6445"/>
    <x v="136"/>
    <x v="10"/>
    <n v="569"/>
    <x v="1695"/>
    <x v="2308"/>
    <n v="569"/>
  </r>
  <r>
    <s v="Coastal"/>
    <n v="1992"/>
    <s v="PortMiami, FL"/>
    <n v="3293"/>
    <x v="122"/>
    <x v="10"/>
    <n v="563"/>
    <x v="2963"/>
    <x v="2309"/>
    <n v="563"/>
  </r>
  <r>
    <s v="Coastal"/>
    <n v="1992"/>
    <s v="PortMiami, FL"/>
    <n v="3298"/>
    <x v="123"/>
    <x v="10"/>
    <n v="491"/>
    <x v="2955"/>
    <x v="2310"/>
    <n v="491"/>
  </r>
  <r>
    <s v="Coastal"/>
    <n v="1992"/>
    <s v="PortMiami, FL"/>
    <n v="2540"/>
    <x v="15"/>
    <x v="10"/>
    <n v="376"/>
    <x v="0"/>
    <x v="2311"/>
    <n v="376"/>
  </r>
  <r>
    <s v="Coastal"/>
    <n v="1992"/>
    <s v="PortMiami, FL"/>
    <n v="3212"/>
    <x v="39"/>
    <x v="10"/>
    <n v="367"/>
    <x v="0"/>
    <x v="2312"/>
    <n v="367"/>
  </r>
  <r>
    <s v="Coastal"/>
    <n v="1992"/>
    <s v="PortMiami, FL"/>
    <n v="2221"/>
    <x v="9"/>
    <x v="10"/>
    <n v="320"/>
    <x v="0"/>
    <x v="419"/>
    <n v="320"/>
  </r>
  <r>
    <s v="Coastal"/>
    <n v="1992"/>
    <s v="PortMiami, FL"/>
    <n v="3110"/>
    <x v="36"/>
    <x v="10"/>
    <n v="278"/>
    <x v="2318"/>
    <x v="1408"/>
    <n v="278"/>
  </r>
  <r>
    <s v="Coastal"/>
    <n v="1992"/>
    <s v="PortMiami, FL"/>
    <n v="4323"/>
    <x v="6"/>
    <x v="10"/>
    <n v="261"/>
    <x v="1599"/>
    <x v="359"/>
    <n v="261"/>
  </r>
  <r>
    <s v="Coastal"/>
    <n v="1992"/>
    <s v="PortMiami, FL"/>
    <n v="4860"/>
    <x v="31"/>
    <x v="10"/>
    <n v="261"/>
    <x v="2554"/>
    <x v="408"/>
    <n v="261"/>
  </r>
  <r>
    <s v="Coastal"/>
    <n v="1992"/>
    <s v="PortMiami, FL"/>
    <n v="2429"/>
    <x v="17"/>
    <x v="10"/>
    <n v="241"/>
    <x v="0"/>
    <x v="122"/>
    <n v="241"/>
  </r>
  <r>
    <s v="Coastal"/>
    <n v="1992"/>
    <s v="PortMiami, FL"/>
    <n v="4161"/>
    <x v="54"/>
    <x v="10"/>
    <n v="218"/>
    <x v="448"/>
    <x v="207"/>
    <n v="218"/>
  </r>
  <r>
    <s v="Coastal"/>
    <n v="1992"/>
    <s v="PortMiami, FL"/>
    <n v="6447"/>
    <x v="132"/>
    <x v="10"/>
    <n v="144"/>
    <x v="389"/>
    <x v="449"/>
    <n v="144"/>
  </r>
  <r>
    <s v="Coastal"/>
    <n v="1992"/>
    <s v="PortMiami, FL"/>
    <n v="5320"/>
    <x v="13"/>
    <x v="10"/>
    <n v="119"/>
    <x v="1934"/>
    <x v="238"/>
    <n v="119"/>
  </r>
  <r>
    <s v="Coastal"/>
    <n v="1992"/>
    <s v="PortMiami, FL"/>
    <n v="4741"/>
    <x v="56"/>
    <x v="10"/>
    <n v="97"/>
    <x v="0"/>
    <x v="1973"/>
    <n v="97"/>
  </r>
  <r>
    <s v="Coastal"/>
    <n v="1992"/>
    <s v="PortMiami, FL"/>
    <n v="6522"/>
    <x v="26"/>
    <x v="10"/>
    <n v="93"/>
    <x v="0"/>
    <x v="2313"/>
    <n v="93"/>
  </r>
  <r>
    <s v="Coastal"/>
    <n v="1992"/>
    <s v="PortMiami, FL"/>
    <n v="3130"/>
    <x v="37"/>
    <x v="10"/>
    <n v="88"/>
    <x v="153"/>
    <x v="704"/>
    <n v="88"/>
  </r>
  <r>
    <s v="Coastal"/>
    <n v="1992"/>
    <s v="PortMiami, FL"/>
    <n v="6241"/>
    <x v="28"/>
    <x v="10"/>
    <n v="63"/>
    <x v="393"/>
    <x v="268"/>
    <n v="63"/>
  </r>
  <r>
    <s v="Coastal"/>
    <n v="1992"/>
    <s v="PortMiami, FL"/>
    <n v="4410"/>
    <x v="34"/>
    <x v="10"/>
    <n v="40"/>
    <x v="451"/>
    <x v="1038"/>
    <n v="40"/>
  </r>
  <r>
    <s v="Coastal"/>
    <n v="1992"/>
    <s v="PortMiami, FL"/>
    <n v="1200"/>
    <x v="43"/>
    <x v="10"/>
    <n v="28"/>
    <x v="717"/>
    <x v="0"/>
    <n v="28"/>
  </r>
  <r>
    <s v="Coastal"/>
    <n v="1992"/>
    <s v="PortMiami, FL"/>
    <n v="6534"/>
    <x v="141"/>
    <x v="10"/>
    <n v="25"/>
    <x v="0"/>
    <x v="263"/>
    <n v="25"/>
  </r>
  <r>
    <s v="Coastal"/>
    <n v="1992"/>
    <s v="PortMiami, FL"/>
    <n v="3281"/>
    <x v="125"/>
    <x v="10"/>
    <n v="23"/>
    <x v="0"/>
    <x v="86"/>
    <n v="23"/>
  </r>
  <r>
    <s v="Coastal"/>
    <n v="1992"/>
    <s v="PortMiami, FL"/>
    <n v="5210"/>
    <x v="130"/>
    <x v="10"/>
    <n v="19"/>
    <x v="0"/>
    <x v="235"/>
    <n v="19"/>
  </r>
  <r>
    <s v="Coastal"/>
    <n v="1992"/>
    <s v="PortMiami, FL"/>
    <n v="3272"/>
    <x v="137"/>
    <x v="10"/>
    <n v="13"/>
    <x v="207"/>
    <x v="166"/>
    <n v="13"/>
  </r>
  <r>
    <s v="Coastal"/>
    <n v="1992"/>
    <s v="PortMiami, FL"/>
    <n v="2100"/>
    <x v="35"/>
    <x v="10"/>
    <n v="8"/>
    <x v="0"/>
    <x v="232"/>
    <n v="8"/>
  </r>
  <r>
    <s v="Coastal"/>
    <n v="1992"/>
    <s v="PortMiami, FL"/>
    <n v="6865"/>
    <x v="75"/>
    <x v="10"/>
    <n v="1"/>
    <x v="19"/>
    <x v="0"/>
    <n v="1"/>
  </r>
  <r>
    <s v="Coastal"/>
    <n v="78"/>
    <s v="Portsmouth, NH"/>
    <n v="2330"/>
    <x v="1"/>
    <x v="2764"/>
    <n v="575652"/>
    <x v="2964"/>
    <x v="0"/>
    <n v="650257"/>
  </r>
  <r>
    <s v="Coastal"/>
    <n v="78"/>
    <s v="Portsmouth, NH"/>
    <n v="4783"/>
    <x v="7"/>
    <x v="10"/>
    <n v="328079"/>
    <x v="2965"/>
    <x v="0"/>
    <n v="328079"/>
  </r>
  <r>
    <s v="Coastal"/>
    <n v="78"/>
    <s v="Portsmouth, NH"/>
    <n v="4323"/>
    <x v="6"/>
    <x v="10"/>
    <n v="227627"/>
    <x v="2966"/>
    <x v="0"/>
    <n v="227627"/>
  </r>
  <r>
    <s v="Coastal"/>
    <n v="78"/>
    <s v="Portsmouth, NH"/>
    <n v="2221"/>
    <x v="9"/>
    <x v="2765"/>
    <n v="0"/>
    <x v="0"/>
    <x v="0"/>
    <n v="16639"/>
  </r>
  <r>
    <s v="Coastal"/>
    <n v="78"/>
    <s v="Portsmouth, NH"/>
    <n v="2640"/>
    <x v="110"/>
    <x v="10"/>
    <n v="5607"/>
    <x v="2967"/>
    <x v="0"/>
    <n v="5607"/>
  </r>
  <r>
    <s v="Coastal"/>
    <n v="78"/>
    <s v="Portsmouth, NH"/>
    <n v="7230"/>
    <x v="22"/>
    <x v="10"/>
    <n v="1"/>
    <x v="19"/>
    <x v="0"/>
    <n v="1"/>
  </r>
  <r>
    <s v="Great Lakes"/>
    <n v="3619"/>
    <s v="Presque Isle Township, MI"/>
    <n v="4322"/>
    <x v="33"/>
    <x v="2766"/>
    <n v="25944"/>
    <x v="0"/>
    <x v="2314"/>
    <n v="3579281"/>
  </r>
  <r>
    <s v="Great Lakes"/>
    <n v="3619"/>
    <s v="Presque Isle Township, MI"/>
    <n v="4331"/>
    <x v="29"/>
    <x v="2767"/>
    <n v="0"/>
    <x v="0"/>
    <x v="0"/>
    <n v="515405"/>
  </r>
  <r>
    <s v="Great Lakes"/>
    <n v="3619"/>
    <s v="Presque Isle Township, MI"/>
    <n v="4783"/>
    <x v="7"/>
    <x v="10"/>
    <n v="52360"/>
    <x v="2968"/>
    <x v="0"/>
    <n v="52360"/>
  </r>
  <r>
    <s v="Great Lakes"/>
    <n v="3619"/>
    <s v="Presque Isle Township, MI"/>
    <n v="7500"/>
    <x v="60"/>
    <x v="10"/>
    <n v="26000"/>
    <x v="0"/>
    <x v="2315"/>
    <n v="26000"/>
  </r>
  <r>
    <s v="Great Lakes"/>
    <n v="3619"/>
    <s v="Presque Isle Township, MI"/>
    <n v="5220"/>
    <x v="30"/>
    <x v="10"/>
    <n v="18949"/>
    <x v="0"/>
    <x v="2316"/>
    <n v="18949"/>
  </r>
  <r>
    <s v="Great Lakes"/>
    <n v="3619"/>
    <s v="Presque Isle Township, MI"/>
    <n v="4420"/>
    <x v="8"/>
    <x v="10"/>
    <n v="10000"/>
    <x v="2969"/>
    <x v="0"/>
    <n v="10000"/>
  </r>
  <r>
    <s v="Great Lakes"/>
    <n v="3200"/>
    <s v="Put-In-Bay Township Port, OH"/>
    <n v="4322"/>
    <x v="33"/>
    <x v="2768"/>
    <n v="0"/>
    <x v="0"/>
    <x v="0"/>
    <n v="5119"/>
  </r>
  <r>
    <s v="Great Lakes"/>
    <n v="3200"/>
    <s v="Put-In-Bay Township Port, OH"/>
    <n v="7900"/>
    <x v="21"/>
    <x v="2769"/>
    <n v="0"/>
    <x v="0"/>
    <x v="0"/>
    <n v="270"/>
  </r>
  <r>
    <s v="Great Lakes"/>
    <n v="3754"/>
    <s v="Racine, WI"/>
    <n v="4335"/>
    <x v="5"/>
    <x v="2770"/>
    <n v="0"/>
    <x v="0"/>
    <x v="0"/>
    <n v="1370"/>
  </r>
  <r>
    <s v="Great Lakes"/>
    <n v="3754"/>
    <s v="Racine, WI"/>
    <n v="7110"/>
    <x v="4"/>
    <x v="201"/>
    <n v="0"/>
    <x v="0"/>
    <x v="0"/>
    <n v="70"/>
  </r>
  <r>
    <s v="Internal"/>
    <n v="2354"/>
    <s v="Raymond D. Lucas Port, MS"/>
    <n v="4783"/>
    <x v="7"/>
    <x v="2771"/>
    <n v="0"/>
    <x v="0"/>
    <x v="0"/>
    <n v="76324"/>
  </r>
  <r>
    <s v="Internal"/>
    <n v="2354"/>
    <s v="Raymond D. Lucas Port, MS"/>
    <n v="6522"/>
    <x v="26"/>
    <x v="2772"/>
    <n v="0"/>
    <x v="0"/>
    <x v="0"/>
    <n v="45064"/>
  </r>
  <r>
    <s v="Internal"/>
    <n v="2354"/>
    <s v="Raymond D. Lucas Port, MS"/>
    <n v="6344"/>
    <x v="25"/>
    <x v="2773"/>
    <n v="0"/>
    <x v="0"/>
    <x v="0"/>
    <n v="20508"/>
  </r>
  <r>
    <s v="Internal"/>
    <n v="2354"/>
    <s v="Raymond D. Lucas Port, MS"/>
    <n v="3276"/>
    <x v="12"/>
    <x v="2774"/>
    <n v="0"/>
    <x v="0"/>
    <x v="0"/>
    <n v="11101"/>
  </r>
  <r>
    <s v="Internal"/>
    <n v="2354"/>
    <s v="Raymond D. Lucas Port, MS"/>
    <n v="4322"/>
    <x v="33"/>
    <x v="2775"/>
    <n v="0"/>
    <x v="0"/>
    <x v="0"/>
    <n v="9196"/>
  </r>
  <r>
    <s v="Internal"/>
    <n v="2354"/>
    <s v="Raymond D. Lucas Port, MS"/>
    <n v="4335"/>
    <x v="5"/>
    <x v="2776"/>
    <n v="0"/>
    <x v="0"/>
    <x v="0"/>
    <n v="8368"/>
  </r>
  <r>
    <s v="Internal"/>
    <n v="2354"/>
    <s v="Raymond D. Lucas Port, MS"/>
    <n v="4331"/>
    <x v="29"/>
    <x v="2777"/>
    <n v="0"/>
    <x v="0"/>
    <x v="0"/>
    <n v="7965"/>
  </r>
  <r>
    <s v="Internal"/>
    <n v="2354"/>
    <s v="Raymond D. Lucas Port, MS"/>
    <n v="4782"/>
    <x v="45"/>
    <x v="2778"/>
    <n v="0"/>
    <x v="0"/>
    <x v="0"/>
    <n v="4942"/>
  </r>
  <r>
    <s v="Internal"/>
    <n v="2354"/>
    <s v="Raymond D. Lucas Port, MS"/>
    <n v="3110"/>
    <x v="36"/>
    <x v="2779"/>
    <n v="0"/>
    <x v="0"/>
    <x v="0"/>
    <n v="4357"/>
  </r>
  <r>
    <s v="Internal"/>
    <n v="2354"/>
    <s v="Raymond D. Lucas Port, MS"/>
    <n v="6590"/>
    <x v="23"/>
    <x v="2780"/>
    <n v="0"/>
    <x v="0"/>
    <x v="0"/>
    <n v="3200"/>
  </r>
  <r>
    <s v="Internal"/>
    <n v="2354"/>
    <s v="Raymond D. Lucas Port, MS"/>
    <n v="7110"/>
    <x v="4"/>
    <x v="1497"/>
    <n v="0"/>
    <x v="0"/>
    <x v="0"/>
    <n v="1500"/>
  </r>
  <r>
    <s v="Coastal"/>
    <n v="4340"/>
    <s v="Redwood City, CA"/>
    <n v="4331"/>
    <x v="29"/>
    <x v="2781"/>
    <n v="1067411"/>
    <x v="2970"/>
    <x v="0"/>
    <n v="1110697"/>
  </r>
  <r>
    <s v="Coastal"/>
    <n v="4340"/>
    <s v="Redwood City, CA"/>
    <n v="4323"/>
    <x v="6"/>
    <x v="10"/>
    <n v="276354"/>
    <x v="2971"/>
    <x v="0"/>
    <n v="276354"/>
  </r>
  <r>
    <s v="Coastal"/>
    <n v="4340"/>
    <s v="Redwood City, CA"/>
    <n v="4420"/>
    <x v="8"/>
    <x v="10"/>
    <n v="241208"/>
    <x v="0"/>
    <x v="2317"/>
    <n v="241208"/>
  </r>
  <r>
    <s v="Coastal"/>
    <n v="4340"/>
    <s v="Redwood City, CA"/>
    <n v="4860"/>
    <x v="31"/>
    <x v="10"/>
    <n v="101669"/>
    <x v="2972"/>
    <x v="0"/>
    <n v="101669"/>
  </r>
  <r>
    <s v="Coastal"/>
    <n v="4340"/>
    <s v="Redwood City, CA"/>
    <n v="7230"/>
    <x v="22"/>
    <x v="10"/>
    <n v="3"/>
    <x v="393"/>
    <x v="0"/>
    <n v="3"/>
  </r>
  <r>
    <s v="Coastal"/>
    <n v="4351"/>
    <s v="Richmond, CA"/>
    <n v="2100"/>
    <x v="35"/>
    <x v="2782"/>
    <n v="10355165"/>
    <x v="2973"/>
    <x v="0"/>
    <n v="12545891"/>
  </r>
  <r>
    <s v="Coastal"/>
    <n v="4351"/>
    <s v="Richmond, CA"/>
    <n v="2330"/>
    <x v="1"/>
    <x v="2783"/>
    <n v="2064990"/>
    <x v="2974"/>
    <x v="2318"/>
    <n v="2801490"/>
  </r>
  <r>
    <s v="Coastal"/>
    <n v="4351"/>
    <s v="Richmond, CA"/>
    <n v="2211"/>
    <x v="0"/>
    <x v="2784"/>
    <n v="856389"/>
    <x v="2975"/>
    <x v="2319"/>
    <n v="1412593"/>
  </r>
  <r>
    <s v="Coastal"/>
    <n v="4351"/>
    <s v="Richmond, CA"/>
    <n v="2340"/>
    <x v="3"/>
    <x v="2785"/>
    <n v="264025"/>
    <x v="2976"/>
    <x v="2320"/>
    <n v="663904"/>
  </r>
  <r>
    <s v="Coastal"/>
    <n v="4351"/>
    <s v="Richmond, CA"/>
    <n v="4331"/>
    <x v="29"/>
    <x v="10"/>
    <n v="533193"/>
    <x v="2977"/>
    <x v="0"/>
    <n v="533193"/>
  </r>
  <r>
    <s v="Coastal"/>
    <n v="4351"/>
    <s v="Richmond, CA"/>
    <n v="2350"/>
    <x v="40"/>
    <x v="2786"/>
    <n v="415876"/>
    <x v="0"/>
    <x v="2321"/>
    <n v="495555"/>
  </r>
  <r>
    <s v="Coastal"/>
    <n v="4351"/>
    <s v="Richmond, CA"/>
    <n v="1100"/>
    <x v="32"/>
    <x v="10"/>
    <n v="428399"/>
    <x v="0"/>
    <x v="2322"/>
    <n v="428399"/>
  </r>
  <r>
    <s v="Coastal"/>
    <n v="4351"/>
    <s v="Richmond, CA"/>
    <n v="2429"/>
    <x v="17"/>
    <x v="10"/>
    <n v="322091"/>
    <x v="0"/>
    <x v="2323"/>
    <n v="322091"/>
  </r>
  <r>
    <s v="Coastal"/>
    <n v="4351"/>
    <s v="Richmond, CA"/>
    <n v="2221"/>
    <x v="9"/>
    <x v="2787"/>
    <n v="275141"/>
    <x v="2978"/>
    <x v="2324"/>
    <n v="311627"/>
  </r>
  <r>
    <s v="Coastal"/>
    <n v="4351"/>
    <s v="Richmond, CA"/>
    <n v="2540"/>
    <x v="15"/>
    <x v="10"/>
    <n v="276306"/>
    <x v="0"/>
    <x v="2325"/>
    <n v="276306"/>
  </r>
  <r>
    <s v="Coastal"/>
    <n v="4351"/>
    <s v="Richmond, CA"/>
    <n v="6653"/>
    <x v="24"/>
    <x v="10"/>
    <n v="263898"/>
    <x v="2979"/>
    <x v="2326"/>
    <n v="263898"/>
  </r>
  <r>
    <s v="Coastal"/>
    <n v="4351"/>
    <s v="Richmond, CA"/>
    <n v="4323"/>
    <x v="6"/>
    <x v="10"/>
    <n v="212525"/>
    <x v="2980"/>
    <x v="0"/>
    <n v="212525"/>
  </r>
  <r>
    <s v="Coastal"/>
    <n v="4351"/>
    <s v="Richmond, CA"/>
    <n v="4420"/>
    <x v="8"/>
    <x v="10"/>
    <n v="207412"/>
    <x v="0"/>
    <x v="2327"/>
    <n v="207412"/>
  </r>
  <r>
    <s v="Coastal"/>
    <n v="4351"/>
    <s v="Richmond, CA"/>
    <n v="3274"/>
    <x v="86"/>
    <x v="10"/>
    <n v="94924"/>
    <x v="2981"/>
    <x v="0"/>
    <n v="94924"/>
  </r>
  <r>
    <s v="Coastal"/>
    <n v="4351"/>
    <s v="Richmond, CA"/>
    <n v="7210"/>
    <x v="59"/>
    <x v="10"/>
    <n v="94662"/>
    <x v="2982"/>
    <x v="0"/>
    <n v="94662"/>
  </r>
  <r>
    <s v="Coastal"/>
    <n v="4351"/>
    <s v="Richmond, CA"/>
    <n v="2990"/>
    <x v="102"/>
    <x v="2788"/>
    <n v="0"/>
    <x v="0"/>
    <x v="0"/>
    <n v="89057"/>
  </r>
  <r>
    <s v="Coastal"/>
    <n v="4351"/>
    <s v="Richmond, CA"/>
    <n v="2410"/>
    <x v="98"/>
    <x v="10"/>
    <n v="39694"/>
    <x v="2983"/>
    <x v="0"/>
    <n v="39694"/>
  </r>
  <r>
    <s v="Coastal"/>
    <n v="4351"/>
    <s v="Richmond, CA"/>
    <n v="2430"/>
    <x v="11"/>
    <x v="10"/>
    <n v="30906"/>
    <x v="0"/>
    <x v="2328"/>
    <n v="30906"/>
  </r>
  <r>
    <s v="Coastal"/>
    <n v="4351"/>
    <s v="Richmond, CA"/>
    <n v="6889"/>
    <x v="42"/>
    <x v="10"/>
    <n v="22153"/>
    <x v="2984"/>
    <x v="2329"/>
    <n v="22153"/>
  </r>
  <r>
    <s v="Coastal"/>
    <n v="4351"/>
    <s v="Richmond, CA"/>
    <n v="3285"/>
    <x v="87"/>
    <x v="10"/>
    <n v="6220"/>
    <x v="0"/>
    <x v="2330"/>
    <n v="6220"/>
  </r>
  <r>
    <s v="Coastal"/>
    <n v="4351"/>
    <s v="Richmond, CA"/>
    <n v="7900"/>
    <x v="21"/>
    <x v="10"/>
    <n v="5257"/>
    <x v="20"/>
    <x v="2331"/>
    <n v="5257"/>
  </r>
  <r>
    <s v="Coastal"/>
    <n v="4351"/>
    <s v="Richmond, CA"/>
    <n v="3220"/>
    <x v="2"/>
    <x v="10"/>
    <n v="1543"/>
    <x v="2985"/>
    <x v="0"/>
    <n v="1543"/>
  </r>
  <r>
    <s v="Coastal"/>
    <n v="4351"/>
    <s v="Richmond, CA"/>
    <n v="7110"/>
    <x v="4"/>
    <x v="10"/>
    <n v="405"/>
    <x v="2986"/>
    <x v="0"/>
    <n v="405"/>
  </r>
  <r>
    <s v="Coastal"/>
    <n v="4351"/>
    <s v="Richmond, CA"/>
    <n v="7230"/>
    <x v="22"/>
    <x v="10"/>
    <n v="1"/>
    <x v="19"/>
    <x v="0"/>
    <n v="1"/>
  </r>
  <r>
    <s v="Coastal"/>
    <n v="4351"/>
    <s v="Richmond, CA"/>
    <n v="9900"/>
    <x v="18"/>
    <x v="10"/>
    <n v="1"/>
    <x v="19"/>
    <x v="0"/>
    <n v="1"/>
  </r>
  <r>
    <s v="Coastal"/>
    <n v="737"/>
    <s v="Richmond, VA"/>
    <n v="4331"/>
    <x v="29"/>
    <x v="2789"/>
    <n v="0"/>
    <x v="0"/>
    <x v="0"/>
    <n v="687210"/>
  </r>
  <r>
    <s v="Coastal"/>
    <n v="737"/>
    <s v="Richmond, VA"/>
    <n v="2330"/>
    <x v="1"/>
    <x v="2790"/>
    <n v="0"/>
    <x v="0"/>
    <x v="0"/>
    <n v="154749"/>
  </r>
  <r>
    <s v="Coastal"/>
    <n v="737"/>
    <s v="Richmond, VA"/>
    <n v="2430"/>
    <x v="11"/>
    <x v="2791"/>
    <n v="0"/>
    <x v="0"/>
    <x v="0"/>
    <n v="72965"/>
  </r>
  <r>
    <s v="Coastal"/>
    <n v="737"/>
    <s v="Richmond, VA"/>
    <n v="3276"/>
    <x v="12"/>
    <x v="10"/>
    <n v="24399"/>
    <x v="0"/>
    <x v="2332"/>
    <n v="24399"/>
  </r>
  <r>
    <s v="Coastal"/>
    <n v="737"/>
    <s v="Richmond, VA"/>
    <n v="4335"/>
    <x v="5"/>
    <x v="2792"/>
    <n v="0"/>
    <x v="0"/>
    <x v="0"/>
    <n v="11521"/>
  </r>
  <r>
    <s v="Coastal"/>
    <n v="737"/>
    <s v="Richmond, VA"/>
    <n v="2221"/>
    <x v="9"/>
    <x v="2793"/>
    <n v="0"/>
    <x v="0"/>
    <x v="0"/>
    <n v="7942"/>
  </r>
  <r>
    <s v="Coastal"/>
    <n v="737"/>
    <s v="Richmond, VA"/>
    <n v="3274"/>
    <x v="86"/>
    <x v="10"/>
    <n v="6899"/>
    <x v="2987"/>
    <x v="0"/>
    <n v="6899"/>
  </r>
  <r>
    <s v="Coastal"/>
    <n v="737"/>
    <s v="Richmond, VA"/>
    <n v="3190"/>
    <x v="38"/>
    <x v="10"/>
    <n v="4279"/>
    <x v="0"/>
    <x v="2333"/>
    <n v="4279"/>
  </r>
  <r>
    <s v="Coastal"/>
    <n v="737"/>
    <s v="Richmond, VA"/>
    <n v="4323"/>
    <x v="6"/>
    <x v="2794"/>
    <n v="0"/>
    <x v="0"/>
    <x v="0"/>
    <n v="2705"/>
  </r>
  <r>
    <s v="Coastal"/>
    <n v="737"/>
    <s v="Richmond, VA"/>
    <n v="3275"/>
    <x v="47"/>
    <x v="10"/>
    <n v="1155"/>
    <x v="2988"/>
    <x v="0"/>
    <n v="1155"/>
  </r>
  <r>
    <s v="Coastal"/>
    <n v="737"/>
    <s v="Richmond, VA"/>
    <n v="2350"/>
    <x v="40"/>
    <x v="2795"/>
    <n v="0"/>
    <x v="0"/>
    <x v="0"/>
    <n v="980"/>
  </r>
  <r>
    <s v="Coastal"/>
    <n v="737"/>
    <s v="Richmond, VA"/>
    <n v="2340"/>
    <x v="3"/>
    <x v="2796"/>
    <n v="0"/>
    <x v="0"/>
    <x v="0"/>
    <n v="256"/>
  </r>
  <r>
    <s v="Coastal"/>
    <n v="737"/>
    <s v="Richmond, VA"/>
    <n v="7120"/>
    <x v="71"/>
    <x v="10"/>
    <n v="41"/>
    <x v="1019"/>
    <x v="0"/>
    <n v="41"/>
  </r>
  <r>
    <s v="Great Lakes"/>
    <n v="3105"/>
    <s v="Rochester, NY"/>
    <n v="5220"/>
    <x v="30"/>
    <x v="10"/>
    <n v="88157"/>
    <x v="2989"/>
    <x v="0"/>
    <n v="88157"/>
  </r>
  <r>
    <s v="Great Lakes"/>
    <n v="3635"/>
    <s v="Rogers City, MI"/>
    <n v="4322"/>
    <x v="33"/>
    <x v="2797"/>
    <n v="128254"/>
    <x v="0"/>
    <x v="2334"/>
    <n v="6877164"/>
  </r>
  <r>
    <s v="Great Lakes"/>
    <n v="3635"/>
    <s v="Rogers City, MI"/>
    <n v="4331"/>
    <x v="29"/>
    <x v="2798"/>
    <n v="20944"/>
    <x v="2990"/>
    <x v="0"/>
    <n v="214977"/>
  </r>
  <r>
    <s v="Great Lakes"/>
    <n v="3635"/>
    <s v="Rogers City, MI"/>
    <n v="4410"/>
    <x v="34"/>
    <x v="2799"/>
    <n v="0"/>
    <x v="0"/>
    <x v="0"/>
    <n v="53150"/>
  </r>
  <r>
    <s v="Great Lakes"/>
    <n v="3635"/>
    <s v="Rogers City, MI"/>
    <n v="2330"/>
    <x v="1"/>
    <x v="2800"/>
    <n v="279"/>
    <x v="2191"/>
    <x v="0"/>
    <n v="16565"/>
  </r>
  <r>
    <s v="Great Lakes"/>
    <n v="3635"/>
    <s v="Rogers City, MI"/>
    <n v="5330"/>
    <x v="16"/>
    <x v="387"/>
    <n v="0"/>
    <x v="0"/>
    <x v="0"/>
    <n v="800"/>
  </r>
  <r>
    <s v="Great Lakes"/>
    <n v="3635"/>
    <s v="Rogers City, MI"/>
    <n v="5480"/>
    <x v="20"/>
    <x v="293"/>
    <n v="0"/>
    <x v="0"/>
    <x v="0"/>
    <n v="150"/>
  </r>
  <r>
    <s v="Great Lakes"/>
    <n v="3635"/>
    <s v="Rogers City, MI"/>
    <n v="7110"/>
    <x v="4"/>
    <x v="589"/>
    <n v="0"/>
    <x v="0"/>
    <x v="0"/>
    <n v="100"/>
  </r>
  <r>
    <s v="Great Lakes"/>
    <n v="3635"/>
    <s v="Rogers City, MI"/>
    <n v="2211"/>
    <x v="0"/>
    <x v="10"/>
    <n v="91"/>
    <x v="2991"/>
    <x v="0"/>
    <n v="91"/>
  </r>
  <r>
    <s v="Great Lakes"/>
    <n v="3635"/>
    <s v="Rogers City, MI"/>
    <n v="4420"/>
    <x v="8"/>
    <x v="510"/>
    <n v="0"/>
    <x v="0"/>
    <x v="0"/>
    <n v="80"/>
  </r>
  <r>
    <s v="Internal"/>
    <n v="541"/>
    <s v="Rondout, NY"/>
    <n v="2330"/>
    <x v="1"/>
    <x v="2801"/>
    <n v="0"/>
    <x v="0"/>
    <x v="0"/>
    <n v="93360"/>
  </r>
  <r>
    <s v="Internal"/>
    <n v="541"/>
    <s v="Rondout, NY"/>
    <n v="2221"/>
    <x v="9"/>
    <x v="2802"/>
    <n v="0"/>
    <x v="0"/>
    <x v="0"/>
    <n v="1959"/>
  </r>
  <r>
    <s v="Coastal"/>
    <n v="2397"/>
    <s v="Sabine Pass Port Authority, TX"/>
    <n v="2640"/>
    <x v="110"/>
    <x v="10"/>
    <n v="69424"/>
    <x v="0"/>
    <x v="2335"/>
    <n v="69424"/>
  </r>
  <r>
    <s v="Coastal"/>
    <n v="2397"/>
    <s v="Sabine Pass Port Authority, TX"/>
    <n v="7110"/>
    <x v="4"/>
    <x v="2803"/>
    <n v="34"/>
    <x v="605"/>
    <x v="0"/>
    <n v="30404"/>
  </r>
  <r>
    <s v="Coastal"/>
    <n v="2397"/>
    <s v="Sabine Pass Port Authority, TX"/>
    <n v="2100"/>
    <x v="35"/>
    <x v="2804"/>
    <n v="0"/>
    <x v="0"/>
    <x v="0"/>
    <n v="22963"/>
  </r>
  <r>
    <s v="Coastal"/>
    <n v="2397"/>
    <s v="Sabine Pass Port Authority, TX"/>
    <n v="3273"/>
    <x v="46"/>
    <x v="10"/>
    <n v="11023"/>
    <x v="2163"/>
    <x v="0"/>
    <n v="11023"/>
  </r>
  <r>
    <s v="Coastal"/>
    <n v="2397"/>
    <s v="Sabine Pass Port Authority, TX"/>
    <n v="2330"/>
    <x v="1"/>
    <x v="2805"/>
    <n v="0"/>
    <x v="0"/>
    <x v="0"/>
    <n v="245"/>
  </r>
  <r>
    <s v="Coastal"/>
    <n v="2397"/>
    <s v="Sabine Pass Port Authority, TX"/>
    <n v="5480"/>
    <x v="20"/>
    <x v="10"/>
    <n v="3"/>
    <x v="393"/>
    <x v="0"/>
    <n v="3"/>
  </r>
  <r>
    <s v="Coastal"/>
    <n v="2397"/>
    <s v="Sabine Pass Port Authority, TX"/>
    <n v="7600"/>
    <x v="68"/>
    <x v="10"/>
    <n v="1"/>
    <x v="19"/>
    <x v="0"/>
    <n v="1"/>
  </r>
  <r>
    <s v="Coastal"/>
    <n v="2397"/>
    <s v="Sabine Pass Port Authority, TX"/>
    <n v="9900"/>
    <x v="18"/>
    <x v="10"/>
    <n v="1"/>
    <x v="19"/>
    <x v="0"/>
    <n v="1"/>
  </r>
  <r>
    <s v="Coastal"/>
    <n v="4240"/>
    <s v="Sacramento-Yolo Port, CA"/>
    <n v="5220"/>
    <x v="30"/>
    <x v="10"/>
    <n v="773222"/>
    <x v="2992"/>
    <x v="0"/>
    <n v="773222"/>
  </r>
  <r>
    <s v="Coastal"/>
    <n v="4240"/>
    <s v="Sacramento-Yolo Port, CA"/>
    <n v="6442"/>
    <x v="85"/>
    <x v="10"/>
    <n v="218068"/>
    <x v="0"/>
    <x v="2336"/>
    <n v="218068"/>
  </r>
  <r>
    <s v="Coastal"/>
    <n v="4240"/>
    <s v="Sacramento-Yolo Port, CA"/>
    <n v="4860"/>
    <x v="31"/>
    <x v="10"/>
    <n v="81412"/>
    <x v="2993"/>
    <x v="0"/>
    <n v="81412"/>
  </r>
  <r>
    <s v="Coastal"/>
    <n v="4240"/>
    <s v="Sacramento-Yolo Port, CA"/>
    <n v="3110"/>
    <x v="36"/>
    <x v="10"/>
    <n v="59626"/>
    <x v="2994"/>
    <x v="0"/>
    <n v="59626"/>
  </r>
  <r>
    <s v="Coastal"/>
    <n v="4240"/>
    <s v="Sacramento-Yolo Port, CA"/>
    <n v="7900"/>
    <x v="21"/>
    <x v="10"/>
    <n v="12"/>
    <x v="0"/>
    <x v="1007"/>
    <n v="12"/>
  </r>
  <r>
    <s v="Internal"/>
    <n v="2392"/>
    <s v="Saint Joseph Regional Port, MO"/>
    <n v="4331"/>
    <x v="29"/>
    <x v="2806"/>
    <n v="0"/>
    <x v="0"/>
    <x v="0"/>
    <n v="92462"/>
  </r>
  <r>
    <s v="Internal"/>
    <n v="2392"/>
    <s v="Saint Joseph Regional Port, MO"/>
    <n v="3110"/>
    <x v="36"/>
    <x v="2807"/>
    <n v="0"/>
    <x v="0"/>
    <x v="0"/>
    <n v="2976"/>
  </r>
  <r>
    <s v="Internal"/>
    <n v="2392"/>
    <s v="Saint Joseph Regional Port, MO"/>
    <n v="3190"/>
    <x v="38"/>
    <x v="2808"/>
    <n v="0"/>
    <x v="0"/>
    <x v="0"/>
    <n v="2938"/>
  </r>
  <r>
    <s v="Internal"/>
    <n v="2392"/>
    <s v="Saint Joseph Regional Port, MO"/>
    <n v="3130"/>
    <x v="37"/>
    <x v="2095"/>
    <n v="0"/>
    <x v="0"/>
    <x v="0"/>
    <n v="2904"/>
  </r>
  <r>
    <s v="Internal"/>
    <n v="2392"/>
    <s v="Saint Joseph Regional Port, MO"/>
    <n v="6857"/>
    <x v="104"/>
    <x v="1497"/>
    <n v="0"/>
    <x v="0"/>
    <x v="0"/>
    <n v="1500"/>
  </r>
  <r>
    <s v="Coastal"/>
    <n v="4102"/>
    <s v="San Diego Unified Port, CA"/>
    <n v="6856"/>
    <x v="126"/>
    <x v="10"/>
    <n v="586082"/>
    <x v="2995"/>
    <x v="121"/>
    <n v="586082"/>
  </r>
  <r>
    <s v="Coastal"/>
    <n v="4102"/>
    <s v="San Diego Unified Port, CA"/>
    <n v="2221"/>
    <x v="9"/>
    <x v="2809"/>
    <n v="0"/>
    <x v="0"/>
    <x v="0"/>
    <n v="231578"/>
  </r>
  <r>
    <s v="Coastal"/>
    <n v="4102"/>
    <s v="San Diego Unified Port, CA"/>
    <n v="7210"/>
    <x v="59"/>
    <x v="10"/>
    <n v="224722"/>
    <x v="2996"/>
    <x v="2306"/>
    <n v="224722"/>
  </r>
  <r>
    <s v="Coastal"/>
    <n v="4102"/>
    <s v="San Diego Unified Port, CA"/>
    <n v="6857"/>
    <x v="104"/>
    <x v="10"/>
    <n v="142661"/>
    <x v="2997"/>
    <x v="2337"/>
    <n v="142661"/>
  </r>
  <r>
    <s v="Coastal"/>
    <n v="4102"/>
    <s v="San Diego Unified Port, CA"/>
    <n v="4650"/>
    <x v="67"/>
    <x v="10"/>
    <n v="109161"/>
    <x v="2998"/>
    <x v="268"/>
    <n v="109161"/>
  </r>
  <r>
    <s v="Coastal"/>
    <n v="4102"/>
    <s v="San Diego Unified Port, CA"/>
    <n v="6889"/>
    <x v="42"/>
    <x v="10"/>
    <n v="107606"/>
    <x v="2999"/>
    <x v="1429"/>
    <n v="107606"/>
  </r>
  <r>
    <s v="Coastal"/>
    <n v="4102"/>
    <s v="San Diego Unified Port, CA"/>
    <n v="2340"/>
    <x v="3"/>
    <x v="2810"/>
    <n v="0"/>
    <x v="0"/>
    <x v="0"/>
    <n v="87802"/>
  </r>
  <r>
    <s v="Coastal"/>
    <n v="4102"/>
    <s v="San Diego Unified Port, CA"/>
    <n v="6136"/>
    <x v="95"/>
    <x v="10"/>
    <n v="36925"/>
    <x v="3000"/>
    <x v="1434"/>
    <n v="36925"/>
  </r>
  <r>
    <s v="Coastal"/>
    <n v="4102"/>
    <s v="San Diego Unified Port, CA"/>
    <n v="7120"/>
    <x v="71"/>
    <x v="10"/>
    <n v="25471"/>
    <x v="3001"/>
    <x v="207"/>
    <n v="25471"/>
  </r>
  <r>
    <s v="Coastal"/>
    <n v="4102"/>
    <s v="San Diego Unified Port, CA"/>
    <n v="9900"/>
    <x v="18"/>
    <x v="10"/>
    <n v="19873"/>
    <x v="3002"/>
    <x v="2338"/>
    <n v="19873"/>
  </r>
  <r>
    <s v="Coastal"/>
    <n v="4102"/>
    <s v="San Diego Unified Port, CA"/>
    <n v="5330"/>
    <x v="16"/>
    <x v="10"/>
    <n v="18439"/>
    <x v="3003"/>
    <x v="273"/>
    <n v="18439"/>
  </r>
  <r>
    <s v="Coastal"/>
    <n v="4102"/>
    <s v="San Diego Unified Port, CA"/>
    <n v="6654"/>
    <x v="50"/>
    <x v="10"/>
    <n v="13601"/>
    <x v="3004"/>
    <x v="2339"/>
    <n v="13601"/>
  </r>
  <r>
    <s v="Coastal"/>
    <n v="4102"/>
    <s v="San Diego Unified Port, CA"/>
    <n v="3190"/>
    <x v="38"/>
    <x v="10"/>
    <n v="13309"/>
    <x v="3005"/>
    <x v="375"/>
    <n v="13309"/>
  </r>
  <r>
    <s v="Coastal"/>
    <n v="4102"/>
    <s v="San Diego Unified Port, CA"/>
    <n v="3110"/>
    <x v="36"/>
    <x v="10"/>
    <n v="12726"/>
    <x v="3006"/>
    <x v="1068"/>
    <n v="12726"/>
  </r>
  <r>
    <s v="Coastal"/>
    <n v="4102"/>
    <s v="San Diego Unified Port, CA"/>
    <n v="7900"/>
    <x v="21"/>
    <x v="1747"/>
    <n v="11467"/>
    <x v="3007"/>
    <x v="2340"/>
    <n v="11967"/>
  </r>
  <r>
    <s v="Coastal"/>
    <n v="4102"/>
    <s v="San Diego Unified Port, CA"/>
    <n v="6858"/>
    <x v="74"/>
    <x v="10"/>
    <n v="10267"/>
    <x v="3008"/>
    <x v="2341"/>
    <n v="10267"/>
  </r>
  <r>
    <s v="Coastal"/>
    <n v="4102"/>
    <s v="San Diego Unified Port, CA"/>
    <n v="5480"/>
    <x v="20"/>
    <x v="10"/>
    <n v="8462"/>
    <x v="628"/>
    <x v="2342"/>
    <n v="8462"/>
  </r>
  <r>
    <s v="Coastal"/>
    <n v="4102"/>
    <s v="San Diego Unified Port, CA"/>
    <n v="5290"/>
    <x v="49"/>
    <x v="10"/>
    <n v="5230"/>
    <x v="2655"/>
    <x v="126"/>
    <n v="5230"/>
  </r>
  <r>
    <s v="Coastal"/>
    <n v="4102"/>
    <s v="San Diego Unified Port, CA"/>
    <n v="7110"/>
    <x v="4"/>
    <x v="10"/>
    <n v="5061"/>
    <x v="3009"/>
    <x v="2343"/>
    <n v="5061"/>
  </r>
  <r>
    <s v="Coastal"/>
    <n v="4102"/>
    <s v="San Diego Unified Port, CA"/>
    <n v="3286"/>
    <x v="57"/>
    <x v="10"/>
    <n v="4174"/>
    <x v="1947"/>
    <x v="2344"/>
    <n v="4174"/>
  </r>
  <r>
    <s v="Coastal"/>
    <n v="4102"/>
    <s v="San Diego Unified Port, CA"/>
    <n v="6835"/>
    <x v="92"/>
    <x v="10"/>
    <n v="3943"/>
    <x v="3010"/>
    <x v="619"/>
    <n v="3943"/>
  </r>
  <r>
    <s v="Coastal"/>
    <n v="4102"/>
    <s v="San Diego Unified Port, CA"/>
    <n v="3276"/>
    <x v="12"/>
    <x v="10"/>
    <n v="3823"/>
    <x v="3011"/>
    <x v="2345"/>
    <n v="3823"/>
  </r>
  <r>
    <s v="Coastal"/>
    <n v="4102"/>
    <s v="San Diego Unified Port, CA"/>
    <n v="6822"/>
    <x v="84"/>
    <x v="10"/>
    <n v="3557"/>
    <x v="3012"/>
    <x v="2346"/>
    <n v="3557"/>
  </r>
  <r>
    <s v="Coastal"/>
    <n v="4102"/>
    <s v="San Diego Unified Port, CA"/>
    <n v="6899"/>
    <x v="114"/>
    <x v="10"/>
    <n v="3125"/>
    <x v="3013"/>
    <x v="2347"/>
    <n v="3125"/>
  </r>
  <r>
    <s v="Coastal"/>
    <n v="4102"/>
    <s v="San Diego Unified Port, CA"/>
    <n v="4331"/>
    <x v="29"/>
    <x v="372"/>
    <n v="0"/>
    <x v="0"/>
    <x v="0"/>
    <n v="2000"/>
  </r>
  <r>
    <s v="Coastal"/>
    <n v="4102"/>
    <s v="San Diego Unified Port, CA"/>
    <n v="5360"/>
    <x v="94"/>
    <x v="10"/>
    <n v="1882"/>
    <x v="3014"/>
    <x v="0"/>
    <n v="1882"/>
  </r>
  <r>
    <s v="Coastal"/>
    <n v="4102"/>
    <s v="San Diego Unified Port, CA"/>
    <n v="7500"/>
    <x v="60"/>
    <x v="10"/>
    <n v="1584"/>
    <x v="3015"/>
    <x v="2348"/>
    <n v="1584"/>
  </r>
  <r>
    <s v="Coastal"/>
    <n v="4102"/>
    <s v="San Diego Unified Port, CA"/>
    <n v="6811"/>
    <x v="76"/>
    <x v="10"/>
    <n v="1352"/>
    <x v="2668"/>
    <x v="2349"/>
    <n v="1352"/>
  </r>
  <r>
    <s v="Coastal"/>
    <n v="4102"/>
    <s v="San Diego Unified Port, CA"/>
    <n v="6885"/>
    <x v="72"/>
    <x v="10"/>
    <n v="1204"/>
    <x v="3016"/>
    <x v="1734"/>
    <n v="1204"/>
  </r>
  <r>
    <s v="Coastal"/>
    <n v="4102"/>
    <s v="San Diego Unified Port, CA"/>
    <n v="5120"/>
    <x v="63"/>
    <x v="10"/>
    <n v="1159"/>
    <x v="504"/>
    <x v="2078"/>
    <n v="1159"/>
  </r>
  <r>
    <s v="Coastal"/>
    <n v="4102"/>
    <s v="San Diego Unified Port, CA"/>
    <n v="5370"/>
    <x v="81"/>
    <x v="10"/>
    <n v="1054"/>
    <x v="1533"/>
    <x v="249"/>
    <n v="1054"/>
  </r>
  <r>
    <s v="Coastal"/>
    <n v="4102"/>
    <s v="San Diego Unified Port, CA"/>
    <n v="2211"/>
    <x v="0"/>
    <x v="406"/>
    <n v="380"/>
    <x v="3017"/>
    <x v="0"/>
    <n v="1040"/>
  </r>
  <r>
    <s v="Coastal"/>
    <n v="4102"/>
    <s v="San Diego Unified Port, CA"/>
    <n v="7600"/>
    <x v="68"/>
    <x v="10"/>
    <n v="1011"/>
    <x v="1933"/>
    <x v="2051"/>
    <n v="1011"/>
  </r>
  <r>
    <s v="Coastal"/>
    <n v="4102"/>
    <s v="San Diego Unified Port, CA"/>
    <n v="6747"/>
    <x v="78"/>
    <x v="10"/>
    <n v="883"/>
    <x v="1603"/>
    <x v="497"/>
    <n v="883"/>
  </r>
  <r>
    <s v="Coastal"/>
    <n v="4102"/>
    <s v="San Diego Unified Port, CA"/>
    <n v="7300"/>
    <x v="115"/>
    <x v="10"/>
    <n v="636"/>
    <x v="1585"/>
    <x v="0"/>
    <n v="636"/>
  </r>
  <r>
    <s v="Coastal"/>
    <n v="4102"/>
    <s v="San Diego Unified Port, CA"/>
    <n v="3279"/>
    <x v="58"/>
    <x v="10"/>
    <n v="322"/>
    <x v="2868"/>
    <x v="235"/>
    <n v="322"/>
  </r>
  <r>
    <s v="Coastal"/>
    <n v="4102"/>
    <s v="San Diego Unified Port, CA"/>
    <n v="3130"/>
    <x v="37"/>
    <x v="10"/>
    <n v="301"/>
    <x v="0"/>
    <x v="2207"/>
    <n v="301"/>
  </r>
  <r>
    <s v="Coastal"/>
    <n v="4102"/>
    <s v="San Diego Unified Port, CA"/>
    <n v="6134"/>
    <x v="82"/>
    <x v="10"/>
    <n v="280"/>
    <x v="209"/>
    <x v="1532"/>
    <n v="280"/>
  </r>
  <r>
    <s v="Coastal"/>
    <n v="4102"/>
    <s v="San Diego Unified Port, CA"/>
    <n v="6782"/>
    <x v="27"/>
    <x v="10"/>
    <n v="277"/>
    <x v="0"/>
    <x v="2350"/>
    <n v="277"/>
  </r>
  <r>
    <s v="Coastal"/>
    <n v="4102"/>
    <s v="San Diego Unified Port, CA"/>
    <n v="5190"/>
    <x v="83"/>
    <x v="10"/>
    <n v="253"/>
    <x v="1586"/>
    <x v="270"/>
    <n v="253"/>
  </r>
  <r>
    <s v="Coastal"/>
    <n v="4102"/>
    <s v="San Diego Unified Port, CA"/>
    <n v="2640"/>
    <x v="110"/>
    <x v="10"/>
    <n v="251"/>
    <x v="2083"/>
    <x v="0"/>
    <n v="251"/>
  </r>
  <r>
    <s v="Coastal"/>
    <n v="4102"/>
    <s v="San Diego Unified Port, CA"/>
    <n v="7230"/>
    <x v="22"/>
    <x v="10"/>
    <n v="230"/>
    <x v="1883"/>
    <x v="0"/>
    <n v="230"/>
  </r>
  <r>
    <s v="Coastal"/>
    <n v="4102"/>
    <s v="San Diego Unified Port, CA"/>
    <n v="6891"/>
    <x v="93"/>
    <x v="10"/>
    <n v="143"/>
    <x v="149"/>
    <x v="2062"/>
    <n v="143"/>
  </r>
  <r>
    <s v="Coastal"/>
    <n v="4102"/>
    <s v="San Diego Unified Port, CA"/>
    <n v="7400"/>
    <x v="77"/>
    <x v="10"/>
    <n v="140"/>
    <x v="2677"/>
    <x v="2062"/>
    <n v="140"/>
  </r>
  <r>
    <s v="Coastal"/>
    <n v="4102"/>
    <s v="San Diego Unified Port, CA"/>
    <n v="6344"/>
    <x v="25"/>
    <x v="10"/>
    <n v="123"/>
    <x v="546"/>
    <x v="704"/>
    <n v="123"/>
  </r>
  <r>
    <s v="Coastal"/>
    <n v="4102"/>
    <s v="San Diego Unified Port, CA"/>
    <n v="3292"/>
    <x v="51"/>
    <x v="10"/>
    <n v="120"/>
    <x v="333"/>
    <x v="134"/>
    <n v="120"/>
  </r>
  <r>
    <s v="Coastal"/>
    <n v="4102"/>
    <s v="San Diego Unified Port, CA"/>
    <n v="3275"/>
    <x v="47"/>
    <x v="10"/>
    <n v="114"/>
    <x v="0"/>
    <x v="1005"/>
    <n v="114"/>
  </r>
  <r>
    <s v="Coastal"/>
    <n v="4102"/>
    <s v="San Diego Unified Port, CA"/>
    <n v="6839"/>
    <x v="106"/>
    <x v="10"/>
    <n v="114"/>
    <x v="152"/>
    <x v="700"/>
    <n v="114"/>
  </r>
  <r>
    <s v="Coastal"/>
    <n v="4102"/>
    <s v="San Diego Unified Port, CA"/>
    <n v="6746"/>
    <x v="118"/>
    <x v="10"/>
    <n v="112"/>
    <x v="609"/>
    <x v="0"/>
    <n v="112"/>
  </r>
  <r>
    <s v="Coastal"/>
    <n v="4102"/>
    <s v="San Diego Unified Port, CA"/>
    <n v="3285"/>
    <x v="87"/>
    <x v="10"/>
    <n v="101"/>
    <x v="0"/>
    <x v="2351"/>
    <n v="101"/>
  </r>
  <r>
    <s v="Coastal"/>
    <n v="4102"/>
    <s v="San Diego Unified Port, CA"/>
    <n v="6442"/>
    <x v="85"/>
    <x v="10"/>
    <n v="100"/>
    <x v="504"/>
    <x v="406"/>
    <n v="100"/>
  </r>
  <r>
    <s v="Coastal"/>
    <n v="4102"/>
    <s v="San Diego Unified Port, CA"/>
    <n v="3220"/>
    <x v="2"/>
    <x v="10"/>
    <n v="95"/>
    <x v="819"/>
    <x v="448"/>
    <n v="95"/>
  </r>
  <r>
    <s v="Coastal"/>
    <n v="4102"/>
    <s v="San Diego Unified Port, CA"/>
    <n v="3260"/>
    <x v="107"/>
    <x v="10"/>
    <n v="92"/>
    <x v="0"/>
    <x v="222"/>
    <n v="92"/>
  </r>
  <r>
    <s v="Coastal"/>
    <n v="4102"/>
    <s v="San Diego Unified Port, CA"/>
    <n v="6893"/>
    <x v="113"/>
    <x v="10"/>
    <n v="86"/>
    <x v="0"/>
    <x v="256"/>
    <n v="86"/>
  </r>
  <r>
    <s v="Coastal"/>
    <n v="4102"/>
    <s v="San Diego Unified Port, CA"/>
    <n v="3282"/>
    <x v="91"/>
    <x v="10"/>
    <n v="82"/>
    <x v="212"/>
    <x v="1641"/>
    <n v="82"/>
  </r>
  <r>
    <s v="Coastal"/>
    <n v="4102"/>
    <s v="San Diego Unified Port, CA"/>
    <n v="5240"/>
    <x v="89"/>
    <x v="10"/>
    <n v="65"/>
    <x v="504"/>
    <x v="228"/>
    <n v="65"/>
  </r>
  <r>
    <s v="Coastal"/>
    <n v="4102"/>
    <s v="San Diego Unified Port, CA"/>
    <n v="6653"/>
    <x v="24"/>
    <x v="10"/>
    <n v="65"/>
    <x v="0"/>
    <x v="270"/>
    <n v="65"/>
  </r>
  <r>
    <s v="Coastal"/>
    <n v="4102"/>
    <s v="San Diego Unified Port, CA"/>
    <n v="2330"/>
    <x v="1"/>
    <x v="10"/>
    <n v="55"/>
    <x v="0"/>
    <x v="385"/>
    <n v="55"/>
  </r>
  <r>
    <s v="Coastal"/>
    <n v="4102"/>
    <s v="San Diego Unified Port, CA"/>
    <n v="3299"/>
    <x v="79"/>
    <x v="10"/>
    <n v="55"/>
    <x v="207"/>
    <x v="1036"/>
    <n v="55"/>
  </r>
  <r>
    <s v="Coastal"/>
    <n v="4102"/>
    <s v="San Diego Unified Port, CA"/>
    <n v="4783"/>
    <x v="7"/>
    <x v="10"/>
    <n v="44"/>
    <x v="0"/>
    <x v="449"/>
    <n v="44"/>
  </r>
  <r>
    <s v="Coastal"/>
    <n v="4102"/>
    <s v="San Diego Unified Port, CA"/>
    <n v="4225"/>
    <x v="10"/>
    <x v="10"/>
    <n v="42"/>
    <x v="0"/>
    <x v="130"/>
    <n v="42"/>
  </r>
  <r>
    <s v="Coastal"/>
    <n v="4102"/>
    <s v="San Diego Unified Port, CA"/>
    <n v="4680"/>
    <x v="70"/>
    <x v="10"/>
    <n v="42"/>
    <x v="210"/>
    <x v="125"/>
    <n v="42"/>
  </r>
  <r>
    <s v="Coastal"/>
    <n v="4102"/>
    <s v="San Diego Unified Port, CA"/>
    <n v="7220"/>
    <x v="103"/>
    <x v="10"/>
    <n v="41"/>
    <x v="414"/>
    <x v="284"/>
    <n v="41"/>
  </r>
  <r>
    <s v="Coastal"/>
    <n v="4102"/>
    <s v="San Diego Unified Port, CA"/>
    <n v="5312"/>
    <x v="52"/>
    <x v="10"/>
    <n v="26"/>
    <x v="415"/>
    <x v="0"/>
    <n v="26"/>
  </r>
  <r>
    <s v="Coastal"/>
    <n v="4102"/>
    <s v="San Diego Unified Port, CA"/>
    <n v="6872"/>
    <x v="100"/>
    <x v="10"/>
    <n v="25"/>
    <x v="208"/>
    <x v="0"/>
    <n v="25"/>
  </r>
  <r>
    <s v="Coastal"/>
    <n v="4102"/>
    <s v="San Diego Unified Port, CA"/>
    <n v="3297"/>
    <x v="116"/>
    <x v="10"/>
    <n v="23"/>
    <x v="0"/>
    <x v="86"/>
    <n v="23"/>
  </r>
  <r>
    <s v="Coastal"/>
    <n v="4102"/>
    <s v="San Diego Unified Port, CA"/>
    <n v="3240"/>
    <x v="53"/>
    <x v="10"/>
    <n v="20"/>
    <x v="0"/>
    <x v="125"/>
    <n v="20"/>
  </r>
  <r>
    <s v="Coastal"/>
    <n v="4102"/>
    <s v="San Diego Unified Port, CA"/>
    <n v="6443"/>
    <x v="135"/>
    <x v="10"/>
    <n v="20"/>
    <x v="0"/>
    <x v="125"/>
    <n v="20"/>
  </r>
  <r>
    <s v="Coastal"/>
    <n v="4102"/>
    <s v="San Diego Unified Port, CA"/>
    <n v="5422"/>
    <x v="66"/>
    <x v="10"/>
    <n v="16"/>
    <x v="0"/>
    <x v="134"/>
    <n v="16"/>
  </r>
  <r>
    <s v="Coastal"/>
    <n v="4102"/>
    <s v="San Diego Unified Port, CA"/>
    <n v="6894"/>
    <x v="120"/>
    <x v="10"/>
    <n v="13"/>
    <x v="453"/>
    <x v="0"/>
    <n v="13"/>
  </r>
  <r>
    <s v="Coastal"/>
    <n v="4102"/>
    <s v="San Diego Unified Port, CA"/>
    <n v="3230"/>
    <x v="80"/>
    <x v="10"/>
    <n v="11"/>
    <x v="168"/>
    <x v="131"/>
    <n v="11"/>
  </r>
  <r>
    <s v="Coastal"/>
    <n v="4102"/>
    <s v="San Diego Unified Port, CA"/>
    <n v="3284"/>
    <x v="97"/>
    <x v="10"/>
    <n v="11"/>
    <x v="311"/>
    <x v="237"/>
    <n v="11"/>
  </r>
  <r>
    <s v="Coastal"/>
    <n v="4102"/>
    <s v="San Diego Unified Port, CA"/>
    <n v="6871"/>
    <x v="73"/>
    <x v="10"/>
    <n v="11"/>
    <x v="14"/>
    <x v="0"/>
    <n v="11"/>
  </r>
  <r>
    <s v="Coastal"/>
    <n v="4102"/>
    <s v="San Diego Unified Port, CA"/>
    <n v="4900"/>
    <x v="14"/>
    <x v="10"/>
    <n v="8"/>
    <x v="0"/>
    <x v="232"/>
    <n v="8"/>
  </r>
  <r>
    <s v="Coastal"/>
    <n v="4102"/>
    <s v="San Diego Unified Port, CA"/>
    <n v="2410"/>
    <x v="98"/>
    <x v="10"/>
    <n v="7"/>
    <x v="0"/>
    <x v="166"/>
    <n v="7"/>
  </r>
  <r>
    <s v="Coastal"/>
    <n v="4102"/>
    <s v="San Diego Unified Port, CA"/>
    <n v="6817"/>
    <x v="119"/>
    <x v="10"/>
    <n v="6"/>
    <x v="0"/>
    <x v="131"/>
    <n v="6"/>
  </r>
  <r>
    <s v="Coastal"/>
    <n v="4102"/>
    <s v="San Diego Unified Port, CA"/>
    <n v="4190"/>
    <x v="99"/>
    <x v="10"/>
    <n v="5"/>
    <x v="0"/>
    <x v="258"/>
    <n v="5"/>
  </r>
  <r>
    <s v="Coastal"/>
    <n v="4102"/>
    <s v="San Diego Unified Port, CA"/>
    <n v="3291"/>
    <x v="117"/>
    <x v="10"/>
    <n v="4"/>
    <x v="504"/>
    <x v="0"/>
    <n v="4"/>
  </r>
  <r>
    <s v="Coastal"/>
    <n v="4335"/>
    <s v="San Francisco Port, CA"/>
    <n v="4331"/>
    <x v="29"/>
    <x v="2811"/>
    <n v="856847"/>
    <x v="3018"/>
    <x v="0"/>
    <n v="1382890"/>
  </r>
  <r>
    <s v="Coastal"/>
    <n v="4335"/>
    <s v="San Francisco Port, CA"/>
    <n v="5220"/>
    <x v="30"/>
    <x v="10"/>
    <n v="244325"/>
    <x v="3019"/>
    <x v="0"/>
    <n v="244325"/>
  </r>
  <r>
    <s v="Coastal"/>
    <n v="4335"/>
    <s v="San Francisco Port, CA"/>
    <n v="2211"/>
    <x v="0"/>
    <x v="2812"/>
    <n v="196955"/>
    <x v="3020"/>
    <x v="2352"/>
    <n v="204085"/>
  </r>
  <r>
    <s v="Coastal"/>
    <n v="4335"/>
    <s v="San Francisco Port, CA"/>
    <n v="2340"/>
    <x v="3"/>
    <x v="2813"/>
    <n v="79740"/>
    <x v="3021"/>
    <x v="0"/>
    <n v="159894"/>
  </r>
  <r>
    <s v="Coastal"/>
    <n v="4335"/>
    <s v="San Francisco Port, CA"/>
    <n v="2100"/>
    <x v="35"/>
    <x v="10"/>
    <n v="105979"/>
    <x v="3022"/>
    <x v="0"/>
    <n v="105979"/>
  </r>
  <r>
    <s v="Coastal"/>
    <n v="4335"/>
    <s v="San Francisco Port, CA"/>
    <n v="2330"/>
    <x v="1"/>
    <x v="2814"/>
    <n v="57083"/>
    <x v="3023"/>
    <x v="0"/>
    <n v="78365"/>
  </r>
  <r>
    <s v="Coastal"/>
    <n v="4335"/>
    <s v="San Francisco Port, CA"/>
    <n v="3220"/>
    <x v="2"/>
    <x v="10"/>
    <n v="57277"/>
    <x v="3024"/>
    <x v="0"/>
    <n v="57277"/>
  </r>
  <r>
    <s v="Coastal"/>
    <n v="4335"/>
    <s v="San Francisco Port, CA"/>
    <n v="1100"/>
    <x v="32"/>
    <x v="10"/>
    <n v="49604"/>
    <x v="0"/>
    <x v="2353"/>
    <n v="49604"/>
  </r>
  <r>
    <s v="Coastal"/>
    <n v="4335"/>
    <s v="San Francisco Port, CA"/>
    <n v="4420"/>
    <x v="8"/>
    <x v="10"/>
    <n v="35494"/>
    <x v="0"/>
    <x v="2354"/>
    <n v="35494"/>
  </r>
  <r>
    <s v="Coastal"/>
    <n v="4335"/>
    <s v="San Francisco Port, CA"/>
    <n v="2221"/>
    <x v="9"/>
    <x v="2815"/>
    <n v="13987"/>
    <x v="3025"/>
    <x v="0"/>
    <n v="30856"/>
  </r>
  <r>
    <s v="Coastal"/>
    <n v="4335"/>
    <s v="San Francisco Port, CA"/>
    <n v="6442"/>
    <x v="85"/>
    <x v="10"/>
    <n v="13270"/>
    <x v="0"/>
    <x v="2355"/>
    <n v="13270"/>
  </r>
  <r>
    <s v="Coastal"/>
    <n v="4335"/>
    <s v="San Francisco Port, CA"/>
    <n v="6653"/>
    <x v="24"/>
    <x v="10"/>
    <n v="4970"/>
    <x v="2085"/>
    <x v="238"/>
    <n v="4970"/>
  </r>
  <r>
    <s v="Coastal"/>
    <n v="4335"/>
    <s v="San Francisco Port, CA"/>
    <n v="4225"/>
    <x v="10"/>
    <x v="10"/>
    <n v="2554"/>
    <x v="0"/>
    <x v="2356"/>
    <n v="2554"/>
  </r>
  <r>
    <s v="Coastal"/>
    <n v="4335"/>
    <s v="San Francisco Port, CA"/>
    <n v="6344"/>
    <x v="25"/>
    <x v="10"/>
    <n v="889"/>
    <x v="0"/>
    <x v="41"/>
    <n v="889"/>
  </r>
  <r>
    <s v="Coastal"/>
    <n v="4335"/>
    <s v="San Francisco Port, CA"/>
    <n v="6811"/>
    <x v="76"/>
    <x v="10"/>
    <n v="868"/>
    <x v="0"/>
    <x v="2357"/>
    <n v="868"/>
  </r>
  <r>
    <s v="Coastal"/>
    <n v="4335"/>
    <s v="San Francisco Port, CA"/>
    <n v="6822"/>
    <x v="84"/>
    <x v="10"/>
    <n v="499"/>
    <x v="0"/>
    <x v="644"/>
    <n v="499"/>
  </r>
  <r>
    <s v="Coastal"/>
    <n v="4335"/>
    <s v="San Francisco Port, CA"/>
    <n v="6781"/>
    <x v="128"/>
    <x v="10"/>
    <n v="372"/>
    <x v="0"/>
    <x v="2303"/>
    <n v="372"/>
  </r>
  <r>
    <s v="Coastal"/>
    <n v="4335"/>
    <s v="San Francisco Port, CA"/>
    <n v="4680"/>
    <x v="70"/>
    <x v="10"/>
    <n v="363"/>
    <x v="0"/>
    <x v="2358"/>
    <n v="363"/>
  </r>
  <r>
    <s v="Coastal"/>
    <n v="4335"/>
    <s v="San Francisco Port, CA"/>
    <n v="6839"/>
    <x v="106"/>
    <x v="10"/>
    <n v="353"/>
    <x v="0"/>
    <x v="2359"/>
    <n v="353"/>
  </r>
  <r>
    <s v="Coastal"/>
    <n v="4335"/>
    <s v="San Francisco Port, CA"/>
    <n v="5240"/>
    <x v="89"/>
    <x v="10"/>
    <n v="217"/>
    <x v="2816"/>
    <x v="0"/>
    <n v="217"/>
  </r>
  <r>
    <s v="Coastal"/>
    <n v="4335"/>
    <s v="San Francisco Port, CA"/>
    <n v="6858"/>
    <x v="74"/>
    <x v="10"/>
    <n v="203"/>
    <x v="0"/>
    <x v="2082"/>
    <n v="203"/>
  </r>
  <r>
    <s v="Coastal"/>
    <n v="4335"/>
    <s v="San Francisco Port, CA"/>
    <n v="6838"/>
    <x v="131"/>
    <x v="10"/>
    <n v="188"/>
    <x v="0"/>
    <x v="771"/>
    <n v="188"/>
  </r>
  <r>
    <s v="Coastal"/>
    <n v="4335"/>
    <s v="San Francisco Port, CA"/>
    <n v="6889"/>
    <x v="42"/>
    <x v="10"/>
    <n v="181"/>
    <x v="1879"/>
    <x v="0"/>
    <n v="181"/>
  </r>
  <r>
    <s v="Coastal"/>
    <n v="4335"/>
    <s v="San Francisco Port, CA"/>
    <n v="7900"/>
    <x v="21"/>
    <x v="10"/>
    <n v="140"/>
    <x v="210"/>
    <x v="405"/>
    <n v="140"/>
  </r>
  <r>
    <s v="Coastal"/>
    <n v="4335"/>
    <s v="San Francisco Port, CA"/>
    <n v="3282"/>
    <x v="91"/>
    <x v="10"/>
    <n v="131"/>
    <x v="0"/>
    <x v="127"/>
    <n v="131"/>
  </r>
  <r>
    <s v="Coastal"/>
    <n v="4335"/>
    <s v="San Francisco Port, CA"/>
    <n v="6885"/>
    <x v="72"/>
    <x v="10"/>
    <n v="101"/>
    <x v="0"/>
    <x v="2351"/>
    <n v="101"/>
  </r>
  <r>
    <s v="Coastal"/>
    <n v="4335"/>
    <s v="San Francisco Port, CA"/>
    <n v="6857"/>
    <x v="104"/>
    <x v="10"/>
    <n v="89"/>
    <x v="0"/>
    <x v="452"/>
    <n v="89"/>
  </r>
  <r>
    <s v="Coastal"/>
    <n v="4335"/>
    <s v="San Francisco Port, CA"/>
    <n v="6654"/>
    <x v="50"/>
    <x v="10"/>
    <n v="83"/>
    <x v="418"/>
    <x v="1886"/>
    <n v="83"/>
  </r>
  <r>
    <s v="Coastal"/>
    <n v="4335"/>
    <s v="San Francisco Port, CA"/>
    <n v="5480"/>
    <x v="20"/>
    <x v="10"/>
    <n v="78"/>
    <x v="1927"/>
    <x v="0"/>
    <n v="78"/>
  </r>
  <r>
    <s v="Coastal"/>
    <n v="4335"/>
    <s v="San Francisco Port, CA"/>
    <n v="7600"/>
    <x v="68"/>
    <x v="10"/>
    <n v="62"/>
    <x v="14"/>
    <x v="1128"/>
    <n v="62"/>
  </r>
  <r>
    <s v="Coastal"/>
    <n v="4335"/>
    <s v="San Francisco Port, CA"/>
    <n v="9900"/>
    <x v="18"/>
    <x v="10"/>
    <n v="50"/>
    <x v="19"/>
    <x v="1036"/>
    <n v="50"/>
  </r>
  <r>
    <s v="Coastal"/>
    <n v="4335"/>
    <s v="San Francisco Port, CA"/>
    <n v="5190"/>
    <x v="83"/>
    <x v="10"/>
    <n v="37"/>
    <x v="613"/>
    <x v="0"/>
    <n v="37"/>
  </r>
  <r>
    <s v="Coastal"/>
    <n v="4335"/>
    <s v="San Francisco Port, CA"/>
    <n v="6134"/>
    <x v="82"/>
    <x v="10"/>
    <n v="31"/>
    <x v="0"/>
    <x v="273"/>
    <n v="31"/>
  </r>
  <r>
    <s v="Coastal"/>
    <n v="4335"/>
    <s v="San Francisco Port, CA"/>
    <n v="7110"/>
    <x v="4"/>
    <x v="10"/>
    <n v="26"/>
    <x v="393"/>
    <x v="86"/>
    <n v="26"/>
  </r>
  <r>
    <s v="Coastal"/>
    <n v="4335"/>
    <s v="San Francisco Port, CA"/>
    <n v="3275"/>
    <x v="47"/>
    <x v="10"/>
    <n v="25"/>
    <x v="0"/>
    <x v="263"/>
    <n v="25"/>
  </r>
  <r>
    <s v="Coastal"/>
    <n v="4335"/>
    <s v="San Francisco Port, CA"/>
    <n v="3190"/>
    <x v="38"/>
    <x v="10"/>
    <n v="22"/>
    <x v="0"/>
    <x v="383"/>
    <n v="22"/>
  </r>
  <r>
    <s v="Coastal"/>
    <n v="4335"/>
    <s v="San Francisco Port, CA"/>
    <n v="6447"/>
    <x v="132"/>
    <x v="10"/>
    <n v="22"/>
    <x v="0"/>
    <x v="383"/>
    <n v="22"/>
  </r>
  <r>
    <s v="Coastal"/>
    <n v="4335"/>
    <s v="San Francisco Port, CA"/>
    <n v="6888"/>
    <x v="109"/>
    <x v="10"/>
    <n v="22"/>
    <x v="0"/>
    <x v="383"/>
    <n v="22"/>
  </r>
  <r>
    <s v="Coastal"/>
    <n v="4335"/>
    <s v="San Francisco Port, CA"/>
    <n v="4900"/>
    <x v="14"/>
    <x v="10"/>
    <n v="21"/>
    <x v="0"/>
    <x v="129"/>
    <n v="21"/>
  </r>
  <r>
    <s v="Coastal"/>
    <n v="4335"/>
    <s v="San Francisco Port, CA"/>
    <n v="3299"/>
    <x v="79"/>
    <x v="10"/>
    <n v="15"/>
    <x v="0"/>
    <x v="220"/>
    <n v="15"/>
  </r>
  <r>
    <s v="Coastal"/>
    <n v="4335"/>
    <s v="San Francisco Port, CA"/>
    <n v="7400"/>
    <x v="77"/>
    <x v="10"/>
    <n v="11"/>
    <x v="14"/>
    <x v="0"/>
    <n v="11"/>
  </r>
  <r>
    <s v="Coastal"/>
    <n v="4335"/>
    <s v="San Francisco Port, CA"/>
    <n v="7500"/>
    <x v="60"/>
    <x v="10"/>
    <n v="5"/>
    <x v="168"/>
    <x v="0"/>
    <n v="5"/>
  </r>
  <r>
    <s v="Coastal"/>
    <n v="4335"/>
    <s v="San Francisco Port, CA"/>
    <n v="5290"/>
    <x v="49"/>
    <x v="10"/>
    <n v="2"/>
    <x v="212"/>
    <x v="0"/>
    <n v="2"/>
  </r>
  <r>
    <s v="Coastal"/>
    <n v="4335"/>
    <s v="San Francisco Port, CA"/>
    <n v="7120"/>
    <x v="71"/>
    <x v="10"/>
    <n v="1"/>
    <x v="19"/>
    <x v="0"/>
    <n v="1"/>
  </r>
  <r>
    <s v="Coastal"/>
    <n v="1913"/>
    <s v="San Juan, PR"/>
    <n v="7900"/>
    <x v="21"/>
    <x v="2816"/>
    <n v="282280"/>
    <x v="3026"/>
    <x v="2360"/>
    <n v="2074786"/>
  </r>
  <r>
    <s v="Coastal"/>
    <n v="1913"/>
    <s v="San Juan, PR"/>
    <n v="2211"/>
    <x v="0"/>
    <x v="10"/>
    <n v="1015045"/>
    <x v="3027"/>
    <x v="2361"/>
    <n v="1015045"/>
  </r>
  <r>
    <s v="Coastal"/>
    <n v="1913"/>
    <s v="San Juan, PR"/>
    <n v="6887"/>
    <x v="138"/>
    <x v="2817"/>
    <n v="0"/>
    <x v="0"/>
    <x v="0"/>
    <n v="851858"/>
  </r>
  <r>
    <s v="Coastal"/>
    <n v="1913"/>
    <s v="San Juan, PR"/>
    <n v="2640"/>
    <x v="110"/>
    <x v="1063"/>
    <n v="614891"/>
    <x v="3028"/>
    <x v="2362"/>
    <n v="615784"/>
  </r>
  <r>
    <s v="Coastal"/>
    <n v="1913"/>
    <s v="San Juan, PR"/>
    <n v="2330"/>
    <x v="1"/>
    <x v="2818"/>
    <n v="294296"/>
    <x v="3029"/>
    <x v="2363"/>
    <n v="569966"/>
  </r>
  <r>
    <s v="Coastal"/>
    <n v="1913"/>
    <s v="San Juan, PR"/>
    <n v="5220"/>
    <x v="30"/>
    <x v="1025"/>
    <n v="492061"/>
    <x v="3030"/>
    <x v="2364"/>
    <n v="494623"/>
  </r>
  <r>
    <s v="Coastal"/>
    <n v="1913"/>
    <s v="San Juan, PR"/>
    <n v="6889"/>
    <x v="42"/>
    <x v="2819"/>
    <n v="89213"/>
    <x v="3031"/>
    <x v="2365"/>
    <n v="439431"/>
  </r>
  <r>
    <s v="Coastal"/>
    <n v="1913"/>
    <s v="San Juan, PR"/>
    <n v="7110"/>
    <x v="4"/>
    <x v="2820"/>
    <n v="58666"/>
    <x v="3032"/>
    <x v="2366"/>
    <n v="419448"/>
  </r>
  <r>
    <s v="Coastal"/>
    <n v="1913"/>
    <s v="San Juan, PR"/>
    <n v="7210"/>
    <x v="59"/>
    <x v="2821"/>
    <n v="220344"/>
    <x v="3033"/>
    <x v="2367"/>
    <n v="384724"/>
  </r>
  <r>
    <s v="Coastal"/>
    <n v="1913"/>
    <s v="San Juan, PR"/>
    <n v="3299"/>
    <x v="79"/>
    <x v="2822"/>
    <n v="13945"/>
    <x v="3034"/>
    <x v="2368"/>
    <n v="355927"/>
  </r>
  <r>
    <s v="Coastal"/>
    <n v="1913"/>
    <s v="San Juan, PR"/>
    <n v="7120"/>
    <x v="71"/>
    <x v="1002"/>
    <n v="105418"/>
    <x v="3035"/>
    <x v="2369"/>
    <n v="258758"/>
  </r>
  <r>
    <s v="Coastal"/>
    <n v="1913"/>
    <s v="San Juan, PR"/>
    <n v="6654"/>
    <x v="50"/>
    <x v="1022"/>
    <n v="197585"/>
    <x v="3036"/>
    <x v="2370"/>
    <n v="255230"/>
  </r>
  <r>
    <s v="Coastal"/>
    <n v="1913"/>
    <s v="San Juan, PR"/>
    <n v="6811"/>
    <x v="76"/>
    <x v="1005"/>
    <n v="70444"/>
    <x v="3037"/>
    <x v="1205"/>
    <n v="184396"/>
  </r>
  <r>
    <s v="Coastal"/>
    <n v="1913"/>
    <s v="San Juan, PR"/>
    <n v="2221"/>
    <x v="9"/>
    <x v="10"/>
    <n v="181617"/>
    <x v="3038"/>
    <x v="2371"/>
    <n v="181617"/>
  </r>
  <r>
    <s v="Coastal"/>
    <n v="1913"/>
    <s v="San Juan, PR"/>
    <n v="5290"/>
    <x v="49"/>
    <x v="1009"/>
    <n v="169856"/>
    <x v="3039"/>
    <x v="2372"/>
    <n v="174443"/>
  </r>
  <r>
    <s v="Coastal"/>
    <n v="1913"/>
    <s v="San Juan, PR"/>
    <n v="6885"/>
    <x v="72"/>
    <x v="1010"/>
    <n v="111702"/>
    <x v="3040"/>
    <x v="1971"/>
    <n v="170242"/>
  </r>
  <r>
    <s v="Coastal"/>
    <n v="1913"/>
    <s v="San Juan, PR"/>
    <n v="7600"/>
    <x v="68"/>
    <x v="1004"/>
    <n v="146605"/>
    <x v="3041"/>
    <x v="2373"/>
    <n v="170130"/>
  </r>
  <r>
    <s v="Coastal"/>
    <n v="1913"/>
    <s v="San Juan, PR"/>
    <n v="6344"/>
    <x v="25"/>
    <x v="1061"/>
    <n v="143513"/>
    <x v="3042"/>
    <x v="1029"/>
    <n v="143537"/>
  </r>
  <r>
    <s v="Coastal"/>
    <n v="1913"/>
    <s v="San Juan, PR"/>
    <n v="3286"/>
    <x v="57"/>
    <x v="1020"/>
    <n v="132340"/>
    <x v="3043"/>
    <x v="2374"/>
    <n v="136547"/>
  </r>
  <r>
    <s v="Coastal"/>
    <n v="1913"/>
    <s v="San Juan, PR"/>
    <n v="4225"/>
    <x v="10"/>
    <x v="179"/>
    <n v="126212"/>
    <x v="3044"/>
    <x v="2375"/>
    <n v="126290"/>
  </r>
  <r>
    <s v="Coastal"/>
    <n v="1913"/>
    <s v="San Juan, PR"/>
    <n v="4680"/>
    <x v="70"/>
    <x v="1023"/>
    <n v="108922"/>
    <x v="3045"/>
    <x v="2376"/>
    <n v="111052"/>
  </r>
  <r>
    <s v="Coastal"/>
    <n v="1913"/>
    <s v="San Juan, PR"/>
    <n v="7400"/>
    <x v="77"/>
    <x v="2823"/>
    <n v="8308"/>
    <x v="3046"/>
    <x v="2377"/>
    <n v="101601"/>
  </r>
  <r>
    <s v="Coastal"/>
    <n v="1913"/>
    <s v="San Juan, PR"/>
    <n v="6442"/>
    <x v="85"/>
    <x v="1030"/>
    <n v="74104"/>
    <x v="3047"/>
    <x v="1100"/>
    <n v="93650"/>
  </r>
  <r>
    <s v="Coastal"/>
    <n v="1913"/>
    <s v="San Juan, PR"/>
    <n v="5360"/>
    <x v="94"/>
    <x v="1042"/>
    <n v="89070"/>
    <x v="3048"/>
    <x v="2378"/>
    <n v="93610"/>
  </r>
  <r>
    <s v="Coastal"/>
    <n v="1913"/>
    <s v="San Juan, PR"/>
    <n v="5190"/>
    <x v="83"/>
    <x v="2824"/>
    <n v="38078"/>
    <x v="3049"/>
    <x v="2379"/>
    <n v="91728"/>
  </r>
  <r>
    <s v="Coastal"/>
    <n v="1913"/>
    <s v="San Juan, PR"/>
    <n v="6865"/>
    <x v="75"/>
    <x v="10"/>
    <n v="91619"/>
    <x v="3050"/>
    <x v="0"/>
    <n v="91619"/>
  </r>
  <r>
    <s v="Coastal"/>
    <n v="1913"/>
    <s v="San Juan, PR"/>
    <n v="7500"/>
    <x v="60"/>
    <x v="1007"/>
    <n v="44409"/>
    <x v="3051"/>
    <x v="2380"/>
    <n v="85952"/>
  </r>
  <r>
    <s v="Coastal"/>
    <n v="1913"/>
    <s v="San Juan, PR"/>
    <n v="6747"/>
    <x v="78"/>
    <x v="2825"/>
    <n v="40495"/>
    <x v="3052"/>
    <x v="2381"/>
    <n v="82709"/>
  </r>
  <r>
    <s v="Coastal"/>
    <n v="1913"/>
    <s v="San Juan, PR"/>
    <n v="3284"/>
    <x v="97"/>
    <x v="1024"/>
    <n v="15885"/>
    <x v="3053"/>
    <x v="2382"/>
    <n v="81661"/>
  </r>
  <r>
    <s v="Coastal"/>
    <n v="1913"/>
    <s v="San Juan, PR"/>
    <n v="5480"/>
    <x v="20"/>
    <x v="1011"/>
    <n v="71465"/>
    <x v="3054"/>
    <x v="2383"/>
    <n v="77372"/>
  </r>
  <r>
    <s v="Coastal"/>
    <n v="1913"/>
    <s v="San Juan, PR"/>
    <n v="3285"/>
    <x v="87"/>
    <x v="1031"/>
    <n v="59256"/>
    <x v="3055"/>
    <x v="2384"/>
    <n v="67708"/>
  </r>
  <r>
    <s v="Coastal"/>
    <n v="1913"/>
    <s v="San Juan, PR"/>
    <n v="5240"/>
    <x v="89"/>
    <x v="1038"/>
    <n v="66150"/>
    <x v="3056"/>
    <x v="215"/>
    <n v="67334"/>
  </r>
  <r>
    <s v="Coastal"/>
    <n v="1913"/>
    <s v="San Juan, PR"/>
    <n v="5120"/>
    <x v="63"/>
    <x v="996"/>
    <n v="52661"/>
    <x v="3057"/>
    <x v="1413"/>
    <n v="62333"/>
  </r>
  <r>
    <s v="Coastal"/>
    <n v="1913"/>
    <s v="San Juan, PR"/>
    <n v="6241"/>
    <x v="28"/>
    <x v="10"/>
    <n v="60244"/>
    <x v="3058"/>
    <x v="804"/>
    <n v="60244"/>
  </r>
  <r>
    <s v="Coastal"/>
    <n v="1913"/>
    <s v="San Juan, PR"/>
    <n v="6822"/>
    <x v="84"/>
    <x v="1029"/>
    <n v="13908"/>
    <x v="3059"/>
    <x v="2385"/>
    <n v="56419"/>
  </r>
  <r>
    <s v="Coastal"/>
    <n v="1913"/>
    <s v="San Juan, PR"/>
    <n v="6782"/>
    <x v="27"/>
    <x v="1040"/>
    <n v="34274"/>
    <x v="3060"/>
    <x v="2386"/>
    <n v="53620"/>
  </r>
  <r>
    <s v="Coastal"/>
    <n v="1913"/>
    <s v="San Juan, PR"/>
    <n v="6858"/>
    <x v="74"/>
    <x v="1019"/>
    <n v="42455"/>
    <x v="3061"/>
    <x v="1090"/>
    <n v="52870"/>
  </r>
  <r>
    <s v="Coastal"/>
    <n v="1913"/>
    <s v="San Juan, PR"/>
    <n v="5330"/>
    <x v="16"/>
    <x v="2826"/>
    <n v="49305"/>
    <x v="3062"/>
    <x v="823"/>
    <n v="52602"/>
  </r>
  <r>
    <s v="Coastal"/>
    <n v="1913"/>
    <s v="San Juan, PR"/>
    <n v="5540"/>
    <x v="64"/>
    <x v="1206"/>
    <n v="48623"/>
    <x v="3063"/>
    <x v="2387"/>
    <n v="48949"/>
  </r>
  <r>
    <s v="Coastal"/>
    <n v="1913"/>
    <s v="San Juan, PR"/>
    <n v="4189"/>
    <x v="65"/>
    <x v="355"/>
    <n v="40819"/>
    <x v="3064"/>
    <x v="2388"/>
    <n v="48677"/>
  </r>
  <r>
    <s v="Coastal"/>
    <n v="1913"/>
    <s v="San Juan, PR"/>
    <n v="5422"/>
    <x v="66"/>
    <x v="1032"/>
    <n v="36275"/>
    <x v="3065"/>
    <x v="1431"/>
    <n v="47355"/>
  </r>
  <r>
    <s v="Coastal"/>
    <n v="1913"/>
    <s v="San Juan, PR"/>
    <n v="2340"/>
    <x v="3"/>
    <x v="10"/>
    <n v="45598"/>
    <x v="3066"/>
    <x v="0"/>
    <n v="45598"/>
  </r>
  <r>
    <s v="Coastal"/>
    <n v="1913"/>
    <s v="San Juan, PR"/>
    <n v="3220"/>
    <x v="2"/>
    <x v="639"/>
    <n v="42540"/>
    <x v="3067"/>
    <x v="2389"/>
    <n v="43098"/>
  </r>
  <r>
    <s v="Coastal"/>
    <n v="1913"/>
    <s v="San Juan, PR"/>
    <n v="6857"/>
    <x v="104"/>
    <x v="1026"/>
    <n v="25245"/>
    <x v="3068"/>
    <x v="2390"/>
    <n v="40492"/>
  </r>
  <r>
    <s v="Coastal"/>
    <n v="1913"/>
    <s v="San Juan, PR"/>
    <n v="6861"/>
    <x v="69"/>
    <x v="1046"/>
    <n v="34815"/>
    <x v="3069"/>
    <x v="128"/>
    <n v="38836"/>
  </r>
  <r>
    <s v="Coastal"/>
    <n v="1913"/>
    <s v="San Juan, PR"/>
    <n v="9900"/>
    <x v="18"/>
    <x v="2827"/>
    <n v="27590"/>
    <x v="3070"/>
    <x v="2391"/>
    <n v="35654"/>
  </r>
  <r>
    <s v="Coastal"/>
    <n v="1913"/>
    <s v="San Juan, PR"/>
    <n v="5370"/>
    <x v="81"/>
    <x v="819"/>
    <n v="31340"/>
    <x v="3071"/>
    <x v="2392"/>
    <n v="32243"/>
  </r>
  <r>
    <s v="Coastal"/>
    <n v="1913"/>
    <s v="San Juan, PR"/>
    <n v="6653"/>
    <x v="24"/>
    <x v="1041"/>
    <n v="19990"/>
    <x v="3072"/>
    <x v="570"/>
    <n v="30230"/>
  </r>
  <r>
    <s v="Coastal"/>
    <n v="1913"/>
    <s v="San Juan, PR"/>
    <n v="2540"/>
    <x v="15"/>
    <x v="10"/>
    <n v="28799"/>
    <x v="3073"/>
    <x v="236"/>
    <n v="28799"/>
  </r>
  <r>
    <s v="Coastal"/>
    <n v="1913"/>
    <s v="San Juan, PR"/>
    <n v="4420"/>
    <x v="8"/>
    <x v="1036"/>
    <n v="20815"/>
    <x v="1861"/>
    <x v="2393"/>
    <n v="24869"/>
  </r>
  <r>
    <s v="Coastal"/>
    <n v="1913"/>
    <s v="San Juan, PR"/>
    <n v="3276"/>
    <x v="12"/>
    <x v="1014"/>
    <n v="20377"/>
    <x v="3074"/>
    <x v="2303"/>
    <n v="21198"/>
  </r>
  <r>
    <s v="Coastal"/>
    <n v="1913"/>
    <s v="San Juan, PR"/>
    <n v="6891"/>
    <x v="93"/>
    <x v="1045"/>
    <n v="11691"/>
    <x v="3075"/>
    <x v="2394"/>
    <n v="21124"/>
  </r>
  <r>
    <s v="Coastal"/>
    <n v="1913"/>
    <s v="San Juan, PR"/>
    <n v="6817"/>
    <x v="119"/>
    <x v="1050"/>
    <n v="9684"/>
    <x v="3076"/>
    <x v="1554"/>
    <n v="17267"/>
  </r>
  <r>
    <s v="Coastal"/>
    <n v="1913"/>
    <s v="San Juan, PR"/>
    <n v="3275"/>
    <x v="47"/>
    <x v="1033"/>
    <n v="14078"/>
    <x v="3077"/>
    <x v="2395"/>
    <n v="17117"/>
  </r>
  <r>
    <s v="Coastal"/>
    <n v="1913"/>
    <s v="San Juan, PR"/>
    <n v="6871"/>
    <x v="73"/>
    <x v="1015"/>
    <n v="14600"/>
    <x v="3078"/>
    <x v="2396"/>
    <n v="15794"/>
  </r>
  <r>
    <s v="Coastal"/>
    <n v="1913"/>
    <s v="San Juan, PR"/>
    <n v="6888"/>
    <x v="109"/>
    <x v="2828"/>
    <n v="12730"/>
    <x v="3079"/>
    <x v="2397"/>
    <n v="15480"/>
  </r>
  <r>
    <s v="Coastal"/>
    <n v="1913"/>
    <s v="San Juan, PR"/>
    <n v="6839"/>
    <x v="106"/>
    <x v="1044"/>
    <n v="667"/>
    <x v="1513"/>
    <x v="384"/>
    <n v="13423"/>
  </r>
  <r>
    <s v="Coastal"/>
    <n v="1913"/>
    <s v="San Juan, PR"/>
    <n v="3190"/>
    <x v="38"/>
    <x v="1035"/>
    <n v="12755"/>
    <x v="3080"/>
    <x v="214"/>
    <n v="13031"/>
  </r>
  <r>
    <s v="Coastal"/>
    <n v="1913"/>
    <s v="San Juan, PR"/>
    <n v="3282"/>
    <x v="91"/>
    <x v="1043"/>
    <n v="6220"/>
    <x v="3081"/>
    <x v="659"/>
    <n v="12737"/>
  </r>
  <r>
    <s v="Coastal"/>
    <n v="1913"/>
    <s v="San Juan, PR"/>
    <n v="5390"/>
    <x v="44"/>
    <x v="482"/>
    <n v="11901"/>
    <x v="3082"/>
    <x v="2398"/>
    <n v="11923"/>
  </r>
  <r>
    <s v="Coastal"/>
    <n v="1913"/>
    <s v="San Juan, PR"/>
    <n v="3110"/>
    <x v="36"/>
    <x v="1051"/>
    <n v="4282"/>
    <x v="3083"/>
    <x v="1036"/>
    <n v="11648"/>
  </r>
  <r>
    <s v="Coastal"/>
    <n v="1913"/>
    <s v="San Juan, PR"/>
    <n v="5110"/>
    <x v="112"/>
    <x v="10"/>
    <n v="10735"/>
    <x v="3084"/>
    <x v="0"/>
    <n v="10735"/>
  </r>
  <r>
    <s v="Coastal"/>
    <n v="1913"/>
    <s v="San Juan, PR"/>
    <n v="6522"/>
    <x v="26"/>
    <x v="10"/>
    <n v="10695"/>
    <x v="3085"/>
    <x v="0"/>
    <n v="10695"/>
  </r>
  <r>
    <s v="Coastal"/>
    <n v="1913"/>
    <s v="San Juan, PR"/>
    <n v="6835"/>
    <x v="92"/>
    <x v="842"/>
    <n v="10093"/>
    <x v="3086"/>
    <x v="452"/>
    <n v="10194"/>
  </r>
  <r>
    <s v="Coastal"/>
    <n v="1913"/>
    <s v="San Juan, PR"/>
    <n v="4331"/>
    <x v="29"/>
    <x v="2829"/>
    <n v="7648"/>
    <x v="3087"/>
    <x v="276"/>
    <n v="9072"/>
  </r>
  <r>
    <s v="Coastal"/>
    <n v="1913"/>
    <s v="San Juan, PR"/>
    <n v="6134"/>
    <x v="82"/>
    <x v="1034"/>
    <n v="8060"/>
    <x v="3088"/>
    <x v="1407"/>
    <n v="8465"/>
  </r>
  <r>
    <s v="Coastal"/>
    <n v="1913"/>
    <s v="San Juan, PR"/>
    <n v="5312"/>
    <x v="52"/>
    <x v="10"/>
    <n v="8191"/>
    <x v="3089"/>
    <x v="0"/>
    <n v="8191"/>
  </r>
  <r>
    <s v="Coastal"/>
    <n v="1913"/>
    <s v="San Juan, PR"/>
    <n v="6856"/>
    <x v="126"/>
    <x v="10"/>
    <n v="7610"/>
    <x v="3090"/>
    <x v="0"/>
    <n v="7610"/>
  </r>
  <r>
    <s v="Coastal"/>
    <n v="1913"/>
    <s v="San Juan, PR"/>
    <n v="6136"/>
    <x v="95"/>
    <x v="129"/>
    <n v="7123"/>
    <x v="3091"/>
    <x v="1034"/>
    <n v="7182"/>
  </r>
  <r>
    <s v="Coastal"/>
    <n v="1913"/>
    <s v="San Juan, PR"/>
    <n v="2350"/>
    <x v="40"/>
    <x v="1057"/>
    <n v="3846"/>
    <x v="3092"/>
    <x v="2399"/>
    <n v="6348"/>
  </r>
  <r>
    <s v="Coastal"/>
    <n v="1913"/>
    <s v="San Juan, PR"/>
    <n v="1100"/>
    <x v="32"/>
    <x v="10"/>
    <n v="5946"/>
    <x v="1463"/>
    <x v="0"/>
    <n v="5946"/>
  </r>
  <r>
    <s v="Coastal"/>
    <n v="1913"/>
    <s v="San Juan, PR"/>
    <n v="7800"/>
    <x v="140"/>
    <x v="2830"/>
    <n v="0"/>
    <x v="0"/>
    <x v="0"/>
    <n v="5730"/>
  </r>
  <r>
    <s v="Coastal"/>
    <n v="1913"/>
    <s v="San Juan, PR"/>
    <n v="3230"/>
    <x v="80"/>
    <x v="1052"/>
    <n v="5363"/>
    <x v="3093"/>
    <x v="263"/>
    <n v="5410"/>
  </r>
  <r>
    <s v="Coastal"/>
    <n v="1913"/>
    <s v="San Juan, PR"/>
    <n v="4783"/>
    <x v="7"/>
    <x v="826"/>
    <n v="5364"/>
    <x v="3094"/>
    <x v="230"/>
    <n v="5378"/>
  </r>
  <r>
    <s v="Coastal"/>
    <n v="1913"/>
    <s v="San Juan, PR"/>
    <n v="6899"/>
    <x v="114"/>
    <x v="1054"/>
    <n v="1353"/>
    <x v="3095"/>
    <x v="126"/>
    <n v="5285"/>
  </r>
  <r>
    <s v="Coastal"/>
    <n v="1913"/>
    <s v="San Juan, PR"/>
    <n v="3292"/>
    <x v="51"/>
    <x v="1055"/>
    <n v="3833"/>
    <x v="3096"/>
    <x v="1063"/>
    <n v="4998"/>
  </r>
  <r>
    <s v="Coastal"/>
    <n v="1913"/>
    <s v="San Juan, PR"/>
    <n v="3240"/>
    <x v="53"/>
    <x v="10"/>
    <n v="4988"/>
    <x v="3097"/>
    <x v="1967"/>
    <n v="4988"/>
  </r>
  <r>
    <s v="Coastal"/>
    <n v="1913"/>
    <s v="San Juan, PR"/>
    <n v="3291"/>
    <x v="117"/>
    <x v="242"/>
    <n v="934"/>
    <x v="3098"/>
    <x v="842"/>
    <n v="4380"/>
  </r>
  <r>
    <s v="Coastal"/>
    <n v="1913"/>
    <s v="San Juan, PR"/>
    <n v="4860"/>
    <x v="31"/>
    <x v="10"/>
    <n v="4198"/>
    <x v="3099"/>
    <x v="0"/>
    <n v="4198"/>
  </r>
  <r>
    <s v="Coastal"/>
    <n v="1913"/>
    <s v="San Juan, PR"/>
    <n v="6781"/>
    <x v="128"/>
    <x v="10"/>
    <n v="4052"/>
    <x v="3100"/>
    <x v="270"/>
    <n v="4052"/>
  </r>
  <r>
    <s v="Coastal"/>
    <n v="1913"/>
    <s v="San Juan, PR"/>
    <n v="5210"/>
    <x v="130"/>
    <x v="10"/>
    <n v="4045"/>
    <x v="3101"/>
    <x v="0"/>
    <n v="4045"/>
  </r>
  <r>
    <s v="Coastal"/>
    <n v="1913"/>
    <s v="San Juan, PR"/>
    <n v="5421"/>
    <x v="88"/>
    <x v="1048"/>
    <n v="3932"/>
    <x v="3102"/>
    <x v="67"/>
    <n v="3978"/>
  </r>
  <r>
    <s v="Coastal"/>
    <n v="1913"/>
    <s v="San Juan, PR"/>
    <n v="3219"/>
    <x v="19"/>
    <x v="10"/>
    <n v="3834"/>
    <x v="3103"/>
    <x v="1007"/>
    <n v="3834"/>
  </r>
  <r>
    <s v="Coastal"/>
    <n v="1913"/>
    <s v="San Juan, PR"/>
    <n v="4900"/>
    <x v="14"/>
    <x v="417"/>
    <n v="3631"/>
    <x v="3104"/>
    <x v="2400"/>
    <n v="3657"/>
  </r>
  <r>
    <s v="Coastal"/>
    <n v="1913"/>
    <s v="San Juan, PR"/>
    <n v="6746"/>
    <x v="118"/>
    <x v="10"/>
    <n v="3322"/>
    <x v="3105"/>
    <x v="2401"/>
    <n v="3322"/>
  </r>
  <r>
    <s v="Coastal"/>
    <n v="1913"/>
    <s v="San Juan, PR"/>
    <n v="3279"/>
    <x v="58"/>
    <x v="10"/>
    <n v="3198"/>
    <x v="3106"/>
    <x v="2402"/>
    <n v="3198"/>
  </r>
  <r>
    <s v="Coastal"/>
    <n v="1913"/>
    <s v="San Juan, PR"/>
    <n v="3250"/>
    <x v="108"/>
    <x v="10"/>
    <n v="3181"/>
    <x v="3107"/>
    <x v="2349"/>
    <n v="3181"/>
  </r>
  <r>
    <s v="Coastal"/>
    <n v="1913"/>
    <s v="San Juan, PR"/>
    <n v="5429"/>
    <x v="61"/>
    <x v="10"/>
    <n v="3081"/>
    <x v="3108"/>
    <x v="0"/>
    <n v="3081"/>
  </r>
  <r>
    <s v="Coastal"/>
    <n v="1913"/>
    <s v="San Juan, PR"/>
    <n v="3272"/>
    <x v="137"/>
    <x v="10"/>
    <n v="2979"/>
    <x v="1518"/>
    <x v="572"/>
    <n v="2979"/>
  </r>
  <r>
    <s v="Coastal"/>
    <n v="1913"/>
    <s v="San Juan, PR"/>
    <n v="4170"/>
    <x v="55"/>
    <x v="1012"/>
    <n v="2607"/>
    <x v="3109"/>
    <x v="2403"/>
    <n v="2738"/>
  </r>
  <r>
    <s v="Coastal"/>
    <n v="1913"/>
    <s v="San Juan, PR"/>
    <n v="4322"/>
    <x v="33"/>
    <x v="994"/>
    <n v="2511"/>
    <x v="3110"/>
    <x v="0"/>
    <n v="2602"/>
  </r>
  <r>
    <s v="Coastal"/>
    <n v="1913"/>
    <s v="San Juan, PR"/>
    <n v="6838"/>
    <x v="131"/>
    <x v="1048"/>
    <n v="2483"/>
    <x v="3111"/>
    <x v="2404"/>
    <n v="2529"/>
  </r>
  <r>
    <s v="Coastal"/>
    <n v="1913"/>
    <s v="San Juan, PR"/>
    <n v="6445"/>
    <x v="136"/>
    <x v="1065"/>
    <n v="2507"/>
    <x v="3112"/>
    <x v="0"/>
    <n v="2527"/>
  </r>
  <r>
    <s v="Coastal"/>
    <n v="1913"/>
    <s v="San Juan, PR"/>
    <n v="6590"/>
    <x v="23"/>
    <x v="1060"/>
    <n v="997"/>
    <x v="3113"/>
    <x v="237"/>
    <n v="2415"/>
  </r>
  <r>
    <s v="Coastal"/>
    <n v="1913"/>
    <s v="San Juan, PR"/>
    <n v="4150"/>
    <x v="101"/>
    <x v="10"/>
    <n v="2074"/>
    <x v="3114"/>
    <x v="131"/>
    <n v="2074"/>
  </r>
  <r>
    <s v="Coastal"/>
    <n v="1913"/>
    <s v="San Juan, PR"/>
    <n v="3297"/>
    <x v="116"/>
    <x v="10"/>
    <n v="1654"/>
    <x v="3115"/>
    <x v="2405"/>
    <n v="1654"/>
  </r>
  <r>
    <s v="Coastal"/>
    <n v="1913"/>
    <s v="San Juan, PR"/>
    <n v="4310"/>
    <x v="96"/>
    <x v="10"/>
    <n v="1639"/>
    <x v="3116"/>
    <x v="2406"/>
    <n v="1639"/>
  </r>
  <r>
    <s v="Coastal"/>
    <n v="1913"/>
    <s v="San Juan, PR"/>
    <n v="3273"/>
    <x v="46"/>
    <x v="1062"/>
    <n v="8"/>
    <x v="418"/>
    <x v="0"/>
    <n v="1631"/>
  </r>
  <r>
    <s v="Coastal"/>
    <n v="1913"/>
    <s v="San Juan, PR"/>
    <n v="2429"/>
    <x v="17"/>
    <x v="10"/>
    <n v="1551"/>
    <x v="416"/>
    <x v="2407"/>
    <n v="1551"/>
  </r>
  <r>
    <s v="Coastal"/>
    <n v="1913"/>
    <s v="San Juan, PR"/>
    <n v="4190"/>
    <x v="99"/>
    <x v="1059"/>
    <n v="175"/>
    <x v="147"/>
    <x v="433"/>
    <n v="1291"/>
  </r>
  <r>
    <s v="Coastal"/>
    <n v="1913"/>
    <s v="San Juan, PR"/>
    <n v="3130"/>
    <x v="37"/>
    <x v="10"/>
    <n v="1259"/>
    <x v="3117"/>
    <x v="0"/>
    <n v="1259"/>
  </r>
  <r>
    <s v="Coastal"/>
    <n v="1913"/>
    <s v="San Juan, PR"/>
    <n v="3260"/>
    <x v="107"/>
    <x v="10"/>
    <n v="1215"/>
    <x v="3118"/>
    <x v="235"/>
    <n v="1215"/>
  </r>
  <r>
    <s v="Coastal"/>
    <n v="1913"/>
    <s v="San Juan, PR"/>
    <n v="2430"/>
    <x v="11"/>
    <x v="10"/>
    <n v="1115"/>
    <x v="3119"/>
    <x v="0"/>
    <n v="1115"/>
  </r>
  <r>
    <s v="Coastal"/>
    <n v="1913"/>
    <s v="San Juan, PR"/>
    <n v="6893"/>
    <x v="113"/>
    <x v="10"/>
    <n v="1046"/>
    <x v="3120"/>
    <x v="0"/>
    <n v="1046"/>
  </r>
  <r>
    <s v="Coastal"/>
    <n v="1913"/>
    <s v="San Juan, PR"/>
    <n v="7220"/>
    <x v="103"/>
    <x v="847"/>
    <n v="753"/>
    <x v="3121"/>
    <x v="383"/>
    <n v="774"/>
  </r>
  <r>
    <s v="Coastal"/>
    <n v="1913"/>
    <s v="San Juan, PR"/>
    <n v="6894"/>
    <x v="120"/>
    <x v="10"/>
    <n v="754"/>
    <x v="3122"/>
    <x v="284"/>
    <n v="754"/>
  </r>
  <r>
    <s v="Coastal"/>
    <n v="1913"/>
    <s v="San Juan, PR"/>
    <n v="4161"/>
    <x v="54"/>
    <x v="1013"/>
    <n v="248"/>
    <x v="2447"/>
    <x v="1406"/>
    <n v="629"/>
  </r>
  <r>
    <s v="Coastal"/>
    <n v="1913"/>
    <s v="San Juan, PR"/>
    <n v="7230"/>
    <x v="22"/>
    <x v="2831"/>
    <n v="466"/>
    <x v="3123"/>
    <x v="758"/>
    <n v="552"/>
  </r>
  <r>
    <s v="Coastal"/>
    <n v="1913"/>
    <s v="San Juan, PR"/>
    <n v="4782"/>
    <x v="45"/>
    <x v="647"/>
    <n v="483"/>
    <x v="706"/>
    <x v="0"/>
    <n v="531"/>
  </r>
  <r>
    <s v="Coastal"/>
    <n v="1913"/>
    <s v="San Juan, PR"/>
    <n v="4650"/>
    <x v="67"/>
    <x v="10"/>
    <n v="451"/>
    <x v="286"/>
    <x v="0"/>
    <n v="451"/>
  </r>
  <r>
    <s v="Coastal"/>
    <n v="1913"/>
    <s v="San Juan, PR"/>
    <n v="3120"/>
    <x v="41"/>
    <x v="293"/>
    <n v="212"/>
    <x v="202"/>
    <x v="0"/>
    <n v="362"/>
  </r>
  <r>
    <s v="Coastal"/>
    <n v="1913"/>
    <s v="San Juan, PR"/>
    <n v="3211"/>
    <x v="124"/>
    <x v="1064"/>
    <n v="221"/>
    <x v="386"/>
    <x v="0"/>
    <n v="336"/>
  </r>
  <r>
    <s v="Coastal"/>
    <n v="1913"/>
    <s v="San Juan, PR"/>
    <n v="7300"/>
    <x v="115"/>
    <x v="10"/>
    <n v="335"/>
    <x v="291"/>
    <x v="0"/>
    <n v="335"/>
  </r>
  <r>
    <s v="Coastal"/>
    <n v="1913"/>
    <s v="San Juan, PR"/>
    <n v="2990"/>
    <x v="102"/>
    <x v="202"/>
    <n v="226"/>
    <x v="1785"/>
    <x v="0"/>
    <n v="279"/>
  </r>
  <r>
    <s v="Coastal"/>
    <n v="1913"/>
    <s v="San Juan, PR"/>
    <n v="3274"/>
    <x v="86"/>
    <x v="415"/>
    <n v="245"/>
    <x v="1586"/>
    <x v="448"/>
    <n v="274"/>
  </r>
  <r>
    <s v="Coastal"/>
    <n v="1913"/>
    <s v="San Juan, PR"/>
    <n v="2410"/>
    <x v="98"/>
    <x v="10"/>
    <n v="255"/>
    <x v="3124"/>
    <x v="235"/>
    <n v="255"/>
  </r>
  <r>
    <s v="Coastal"/>
    <n v="1913"/>
    <s v="San Juan, PR"/>
    <n v="3283"/>
    <x v="111"/>
    <x v="10"/>
    <n v="221"/>
    <x v="599"/>
    <x v="411"/>
    <n v="221"/>
  </r>
  <r>
    <s v="Coastal"/>
    <n v="1913"/>
    <s v="San Juan, PR"/>
    <n v="3298"/>
    <x v="123"/>
    <x v="10"/>
    <n v="148"/>
    <x v="2090"/>
    <x v="0"/>
    <n v="148"/>
  </r>
  <r>
    <s v="Coastal"/>
    <n v="1913"/>
    <s v="San Juan, PR"/>
    <n v="8900"/>
    <x v="139"/>
    <x v="481"/>
    <n v="0"/>
    <x v="0"/>
    <x v="0"/>
    <n v="109"/>
  </r>
  <r>
    <s v="Coastal"/>
    <n v="1913"/>
    <s v="San Juan, PR"/>
    <n v="3212"/>
    <x v="39"/>
    <x v="10"/>
    <n v="107"/>
    <x v="409"/>
    <x v="0"/>
    <n v="107"/>
  </r>
  <r>
    <s v="Coastal"/>
    <n v="1913"/>
    <s v="San Juan, PR"/>
    <n v="6521"/>
    <x v="121"/>
    <x v="179"/>
    <n v="0"/>
    <x v="0"/>
    <x v="0"/>
    <n v="78"/>
  </r>
  <r>
    <s v="Coastal"/>
    <n v="1913"/>
    <s v="San Juan, PR"/>
    <n v="4630"/>
    <x v="127"/>
    <x v="10"/>
    <n v="68"/>
    <x v="0"/>
    <x v="213"/>
    <n v="68"/>
  </r>
  <r>
    <s v="Coastal"/>
    <n v="1913"/>
    <s v="San Juan, PR"/>
    <n v="3271"/>
    <x v="133"/>
    <x v="10"/>
    <n v="53"/>
    <x v="412"/>
    <x v="0"/>
    <n v="53"/>
  </r>
  <r>
    <s v="Coastal"/>
    <n v="1913"/>
    <s v="San Juan, PR"/>
    <n v="4323"/>
    <x v="6"/>
    <x v="10"/>
    <n v="50"/>
    <x v="392"/>
    <x v="0"/>
    <n v="50"/>
  </r>
  <r>
    <s v="Coastal"/>
    <n v="1913"/>
    <s v="San Juan, PR"/>
    <n v="6872"/>
    <x v="100"/>
    <x v="10"/>
    <n v="49"/>
    <x v="681"/>
    <x v="0"/>
    <n v="49"/>
  </r>
  <r>
    <s v="Coastal"/>
    <n v="1913"/>
    <s v="San Juan, PR"/>
    <n v="4338"/>
    <x v="142"/>
    <x v="647"/>
    <n v="0"/>
    <x v="0"/>
    <x v="0"/>
    <n v="48"/>
  </r>
  <r>
    <s v="Coastal"/>
    <n v="1913"/>
    <s v="San Juan, PR"/>
    <n v="3293"/>
    <x v="122"/>
    <x v="10"/>
    <n v="25"/>
    <x v="208"/>
    <x v="0"/>
    <n v="25"/>
  </r>
  <r>
    <s v="Coastal"/>
    <n v="1913"/>
    <s v="San Juan, PR"/>
    <n v="4110"/>
    <x v="105"/>
    <x v="10"/>
    <n v="23"/>
    <x v="209"/>
    <x v="0"/>
    <n v="23"/>
  </r>
  <r>
    <s v="Coastal"/>
    <n v="1913"/>
    <s v="San Juan, PR"/>
    <n v="4515"/>
    <x v="129"/>
    <x v="10"/>
    <n v="23"/>
    <x v="209"/>
    <x v="0"/>
    <n v="23"/>
  </r>
  <r>
    <s v="Coastal"/>
    <n v="1913"/>
    <s v="San Juan, PR"/>
    <n v="5320"/>
    <x v="13"/>
    <x v="10"/>
    <n v="1"/>
    <x v="19"/>
    <x v="0"/>
    <n v="1"/>
  </r>
  <r>
    <s v="Great Lakes"/>
    <n v="3213"/>
    <s v="Sandusky, OH"/>
    <n v="1100"/>
    <x v="32"/>
    <x v="2832"/>
    <n v="1857136"/>
    <x v="0"/>
    <x v="2408"/>
    <n v="2781048"/>
  </r>
  <r>
    <s v="Great Lakes"/>
    <n v="3213"/>
    <s v="Sandusky, OH"/>
    <n v="4783"/>
    <x v="7"/>
    <x v="2833"/>
    <n v="49544"/>
    <x v="3125"/>
    <x v="0"/>
    <n v="67603"/>
  </r>
  <r>
    <s v="Great Lakes"/>
    <n v="3213"/>
    <s v="Sandusky, OH"/>
    <n v="1200"/>
    <x v="43"/>
    <x v="2834"/>
    <n v="52359"/>
    <x v="0"/>
    <x v="2409"/>
    <n v="59954"/>
  </r>
  <r>
    <s v="Great Lakes"/>
    <n v="3213"/>
    <s v="Sandusky, OH"/>
    <n v="2540"/>
    <x v="15"/>
    <x v="10"/>
    <n v="31267"/>
    <x v="0"/>
    <x v="2410"/>
    <n v="31267"/>
  </r>
  <r>
    <s v="Great Lakes"/>
    <n v="3213"/>
    <s v="Sandusky, OH"/>
    <n v="6747"/>
    <x v="78"/>
    <x v="10"/>
    <n v="17637"/>
    <x v="3126"/>
    <x v="0"/>
    <n v="17637"/>
  </r>
  <r>
    <s v="Great Lakes"/>
    <n v="3213"/>
    <s v="Sandusky, OH"/>
    <n v="6445"/>
    <x v="136"/>
    <x v="10"/>
    <n v="13228"/>
    <x v="1093"/>
    <x v="0"/>
    <n v="13228"/>
  </r>
  <r>
    <s v="Great Lakes"/>
    <n v="3213"/>
    <s v="Sandusky, OH"/>
    <n v="4331"/>
    <x v="29"/>
    <x v="10"/>
    <n v="22"/>
    <x v="210"/>
    <x v="0"/>
    <n v="22"/>
  </r>
  <r>
    <s v="Great Lakes"/>
    <n v="3817"/>
    <s v="Sault Ste Marie, MI"/>
    <n v="1100"/>
    <x v="32"/>
    <x v="2835"/>
    <n v="0"/>
    <x v="0"/>
    <x v="0"/>
    <n v="610462"/>
  </r>
  <r>
    <s v="Great Lakes"/>
    <n v="3817"/>
    <s v="Sault Ste Marie, MI"/>
    <n v="4322"/>
    <x v="33"/>
    <x v="2836"/>
    <n v="0"/>
    <x v="0"/>
    <x v="0"/>
    <n v="134175"/>
  </r>
  <r>
    <s v="Great Lakes"/>
    <n v="3817"/>
    <s v="Sault Ste Marie, MI"/>
    <n v="4331"/>
    <x v="29"/>
    <x v="2837"/>
    <n v="84356"/>
    <x v="3127"/>
    <x v="0"/>
    <n v="86716"/>
  </r>
  <r>
    <s v="Great Lakes"/>
    <n v="3817"/>
    <s v="Sault Ste Marie, MI"/>
    <n v="4783"/>
    <x v="7"/>
    <x v="2838"/>
    <n v="37478"/>
    <x v="3128"/>
    <x v="0"/>
    <n v="38975"/>
  </r>
  <r>
    <s v="Great Lakes"/>
    <n v="3817"/>
    <s v="Sault Ste Marie, MI"/>
    <n v="7110"/>
    <x v="4"/>
    <x v="2839"/>
    <n v="0"/>
    <x v="0"/>
    <x v="0"/>
    <n v="30996"/>
  </r>
  <r>
    <s v="Great Lakes"/>
    <n v="3817"/>
    <s v="Sault Ste Marie, MI"/>
    <n v="4323"/>
    <x v="6"/>
    <x v="10"/>
    <n v="18590"/>
    <x v="3129"/>
    <x v="0"/>
    <n v="18590"/>
  </r>
  <r>
    <s v="Great Lakes"/>
    <n v="3817"/>
    <s v="Sault Ste Marie, MI"/>
    <n v="5220"/>
    <x v="30"/>
    <x v="10"/>
    <n v="12125"/>
    <x v="0"/>
    <x v="2411"/>
    <n v="12125"/>
  </r>
  <r>
    <s v="Great Lakes"/>
    <n v="3817"/>
    <s v="Sault Ste Marie, MI"/>
    <n v="1200"/>
    <x v="43"/>
    <x v="2834"/>
    <n v="0"/>
    <x v="0"/>
    <x v="0"/>
    <n v="7595"/>
  </r>
  <r>
    <s v="Great Lakes"/>
    <n v="3817"/>
    <s v="Sault Ste Marie, MI"/>
    <n v="4310"/>
    <x v="96"/>
    <x v="2840"/>
    <n v="0"/>
    <x v="0"/>
    <x v="0"/>
    <n v="5075"/>
  </r>
  <r>
    <s v="Great Lakes"/>
    <n v="3817"/>
    <s v="Sault Ste Marie, MI"/>
    <n v="5290"/>
    <x v="49"/>
    <x v="2841"/>
    <n v="0"/>
    <x v="0"/>
    <x v="0"/>
    <n v="2275"/>
  </r>
  <r>
    <s v="Great Lakes"/>
    <n v="3817"/>
    <s v="Sault Ste Marie, MI"/>
    <n v="7900"/>
    <x v="21"/>
    <x v="2842"/>
    <n v="0"/>
    <x v="0"/>
    <x v="0"/>
    <n v="315"/>
  </r>
  <r>
    <s v="Great Lakes"/>
    <n v="3817"/>
    <s v="Sault Ste Marie, MI"/>
    <n v="7210"/>
    <x v="59"/>
    <x v="2843"/>
    <n v="0"/>
    <x v="0"/>
    <x v="0"/>
    <n v="61"/>
  </r>
  <r>
    <s v="Great Lakes"/>
    <n v="3817"/>
    <s v="Sault Ste Marie, MI"/>
    <n v="4420"/>
    <x v="8"/>
    <x v="2844"/>
    <n v="0"/>
    <x v="0"/>
    <x v="0"/>
    <n v="55"/>
  </r>
  <r>
    <s v="Great Lakes"/>
    <n v="3817"/>
    <s v="Sault Ste Marie, MI"/>
    <n v="4170"/>
    <x v="55"/>
    <x v="1351"/>
    <n v="0"/>
    <x v="0"/>
    <x v="0"/>
    <n v="15"/>
  </r>
  <r>
    <s v="Coastal"/>
    <n v="77"/>
    <s v="Searsport, ME"/>
    <n v="2330"/>
    <x v="1"/>
    <x v="10"/>
    <n v="316662"/>
    <x v="3130"/>
    <x v="0"/>
    <n v="316662"/>
  </r>
  <r>
    <s v="Coastal"/>
    <n v="77"/>
    <s v="Searsport, ME"/>
    <n v="2211"/>
    <x v="0"/>
    <x v="10"/>
    <n v="223142"/>
    <x v="3131"/>
    <x v="0"/>
    <n v="223142"/>
  </r>
  <r>
    <s v="Coastal"/>
    <n v="77"/>
    <s v="Searsport, ME"/>
    <n v="4783"/>
    <x v="7"/>
    <x v="10"/>
    <n v="218331"/>
    <x v="3132"/>
    <x v="0"/>
    <n v="218331"/>
  </r>
  <r>
    <s v="Coastal"/>
    <n v="77"/>
    <s v="Searsport, ME"/>
    <n v="4860"/>
    <x v="31"/>
    <x v="10"/>
    <n v="98702"/>
    <x v="3133"/>
    <x v="0"/>
    <n v="98702"/>
  </r>
  <r>
    <s v="Coastal"/>
    <n v="77"/>
    <s v="Searsport, ME"/>
    <n v="3220"/>
    <x v="2"/>
    <x v="2845"/>
    <n v="0"/>
    <x v="0"/>
    <x v="0"/>
    <n v="56196"/>
  </r>
  <r>
    <s v="Coastal"/>
    <n v="77"/>
    <s v="Searsport, ME"/>
    <n v="2221"/>
    <x v="9"/>
    <x v="2846"/>
    <n v="31910"/>
    <x v="3134"/>
    <x v="0"/>
    <n v="55651"/>
  </r>
  <r>
    <s v="Coastal"/>
    <n v="77"/>
    <s v="Searsport, ME"/>
    <n v="4782"/>
    <x v="45"/>
    <x v="10"/>
    <n v="50885"/>
    <x v="3135"/>
    <x v="0"/>
    <n v="50885"/>
  </r>
  <r>
    <s v="Coastal"/>
    <n v="77"/>
    <s v="Searsport, ME"/>
    <n v="2540"/>
    <x v="15"/>
    <x v="10"/>
    <n v="48502"/>
    <x v="3136"/>
    <x v="0"/>
    <n v="48502"/>
  </r>
  <r>
    <s v="Coastal"/>
    <n v="77"/>
    <s v="Searsport, ME"/>
    <n v="4900"/>
    <x v="14"/>
    <x v="10"/>
    <n v="36290"/>
    <x v="3137"/>
    <x v="0"/>
    <n v="36290"/>
  </r>
  <r>
    <s v="Coastal"/>
    <n v="77"/>
    <s v="Searsport, ME"/>
    <n v="4225"/>
    <x v="10"/>
    <x v="10"/>
    <n v="34677"/>
    <x v="3138"/>
    <x v="0"/>
    <n v="34677"/>
  </r>
  <r>
    <s v="Coastal"/>
    <n v="77"/>
    <s v="Searsport, ME"/>
    <n v="4323"/>
    <x v="6"/>
    <x v="10"/>
    <n v="27453"/>
    <x v="3139"/>
    <x v="0"/>
    <n v="27453"/>
  </r>
  <r>
    <s v="Coastal"/>
    <n v="77"/>
    <s v="Searsport, ME"/>
    <n v="4420"/>
    <x v="8"/>
    <x v="10"/>
    <n v="27077"/>
    <x v="0"/>
    <x v="2412"/>
    <n v="27077"/>
  </r>
  <r>
    <s v="Coastal"/>
    <n v="77"/>
    <s v="Searsport, ME"/>
    <n v="2340"/>
    <x v="3"/>
    <x v="2847"/>
    <n v="0"/>
    <x v="0"/>
    <x v="0"/>
    <n v="18906"/>
  </r>
  <r>
    <s v="Coastal"/>
    <n v="77"/>
    <s v="Searsport, ME"/>
    <n v="3292"/>
    <x v="51"/>
    <x v="10"/>
    <n v="5512"/>
    <x v="9"/>
    <x v="0"/>
    <n v="5512"/>
  </r>
  <r>
    <s v="Coastal"/>
    <n v="77"/>
    <s v="Searsport, ME"/>
    <n v="3274"/>
    <x v="86"/>
    <x v="2848"/>
    <n v="0"/>
    <x v="0"/>
    <x v="0"/>
    <n v="5202"/>
  </r>
  <r>
    <s v="Coastal"/>
    <n v="77"/>
    <s v="Searsport, ME"/>
    <n v="9900"/>
    <x v="18"/>
    <x v="10"/>
    <n v="3296"/>
    <x v="2188"/>
    <x v="0"/>
    <n v="3296"/>
  </r>
  <r>
    <s v="Coastal"/>
    <n v="77"/>
    <s v="Searsport, ME"/>
    <n v="7110"/>
    <x v="4"/>
    <x v="10"/>
    <n v="1072"/>
    <x v="435"/>
    <x v="0"/>
    <n v="1072"/>
  </r>
  <r>
    <s v="Coastal"/>
    <n v="77"/>
    <s v="Searsport, ME"/>
    <n v="7900"/>
    <x v="21"/>
    <x v="10"/>
    <n v="86"/>
    <x v="2698"/>
    <x v="0"/>
    <n v="86"/>
  </r>
  <r>
    <s v="Coastal"/>
    <n v="77"/>
    <s v="Searsport, ME"/>
    <n v="7230"/>
    <x v="22"/>
    <x v="10"/>
    <n v="1"/>
    <x v="19"/>
    <x v="0"/>
    <n v="1"/>
  </r>
  <r>
    <s v="Coastal"/>
    <n v="4722"/>
    <s v="Seattle, WA"/>
    <n v="4331"/>
    <x v="29"/>
    <x v="2849"/>
    <n v="667122"/>
    <x v="3140"/>
    <x v="2413"/>
    <n v="3474038"/>
  </r>
  <r>
    <s v="Coastal"/>
    <n v="4722"/>
    <s v="Seattle, WA"/>
    <n v="6344"/>
    <x v="25"/>
    <x v="10"/>
    <n v="2244893"/>
    <x v="3141"/>
    <x v="2414"/>
    <n v="2244893"/>
  </r>
  <r>
    <s v="Coastal"/>
    <n v="4722"/>
    <s v="Seattle, WA"/>
    <n v="6522"/>
    <x v="26"/>
    <x v="10"/>
    <n v="2000555"/>
    <x v="3142"/>
    <x v="2415"/>
    <n v="2000555"/>
  </r>
  <r>
    <s v="Coastal"/>
    <n v="4722"/>
    <s v="Seattle, WA"/>
    <n v="7900"/>
    <x v="21"/>
    <x v="2850"/>
    <n v="1336497"/>
    <x v="3143"/>
    <x v="2416"/>
    <n v="1893107"/>
  </r>
  <r>
    <s v="Coastal"/>
    <n v="4722"/>
    <s v="Seattle, WA"/>
    <n v="5220"/>
    <x v="30"/>
    <x v="10"/>
    <n v="1221939"/>
    <x v="3144"/>
    <x v="2417"/>
    <n v="1221939"/>
  </r>
  <r>
    <s v="Coastal"/>
    <n v="4722"/>
    <s v="Seattle, WA"/>
    <n v="4322"/>
    <x v="33"/>
    <x v="10"/>
    <n v="908075"/>
    <x v="3145"/>
    <x v="271"/>
    <n v="908075"/>
  </r>
  <r>
    <s v="Coastal"/>
    <n v="4722"/>
    <s v="Seattle, WA"/>
    <n v="6781"/>
    <x v="128"/>
    <x v="10"/>
    <n v="790618"/>
    <x v="3146"/>
    <x v="2418"/>
    <n v="790618"/>
  </r>
  <r>
    <s v="Coastal"/>
    <n v="4722"/>
    <s v="Seattle, WA"/>
    <n v="6654"/>
    <x v="50"/>
    <x v="10"/>
    <n v="707581"/>
    <x v="3147"/>
    <x v="2419"/>
    <n v="707581"/>
  </r>
  <r>
    <s v="Coastal"/>
    <n v="4722"/>
    <s v="Seattle, WA"/>
    <n v="4323"/>
    <x v="6"/>
    <x v="10"/>
    <n v="612763"/>
    <x v="3148"/>
    <x v="2420"/>
    <n v="612763"/>
  </r>
  <r>
    <s v="Coastal"/>
    <n v="4722"/>
    <s v="Seattle, WA"/>
    <n v="6447"/>
    <x v="132"/>
    <x v="10"/>
    <n v="496119"/>
    <x v="0"/>
    <x v="2421"/>
    <n v="496119"/>
  </r>
  <r>
    <s v="Coastal"/>
    <n v="4722"/>
    <s v="Seattle, WA"/>
    <n v="4420"/>
    <x v="8"/>
    <x v="2851"/>
    <n v="414225"/>
    <x v="3149"/>
    <x v="2422"/>
    <n v="425591"/>
  </r>
  <r>
    <s v="Coastal"/>
    <n v="4722"/>
    <s v="Seattle, WA"/>
    <n v="4860"/>
    <x v="31"/>
    <x v="10"/>
    <n v="406794"/>
    <x v="3150"/>
    <x v="0"/>
    <n v="406794"/>
  </r>
  <r>
    <s v="Coastal"/>
    <n v="4722"/>
    <s v="Seattle, WA"/>
    <n v="5480"/>
    <x v="20"/>
    <x v="2852"/>
    <n v="387857"/>
    <x v="3151"/>
    <x v="2423"/>
    <n v="403741"/>
  </r>
  <r>
    <s v="Coastal"/>
    <n v="4722"/>
    <s v="Seattle, WA"/>
    <n v="4225"/>
    <x v="10"/>
    <x v="2853"/>
    <n v="395804"/>
    <x v="3152"/>
    <x v="2424"/>
    <n v="401983"/>
  </r>
  <r>
    <s v="Coastal"/>
    <n v="4722"/>
    <s v="Seattle, WA"/>
    <n v="7500"/>
    <x v="60"/>
    <x v="2854"/>
    <n v="379548"/>
    <x v="3153"/>
    <x v="2425"/>
    <n v="381599"/>
  </r>
  <r>
    <s v="Coastal"/>
    <n v="4722"/>
    <s v="Seattle, WA"/>
    <n v="7110"/>
    <x v="4"/>
    <x v="2855"/>
    <n v="358137"/>
    <x v="3154"/>
    <x v="2426"/>
    <n v="380160"/>
  </r>
  <r>
    <s v="Coastal"/>
    <n v="4722"/>
    <s v="Seattle, WA"/>
    <n v="6134"/>
    <x v="82"/>
    <x v="2856"/>
    <n v="152026"/>
    <x v="3155"/>
    <x v="2427"/>
    <n v="359781"/>
  </r>
  <r>
    <s v="Coastal"/>
    <n v="4722"/>
    <s v="Seattle, WA"/>
    <n v="6782"/>
    <x v="27"/>
    <x v="2857"/>
    <n v="311986"/>
    <x v="3156"/>
    <x v="2428"/>
    <n v="340269"/>
  </r>
  <r>
    <s v="Coastal"/>
    <n v="4722"/>
    <s v="Seattle, WA"/>
    <n v="7600"/>
    <x v="68"/>
    <x v="1368"/>
    <n v="335539"/>
    <x v="3157"/>
    <x v="2429"/>
    <n v="336992"/>
  </r>
  <r>
    <s v="Coastal"/>
    <n v="4722"/>
    <s v="Seattle, WA"/>
    <n v="7120"/>
    <x v="71"/>
    <x v="2020"/>
    <n v="308663"/>
    <x v="3158"/>
    <x v="2430"/>
    <n v="312552"/>
  </r>
  <r>
    <s v="Coastal"/>
    <n v="4722"/>
    <s v="Seattle, WA"/>
    <n v="7210"/>
    <x v="59"/>
    <x v="2858"/>
    <n v="273894"/>
    <x v="3159"/>
    <x v="2431"/>
    <n v="296981"/>
  </r>
  <r>
    <s v="Coastal"/>
    <n v="4722"/>
    <s v="Seattle, WA"/>
    <n v="4189"/>
    <x v="65"/>
    <x v="2859"/>
    <n v="150476"/>
    <x v="3160"/>
    <x v="2432"/>
    <n v="277613"/>
  </r>
  <r>
    <s v="Coastal"/>
    <n v="4722"/>
    <s v="Seattle, WA"/>
    <n v="5290"/>
    <x v="49"/>
    <x v="2860"/>
    <n v="191803"/>
    <x v="3161"/>
    <x v="2433"/>
    <n v="227111"/>
  </r>
  <r>
    <s v="Coastal"/>
    <n v="4722"/>
    <s v="Seattle, WA"/>
    <n v="5120"/>
    <x v="63"/>
    <x v="10"/>
    <n v="187604"/>
    <x v="3162"/>
    <x v="2434"/>
    <n v="187604"/>
  </r>
  <r>
    <s v="Coastal"/>
    <n v="4722"/>
    <s v="Seattle, WA"/>
    <n v="5540"/>
    <x v="64"/>
    <x v="2861"/>
    <n v="157862"/>
    <x v="3163"/>
    <x v="2435"/>
    <n v="185503"/>
  </r>
  <r>
    <s v="Coastal"/>
    <n v="4722"/>
    <s v="Seattle, WA"/>
    <n v="6857"/>
    <x v="104"/>
    <x v="10"/>
    <n v="183427"/>
    <x v="3164"/>
    <x v="2436"/>
    <n v="183427"/>
  </r>
  <r>
    <s v="Coastal"/>
    <n v="4722"/>
    <s v="Seattle, WA"/>
    <n v="6889"/>
    <x v="42"/>
    <x v="2862"/>
    <n v="113280"/>
    <x v="3165"/>
    <x v="2437"/>
    <n v="169169"/>
  </r>
  <r>
    <s v="Coastal"/>
    <n v="4722"/>
    <s v="Seattle, WA"/>
    <n v="6822"/>
    <x v="84"/>
    <x v="10"/>
    <n v="166202"/>
    <x v="2530"/>
    <x v="2438"/>
    <n v="166202"/>
  </r>
  <r>
    <s v="Coastal"/>
    <n v="4722"/>
    <s v="Seattle, WA"/>
    <n v="7400"/>
    <x v="77"/>
    <x v="2863"/>
    <n v="75288"/>
    <x v="3166"/>
    <x v="2439"/>
    <n v="149193"/>
  </r>
  <r>
    <s v="Coastal"/>
    <n v="4722"/>
    <s v="Seattle, WA"/>
    <n v="2340"/>
    <x v="3"/>
    <x v="2864"/>
    <n v="6071"/>
    <x v="3167"/>
    <x v="0"/>
    <n v="135012"/>
  </r>
  <r>
    <s v="Coastal"/>
    <n v="4722"/>
    <s v="Seattle, WA"/>
    <n v="6885"/>
    <x v="72"/>
    <x v="2865"/>
    <n v="89883"/>
    <x v="3168"/>
    <x v="2440"/>
    <n v="129768"/>
  </r>
  <r>
    <s v="Coastal"/>
    <n v="4722"/>
    <s v="Seattle, WA"/>
    <n v="4900"/>
    <x v="14"/>
    <x v="10"/>
    <n v="127070"/>
    <x v="3169"/>
    <x v="2441"/>
    <n v="127070"/>
  </r>
  <r>
    <s v="Coastal"/>
    <n v="4722"/>
    <s v="Seattle, WA"/>
    <n v="3286"/>
    <x v="57"/>
    <x v="1211"/>
    <n v="126570"/>
    <x v="3170"/>
    <x v="2442"/>
    <n v="126781"/>
  </r>
  <r>
    <s v="Coastal"/>
    <n v="4722"/>
    <s v="Seattle, WA"/>
    <n v="4680"/>
    <x v="70"/>
    <x v="10"/>
    <n v="121516"/>
    <x v="3171"/>
    <x v="2443"/>
    <n v="121516"/>
  </r>
  <r>
    <s v="Coastal"/>
    <n v="4722"/>
    <s v="Seattle, WA"/>
    <n v="6858"/>
    <x v="74"/>
    <x v="10"/>
    <n v="118862"/>
    <x v="3172"/>
    <x v="2444"/>
    <n v="118862"/>
  </r>
  <r>
    <s v="Coastal"/>
    <n v="4722"/>
    <s v="Seattle, WA"/>
    <n v="6811"/>
    <x v="76"/>
    <x v="10"/>
    <n v="115314"/>
    <x v="3173"/>
    <x v="2445"/>
    <n v="115314"/>
  </r>
  <r>
    <s v="Coastal"/>
    <n v="4722"/>
    <s v="Seattle, WA"/>
    <n v="9900"/>
    <x v="18"/>
    <x v="10"/>
    <n v="99585"/>
    <x v="3174"/>
    <x v="2446"/>
    <n v="99585"/>
  </r>
  <r>
    <s v="Coastal"/>
    <n v="4722"/>
    <s v="Seattle, WA"/>
    <n v="5190"/>
    <x v="83"/>
    <x v="2866"/>
    <n v="37360"/>
    <x v="3175"/>
    <x v="2447"/>
    <n v="90946"/>
  </r>
  <r>
    <s v="Coastal"/>
    <n v="4722"/>
    <s v="Seattle, WA"/>
    <n v="2330"/>
    <x v="1"/>
    <x v="2867"/>
    <n v="85717"/>
    <x v="3176"/>
    <x v="2448"/>
    <n v="89029"/>
  </r>
  <r>
    <s v="Coastal"/>
    <n v="4722"/>
    <s v="Seattle, WA"/>
    <n v="4783"/>
    <x v="7"/>
    <x v="2868"/>
    <n v="74302"/>
    <x v="3177"/>
    <x v="579"/>
    <n v="88720"/>
  </r>
  <r>
    <s v="Coastal"/>
    <n v="4722"/>
    <s v="Seattle, WA"/>
    <n v="4161"/>
    <x v="54"/>
    <x v="2869"/>
    <n v="4987"/>
    <x v="581"/>
    <x v="2449"/>
    <n v="84515"/>
  </r>
  <r>
    <s v="Coastal"/>
    <n v="4722"/>
    <s v="Seattle, WA"/>
    <n v="5240"/>
    <x v="89"/>
    <x v="2870"/>
    <n v="77239"/>
    <x v="3178"/>
    <x v="2450"/>
    <n v="82359"/>
  </r>
  <r>
    <s v="Coastal"/>
    <n v="4722"/>
    <s v="Seattle, WA"/>
    <n v="5422"/>
    <x v="66"/>
    <x v="10"/>
    <n v="82320"/>
    <x v="3179"/>
    <x v="2451"/>
    <n v="82320"/>
  </r>
  <r>
    <s v="Coastal"/>
    <n v="4722"/>
    <s v="Seattle, WA"/>
    <n v="6871"/>
    <x v="73"/>
    <x v="10"/>
    <n v="65865"/>
    <x v="3180"/>
    <x v="2452"/>
    <n v="65865"/>
  </r>
  <r>
    <s v="Coastal"/>
    <n v="4722"/>
    <s v="Seattle, WA"/>
    <n v="6899"/>
    <x v="114"/>
    <x v="1213"/>
    <n v="65173"/>
    <x v="3181"/>
    <x v="2453"/>
    <n v="65303"/>
  </r>
  <r>
    <s v="Coastal"/>
    <n v="4722"/>
    <s v="Seattle, WA"/>
    <n v="4690"/>
    <x v="62"/>
    <x v="10"/>
    <n v="62900"/>
    <x v="3182"/>
    <x v="2454"/>
    <n v="62900"/>
  </r>
  <r>
    <s v="Coastal"/>
    <n v="4722"/>
    <s v="Seattle, WA"/>
    <n v="6839"/>
    <x v="106"/>
    <x v="10"/>
    <n v="59728"/>
    <x v="3011"/>
    <x v="2455"/>
    <n v="59728"/>
  </r>
  <r>
    <s v="Coastal"/>
    <n v="4722"/>
    <s v="Seattle, WA"/>
    <n v="6887"/>
    <x v="138"/>
    <x v="2871"/>
    <n v="0"/>
    <x v="0"/>
    <x v="0"/>
    <n v="59675"/>
  </r>
  <r>
    <s v="Coastal"/>
    <n v="4722"/>
    <s v="Seattle, WA"/>
    <n v="6241"/>
    <x v="28"/>
    <x v="10"/>
    <n v="59532"/>
    <x v="416"/>
    <x v="2456"/>
    <n v="59532"/>
  </r>
  <r>
    <s v="Coastal"/>
    <n v="4722"/>
    <s v="Seattle, WA"/>
    <n v="6443"/>
    <x v="135"/>
    <x v="10"/>
    <n v="58452"/>
    <x v="3183"/>
    <x v="2457"/>
    <n v="58452"/>
  </r>
  <r>
    <s v="Coastal"/>
    <n v="4722"/>
    <s v="Seattle, WA"/>
    <n v="3276"/>
    <x v="12"/>
    <x v="10"/>
    <n v="58260"/>
    <x v="3184"/>
    <x v="2458"/>
    <n v="58260"/>
  </r>
  <r>
    <s v="Coastal"/>
    <n v="4722"/>
    <s v="Seattle, WA"/>
    <n v="3285"/>
    <x v="87"/>
    <x v="10"/>
    <n v="50008"/>
    <x v="3185"/>
    <x v="2459"/>
    <n v="50008"/>
  </r>
  <r>
    <s v="Coastal"/>
    <n v="4722"/>
    <s v="Seattle, WA"/>
    <n v="4782"/>
    <x v="45"/>
    <x v="10"/>
    <n v="47246"/>
    <x v="3186"/>
    <x v="2460"/>
    <n v="47246"/>
  </r>
  <r>
    <s v="Coastal"/>
    <n v="4722"/>
    <s v="Seattle, WA"/>
    <n v="8900"/>
    <x v="139"/>
    <x v="2872"/>
    <n v="0"/>
    <x v="0"/>
    <x v="0"/>
    <n v="43192"/>
  </r>
  <r>
    <s v="Coastal"/>
    <n v="4722"/>
    <s v="Seattle, WA"/>
    <n v="3299"/>
    <x v="79"/>
    <x v="2873"/>
    <n v="35032"/>
    <x v="3187"/>
    <x v="2461"/>
    <n v="43008"/>
  </r>
  <r>
    <s v="Coastal"/>
    <n v="4722"/>
    <s v="Seattle, WA"/>
    <n v="5370"/>
    <x v="81"/>
    <x v="2874"/>
    <n v="27491"/>
    <x v="3188"/>
    <x v="1538"/>
    <n v="41109"/>
  </r>
  <r>
    <s v="Coastal"/>
    <n v="4722"/>
    <s v="Seattle, WA"/>
    <n v="5330"/>
    <x v="16"/>
    <x v="2875"/>
    <n v="8158"/>
    <x v="3189"/>
    <x v="2098"/>
    <n v="37411"/>
  </r>
  <r>
    <s v="Coastal"/>
    <n v="4722"/>
    <s v="Seattle, WA"/>
    <n v="6888"/>
    <x v="109"/>
    <x v="10"/>
    <n v="36163"/>
    <x v="3190"/>
    <x v="2462"/>
    <n v="36163"/>
  </r>
  <r>
    <s v="Coastal"/>
    <n v="4722"/>
    <s v="Seattle, WA"/>
    <n v="3275"/>
    <x v="47"/>
    <x v="10"/>
    <n v="35504"/>
    <x v="3191"/>
    <x v="2463"/>
    <n v="35504"/>
  </r>
  <r>
    <s v="Coastal"/>
    <n v="4722"/>
    <s v="Seattle, WA"/>
    <n v="3292"/>
    <x v="51"/>
    <x v="10"/>
    <n v="34509"/>
    <x v="3192"/>
    <x v="252"/>
    <n v="34509"/>
  </r>
  <r>
    <s v="Coastal"/>
    <n v="4722"/>
    <s v="Seattle, WA"/>
    <n v="6590"/>
    <x v="23"/>
    <x v="10"/>
    <n v="34196"/>
    <x v="3193"/>
    <x v="2464"/>
    <n v="34196"/>
  </r>
  <r>
    <s v="Coastal"/>
    <n v="4722"/>
    <s v="Seattle, WA"/>
    <n v="4170"/>
    <x v="55"/>
    <x v="485"/>
    <n v="31732"/>
    <x v="1961"/>
    <x v="2465"/>
    <n v="31736"/>
  </r>
  <r>
    <s v="Coastal"/>
    <n v="4722"/>
    <s v="Seattle, WA"/>
    <n v="5360"/>
    <x v="94"/>
    <x v="699"/>
    <n v="5225"/>
    <x v="3194"/>
    <x v="449"/>
    <n v="27430"/>
  </r>
  <r>
    <s v="Coastal"/>
    <n v="4722"/>
    <s v="Seattle, WA"/>
    <n v="6747"/>
    <x v="78"/>
    <x v="10"/>
    <n v="26822"/>
    <x v="3195"/>
    <x v="2466"/>
    <n v="26822"/>
  </r>
  <r>
    <s v="Coastal"/>
    <n v="4722"/>
    <s v="Seattle, WA"/>
    <n v="6136"/>
    <x v="95"/>
    <x v="2876"/>
    <n v="22441"/>
    <x v="3196"/>
    <x v="2284"/>
    <n v="26312"/>
  </r>
  <r>
    <s v="Coastal"/>
    <n v="4722"/>
    <s v="Seattle, WA"/>
    <n v="6856"/>
    <x v="126"/>
    <x v="10"/>
    <n v="25341"/>
    <x v="3197"/>
    <x v="134"/>
    <n v="25341"/>
  </r>
  <r>
    <s v="Coastal"/>
    <n v="4722"/>
    <s v="Seattle, WA"/>
    <n v="6865"/>
    <x v="75"/>
    <x v="10"/>
    <n v="24695"/>
    <x v="3198"/>
    <x v="274"/>
    <n v="24695"/>
  </r>
  <r>
    <s v="Coastal"/>
    <n v="4722"/>
    <s v="Seattle, WA"/>
    <n v="2211"/>
    <x v="0"/>
    <x v="2877"/>
    <n v="6222"/>
    <x v="3199"/>
    <x v="2467"/>
    <n v="24087"/>
  </r>
  <r>
    <s v="Coastal"/>
    <n v="4722"/>
    <s v="Seattle, WA"/>
    <n v="3230"/>
    <x v="80"/>
    <x v="10"/>
    <n v="23097"/>
    <x v="3200"/>
    <x v="2468"/>
    <n v="23097"/>
  </r>
  <r>
    <s v="Coastal"/>
    <n v="4722"/>
    <s v="Seattle, WA"/>
    <n v="3260"/>
    <x v="107"/>
    <x v="10"/>
    <n v="20667"/>
    <x v="3201"/>
    <x v="2469"/>
    <n v="20667"/>
  </r>
  <r>
    <s v="Coastal"/>
    <n v="4722"/>
    <s v="Seattle, WA"/>
    <n v="3240"/>
    <x v="53"/>
    <x v="10"/>
    <n v="20611"/>
    <x v="3202"/>
    <x v="2470"/>
    <n v="20611"/>
  </r>
  <r>
    <s v="Coastal"/>
    <n v="4722"/>
    <s v="Seattle, WA"/>
    <n v="3220"/>
    <x v="2"/>
    <x v="2878"/>
    <n v="18022"/>
    <x v="3203"/>
    <x v="2471"/>
    <n v="18805"/>
  </r>
  <r>
    <s v="Coastal"/>
    <n v="4722"/>
    <s v="Seattle, WA"/>
    <n v="6653"/>
    <x v="24"/>
    <x v="10"/>
    <n v="17189"/>
    <x v="3204"/>
    <x v="2472"/>
    <n v="17189"/>
  </r>
  <r>
    <s v="Coastal"/>
    <n v="4722"/>
    <s v="Seattle, WA"/>
    <n v="6861"/>
    <x v="69"/>
    <x v="10"/>
    <n v="17173"/>
    <x v="3205"/>
    <x v="2473"/>
    <n v="17173"/>
  </r>
  <r>
    <s v="Coastal"/>
    <n v="4722"/>
    <s v="Seattle, WA"/>
    <n v="4410"/>
    <x v="34"/>
    <x v="10"/>
    <n v="17111"/>
    <x v="208"/>
    <x v="2474"/>
    <n v="17111"/>
  </r>
  <r>
    <s v="Coastal"/>
    <n v="4722"/>
    <s v="Seattle, WA"/>
    <n v="6835"/>
    <x v="92"/>
    <x v="2879"/>
    <n v="13487"/>
    <x v="3206"/>
    <x v="1947"/>
    <n v="15932"/>
  </r>
  <r>
    <s v="Coastal"/>
    <n v="4722"/>
    <s v="Seattle, WA"/>
    <n v="3250"/>
    <x v="108"/>
    <x v="10"/>
    <n v="14475"/>
    <x v="3207"/>
    <x v="2475"/>
    <n v="14475"/>
  </r>
  <r>
    <s v="Coastal"/>
    <n v="4722"/>
    <s v="Seattle, WA"/>
    <n v="6442"/>
    <x v="85"/>
    <x v="10"/>
    <n v="14339"/>
    <x v="3208"/>
    <x v="343"/>
    <n v="14339"/>
  </r>
  <r>
    <s v="Coastal"/>
    <n v="4722"/>
    <s v="Seattle, WA"/>
    <n v="3284"/>
    <x v="97"/>
    <x v="10"/>
    <n v="12511"/>
    <x v="3209"/>
    <x v="2476"/>
    <n v="12511"/>
  </r>
  <r>
    <s v="Coastal"/>
    <n v="4722"/>
    <s v="Seattle, WA"/>
    <n v="5315"/>
    <x v="48"/>
    <x v="10"/>
    <n v="12076"/>
    <x v="3210"/>
    <x v="0"/>
    <n v="12076"/>
  </r>
  <r>
    <s v="Coastal"/>
    <n v="4722"/>
    <s v="Seattle, WA"/>
    <n v="4310"/>
    <x v="96"/>
    <x v="10"/>
    <n v="11900"/>
    <x v="3211"/>
    <x v="2477"/>
    <n v="11900"/>
  </r>
  <r>
    <s v="Coastal"/>
    <n v="4722"/>
    <s v="Seattle, WA"/>
    <n v="5429"/>
    <x v="61"/>
    <x v="10"/>
    <n v="10163"/>
    <x v="3212"/>
    <x v="2478"/>
    <n v="10163"/>
  </r>
  <r>
    <s v="Coastal"/>
    <n v="4722"/>
    <s v="Seattle, WA"/>
    <n v="2430"/>
    <x v="11"/>
    <x v="2880"/>
    <n v="118"/>
    <x v="168"/>
    <x v="425"/>
    <n v="9663"/>
  </r>
  <r>
    <s v="Coastal"/>
    <n v="4722"/>
    <s v="Seattle, WA"/>
    <n v="3190"/>
    <x v="38"/>
    <x v="10"/>
    <n v="9606"/>
    <x v="3213"/>
    <x v="1317"/>
    <n v="9606"/>
  </r>
  <r>
    <s v="Coastal"/>
    <n v="4722"/>
    <s v="Seattle, WA"/>
    <n v="2990"/>
    <x v="102"/>
    <x v="2881"/>
    <n v="0"/>
    <x v="0"/>
    <x v="0"/>
    <n v="9241"/>
  </r>
  <r>
    <s v="Coastal"/>
    <n v="4722"/>
    <s v="Seattle, WA"/>
    <n v="3291"/>
    <x v="117"/>
    <x v="10"/>
    <n v="9031"/>
    <x v="3214"/>
    <x v="2479"/>
    <n v="9031"/>
  </r>
  <r>
    <s v="Coastal"/>
    <n v="4722"/>
    <s v="Seattle, WA"/>
    <n v="5312"/>
    <x v="52"/>
    <x v="10"/>
    <n v="8872"/>
    <x v="3215"/>
    <x v="1034"/>
    <n v="8872"/>
  </r>
  <r>
    <s v="Coastal"/>
    <n v="4722"/>
    <s v="Seattle, WA"/>
    <n v="2540"/>
    <x v="15"/>
    <x v="10"/>
    <n v="8669"/>
    <x v="168"/>
    <x v="2480"/>
    <n v="8669"/>
  </r>
  <r>
    <s v="Coastal"/>
    <n v="4722"/>
    <s v="Seattle, WA"/>
    <n v="4190"/>
    <x v="99"/>
    <x v="10"/>
    <n v="8478"/>
    <x v="3216"/>
    <x v="2481"/>
    <n v="8478"/>
  </r>
  <r>
    <s v="Coastal"/>
    <n v="4722"/>
    <s v="Seattle, WA"/>
    <n v="3279"/>
    <x v="58"/>
    <x v="10"/>
    <n v="8049"/>
    <x v="3217"/>
    <x v="2482"/>
    <n v="8049"/>
  </r>
  <r>
    <s v="Coastal"/>
    <n v="4722"/>
    <s v="Seattle, WA"/>
    <n v="6894"/>
    <x v="120"/>
    <x v="10"/>
    <n v="7949"/>
    <x v="3218"/>
    <x v="263"/>
    <n v="7949"/>
  </r>
  <r>
    <s v="Coastal"/>
    <n v="4722"/>
    <s v="Seattle, WA"/>
    <n v="3282"/>
    <x v="91"/>
    <x v="2882"/>
    <n v="6891"/>
    <x v="3219"/>
    <x v="2483"/>
    <n v="7696"/>
  </r>
  <r>
    <s v="Coastal"/>
    <n v="4722"/>
    <s v="Seattle, WA"/>
    <n v="5421"/>
    <x v="88"/>
    <x v="10"/>
    <n v="6742"/>
    <x v="3220"/>
    <x v="1864"/>
    <n v="6742"/>
  </r>
  <r>
    <s v="Coastal"/>
    <n v="4722"/>
    <s v="Seattle, WA"/>
    <n v="6893"/>
    <x v="113"/>
    <x v="10"/>
    <n v="5774"/>
    <x v="3221"/>
    <x v="2484"/>
    <n v="5774"/>
  </r>
  <r>
    <s v="Coastal"/>
    <n v="4722"/>
    <s v="Seattle, WA"/>
    <n v="7230"/>
    <x v="22"/>
    <x v="2883"/>
    <n v="2917"/>
    <x v="3222"/>
    <x v="815"/>
    <n v="5713"/>
  </r>
  <r>
    <s v="Coastal"/>
    <n v="4722"/>
    <s v="Seattle, WA"/>
    <n v="3219"/>
    <x v="19"/>
    <x v="10"/>
    <n v="5497"/>
    <x v="3223"/>
    <x v="2485"/>
    <n v="5497"/>
  </r>
  <r>
    <s v="Coastal"/>
    <n v="4722"/>
    <s v="Seattle, WA"/>
    <n v="7220"/>
    <x v="103"/>
    <x v="2884"/>
    <n v="4115"/>
    <x v="3224"/>
    <x v="1941"/>
    <n v="5026"/>
  </r>
  <r>
    <s v="Coastal"/>
    <n v="4722"/>
    <s v="Seattle, WA"/>
    <n v="5390"/>
    <x v="44"/>
    <x v="10"/>
    <n v="4898"/>
    <x v="3225"/>
    <x v="0"/>
    <n v="4898"/>
  </r>
  <r>
    <s v="Coastal"/>
    <n v="4722"/>
    <s v="Seattle, WA"/>
    <n v="4650"/>
    <x v="67"/>
    <x v="10"/>
    <n v="4533"/>
    <x v="3226"/>
    <x v="2486"/>
    <n v="4533"/>
  </r>
  <r>
    <s v="Coastal"/>
    <n v="4722"/>
    <s v="Seattle, WA"/>
    <n v="3273"/>
    <x v="46"/>
    <x v="10"/>
    <n v="4279"/>
    <x v="1966"/>
    <x v="2487"/>
    <n v="4279"/>
  </r>
  <r>
    <s v="Coastal"/>
    <n v="4722"/>
    <s v="Seattle, WA"/>
    <n v="3293"/>
    <x v="122"/>
    <x v="2885"/>
    <n v="3066"/>
    <x v="1412"/>
    <x v="2488"/>
    <n v="4168"/>
  </r>
  <r>
    <s v="Coastal"/>
    <n v="4722"/>
    <s v="Seattle, WA"/>
    <n v="3297"/>
    <x v="116"/>
    <x v="10"/>
    <n v="3712"/>
    <x v="3227"/>
    <x v="2489"/>
    <n v="3712"/>
  </r>
  <r>
    <s v="Coastal"/>
    <n v="4722"/>
    <s v="Seattle, WA"/>
    <n v="5110"/>
    <x v="112"/>
    <x v="10"/>
    <n v="3396"/>
    <x v="3228"/>
    <x v="2490"/>
    <n v="3396"/>
  </r>
  <r>
    <s v="Coastal"/>
    <n v="4722"/>
    <s v="Seattle, WA"/>
    <n v="6838"/>
    <x v="131"/>
    <x v="2886"/>
    <n v="2185"/>
    <x v="3229"/>
    <x v="2491"/>
    <n v="3208"/>
  </r>
  <r>
    <s v="Coastal"/>
    <n v="4722"/>
    <s v="Seattle, WA"/>
    <n v="5210"/>
    <x v="130"/>
    <x v="10"/>
    <n v="2893"/>
    <x v="3230"/>
    <x v="0"/>
    <n v="2893"/>
  </r>
  <r>
    <s v="Coastal"/>
    <n v="4722"/>
    <s v="Seattle, WA"/>
    <n v="6891"/>
    <x v="93"/>
    <x v="10"/>
    <n v="2177"/>
    <x v="3231"/>
    <x v="2492"/>
    <n v="2177"/>
  </r>
  <r>
    <s v="Coastal"/>
    <n v="4722"/>
    <s v="Seattle, WA"/>
    <n v="6445"/>
    <x v="136"/>
    <x v="10"/>
    <n v="2134"/>
    <x v="475"/>
    <x v="2493"/>
    <n v="2134"/>
  </r>
  <r>
    <s v="Coastal"/>
    <n v="4722"/>
    <s v="Seattle, WA"/>
    <n v="1100"/>
    <x v="32"/>
    <x v="10"/>
    <n v="1931"/>
    <x v="3232"/>
    <x v="2494"/>
    <n v="1931"/>
  </r>
  <r>
    <s v="Coastal"/>
    <n v="4722"/>
    <s v="Seattle, WA"/>
    <n v="4150"/>
    <x v="101"/>
    <x v="10"/>
    <n v="1712"/>
    <x v="3233"/>
    <x v="1127"/>
    <n v="1712"/>
  </r>
  <r>
    <s v="Coastal"/>
    <n v="4722"/>
    <s v="Seattle, WA"/>
    <n v="3283"/>
    <x v="111"/>
    <x v="10"/>
    <n v="1575"/>
    <x v="3234"/>
    <x v="1031"/>
    <n v="1575"/>
  </r>
  <r>
    <s v="Coastal"/>
    <n v="4722"/>
    <s v="Seattle, WA"/>
    <n v="6746"/>
    <x v="118"/>
    <x v="10"/>
    <n v="1478"/>
    <x v="3235"/>
    <x v="2495"/>
    <n v="1478"/>
  </r>
  <r>
    <s v="Coastal"/>
    <n v="4722"/>
    <s v="Seattle, WA"/>
    <n v="6534"/>
    <x v="141"/>
    <x v="10"/>
    <n v="1421"/>
    <x v="3236"/>
    <x v="0"/>
    <n v="1421"/>
  </r>
  <r>
    <s v="Coastal"/>
    <n v="4722"/>
    <s v="Seattle, WA"/>
    <n v="3274"/>
    <x v="86"/>
    <x v="10"/>
    <n v="1265"/>
    <x v="3237"/>
    <x v="1202"/>
    <n v="1265"/>
  </r>
  <r>
    <s v="Coastal"/>
    <n v="4722"/>
    <s v="Seattle, WA"/>
    <n v="6817"/>
    <x v="119"/>
    <x v="10"/>
    <n v="1220"/>
    <x v="2082"/>
    <x v="2496"/>
    <n v="1220"/>
  </r>
  <r>
    <s v="Coastal"/>
    <n v="4722"/>
    <s v="Seattle, WA"/>
    <n v="6872"/>
    <x v="100"/>
    <x v="10"/>
    <n v="1099"/>
    <x v="3238"/>
    <x v="2497"/>
    <n v="1099"/>
  </r>
  <r>
    <s v="Coastal"/>
    <n v="4722"/>
    <s v="Seattle, WA"/>
    <n v="6521"/>
    <x v="121"/>
    <x v="10"/>
    <n v="910"/>
    <x v="3239"/>
    <x v="882"/>
    <n v="910"/>
  </r>
  <r>
    <s v="Coastal"/>
    <n v="4722"/>
    <s v="Seattle, WA"/>
    <n v="4741"/>
    <x v="56"/>
    <x v="10"/>
    <n v="902"/>
    <x v="0"/>
    <x v="2191"/>
    <n v="902"/>
  </r>
  <r>
    <s v="Coastal"/>
    <n v="4722"/>
    <s v="Seattle, WA"/>
    <n v="3298"/>
    <x v="123"/>
    <x v="10"/>
    <n v="887"/>
    <x v="3240"/>
    <x v="538"/>
    <n v="887"/>
  </r>
  <r>
    <s v="Coastal"/>
    <n v="4722"/>
    <s v="Seattle, WA"/>
    <n v="3110"/>
    <x v="36"/>
    <x v="10"/>
    <n v="871"/>
    <x v="2668"/>
    <x v="2313"/>
    <n v="871"/>
  </r>
  <r>
    <s v="Coastal"/>
    <n v="4722"/>
    <s v="Seattle, WA"/>
    <n v="3281"/>
    <x v="125"/>
    <x v="10"/>
    <n v="790"/>
    <x v="3241"/>
    <x v="0"/>
    <n v="790"/>
  </r>
  <r>
    <s v="Coastal"/>
    <n v="4722"/>
    <s v="Seattle, WA"/>
    <n v="7300"/>
    <x v="115"/>
    <x v="10"/>
    <n v="657"/>
    <x v="3242"/>
    <x v="232"/>
    <n v="657"/>
  </r>
  <r>
    <s v="Coastal"/>
    <n v="4722"/>
    <s v="Seattle, WA"/>
    <n v="2640"/>
    <x v="110"/>
    <x v="2887"/>
    <n v="416"/>
    <x v="196"/>
    <x v="238"/>
    <n v="632"/>
  </r>
  <r>
    <s v="Coastal"/>
    <n v="4722"/>
    <s v="Seattle, WA"/>
    <n v="2410"/>
    <x v="98"/>
    <x v="10"/>
    <n v="477"/>
    <x v="139"/>
    <x v="0"/>
    <n v="477"/>
  </r>
  <r>
    <s v="Coastal"/>
    <n v="4722"/>
    <s v="Seattle, WA"/>
    <n v="5320"/>
    <x v="13"/>
    <x v="10"/>
    <n v="424"/>
    <x v="3243"/>
    <x v="0"/>
    <n v="424"/>
  </r>
  <r>
    <s v="Coastal"/>
    <n v="4722"/>
    <s v="Seattle, WA"/>
    <n v="3211"/>
    <x v="124"/>
    <x v="10"/>
    <n v="417"/>
    <x v="953"/>
    <x v="2350"/>
    <n v="417"/>
  </r>
  <r>
    <s v="Coastal"/>
    <n v="4722"/>
    <s v="Seattle, WA"/>
    <n v="3130"/>
    <x v="37"/>
    <x v="10"/>
    <n v="301"/>
    <x v="538"/>
    <x v="2498"/>
    <n v="301"/>
  </r>
  <r>
    <s v="Coastal"/>
    <n v="4722"/>
    <s v="Seattle, WA"/>
    <n v="3120"/>
    <x v="41"/>
    <x v="10"/>
    <n v="251"/>
    <x v="1247"/>
    <x v="249"/>
    <n v="251"/>
  </r>
  <r>
    <s v="Coastal"/>
    <n v="4722"/>
    <s v="Seattle, WA"/>
    <n v="4110"/>
    <x v="105"/>
    <x v="10"/>
    <n v="191"/>
    <x v="2554"/>
    <x v="0"/>
    <n v="191"/>
  </r>
  <r>
    <s v="Coastal"/>
    <n v="4722"/>
    <s v="Seattle, WA"/>
    <n v="3272"/>
    <x v="137"/>
    <x v="10"/>
    <n v="43"/>
    <x v="415"/>
    <x v="133"/>
    <n v="43"/>
  </r>
  <r>
    <s v="Coastal"/>
    <n v="4722"/>
    <s v="Seattle, WA"/>
    <n v="1200"/>
    <x v="43"/>
    <x v="10"/>
    <n v="40"/>
    <x v="0"/>
    <x v="365"/>
    <n v="40"/>
  </r>
  <r>
    <s v="Coastal"/>
    <n v="4722"/>
    <s v="Seattle, WA"/>
    <n v="4515"/>
    <x v="129"/>
    <x v="10"/>
    <n v="24"/>
    <x v="391"/>
    <x v="0"/>
    <n v="24"/>
  </r>
  <r>
    <s v="Coastal"/>
    <n v="4722"/>
    <s v="Seattle, WA"/>
    <n v="2429"/>
    <x v="17"/>
    <x v="10"/>
    <n v="19"/>
    <x v="0"/>
    <x v="235"/>
    <n v="19"/>
  </r>
  <r>
    <s v="Coastal"/>
    <n v="4722"/>
    <s v="Seattle, WA"/>
    <n v="2100"/>
    <x v="35"/>
    <x v="10"/>
    <n v="18"/>
    <x v="170"/>
    <x v="0"/>
    <n v="18"/>
  </r>
  <r>
    <s v="Coastal"/>
    <n v="4722"/>
    <s v="Seattle, WA"/>
    <n v="3212"/>
    <x v="39"/>
    <x v="10"/>
    <n v="17"/>
    <x v="182"/>
    <x v="0"/>
    <n v="17"/>
  </r>
  <r>
    <s v="Coastal"/>
    <n v="4722"/>
    <s v="Seattle, WA"/>
    <n v="2350"/>
    <x v="40"/>
    <x v="10"/>
    <n v="14"/>
    <x v="0"/>
    <x v="411"/>
    <n v="14"/>
  </r>
  <r>
    <s v="Coastal"/>
    <n v="4722"/>
    <s v="Seattle, WA"/>
    <n v="2221"/>
    <x v="9"/>
    <x v="10"/>
    <n v="9"/>
    <x v="0"/>
    <x v="275"/>
    <n v="9"/>
  </r>
  <r>
    <s v="Coastal"/>
    <n v="4897"/>
    <s v="Seldovia, AK"/>
    <n v="2330"/>
    <x v="1"/>
    <x v="2888"/>
    <n v="0"/>
    <x v="0"/>
    <x v="0"/>
    <n v="1772"/>
  </r>
  <r>
    <s v="Coastal"/>
    <n v="4897"/>
    <s v="Seldovia, AK"/>
    <n v="2221"/>
    <x v="9"/>
    <x v="2021"/>
    <n v="0"/>
    <x v="0"/>
    <x v="0"/>
    <n v="372"/>
  </r>
  <r>
    <s v="Coastal"/>
    <n v="4897"/>
    <s v="Seldovia, AK"/>
    <n v="2211"/>
    <x v="0"/>
    <x v="2889"/>
    <n v="0"/>
    <x v="0"/>
    <x v="0"/>
    <n v="353"/>
  </r>
  <r>
    <s v="Internal"/>
    <n v="7710"/>
    <s v="Seneca Regional Port, IL"/>
    <n v="6344"/>
    <x v="25"/>
    <x v="2890"/>
    <n v="0"/>
    <x v="0"/>
    <x v="0"/>
    <n v="199778"/>
  </r>
  <r>
    <s v="Internal"/>
    <n v="7710"/>
    <s v="Seneca Regional Port, IL"/>
    <n v="3110"/>
    <x v="36"/>
    <x v="2891"/>
    <n v="0"/>
    <x v="0"/>
    <x v="0"/>
    <n v="135723"/>
  </r>
  <r>
    <s v="Internal"/>
    <n v="7710"/>
    <s v="Seneca Regional Port, IL"/>
    <n v="3190"/>
    <x v="38"/>
    <x v="2892"/>
    <n v="0"/>
    <x v="0"/>
    <x v="0"/>
    <n v="35026"/>
  </r>
  <r>
    <s v="Internal"/>
    <n v="7710"/>
    <s v="Seneca Regional Port, IL"/>
    <n v="6522"/>
    <x v="26"/>
    <x v="2893"/>
    <n v="0"/>
    <x v="0"/>
    <x v="0"/>
    <n v="34174"/>
  </r>
  <r>
    <s v="Internal"/>
    <n v="7710"/>
    <s v="Seneca Regional Port, IL"/>
    <n v="3273"/>
    <x v="46"/>
    <x v="2894"/>
    <n v="0"/>
    <x v="0"/>
    <x v="0"/>
    <n v="32500"/>
  </r>
  <r>
    <s v="Internal"/>
    <n v="7710"/>
    <s v="Seneca Regional Port, IL"/>
    <n v="3130"/>
    <x v="37"/>
    <x v="2895"/>
    <n v="0"/>
    <x v="0"/>
    <x v="0"/>
    <n v="22628"/>
  </r>
  <r>
    <s v="Internal"/>
    <n v="7710"/>
    <s v="Seneca Regional Port, IL"/>
    <n v="2330"/>
    <x v="1"/>
    <x v="2896"/>
    <n v="0"/>
    <x v="0"/>
    <x v="0"/>
    <n v="5905"/>
  </r>
  <r>
    <s v="Internal"/>
    <n v="7710"/>
    <s v="Seneca Regional Port, IL"/>
    <n v="5390"/>
    <x v="44"/>
    <x v="2897"/>
    <n v="0"/>
    <x v="0"/>
    <x v="0"/>
    <n v="5864"/>
  </r>
  <r>
    <s v="Internal"/>
    <n v="7710"/>
    <s v="Seneca Regional Port, IL"/>
    <n v="3120"/>
    <x v="41"/>
    <x v="2898"/>
    <n v="0"/>
    <x v="0"/>
    <x v="0"/>
    <n v="4299"/>
  </r>
  <r>
    <s v="Internal"/>
    <n v="7710"/>
    <s v="Seneca Regional Port, IL"/>
    <n v="6782"/>
    <x v="27"/>
    <x v="2899"/>
    <n v="0"/>
    <x v="0"/>
    <x v="0"/>
    <n v="3091"/>
  </r>
  <r>
    <s v="Coastal"/>
    <n v="4907"/>
    <s v="Seward, AK"/>
    <n v="2330"/>
    <x v="1"/>
    <x v="2900"/>
    <n v="0"/>
    <x v="0"/>
    <x v="0"/>
    <n v="45581"/>
  </r>
  <r>
    <s v="Coastal"/>
    <n v="4907"/>
    <s v="Seward, AK"/>
    <n v="2211"/>
    <x v="0"/>
    <x v="2901"/>
    <n v="0"/>
    <x v="0"/>
    <x v="0"/>
    <n v="13365"/>
  </r>
  <r>
    <s v="Coastal"/>
    <n v="4907"/>
    <s v="Seward, AK"/>
    <n v="5370"/>
    <x v="81"/>
    <x v="10"/>
    <n v="4493"/>
    <x v="3244"/>
    <x v="0"/>
    <n v="4493"/>
  </r>
  <r>
    <s v="Internal"/>
    <n v="2318"/>
    <s v="Shawneetown Regional Port, IL"/>
    <n v="6344"/>
    <x v="25"/>
    <x v="2902"/>
    <n v="0"/>
    <x v="0"/>
    <x v="0"/>
    <n v="617160"/>
  </r>
  <r>
    <s v="Internal"/>
    <n v="2318"/>
    <s v="Shawneetown Regional Port, IL"/>
    <n v="6522"/>
    <x v="26"/>
    <x v="2903"/>
    <n v="0"/>
    <x v="0"/>
    <x v="0"/>
    <n v="237810"/>
  </r>
  <r>
    <s v="Internal"/>
    <n v="2318"/>
    <s v="Shawneetown Regional Port, IL"/>
    <n v="6241"/>
    <x v="28"/>
    <x v="2904"/>
    <n v="0"/>
    <x v="0"/>
    <x v="0"/>
    <n v="11914"/>
  </r>
  <r>
    <s v="Internal"/>
    <n v="2318"/>
    <s v="Shawneetown Regional Port, IL"/>
    <n v="6590"/>
    <x v="23"/>
    <x v="2905"/>
    <n v="0"/>
    <x v="0"/>
    <x v="0"/>
    <n v="5563"/>
  </r>
  <r>
    <s v="Coastal"/>
    <n v="4977"/>
    <s v="Shishmaref, AK"/>
    <n v="2330"/>
    <x v="1"/>
    <x v="2906"/>
    <n v="0"/>
    <x v="0"/>
    <x v="0"/>
    <n v="544"/>
  </r>
  <r>
    <s v="Coastal"/>
    <n v="4977"/>
    <s v="Shishmaref, AK"/>
    <n v="7400"/>
    <x v="77"/>
    <x v="1189"/>
    <n v="0"/>
    <x v="0"/>
    <x v="0"/>
    <n v="205"/>
  </r>
  <r>
    <s v="Coastal"/>
    <n v="4977"/>
    <s v="Shishmaref, AK"/>
    <n v="2211"/>
    <x v="0"/>
    <x v="2907"/>
    <n v="0"/>
    <x v="0"/>
    <x v="0"/>
    <n v="204"/>
  </r>
  <r>
    <s v="Coastal"/>
    <n v="4977"/>
    <s v="Shishmaref, AK"/>
    <n v="7900"/>
    <x v="21"/>
    <x v="2908"/>
    <n v="0"/>
    <x v="0"/>
    <x v="0"/>
    <n v="90"/>
  </r>
  <r>
    <s v="Coastal"/>
    <n v="4977"/>
    <s v="Shishmaref, AK"/>
    <n v="7210"/>
    <x v="59"/>
    <x v="1192"/>
    <n v="0"/>
    <x v="0"/>
    <x v="0"/>
    <n v="34"/>
  </r>
  <r>
    <s v="Coastal"/>
    <n v="4977"/>
    <s v="Shishmaref, AK"/>
    <n v="4189"/>
    <x v="65"/>
    <x v="182"/>
    <n v="0"/>
    <x v="0"/>
    <x v="0"/>
    <n v="31"/>
  </r>
  <r>
    <s v="Coastal"/>
    <n v="4977"/>
    <s v="Shishmaref, AK"/>
    <n v="2990"/>
    <x v="102"/>
    <x v="416"/>
    <n v="0"/>
    <x v="0"/>
    <x v="0"/>
    <n v="28"/>
  </r>
  <r>
    <s v="Coastal"/>
    <n v="4977"/>
    <s v="Shishmaref, AK"/>
    <n v="3299"/>
    <x v="79"/>
    <x v="524"/>
    <n v="0"/>
    <x v="0"/>
    <x v="0"/>
    <n v="10"/>
  </r>
  <r>
    <s v="Coastal"/>
    <n v="4977"/>
    <s v="Shishmaref, AK"/>
    <n v="7110"/>
    <x v="4"/>
    <x v="524"/>
    <n v="0"/>
    <x v="0"/>
    <x v="0"/>
    <n v="10"/>
  </r>
  <r>
    <s v="Coastal"/>
    <n v="4977"/>
    <s v="Shishmaref, AK"/>
    <n v="5360"/>
    <x v="94"/>
    <x v="484"/>
    <n v="0"/>
    <x v="0"/>
    <x v="0"/>
    <n v="9"/>
  </r>
  <r>
    <s v="Coastal"/>
    <n v="4977"/>
    <s v="Shishmaref, AK"/>
    <n v="6887"/>
    <x v="138"/>
    <x v="421"/>
    <n v="0"/>
    <x v="0"/>
    <x v="0"/>
    <n v="6"/>
  </r>
  <r>
    <s v="Coastal"/>
    <n v="4977"/>
    <s v="Shishmaref, AK"/>
    <n v="5370"/>
    <x v="81"/>
    <x v="485"/>
    <n v="0"/>
    <x v="0"/>
    <x v="0"/>
    <n v="4"/>
  </r>
  <r>
    <s v="Coastal"/>
    <n v="4977"/>
    <s v="Shishmaref, AK"/>
    <n v="7120"/>
    <x v="71"/>
    <x v="131"/>
    <n v="0"/>
    <x v="0"/>
    <x v="0"/>
    <n v="2"/>
  </r>
  <r>
    <s v="Coastal"/>
    <n v="4977"/>
    <s v="Shishmaref, AK"/>
    <n v="4331"/>
    <x v="29"/>
    <x v="423"/>
    <n v="0"/>
    <x v="0"/>
    <x v="0"/>
    <n v="1"/>
  </r>
  <r>
    <s v="Coastal"/>
    <n v="4977"/>
    <s v="Shishmaref, AK"/>
    <n v="7230"/>
    <x v="22"/>
    <x v="423"/>
    <n v="0"/>
    <x v="0"/>
    <x v="0"/>
    <n v="1"/>
  </r>
  <r>
    <s v="Great Lakes"/>
    <n v="3928"/>
    <s v="Silver Bay, MN"/>
    <n v="4410"/>
    <x v="34"/>
    <x v="2909"/>
    <n v="941593"/>
    <x v="0"/>
    <x v="2499"/>
    <n v="5692722"/>
  </r>
  <r>
    <s v="Great Lakes"/>
    <n v="3928"/>
    <s v="Silver Bay, MN"/>
    <n v="4322"/>
    <x v="33"/>
    <x v="2910"/>
    <n v="0"/>
    <x v="0"/>
    <x v="0"/>
    <n v="146919"/>
  </r>
  <r>
    <s v="Coastal"/>
    <n v="4796"/>
    <s v="Sitka Ports and Harbor, AK"/>
    <n v="6134"/>
    <x v="82"/>
    <x v="2911"/>
    <n v="20"/>
    <x v="416"/>
    <x v="0"/>
    <n v="2129"/>
  </r>
  <r>
    <s v="Coastal"/>
    <n v="4796"/>
    <s v="Sitka Ports and Harbor, AK"/>
    <n v="7900"/>
    <x v="21"/>
    <x v="994"/>
    <n v="0"/>
    <x v="0"/>
    <x v="0"/>
    <n v="91"/>
  </r>
  <r>
    <s v="Coastal"/>
    <n v="4857"/>
    <s v="Skagway, AK"/>
    <n v="4331"/>
    <x v="29"/>
    <x v="2912"/>
    <n v="0"/>
    <x v="0"/>
    <x v="0"/>
    <n v="38353"/>
  </r>
  <r>
    <s v="Coastal"/>
    <n v="4857"/>
    <s v="Skagway, AK"/>
    <n v="4690"/>
    <x v="62"/>
    <x v="10"/>
    <n v="20933"/>
    <x v="0"/>
    <x v="2500"/>
    <n v="20933"/>
  </r>
  <r>
    <s v="Coastal"/>
    <n v="4857"/>
    <s v="Skagway, AK"/>
    <n v="4783"/>
    <x v="7"/>
    <x v="2913"/>
    <n v="0"/>
    <x v="0"/>
    <x v="0"/>
    <n v="18329"/>
  </r>
  <r>
    <s v="Coastal"/>
    <n v="4857"/>
    <s v="Skagway, AK"/>
    <n v="4630"/>
    <x v="127"/>
    <x v="10"/>
    <n v="17929"/>
    <x v="0"/>
    <x v="2501"/>
    <n v="17929"/>
  </r>
  <r>
    <s v="Coastal"/>
    <n v="4857"/>
    <s v="Skagway, AK"/>
    <n v="2211"/>
    <x v="0"/>
    <x v="2914"/>
    <n v="15997"/>
    <x v="3245"/>
    <x v="0"/>
    <n v="16635"/>
  </r>
  <r>
    <s v="Coastal"/>
    <n v="4857"/>
    <s v="Skagway, AK"/>
    <n v="6889"/>
    <x v="42"/>
    <x v="2915"/>
    <n v="0"/>
    <x v="0"/>
    <x v="0"/>
    <n v="14798"/>
  </r>
  <r>
    <s v="Coastal"/>
    <n v="4857"/>
    <s v="Skagway, AK"/>
    <n v="7900"/>
    <x v="21"/>
    <x v="2916"/>
    <n v="0"/>
    <x v="0"/>
    <x v="0"/>
    <n v="9725"/>
  </r>
  <r>
    <s v="Coastal"/>
    <n v="4857"/>
    <s v="Skagway, AK"/>
    <n v="2330"/>
    <x v="1"/>
    <x v="10"/>
    <n v="9197"/>
    <x v="3246"/>
    <x v="0"/>
    <n v="9197"/>
  </r>
  <r>
    <s v="Coastal"/>
    <n v="4857"/>
    <s v="Skagway, AK"/>
    <n v="2221"/>
    <x v="9"/>
    <x v="10"/>
    <n v="5896"/>
    <x v="3247"/>
    <x v="0"/>
    <n v="5896"/>
  </r>
  <r>
    <s v="Coastal"/>
    <n v="4857"/>
    <s v="Skagway, AK"/>
    <n v="3299"/>
    <x v="79"/>
    <x v="2917"/>
    <n v="0"/>
    <x v="0"/>
    <x v="0"/>
    <n v="4810"/>
  </r>
  <r>
    <s v="Coastal"/>
    <n v="4857"/>
    <s v="Skagway, AK"/>
    <n v="6887"/>
    <x v="138"/>
    <x v="2918"/>
    <n v="0"/>
    <x v="0"/>
    <x v="0"/>
    <n v="4415"/>
  </r>
  <r>
    <s v="Coastal"/>
    <n v="4857"/>
    <s v="Skagway, AK"/>
    <n v="7400"/>
    <x v="77"/>
    <x v="2919"/>
    <n v="0"/>
    <x v="0"/>
    <x v="0"/>
    <n v="3826"/>
  </r>
  <r>
    <s v="Coastal"/>
    <n v="4857"/>
    <s v="Skagway, AK"/>
    <n v="5240"/>
    <x v="89"/>
    <x v="2920"/>
    <n v="0"/>
    <x v="0"/>
    <x v="0"/>
    <n v="2192"/>
  </r>
  <r>
    <s v="Coastal"/>
    <n v="4857"/>
    <s v="Skagway, AK"/>
    <n v="7110"/>
    <x v="4"/>
    <x v="1225"/>
    <n v="0"/>
    <x v="0"/>
    <x v="0"/>
    <n v="1762"/>
  </r>
  <r>
    <s v="Coastal"/>
    <n v="4857"/>
    <s v="Skagway, AK"/>
    <n v="3293"/>
    <x v="122"/>
    <x v="2921"/>
    <n v="0"/>
    <x v="0"/>
    <x v="0"/>
    <n v="1615"/>
  </r>
  <r>
    <s v="Coastal"/>
    <n v="4857"/>
    <s v="Skagway, AK"/>
    <n v="4189"/>
    <x v="65"/>
    <x v="2829"/>
    <n v="0"/>
    <x v="0"/>
    <x v="0"/>
    <n v="1424"/>
  </r>
  <r>
    <s v="Coastal"/>
    <n v="4857"/>
    <s v="Skagway, AK"/>
    <n v="5480"/>
    <x v="20"/>
    <x v="2922"/>
    <n v="0"/>
    <x v="0"/>
    <x v="0"/>
    <n v="1098"/>
  </r>
  <r>
    <s v="Coastal"/>
    <n v="4857"/>
    <s v="Skagway, AK"/>
    <n v="6782"/>
    <x v="27"/>
    <x v="2923"/>
    <n v="0"/>
    <x v="0"/>
    <x v="0"/>
    <n v="1010"/>
  </r>
  <r>
    <s v="Coastal"/>
    <n v="4857"/>
    <s v="Skagway, AK"/>
    <n v="6885"/>
    <x v="72"/>
    <x v="2924"/>
    <n v="0"/>
    <x v="0"/>
    <x v="0"/>
    <n v="885"/>
  </r>
  <r>
    <s v="Coastal"/>
    <n v="4857"/>
    <s v="Skagway, AK"/>
    <n v="7210"/>
    <x v="59"/>
    <x v="2925"/>
    <n v="0"/>
    <x v="0"/>
    <x v="0"/>
    <n v="815"/>
  </r>
  <r>
    <s v="Coastal"/>
    <n v="4857"/>
    <s v="Skagway, AK"/>
    <n v="7120"/>
    <x v="71"/>
    <x v="2926"/>
    <n v="0"/>
    <x v="0"/>
    <x v="0"/>
    <n v="640"/>
  </r>
  <r>
    <s v="Coastal"/>
    <n v="4857"/>
    <s v="Skagway, AK"/>
    <n v="2430"/>
    <x v="11"/>
    <x v="2171"/>
    <n v="0"/>
    <x v="0"/>
    <x v="0"/>
    <n v="438"/>
  </r>
  <r>
    <s v="Coastal"/>
    <n v="4857"/>
    <s v="Skagway, AK"/>
    <n v="5360"/>
    <x v="94"/>
    <x v="1261"/>
    <n v="0"/>
    <x v="0"/>
    <x v="0"/>
    <n v="366"/>
  </r>
  <r>
    <s v="Coastal"/>
    <n v="4857"/>
    <s v="Skagway, AK"/>
    <n v="4420"/>
    <x v="8"/>
    <x v="2927"/>
    <n v="0"/>
    <x v="0"/>
    <x v="0"/>
    <n v="242"/>
  </r>
  <r>
    <s v="Coastal"/>
    <n v="4857"/>
    <s v="Skagway, AK"/>
    <n v="5290"/>
    <x v="49"/>
    <x v="2928"/>
    <n v="0"/>
    <x v="0"/>
    <x v="0"/>
    <n v="238"/>
  </r>
  <r>
    <s v="Coastal"/>
    <n v="4857"/>
    <s v="Skagway, AK"/>
    <n v="6134"/>
    <x v="82"/>
    <x v="2929"/>
    <n v="0"/>
    <x v="0"/>
    <x v="0"/>
    <n v="236"/>
  </r>
  <r>
    <s v="Coastal"/>
    <n v="4857"/>
    <s v="Skagway, AK"/>
    <n v="5190"/>
    <x v="83"/>
    <x v="1189"/>
    <n v="0"/>
    <x v="0"/>
    <x v="0"/>
    <n v="205"/>
  </r>
  <r>
    <s v="Coastal"/>
    <n v="4857"/>
    <s v="Skagway, AK"/>
    <n v="8900"/>
    <x v="139"/>
    <x v="2907"/>
    <n v="0"/>
    <x v="0"/>
    <x v="0"/>
    <n v="204"/>
  </r>
  <r>
    <s v="Coastal"/>
    <n v="4857"/>
    <s v="Skagway, AK"/>
    <n v="7500"/>
    <x v="60"/>
    <x v="1338"/>
    <n v="0"/>
    <x v="0"/>
    <x v="0"/>
    <n v="139"/>
  </r>
  <r>
    <s v="Coastal"/>
    <n v="4857"/>
    <s v="Skagway, AK"/>
    <n v="5540"/>
    <x v="64"/>
    <x v="578"/>
    <n v="0"/>
    <x v="0"/>
    <x v="0"/>
    <n v="102"/>
  </r>
  <r>
    <s v="Coastal"/>
    <n v="4857"/>
    <s v="Skagway, AK"/>
    <n v="3282"/>
    <x v="91"/>
    <x v="2930"/>
    <n v="0"/>
    <x v="0"/>
    <x v="0"/>
    <n v="94"/>
  </r>
  <r>
    <s v="Coastal"/>
    <n v="4857"/>
    <s v="Skagway, AK"/>
    <n v="2340"/>
    <x v="3"/>
    <x v="2931"/>
    <n v="0"/>
    <x v="0"/>
    <x v="0"/>
    <n v="89"/>
  </r>
  <r>
    <s v="Coastal"/>
    <n v="4857"/>
    <s v="Skagway, AK"/>
    <n v="4225"/>
    <x v="10"/>
    <x v="843"/>
    <n v="0"/>
    <x v="0"/>
    <x v="0"/>
    <n v="82"/>
  </r>
  <r>
    <s v="Coastal"/>
    <n v="4857"/>
    <s v="Skagway, AK"/>
    <n v="6136"/>
    <x v="95"/>
    <x v="1252"/>
    <n v="0"/>
    <x v="0"/>
    <x v="0"/>
    <n v="58"/>
  </r>
  <r>
    <s v="Coastal"/>
    <n v="4857"/>
    <s v="Skagway, AK"/>
    <n v="5370"/>
    <x v="81"/>
    <x v="1052"/>
    <n v="0"/>
    <x v="0"/>
    <x v="0"/>
    <n v="47"/>
  </r>
  <r>
    <s v="Coastal"/>
    <n v="4857"/>
    <s v="Skagway, AK"/>
    <n v="7230"/>
    <x v="22"/>
    <x v="2646"/>
    <n v="0"/>
    <x v="0"/>
    <x v="0"/>
    <n v="41"/>
  </r>
  <r>
    <s v="Coastal"/>
    <n v="4857"/>
    <s v="Skagway, AK"/>
    <n v="3220"/>
    <x v="2"/>
    <x v="1061"/>
    <n v="0"/>
    <x v="0"/>
    <x v="0"/>
    <n v="24"/>
  </r>
  <r>
    <s v="Coastal"/>
    <n v="4857"/>
    <s v="Skagway, AK"/>
    <n v="2990"/>
    <x v="102"/>
    <x v="184"/>
    <n v="0"/>
    <x v="0"/>
    <x v="0"/>
    <n v="19"/>
  </r>
  <r>
    <s v="Coastal"/>
    <n v="4857"/>
    <s v="Skagway, AK"/>
    <n v="7600"/>
    <x v="68"/>
    <x v="1350"/>
    <n v="0"/>
    <x v="0"/>
    <x v="0"/>
    <n v="18"/>
  </r>
  <r>
    <s v="Coastal"/>
    <n v="4857"/>
    <s v="Skagway, AK"/>
    <n v="5330"/>
    <x v="16"/>
    <x v="524"/>
    <n v="0"/>
    <x v="0"/>
    <x v="0"/>
    <n v="10"/>
  </r>
  <r>
    <s v="Coastal"/>
    <n v="550"/>
    <s v="South Jersey Port Corp, NJ"/>
    <n v="2100"/>
    <x v="35"/>
    <x v="2932"/>
    <n v="4612564"/>
    <x v="3248"/>
    <x v="0"/>
    <n v="4651521"/>
  </r>
  <r>
    <s v="Coastal"/>
    <n v="550"/>
    <s v="South Jersey Port Corp, NJ"/>
    <n v="2330"/>
    <x v="1"/>
    <x v="2933"/>
    <n v="890293"/>
    <x v="3249"/>
    <x v="2502"/>
    <n v="2838370"/>
  </r>
  <r>
    <s v="Coastal"/>
    <n v="550"/>
    <s v="South Jersey Port Corp, NJ"/>
    <n v="2340"/>
    <x v="3"/>
    <x v="2934"/>
    <n v="292896"/>
    <x v="3250"/>
    <x v="2503"/>
    <n v="1862349"/>
  </r>
  <r>
    <s v="Coastal"/>
    <n v="550"/>
    <s v="South Jersey Port Corp, NJ"/>
    <n v="5320"/>
    <x v="13"/>
    <x v="10"/>
    <n v="1550061"/>
    <x v="3251"/>
    <x v="0"/>
    <n v="1550061"/>
  </r>
  <r>
    <s v="Coastal"/>
    <n v="550"/>
    <s v="South Jersey Port Corp, NJ"/>
    <n v="2211"/>
    <x v="0"/>
    <x v="2935"/>
    <n v="173240"/>
    <x v="3252"/>
    <x v="0"/>
    <n v="1210792"/>
  </r>
  <r>
    <s v="Coastal"/>
    <n v="550"/>
    <s v="South Jersey Port Corp, NJ"/>
    <n v="2429"/>
    <x v="17"/>
    <x v="2936"/>
    <n v="73485"/>
    <x v="3253"/>
    <x v="0"/>
    <n v="1118341"/>
  </r>
  <r>
    <s v="Coastal"/>
    <n v="550"/>
    <s v="South Jersey Port Corp, NJ"/>
    <n v="4420"/>
    <x v="8"/>
    <x v="2937"/>
    <n v="595850"/>
    <x v="311"/>
    <x v="2504"/>
    <n v="713977"/>
  </r>
  <r>
    <s v="Coastal"/>
    <n v="550"/>
    <s v="South Jersey Port Corp, NJ"/>
    <n v="4860"/>
    <x v="31"/>
    <x v="2938"/>
    <n v="482838"/>
    <x v="3254"/>
    <x v="0"/>
    <n v="649846"/>
  </r>
  <r>
    <s v="Coastal"/>
    <n v="550"/>
    <s v="South Jersey Port Corp, NJ"/>
    <n v="2430"/>
    <x v="11"/>
    <x v="2939"/>
    <n v="11466"/>
    <x v="0"/>
    <x v="2505"/>
    <n v="607142"/>
  </r>
  <r>
    <s v="Coastal"/>
    <n v="550"/>
    <s v="South Jersey Port Corp, NJ"/>
    <n v="6857"/>
    <x v="104"/>
    <x v="10"/>
    <n v="541974"/>
    <x v="3255"/>
    <x v="0"/>
    <n v="541974"/>
  </r>
  <r>
    <s v="Coastal"/>
    <n v="550"/>
    <s v="South Jersey Port Corp, NJ"/>
    <n v="3219"/>
    <x v="19"/>
    <x v="2940"/>
    <n v="29784"/>
    <x v="3256"/>
    <x v="258"/>
    <n v="444360"/>
  </r>
  <r>
    <s v="Coastal"/>
    <n v="550"/>
    <s v="South Jersey Port Corp, NJ"/>
    <n v="5360"/>
    <x v="94"/>
    <x v="10"/>
    <n v="414849"/>
    <x v="3257"/>
    <x v="2506"/>
    <n v="414849"/>
  </r>
  <r>
    <s v="Coastal"/>
    <n v="550"/>
    <s v="South Jersey Port Corp, NJ"/>
    <n v="6856"/>
    <x v="126"/>
    <x v="10"/>
    <n v="407857"/>
    <x v="3258"/>
    <x v="0"/>
    <n v="407857"/>
  </r>
  <r>
    <s v="Coastal"/>
    <n v="550"/>
    <s v="South Jersey Port Corp, NJ"/>
    <n v="4323"/>
    <x v="6"/>
    <x v="10"/>
    <n v="384488"/>
    <x v="3259"/>
    <x v="0"/>
    <n v="384488"/>
  </r>
  <r>
    <s v="Coastal"/>
    <n v="550"/>
    <s v="South Jersey Port Corp, NJ"/>
    <n v="2350"/>
    <x v="40"/>
    <x v="2941"/>
    <n v="0"/>
    <x v="0"/>
    <x v="0"/>
    <n v="356963"/>
  </r>
  <r>
    <s v="Coastal"/>
    <n v="550"/>
    <s v="South Jersey Port Corp, NJ"/>
    <n v="5330"/>
    <x v="16"/>
    <x v="10"/>
    <n v="332466"/>
    <x v="3260"/>
    <x v="2347"/>
    <n v="332466"/>
  </r>
  <r>
    <s v="Coastal"/>
    <n v="550"/>
    <s v="South Jersey Port Corp, NJ"/>
    <n v="1100"/>
    <x v="32"/>
    <x v="2942"/>
    <n v="8"/>
    <x v="0"/>
    <x v="232"/>
    <n v="286661"/>
  </r>
  <r>
    <s v="Coastal"/>
    <n v="550"/>
    <s v="South Jersey Port Corp, NJ"/>
    <n v="2540"/>
    <x v="15"/>
    <x v="10"/>
    <n v="235159"/>
    <x v="3261"/>
    <x v="2507"/>
    <n v="235159"/>
  </r>
  <r>
    <s v="Coastal"/>
    <n v="550"/>
    <s v="South Jersey Port Corp, NJ"/>
    <n v="6887"/>
    <x v="138"/>
    <x v="2943"/>
    <n v="0"/>
    <x v="0"/>
    <x v="0"/>
    <n v="216824"/>
  </r>
  <r>
    <s v="Coastal"/>
    <n v="550"/>
    <s v="South Jersey Port Corp, NJ"/>
    <n v="7900"/>
    <x v="21"/>
    <x v="2944"/>
    <n v="18732"/>
    <x v="3262"/>
    <x v="2508"/>
    <n v="184603"/>
  </r>
  <r>
    <s v="Coastal"/>
    <n v="550"/>
    <s v="South Jersey Port Corp, NJ"/>
    <n v="2221"/>
    <x v="9"/>
    <x v="2945"/>
    <n v="34360"/>
    <x v="3263"/>
    <x v="0"/>
    <n v="172244"/>
  </r>
  <r>
    <s v="Coastal"/>
    <n v="550"/>
    <s v="South Jersey Port Corp, NJ"/>
    <n v="4900"/>
    <x v="14"/>
    <x v="10"/>
    <n v="147702"/>
    <x v="3264"/>
    <x v="256"/>
    <n v="147702"/>
  </r>
  <r>
    <s v="Coastal"/>
    <n v="550"/>
    <s v="South Jersey Port Corp, NJ"/>
    <n v="5540"/>
    <x v="64"/>
    <x v="10"/>
    <n v="133816"/>
    <x v="3265"/>
    <x v="376"/>
    <n v="133816"/>
  </r>
  <r>
    <s v="Coastal"/>
    <n v="550"/>
    <s v="South Jersey Port Corp, NJ"/>
    <n v="3220"/>
    <x v="2"/>
    <x v="2946"/>
    <n v="370"/>
    <x v="202"/>
    <x v="208"/>
    <n v="83906"/>
  </r>
  <r>
    <s v="Coastal"/>
    <n v="550"/>
    <s v="South Jersey Port Corp, NJ"/>
    <n v="5220"/>
    <x v="30"/>
    <x v="2947"/>
    <n v="0"/>
    <x v="0"/>
    <x v="0"/>
    <n v="62992"/>
  </r>
  <r>
    <s v="Coastal"/>
    <n v="550"/>
    <s v="South Jersey Port Corp, NJ"/>
    <n v="7110"/>
    <x v="4"/>
    <x v="2948"/>
    <n v="11100"/>
    <x v="3266"/>
    <x v="2509"/>
    <n v="62846"/>
  </r>
  <r>
    <s v="Coastal"/>
    <n v="550"/>
    <s v="South Jersey Port Corp, NJ"/>
    <n v="9900"/>
    <x v="18"/>
    <x v="10"/>
    <n v="59846"/>
    <x v="3267"/>
    <x v="1146"/>
    <n v="59846"/>
  </r>
  <r>
    <s v="Coastal"/>
    <n v="550"/>
    <s v="South Jersey Port Corp, NJ"/>
    <n v="6858"/>
    <x v="74"/>
    <x v="10"/>
    <n v="55583"/>
    <x v="3268"/>
    <x v="1005"/>
    <n v="55583"/>
  </r>
  <r>
    <s v="Coastal"/>
    <n v="550"/>
    <s v="South Jersey Port Corp, NJ"/>
    <n v="3299"/>
    <x v="79"/>
    <x v="2949"/>
    <n v="13757"/>
    <x v="3269"/>
    <x v="2510"/>
    <n v="55041"/>
  </r>
  <r>
    <s v="Coastal"/>
    <n v="550"/>
    <s v="South Jersey Port Corp, NJ"/>
    <n v="4783"/>
    <x v="7"/>
    <x v="10"/>
    <n v="53316"/>
    <x v="3270"/>
    <x v="1203"/>
    <n v="53316"/>
  </r>
  <r>
    <s v="Coastal"/>
    <n v="550"/>
    <s v="South Jersey Port Corp, NJ"/>
    <n v="5480"/>
    <x v="20"/>
    <x v="1381"/>
    <n v="51689"/>
    <x v="3271"/>
    <x v="2511"/>
    <n v="51809"/>
  </r>
  <r>
    <s v="Coastal"/>
    <n v="550"/>
    <s v="South Jersey Port Corp, NJ"/>
    <n v="6872"/>
    <x v="100"/>
    <x v="10"/>
    <n v="50096"/>
    <x v="3272"/>
    <x v="0"/>
    <n v="50096"/>
  </r>
  <r>
    <s v="Coastal"/>
    <n v="550"/>
    <s v="South Jersey Port Corp, NJ"/>
    <n v="6889"/>
    <x v="42"/>
    <x v="2950"/>
    <n v="10566"/>
    <x v="3273"/>
    <x v="2512"/>
    <n v="45369"/>
  </r>
  <r>
    <s v="Coastal"/>
    <n v="550"/>
    <s v="South Jersey Port Corp, NJ"/>
    <n v="6654"/>
    <x v="50"/>
    <x v="10"/>
    <n v="25116"/>
    <x v="3274"/>
    <x v="2513"/>
    <n v="25116"/>
  </r>
  <r>
    <s v="Coastal"/>
    <n v="550"/>
    <s v="South Jersey Port Corp, NJ"/>
    <n v="5370"/>
    <x v="81"/>
    <x v="10"/>
    <n v="17685"/>
    <x v="3275"/>
    <x v="158"/>
    <n v="17685"/>
  </r>
  <r>
    <s v="Coastal"/>
    <n v="550"/>
    <s v="South Jersey Port Corp, NJ"/>
    <n v="2640"/>
    <x v="110"/>
    <x v="10"/>
    <n v="13996"/>
    <x v="207"/>
    <x v="2514"/>
    <n v="13996"/>
  </r>
  <r>
    <s v="Coastal"/>
    <n v="550"/>
    <s v="South Jersey Port Corp, NJ"/>
    <n v="7210"/>
    <x v="59"/>
    <x v="2951"/>
    <n v="1839"/>
    <x v="2116"/>
    <x v="378"/>
    <n v="12093"/>
  </r>
  <r>
    <s v="Coastal"/>
    <n v="550"/>
    <s v="South Jersey Port Corp, NJ"/>
    <n v="3274"/>
    <x v="86"/>
    <x v="10"/>
    <n v="7133"/>
    <x v="3276"/>
    <x v="1406"/>
    <n v="7133"/>
  </r>
  <r>
    <s v="Coastal"/>
    <n v="550"/>
    <s v="South Jersey Port Corp, NJ"/>
    <n v="5429"/>
    <x v="61"/>
    <x v="10"/>
    <n v="6796"/>
    <x v="3277"/>
    <x v="1541"/>
    <n v="6796"/>
  </r>
  <r>
    <s v="Coastal"/>
    <n v="550"/>
    <s v="South Jersey Port Corp, NJ"/>
    <n v="7400"/>
    <x v="77"/>
    <x v="1288"/>
    <n v="4322"/>
    <x v="3278"/>
    <x v="2515"/>
    <n v="6121"/>
  </r>
  <r>
    <s v="Coastal"/>
    <n v="550"/>
    <s v="South Jersey Port Corp, NJ"/>
    <n v="6885"/>
    <x v="72"/>
    <x v="10"/>
    <n v="5584"/>
    <x v="3279"/>
    <x v="2516"/>
    <n v="5584"/>
  </r>
  <r>
    <s v="Coastal"/>
    <n v="550"/>
    <s v="South Jersey Port Corp, NJ"/>
    <n v="7600"/>
    <x v="68"/>
    <x v="10"/>
    <n v="5435"/>
    <x v="3280"/>
    <x v="2517"/>
    <n v="5435"/>
  </r>
  <r>
    <s v="Coastal"/>
    <n v="550"/>
    <s v="South Jersey Port Corp, NJ"/>
    <n v="3240"/>
    <x v="53"/>
    <x v="10"/>
    <n v="5205"/>
    <x v="3281"/>
    <x v="748"/>
    <n v="5205"/>
  </r>
  <r>
    <s v="Coastal"/>
    <n v="550"/>
    <s v="South Jersey Port Corp, NJ"/>
    <n v="3286"/>
    <x v="57"/>
    <x v="10"/>
    <n v="4922"/>
    <x v="3282"/>
    <x v="2518"/>
    <n v="4922"/>
  </r>
  <r>
    <s v="Coastal"/>
    <n v="550"/>
    <s v="South Jersey Port Corp, NJ"/>
    <n v="6811"/>
    <x v="76"/>
    <x v="10"/>
    <n v="4813"/>
    <x v="3283"/>
    <x v="2519"/>
    <n v="4813"/>
  </r>
  <r>
    <s v="Coastal"/>
    <n v="550"/>
    <s v="South Jersey Port Corp, NJ"/>
    <n v="3211"/>
    <x v="124"/>
    <x v="10"/>
    <n v="4657"/>
    <x v="3284"/>
    <x v="235"/>
    <n v="4657"/>
  </r>
  <r>
    <s v="Coastal"/>
    <n v="550"/>
    <s v="South Jersey Port Corp, NJ"/>
    <n v="7120"/>
    <x v="71"/>
    <x v="10"/>
    <n v="4236"/>
    <x v="3285"/>
    <x v="1529"/>
    <n v="4236"/>
  </r>
  <r>
    <s v="Coastal"/>
    <n v="550"/>
    <s v="South Jersey Port Corp, NJ"/>
    <n v="3279"/>
    <x v="58"/>
    <x v="10"/>
    <n v="3139"/>
    <x v="3286"/>
    <x v="0"/>
    <n v="3139"/>
  </r>
  <r>
    <s v="Coastal"/>
    <n v="550"/>
    <s v="South Jersey Port Corp, NJ"/>
    <n v="5290"/>
    <x v="49"/>
    <x v="10"/>
    <n v="3078"/>
    <x v="3287"/>
    <x v="1724"/>
    <n v="3078"/>
  </r>
  <r>
    <s v="Coastal"/>
    <n v="550"/>
    <s v="South Jersey Port Corp, NJ"/>
    <n v="6782"/>
    <x v="27"/>
    <x v="10"/>
    <n v="2371"/>
    <x v="973"/>
    <x v="2520"/>
    <n v="2371"/>
  </r>
  <r>
    <s v="Coastal"/>
    <n v="550"/>
    <s v="South Jersey Port Corp, NJ"/>
    <n v="6822"/>
    <x v="84"/>
    <x v="10"/>
    <n v="2137"/>
    <x v="1001"/>
    <x v="2521"/>
    <n v="2137"/>
  </r>
  <r>
    <s v="Coastal"/>
    <n v="550"/>
    <s v="South Jersey Port Corp, NJ"/>
    <n v="6747"/>
    <x v="78"/>
    <x v="10"/>
    <n v="2109"/>
    <x v="3288"/>
    <x v="53"/>
    <n v="2109"/>
  </r>
  <r>
    <s v="Coastal"/>
    <n v="550"/>
    <s v="South Jersey Port Corp, NJ"/>
    <n v="3297"/>
    <x v="116"/>
    <x v="10"/>
    <n v="1796"/>
    <x v="451"/>
    <x v="2522"/>
    <n v="1796"/>
  </r>
  <r>
    <s v="Coastal"/>
    <n v="550"/>
    <s v="South Jersey Port Corp, NJ"/>
    <n v="6888"/>
    <x v="109"/>
    <x v="10"/>
    <n v="1658"/>
    <x v="0"/>
    <x v="2523"/>
    <n v="1658"/>
  </r>
  <r>
    <s v="Coastal"/>
    <n v="550"/>
    <s v="South Jersey Port Corp, NJ"/>
    <n v="6899"/>
    <x v="114"/>
    <x v="10"/>
    <n v="1461"/>
    <x v="433"/>
    <x v="86"/>
    <n v="1461"/>
  </r>
  <r>
    <s v="Coastal"/>
    <n v="550"/>
    <s v="South Jersey Port Corp, NJ"/>
    <n v="3285"/>
    <x v="87"/>
    <x v="10"/>
    <n v="1458"/>
    <x v="3289"/>
    <x v="2524"/>
    <n v="1458"/>
  </r>
  <r>
    <s v="Coastal"/>
    <n v="550"/>
    <s v="South Jersey Port Corp, NJ"/>
    <n v="7500"/>
    <x v="60"/>
    <x v="10"/>
    <n v="1316"/>
    <x v="3290"/>
    <x v="419"/>
    <n v="1316"/>
  </r>
  <r>
    <s v="Coastal"/>
    <n v="550"/>
    <s v="South Jersey Port Corp, NJ"/>
    <n v="5422"/>
    <x v="66"/>
    <x v="10"/>
    <n v="1188"/>
    <x v="3291"/>
    <x v="86"/>
    <n v="1188"/>
  </r>
  <r>
    <s v="Coastal"/>
    <n v="550"/>
    <s v="South Jersey Port Corp, NJ"/>
    <n v="5120"/>
    <x v="63"/>
    <x v="10"/>
    <n v="1044"/>
    <x v="51"/>
    <x v="2525"/>
    <n v="1044"/>
  </r>
  <r>
    <s v="Coastal"/>
    <n v="550"/>
    <s v="South Jersey Port Corp, NJ"/>
    <n v="3275"/>
    <x v="47"/>
    <x v="10"/>
    <n v="624"/>
    <x v="145"/>
    <x v="185"/>
    <n v="624"/>
  </r>
  <r>
    <s v="Coastal"/>
    <n v="550"/>
    <s v="South Jersey Port Corp, NJ"/>
    <n v="3230"/>
    <x v="80"/>
    <x v="10"/>
    <n v="550"/>
    <x v="445"/>
    <x v="2526"/>
    <n v="550"/>
  </r>
  <r>
    <s v="Coastal"/>
    <n v="550"/>
    <s v="South Jersey Port Corp, NJ"/>
    <n v="4690"/>
    <x v="62"/>
    <x v="10"/>
    <n v="531"/>
    <x v="0"/>
    <x v="1299"/>
    <n v="531"/>
  </r>
  <r>
    <s v="Coastal"/>
    <n v="550"/>
    <s v="South Jersey Port Corp, NJ"/>
    <n v="3282"/>
    <x v="91"/>
    <x v="10"/>
    <n v="487"/>
    <x v="292"/>
    <x v="885"/>
    <n v="487"/>
  </r>
  <r>
    <s v="Coastal"/>
    <n v="550"/>
    <s v="South Jersey Port Corp, NJ"/>
    <n v="3292"/>
    <x v="51"/>
    <x v="10"/>
    <n v="458"/>
    <x v="3292"/>
    <x v="2527"/>
    <n v="458"/>
  </r>
  <r>
    <s v="Coastal"/>
    <n v="550"/>
    <s v="South Jersey Port Corp, NJ"/>
    <n v="3284"/>
    <x v="97"/>
    <x v="10"/>
    <n v="442"/>
    <x v="3293"/>
    <x v="158"/>
    <n v="442"/>
  </r>
  <r>
    <s v="Coastal"/>
    <n v="550"/>
    <s v="South Jersey Port Corp, NJ"/>
    <n v="6746"/>
    <x v="118"/>
    <x v="10"/>
    <n v="420"/>
    <x v="210"/>
    <x v="764"/>
    <n v="420"/>
  </r>
  <r>
    <s v="Coastal"/>
    <n v="550"/>
    <s v="South Jersey Port Corp, NJ"/>
    <n v="4189"/>
    <x v="65"/>
    <x v="10"/>
    <n v="415"/>
    <x v="720"/>
    <x v="2303"/>
    <n v="415"/>
  </r>
  <r>
    <s v="Coastal"/>
    <n v="550"/>
    <s v="South Jersey Port Corp, NJ"/>
    <n v="3250"/>
    <x v="108"/>
    <x v="10"/>
    <n v="390"/>
    <x v="441"/>
    <x v="127"/>
    <n v="390"/>
  </r>
  <r>
    <s v="Coastal"/>
    <n v="550"/>
    <s v="South Jersey Port Corp, NJ"/>
    <n v="3260"/>
    <x v="107"/>
    <x v="10"/>
    <n v="387"/>
    <x v="150"/>
    <x v="1749"/>
    <n v="387"/>
  </r>
  <r>
    <s v="Coastal"/>
    <n v="550"/>
    <s v="South Jersey Port Corp, NJ"/>
    <n v="5190"/>
    <x v="83"/>
    <x v="10"/>
    <n v="373"/>
    <x v="1085"/>
    <x v="165"/>
    <n v="373"/>
  </r>
  <r>
    <s v="Coastal"/>
    <n v="550"/>
    <s v="South Jersey Port Corp, NJ"/>
    <n v="6653"/>
    <x v="24"/>
    <x v="10"/>
    <n v="370"/>
    <x v="144"/>
    <x v="0"/>
    <n v="370"/>
  </r>
  <r>
    <s v="Coastal"/>
    <n v="550"/>
    <s v="South Jersey Port Corp, NJ"/>
    <n v="6136"/>
    <x v="95"/>
    <x v="10"/>
    <n v="363"/>
    <x v="3012"/>
    <x v="0"/>
    <n v="363"/>
  </r>
  <r>
    <s v="Coastal"/>
    <n v="550"/>
    <s v="South Jersey Port Corp, NJ"/>
    <n v="3276"/>
    <x v="12"/>
    <x v="10"/>
    <n v="288"/>
    <x v="3294"/>
    <x v="1406"/>
    <n v="288"/>
  </r>
  <r>
    <s v="Coastal"/>
    <n v="550"/>
    <s v="South Jersey Port Corp, NJ"/>
    <n v="4782"/>
    <x v="45"/>
    <x v="10"/>
    <n v="270"/>
    <x v="540"/>
    <x v="380"/>
    <n v="270"/>
  </r>
  <r>
    <s v="Coastal"/>
    <n v="550"/>
    <s v="South Jersey Port Corp, NJ"/>
    <n v="6781"/>
    <x v="128"/>
    <x v="10"/>
    <n v="256"/>
    <x v="0"/>
    <x v="2203"/>
    <n v="256"/>
  </r>
  <r>
    <s v="Coastal"/>
    <n v="550"/>
    <s v="South Jersey Port Corp, NJ"/>
    <n v="4225"/>
    <x v="10"/>
    <x v="10"/>
    <n v="239"/>
    <x v="212"/>
    <x v="1463"/>
    <n v="239"/>
  </r>
  <r>
    <s v="Coastal"/>
    <n v="550"/>
    <s v="South Jersey Port Corp, NJ"/>
    <n v="5240"/>
    <x v="89"/>
    <x v="10"/>
    <n v="223"/>
    <x v="968"/>
    <x v="1885"/>
    <n v="223"/>
  </r>
  <r>
    <s v="Coastal"/>
    <n v="550"/>
    <s v="South Jersey Port Corp, NJ"/>
    <n v="3110"/>
    <x v="36"/>
    <x v="10"/>
    <n v="220"/>
    <x v="0"/>
    <x v="2528"/>
    <n v="220"/>
  </r>
  <r>
    <s v="Coastal"/>
    <n v="550"/>
    <s v="South Jersey Port Corp, NJ"/>
    <n v="6134"/>
    <x v="82"/>
    <x v="10"/>
    <n v="215"/>
    <x v="599"/>
    <x v="232"/>
    <n v="215"/>
  </r>
  <r>
    <s v="Coastal"/>
    <n v="550"/>
    <s v="South Jersey Port Corp, NJ"/>
    <n v="3291"/>
    <x v="117"/>
    <x v="10"/>
    <n v="188"/>
    <x v="154"/>
    <x v="1032"/>
    <n v="188"/>
  </r>
  <r>
    <s v="Coastal"/>
    <n v="550"/>
    <s v="South Jersey Port Corp, NJ"/>
    <n v="6861"/>
    <x v="69"/>
    <x v="10"/>
    <n v="176"/>
    <x v="621"/>
    <x v="225"/>
    <n v="176"/>
  </r>
  <r>
    <s v="Coastal"/>
    <n v="550"/>
    <s v="South Jersey Port Corp, NJ"/>
    <n v="5110"/>
    <x v="112"/>
    <x v="10"/>
    <n v="174"/>
    <x v="0"/>
    <x v="227"/>
    <n v="174"/>
  </r>
  <r>
    <s v="Coastal"/>
    <n v="550"/>
    <s v="South Jersey Port Corp, NJ"/>
    <n v="6817"/>
    <x v="119"/>
    <x v="10"/>
    <n v="151"/>
    <x v="444"/>
    <x v="129"/>
    <n v="151"/>
  </r>
  <r>
    <s v="Coastal"/>
    <n v="550"/>
    <s v="South Jersey Port Corp, NJ"/>
    <n v="5390"/>
    <x v="44"/>
    <x v="10"/>
    <n v="149"/>
    <x v="3295"/>
    <x v="0"/>
    <n v="149"/>
  </r>
  <r>
    <s v="Coastal"/>
    <n v="550"/>
    <s v="South Jersey Port Corp, NJ"/>
    <n v="2990"/>
    <x v="102"/>
    <x v="10"/>
    <n v="140"/>
    <x v="953"/>
    <x v="0"/>
    <n v="140"/>
  </r>
  <r>
    <s v="Coastal"/>
    <n v="550"/>
    <s v="South Jersey Port Corp, NJ"/>
    <n v="5312"/>
    <x v="52"/>
    <x v="10"/>
    <n v="132"/>
    <x v="20"/>
    <x v="1111"/>
    <n v="132"/>
  </r>
  <r>
    <s v="Coastal"/>
    <n v="550"/>
    <s v="South Jersey Port Corp, NJ"/>
    <n v="6344"/>
    <x v="25"/>
    <x v="10"/>
    <n v="127"/>
    <x v="1523"/>
    <x v="704"/>
    <n v="127"/>
  </r>
  <r>
    <s v="Coastal"/>
    <n v="550"/>
    <s v="South Jersey Port Corp, NJ"/>
    <n v="5421"/>
    <x v="88"/>
    <x v="10"/>
    <n v="116"/>
    <x v="719"/>
    <x v="228"/>
    <n v="116"/>
  </r>
  <r>
    <s v="Coastal"/>
    <n v="550"/>
    <s v="South Jersey Port Corp, NJ"/>
    <n v="4110"/>
    <x v="105"/>
    <x v="10"/>
    <n v="103"/>
    <x v="1355"/>
    <x v="0"/>
    <n v="103"/>
  </r>
  <r>
    <s v="Coastal"/>
    <n v="550"/>
    <s v="South Jersey Port Corp, NJ"/>
    <n v="7300"/>
    <x v="115"/>
    <x v="10"/>
    <n v="80"/>
    <x v="0"/>
    <x v="1641"/>
    <n v="80"/>
  </r>
  <r>
    <s v="Coastal"/>
    <n v="550"/>
    <s v="South Jersey Port Corp, NJ"/>
    <n v="3190"/>
    <x v="38"/>
    <x v="10"/>
    <n v="73"/>
    <x v="415"/>
    <x v="2062"/>
    <n v="73"/>
  </r>
  <r>
    <s v="Coastal"/>
    <n v="550"/>
    <s v="South Jersey Port Corp, NJ"/>
    <n v="4650"/>
    <x v="67"/>
    <x v="10"/>
    <n v="67"/>
    <x v="459"/>
    <x v="271"/>
    <n v="67"/>
  </r>
  <r>
    <s v="Coastal"/>
    <n v="550"/>
    <s v="South Jersey Port Corp, NJ"/>
    <n v="7220"/>
    <x v="103"/>
    <x v="10"/>
    <n v="62"/>
    <x v="0"/>
    <x v="619"/>
    <n v="62"/>
  </r>
  <r>
    <s v="Coastal"/>
    <n v="550"/>
    <s v="South Jersey Port Corp, NJ"/>
    <n v="5315"/>
    <x v="48"/>
    <x v="10"/>
    <n v="61"/>
    <x v="0"/>
    <x v="228"/>
    <n v="61"/>
  </r>
  <r>
    <s v="Coastal"/>
    <n v="550"/>
    <s v="South Jersey Port Corp, NJ"/>
    <n v="3283"/>
    <x v="111"/>
    <x v="10"/>
    <n v="54"/>
    <x v="475"/>
    <x v="0"/>
    <n v="54"/>
  </r>
  <r>
    <s v="Coastal"/>
    <n v="550"/>
    <s v="South Jersey Port Corp, NJ"/>
    <n v="4190"/>
    <x v="99"/>
    <x v="10"/>
    <n v="52"/>
    <x v="819"/>
    <x v="411"/>
    <n v="52"/>
  </r>
  <r>
    <s v="Coastal"/>
    <n v="550"/>
    <s v="South Jersey Port Corp, NJ"/>
    <n v="4322"/>
    <x v="33"/>
    <x v="10"/>
    <n v="42"/>
    <x v="0"/>
    <x v="130"/>
    <n v="42"/>
  </r>
  <r>
    <s v="Coastal"/>
    <n v="550"/>
    <s v="South Jersey Port Corp, NJ"/>
    <n v="4331"/>
    <x v="29"/>
    <x v="10"/>
    <n v="41"/>
    <x v="212"/>
    <x v="376"/>
    <n v="41"/>
  </r>
  <r>
    <s v="Coastal"/>
    <n v="550"/>
    <s v="South Jersey Port Corp, NJ"/>
    <n v="4680"/>
    <x v="70"/>
    <x v="10"/>
    <n v="41"/>
    <x v="1019"/>
    <x v="0"/>
    <n v="41"/>
  </r>
  <r>
    <s v="Coastal"/>
    <n v="550"/>
    <s v="South Jersey Port Corp, NJ"/>
    <n v="3293"/>
    <x v="122"/>
    <x v="485"/>
    <n v="28"/>
    <x v="717"/>
    <x v="0"/>
    <n v="32"/>
  </r>
  <r>
    <s v="Coastal"/>
    <n v="550"/>
    <s v="South Jersey Port Corp, NJ"/>
    <n v="4150"/>
    <x v="101"/>
    <x v="10"/>
    <n v="21"/>
    <x v="154"/>
    <x v="0"/>
    <n v="21"/>
  </r>
  <r>
    <s v="Coastal"/>
    <n v="550"/>
    <s v="South Jersey Port Corp, NJ"/>
    <n v="2410"/>
    <x v="98"/>
    <x v="10"/>
    <n v="20"/>
    <x v="0"/>
    <x v="125"/>
    <n v="20"/>
  </r>
  <r>
    <s v="Coastal"/>
    <n v="550"/>
    <s v="South Jersey Port Corp, NJ"/>
    <n v="6442"/>
    <x v="85"/>
    <x v="10"/>
    <n v="20"/>
    <x v="416"/>
    <x v="0"/>
    <n v="20"/>
  </r>
  <r>
    <s v="Coastal"/>
    <n v="550"/>
    <s v="South Jersey Port Corp, NJ"/>
    <n v="3298"/>
    <x v="123"/>
    <x v="10"/>
    <n v="19"/>
    <x v="0"/>
    <x v="235"/>
    <n v="19"/>
  </r>
  <r>
    <s v="Coastal"/>
    <n v="550"/>
    <s v="South Jersey Port Corp, NJ"/>
    <n v="3272"/>
    <x v="137"/>
    <x v="10"/>
    <n v="15"/>
    <x v="0"/>
    <x v="220"/>
    <n v="15"/>
  </r>
  <r>
    <s v="Coastal"/>
    <n v="550"/>
    <s v="South Jersey Port Corp, NJ"/>
    <n v="4161"/>
    <x v="54"/>
    <x v="10"/>
    <n v="10"/>
    <x v="0"/>
    <x v="238"/>
    <n v="10"/>
  </r>
  <r>
    <s v="Coastal"/>
    <n v="550"/>
    <s v="South Jersey Port Corp, NJ"/>
    <n v="6839"/>
    <x v="106"/>
    <x v="10"/>
    <n v="9"/>
    <x v="0"/>
    <x v="275"/>
    <n v="9"/>
  </r>
  <r>
    <s v="Coastal"/>
    <n v="550"/>
    <s v="South Jersey Port Corp, NJ"/>
    <n v="6893"/>
    <x v="113"/>
    <x v="10"/>
    <n v="6"/>
    <x v="207"/>
    <x v="0"/>
    <n v="6"/>
  </r>
  <r>
    <s v="Coastal"/>
    <n v="550"/>
    <s v="South Jersey Port Corp, NJ"/>
    <n v="3212"/>
    <x v="39"/>
    <x v="10"/>
    <n v="5"/>
    <x v="168"/>
    <x v="0"/>
    <n v="5"/>
  </r>
  <r>
    <s v="Coastal"/>
    <n v="550"/>
    <s v="South Jersey Port Corp, NJ"/>
    <n v="7230"/>
    <x v="22"/>
    <x v="10"/>
    <n v="4"/>
    <x v="0"/>
    <x v="237"/>
    <n v="4"/>
  </r>
  <r>
    <s v="Coastal"/>
    <n v="550"/>
    <s v="South Jersey Port Corp, NJ"/>
    <n v="7800"/>
    <x v="140"/>
    <x v="485"/>
    <n v="0"/>
    <x v="0"/>
    <x v="0"/>
    <n v="4"/>
  </r>
  <r>
    <s v="Coastal"/>
    <n v="2253"/>
    <s v="South Louisiana, LA, Port of"/>
    <n v="6344"/>
    <x v="25"/>
    <x v="2952"/>
    <n v="29029715"/>
    <x v="0"/>
    <x v="2529"/>
    <n v="57066139"/>
  </r>
  <r>
    <s v="Coastal"/>
    <n v="2253"/>
    <s v="South Louisiana, LA, Port of"/>
    <n v="6522"/>
    <x v="26"/>
    <x v="2953"/>
    <n v="16825873"/>
    <x v="3296"/>
    <x v="2530"/>
    <n v="35901098"/>
  </r>
  <r>
    <s v="Coastal"/>
    <n v="2253"/>
    <s v="South Louisiana, LA, Port of"/>
    <n v="2330"/>
    <x v="1"/>
    <x v="2954"/>
    <n v="12212158"/>
    <x v="3297"/>
    <x v="2531"/>
    <n v="22694726"/>
  </r>
  <r>
    <s v="Coastal"/>
    <n v="2253"/>
    <s v="South Louisiana, LA, Port of"/>
    <n v="2100"/>
    <x v="35"/>
    <x v="2955"/>
    <n v="5531017"/>
    <x v="3298"/>
    <x v="2532"/>
    <n v="11341729"/>
  </r>
  <r>
    <s v="Coastal"/>
    <n v="2253"/>
    <s v="South Louisiana, LA, Port of"/>
    <n v="2211"/>
    <x v="0"/>
    <x v="2956"/>
    <n v="2819256"/>
    <x v="3299"/>
    <x v="2533"/>
    <n v="8803508"/>
  </r>
  <r>
    <s v="Coastal"/>
    <n v="2253"/>
    <s v="South Louisiana, LA, Port of"/>
    <n v="1100"/>
    <x v="32"/>
    <x v="2957"/>
    <n v="6473877"/>
    <x v="3300"/>
    <x v="2534"/>
    <n v="6914566"/>
  </r>
  <r>
    <s v="Coastal"/>
    <n v="2253"/>
    <s v="South Louisiana, LA, Port of"/>
    <n v="2340"/>
    <x v="3"/>
    <x v="2958"/>
    <n v="2059206"/>
    <x v="3301"/>
    <x v="2535"/>
    <n v="6664174"/>
  </r>
  <r>
    <s v="Coastal"/>
    <n v="2253"/>
    <s v="South Louisiana, LA, Port of"/>
    <n v="6782"/>
    <x v="27"/>
    <x v="2959"/>
    <n v="4318036"/>
    <x v="3302"/>
    <x v="2536"/>
    <n v="6581747"/>
  </r>
  <r>
    <s v="Coastal"/>
    <n v="2253"/>
    <s v="South Louisiana, LA, Port of"/>
    <n v="4650"/>
    <x v="67"/>
    <x v="2960"/>
    <n v="4325192"/>
    <x v="3303"/>
    <x v="2537"/>
    <n v="5878774"/>
  </r>
  <r>
    <s v="Coastal"/>
    <n v="2253"/>
    <s v="South Louisiana, LA, Port of"/>
    <n v="4410"/>
    <x v="34"/>
    <x v="2961"/>
    <n v="5045078"/>
    <x v="3304"/>
    <x v="2538"/>
    <n v="5440576"/>
  </r>
  <r>
    <s v="Coastal"/>
    <n v="2253"/>
    <s v="South Louisiana, LA, Port of"/>
    <n v="3190"/>
    <x v="38"/>
    <x v="2962"/>
    <n v="2166065"/>
    <x v="3305"/>
    <x v="0"/>
    <n v="5036784"/>
  </r>
  <r>
    <s v="Coastal"/>
    <n v="2253"/>
    <s v="South Louisiana, LA, Port of"/>
    <n v="3110"/>
    <x v="36"/>
    <x v="2963"/>
    <n v="2109271"/>
    <x v="3306"/>
    <x v="0"/>
    <n v="4684745"/>
  </r>
  <r>
    <s v="Coastal"/>
    <n v="2253"/>
    <s v="South Louisiana, LA, Port of"/>
    <n v="2430"/>
    <x v="11"/>
    <x v="2964"/>
    <n v="815125"/>
    <x v="3307"/>
    <x v="2539"/>
    <n v="3982584"/>
  </r>
  <r>
    <s v="Coastal"/>
    <n v="2253"/>
    <s v="South Louisiana, LA, Port of"/>
    <n v="5312"/>
    <x v="52"/>
    <x v="2965"/>
    <n v="1048963"/>
    <x v="3308"/>
    <x v="2540"/>
    <n v="3888593"/>
  </r>
  <r>
    <s v="Coastal"/>
    <n v="2253"/>
    <s v="South Louisiana, LA, Port of"/>
    <n v="2540"/>
    <x v="15"/>
    <x v="2966"/>
    <n v="1392107"/>
    <x v="3309"/>
    <x v="2541"/>
    <n v="3642125"/>
  </r>
  <r>
    <s v="Coastal"/>
    <n v="2253"/>
    <s v="South Louisiana, LA, Port of"/>
    <n v="6241"/>
    <x v="28"/>
    <x v="2967"/>
    <n v="1562868"/>
    <x v="0"/>
    <x v="2542"/>
    <n v="3270396"/>
  </r>
  <r>
    <s v="Coastal"/>
    <n v="2253"/>
    <s v="South Louisiana, LA, Port of"/>
    <n v="3220"/>
    <x v="2"/>
    <x v="2968"/>
    <n v="1067566"/>
    <x v="3310"/>
    <x v="2543"/>
    <n v="3240428"/>
  </r>
  <r>
    <s v="Coastal"/>
    <n v="2253"/>
    <s v="South Louisiana, LA, Port of"/>
    <n v="3130"/>
    <x v="37"/>
    <x v="2969"/>
    <n v="1452632"/>
    <x v="3311"/>
    <x v="0"/>
    <n v="3053745"/>
  </r>
  <r>
    <s v="Coastal"/>
    <n v="2253"/>
    <s v="South Louisiana, LA, Port of"/>
    <n v="6590"/>
    <x v="23"/>
    <x v="2970"/>
    <n v="13662"/>
    <x v="3312"/>
    <x v="2544"/>
    <n v="2911600"/>
  </r>
  <r>
    <s v="Coastal"/>
    <n v="2253"/>
    <s v="South Louisiana, LA, Port of"/>
    <n v="1200"/>
    <x v="43"/>
    <x v="2971"/>
    <n v="272669"/>
    <x v="2944"/>
    <x v="2545"/>
    <n v="2374667"/>
  </r>
  <r>
    <s v="Coastal"/>
    <n v="2253"/>
    <s v="South Louisiana, LA, Port of"/>
    <n v="2429"/>
    <x v="17"/>
    <x v="2972"/>
    <n v="742578"/>
    <x v="0"/>
    <x v="2546"/>
    <n v="2015556"/>
  </r>
  <r>
    <s v="Coastal"/>
    <n v="2253"/>
    <s v="South Louisiana, LA, Port of"/>
    <n v="4327"/>
    <x v="134"/>
    <x v="612"/>
    <n v="1542081"/>
    <x v="3313"/>
    <x v="0"/>
    <n v="1547832"/>
  </r>
  <r>
    <s v="Coastal"/>
    <n v="2253"/>
    <s v="South Louisiana, LA, Port of"/>
    <n v="4783"/>
    <x v="7"/>
    <x v="2973"/>
    <n v="999323"/>
    <x v="3314"/>
    <x v="0"/>
    <n v="1547594"/>
  </r>
  <r>
    <s v="Coastal"/>
    <n v="2253"/>
    <s v="South Louisiana, LA, Port of"/>
    <n v="3274"/>
    <x v="86"/>
    <x v="2974"/>
    <n v="14346"/>
    <x v="0"/>
    <x v="2547"/>
    <n v="1386888"/>
  </r>
  <r>
    <s v="Coastal"/>
    <n v="2253"/>
    <s v="South Louisiana, LA, Port of"/>
    <n v="3212"/>
    <x v="39"/>
    <x v="2975"/>
    <n v="212637"/>
    <x v="3315"/>
    <x v="0"/>
    <n v="1274467"/>
  </r>
  <r>
    <s v="Coastal"/>
    <n v="2253"/>
    <s v="South Louisiana, LA, Port of"/>
    <n v="3275"/>
    <x v="47"/>
    <x v="2976"/>
    <n v="246797"/>
    <x v="3316"/>
    <x v="2548"/>
    <n v="1175215"/>
  </r>
  <r>
    <s v="Coastal"/>
    <n v="2253"/>
    <s v="South Louisiana, LA, Port of"/>
    <n v="5220"/>
    <x v="30"/>
    <x v="2977"/>
    <n v="450196"/>
    <x v="3317"/>
    <x v="0"/>
    <n v="1093629"/>
  </r>
  <r>
    <s v="Coastal"/>
    <n v="2253"/>
    <s v="South Louisiana, LA, Port of"/>
    <n v="4420"/>
    <x v="8"/>
    <x v="2978"/>
    <n v="434224"/>
    <x v="3318"/>
    <x v="2549"/>
    <n v="1011462"/>
  </r>
  <r>
    <s v="Coastal"/>
    <n v="2253"/>
    <s v="South Louisiana, LA, Port of"/>
    <n v="6653"/>
    <x v="24"/>
    <x v="2979"/>
    <n v="424597"/>
    <x v="3319"/>
    <x v="2550"/>
    <n v="879494"/>
  </r>
  <r>
    <s v="Coastal"/>
    <n v="2253"/>
    <s v="South Louisiana, LA, Port of"/>
    <n v="3276"/>
    <x v="12"/>
    <x v="2980"/>
    <n v="371533"/>
    <x v="3320"/>
    <x v="0"/>
    <n v="797370"/>
  </r>
  <r>
    <s v="Coastal"/>
    <n v="2253"/>
    <s v="South Louisiana, LA, Port of"/>
    <n v="4900"/>
    <x v="14"/>
    <x v="2981"/>
    <n v="417853"/>
    <x v="3321"/>
    <x v="2551"/>
    <n v="794452"/>
  </r>
  <r>
    <s v="Coastal"/>
    <n v="2253"/>
    <s v="South Louisiana, LA, Port of"/>
    <n v="3219"/>
    <x v="19"/>
    <x v="2982"/>
    <n v="162985"/>
    <x v="0"/>
    <x v="2552"/>
    <n v="747173"/>
  </r>
  <r>
    <s v="Coastal"/>
    <n v="2253"/>
    <s v="South Louisiana, LA, Port of"/>
    <n v="6442"/>
    <x v="85"/>
    <x v="2983"/>
    <n v="353804"/>
    <x v="0"/>
    <x v="2553"/>
    <n v="678607"/>
  </r>
  <r>
    <s v="Coastal"/>
    <n v="2253"/>
    <s v="South Louisiana, LA, Port of"/>
    <n v="3120"/>
    <x v="41"/>
    <x v="2984"/>
    <n v="0"/>
    <x v="0"/>
    <x v="0"/>
    <n v="644963"/>
  </r>
  <r>
    <s v="Coastal"/>
    <n v="2253"/>
    <s v="South Louisiana, LA, Port of"/>
    <n v="4782"/>
    <x v="45"/>
    <x v="2985"/>
    <n v="368183"/>
    <x v="3322"/>
    <x v="0"/>
    <n v="644116"/>
  </r>
  <r>
    <s v="Coastal"/>
    <n v="2253"/>
    <s v="South Louisiana, LA, Port of"/>
    <n v="4331"/>
    <x v="29"/>
    <x v="2986"/>
    <n v="10277"/>
    <x v="3323"/>
    <x v="0"/>
    <n v="637220"/>
  </r>
  <r>
    <s v="Coastal"/>
    <n v="2253"/>
    <s v="South Louisiana, LA, Port of"/>
    <n v="3211"/>
    <x v="124"/>
    <x v="2987"/>
    <n v="56871"/>
    <x v="3324"/>
    <x v="2554"/>
    <n v="616492"/>
  </r>
  <r>
    <s v="Coastal"/>
    <n v="2253"/>
    <s v="South Louisiana, LA, Port of"/>
    <n v="3273"/>
    <x v="46"/>
    <x v="2988"/>
    <n v="304687"/>
    <x v="3325"/>
    <x v="0"/>
    <n v="555185"/>
  </r>
  <r>
    <s v="Coastal"/>
    <n v="2253"/>
    <s v="South Louisiana, LA, Port of"/>
    <n v="4322"/>
    <x v="33"/>
    <x v="2989"/>
    <n v="172454"/>
    <x v="3326"/>
    <x v="0"/>
    <n v="432485"/>
  </r>
  <r>
    <s v="Coastal"/>
    <n v="2253"/>
    <s v="South Louisiana, LA, Port of"/>
    <n v="3299"/>
    <x v="79"/>
    <x v="2990"/>
    <n v="40031"/>
    <x v="3327"/>
    <x v="2555"/>
    <n v="290054"/>
  </r>
  <r>
    <s v="Coastal"/>
    <n v="2253"/>
    <s v="South Louisiana, LA, Port of"/>
    <n v="3272"/>
    <x v="137"/>
    <x v="2991"/>
    <n v="0"/>
    <x v="0"/>
    <x v="0"/>
    <n v="241757"/>
  </r>
  <r>
    <s v="Coastal"/>
    <n v="2253"/>
    <s v="South Louisiana, LA, Port of"/>
    <n v="6443"/>
    <x v="135"/>
    <x v="2992"/>
    <n v="121254"/>
    <x v="3328"/>
    <x v="0"/>
    <n v="231495"/>
  </r>
  <r>
    <s v="Coastal"/>
    <n v="2253"/>
    <s v="South Louisiana, LA, Port of"/>
    <n v="2350"/>
    <x v="40"/>
    <x v="2993"/>
    <n v="172869"/>
    <x v="3329"/>
    <x v="2556"/>
    <n v="195602"/>
  </r>
  <r>
    <s v="Coastal"/>
    <n v="2253"/>
    <s v="South Louisiana, LA, Port of"/>
    <n v="6865"/>
    <x v="75"/>
    <x v="2994"/>
    <n v="0"/>
    <x v="0"/>
    <x v="0"/>
    <n v="175262"/>
  </r>
  <r>
    <s v="Coastal"/>
    <n v="2253"/>
    <s v="South Louisiana, LA, Port of"/>
    <n v="2221"/>
    <x v="9"/>
    <x v="2995"/>
    <n v="51755"/>
    <x v="0"/>
    <x v="2557"/>
    <n v="169450"/>
  </r>
  <r>
    <s v="Coastal"/>
    <n v="2253"/>
    <s v="South Louisiana, LA, Port of"/>
    <n v="6447"/>
    <x v="132"/>
    <x v="2996"/>
    <n v="35506"/>
    <x v="0"/>
    <x v="2558"/>
    <n v="142657"/>
  </r>
  <r>
    <s v="Coastal"/>
    <n v="2253"/>
    <s v="South Louisiana, LA, Port of"/>
    <n v="2640"/>
    <x v="110"/>
    <x v="2997"/>
    <n v="17938"/>
    <x v="0"/>
    <x v="2559"/>
    <n v="140520"/>
  </r>
  <r>
    <s v="Coastal"/>
    <n v="2253"/>
    <s v="South Louisiana, LA, Port of"/>
    <n v="3240"/>
    <x v="53"/>
    <x v="81"/>
    <n v="116709"/>
    <x v="3330"/>
    <x v="2560"/>
    <n v="118232"/>
  </r>
  <r>
    <s v="Coastal"/>
    <n v="2253"/>
    <s v="South Louisiana, LA, Port of"/>
    <n v="4860"/>
    <x v="31"/>
    <x v="2998"/>
    <n v="60847"/>
    <x v="1979"/>
    <x v="0"/>
    <n v="109984"/>
  </r>
  <r>
    <s v="Coastal"/>
    <n v="2253"/>
    <s v="South Louisiana, LA, Port of"/>
    <n v="3279"/>
    <x v="58"/>
    <x v="2999"/>
    <n v="85112"/>
    <x v="3331"/>
    <x v="0"/>
    <n v="94334"/>
  </r>
  <r>
    <s v="Coastal"/>
    <n v="2253"/>
    <s v="South Louisiana, LA, Port of"/>
    <n v="5290"/>
    <x v="49"/>
    <x v="3000"/>
    <n v="73611"/>
    <x v="3332"/>
    <x v="2561"/>
    <n v="91114"/>
  </r>
  <r>
    <s v="Coastal"/>
    <n v="2253"/>
    <s v="South Louisiana, LA, Port of"/>
    <n v="4690"/>
    <x v="62"/>
    <x v="3001"/>
    <n v="17702"/>
    <x v="3333"/>
    <x v="0"/>
    <n v="87877"/>
  </r>
  <r>
    <s v="Coastal"/>
    <n v="2253"/>
    <s v="South Louisiana, LA, Port of"/>
    <n v="5315"/>
    <x v="48"/>
    <x v="3002"/>
    <n v="35898"/>
    <x v="3334"/>
    <x v="0"/>
    <n v="73608"/>
  </r>
  <r>
    <s v="Coastal"/>
    <n v="2253"/>
    <s v="South Louisiana, LA, Port of"/>
    <n v="6654"/>
    <x v="50"/>
    <x v="3003"/>
    <n v="6650"/>
    <x v="51"/>
    <x v="2562"/>
    <n v="69877"/>
  </r>
  <r>
    <s v="Coastal"/>
    <n v="2253"/>
    <s v="South Louisiana, LA, Port of"/>
    <n v="5330"/>
    <x v="16"/>
    <x v="3004"/>
    <n v="25147"/>
    <x v="3335"/>
    <x v="0"/>
    <n v="67003"/>
  </r>
  <r>
    <s v="Coastal"/>
    <n v="2253"/>
    <s v="South Louisiana, LA, Port of"/>
    <n v="3230"/>
    <x v="80"/>
    <x v="3005"/>
    <n v="10307"/>
    <x v="698"/>
    <x v="1873"/>
    <n v="66759"/>
  </r>
  <r>
    <s v="Coastal"/>
    <n v="2253"/>
    <s v="South Louisiana, LA, Port of"/>
    <n v="6747"/>
    <x v="78"/>
    <x v="3006"/>
    <n v="0"/>
    <x v="0"/>
    <x v="0"/>
    <n v="62578"/>
  </r>
  <r>
    <s v="Coastal"/>
    <n v="2253"/>
    <s v="South Louisiana, LA, Port of"/>
    <n v="9900"/>
    <x v="18"/>
    <x v="10"/>
    <n v="60319"/>
    <x v="3336"/>
    <x v="2563"/>
    <n v="60319"/>
  </r>
  <r>
    <s v="Coastal"/>
    <n v="2253"/>
    <s v="South Louisiana, LA, Port of"/>
    <n v="5480"/>
    <x v="20"/>
    <x v="10"/>
    <n v="58936"/>
    <x v="3337"/>
    <x v="271"/>
    <n v="58936"/>
  </r>
  <r>
    <s v="Coastal"/>
    <n v="2253"/>
    <s v="South Louisiana, LA, Port of"/>
    <n v="3286"/>
    <x v="57"/>
    <x v="10"/>
    <n v="39799"/>
    <x v="3338"/>
    <x v="2564"/>
    <n v="39799"/>
  </r>
  <r>
    <s v="Coastal"/>
    <n v="2253"/>
    <s v="South Louisiana, LA, Port of"/>
    <n v="3292"/>
    <x v="51"/>
    <x v="10"/>
    <n v="30423"/>
    <x v="1602"/>
    <x v="2565"/>
    <n v="30423"/>
  </r>
  <r>
    <s v="Coastal"/>
    <n v="2253"/>
    <s v="South Louisiana, LA, Port of"/>
    <n v="2990"/>
    <x v="102"/>
    <x v="3007"/>
    <n v="5842"/>
    <x v="3339"/>
    <x v="2566"/>
    <n v="28797"/>
  </r>
  <r>
    <s v="Coastal"/>
    <n v="2253"/>
    <s v="South Louisiana, LA, Port of"/>
    <n v="3271"/>
    <x v="133"/>
    <x v="3008"/>
    <n v="0"/>
    <x v="0"/>
    <x v="0"/>
    <n v="20944"/>
  </r>
  <r>
    <s v="Coastal"/>
    <n v="2253"/>
    <s v="South Louisiana, LA, Port of"/>
    <n v="4335"/>
    <x v="5"/>
    <x v="3009"/>
    <n v="0"/>
    <x v="0"/>
    <x v="0"/>
    <n v="20120"/>
  </r>
  <r>
    <s v="Coastal"/>
    <n v="2253"/>
    <s v="South Louisiana, LA, Port of"/>
    <n v="4741"/>
    <x v="56"/>
    <x v="10"/>
    <n v="18739"/>
    <x v="0"/>
    <x v="2567"/>
    <n v="18739"/>
  </r>
  <r>
    <s v="Coastal"/>
    <n v="2253"/>
    <s v="South Louisiana, LA, Port of"/>
    <n v="7120"/>
    <x v="71"/>
    <x v="10"/>
    <n v="13756"/>
    <x v="3340"/>
    <x v="237"/>
    <n v="13756"/>
  </r>
  <r>
    <s v="Coastal"/>
    <n v="2253"/>
    <s v="South Louisiana, LA, Port of"/>
    <n v="4680"/>
    <x v="70"/>
    <x v="3010"/>
    <n v="0"/>
    <x v="0"/>
    <x v="0"/>
    <n v="13009"/>
  </r>
  <r>
    <s v="Coastal"/>
    <n v="2253"/>
    <s v="South Louisiana, LA, Port of"/>
    <n v="6861"/>
    <x v="69"/>
    <x v="3011"/>
    <n v="0"/>
    <x v="0"/>
    <x v="0"/>
    <n v="12784"/>
  </r>
  <r>
    <s v="Coastal"/>
    <n v="2253"/>
    <s v="South Louisiana, LA, Port of"/>
    <n v="6838"/>
    <x v="131"/>
    <x v="10"/>
    <n v="12548"/>
    <x v="3341"/>
    <x v="2568"/>
    <n v="12548"/>
  </r>
  <r>
    <s v="Coastal"/>
    <n v="2253"/>
    <s v="South Louisiana, LA, Port of"/>
    <n v="5429"/>
    <x v="61"/>
    <x v="3012"/>
    <n v="8460"/>
    <x v="3342"/>
    <x v="0"/>
    <n v="11581"/>
  </r>
  <r>
    <s v="Coastal"/>
    <n v="2253"/>
    <s v="South Louisiana, LA, Port of"/>
    <n v="7600"/>
    <x v="68"/>
    <x v="3013"/>
    <n v="8729"/>
    <x v="2594"/>
    <x v="2569"/>
    <n v="10275"/>
  </r>
  <r>
    <s v="Coastal"/>
    <n v="2253"/>
    <s v="South Louisiana, LA, Port of"/>
    <n v="5360"/>
    <x v="94"/>
    <x v="3014"/>
    <n v="15"/>
    <x v="0"/>
    <x v="220"/>
    <n v="9048"/>
  </r>
  <r>
    <s v="Coastal"/>
    <n v="2253"/>
    <s v="South Louisiana, LA, Port of"/>
    <n v="4323"/>
    <x v="6"/>
    <x v="3015"/>
    <n v="4643"/>
    <x v="3343"/>
    <x v="0"/>
    <n v="6181"/>
  </r>
  <r>
    <s v="Coastal"/>
    <n v="2253"/>
    <s v="South Louisiana, LA, Port of"/>
    <n v="4670"/>
    <x v="90"/>
    <x v="3016"/>
    <n v="0"/>
    <x v="0"/>
    <x v="0"/>
    <n v="6168"/>
  </r>
  <r>
    <s v="Coastal"/>
    <n v="2253"/>
    <s v="South Louisiana, LA, Port of"/>
    <n v="3260"/>
    <x v="107"/>
    <x v="10"/>
    <n v="4743"/>
    <x v="1781"/>
    <x v="2570"/>
    <n v="4743"/>
  </r>
  <r>
    <s v="Coastal"/>
    <n v="2253"/>
    <s v="South Louisiana, LA, Port of"/>
    <n v="7900"/>
    <x v="21"/>
    <x v="10"/>
    <n v="4594"/>
    <x v="3344"/>
    <x v="1973"/>
    <n v="4594"/>
  </r>
  <r>
    <s v="Coastal"/>
    <n v="2253"/>
    <s v="South Louisiana, LA, Port of"/>
    <n v="6889"/>
    <x v="42"/>
    <x v="10"/>
    <n v="4497"/>
    <x v="3344"/>
    <x v="0"/>
    <n v="4497"/>
  </r>
  <r>
    <s v="Coastal"/>
    <n v="2253"/>
    <s v="South Louisiana, LA, Port of"/>
    <n v="4630"/>
    <x v="127"/>
    <x v="3017"/>
    <n v="0"/>
    <x v="0"/>
    <x v="0"/>
    <n v="3975"/>
  </r>
  <r>
    <s v="Coastal"/>
    <n v="2253"/>
    <s v="South Louisiana, LA, Port of"/>
    <n v="5422"/>
    <x v="66"/>
    <x v="3018"/>
    <n v="4"/>
    <x v="0"/>
    <x v="237"/>
    <n v="3565"/>
  </r>
  <r>
    <s v="Coastal"/>
    <n v="2253"/>
    <s v="South Louisiana, LA, Port of"/>
    <n v="3298"/>
    <x v="123"/>
    <x v="10"/>
    <n v="3320"/>
    <x v="0"/>
    <x v="2571"/>
    <n v="3320"/>
  </r>
  <r>
    <s v="Coastal"/>
    <n v="2253"/>
    <s v="South Louisiana, LA, Port of"/>
    <n v="5240"/>
    <x v="89"/>
    <x v="10"/>
    <n v="3307"/>
    <x v="3312"/>
    <x v="0"/>
    <n v="3307"/>
  </r>
  <r>
    <s v="Coastal"/>
    <n v="2253"/>
    <s v="South Louisiana, LA, Port of"/>
    <n v="7500"/>
    <x v="60"/>
    <x v="10"/>
    <n v="3234"/>
    <x v="3345"/>
    <x v="2572"/>
    <n v="3234"/>
  </r>
  <r>
    <s v="Coastal"/>
    <n v="2253"/>
    <s v="South Louisiana, LA, Port of"/>
    <n v="5190"/>
    <x v="83"/>
    <x v="10"/>
    <n v="2766"/>
    <x v="1273"/>
    <x v="0"/>
    <n v="2766"/>
  </r>
  <r>
    <s v="Coastal"/>
    <n v="2253"/>
    <s v="South Louisiana, LA, Port of"/>
    <n v="3297"/>
    <x v="116"/>
    <x v="10"/>
    <n v="1937"/>
    <x v="3346"/>
    <x v="2573"/>
    <n v="1937"/>
  </r>
  <r>
    <s v="Coastal"/>
    <n v="2253"/>
    <s v="South Louisiana, LA, Port of"/>
    <n v="6857"/>
    <x v="104"/>
    <x v="1497"/>
    <n v="0"/>
    <x v="0"/>
    <x v="0"/>
    <n v="1500"/>
  </r>
  <r>
    <s v="Coastal"/>
    <n v="2253"/>
    <s v="South Louisiana, LA, Port of"/>
    <n v="5390"/>
    <x v="44"/>
    <x v="3019"/>
    <n v="0"/>
    <x v="0"/>
    <x v="0"/>
    <n v="1448"/>
  </r>
  <r>
    <s v="Coastal"/>
    <n v="2253"/>
    <s v="South Louisiana, LA, Port of"/>
    <n v="7110"/>
    <x v="4"/>
    <x v="577"/>
    <n v="62"/>
    <x v="719"/>
    <x v="166"/>
    <n v="812"/>
  </r>
  <r>
    <s v="Coastal"/>
    <n v="2253"/>
    <s v="South Louisiana, LA, Port of"/>
    <n v="3250"/>
    <x v="108"/>
    <x v="10"/>
    <n v="630"/>
    <x v="3347"/>
    <x v="130"/>
    <n v="630"/>
  </r>
  <r>
    <s v="Coastal"/>
    <n v="2253"/>
    <s v="South Louisiana, LA, Port of"/>
    <n v="6885"/>
    <x v="72"/>
    <x v="10"/>
    <n v="393"/>
    <x v="0"/>
    <x v="2574"/>
    <n v="393"/>
  </r>
  <r>
    <s v="Coastal"/>
    <n v="2253"/>
    <s v="South Louisiana, LA, Port of"/>
    <n v="3282"/>
    <x v="91"/>
    <x v="10"/>
    <n v="221"/>
    <x v="386"/>
    <x v="0"/>
    <n v="221"/>
  </r>
  <r>
    <s v="Coastal"/>
    <n v="2253"/>
    <s v="South Louisiana, LA, Port of"/>
    <n v="3283"/>
    <x v="111"/>
    <x v="10"/>
    <n v="126"/>
    <x v="1492"/>
    <x v="0"/>
    <n v="126"/>
  </r>
  <r>
    <s v="Coastal"/>
    <n v="2253"/>
    <s v="South Louisiana, LA, Port of"/>
    <n v="3291"/>
    <x v="117"/>
    <x v="10"/>
    <n v="94"/>
    <x v="0"/>
    <x v="781"/>
    <n v="94"/>
  </r>
  <r>
    <s v="Coastal"/>
    <n v="2253"/>
    <s v="South Louisiana, LA, Port of"/>
    <n v="7210"/>
    <x v="59"/>
    <x v="10"/>
    <n v="23"/>
    <x v="212"/>
    <x v="129"/>
    <n v="23"/>
  </r>
  <r>
    <s v="Coastal"/>
    <n v="2253"/>
    <s v="South Louisiana, LA, Port of"/>
    <n v="7230"/>
    <x v="22"/>
    <x v="10"/>
    <n v="22"/>
    <x v="210"/>
    <x v="0"/>
    <n v="22"/>
  </r>
  <r>
    <s v="Coastal"/>
    <n v="2253"/>
    <s v="South Louisiana, LA, Port of"/>
    <n v="5421"/>
    <x v="88"/>
    <x v="10"/>
    <n v="17"/>
    <x v="0"/>
    <x v="133"/>
    <n v="17"/>
  </r>
  <r>
    <s v="Coastal"/>
    <n v="2253"/>
    <s v="South Louisiana, LA, Port of"/>
    <n v="5120"/>
    <x v="63"/>
    <x v="10"/>
    <n v="12"/>
    <x v="0"/>
    <x v="1007"/>
    <n v="12"/>
  </r>
  <r>
    <s v="Coastal"/>
    <n v="2253"/>
    <s v="South Louisiana, LA, Port of"/>
    <n v="5540"/>
    <x v="64"/>
    <x v="10"/>
    <n v="11"/>
    <x v="0"/>
    <x v="274"/>
    <n v="11"/>
  </r>
  <r>
    <s v="Internal"/>
    <n v="2368"/>
    <s v="Southeast Missouri Port, MO"/>
    <n v="4331"/>
    <x v="29"/>
    <x v="3020"/>
    <n v="0"/>
    <x v="0"/>
    <x v="0"/>
    <n v="2745092"/>
  </r>
  <r>
    <s v="Internal"/>
    <n v="2368"/>
    <s v="Southeast Missouri Port, MO"/>
    <n v="5220"/>
    <x v="30"/>
    <x v="3021"/>
    <n v="0"/>
    <x v="0"/>
    <x v="0"/>
    <n v="631100"/>
  </r>
  <r>
    <s v="Internal"/>
    <n v="2368"/>
    <s v="Southeast Missouri Port, MO"/>
    <n v="6344"/>
    <x v="25"/>
    <x v="3022"/>
    <n v="0"/>
    <x v="0"/>
    <x v="0"/>
    <n v="403150"/>
  </r>
  <r>
    <s v="Internal"/>
    <n v="2368"/>
    <s v="Southeast Missouri Port, MO"/>
    <n v="6522"/>
    <x v="26"/>
    <x v="3023"/>
    <n v="0"/>
    <x v="0"/>
    <x v="0"/>
    <n v="327725"/>
  </r>
  <r>
    <s v="Internal"/>
    <n v="2368"/>
    <s v="Southeast Missouri Port, MO"/>
    <n v="4690"/>
    <x v="62"/>
    <x v="3024"/>
    <n v="0"/>
    <x v="0"/>
    <x v="0"/>
    <n v="182320"/>
  </r>
  <r>
    <s v="Internal"/>
    <n v="2368"/>
    <s v="Southeast Missouri Port, MO"/>
    <n v="2211"/>
    <x v="0"/>
    <x v="3025"/>
    <n v="0"/>
    <x v="0"/>
    <x v="0"/>
    <n v="132053"/>
  </r>
  <r>
    <s v="Internal"/>
    <n v="2368"/>
    <s v="Southeast Missouri Port, MO"/>
    <n v="4161"/>
    <x v="54"/>
    <x v="3026"/>
    <n v="0"/>
    <x v="0"/>
    <x v="0"/>
    <n v="123873"/>
  </r>
  <r>
    <s v="Internal"/>
    <n v="2368"/>
    <s v="Southeast Missouri Port, MO"/>
    <n v="6241"/>
    <x v="28"/>
    <x v="3027"/>
    <n v="0"/>
    <x v="0"/>
    <x v="0"/>
    <n v="98230"/>
  </r>
  <r>
    <s v="Internal"/>
    <n v="2368"/>
    <s v="Southeast Missouri Port, MO"/>
    <n v="4322"/>
    <x v="33"/>
    <x v="3028"/>
    <n v="0"/>
    <x v="0"/>
    <x v="0"/>
    <n v="73154"/>
  </r>
  <r>
    <s v="Internal"/>
    <n v="2368"/>
    <s v="Southeast Missouri Port, MO"/>
    <n v="4335"/>
    <x v="5"/>
    <x v="3029"/>
    <n v="0"/>
    <x v="0"/>
    <x v="0"/>
    <n v="66661"/>
  </r>
  <r>
    <s v="Internal"/>
    <n v="2368"/>
    <s v="Southeast Missouri Port, MO"/>
    <n v="3110"/>
    <x v="36"/>
    <x v="3030"/>
    <n v="0"/>
    <x v="0"/>
    <x v="0"/>
    <n v="59042"/>
  </r>
  <r>
    <s v="Internal"/>
    <n v="2368"/>
    <s v="Southeast Missouri Port, MO"/>
    <n v="4860"/>
    <x v="31"/>
    <x v="3031"/>
    <n v="0"/>
    <x v="0"/>
    <x v="0"/>
    <n v="47891"/>
  </r>
  <r>
    <s v="Internal"/>
    <n v="2368"/>
    <s v="Southeast Missouri Port, MO"/>
    <n v="3130"/>
    <x v="37"/>
    <x v="3032"/>
    <n v="0"/>
    <x v="0"/>
    <x v="0"/>
    <n v="32637"/>
  </r>
  <r>
    <s v="Internal"/>
    <n v="2368"/>
    <s v="Southeast Missouri Port, MO"/>
    <n v="5390"/>
    <x v="44"/>
    <x v="3033"/>
    <n v="0"/>
    <x v="0"/>
    <x v="0"/>
    <n v="28444"/>
  </r>
  <r>
    <s v="Internal"/>
    <n v="2368"/>
    <s v="Southeast Missouri Port, MO"/>
    <n v="5315"/>
    <x v="48"/>
    <x v="3034"/>
    <n v="0"/>
    <x v="0"/>
    <x v="0"/>
    <n v="19337"/>
  </r>
  <r>
    <s v="Internal"/>
    <n v="2368"/>
    <s v="Southeast Missouri Port, MO"/>
    <n v="3190"/>
    <x v="38"/>
    <x v="3035"/>
    <n v="0"/>
    <x v="0"/>
    <x v="0"/>
    <n v="19305"/>
  </r>
  <r>
    <s v="Internal"/>
    <n v="2368"/>
    <s v="Southeast Missouri Port, MO"/>
    <n v="3276"/>
    <x v="12"/>
    <x v="3036"/>
    <n v="0"/>
    <x v="0"/>
    <x v="0"/>
    <n v="18195"/>
  </r>
  <r>
    <s v="Internal"/>
    <n v="2368"/>
    <s v="Southeast Missouri Port, MO"/>
    <n v="6442"/>
    <x v="85"/>
    <x v="3037"/>
    <n v="0"/>
    <x v="0"/>
    <x v="0"/>
    <n v="16157"/>
  </r>
  <r>
    <s v="Internal"/>
    <n v="2368"/>
    <s v="Southeast Missouri Port, MO"/>
    <n v="5360"/>
    <x v="94"/>
    <x v="3038"/>
    <n v="0"/>
    <x v="0"/>
    <x v="0"/>
    <n v="15824"/>
  </r>
  <r>
    <s v="Internal"/>
    <n v="2368"/>
    <s v="Southeast Missouri Port, MO"/>
    <n v="2330"/>
    <x v="1"/>
    <x v="3039"/>
    <n v="0"/>
    <x v="0"/>
    <x v="0"/>
    <n v="11551"/>
  </r>
  <r>
    <s v="Internal"/>
    <n v="2368"/>
    <s v="Southeast Missouri Port, MO"/>
    <n v="5290"/>
    <x v="49"/>
    <x v="3040"/>
    <n v="0"/>
    <x v="0"/>
    <x v="0"/>
    <n v="7015"/>
  </r>
  <r>
    <s v="Internal"/>
    <n v="2368"/>
    <s v="Southeast Missouri Port, MO"/>
    <n v="4670"/>
    <x v="90"/>
    <x v="3041"/>
    <n v="0"/>
    <x v="0"/>
    <x v="0"/>
    <n v="6093"/>
  </r>
  <r>
    <s v="Internal"/>
    <n v="2368"/>
    <s v="Southeast Missouri Port, MO"/>
    <n v="3120"/>
    <x v="41"/>
    <x v="3042"/>
    <n v="0"/>
    <x v="0"/>
    <x v="0"/>
    <n v="4350"/>
  </r>
  <r>
    <s v="Internal"/>
    <n v="2368"/>
    <s v="Southeast Missouri Port, MO"/>
    <n v="4783"/>
    <x v="7"/>
    <x v="3043"/>
    <n v="0"/>
    <x v="0"/>
    <x v="0"/>
    <n v="2535"/>
  </r>
  <r>
    <s v="Internal"/>
    <n v="2368"/>
    <s v="Southeast Missouri Port, MO"/>
    <n v="6654"/>
    <x v="50"/>
    <x v="3044"/>
    <n v="0"/>
    <x v="0"/>
    <x v="0"/>
    <n v="1851"/>
  </r>
  <r>
    <s v="Internal"/>
    <n v="2368"/>
    <s v="Southeast Missouri Port, MO"/>
    <n v="1100"/>
    <x v="32"/>
    <x v="3045"/>
    <n v="0"/>
    <x v="0"/>
    <x v="0"/>
    <n v="1750"/>
  </r>
  <r>
    <s v="Internal"/>
    <n v="2368"/>
    <s v="Southeast Missouri Port, MO"/>
    <n v="4782"/>
    <x v="45"/>
    <x v="3046"/>
    <n v="0"/>
    <x v="0"/>
    <x v="0"/>
    <n v="1662"/>
  </r>
  <r>
    <s v="Internal"/>
    <n v="2368"/>
    <s v="Southeast Missouri Port, MO"/>
    <n v="5330"/>
    <x v="16"/>
    <x v="631"/>
    <n v="0"/>
    <x v="0"/>
    <x v="0"/>
    <n v="1510"/>
  </r>
  <r>
    <s v="Internal"/>
    <n v="2368"/>
    <s v="Southeast Missouri Port, MO"/>
    <n v="6782"/>
    <x v="27"/>
    <x v="632"/>
    <n v="0"/>
    <x v="0"/>
    <x v="0"/>
    <n v="1400"/>
  </r>
  <r>
    <s v="Internal"/>
    <n v="2368"/>
    <s v="Southeast Missouri Port, MO"/>
    <n v="5429"/>
    <x v="61"/>
    <x v="3047"/>
    <n v="0"/>
    <x v="0"/>
    <x v="0"/>
    <n v="1127"/>
  </r>
  <r>
    <s v="Internal"/>
    <n v="2363"/>
    <s v="Southern Indiana District, IN"/>
    <n v="4322"/>
    <x v="33"/>
    <x v="3048"/>
    <n v="0"/>
    <x v="0"/>
    <x v="0"/>
    <n v="5385216"/>
  </r>
  <r>
    <s v="Internal"/>
    <n v="2363"/>
    <s v="Southern Indiana District, IN"/>
    <n v="1100"/>
    <x v="32"/>
    <x v="3049"/>
    <n v="0"/>
    <x v="0"/>
    <x v="0"/>
    <n v="5164261"/>
  </r>
  <r>
    <s v="Internal"/>
    <n v="2363"/>
    <s v="Southern Indiana District, IN"/>
    <n v="6344"/>
    <x v="25"/>
    <x v="3050"/>
    <n v="0"/>
    <x v="0"/>
    <x v="0"/>
    <n v="2817214"/>
  </r>
  <r>
    <s v="Internal"/>
    <n v="2363"/>
    <s v="Southern Indiana District, IN"/>
    <n v="4331"/>
    <x v="29"/>
    <x v="3051"/>
    <n v="0"/>
    <x v="0"/>
    <x v="0"/>
    <n v="1776190"/>
  </r>
  <r>
    <s v="Internal"/>
    <n v="2363"/>
    <s v="Southern Indiana District, IN"/>
    <n v="2211"/>
    <x v="0"/>
    <x v="3052"/>
    <n v="0"/>
    <x v="0"/>
    <x v="0"/>
    <n v="1592327"/>
  </r>
  <r>
    <s v="Internal"/>
    <n v="2363"/>
    <s v="Southern Indiana District, IN"/>
    <n v="6522"/>
    <x v="26"/>
    <x v="3053"/>
    <n v="0"/>
    <x v="0"/>
    <x v="0"/>
    <n v="1480047"/>
  </r>
  <r>
    <s v="Internal"/>
    <n v="2363"/>
    <s v="Southern Indiana District, IN"/>
    <n v="2330"/>
    <x v="1"/>
    <x v="3054"/>
    <n v="0"/>
    <x v="0"/>
    <x v="0"/>
    <n v="1332682"/>
  </r>
  <r>
    <s v="Internal"/>
    <n v="2363"/>
    <s v="Southern Indiana District, IN"/>
    <n v="6590"/>
    <x v="23"/>
    <x v="3055"/>
    <n v="0"/>
    <x v="0"/>
    <x v="0"/>
    <n v="660637"/>
  </r>
  <r>
    <s v="Internal"/>
    <n v="2363"/>
    <s v="Southern Indiana District, IN"/>
    <n v="6782"/>
    <x v="27"/>
    <x v="3056"/>
    <n v="0"/>
    <x v="0"/>
    <x v="0"/>
    <n v="448786"/>
  </r>
  <r>
    <s v="Internal"/>
    <n v="2363"/>
    <s v="Southern Indiana District, IN"/>
    <n v="3220"/>
    <x v="2"/>
    <x v="3057"/>
    <n v="0"/>
    <x v="0"/>
    <x v="0"/>
    <n v="403967"/>
  </r>
  <r>
    <s v="Internal"/>
    <n v="2363"/>
    <s v="Southern Indiana District, IN"/>
    <n v="3110"/>
    <x v="36"/>
    <x v="3058"/>
    <n v="0"/>
    <x v="0"/>
    <x v="0"/>
    <n v="370306"/>
  </r>
  <r>
    <s v="Internal"/>
    <n v="2363"/>
    <s v="Southern Indiana District, IN"/>
    <n v="3219"/>
    <x v="19"/>
    <x v="3059"/>
    <n v="0"/>
    <x v="0"/>
    <x v="0"/>
    <n v="355858"/>
  </r>
  <r>
    <s v="Internal"/>
    <n v="2363"/>
    <s v="Southern Indiana District, IN"/>
    <n v="3130"/>
    <x v="37"/>
    <x v="3060"/>
    <n v="0"/>
    <x v="0"/>
    <x v="0"/>
    <n v="312783"/>
  </r>
  <r>
    <s v="Internal"/>
    <n v="2363"/>
    <s v="Southern Indiana District, IN"/>
    <n v="4650"/>
    <x v="67"/>
    <x v="3061"/>
    <n v="0"/>
    <x v="0"/>
    <x v="0"/>
    <n v="303101"/>
  </r>
  <r>
    <s v="Internal"/>
    <n v="2363"/>
    <s v="Southern Indiana District, IN"/>
    <n v="4783"/>
    <x v="7"/>
    <x v="3062"/>
    <n v="0"/>
    <x v="0"/>
    <x v="0"/>
    <n v="273107"/>
  </r>
  <r>
    <s v="Internal"/>
    <n v="2363"/>
    <s v="Southern Indiana District, IN"/>
    <n v="4323"/>
    <x v="6"/>
    <x v="3063"/>
    <n v="0"/>
    <x v="0"/>
    <x v="0"/>
    <n v="148460"/>
  </r>
  <r>
    <s v="Internal"/>
    <n v="2363"/>
    <s v="Southern Indiana District, IN"/>
    <n v="6653"/>
    <x v="24"/>
    <x v="3064"/>
    <n v="0"/>
    <x v="0"/>
    <x v="0"/>
    <n v="143752"/>
  </r>
  <r>
    <s v="Internal"/>
    <n v="2363"/>
    <s v="Southern Indiana District, IN"/>
    <n v="5330"/>
    <x v="16"/>
    <x v="3065"/>
    <n v="0"/>
    <x v="0"/>
    <x v="0"/>
    <n v="130912"/>
  </r>
  <r>
    <s v="Internal"/>
    <n v="2363"/>
    <s v="Southern Indiana District, IN"/>
    <n v="2430"/>
    <x v="11"/>
    <x v="3066"/>
    <n v="0"/>
    <x v="0"/>
    <x v="0"/>
    <n v="109632"/>
  </r>
  <r>
    <s v="Internal"/>
    <n v="2363"/>
    <s v="Southern Indiana District, IN"/>
    <n v="6443"/>
    <x v="135"/>
    <x v="3067"/>
    <n v="0"/>
    <x v="0"/>
    <x v="0"/>
    <n v="103997"/>
  </r>
  <r>
    <s v="Internal"/>
    <n v="2363"/>
    <s v="Southern Indiana District, IN"/>
    <n v="3190"/>
    <x v="38"/>
    <x v="3068"/>
    <n v="0"/>
    <x v="0"/>
    <x v="0"/>
    <n v="91381"/>
  </r>
  <r>
    <s v="Internal"/>
    <n v="2363"/>
    <s v="Southern Indiana District, IN"/>
    <n v="5312"/>
    <x v="52"/>
    <x v="3069"/>
    <n v="0"/>
    <x v="0"/>
    <x v="0"/>
    <n v="86588"/>
  </r>
  <r>
    <s v="Internal"/>
    <n v="2363"/>
    <s v="Southern Indiana District, IN"/>
    <n v="4900"/>
    <x v="14"/>
    <x v="3070"/>
    <n v="0"/>
    <x v="0"/>
    <x v="0"/>
    <n v="85989"/>
  </r>
  <r>
    <s v="Internal"/>
    <n v="2363"/>
    <s v="Southern Indiana District, IN"/>
    <n v="5220"/>
    <x v="30"/>
    <x v="3071"/>
    <n v="0"/>
    <x v="0"/>
    <x v="0"/>
    <n v="63284"/>
  </r>
  <r>
    <s v="Internal"/>
    <n v="2363"/>
    <s v="Southern Indiana District, IN"/>
    <n v="2540"/>
    <x v="15"/>
    <x v="3072"/>
    <n v="0"/>
    <x v="0"/>
    <x v="0"/>
    <n v="62460"/>
  </r>
  <r>
    <s v="Internal"/>
    <n v="2363"/>
    <s v="Southern Indiana District, IN"/>
    <n v="3260"/>
    <x v="107"/>
    <x v="3073"/>
    <n v="0"/>
    <x v="0"/>
    <x v="0"/>
    <n v="56119"/>
  </r>
  <r>
    <s v="Internal"/>
    <n v="2363"/>
    <s v="Southern Indiana District, IN"/>
    <n v="6241"/>
    <x v="28"/>
    <x v="3074"/>
    <n v="0"/>
    <x v="0"/>
    <x v="0"/>
    <n v="50655"/>
  </r>
  <r>
    <s v="Internal"/>
    <n v="2363"/>
    <s v="Southern Indiana District, IN"/>
    <n v="4410"/>
    <x v="34"/>
    <x v="3075"/>
    <n v="0"/>
    <x v="0"/>
    <x v="0"/>
    <n v="50422"/>
  </r>
  <r>
    <s v="Internal"/>
    <n v="2363"/>
    <s v="Southern Indiana District, IN"/>
    <n v="3273"/>
    <x v="46"/>
    <x v="3076"/>
    <n v="0"/>
    <x v="0"/>
    <x v="0"/>
    <n v="45000"/>
  </r>
  <r>
    <s v="Internal"/>
    <n v="2363"/>
    <s v="Southern Indiana District, IN"/>
    <n v="2340"/>
    <x v="3"/>
    <x v="3077"/>
    <n v="0"/>
    <x v="0"/>
    <x v="0"/>
    <n v="34334"/>
  </r>
  <r>
    <s v="Internal"/>
    <n v="2363"/>
    <s v="Southern Indiana District, IN"/>
    <n v="5480"/>
    <x v="20"/>
    <x v="3078"/>
    <n v="0"/>
    <x v="0"/>
    <x v="0"/>
    <n v="32984"/>
  </r>
  <r>
    <s v="Internal"/>
    <n v="2363"/>
    <s v="Southern Indiana District, IN"/>
    <n v="3120"/>
    <x v="41"/>
    <x v="3079"/>
    <n v="0"/>
    <x v="0"/>
    <x v="0"/>
    <n v="32241"/>
  </r>
  <r>
    <s v="Internal"/>
    <n v="2363"/>
    <s v="Southern Indiana District, IN"/>
    <n v="2221"/>
    <x v="9"/>
    <x v="3080"/>
    <n v="0"/>
    <x v="0"/>
    <x v="0"/>
    <n v="31886"/>
  </r>
  <r>
    <s v="Internal"/>
    <n v="2363"/>
    <s v="Southern Indiana District, IN"/>
    <n v="4420"/>
    <x v="8"/>
    <x v="3081"/>
    <n v="0"/>
    <x v="0"/>
    <x v="0"/>
    <n v="31232"/>
  </r>
  <r>
    <s v="Internal"/>
    <n v="2363"/>
    <s v="Southern Indiana District, IN"/>
    <n v="5360"/>
    <x v="94"/>
    <x v="3082"/>
    <n v="0"/>
    <x v="0"/>
    <x v="0"/>
    <n v="21136"/>
  </r>
  <r>
    <s v="Internal"/>
    <n v="2363"/>
    <s v="Southern Indiana District, IN"/>
    <n v="4335"/>
    <x v="5"/>
    <x v="3083"/>
    <n v="0"/>
    <x v="0"/>
    <x v="0"/>
    <n v="19574"/>
  </r>
  <r>
    <s v="Internal"/>
    <n v="2363"/>
    <s v="Southern Indiana District, IN"/>
    <n v="5390"/>
    <x v="44"/>
    <x v="3084"/>
    <n v="0"/>
    <x v="0"/>
    <x v="0"/>
    <n v="17903"/>
  </r>
  <r>
    <s v="Internal"/>
    <n v="2363"/>
    <s v="Southern Indiana District, IN"/>
    <n v="3276"/>
    <x v="12"/>
    <x v="3085"/>
    <n v="0"/>
    <x v="0"/>
    <x v="0"/>
    <n v="14941"/>
  </r>
  <r>
    <s v="Internal"/>
    <n v="2363"/>
    <s v="Southern Indiana District, IN"/>
    <n v="1200"/>
    <x v="43"/>
    <x v="3086"/>
    <n v="0"/>
    <x v="0"/>
    <x v="0"/>
    <n v="14137"/>
  </r>
  <r>
    <s v="Internal"/>
    <n v="2363"/>
    <s v="Southern Indiana District, IN"/>
    <n v="2429"/>
    <x v="17"/>
    <x v="3087"/>
    <n v="0"/>
    <x v="0"/>
    <x v="0"/>
    <n v="8351"/>
  </r>
  <r>
    <s v="Internal"/>
    <n v="2363"/>
    <s v="Southern Indiana District, IN"/>
    <n v="7110"/>
    <x v="4"/>
    <x v="3088"/>
    <n v="0"/>
    <x v="0"/>
    <x v="0"/>
    <n v="6700"/>
  </r>
  <r>
    <s v="Internal"/>
    <n v="2363"/>
    <s v="Southern Indiana District, IN"/>
    <n v="5422"/>
    <x v="66"/>
    <x v="3089"/>
    <n v="0"/>
    <x v="0"/>
    <x v="0"/>
    <n v="4301"/>
  </r>
  <r>
    <s v="Internal"/>
    <n v="2363"/>
    <s v="Southern Indiana District, IN"/>
    <n v="5315"/>
    <x v="48"/>
    <x v="3090"/>
    <n v="0"/>
    <x v="0"/>
    <x v="0"/>
    <n v="2975"/>
  </r>
  <r>
    <s v="Internal"/>
    <n v="2363"/>
    <s v="Southern Indiana District, IN"/>
    <n v="4782"/>
    <x v="45"/>
    <x v="3046"/>
    <n v="0"/>
    <x v="0"/>
    <x v="0"/>
    <n v="1662"/>
  </r>
  <r>
    <s v="Coastal"/>
    <n v="539"/>
    <s v="Southold, NY"/>
    <n v="2340"/>
    <x v="3"/>
    <x v="450"/>
    <n v="0"/>
    <x v="0"/>
    <x v="0"/>
    <n v="1656"/>
  </r>
  <r>
    <s v="Coastal"/>
    <n v="539"/>
    <s v="Southold, NY"/>
    <n v="2330"/>
    <x v="1"/>
    <x v="228"/>
    <n v="0"/>
    <x v="0"/>
    <x v="0"/>
    <n v="1471"/>
  </r>
  <r>
    <s v="Internal"/>
    <n v="2319"/>
    <s v="Southwest Regional Port, IL"/>
    <n v="6344"/>
    <x v="25"/>
    <x v="3091"/>
    <n v="0"/>
    <x v="0"/>
    <x v="0"/>
    <n v="3748611"/>
  </r>
  <r>
    <s v="Internal"/>
    <n v="2319"/>
    <s v="Southwest Regional Port, IL"/>
    <n v="6522"/>
    <x v="26"/>
    <x v="3092"/>
    <n v="0"/>
    <x v="0"/>
    <x v="0"/>
    <n v="1844214"/>
  </r>
  <r>
    <s v="Internal"/>
    <n v="2319"/>
    <s v="Southwest Regional Port, IL"/>
    <n v="1100"/>
    <x v="32"/>
    <x v="3093"/>
    <n v="0"/>
    <x v="0"/>
    <x v="0"/>
    <n v="952429"/>
  </r>
  <r>
    <s v="Internal"/>
    <n v="2319"/>
    <s v="Southwest Regional Port, IL"/>
    <n v="3220"/>
    <x v="2"/>
    <x v="3094"/>
    <n v="0"/>
    <x v="0"/>
    <x v="0"/>
    <n v="649605"/>
  </r>
  <r>
    <s v="Internal"/>
    <n v="2319"/>
    <s v="Southwest Regional Port, IL"/>
    <n v="6590"/>
    <x v="23"/>
    <x v="3095"/>
    <n v="0"/>
    <x v="0"/>
    <x v="0"/>
    <n v="636198"/>
  </r>
  <r>
    <s v="Internal"/>
    <n v="2319"/>
    <s v="Southwest Regional Port, IL"/>
    <n v="6782"/>
    <x v="27"/>
    <x v="3096"/>
    <n v="0"/>
    <x v="0"/>
    <x v="0"/>
    <n v="342675"/>
  </r>
  <r>
    <s v="Internal"/>
    <n v="2319"/>
    <s v="Southwest Regional Port, IL"/>
    <n v="3110"/>
    <x v="36"/>
    <x v="3097"/>
    <n v="0"/>
    <x v="0"/>
    <x v="0"/>
    <n v="167160"/>
  </r>
  <r>
    <s v="Internal"/>
    <n v="2319"/>
    <s v="Southwest Regional Port, IL"/>
    <n v="3274"/>
    <x v="86"/>
    <x v="3098"/>
    <n v="0"/>
    <x v="0"/>
    <x v="0"/>
    <n v="163156"/>
  </r>
  <r>
    <s v="Internal"/>
    <n v="2319"/>
    <s v="Southwest Regional Port, IL"/>
    <n v="6241"/>
    <x v="28"/>
    <x v="3099"/>
    <n v="0"/>
    <x v="0"/>
    <x v="0"/>
    <n v="125380"/>
  </r>
  <r>
    <s v="Internal"/>
    <n v="2319"/>
    <s v="Southwest Regional Port, IL"/>
    <n v="2429"/>
    <x v="17"/>
    <x v="3100"/>
    <n v="0"/>
    <x v="0"/>
    <x v="0"/>
    <n v="66597"/>
  </r>
  <r>
    <s v="Internal"/>
    <n v="2319"/>
    <s v="Southwest Regional Port, IL"/>
    <n v="3190"/>
    <x v="38"/>
    <x v="3101"/>
    <n v="0"/>
    <x v="0"/>
    <x v="0"/>
    <n v="57006"/>
  </r>
  <r>
    <s v="Internal"/>
    <n v="2319"/>
    <s v="Southwest Regional Port, IL"/>
    <n v="3130"/>
    <x v="37"/>
    <x v="3102"/>
    <n v="0"/>
    <x v="0"/>
    <x v="0"/>
    <n v="47333"/>
  </r>
  <r>
    <s v="Internal"/>
    <n v="2319"/>
    <s v="Southwest Regional Port, IL"/>
    <n v="1200"/>
    <x v="43"/>
    <x v="3103"/>
    <n v="0"/>
    <x v="0"/>
    <x v="0"/>
    <n v="35560"/>
  </r>
  <r>
    <s v="Internal"/>
    <n v="2319"/>
    <s v="Southwest Regional Port, IL"/>
    <n v="2330"/>
    <x v="1"/>
    <x v="3104"/>
    <n v="0"/>
    <x v="0"/>
    <x v="0"/>
    <n v="25792"/>
  </r>
  <r>
    <s v="Internal"/>
    <n v="2319"/>
    <s v="Southwest Regional Port, IL"/>
    <n v="3120"/>
    <x v="41"/>
    <x v="3105"/>
    <n v="0"/>
    <x v="0"/>
    <x v="0"/>
    <n v="15046"/>
  </r>
  <r>
    <s v="Internal"/>
    <n v="2319"/>
    <s v="Southwest Regional Port, IL"/>
    <n v="4420"/>
    <x v="8"/>
    <x v="3106"/>
    <n v="0"/>
    <x v="0"/>
    <x v="0"/>
    <n v="10262"/>
  </r>
  <r>
    <s v="Internal"/>
    <n v="2319"/>
    <s v="Southwest Regional Port, IL"/>
    <n v="2211"/>
    <x v="0"/>
    <x v="3107"/>
    <n v="0"/>
    <x v="0"/>
    <x v="0"/>
    <n v="7620"/>
  </r>
  <r>
    <s v="Internal"/>
    <n v="2319"/>
    <s v="Southwest Regional Port, IL"/>
    <n v="6654"/>
    <x v="50"/>
    <x v="3108"/>
    <n v="0"/>
    <x v="0"/>
    <x v="0"/>
    <n v="7354"/>
  </r>
  <r>
    <s v="Internal"/>
    <n v="2319"/>
    <s v="Southwest Regional Port, IL"/>
    <n v="3276"/>
    <x v="12"/>
    <x v="3109"/>
    <n v="0"/>
    <x v="0"/>
    <x v="0"/>
    <n v="6083"/>
  </r>
  <r>
    <s v="Internal"/>
    <n v="2319"/>
    <s v="Southwest Regional Port, IL"/>
    <n v="2540"/>
    <x v="15"/>
    <x v="3110"/>
    <n v="0"/>
    <x v="0"/>
    <x v="0"/>
    <n v="4302"/>
  </r>
  <r>
    <s v="Internal"/>
    <n v="2319"/>
    <s v="Southwest Regional Port, IL"/>
    <n v="4650"/>
    <x v="67"/>
    <x v="3111"/>
    <n v="0"/>
    <x v="0"/>
    <x v="0"/>
    <n v="3315"/>
  </r>
  <r>
    <s v="Internal"/>
    <n v="2319"/>
    <s v="Southwest Regional Port, IL"/>
    <n v="4331"/>
    <x v="29"/>
    <x v="80"/>
    <n v="0"/>
    <x v="0"/>
    <x v="0"/>
    <n v="1600"/>
  </r>
  <r>
    <s v="Internal"/>
    <n v="2319"/>
    <s v="Southwest Regional Port, IL"/>
    <n v="6747"/>
    <x v="78"/>
    <x v="3112"/>
    <n v="0"/>
    <x v="0"/>
    <x v="0"/>
    <n v="1584"/>
  </r>
  <r>
    <s v="Internal"/>
    <n v="2319"/>
    <s v="Southwest Regional Port, IL"/>
    <n v="5312"/>
    <x v="52"/>
    <x v="3113"/>
    <n v="0"/>
    <x v="0"/>
    <x v="0"/>
    <n v="1570"/>
  </r>
  <r>
    <s v="Internal"/>
    <n v="2319"/>
    <s v="Southwest Regional Port, IL"/>
    <n v="5330"/>
    <x v="16"/>
    <x v="2922"/>
    <n v="0"/>
    <x v="0"/>
    <x v="0"/>
    <n v="1098"/>
  </r>
  <r>
    <s v="Internal"/>
    <n v="2343"/>
    <s v="St. Charles County Port, MO"/>
    <n v="4331"/>
    <x v="29"/>
    <x v="3114"/>
    <n v="0"/>
    <x v="0"/>
    <x v="0"/>
    <n v="740776"/>
  </r>
  <r>
    <s v="Internal"/>
    <n v="2343"/>
    <s v="St. Charles County Port, MO"/>
    <n v="1100"/>
    <x v="32"/>
    <x v="3115"/>
    <n v="0"/>
    <x v="0"/>
    <x v="0"/>
    <n v="86641"/>
  </r>
  <r>
    <s v="Great Lakes"/>
    <n v="3623"/>
    <s v="St. Ignace, MI"/>
    <n v="7900"/>
    <x v="21"/>
    <x v="1504"/>
    <n v="0"/>
    <x v="0"/>
    <x v="0"/>
    <n v="25261"/>
  </r>
  <r>
    <s v="Great Lakes"/>
    <n v="3745"/>
    <s v="St. James Township, MI"/>
    <n v="7900"/>
    <x v="21"/>
    <x v="3116"/>
    <n v="0"/>
    <x v="0"/>
    <x v="0"/>
    <n v="14214"/>
  </r>
  <r>
    <s v="Great Lakes"/>
    <n v="3745"/>
    <s v="St. James Township, MI"/>
    <n v="2211"/>
    <x v="0"/>
    <x v="3117"/>
    <n v="0"/>
    <x v="0"/>
    <x v="0"/>
    <n v="1017"/>
  </r>
  <r>
    <s v="Great Lakes"/>
    <n v="3745"/>
    <s v="St. James Township, MI"/>
    <n v="2330"/>
    <x v="1"/>
    <x v="1064"/>
    <n v="0"/>
    <x v="0"/>
    <x v="0"/>
    <n v="115"/>
  </r>
  <r>
    <s v="Great Lakes"/>
    <n v="3745"/>
    <s v="St. James Township, MI"/>
    <n v="5290"/>
    <x v="49"/>
    <x v="418"/>
    <n v="0"/>
    <x v="0"/>
    <x v="0"/>
    <n v="25"/>
  </r>
  <r>
    <s v="Great Lakes"/>
    <n v="3745"/>
    <s v="St. James Township, MI"/>
    <n v="7110"/>
    <x v="4"/>
    <x v="131"/>
    <n v="0"/>
    <x v="0"/>
    <x v="0"/>
    <n v="2"/>
  </r>
  <r>
    <s v="Great Lakes"/>
    <n v="3733"/>
    <s v="St. Joseph, MI"/>
    <n v="4322"/>
    <x v="33"/>
    <x v="3118"/>
    <n v="0"/>
    <x v="0"/>
    <x v="0"/>
    <n v="168552"/>
  </r>
  <r>
    <s v="Great Lakes"/>
    <n v="3733"/>
    <s v="St. Joseph, MI"/>
    <n v="5220"/>
    <x v="30"/>
    <x v="3119"/>
    <n v="0"/>
    <x v="0"/>
    <x v="0"/>
    <n v="146597"/>
  </r>
  <r>
    <s v="Great Lakes"/>
    <n v="3733"/>
    <s v="St. Joseph, MI"/>
    <n v="4331"/>
    <x v="29"/>
    <x v="10"/>
    <n v="45746"/>
    <x v="3348"/>
    <x v="0"/>
    <n v="45746"/>
  </r>
  <r>
    <s v="Great Lakes"/>
    <n v="3733"/>
    <s v="St. Joseph, MI"/>
    <n v="4860"/>
    <x v="31"/>
    <x v="3120"/>
    <n v="0"/>
    <x v="0"/>
    <x v="0"/>
    <n v="3284"/>
  </r>
  <r>
    <s v="Internal"/>
    <n v="2341"/>
    <s v="St. Louis City Port, MO"/>
    <n v="6344"/>
    <x v="25"/>
    <x v="3121"/>
    <n v="0"/>
    <x v="0"/>
    <x v="0"/>
    <n v="2354718"/>
  </r>
  <r>
    <s v="Internal"/>
    <n v="2341"/>
    <s v="St. Louis City Port, MO"/>
    <n v="6522"/>
    <x v="26"/>
    <x v="3122"/>
    <n v="0"/>
    <x v="0"/>
    <x v="0"/>
    <n v="1151881"/>
  </r>
  <r>
    <s v="Internal"/>
    <n v="2341"/>
    <s v="St. Louis City Port, MO"/>
    <n v="3110"/>
    <x v="36"/>
    <x v="3123"/>
    <n v="0"/>
    <x v="0"/>
    <x v="0"/>
    <n v="679895"/>
  </r>
  <r>
    <s v="Internal"/>
    <n v="2341"/>
    <s v="St. Louis City Port, MO"/>
    <n v="5220"/>
    <x v="30"/>
    <x v="3124"/>
    <n v="0"/>
    <x v="0"/>
    <x v="0"/>
    <n v="592638"/>
  </r>
  <r>
    <s v="Internal"/>
    <n v="2341"/>
    <s v="St. Louis City Port, MO"/>
    <n v="3190"/>
    <x v="38"/>
    <x v="3125"/>
    <n v="0"/>
    <x v="0"/>
    <x v="0"/>
    <n v="574325"/>
  </r>
  <r>
    <s v="Internal"/>
    <n v="2341"/>
    <s v="St. Louis City Port, MO"/>
    <n v="6241"/>
    <x v="28"/>
    <x v="3126"/>
    <n v="0"/>
    <x v="0"/>
    <x v="0"/>
    <n v="441695"/>
  </r>
  <r>
    <s v="Internal"/>
    <n v="2341"/>
    <s v="St. Louis City Port, MO"/>
    <n v="4420"/>
    <x v="8"/>
    <x v="3127"/>
    <n v="0"/>
    <x v="0"/>
    <x v="0"/>
    <n v="237469"/>
  </r>
  <r>
    <s v="Internal"/>
    <n v="2341"/>
    <s v="St. Louis City Port, MO"/>
    <n v="2430"/>
    <x v="11"/>
    <x v="3128"/>
    <n v="0"/>
    <x v="0"/>
    <x v="0"/>
    <n v="232321"/>
  </r>
  <r>
    <s v="Internal"/>
    <n v="2341"/>
    <s v="St. Louis City Port, MO"/>
    <n v="1100"/>
    <x v="32"/>
    <x v="3129"/>
    <n v="0"/>
    <x v="0"/>
    <x v="0"/>
    <n v="212617"/>
  </r>
  <r>
    <s v="Internal"/>
    <n v="2341"/>
    <s v="St. Louis City Port, MO"/>
    <n v="6782"/>
    <x v="27"/>
    <x v="3130"/>
    <n v="0"/>
    <x v="0"/>
    <x v="0"/>
    <n v="175699"/>
  </r>
  <r>
    <s v="Internal"/>
    <n v="2341"/>
    <s v="St. Louis City Port, MO"/>
    <n v="3274"/>
    <x v="86"/>
    <x v="3131"/>
    <n v="0"/>
    <x v="0"/>
    <x v="0"/>
    <n v="173474"/>
  </r>
  <r>
    <s v="Internal"/>
    <n v="2341"/>
    <s v="St. Louis City Port, MO"/>
    <n v="4783"/>
    <x v="7"/>
    <x v="3132"/>
    <n v="0"/>
    <x v="0"/>
    <x v="0"/>
    <n v="150548"/>
  </r>
  <r>
    <s v="Internal"/>
    <n v="2341"/>
    <s v="St. Louis City Port, MO"/>
    <n v="3130"/>
    <x v="37"/>
    <x v="3133"/>
    <n v="0"/>
    <x v="0"/>
    <x v="0"/>
    <n v="144898"/>
  </r>
  <r>
    <s v="Internal"/>
    <n v="2341"/>
    <s v="St. Louis City Port, MO"/>
    <n v="2330"/>
    <x v="1"/>
    <x v="3134"/>
    <n v="0"/>
    <x v="0"/>
    <x v="0"/>
    <n v="120920"/>
  </r>
  <r>
    <s v="Internal"/>
    <n v="2341"/>
    <s v="St. Louis City Port, MO"/>
    <n v="6590"/>
    <x v="23"/>
    <x v="3135"/>
    <n v="0"/>
    <x v="0"/>
    <x v="0"/>
    <n v="105902"/>
  </r>
  <r>
    <s v="Internal"/>
    <n v="2341"/>
    <s v="St. Louis City Port, MO"/>
    <n v="5330"/>
    <x v="16"/>
    <x v="3136"/>
    <n v="0"/>
    <x v="0"/>
    <x v="0"/>
    <n v="82557"/>
  </r>
  <r>
    <s v="Internal"/>
    <n v="2341"/>
    <s v="St. Louis City Port, MO"/>
    <n v="3120"/>
    <x v="41"/>
    <x v="3137"/>
    <n v="0"/>
    <x v="0"/>
    <x v="0"/>
    <n v="66133"/>
  </r>
  <r>
    <s v="Internal"/>
    <n v="2341"/>
    <s v="St. Louis City Port, MO"/>
    <n v="3220"/>
    <x v="2"/>
    <x v="3138"/>
    <n v="0"/>
    <x v="0"/>
    <x v="0"/>
    <n v="63212"/>
  </r>
  <r>
    <s v="Internal"/>
    <n v="2341"/>
    <s v="St. Louis City Port, MO"/>
    <n v="5390"/>
    <x v="44"/>
    <x v="3139"/>
    <n v="0"/>
    <x v="0"/>
    <x v="0"/>
    <n v="42725"/>
  </r>
  <r>
    <s v="Internal"/>
    <n v="2341"/>
    <s v="St. Louis City Port, MO"/>
    <n v="5480"/>
    <x v="20"/>
    <x v="3140"/>
    <n v="0"/>
    <x v="0"/>
    <x v="0"/>
    <n v="41665"/>
  </r>
  <r>
    <s v="Internal"/>
    <n v="2341"/>
    <s v="St. Louis City Port, MO"/>
    <n v="2540"/>
    <x v="15"/>
    <x v="3141"/>
    <n v="0"/>
    <x v="0"/>
    <x v="0"/>
    <n v="20537"/>
  </r>
  <r>
    <s v="Internal"/>
    <n v="2341"/>
    <s v="St. Louis City Port, MO"/>
    <n v="4161"/>
    <x v="54"/>
    <x v="3142"/>
    <n v="0"/>
    <x v="0"/>
    <x v="0"/>
    <n v="16751"/>
  </r>
  <r>
    <s v="Internal"/>
    <n v="2341"/>
    <s v="St. Louis City Port, MO"/>
    <n v="4860"/>
    <x v="31"/>
    <x v="3143"/>
    <n v="0"/>
    <x v="0"/>
    <x v="0"/>
    <n v="15482"/>
  </r>
  <r>
    <s v="Internal"/>
    <n v="2341"/>
    <s v="St. Louis City Port, MO"/>
    <n v="3276"/>
    <x v="12"/>
    <x v="3144"/>
    <n v="0"/>
    <x v="0"/>
    <x v="0"/>
    <n v="12584"/>
  </r>
  <r>
    <s v="Internal"/>
    <n v="2341"/>
    <s v="St. Louis City Port, MO"/>
    <n v="2340"/>
    <x v="3"/>
    <x v="3145"/>
    <n v="0"/>
    <x v="0"/>
    <x v="0"/>
    <n v="11661"/>
  </r>
  <r>
    <s v="Internal"/>
    <n v="2341"/>
    <s v="St. Louis City Port, MO"/>
    <n v="4782"/>
    <x v="45"/>
    <x v="3146"/>
    <n v="0"/>
    <x v="0"/>
    <x v="0"/>
    <n v="10010"/>
  </r>
  <r>
    <s v="Internal"/>
    <n v="2341"/>
    <s v="St. Louis City Port, MO"/>
    <n v="3260"/>
    <x v="107"/>
    <x v="3147"/>
    <n v="0"/>
    <x v="0"/>
    <x v="0"/>
    <n v="9746"/>
  </r>
  <r>
    <s v="Internal"/>
    <n v="2341"/>
    <s v="St. Louis City Port, MO"/>
    <n v="4410"/>
    <x v="34"/>
    <x v="3148"/>
    <n v="0"/>
    <x v="0"/>
    <x v="0"/>
    <n v="6230"/>
  </r>
  <r>
    <s v="Internal"/>
    <n v="2341"/>
    <s v="St. Louis City Port, MO"/>
    <n v="4331"/>
    <x v="29"/>
    <x v="3149"/>
    <n v="0"/>
    <x v="0"/>
    <x v="0"/>
    <n v="6009"/>
  </r>
  <r>
    <s v="Internal"/>
    <n v="2341"/>
    <s v="St. Louis City Port, MO"/>
    <n v="1200"/>
    <x v="43"/>
    <x v="3150"/>
    <n v="0"/>
    <x v="0"/>
    <x v="0"/>
    <n v="4567"/>
  </r>
  <r>
    <s v="Internal"/>
    <n v="2341"/>
    <s v="St. Louis City Port, MO"/>
    <n v="5360"/>
    <x v="94"/>
    <x v="3151"/>
    <n v="0"/>
    <x v="0"/>
    <x v="0"/>
    <n v="4222"/>
  </r>
  <r>
    <s v="Internal"/>
    <n v="2341"/>
    <s v="St. Louis City Port, MO"/>
    <n v="4322"/>
    <x v="33"/>
    <x v="448"/>
    <n v="0"/>
    <x v="0"/>
    <x v="0"/>
    <n v="3000"/>
  </r>
  <r>
    <s v="Internal"/>
    <n v="2341"/>
    <s v="St. Louis City Port, MO"/>
    <n v="6654"/>
    <x v="50"/>
    <x v="2594"/>
    <n v="0"/>
    <x v="0"/>
    <x v="0"/>
    <n v="1960"/>
  </r>
  <r>
    <s v="Internal"/>
    <n v="2341"/>
    <s v="St. Louis City Port, MO"/>
    <n v="7120"/>
    <x v="71"/>
    <x v="3152"/>
    <n v="0"/>
    <x v="0"/>
    <x v="0"/>
    <n v="1569"/>
  </r>
  <r>
    <s v="Internal"/>
    <n v="2341"/>
    <s v="St. Louis City Port, MO"/>
    <n v="3240"/>
    <x v="53"/>
    <x v="73"/>
    <n v="0"/>
    <x v="0"/>
    <x v="0"/>
    <n v="1323"/>
  </r>
  <r>
    <s v="Internal"/>
    <n v="2341"/>
    <s v="St. Louis City Port, MO"/>
    <n v="4323"/>
    <x v="6"/>
    <x v="3153"/>
    <n v="0"/>
    <x v="0"/>
    <x v="0"/>
    <n v="505"/>
  </r>
  <r>
    <s v="Internal"/>
    <n v="2342"/>
    <s v="St. Louis County, MO"/>
    <n v="4331"/>
    <x v="29"/>
    <x v="3154"/>
    <n v="0"/>
    <x v="0"/>
    <x v="0"/>
    <n v="1209939"/>
  </r>
  <r>
    <s v="Internal"/>
    <n v="2342"/>
    <s v="St. Louis County, MO"/>
    <n v="3130"/>
    <x v="37"/>
    <x v="3155"/>
    <n v="0"/>
    <x v="0"/>
    <x v="0"/>
    <n v="59718"/>
  </r>
  <r>
    <s v="Internal"/>
    <n v="2342"/>
    <s v="St. Louis County, MO"/>
    <n v="3220"/>
    <x v="2"/>
    <x v="3156"/>
    <n v="0"/>
    <x v="0"/>
    <x v="0"/>
    <n v="35054"/>
  </r>
  <r>
    <s v="Internal"/>
    <n v="2342"/>
    <s v="St. Louis County, MO"/>
    <n v="3120"/>
    <x v="41"/>
    <x v="3157"/>
    <n v="0"/>
    <x v="0"/>
    <x v="0"/>
    <n v="34257"/>
  </r>
  <r>
    <s v="Internal"/>
    <n v="2342"/>
    <s v="St. Louis County, MO"/>
    <n v="3190"/>
    <x v="38"/>
    <x v="3158"/>
    <n v="0"/>
    <x v="0"/>
    <x v="0"/>
    <n v="33833"/>
  </r>
  <r>
    <s v="Internal"/>
    <n v="2342"/>
    <s v="St. Louis County, MO"/>
    <n v="4630"/>
    <x v="127"/>
    <x v="3159"/>
    <n v="0"/>
    <x v="0"/>
    <x v="0"/>
    <n v="31424"/>
  </r>
  <r>
    <s v="Internal"/>
    <n v="2342"/>
    <s v="St. Louis County, MO"/>
    <n v="3110"/>
    <x v="36"/>
    <x v="3160"/>
    <n v="0"/>
    <x v="0"/>
    <x v="0"/>
    <n v="29222"/>
  </r>
  <r>
    <s v="Internal"/>
    <n v="2342"/>
    <s v="St. Louis County, MO"/>
    <n v="5360"/>
    <x v="94"/>
    <x v="3161"/>
    <n v="0"/>
    <x v="0"/>
    <x v="0"/>
    <n v="27544"/>
  </r>
  <r>
    <s v="Internal"/>
    <n v="2342"/>
    <s v="St. Louis County, MO"/>
    <n v="4690"/>
    <x v="62"/>
    <x v="3162"/>
    <n v="0"/>
    <x v="0"/>
    <x v="0"/>
    <n v="25096"/>
  </r>
  <r>
    <s v="Internal"/>
    <n v="2342"/>
    <s v="St. Louis County, MO"/>
    <n v="3276"/>
    <x v="12"/>
    <x v="3163"/>
    <n v="0"/>
    <x v="0"/>
    <x v="0"/>
    <n v="14011"/>
  </r>
  <r>
    <s v="Internal"/>
    <n v="2342"/>
    <s v="St. Louis County, MO"/>
    <n v="4783"/>
    <x v="7"/>
    <x v="3164"/>
    <n v="0"/>
    <x v="0"/>
    <x v="0"/>
    <n v="13952"/>
  </r>
  <r>
    <s v="Internal"/>
    <n v="2342"/>
    <s v="St. Louis County, MO"/>
    <n v="2211"/>
    <x v="0"/>
    <x v="3165"/>
    <n v="0"/>
    <x v="0"/>
    <x v="0"/>
    <n v="7513"/>
  </r>
  <r>
    <s v="Internal"/>
    <n v="2342"/>
    <s v="St. Louis County, MO"/>
    <n v="2330"/>
    <x v="1"/>
    <x v="3166"/>
    <n v="0"/>
    <x v="0"/>
    <x v="0"/>
    <n v="7348"/>
  </r>
  <r>
    <s v="Internal"/>
    <n v="2342"/>
    <s v="St. Louis County, MO"/>
    <n v="4110"/>
    <x v="105"/>
    <x v="1914"/>
    <n v="0"/>
    <x v="0"/>
    <x v="0"/>
    <n v="3538"/>
  </r>
  <r>
    <s v="Internal"/>
    <n v="2342"/>
    <s v="St. Louis County, MO"/>
    <n v="2540"/>
    <x v="15"/>
    <x v="3167"/>
    <n v="0"/>
    <x v="0"/>
    <x v="0"/>
    <n v="3097"/>
  </r>
  <r>
    <s v="Internal"/>
    <n v="2342"/>
    <s v="St. Louis County, MO"/>
    <n v="4322"/>
    <x v="33"/>
    <x v="1117"/>
    <n v="0"/>
    <x v="0"/>
    <x v="0"/>
    <n v="1652"/>
  </r>
  <r>
    <s v="Internal"/>
    <n v="2342"/>
    <s v="St. Louis County, MO"/>
    <n v="5220"/>
    <x v="30"/>
    <x v="2303"/>
    <n v="0"/>
    <x v="0"/>
    <x v="0"/>
    <n v="1598"/>
  </r>
  <r>
    <s v="Internal"/>
    <n v="2342"/>
    <s v="St. Louis County, MO"/>
    <n v="6782"/>
    <x v="27"/>
    <x v="3168"/>
    <n v="0"/>
    <x v="0"/>
    <x v="0"/>
    <n v="1476"/>
  </r>
  <r>
    <s v="Internal"/>
    <n v="2342"/>
    <s v="St. Louis County, MO"/>
    <n v="4161"/>
    <x v="54"/>
    <x v="171"/>
    <n v="0"/>
    <x v="0"/>
    <x v="0"/>
    <n v="889"/>
  </r>
  <r>
    <s v="Internal"/>
    <n v="2320"/>
    <s v="St. Paul Port Authority, MN"/>
    <n v="4331"/>
    <x v="29"/>
    <x v="3169"/>
    <n v="0"/>
    <x v="0"/>
    <x v="0"/>
    <n v="1130530"/>
  </r>
  <r>
    <s v="Internal"/>
    <n v="2320"/>
    <s v="St. Paul Port Authority, MN"/>
    <n v="6344"/>
    <x v="25"/>
    <x v="3170"/>
    <n v="0"/>
    <x v="0"/>
    <x v="0"/>
    <n v="944898"/>
  </r>
  <r>
    <s v="Internal"/>
    <n v="2320"/>
    <s v="St. Paul Port Authority, MN"/>
    <n v="5220"/>
    <x v="30"/>
    <x v="3171"/>
    <n v="0"/>
    <x v="0"/>
    <x v="0"/>
    <n v="552407"/>
  </r>
  <r>
    <s v="Internal"/>
    <n v="2320"/>
    <s v="St. Paul Port Authority, MN"/>
    <n v="3110"/>
    <x v="36"/>
    <x v="3172"/>
    <n v="0"/>
    <x v="0"/>
    <x v="0"/>
    <n v="487736"/>
  </r>
  <r>
    <s v="Internal"/>
    <n v="2320"/>
    <s v="St. Paul Port Authority, MN"/>
    <n v="3190"/>
    <x v="38"/>
    <x v="3173"/>
    <n v="0"/>
    <x v="0"/>
    <x v="0"/>
    <n v="314447"/>
  </r>
  <r>
    <s v="Internal"/>
    <n v="2320"/>
    <s v="St. Paul Port Authority, MN"/>
    <n v="6522"/>
    <x v="26"/>
    <x v="3174"/>
    <n v="0"/>
    <x v="0"/>
    <x v="0"/>
    <n v="309059"/>
  </r>
  <r>
    <s v="Internal"/>
    <n v="2320"/>
    <s v="St. Paul Port Authority, MN"/>
    <n v="3130"/>
    <x v="37"/>
    <x v="3175"/>
    <n v="0"/>
    <x v="0"/>
    <x v="0"/>
    <n v="273318"/>
  </r>
  <r>
    <s v="Internal"/>
    <n v="2320"/>
    <s v="St. Paul Port Authority, MN"/>
    <n v="4420"/>
    <x v="8"/>
    <x v="3176"/>
    <n v="0"/>
    <x v="0"/>
    <x v="0"/>
    <n v="191980"/>
  </r>
  <r>
    <s v="Internal"/>
    <n v="2320"/>
    <s v="St. Paul Port Authority, MN"/>
    <n v="3274"/>
    <x v="86"/>
    <x v="3177"/>
    <n v="0"/>
    <x v="0"/>
    <x v="0"/>
    <n v="55542"/>
  </r>
  <r>
    <s v="Internal"/>
    <n v="2320"/>
    <s v="St. Paul Port Authority, MN"/>
    <n v="6241"/>
    <x v="28"/>
    <x v="3178"/>
    <n v="0"/>
    <x v="0"/>
    <x v="0"/>
    <n v="43090"/>
  </r>
  <r>
    <s v="Internal"/>
    <n v="2320"/>
    <s v="St. Paul Port Authority, MN"/>
    <n v="6782"/>
    <x v="27"/>
    <x v="3179"/>
    <n v="0"/>
    <x v="0"/>
    <x v="0"/>
    <n v="28457"/>
  </r>
  <r>
    <s v="Internal"/>
    <n v="2320"/>
    <s v="St. Paul Port Authority, MN"/>
    <n v="4783"/>
    <x v="7"/>
    <x v="3180"/>
    <n v="0"/>
    <x v="0"/>
    <x v="0"/>
    <n v="28424"/>
  </r>
  <r>
    <s v="Internal"/>
    <n v="2320"/>
    <s v="St. Paul Port Authority, MN"/>
    <n v="3120"/>
    <x v="41"/>
    <x v="3181"/>
    <n v="0"/>
    <x v="0"/>
    <x v="0"/>
    <n v="28210"/>
  </r>
  <r>
    <s v="Internal"/>
    <n v="2320"/>
    <s v="St. Paul Port Authority, MN"/>
    <n v="2340"/>
    <x v="3"/>
    <x v="3182"/>
    <n v="0"/>
    <x v="0"/>
    <x v="0"/>
    <n v="27200"/>
  </r>
  <r>
    <s v="Internal"/>
    <n v="2320"/>
    <s v="St. Paul Port Authority, MN"/>
    <n v="5312"/>
    <x v="52"/>
    <x v="3183"/>
    <n v="0"/>
    <x v="0"/>
    <x v="0"/>
    <n v="25017"/>
  </r>
  <r>
    <s v="Internal"/>
    <n v="2320"/>
    <s v="St. Paul Port Authority, MN"/>
    <n v="3275"/>
    <x v="47"/>
    <x v="3184"/>
    <n v="0"/>
    <x v="0"/>
    <x v="0"/>
    <n v="9589"/>
  </r>
  <r>
    <s v="Internal"/>
    <n v="2320"/>
    <s v="St. Paul Port Authority, MN"/>
    <n v="4782"/>
    <x v="45"/>
    <x v="1627"/>
    <n v="0"/>
    <x v="0"/>
    <x v="0"/>
    <n v="4729"/>
  </r>
  <r>
    <s v="Internal"/>
    <n v="2320"/>
    <s v="St. Paul Port Authority, MN"/>
    <n v="2540"/>
    <x v="15"/>
    <x v="1140"/>
    <n v="0"/>
    <x v="0"/>
    <x v="0"/>
    <n v="3906"/>
  </r>
  <r>
    <s v="Internal"/>
    <n v="2320"/>
    <s v="St. Paul Port Authority, MN"/>
    <n v="4322"/>
    <x v="33"/>
    <x v="2921"/>
    <n v="0"/>
    <x v="0"/>
    <x v="0"/>
    <n v="1615"/>
  </r>
  <r>
    <s v="Internal"/>
    <n v="2320"/>
    <s v="St. Paul Port Authority, MN"/>
    <n v="5360"/>
    <x v="94"/>
    <x v="3185"/>
    <n v="0"/>
    <x v="0"/>
    <x v="0"/>
    <n v="1567"/>
  </r>
  <r>
    <s v="Internal"/>
    <n v="2320"/>
    <s v="St. Paul Port Authority, MN"/>
    <n v="7600"/>
    <x v="68"/>
    <x v="3186"/>
    <n v="0"/>
    <x v="0"/>
    <x v="0"/>
    <n v="1411"/>
  </r>
  <r>
    <s v="Coastal"/>
    <n v="2502"/>
    <s v="St. Petersburg, FL"/>
    <n v="7110"/>
    <x v="4"/>
    <x v="3187"/>
    <n v="0"/>
    <x v="0"/>
    <x v="0"/>
    <n v="398"/>
  </r>
  <r>
    <s v="Coastal"/>
    <n v="2502"/>
    <s v="St. Petersburg, FL"/>
    <n v="5290"/>
    <x v="49"/>
    <x v="2610"/>
    <n v="0"/>
    <x v="0"/>
    <x v="0"/>
    <n v="240"/>
  </r>
  <r>
    <s v="Coastal"/>
    <n v="2502"/>
    <s v="St. Petersburg, FL"/>
    <n v="2340"/>
    <x v="3"/>
    <x v="478"/>
    <n v="0"/>
    <x v="0"/>
    <x v="0"/>
    <n v="135"/>
  </r>
  <r>
    <s v="Coastal"/>
    <n v="231"/>
    <s v="Stamford, CT"/>
    <n v="4331"/>
    <x v="29"/>
    <x v="3188"/>
    <n v="0"/>
    <x v="0"/>
    <x v="0"/>
    <n v="193560"/>
  </r>
  <r>
    <s v="Coastal"/>
    <n v="231"/>
    <s v="Stamford, CT"/>
    <n v="2330"/>
    <x v="1"/>
    <x v="3189"/>
    <n v="0"/>
    <x v="0"/>
    <x v="0"/>
    <n v="41606"/>
  </r>
  <r>
    <s v="Coastal"/>
    <n v="231"/>
    <s v="Stamford, CT"/>
    <n v="4420"/>
    <x v="8"/>
    <x v="3190"/>
    <n v="0"/>
    <x v="0"/>
    <x v="0"/>
    <n v="19864"/>
  </r>
  <r>
    <s v="Coastal"/>
    <n v="4270"/>
    <s v="Stockton, CA"/>
    <n v="5220"/>
    <x v="30"/>
    <x v="10"/>
    <n v="1378310"/>
    <x v="3349"/>
    <x v="0"/>
    <n v="1378310"/>
  </r>
  <r>
    <s v="Coastal"/>
    <n v="4270"/>
    <s v="Stockton, CA"/>
    <n v="1100"/>
    <x v="32"/>
    <x v="10"/>
    <n v="1351367"/>
    <x v="0"/>
    <x v="2575"/>
    <n v="1351367"/>
  </r>
  <r>
    <s v="Coastal"/>
    <n v="4270"/>
    <s v="Stockton, CA"/>
    <n v="3110"/>
    <x v="36"/>
    <x v="10"/>
    <n v="767618"/>
    <x v="3350"/>
    <x v="0"/>
    <n v="767618"/>
  </r>
  <r>
    <s v="Coastal"/>
    <n v="4270"/>
    <s v="Stockton, CA"/>
    <n v="6782"/>
    <x v="27"/>
    <x v="10"/>
    <n v="279035"/>
    <x v="3351"/>
    <x v="2576"/>
    <n v="279035"/>
  </r>
  <r>
    <s v="Coastal"/>
    <n v="4270"/>
    <s v="Stockton, CA"/>
    <n v="6865"/>
    <x v="75"/>
    <x v="10"/>
    <n v="244746"/>
    <x v="3352"/>
    <x v="0"/>
    <n v="244746"/>
  </r>
  <r>
    <s v="Coastal"/>
    <n v="4270"/>
    <s v="Stockton, CA"/>
    <n v="6653"/>
    <x v="24"/>
    <x v="10"/>
    <n v="199453"/>
    <x v="3353"/>
    <x v="0"/>
    <n v="199453"/>
  </r>
  <r>
    <s v="Coastal"/>
    <n v="4270"/>
    <s v="Stockton, CA"/>
    <n v="6442"/>
    <x v="85"/>
    <x v="10"/>
    <n v="168138"/>
    <x v="3354"/>
    <x v="2577"/>
    <n v="168138"/>
  </r>
  <r>
    <s v="Coastal"/>
    <n v="4270"/>
    <s v="Stockton, CA"/>
    <n v="3272"/>
    <x v="137"/>
    <x v="10"/>
    <n v="144000"/>
    <x v="3355"/>
    <x v="0"/>
    <n v="144000"/>
  </r>
  <r>
    <s v="Coastal"/>
    <n v="4270"/>
    <s v="Stockton, CA"/>
    <n v="3273"/>
    <x v="46"/>
    <x v="10"/>
    <n v="142209"/>
    <x v="3356"/>
    <x v="0"/>
    <n v="142209"/>
  </r>
  <r>
    <s v="Coastal"/>
    <n v="4270"/>
    <s v="Stockton, CA"/>
    <n v="4741"/>
    <x v="56"/>
    <x v="10"/>
    <n v="142084"/>
    <x v="0"/>
    <x v="2578"/>
    <n v="142084"/>
  </r>
  <r>
    <s v="Coastal"/>
    <n v="4270"/>
    <s v="Stockton, CA"/>
    <n v="4860"/>
    <x v="31"/>
    <x v="10"/>
    <n v="126777"/>
    <x v="3357"/>
    <x v="0"/>
    <n v="126777"/>
  </r>
  <r>
    <s v="Coastal"/>
    <n v="4270"/>
    <s v="Stockton, CA"/>
    <n v="3190"/>
    <x v="38"/>
    <x v="10"/>
    <n v="74310"/>
    <x v="3358"/>
    <x v="0"/>
    <n v="74310"/>
  </r>
  <r>
    <s v="Coastal"/>
    <n v="4270"/>
    <s v="Stockton, CA"/>
    <n v="6889"/>
    <x v="42"/>
    <x v="10"/>
    <n v="73504"/>
    <x v="3359"/>
    <x v="0"/>
    <n v="73504"/>
  </r>
  <r>
    <s v="Coastal"/>
    <n v="4270"/>
    <s v="Stockton, CA"/>
    <n v="3130"/>
    <x v="37"/>
    <x v="10"/>
    <n v="71813"/>
    <x v="3360"/>
    <x v="0"/>
    <n v="71813"/>
  </r>
  <r>
    <s v="Coastal"/>
    <n v="4270"/>
    <s v="Stockton, CA"/>
    <n v="5330"/>
    <x v="16"/>
    <x v="10"/>
    <n v="56193"/>
    <x v="3361"/>
    <x v="0"/>
    <n v="56193"/>
  </r>
  <r>
    <s v="Coastal"/>
    <n v="4270"/>
    <s v="Stockton, CA"/>
    <n v="4690"/>
    <x v="62"/>
    <x v="10"/>
    <n v="50706"/>
    <x v="0"/>
    <x v="2579"/>
    <n v="50706"/>
  </r>
  <r>
    <s v="Coastal"/>
    <n v="4270"/>
    <s v="Stockton, CA"/>
    <n v="2540"/>
    <x v="15"/>
    <x v="10"/>
    <n v="40400"/>
    <x v="0"/>
    <x v="2580"/>
    <n v="40400"/>
  </r>
  <r>
    <s v="Coastal"/>
    <n v="4270"/>
    <s v="Stockton, CA"/>
    <n v="3271"/>
    <x v="133"/>
    <x v="10"/>
    <n v="38779"/>
    <x v="0"/>
    <x v="2581"/>
    <n v="38779"/>
  </r>
  <r>
    <s v="Coastal"/>
    <n v="4270"/>
    <s v="Stockton, CA"/>
    <n v="6654"/>
    <x v="50"/>
    <x v="10"/>
    <n v="34675"/>
    <x v="3362"/>
    <x v="0"/>
    <n v="34675"/>
  </r>
  <r>
    <s v="Coastal"/>
    <n v="4270"/>
    <s v="Stockton, CA"/>
    <n v="5370"/>
    <x v="81"/>
    <x v="10"/>
    <n v="32289"/>
    <x v="3363"/>
    <x v="0"/>
    <n v="32289"/>
  </r>
  <r>
    <s v="Coastal"/>
    <n v="4270"/>
    <s v="Stockton, CA"/>
    <n v="2330"/>
    <x v="1"/>
    <x v="3191"/>
    <n v="20680"/>
    <x v="3364"/>
    <x v="0"/>
    <n v="30025"/>
  </r>
  <r>
    <s v="Coastal"/>
    <n v="4270"/>
    <s v="Stockton, CA"/>
    <n v="3276"/>
    <x v="12"/>
    <x v="10"/>
    <n v="25633"/>
    <x v="3365"/>
    <x v="0"/>
    <n v="25633"/>
  </r>
  <r>
    <s v="Coastal"/>
    <n v="4270"/>
    <s v="Stockton, CA"/>
    <n v="6590"/>
    <x v="23"/>
    <x v="10"/>
    <n v="24900"/>
    <x v="3366"/>
    <x v="0"/>
    <n v="24900"/>
  </r>
  <r>
    <s v="Coastal"/>
    <n v="4270"/>
    <s v="Stockton, CA"/>
    <n v="6747"/>
    <x v="78"/>
    <x v="10"/>
    <n v="24141"/>
    <x v="3367"/>
    <x v="0"/>
    <n v="24141"/>
  </r>
  <r>
    <s v="Coastal"/>
    <n v="4270"/>
    <s v="Stockton, CA"/>
    <n v="7600"/>
    <x v="68"/>
    <x v="10"/>
    <n v="17293"/>
    <x v="613"/>
    <x v="2582"/>
    <n v="17293"/>
  </r>
  <r>
    <s v="Coastal"/>
    <n v="4270"/>
    <s v="Stockton, CA"/>
    <n v="5480"/>
    <x v="20"/>
    <x v="10"/>
    <n v="16727"/>
    <x v="3368"/>
    <x v="0"/>
    <n v="16727"/>
  </r>
  <r>
    <s v="Coastal"/>
    <n v="4270"/>
    <s v="Stockton, CA"/>
    <n v="6522"/>
    <x v="26"/>
    <x v="10"/>
    <n v="12553"/>
    <x v="2915"/>
    <x v="0"/>
    <n v="12553"/>
  </r>
  <r>
    <s v="Coastal"/>
    <n v="4270"/>
    <s v="Stockton, CA"/>
    <n v="6861"/>
    <x v="69"/>
    <x v="10"/>
    <n v="12068"/>
    <x v="3369"/>
    <x v="0"/>
    <n v="12068"/>
  </r>
  <r>
    <s v="Coastal"/>
    <n v="4270"/>
    <s v="Stockton, CA"/>
    <n v="3292"/>
    <x v="51"/>
    <x v="10"/>
    <n v="8883"/>
    <x v="346"/>
    <x v="0"/>
    <n v="8883"/>
  </r>
  <r>
    <s v="Coastal"/>
    <n v="4270"/>
    <s v="Stockton, CA"/>
    <n v="3274"/>
    <x v="86"/>
    <x v="10"/>
    <n v="8356"/>
    <x v="3370"/>
    <x v="0"/>
    <n v="8356"/>
  </r>
  <r>
    <s v="Coastal"/>
    <n v="4270"/>
    <s v="Stockton, CA"/>
    <n v="7210"/>
    <x v="59"/>
    <x v="10"/>
    <n v="7956"/>
    <x v="3371"/>
    <x v="0"/>
    <n v="7956"/>
  </r>
  <r>
    <s v="Coastal"/>
    <n v="4270"/>
    <s v="Stockton, CA"/>
    <n v="4630"/>
    <x v="127"/>
    <x v="10"/>
    <n v="6120"/>
    <x v="3372"/>
    <x v="0"/>
    <n v="6120"/>
  </r>
  <r>
    <s v="Coastal"/>
    <n v="4270"/>
    <s v="Stockton, CA"/>
    <n v="6344"/>
    <x v="25"/>
    <x v="10"/>
    <n v="6063"/>
    <x v="1954"/>
    <x v="0"/>
    <n v="6063"/>
  </r>
  <r>
    <s v="Coastal"/>
    <n v="4270"/>
    <s v="Stockton, CA"/>
    <n v="5360"/>
    <x v="94"/>
    <x v="10"/>
    <n v="5522"/>
    <x v="3373"/>
    <x v="0"/>
    <n v="5522"/>
  </r>
  <r>
    <s v="Coastal"/>
    <n v="4270"/>
    <s v="Stockton, CA"/>
    <n v="3220"/>
    <x v="2"/>
    <x v="10"/>
    <n v="5241"/>
    <x v="3374"/>
    <x v="0"/>
    <n v="5241"/>
  </r>
  <r>
    <s v="Coastal"/>
    <n v="4270"/>
    <s v="Stockton, CA"/>
    <n v="4782"/>
    <x v="45"/>
    <x v="10"/>
    <n v="3395"/>
    <x v="3375"/>
    <x v="0"/>
    <n v="3395"/>
  </r>
  <r>
    <s v="Coastal"/>
    <n v="4270"/>
    <s v="Stockton, CA"/>
    <n v="6871"/>
    <x v="73"/>
    <x v="10"/>
    <n v="3197"/>
    <x v="3376"/>
    <x v="0"/>
    <n v="3197"/>
  </r>
  <r>
    <s v="Coastal"/>
    <n v="4270"/>
    <s v="Stockton, CA"/>
    <n v="7110"/>
    <x v="4"/>
    <x v="10"/>
    <n v="3113"/>
    <x v="3377"/>
    <x v="0"/>
    <n v="3113"/>
  </r>
  <r>
    <s v="Coastal"/>
    <n v="4270"/>
    <s v="Stockton, CA"/>
    <n v="3286"/>
    <x v="57"/>
    <x v="10"/>
    <n v="2648"/>
    <x v="3378"/>
    <x v="0"/>
    <n v="2648"/>
  </r>
  <r>
    <s v="Coastal"/>
    <n v="4270"/>
    <s v="Stockton, CA"/>
    <n v="7120"/>
    <x v="71"/>
    <x v="10"/>
    <n v="2098"/>
    <x v="3379"/>
    <x v="0"/>
    <n v="2098"/>
  </r>
  <r>
    <s v="Coastal"/>
    <n v="4270"/>
    <s v="Stockton, CA"/>
    <n v="9900"/>
    <x v="18"/>
    <x v="10"/>
    <n v="1715"/>
    <x v="3380"/>
    <x v="0"/>
    <n v="1715"/>
  </r>
  <r>
    <s v="Coastal"/>
    <n v="4270"/>
    <s v="Stockton, CA"/>
    <n v="5240"/>
    <x v="89"/>
    <x v="10"/>
    <n v="606"/>
    <x v="3381"/>
    <x v="0"/>
    <n v="606"/>
  </r>
  <r>
    <s v="Coastal"/>
    <n v="4270"/>
    <s v="Stockton, CA"/>
    <n v="3240"/>
    <x v="53"/>
    <x v="10"/>
    <n v="554"/>
    <x v="3382"/>
    <x v="0"/>
    <n v="554"/>
  </r>
  <r>
    <s v="Coastal"/>
    <n v="4270"/>
    <s v="Stockton, CA"/>
    <n v="3275"/>
    <x v="47"/>
    <x v="10"/>
    <n v="331"/>
    <x v="3288"/>
    <x v="0"/>
    <n v="331"/>
  </r>
  <r>
    <s v="Coastal"/>
    <n v="4270"/>
    <s v="Stockton, CA"/>
    <n v="5312"/>
    <x v="52"/>
    <x v="10"/>
    <n v="179"/>
    <x v="855"/>
    <x v="0"/>
    <n v="179"/>
  </r>
  <r>
    <s v="Coastal"/>
    <n v="4270"/>
    <s v="Stockton, CA"/>
    <n v="5290"/>
    <x v="49"/>
    <x v="10"/>
    <n v="102"/>
    <x v="226"/>
    <x v="0"/>
    <n v="102"/>
  </r>
  <r>
    <s v="Coastal"/>
    <n v="4270"/>
    <s v="Stockton, CA"/>
    <n v="7500"/>
    <x v="60"/>
    <x v="10"/>
    <n v="34"/>
    <x v="605"/>
    <x v="0"/>
    <n v="34"/>
  </r>
  <r>
    <s v="Coastal"/>
    <n v="4270"/>
    <s v="Stockton, CA"/>
    <n v="7230"/>
    <x v="22"/>
    <x v="10"/>
    <n v="28"/>
    <x v="717"/>
    <x v="0"/>
    <n v="28"/>
  </r>
  <r>
    <s v="Coastal"/>
    <n v="4270"/>
    <s v="Stockton, CA"/>
    <n v="7900"/>
    <x v="21"/>
    <x v="10"/>
    <n v="17"/>
    <x v="182"/>
    <x v="0"/>
    <n v="17"/>
  </r>
  <r>
    <s v="Coastal"/>
    <n v="4270"/>
    <s v="Stockton, CA"/>
    <n v="2211"/>
    <x v="0"/>
    <x v="10"/>
    <n v="2"/>
    <x v="212"/>
    <x v="0"/>
    <n v="2"/>
  </r>
  <r>
    <s v="Coastal"/>
    <n v="92"/>
    <s v="Stonington, ME"/>
    <n v="7900"/>
    <x v="21"/>
    <x v="3192"/>
    <n v="0"/>
    <x v="0"/>
    <x v="0"/>
    <n v="8437"/>
  </r>
  <r>
    <s v="Great Lakes"/>
    <n v="3767"/>
    <s v="Sturgeon Bay, WI"/>
    <n v="5422"/>
    <x v="66"/>
    <x v="3193"/>
    <n v="0"/>
    <x v="0"/>
    <x v="0"/>
    <n v="510"/>
  </r>
  <r>
    <s v="Great Lakes"/>
    <n v="3767"/>
    <s v="Sturgeon Bay, WI"/>
    <n v="5370"/>
    <x v="81"/>
    <x v="3194"/>
    <n v="0"/>
    <x v="0"/>
    <x v="0"/>
    <n v="160"/>
  </r>
  <r>
    <s v="Great Lakes"/>
    <n v="3767"/>
    <s v="Sturgeon Bay, WI"/>
    <n v="7900"/>
    <x v="21"/>
    <x v="524"/>
    <n v="0"/>
    <x v="0"/>
    <x v="0"/>
    <n v="10"/>
  </r>
  <r>
    <s v="Coastal"/>
    <n v="4719"/>
    <s v="Tacoma, WA"/>
    <n v="6344"/>
    <x v="25"/>
    <x v="10"/>
    <n v="3735630"/>
    <x v="3382"/>
    <x v="2583"/>
    <n v="3735630"/>
  </r>
  <r>
    <s v="Coastal"/>
    <n v="4719"/>
    <s v="Tacoma, WA"/>
    <n v="7900"/>
    <x v="21"/>
    <x v="3195"/>
    <n v="1675770"/>
    <x v="3383"/>
    <x v="2584"/>
    <n v="2427667"/>
  </r>
  <r>
    <s v="Coastal"/>
    <n v="4719"/>
    <s v="Tacoma, WA"/>
    <n v="6522"/>
    <x v="26"/>
    <x v="10"/>
    <n v="2227871"/>
    <x v="3384"/>
    <x v="2585"/>
    <n v="2227871"/>
  </r>
  <r>
    <s v="Coastal"/>
    <n v="4719"/>
    <s v="Tacoma, WA"/>
    <n v="4331"/>
    <x v="29"/>
    <x v="3196"/>
    <n v="25781"/>
    <x v="3385"/>
    <x v="2586"/>
    <n v="2065103"/>
  </r>
  <r>
    <s v="Coastal"/>
    <n v="4719"/>
    <s v="Tacoma, WA"/>
    <n v="6781"/>
    <x v="128"/>
    <x v="3197"/>
    <n v="1365098"/>
    <x v="3386"/>
    <x v="2587"/>
    <n v="1370214"/>
  </r>
  <r>
    <s v="Coastal"/>
    <n v="4719"/>
    <s v="Tacoma, WA"/>
    <n v="4420"/>
    <x v="8"/>
    <x v="3198"/>
    <n v="1045196"/>
    <x v="3387"/>
    <x v="2588"/>
    <n v="1066757"/>
  </r>
  <r>
    <s v="Coastal"/>
    <n v="4719"/>
    <s v="Tacoma, WA"/>
    <n v="7210"/>
    <x v="59"/>
    <x v="3199"/>
    <n v="784018"/>
    <x v="3388"/>
    <x v="2589"/>
    <n v="870189"/>
  </r>
  <r>
    <s v="Coastal"/>
    <n v="4719"/>
    <s v="Tacoma, WA"/>
    <n v="6782"/>
    <x v="27"/>
    <x v="3200"/>
    <n v="700745"/>
    <x v="3389"/>
    <x v="2590"/>
    <n v="726365"/>
  </r>
  <r>
    <s v="Coastal"/>
    <n v="4719"/>
    <s v="Tacoma, WA"/>
    <n v="7110"/>
    <x v="4"/>
    <x v="3201"/>
    <n v="628391"/>
    <x v="3390"/>
    <x v="2591"/>
    <n v="681011"/>
  </r>
  <r>
    <s v="Coastal"/>
    <n v="4719"/>
    <s v="Tacoma, WA"/>
    <n v="6654"/>
    <x v="50"/>
    <x v="3202"/>
    <n v="599079"/>
    <x v="3391"/>
    <x v="2592"/>
    <n v="631053"/>
  </r>
  <r>
    <s v="Coastal"/>
    <n v="4719"/>
    <s v="Tacoma, WA"/>
    <n v="5480"/>
    <x v="20"/>
    <x v="1338"/>
    <n v="576192"/>
    <x v="3392"/>
    <x v="2593"/>
    <n v="576331"/>
  </r>
  <r>
    <s v="Coastal"/>
    <n v="4719"/>
    <s v="Tacoma, WA"/>
    <n v="7600"/>
    <x v="68"/>
    <x v="3203"/>
    <n v="537090"/>
    <x v="3393"/>
    <x v="2594"/>
    <n v="542294"/>
  </r>
  <r>
    <s v="Coastal"/>
    <n v="4719"/>
    <s v="Tacoma, WA"/>
    <n v="7120"/>
    <x v="71"/>
    <x v="3204"/>
    <n v="506939"/>
    <x v="3394"/>
    <x v="2595"/>
    <n v="514034"/>
  </r>
  <r>
    <s v="Coastal"/>
    <n v="4719"/>
    <s v="Tacoma, WA"/>
    <n v="4225"/>
    <x v="10"/>
    <x v="473"/>
    <n v="382838"/>
    <x v="3395"/>
    <x v="2596"/>
    <n v="383545"/>
  </r>
  <r>
    <s v="Coastal"/>
    <n v="4719"/>
    <s v="Tacoma, WA"/>
    <n v="7500"/>
    <x v="60"/>
    <x v="3205"/>
    <n v="376552"/>
    <x v="3396"/>
    <x v="2597"/>
    <n v="376850"/>
  </r>
  <r>
    <s v="Coastal"/>
    <n v="4719"/>
    <s v="Tacoma, WA"/>
    <n v="4323"/>
    <x v="6"/>
    <x v="10"/>
    <n v="365925"/>
    <x v="3397"/>
    <x v="2598"/>
    <n v="365925"/>
  </r>
  <r>
    <s v="Coastal"/>
    <n v="4719"/>
    <s v="Tacoma, WA"/>
    <n v="5120"/>
    <x v="63"/>
    <x v="10"/>
    <n v="347853"/>
    <x v="3398"/>
    <x v="2599"/>
    <n v="347853"/>
  </r>
  <r>
    <s v="Coastal"/>
    <n v="4719"/>
    <s v="Tacoma, WA"/>
    <n v="6889"/>
    <x v="42"/>
    <x v="3206"/>
    <n v="86956"/>
    <x v="3399"/>
    <x v="2600"/>
    <n v="316527"/>
  </r>
  <r>
    <s v="Coastal"/>
    <n v="4719"/>
    <s v="Tacoma, WA"/>
    <n v="4170"/>
    <x v="55"/>
    <x v="3207"/>
    <n v="220375"/>
    <x v="3400"/>
    <x v="2601"/>
    <n v="288450"/>
  </r>
  <r>
    <s v="Coastal"/>
    <n v="4719"/>
    <s v="Tacoma, WA"/>
    <n v="2330"/>
    <x v="1"/>
    <x v="3208"/>
    <n v="89100"/>
    <x v="3401"/>
    <x v="2602"/>
    <n v="282874"/>
  </r>
  <r>
    <s v="Coastal"/>
    <n v="4719"/>
    <s v="Tacoma, WA"/>
    <n v="3220"/>
    <x v="2"/>
    <x v="3209"/>
    <n v="190880"/>
    <x v="3402"/>
    <x v="2603"/>
    <n v="275689"/>
  </r>
  <r>
    <s v="Coastal"/>
    <n v="4719"/>
    <s v="Tacoma, WA"/>
    <n v="2211"/>
    <x v="0"/>
    <x v="3210"/>
    <n v="46469"/>
    <x v="484"/>
    <x v="410"/>
    <n v="245355"/>
  </r>
  <r>
    <s v="Coastal"/>
    <n v="4719"/>
    <s v="Tacoma, WA"/>
    <n v="2340"/>
    <x v="3"/>
    <x v="3211"/>
    <n v="27169"/>
    <x v="3403"/>
    <x v="0"/>
    <n v="243146"/>
  </r>
  <r>
    <s v="Coastal"/>
    <n v="4719"/>
    <s v="Tacoma, WA"/>
    <n v="3286"/>
    <x v="57"/>
    <x v="3212"/>
    <n v="221397"/>
    <x v="3404"/>
    <x v="2604"/>
    <n v="221516"/>
  </r>
  <r>
    <s v="Coastal"/>
    <n v="4719"/>
    <s v="Tacoma, WA"/>
    <n v="4189"/>
    <x v="65"/>
    <x v="3213"/>
    <n v="113790"/>
    <x v="3405"/>
    <x v="2605"/>
    <n v="163674"/>
  </r>
  <r>
    <s v="Coastal"/>
    <n v="4719"/>
    <s v="Tacoma, WA"/>
    <n v="6857"/>
    <x v="104"/>
    <x v="3214"/>
    <n v="145664"/>
    <x v="3406"/>
    <x v="2606"/>
    <n v="146234"/>
  </r>
  <r>
    <s v="Coastal"/>
    <n v="4719"/>
    <s v="Tacoma, WA"/>
    <n v="7400"/>
    <x v="77"/>
    <x v="3215"/>
    <n v="71745"/>
    <x v="3407"/>
    <x v="2607"/>
    <n v="145234"/>
  </r>
  <r>
    <s v="Coastal"/>
    <n v="4719"/>
    <s v="Tacoma, WA"/>
    <n v="6822"/>
    <x v="84"/>
    <x v="3216"/>
    <n v="129653"/>
    <x v="3408"/>
    <x v="2608"/>
    <n v="134680"/>
  </r>
  <r>
    <s v="Coastal"/>
    <n v="4719"/>
    <s v="Tacoma, WA"/>
    <n v="4680"/>
    <x v="70"/>
    <x v="10"/>
    <n v="114699"/>
    <x v="3409"/>
    <x v="2609"/>
    <n v="114699"/>
  </r>
  <r>
    <s v="Coastal"/>
    <n v="4719"/>
    <s v="Tacoma, WA"/>
    <n v="5290"/>
    <x v="49"/>
    <x v="3217"/>
    <n v="111232"/>
    <x v="3410"/>
    <x v="2610"/>
    <n v="111489"/>
  </r>
  <r>
    <s v="Coastal"/>
    <n v="4719"/>
    <s v="Tacoma, WA"/>
    <n v="6811"/>
    <x v="76"/>
    <x v="3218"/>
    <n v="96379"/>
    <x v="3411"/>
    <x v="2611"/>
    <n v="100821"/>
  </r>
  <r>
    <s v="Coastal"/>
    <n v="4719"/>
    <s v="Tacoma, WA"/>
    <n v="5240"/>
    <x v="89"/>
    <x v="3219"/>
    <n v="97357"/>
    <x v="3412"/>
    <x v="2612"/>
    <n v="97765"/>
  </r>
  <r>
    <s v="Coastal"/>
    <n v="4719"/>
    <s v="Tacoma, WA"/>
    <n v="9900"/>
    <x v="18"/>
    <x v="10"/>
    <n v="82958"/>
    <x v="3413"/>
    <x v="2613"/>
    <n v="82958"/>
  </r>
  <r>
    <s v="Coastal"/>
    <n v="4719"/>
    <s v="Tacoma, WA"/>
    <n v="2100"/>
    <x v="35"/>
    <x v="3220"/>
    <n v="3"/>
    <x v="393"/>
    <x v="0"/>
    <n v="82796"/>
  </r>
  <r>
    <s v="Coastal"/>
    <n v="4719"/>
    <s v="Tacoma, WA"/>
    <n v="5190"/>
    <x v="83"/>
    <x v="3221"/>
    <n v="53285"/>
    <x v="3414"/>
    <x v="2614"/>
    <n v="78103"/>
  </r>
  <r>
    <s v="Coastal"/>
    <n v="4719"/>
    <s v="Tacoma, WA"/>
    <n v="6858"/>
    <x v="74"/>
    <x v="10"/>
    <n v="74756"/>
    <x v="3415"/>
    <x v="2615"/>
    <n v="74756"/>
  </r>
  <r>
    <s v="Coastal"/>
    <n v="4719"/>
    <s v="Tacoma, WA"/>
    <n v="5422"/>
    <x v="66"/>
    <x v="10"/>
    <n v="67562"/>
    <x v="3416"/>
    <x v="2616"/>
    <n v="67562"/>
  </r>
  <r>
    <s v="Coastal"/>
    <n v="4719"/>
    <s v="Tacoma, WA"/>
    <n v="6887"/>
    <x v="138"/>
    <x v="3222"/>
    <n v="0"/>
    <x v="0"/>
    <x v="0"/>
    <n v="65526"/>
  </r>
  <r>
    <s v="Coastal"/>
    <n v="4719"/>
    <s v="Tacoma, WA"/>
    <n v="4322"/>
    <x v="33"/>
    <x v="10"/>
    <n v="65003"/>
    <x v="3417"/>
    <x v="0"/>
    <n v="65003"/>
  </r>
  <r>
    <s v="Coastal"/>
    <n v="4719"/>
    <s v="Tacoma, WA"/>
    <n v="4782"/>
    <x v="45"/>
    <x v="10"/>
    <n v="63476"/>
    <x v="3418"/>
    <x v="2617"/>
    <n v="63476"/>
  </r>
  <r>
    <s v="Coastal"/>
    <n v="4719"/>
    <s v="Tacoma, WA"/>
    <n v="6885"/>
    <x v="72"/>
    <x v="3223"/>
    <n v="12015"/>
    <x v="3419"/>
    <x v="2618"/>
    <n v="57376"/>
  </r>
  <r>
    <s v="Coastal"/>
    <n v="4719"/>
    <s v="Tacoma, WA"/>
    <n v="5540"/>
    <x v="64"/>
    <x v="3224"/>
    <n v="53742"/>
    <x v="3420"/>
    <x v="2619"/>
    <n v="55008"/>
  </r>
  <r>
    <s v="Coastal"/>
    <n v="4719"/>
    <s v="Tacoma, WA"/>
    <n v="6134"/>
    <x v="82"/>
    <x v="3225"/>
    <n v="20984"/>
    <x v="3421"/>
    <x v="2620"/>
    <n v="47008"/>
  </r>
  <r>
    <s v="Coastal"/>
    <n v="4719"/>
    <s v="Tacoma, WA"/>
    <n v="3299"/>
    <x v="79"/>
    <x v="3226"/>
    <n v="30406"/>
    <x v="3422"/>
    <x v="2621"/>
    <n v="46860"/>
  </r>
  <r>
    <s v="Coastal"/>
    <n v="4719"/>
    <s v="Tacoma, WA"/>
    <n v="3275"/>
    <x v="47"/>
    <x v="10"/>
    <n v="42530"/>
    <x v="3423"/>
    <x v="2544"/>
    <n v="42530"/>
  </r>
  <r>
    <s v="Coastal"/>
    <n v="4719"/>
    <s v="Tacoma, WA"/>
    <n v="5370"/>
    <x v="81"/>
    <x v="3227"/>
    <n v="37802"/>
    <x v="3424"/>
    <x v="2478"/>
    <n v="42468"/>
  </r>
  <r>
    <s v="Coastal"/>
    <n v="4719"/>
    <s v="Tacoma, WA"/>
    <n v="3285"/>
    <x v="87"/>
    <x v="131"/>
    <n v="41469"/>
    <x v="3425"/>
    <x v="2622"/>
    <n v="41471"/>
  </r>
  <r>
    <s v="Coastal"/>
    <n v="4719"/>
    <s v="Tacoma, WA"/>
    <n v="6839"/>
    <x v="106"/>
    <x v="3228"/>
    <n v="40073"/>
    <x v="3426"/>
    <x v="2623"/>
    <n v="41066"/>
  </r>
  <r>
    <s v="Coastal"/>
    <n v="4719"/>
    <s v="Tacoma, WA"/>
    <n v="6899"/>
    <x v="114"/>
    <x v="3229"/>
    <n v="33871"/>
    <x v="3427"/>
    <x v="2624"/>
    <n v="39114"/>
  </r>
  <r>
    <s v="Coastal"/>
    <n v="4719"/>
    <s v="Tacoma, WA"/>
    <n v="3230"/>
    <x v="80"/>
    <x v="10"/>
    <n v="38139"/>
    <x v="3428"/>
    <x v="2625"/>
    <n v="38139"/>
  </r>
  <r>
    <s v="Coastal"/>
    <n v="4719"/>
    <s v="Tacoma, WA"/>
    <n v="3276"/>
    <x v="12"/>
    <x v="3230"/>
    <n v="34649"/>
    <x v="3429"/>
    <x v="2626"/>
    <n v="37148"/>
  </r>
  <r>
    <s v="Coastal"/>
    <n v="4719"/>
    <s v="Tacoma, WA"/>
    <n v="6747"/>
    <x v="78"/>
    <x v="3231"/>
    <n v="34494"/>
    <x v="3430"/>
    <x v="2627"/>
    <n v="35140"/>
  </r>
  <r>
    <s v="Coastal"/>
    <n v="4719"/>
    <s v="Tacoma, WA"/>
    <n v="3292"/>
    <x v="51"/>
    <x v="10"/>
    <n v="28944"/>
    <x v="3431"/>
    <x v="2628"/>
    <n v="28944"/>
  </r>
  <r>
    <s v="Coastal"/>
    <n v="4719"/>
    <s v="Tacoma, WA"/>
    <n v="6817"/>
    <x v="119"/>
    <x v="10"/>
    <n v="21678"/>
    <x v="1362"/>
    <x v="2629"/>
    <n v="21678"/>
  </r>
  <r>
    <s v="Coastal"/>
    <n v="4719"/>
    <s v="Tacoma, WA"/>
    <n v="2221"/>
    <x v="9"/>
    <x v="3232"/>
    <n v="36"/>
    <x v="0"/>
    <x v="543"/>
    <n v="19765"/>
  </r>
  <r>
    <s v="Coastal"/>
    <n v="4719"/>
    <s v="Tacoma, WA"/>
    <n v="5360"/>
    <x v="94"/>
    <x v="3233"/>
    <n v="7629"/>
    <x v="3432"/>
    <x v="451"/>
    <n v="17214"/>
  </r>
  <r>
    <s v="Coastal"/>
    <n v="4719"/>
    <s v="Tacoma, WA"/>
    <n v="4690"/>
    <x v="62"/>
    <x v="10"/>
    <n v="17187"/>
    <x v="3433"/>
    <x v="1061"/>
    <n v="17187"/>
  </r>
  <r>
    <s v="Coastal"/>
    <n v="4719"/>
    <s v="Tacoma, WA"/>
    <n v="4161"/>
    <x v="54"/>
    <x v="10"/>
    <n v="17085"/>
    <x v="444"/>
    <x v="2630"/>
    <n v="17085"/>
  </r>
  <r>
    <s v="Coastal"/>
    <n v="4719"/>
    <s v="Tacoma, WA"/>
    <n v="6888"/>
    <x v="109"/>
    <x v="10"/>
    <n v="16953"/>
    <x v="2147"/>
    <x v="2631"/>
    <n v="16953"/>
  </r>
  <r>
    <s v="Coastal"/>
    <n v="4719"/>
    <s v="Tacoma, WA"/>
    <n v="4900"/>
    <x v="14"/>
    <x v="10"/>
    <n v="16866"/>
    <x v="3434"/>
    <x v="2632"/>
    <n v="16866"/>
  </r>
  <r>
    <s v="Coastal"/>
    <n v="4719"/>
    <s v="Tacoma, WA"/>
    <n v="3240"/>
    <x v="53"/>
    <x v="10"/>
    <n v="15367"/>
    <x v="3435"/>
    <x v="2633"/>
    <n v="15367"/>
  </r>
  <r>
    <s v="Coastal"/>
    <n v="4719"/>
    <s v="Tacoma, WA"/>
    <n v="3250"/>
    <x v="108"/>
    <x v="10"/>
    <n v="14667"/>
    <x v="3436"/>
    <x v="2634"/>
    <n v="14667"/>
  </r>
  <r>
    <s v="Coastal"/>
    <n v="4719"/>
    <s v="Tacoma, WA"/>
    <n v="3190"/>
    <x v="38"/>
    <x v="3234"/>
    <n v="1635"/>
    <x v="1513"/>
    <x v="2635"/>
    <n v="14629"/>
  </r>
  <r>
    <s v="Coastal"/>
    <n v="4719"/>
    <s v="Tacoma, WA"/>
    <n v="3279"/>
    <x v="58"/>
    <x v="10"/>
    <n v="14290"/>
    <x v="3437"/>
    <x v="2636"/>
    <n v="14290"/>
  </r>
  <r>
    <s v="Coastal"/>
    <n v="4719"/>
    <s v="Tacoma, WA"/>
    <n v="3284"/>
    <x v="97"/>
    <x v="10"/>
    <n v="12968"/>
    <x v="3438"/>
    <x v="2637"/>
    <n v="12968"/>
  </r>
  <r>
    <s v="Coastal"/>
    <n v="4719"/>
    <s v="Tacoma, WA"/>
    <n v="5330"/>
    <x v="16"/>
    <x v="10"/>
    <n v="11613"/>
    <x v="3439"/>
    <x v="581"/>
    <n v="11613"/>
  </r>
  <r>
    <s v="Coastal"/>
    <n v="4719"/>
    <s v="Tacoma, WA"/>
    <n v="6442"/>
    <x v="85"/>
    <x v="10"/>
    <n v="11606"/>
    <x v="3440"/>
    <x v="2055"/>
    <n v="11606"/>
  </r>
  <r>
    <s v="Coastal"/>
    <n v="4719"/>
    <s v="Tacoma, WA"/>
    <n v="6856"/>
    <x v="126"/>
    <x v="2408"/>
    <n v="2316"/>
    <x v="3441"/>
    <x v="0"/>
    <n v="10861"/>
  </r>
  <r>
    <s v="Coastal"/>
    <n v="4719"/>
    <s v="Tacoma, WA"/>
    <n v="6241"/>
    <x v="28"/>
    <x v="10"/>
    <n v="10303"/>
    <x v="19"/>
    <x v="2638"/>
    <n v="10303"/>
  </r>
  <r>
    <s v="Coastal"/>
    <n v="4719"/>
    <s v="Tacoma, WA"/>
    <n v="6653"/>
    <x v="24"/>
    <x v="10"/>
    <n v="10297"/>
    <x v="3442"/>
    <x v="732"/>
    <n v="10297"/>
  </r>
  <r>
    <s v="Coastal"/>
    <n v="4719"/>
    <s v="Tacoma, WA"/>
    <n v="3260"/>
    <x v="107"/>
    <x v="10"/>
    <n v="9998"/>
    <x v="3443"/>
    <x v="2639"/>
    <n v="9998"/>
  </r>
  <r>
    <s v="Coastal"/>
    <n v="4719"/>
    <s v="Tacoma, WA"/>
    <n v="6136"/>
    <x v="95"/>
    <x v="10"/>
    <n v="9542"/>
    <x v="3444"/>
    <x v="2640"/>
    <n v="9542"/>
  </r>
  <r>
    <s v="Coastal"/>
    <n v="4719"/>
    <s v="Tacoma, WA"/>
    <n v="6871"/>
    <x v="73"/>
    <x v="3235"/>
    <n v="9234"/>
    <x v="3445"/>
    <x v="2641"/>
    <n v="9347"/>
  </r>
  <r>
    <s v="Coastal"/>
    <n v="4719"/>
    <s v="Tacoma, WA"/>
    <n v="6894"/>
    <x v="120"/>
    <x v="10"/>
    <n v="8316"/>
    <x v="3446"/>
    <x v="376"/>
    <n v="8316"/>
  </r>
  <r>
    <s v="Coastal"/>
    <n v="4719"/>
    <s v="Tacoma, WA"/>
    <n v="5390"/>
    <x v="44"/>
    <x v="10"/>
    <n v="8297"/>
    <x v="3447"/>
    <x v="2642"/>
    <n v="8297"/>
  </r>
  <r>
    <s v="Coastal"/>
    <n v="4719"/>
    <s v="Tacoma, WA"/>
    <n v="3282"/>
    <x v="91"/>
    <x v="1380"/>
    <n v="7842"/>
    <x v="3448"/>
    <x v="2400"/>
    <n v="7984"/>
  </r>
  <r>
    <s v="Coastal"/>
    <n v="4719"/>
    <s v="Tacoma, WA"/>
    <n v="7230"/>
    <x v="22"/>
    <x v="3236"/>
    <n v="2811"/>
    <x v="3449"/>
    <x v="570"/>
    <n v="7830"/>
  </r>
  <r>
    <s v="Coastal"/>
    <n v="4719"/>
    <s v="Tacoma, WA"/>
    <n v="5315"/>
    <x v="48"/>
    <x v="10"/>
    <n v="7808"/>
    <x v="3450"/>
    <x v="0"/>
    <n v="7808"/>
  </r>
  <r>
    <s v="Coastal"/>
    <n v="4719"/>
    <s v="Tacoma, WA"/>
    <n v="5421"/>
    <x v="88"/>
    <x v="10"/>
    <n v="7701"/>
    <x v="3451"/>
    <x v="2643"/>
    <n v="7701"/>
  </r>
  <r>
    <s v="Coastal"/>
    <n v="4719"/>
    <s v="Tacoma, WA"/>
    <n v="3219"/>
    <x v="19"/>
    <x v="10"/>
    <n v="6667"/>
    <x v="3452"/>
    <x v="2644"/>
    <n v="6667"/>
  </r>
  <r>
    <s v="Coastal"/>
    <n v="4719"/>
    <s v="Tacoma, WA"/>
    <n v="6835"/>
    <x v="92"/>
    <x v="10"/>
    <n v="6627"/>
    <x v="3453"/>
    <x v="95"/>
    <n v="6627"/>
  </r>
  <r>
    <s v="Coastal"/>
    <n v="4719"/>
    <s v="Tacoma, WA"/>
    <n v="2990"/>
    <x v="102"/>
    <x v="3237"/>
    <n v="4248"/>
    <x v="1780"/>
    <x v="0"/>
    <n v="6159"/>
  </r>
  <r>
    <s v="Coastal"/>
    <n v="4719"/>
    <s v="Tacoma, WA"/>
    <n v="3291"/>
    <x v="117"/>
    <x v="10"/>
    <n v="5902"/>
    <x v="3454"/>
    <x v="985"/>
    <n v="5902"/>
  </r>
  <r>
    <s v="Coastal"/>
    <n v="4719"/>
    <s v="Tacoma, WA"/>
    <n v="6893"/>
    <x v="113"/>
    <x v="10"/>
    <n v="5026"/>
    <x v="3455"/>
    <x v="2645"/>
    <n v="5026"/>
  </r>
  <r>
    <s v="Coastal"/>
    <n v="4719"/>
    <s v="Tacoma, WA"/>
    <n v="3283"/>
    <x v="111"/>
    <x v="10"/>
    <n v="4870"/>
    <x v="3456"/>
    <x v="2049"/>
    <n v="4870"/>
  </r>
  <r>
    <s v="Coastal"/>
    <n v="4719"/>
    <s v="Tacoma, WA"/>
    <n v="6590"/>
    <x v="23"/>
    <x v="10"/>
    <n v="4352"/>
    <x v="1513"/>
    <x v="2646"/>
    <n v="4352"/>
  </r>
  <r>
    <s v="Coastal"/>
    <n v="4719"/>
    <s v="Tacoma, WA"/>
    <n v="5110"/>
    <x v="112"/>
    <x v="3238"/>
    <n v="3073"/>
    <x v="210"/>
    <x v="2647"/>
    <n v="4255"/>
  </r>
  <r>
    <s v="Coastal"/>
    <n v="4719"/>
    <s v="Tacoma, WA"/>
    <n v="2429"/>
    <x v="17"/>
    <x v="3239"/>
    <n v="125"/>
    <x v="207"/>
    <x v="1077"/>
    <n v="4225"/>
  </r>
  <r>
    <s v="Coastal"/>
    <n v="4719"/>
    <s v="Tacoma, WA"/>
    <n v="3272"/>
    <x v="137"/>
    <x v="10"/>
    <n v="4216"/>
    <x v="3457"/>
    <x v="220"/>
    <n v="4216"/>
  </r>
  <r>
    <s v="Coastal"/>
    <n v="4719"/>
    <s v="Tacoma, WA"/>
    <n v="5429"/>
    <x v="61"/>
    <x v="10"/>
    <n v="4204"/>
    <x v="3458"/>
    <x v="2648"/>
    <n v="4204"/>
  </r>
  <r>
    <s v="Coastal"/>
    <n v="4719"/>
    <s v="Tacoma, WA"/>
    <n v="4190"/>
    <x v="99"/>
    <x v="10"/>
    <n v="4190"/>
    <x v="3459"/>
    <x v="422"/>
    <n v="4190"/>
  </r>
  <r>
    <s v="Coastal"/>
    <n v="4719"/>
    <s v="Tacoma, WA"/>
    <n v="6443"/>
    <x v="135"/>
    <x v="10"/>
    <n v="4100"/>
    <x v="0"/>
    <x v="2649"/>
    <n v="4100"/>
  </r>
  <r>
    <s v="Coastal"/>
    <n v="4719"/>
    <s v="Tacoma, WA"/>
    <n v="2350"/>
    <x v="40"/>
    <x v="3240"/>
    <n v="423"/>
    <x v="452"/>
    <x v="1431"/>
    <n v="3796"/>
  </r>
  <r>
    <s v="Coastal"/>
    <n v="4719"/>
    <s v="Tacoma, WA"/>
    <n v="3297"/>
    <x v="116"/>
    <x v="10"/>
    <n v="3794"/>
    <x v="3449"/>
    <x v="1637"/>
    <n v="3794"/>
  </r>
  <r>
    <s v="Coastal"/>
    <n v="4719"/>
    <s v="Tacoma, WA"/>
    <n v="5312"/>
    <x v="52"/>
    <x v="10"/>
    <n v="3392"/>
    <x v="3460"/>
    <x v="2351"/>
    <n v="3392"/>
  </r>
  <r>
    <s v="Coastal"/>
    <n v="4719"/>
    <s v="Tacoma, WA"/>
    <n v="4150"/>
    <x v="101"/>
    <x v="10"/>
    <n v="2535"/>
    <x v="3461"/>
    <x v="2650"/>
    <n v="2535"/>
  </r>
  <r>
    <s v="Coastal"/>
    <n v="4719"/>
    <s v="Tacoma, WA"/>
    <n v="4783"/>
    <x v="7"/>
    <x v="10"/>
    <n v="2414"/>
    <x v="126"/>
    <x v="1788"/>
    <n v="2414"/>
  </r>
  <r>
    <s v="Coastal"/>
    <n v="4719"/>
    <s v="Tacoma, WA"/>
    <n v="7220"/>
    <x v="103"/>
    <x v="3212"/>
    <n v="2128"/>
    <x v="2985"/>
    <x v="2651"/>
    <n v="2247"/>
  </r>
  <r>
    <s v="Coastal"/>
    <n v="4719"/>
    <s v="Tacoma, WA"/>
    <n v="4650"/>
    <x v="67"/>
    <x v="10"/>
    <n v="2046"/>
    <x v="2124"/>
    <x v="2652"/>
    <n v="2046"/>
  </r>
  <r>
    <s v="Coastal"/>
    <n v="4719"/>
    <s v="Tacoma, WA"/>
    <n v="6891"/>
    <x v="93"/>
    <x v="10"/>
    <n v="1854"/>
    <x v="3462"/>
    <x v="12"/>
    <n v="1854"/>
  </r>
  <r>
    <s v="Coastal"/>
    <n v="4719"/>
    <s v="Tacoma, WA"/>
    <n v="3293"/>
    <x v="122"/>
    <x v="10"/>
    <n v="1459"/>
    <x v="3463"/>
    <x v="0"/>
    <n v="1459"/>
  </r>
  <r>
    <s v="Coastal"/>
    <n v="4719"/>
    <s v="Tacoma, WA"/>
    <n v="4310"/>
    <x v="96"/>
    <x v="10"/>
    <n v="1348"/>
    <x v="3464"/>
    <x v="376"/>
    <n v="1348"/>
  </r>
  <r>
    <s v="Coastal"/>
    <n v="4719"/>
    <s v="Tacoma, WA"/>
    <n v="7300"/>
    <x v="115"/>
    <x v="10"/>
    <n v="1281"/>
    <x v="2578"/>
    <x v="193"/>
    <n v="1281"/>
  </r>
  <r>
    <s v="Coastal"/>
    <n v="4719"/>
    <s v="Tacoma, WA"/>
    <n v="6872"/>
    <x v="100"/>
    <x v="10"/>
    <n v="1266"/>
    <x v="3465"/>
    <x v="205"/>
    <n v="1266"/>
  </r>
  <r>
    <s v="Coastal"/>
    <n v="4719"/>
    <s v="Tacoma, WA"/>
    <n v="6861"/>
    <x v="69"/>
    <x v="10"/>
    <n v="1085"/>
    <x v="3466"/>
    <x v="2145"/>
    <n v="1085"/>
  </r>
  <r>
    <s v="Coastal"/>
    <n v="4719"/>
    <s v="Tacoma, WA"/>
    <n v="6746"/>
    <x v="118"/>
    <x v="1064"/>
    <n v="911"/>
    <x v="276"/>
    <x v="1105"/>
    <n v="1026"/>
  </r>
  <r>
    <s v="Coastal"/>
    <n v="4719"/>
    <s v="Tacoma, WA"/>
    <n v="3274"/>
    <x v="86"/>
    <x v="10"/>
    <n v="857"/>
    <x v="2571"/>
    <x v="2207"/>
    <n v="857"/>
  </r>
  <r>
    <s v="Coastal"/>
    <n v="4719"/>
    <s v="Tacoma, WA"/>
    <n v="6445"/>
    <x v="136"/>
    <x v="10"/>
    <n v="790"/>
    <x v="669"/>
    <x v="1541"/>
    <n v="790"/>
  </r>
  <r>
    <s v="Coastal"/>
    <n v="4719"/>
    <s v="Tacoma, WA"/>
    <n v="5220"/>
    <x v="30"/>
    <x v="1191"/>
    <n v="594"/>
    <x v="3467"/>
    <x v="2653"/>
    <n v="663"/>
  </r>
  <r>
    <s v="Coastal"/>
    <n v="4719"/>
    <s v="Tacoma, WA"/>
    <n v="3273"/>
    <x v="46"/>
    <x v="10"/>
    <n v="618"/>
    <x v="29"/>
    <x v="2574"/>
    <n v="618"/>
  </r>
  <r>
    <s v="Coastal"/>
    <n v="4719"/>
    <s v="Tacoma, WA"/>
    <n v="2640"/>
    <x v="110"/>
    <x v="3241"/>
    <n v="316"/>
    <x v="3468"/>
    <x v="220"/>
    <n v="525"/>
  </r>
  <r>
    <s v="Coastal"/>
    <n v="4719"/>
    <s v="Tacoma, WA"/>
    <n v="1100"/>
    <x v="32"/>
    <x v="10"/>
    <n v="509"/>
    <x v="2960"/>
    <x v="772"/>
    <n v="509"/>
  </r>
  <r>
    <s v="Coastal"/>
    <n v="4719"/>
    <s v="Tacoma, WA"/>
    <n v="4338"/>
    <x v="142"/>
    <x v="1987"/>
    <n v="0"/>
    <x v="0"/>
    <x v="0"/>
    <n v="416"/>
  </r>
  <r>
    <s v="Coastal"/>
    <n v="4719"/>
    <s v="Tacoma, WA"/>
    <n v="3298"/>
    <x v="123"/>
    <x v="10"/>
    <n v="411"/>
    <x v="393"/>
    <x v="2654"/>
    <n v="411"/>
  </r>
  <r>
    <s v="Coastal"/>
    <n v="4719"/>
    <s v="Tacoma, WA"/>
    <n v="3211"/>
    <x v="124"/>
    <x v="10"/>
    <n v="408"/>
    <x v="3469"/>
    <x v="704"/>
    <n v="408"/>
  </r>
  <r>
    <s v="Coastal"/>
    <n v="4719"/>
    <s v="Tacoma, WA"/>
    <n v="3281"/>
    <x v="125"/>
    <x v="10"/>
    <n v="393"/>
    <x v="670"/>
    <x v="543"/>
    <n v="393"/>
  </r>
  <r>
    <s v="Coastal"/>
    <n v="4719"/>
    <s v="Tacoma, WA"/>
    <n v="4110"/>
    <x v="105"/>
    <x v="10"/>
    <n v="366"/>
    <x v="3470"/>
    <x v="0"/>
    <n v="366"/>
  </r>
  <r>
    <s v="Coastal"/>
    <n v="4719"/>
    <s v="Tacoma, WA"/>
    <n v="2540"/>
    <x v="15"/>
    <x v="10"/>
    <n v="336"/>
    <x v="717"/>
    <x v="1974"/>
    <n v="336"/>
  </r>
  <r>
    <s v="Coastal"/>
    <n v="4719"/>
    <s v="Tacoma, WA"/>
    <n v="6521"/>
    <x v="121"/>
    <x v="10"/>
    <n v="309"/>
    <x v="2082"/>
    <x v="2655"/>
    <n v="309"/>
  </r>
  <r>
    <s v="Coastal"/>
    <n v="4719"/>
    <s v="Tacoma, WA"/>
    <n v="4860"/>
    <x v="31"/>
    <x v="10"/>
    <n v="288"/>
    <x v="3471"/>
    <x v="383"/>
    <n v="288"/>
  </r>
  <r>
    <s v="Coastal"/>
    <n v="4719"/>
    <s v="Tacoma, WA"/>
    <n v="5320"/>
    <x v="13"/>
    <x v="10"/>
    <n v="215"/>
    <x v="1083"/>
    <x v="572"/>
    <n v="215"/>
  </r>
  <r>
    <s v="Coastal"/>
    <n v="4719"/>
    <s v="Tacoma, WA"/>
    <n v="2410"/>
    <x v="98"/>
    <x v="10"/>
    <n v="206"/>
    <x v="1558"/>
    <x v="129"/>
    <n v="206"/>
  </r>
  <r>
    <s v="Coastal"/>
    <n v="4719"/>
    <s v="Tacoma, WA"/>
    <n v="6838"/>
    <x v="131"/>
    <x v="10"/>
    <n v="193"/>
    <x v="527"/>
    <x v="271"/>
    <n v="193"/>
  </r>
  <r>
    <s v="Coastal"/>
    <n v="4719"/>
    <s v="Tacoma, WA"/>
    <n v="8900"/>
    <x v="139"/>
    <x v="1829"/>
    <n v="0"/>
    <x v="0"/>
    <x v="0"/>
    <n v="179"/>
  </r>
  <r>
    <s v="Coastal"/>
    <n v="4719"/>
    <s v="Tacoma, WA"/>
    <n v="6534"/>
    <x v="141"/>
    <x v="10"/>
    <n v="171"/>
    <x v="449"/>
    <x v="262"/>
    <n v="171"/>
  </r>
  <r>
    <s v="Coastal"/>
    <n v="4719"/>
    <s v="Tacoma, WA"/>
    <n v="3130"/>
    <x v="37"/>
    <x v="10"/>
    <n v="156"/>
    <x v="147"/>
    <x v="274"/>
    <n v="156"/>
  </r>
  <r>
    <s v="Coastal"/>
    <n v="4719"/>
    <s v="Tacoma, WA"/>
    <n v="2430"/>
    <x v="11"/>
    <x v="10"/>
    <n v="123"/>
    <x v="211"/>
    <x v="1405"/>
    <n v="123"/>
  </r>
  <r>
    <s v="Coastal"/>
    <n v="4719"/>
    <s v="Tacoma, WA"/>
    <n v="6447"/>
    <x v="132"/>
    <x v="10"/>
    <n v="123"/>
    <x v="0"/>
    <x v="885"/>
    <n v="123"/>
  </r>
  <r>
    <s v="Coastal"/>
    <n v="4719"/>
    <s v="Tacoma, WA"/>
    <n v="1200"/>
    <x v="43"/>
    <x v="10"/>
    <n v="107"/>
    <x v="0"/>
    <x v="1035"/>
    <n v="107"/>
  </r>
  <r>
    <s v="Coastal"/>
    <n v="4719"/>
    <s v="Tacoma, WA"/>
    <n v="5210"/>
    <x v="130"/>
    <x v="10"/>
    <n v="91"/>
    <x v="2991"/>
    <x v="0"/>
    <n v="91"/>
  </r>
  <r>
    <s v="Coastal"/>
    <n v="4719"/>
    <s v="Tacoma, WA"/>
    <n v="3110"/>
    <x v="36"/>
    <x v="10"/>
    <n v="35"/>
    <x v="310"/>
    <x v="0"/>
    <n v="35"/>
  </r>
  <r>
    <s v="Coastal"/>
    <n v="4719"/>
    <s v="Tacoma, WA"/>
    <n v="4515"/>
    <x v="129"/>
    <x v="10"/>
    <n v="29"/>
    <x v="669"/>
    <x v="0"/>
    <n v="29"/>
  </r>
  <r>
    <s v="Coastal"/>
    <n v="4719"/>
    <s v="Tacoma, WA"/>
    <n v="4630"/>
    <x v="127"/>
    <x v="10"/>
    <n v="22"/>
    <x v="210"/>
    <x v="0"/>
    <n v="22"/>
  </r>
  <r>
    <s v="Coastal"/>
    <n v="4719"/>
    <s v="Tacoma, WA"/>
    <n v="4670"/>
    <x v="90"/>
    <x v="10"/>
    <n v="6"/>
    <x v="207"/>
    <x v="0"/>
    <n v="6"/>
  </r>
  <r>
    <s v="Coastal"/>
    <n v="4719"/>
    <s v="Tacoma, WA"/>
    <n v="4410"/>
    <x v="34"/>
    <x v="10"/>
    <n v="1"/>
    <x v="19"/>
    <x v="0"/>
    <n v="1"/>
  </r>
  <r>
    <s v="Great Lakes"/>
    <n v="3929"/>
    <s v="Taconite, MN"/>
    <n v="4410"/>
    <x v="34"/>
    <x v="3242"/>
    <n v="0"/>
    <x v="0"/>
    <x v="0"/>
    <n v="321312"/>
  </r>
  <r>
    <s v="Coastal"/>
    <n v="2021"/>
    <s v="Tampa Port Authority, FL"/>
    <n v="2211"/>
    <x v="0"/>
    <x v="3243"/>
    <n v="20392"/>
    <x v="3472"/>
    <x v="0"/>
    <n v="10215361"/>
  </r>
  <r>
    <s v="Coastal"/>
    <n v="2021"/>
    <s v="Tampa Port Authority, FL"/>
    <n v="2330"/>
    <x v="1"/>
    <x v="3244"/>
    <n v="28626"/>
    <x v="3473"/>
    <x v="2656"/>
    <n v="3292238"/>
  </r>
  <r>
    <s v="Coastal"/>
    <n v="2021"/>
    <s v="Tampa Port Authority, FL"/>
    <n v="3190"/>
    <x v="38"/>
    <x v="3245"/>
    <n v="2221848"/>
    <x v="3474"/>
    <x v="2657"/>
    <n v="3014461"/>
  </r>
  <r>
    <s v="Coastal"/>
    <n v="2021"/>
    <s v="Tampa Port Authority, FL"/>
    <n v="4322"/>
    <x v="33"/>
    <x v="3246"/>
    <n v="2357919"/>
    <x v="3475"/>
    <x v="0"/>
    <n v="2377620"/>
  </r>
  <r>
    <s v="Coastal"/>
    <n v="2021"/>
    <s v="Tampa Port Authority, FL"/>
    <n v="2221"/>
    <x v="9"/>
    <x v="3247"/>
    <n v="42827"/>
    <x v="3476"/>
    <x v="0"/>
    <n v="1795123"/>
  </r>
  <r>
    <s v="Coastal"/>
    <n v="2021"/>
    <s v="Tampa Port Authority, FL"/>
    <n v="5220"/>
    <x v="30"/>
    <x v="10"/>
    <n v="1145971"/>
    <x v="3477"/>
    <x v="236"/>
    <n v="1145971"/>
  </r>
  <r>
    <s v="Coastal"/>
    <n v="2021"/>
    <s v="Tampa Port Authority, FL"/>
    <n v="4331"/>
    <x v="29"/>
    <x v="10"/>
    <n v="919531"/>
    <x v="3478"/>
    <x v="666"/>
    <n v="919531"/>
  </r>
  <r>
    <s v="Coastal"/>
    <n v="2021"/>
    <s v="Tampa Port Authority, FL"/>
    <n v="4741"/>
    <x v="56"/>
    <x v="10"/>
    <n v="714733"/>
    <x v="3479"/>
    <x v="0"/>
    <n v="714733"/>
  </r>
  <r>
    <s v="Coastal"/>
    <n v="2021"/>
    <s v="Tampa Port Authority, FL"/>
    <n v="1100"/>
    <x v="32"/>
    <x v="3248"/>
    <n v="0"/>
    <x v="0"/>
    <x v="0"/>
    <n v="622430"/>
  </r>
  <r>
    <s v="Coastal"/>
    <n v="2021"/>
    <s v="Tampa Port Authority, FL"/>
    <n v="4323"/>
    <x v="6"/>
    <x v="10"/>
    <n v="582905"/>
    <x v="3480"/>
    <x v="2658"/>
    <n v="582905"/>
  </r>
  <r>
    <s v="Coastal"/>
    <n v="2021"/>
    <s v="Tampa Port Authority, FL"/>
    <n v="3220"/>
    <x v="2"/>
    <x v="3249"/>
    <n v="623"/>
    <x v="3481"/>
    <x v="1005"/>
    <n v="502066"/>
  </r>
  <r>
    <s v="Coastal"/>
    <n v="2021"/>
    <s v="Tampa Port Authority, FL"/>
    <n v="4860"/>
    <x v="31"/>
    <x v="10"/>
    <n v="489548"/>
    <x v="3482"/>
    <x v="0"/>
    <n v="489548"/>
  </r>
  <r>
    <s v="Coastal"/>
    <n v="2021"/>
    <s v="Tampa Port Authority, FL"/>
    <n v="3271"/>
    <x v="133"/>
    <x v="3250"/>
    <n v="0"/>
    <x v="0"/>
    <x v="0"/>
    <n v="397108"/>
  </r>
  <r>
    <s v="Coastal"/>
    <n v="2021"/>
    <s v="Tampa Port Authority, FL"/>
    <n v="2430"/>
    <x v="11"/>
    <x v="3251"/>
    <n v="0"/>
    <x v="0"/>
    <x v="0"/>
    <n v="361765"/>
  </r>
  <r>
    <s v="Coastal"/>
    <n v="2021"/>
    <s v="Tampa Port Authority, FL"/>
    <n v="4420"/>
    <x v="8"/>
    <x v="3252"/>
    <n v="263648"/>
    <x v="205"/>
    <x v="2659"/>
    <n v="305163"/>
  </r>
  <r>
    <s v="Coastal"/>
    <n v="2021"/>
    <s v="Tampa Port Authority, FL"/>
    <n v="3273"/>
    <x v="46"/>
    <x v="10"/>
    <n v="283899"/>
    <x v="3483"/>
    <x v="0"/>
    <n v="283899"/>
  </r>
  <r>
    <s v="Coastal"/>
    <n v="2021"/>
    <s v="Tampa Port Authority, FL"/>
    <n v="3276"/>
    <x v="12"/>
    <x v="10"/>
    <n v="212376"/>
    <x v="3484"/>
    <x v="2660"/>
    <n v="212376"/>
  </r>
  <r>
    <s v="Coastal"/>
    <n v="2021"/>
    <s v="Tampa Port Authority, FL"/>
    <n v="7900"/>
    <x v="21"/>
    <x v="10"/>
    <n v="207097"/>
    <x v="3485"/>
    <x v="2661"/>
    <n v="207097"/>
  </r>
  <r>
    <s v="Coastal"/>
    <n v="2021"/>
    <s v="Tampa Port Authority, FL"/>
    <n v="3110"/>
    <x v="36"/>
    <x v="3253"/>
    <n v="147988"/>
    <x v="3486"/>
    <x v="0"/>
    <n v="204378"/>
  </r>
  <r>
    <s v="Coastal"/>
    <n v="2021"/>
    <s v="Tampa Port Authority, FL"/>
    <n v="3130"/>
    <x v="37"/>
    <x v="536"/>
    <n v="67884"/>
    <x v="3487"/>
    <x v="2662"/>
    <n v="178545"/>
  </r>
  <r>
    <s v="Coastal"/>
    <n v="2021"/>
    <s v="Tampa Port Authority, FL"/>
    <n v="5330"/>
    <x v="16"/>
    <x v="10"/>
    <n v="172781"/>
    <x v="3488"/>
    <x v="0"/>
    <n v="172781"/>
  </r>
  <r>
    <s v="Coastal"/>
    <n v="2021"/>
    <s v="Tampa Port Authority, FL"/>
    <n v="3272"/>
    <x v="137"/>
    <x v="10"/>
    <n v="170039"/>
    <x v="3489"/>
    <x v="2663"/>
    <n v="170039"/>
  </r>
  <r>
    <s v="Coastal"/>
    <n v="2021"/>
    <s v="Tampa Port Authority, FL"/>
    <n v="6858"/>
    <x v="74"/>
    <x v="10"/>
    <n v="152563"/>
    <x v="3490"/>
    <x v="2664"/>
    <n v="152563"/>
  </r>
  <r>
    <s v="Coastal"/>
    <n v="2021"/>
    <s v="Tampa Port Authority, FL"/>
    <n v="4783"/>
    <x v="7"/>
    <x v="10"/>
    <n v="146633"/>
    <x v="3491"/>
    <x v="365"/>
    <n v="146633"/>
  </r>
  <r>
    <s v="Coastal"/>
    <n v="2021"/>
    <s v="Tampa Port Authority, FL"/>
    <n v="2340"/>
    <x v="3"/>
    <x v="3254"/>
    <n v="0"/>
    <x v="0"/>
    <x v="0"/>
    <n v="117784"/>
  </r>
  <r>
    <s v="Coastal"/>
    <n v="2021"/>
    <s v="Tampa Port Authority, FL"/>
    <n v="6241"/>
    <x v="28"/>
    <x v="3255"/>
    <n v="0"/>
    <x v="0"/>
    <x v="0"/>
    <n v="115878"/>
  </r>
  <r>
    <s v="Coastal"/>
    <n v="2021"/>
    <s v="Tampa Port Authority, FL"/>
    <n v="2350"/>
    <x v="40"/>
    <x v="3256"/>
    <n v="31434"/>
    <x v="3492"/>
    <x v="433"/>
    <n v="112751"/>
  </r>
  <r>
    <s v="Coastal"/>
    <n v="2021"/>
    <s v="Tampa Port Authority, FL"/>
    <n v="2540"/>
    <x v="15"/>
    <x v="3257"/>
    <n v="0"/>
    <x v="0"/>
    <x v="0"/>
    <n v="103164"/>
  </r>
  <r>
    <s v="Coastal"/>
    <n v="2021"/>
    <s v="Tampa Port Authority, FL"/>
    <n v="5480"/>
    <x v="20"/>
    <x v="10"/>
    <n v="95873"/>
    <x v="3493"/>
    <x v="2665"/>
    <n v="95873"/>
  </r>
  <r>
    <s v="Coastal"/>
    <n v="2021"/>
    <s v="Tampa Port Authority, FL"/>
    <n v="4189"/>
    <x v="65"/>
    <x v="423"/>
    <n v="70315"/>
    <x v="3494"/>
    <x v="1204"/>
    <n v="70316"/>
  </r>
  <r>
    <s v="Coastal"/>
    <n v="2021"/>
    <s v="Tampa Port Authority, FL"/>
    <n v="5290"/>
    <x v="49"/>
    <x v="3258"/>
    <n v="63520"/>
    <x v="3495"/>
    <x v="2666"/>
    <n v="65890"/>
  </r>
  <r>
    <s v="Coastal"/>
    <n v="2021"/>
    <s v="Tampa Port Authority, FL"/>
    <n v="6856"/>
    <x v="126"/>
    <x v="10"/>
    <n v="58148"/>
    <x v="3496"/>
    <x v="2667"/>
    <n v="58148"/>
  </r>
  <r>
    <s v="Coastal"/>
    <n v="2021"/>
    <s v="Tampa Port Authority, FL"/>
    <n v="2100"/>
    <x v="35"/>
    <x v="3259"/>
    <n v="0"/>
    <x v="0"/>
    <x v="0"/>
    <n v="57690"/>
  </r>
  <r>
    <s v="Coastal"/>
    <n v="2021"/>
    <s v="Tampa Port Authority, FL"/>
    <n v="4327"/>
    <x v="134"/>
    <x v="10"/>
    <n v="53339"/>
    <x v="3497"/>
    <x v="0"/>
    <n v="53339"/>
  </r>
  <r>
    <s v="Coastal"/>
    <n v="2021"/>
    <s v="Tampa Port Authority, FL"/>
    <n v="7600"/>
    <x v="68"/>
    <x v="10"/>
    <n v="53074"/>
    <x v="3498"/>
    <x v="2668"/>
    <n v="53074"/>
  </r>
  <r>
    <s v="Coastal"/>
    <n v="2021"/>
    <s v="Tampa Port Authority, FL"/>
    <n v="4650"/>
    <x v="67"/>
    <x v="10"/>
    <n v="51238"/>
    <x v="3499"/>
    <x v="166"/>
    <n v="51238"/>
  </r>
  <r>
    <s v="Coastal"/>
    <n v="2021"/>
    <s v="Tampa Port Authority, FL"/>
    <n v="5360"/>
    <x v="94"/>
    <x v="2780"/>
    <n v="41596"/>
    <x v="3500"/>
    <x v="2669"/>
    <n v="44796"/>
  </r>
  <r>
    <s v="Coastal"/>
    <n v="2021"/>
    <s v="Tampa Port Authority, FL"/>
    <n v="3219"/>
    <x v="19"/>
    <x v="10"/>
    <n v="43395"/>
    <x v="3501"/>
    <x v="1555"/>
    <n v="43395"/>
  </r>
  <r>
    <s v="Coastal"/>
    <n v="2021"/>
    <s v="Tampa Port Authority, FL"/>
    <n v="7120"/>
    <x v="71"/>
    <x v="10"/>
    <n v="40045"/>
    <x v="3502"/>
    <x v="2670"/>
    <n v="40045"/>
  </r>
  <r>
    <s v="Coastal"/>
    <n v="2021"/>
    <s v="Tampa Port Authority, FL"/>
    <n v="4782"/>
    <x v="45"/>
    <x v="10"/>
    <n v="39314"/>
    <x v="3503"/>
    <x v="1267"/>
    <n v="39314"/>
  </r>
  <r>
    <s v="Coastal"/>
    <n v="2021"/>
    <s v="Tampa Port Authority, FL"/>
    <n v="7110"/>
    <x v="4"/>
    <x v="3260"/>
    <n v="33276"/>
    <x v="3504"/>
    <x v="2671"/>
    <n v="35209"/>
  </r>
  <r>
    <s v="Coastal"/>
    <n v="2021"/>
    <s v="Tampa Port Authority, FL"/>
    <n v="4680"/>
    <x v="70"/>
    <x v="10"/>
    <n v="30462"/>
    <x v="476"/>
    <x v="2672"/>
    <n v="30462"/>
  </r>
  <r>
    <s v="Coastal"/>
    <n v="2021"/>
    <s v="Tampa Port Authority, FL"/>
    <n v="7210"/>
    <x v="59"/>
    <x v="10"/>
    <n v="30158"/>
    <x v="3505"/>
    <x v="2673"/>
    <n v="30158"/>
  </r>
  <r>
    <s v="Coastal"/>
    <n v="2021"/>
    <s v="Tampa Port Authority, FL"/>
    <n v="5370"/>
    <x v="81"/>
    <x v="3261"/>
    <n v="28457"/>
    <x v="3506"/>
    <x v="0"/>
    <n v="28645"/>
  </r>
  <r>
    <s v="Coastal"/>
    <n v="2021"/>
    <s v="Tampa Port Authority, FL"/>
    <n v="6857"/>
    <x v="104"/>
    <x v="10"/>
    <n v="28319"/>
    <x v="3507"/>
    <x v="2674"/>
    <n v="28319"/>
  </r>
  <r>
    <s v="Coastal"/>
    <n v="2021"/>
    <s v="Tampa Port Authority, FL"/>
    <n v="4225"/>
    <x v="10"/>
    <x v="10"/>
    <n v="26191"/>
    <x v="1505"/>
    <x v="2675"/>
    <n v="26191"/>
  </r>
  <r>
    <s v="Coastal"/>
    <n v="2021"/>
    <s v="Tampa Port Authority, FL"/>
    <n v="6781"/>
    <x v="128"/>
    <x v="10"/>
    <n v="24251"/>
    <x v="0"/>
    <x v="2676"/>
    <n v="24251"/>
  </r>
  <r>
    <s v="Coastal"/>
    <n v="2021"/>
    <s v="Tampa Port Authority, FL"/>
    <n v="6889"/>
    <x v="42"/>
    <x v="10"/>
    <n v="22125"/>
    <x v="3508"/>
    <x v="2677"/>
    <n v="22125"/>
  </r>
  <r>
    <s v="Coastal"/>
    <n v="2021"/>
    <s v="Tampa Port Authority, FL"/>
    <n v="3286"/>
    <x v="57"/>
    <x v="10"/>
    <n v="18596"/>
    <x v="3509"/>
    <x v="2174"/>
    <n v="18596"/>
  </r>
  <r>
    <s v="Coastal"/>
    <n v="2021"/>
    <s v="Tampa Port Authority, FL"/>
    <n v="5422"/>
    <x v="66"/>
    <x v="10"/>
    <n v="18369"/>
    <x v="3510"/>
    <x v="1868"/>
    <n v="18369"/>
  </r>
  <r>
    <s v="Coastal"/>
    <n v="2021"/>
    <s v="Tampa Port Authority, FL"/>
    <n v="6861"/>
    <x v="69"/>
    <x v="3262"/>
    <n v="2235"/>
    <x v="3511"/>
    <x v="263"/>
    <n v="16635"/>
  </r>
  <r>
    <s v="Coastal"/>
    <n v="2021"/>
    <s v="Tampa Port Authority, FL"/>
    <n v="7500"/>
    <x v="60"/>
    <x v="10"/>
    <n v="14917"/>
    <x v="3512"/>
    <x v="2678"/>
    <n v="14917"/>
  </r>
  <r>
    <s v="Coastal"/>
    <n v="2021"/>
    <s v="Tampa Port Authority, FL"/>
    <n v="3120"/>
    <x v="41"/>
    <x v="3263"/>
    <n v="0"/>
    <x v="0"/>
    <x v="0"/>
    <n v="14501"/>
  </r>
  <r>
    <s v="Coastal"/>
    <n v="2021"/>
    <s v="Tampa Port Authority, FL"/>
    <n v="4900"/>
    <x v="14"/>
    <x v="10"/>
    <n v="13118"/>
    <x v="3513"/>
    <x v="0"/>
    <n v="13118"/>
  </r>
  <r>
    <s v="Coastal"/>
    <n v="2021"/>
    <s v="Tampa Port Authority, FL"/>
    <n v="3230"/>
    <x v="80"/>
    <x v="10"/>
    <n v="10312"/>
    <x v="935"/>
    <x v="2679"/>
    <n v="10312"/>
  </r>
  <r>
    <s v="Coastal"/>
    <n v="2021"/>
    <s v="Tampa Port Authority, FL"/>
    <n v="5240"/>
    <x v="89"/>
    <x v="10"/>
    <n v="10163"/>
    <x v="3514"/>
    <x v="1295"/>
    <n v="10163"/>
  </r>
  <r>
    <s v="Coastal"/>
    <n v="2021"/>
    <s v="Tampa Port Authority, FL"/>
    <n v="3285"/>
    <x v="87"/>
    <x v="10"/>
    <n v="9521"/>
    <x v="3103"/>
    <x v="2680"/>
    <n v="9521"/>
  </r>
  <r>
    <s v="Coastal"/>
    <n v="2021"/>
    <s v="Tampa Port Authority, FL"/>
    <n v="9900"/>
    <x v="18"/>
    <x v="10"/>
    <n v="9321"/>
    <x v="3515"/>
    <x v="2681"/>
    <n v="9321"/>
  </r>
  <r>
    <s v="Coastal"/>
    <n v="2021"/>
    <s v="Tampa Port Authority, FL"/>
    <n v="6822"/>
    <x v="84"/>
    <x v="10"/>
    <n v="9243"/>
    <x v="974"/>
    <x v="2682"/>
    <n v="9243"/>
  </r>
  <r>
    <s v="Coastal"/>
    <n v="2021"/>
    <s v="Tampa Port Authority, FL"/>
    <n v="7400"/>
    <x v="77"/>
    <x v="279"/>
    <n v="6791"/>
    <x v="3516"/>
    <x v="234"/>
    <n v="7077"/>
  </r>
  <r>
    <s v="Coastal"/>
    <n v="2021"/>
    <s v="Tampa Port Authority, FL"/>
    <n v="5540"/>
    <x v="64"/>
    <x v="10"/>
    <n v="6891"/>
    <x v="3517"/>
    <x v="1077"/>
    <n v="6891"/>
  </r>
  <r>
    <s v="Coastal"/>
    <n v="2021"/>
    <s v="Tampa Port Authority, FL"/>
    <n v="3274"/>
    <x v="86"/>
    <x v="3264"/>
    <n v="142"/>
    <x v="204"/>
    <x v="276"/>
    <n v="6651"/>
  </r>
  <r>
    <s v="Coastal"/>
    <n v="2021"/>
    <s v="Tampa Port Authority, FL"/>
    <n v="6654"/>
    <x v="50"/>
    <x v="10"/>
    <n v="5307"/>
    <x v="3518"/>
    <x v="1756"/>
    <n v="5307"/>
  </r>
  <r>
    <s v="Coastal"/>
    <n v="2021"/>
    <s v="Tampa Port Authority, FL"/>
    <n v="3279"/>
    <x v="58"/>
    <x v="10"/>
    <n v="5010"/>
    <x v="3519"/>
    <x v="700"/>
    <n v="5010"/>
  </r>
  <r>
    <s v="Coastal"/>
    <n v="2021"/>
    <s v="Tampa Port Authority, FL"/>
    <n v="3275"/>
    <x v="47"/>
    <x v="10"/>
    <n v="4735"/>
    <x v="3520"/>
    <x v="449"/>
    <n v="4735"/>
  </r>
  <r>
    <s v="Coastal"/>
    <n v="2021"/>
    <s v="Tampa Port Authority, FL"/>
    <n v="5190"/>
    <x v="83"/>
    <x v="10"/>
    <n v="4516"/>
    <x v="3521"/>
    <x v="2683"/>
    <n v="4516"/>
  </r>
  <r>
    <s v="Coastal"/>
    <n v="2021"/>
    <s v="Tampa Port Authority, FL"/>
    <n v="4170"/>
    <x v="55"/>
    <x v="10"/>
    <n v="4318"/>
    <x v="226"/>
    <x v="2684"/>
    <n v="4318"/>
  </r>
  <r>
    <s v="Coastal"/>
    <n v="2021"/>
    <s v="Tampa Port Authority, FL"/>
    <n v="2640"/>
    <x v="110"/>
    <x v="10"/>
    <n v="3770"/>
    <x v="1249"/>
    <x v="2177"/>
    <n v="3770"/>
  </r>
  <r>
    <s v="Coastal"/>
    <n v="2021"/>
    <s v="Tampa Port Authority, FL"/>
    <n v="3250"/>
    <x v="108"/>
    <x v="10"/>
    <n v="3547"/>
    <x v="3522"/>
    <x v="2685"/>
    <n v="3547"/>
  </r>
  <r>
    <s v="Coastal"/>
    <n v="2021"/>
    <s v="Tampa Port Authority, FL"/>
    <n v="6782"/>
    <x v="27"/>
    <x v="10"/>
    <n v="2938"/>
    <x v="2601"/>
    <x v="2686"/>
    <n v="2938"/>
  </r>
  <r>
    <s v="Coastal"/>
    <n v="2021"/>
    <s v="Tampa Port Authority, FL"/>
    <n v="6442"/>
    <x v="85"/>
    <x v="10"/>
    <n v="2543"/>
    <x v="3523"/>
    <x v="237"/>
    <n v="2543"/>
  </r>
  <r>
    <s v="Coastal"/>
    <n v="2021"/>
    <s v="Tampa Port Authority, FL"/>
    <n v="6885"/>
    <x v="72"/>
    <x v="10"/>
    <n v="2187"/>
    <x v="3524"/>
    <x v="2687"/>
    <n v="2187"/>
  </r>
  <r>
    <s v="Coastal"/>
    <n v="2021"/>
    <s v="Tampa Port Authority, FL"/>
    <n v="3282"/>
    <x v="91"/>
    <x v="10"/>
    <n v="1794"/>
    <x v="3525"/>
    <x v="202"/>
    <n v="1794"/>
  </r>
  <r>
    <s v="Coastal"/>
    <n v="2021"/>
    <s v="Tampa Port Authority, FL"/>
    <n v="3299"/>
    <x v="79"/>
    <x v="10"/>
    <n v="1781"/>
    <x v="3526"/>
    <x v="665"/>
    <n v="1781"/>
  </r>
  <r>
    <s v="Coastal"/>
    <n v="2021"/>
    <s v="Tampa Port Authority, FL"/>
    <n v="5120"/>
    <x v="63"/>
    <x v="10"/>
    <n v="1468"/>
    <x v="3527"/>
    <x v="168"/>
    <n v="1468"/>
  </r>
  <r>
    <s v="Coastal"/>
    <n v="2021"/>
    <s v="Tampa Port Authority, FL"/>
    <n v="4190"/>
    <x v="99"/>
    <x v="10"/>
    <n v="1359"/>
    <x v="3528"/>
    <x v="86"/>
    <n v="1359"/>
  </r>
  <r>
    <s v="Coastal"/>
    <n v="2021"/>
    <s v="Tampa Port Authority, FL"/>
    <n v="5390"/>
    <x v="44"/>
    <x v="10"/>
    <n v="1239"/>
    <x v="1187"/>
    <x v="0"/>
    <n v="1239"/>
  </r>
  <r>
    <s v="Coastal"/>
    <n v="2021"/>
    <s v="Tampa Port Authority, FL"/>
    <n v="5421"/>
    <x v="88"/>
    <x v="10"/>
    <n v="1224"/>
    <x v="402"/>
    <x v="2688"/>
    <n v="1224"/>
  </r>
  <r>
    <s v="Coastal"/>
    <n v="2021"/>
    <s v="Tampa Port Authority, FL"/>
    <n v="3260"/>
    <x v="107"/>
    <x v="10"/>
    <n v="912"/>
    <x v="3529"/>
    <x v="220"/>
    <n v="912"/>
  </r>
  <r>
    <s v="Coastal"/>
    <n v="2021"/>
    <s v="Tampa Port Authority, FL"/>
    <n v="6747"/>
    <x v="78"/>
    <x v="10"/>
    <n v="899"/>
    <x v="706"/>
    <x v="2689"/>
    <n v="899"/>
  </r>
  <r>
    <s v="Coastal"/>
    <n v="2021"/>
    <s v="Tampa Port Authority, FL"/>
    <n v="6811"/>
    <x v="76"/>
    <x v="10"/>
    <n v="862"/>
    <x v="408"/>
    <x v="2343"/>
    <n v="862"/>
  </r>
  <r>
    <s v="Coastal"/>
    <n v="2021"/>
    <s v="Tampa Port Authority, FL"/>
    <n v="6653"/>
    <x v="24"/>
    <x v="10"/>
    <n v="655"/>
    <x v="3530"/>
    <x v="263"/>
    <n v="655"/>
  </r>
  <r>
    <s v="Coastal"/>
    <n v="2021"/>
    <s v="Tampa Port Authority, FL"/>
    <n v="6893"/>
    <x v="113"/>
    <x v="10"/>
    <n v="612"/>
    <x v="1080"/>
    <x v="206"/>
    <n v="612"/>
  </r>
  <r>
    <s v="Coastal"/>
    <n v="2021"/>
    <s v="Tampa Port Authority, FL"/>
    <n v="3240"/>
    <x v="53"/>
    <x v="10"/>
    <n v="534"/>
    <x v="196"/>
    <x v="738"/>
    <n v="534"/>
  </r>
  <r>
    <s v="Coastal"/>
    <n v="2021"/>
    <s v="Tampa Port Authority, FL"/>
    <n v="6134"/>
    <x v="82"/>
    <x v="10"/>
    <n v="516"/>
    <x v="3017"/>
    <x v="451"/>
    <n v="516"/>
  </r>
  <r>
    <s v="Coastal"/>
    <n v="2021"/>
    <s v="Tampa Port Authority, FL"/>
    <n v="3284"/>
    <x v="97"/>
    <x v="10"/>
    <n v="484"/>
    <x v="2651"/>
    <x v="130"/>
    <n v="484"/>
  </r>
  <r>
    <s v="Coastal"/>
    <n v="2021"/>
    <s v="Tampa Port Authority, FL"/>
    <n v="7230"/>
    <x v="22"/>
    <x v="10"/>
    <n v="435"/>
    <x v="3243"/>
    <x v="274"/>
    <n v="435"/>
  </r>
  <r>
    <s v="Coastal"/>
    <n v="2021"/>
    <s v="Tampa Port Authority, FL"/>
    <n v="6835"/>
    <x v="92"/>
    <x v="10"/>
    <n v="323"/>
    <x v="3461"/>
    <x v="0"/>
    <n v="323"/>
  </r>
  <r>
    <s v="Coastal"/>
    <n v="2021"/>
    <s v="Tampa Port Authority, FL"/>
    <n v="6894"/>
    <x v="120"/>
    <x v="10"/>
    <n v="312"/>
    <x v="199"/>
    <x v="0"/>
    <n v="312"/>
  </r>
  <r>
    <s v="Coastal"/>
    <n v="2021"/>
    <s v="Tampa Port Authority, FL"/>
    <n v="5312"/>
    <x v="52"/>
    <x v="10"/>
    <n v="308"/>
    <x v="3531"/>
    <x v="238"/>
    <n v="308"/>
  </r>
  <r>
    <s v="Coastal"/>
    <n v="2021"/>
    <s v="Tampa Port Authority, FL"/>
    <n v="6839"/>
    <x v="106"/>
    <x v="10"/>
    <n v="272"/>
    <x v="504"/>
    <x v="879"/>
    <n v="272"/>
  </r>
  <r>
    <s v="Coastal"/>
    <n v="2021"/>
    <s v="Tampa Port Authority, FL"/>
    <n v="5210"/>
    <x v="130"/>
    <x v="10"/>
    <n v="262"/>
    <x v="0"/>
    <x v="2690"/>
    <n v="262"/>
  </r>
  <r>
    <s v="Coastal"/>
    <n v="2021"/>
    <s v="Tampa Port Authority, FL"/>
    <n v="6136"/>
    <x v="95"/>
    <x v="10"/>
    <n v="261"/>
    <x v="501"/>
    <x v="125"/>
    <n v="261"/>
  </r>
  <r>
    <s v="Coastal"/>
    <n v="2021"/>
    <s v="Tampa Port Authority, FL"/>
    <n v="6522"/>
    <x v="26"/>
    <x v="10"/>
    <n v="261"/>
    <x v="0"/>
    <x v="350"/>
    <n v="261"/>
  </r>
  <r>
    <s v="Coastal"/>
    <n v="2021"/>
    <s v="Tampa Port Authority, FL"/>
    <n v="5429"/>
    <x v="61"/>
    <x v="10"/>
    <n v="229"/>
    <x v="975"/>
    <x v="275"/>
    <n v="229"/>
  </r>
  <r>
    <s v="Coastal"/>
    <n v="2021"/>
    <s v="Tampa Port Authority, FL"/>
    <n v="3291"/>
    <x v="117"/>
    <x v="10"/>
    <n v="116"/>
    <x v="908"/>
    <x v="0"/>
    <n v="116"/>
  </r>
  <r>
    <s v="Coastal"/>
    <n v="2021"/>
    <s v="Tampa Port Authority, FL"/>
    <n v="6899"/>
    <x v="114"/>
    <x v="10"/>
    <n v="66"/>
    <x v="453"/>
    <x v="214"/>
    <n v="66"/>
  </r>
  <r>
    <s v="Coastal"/>
    <n v="2021"/>
    <s v="Tampa Port Authority, FL"/>
    <n v="5110"/>
    <x v="112"/>
    <x v="10"/>
    <n v="64"/>
    <x v="0"/>
    <x v="224"/>
    <n v="64"/>
  </r>
  <r>
    <s v="Coastal"/>
    <n v="2021"/>
    <s v="Tampa Port Authority, FL"/>
    <n v="6891"/>
    <x v="93"/>
    <x v="10"/>
    <n v="62"/>
    <x v="154"/>
    <x v="272"/>
    <n v="62"/>
  </r>
  <r>
    <s v="Coastal"/>
    <n v="2021"/>
    <s v="Tampa Port Authority, FL"/>
    <n v="6344"/>
    <x v="25"/>
    <x v="10"/>
    <n v="46"/>
    <x v="413"/>
    <x v="237"/>
    <n v="46"/>
  </r>
  <r>
    <s v="Coastal"/>
    <n v="2021"/>
    <s v="Tampa Port Authority, FL"/>
    <n v="5315"/>
    <x v="48"/>
    <x v="10"/>
    <n v="44"/>
    <x v="308"/>
    <x v="0"/>
    <n v="44"/>
  </r>
  <r>
    <s v="Coastal"/>
    <n v="2021"/>
    <s v="Tampa Port Authority, FL"/>
    <n v="3292"/>
    <x v="51"/>
    <x v="10"/>
    <n v="43"/>
    <x v="720"/>
    <x v="0"/>
    <n v="43"/>
  </r>
  <r>
    <s v="Coastal"/>
    <n v="2021"/>
    <s v="Tampa Port Authority, FL"/>
    <n v="3297"/>
    <x v="116"/>
    <x v="10"/>
    <n v="42"/>
    <x v="0"/>
    <x v="130"/>
    <n v="42"/>
  </r>
  <r>
    <s v="Coastal"/>
    <n v="2021"/>
    <s v="Tampa Port Authority, FL"/>
    <n v="3283"/>
    <x v="111"/>
    <x v="10"/>
    <n v="39"/>
    <x v="170"/>
    <x v="129"/>
    <n v="39"/>
  </r>
  <r>
    <s v="Coastal"/>
    <n v="2021"/>
    <s v="Tampa Port Authority, FL"/>
    <n v="7220"/>
    <x v="103"/>
    <x v="10"/>
    <n v="37"/>
    <x v="168"/>
    <x v="410"/>
    <n v="37"/>
  </r>
  <r>
    <s v="Coastal"/>
    <n v="2021"/>
    <s v="Tampa Port Authority, FL"/>
    <n v="4150"/>
    <x v="101"/>
    <x v="10"/>
    <n v="36"/>
    <x v="612"/>
    <x v="129"/>
    <n v="36"/>
  </r>
  <r>
    <s v="Coastal"/>
    <n v="2021"/>
    <s v="Tampa Port Authority, FL"/>
    <n v="6888"/>
    <x v="109"/>
    <x v="10"/>
    <n v="35"/>
    <x v="417"/>
    <x v="134"/>
    <n v="35"/>
  </r>
  <r>
    <s v="Coastal"/>
    <n v="2021"/>
    <s v="Tampa Port Authority, FL"/>
    <n v="4161"/>
    <x v="54"/>
    <x v="10"/>
    <n v="23"/>
    <x v="209"/>
    <x v="0"/>
    <n v="23"/>
  </r>
  <r>
    <s v="Coastal"/>
    <n v="2021"/>
    <s v="Tampa Port Authority, FL"/>
    <n v="6872"/>
    <x v="100"/>
    <x v="10"/>
    <n v="22"/>
    <x v="210"/>
    <x v="0"/>
    <n v="22"/>
  </r>
  <r>
    <s v="Coastal"/>
    <n v="2021"/>
    <s v="Tampa Port Authority, FL"/>
    <n v="4515"/>
    <x v="129"/>
    <x v="10"/>
    <n v="18"/>
    <x v="170"/>
    <x v="0"/>
    <n v="18"/>
  </r>
  <r>
    <s v="Coastal"/>
    <n v="2021"/>
    <s v="Tampa Port Authority, FL"/>
    <n v="6817"/>
    <x v="119"/>
    <x v="10"/>
    <n v="7"/>
    <x v="0"/>
    <x v="166"/>
    <n v="7"/>
  </r>
  <r>
    <s v="Coastal"/>
    <n v="4972"/>
    <s v="Teller, AK"/>
    <n v="2330"/>
    <x v="1"/>
    <x v="3265"/>
    <n v="0"/>
    <x v="0"/>
    <x v="0"/>
    <n v="224"/>
  </r>
  <r>
    <s v="Coastal"/>
    <n v="4972"/>
    <s v="Teller, AK"/>
    <n v="2211"/>
    <x v="0"/>
    <x v="762"/>
    <n v="0"/>
    <x v="0"/>
    <x v="0"/>
    <n v="64"/>
  </r>
  <r>
    <s v="Coastal"/>
    <n v="2224"/>
    <s v="Terrebonne Parish Port, LA"/>
    <n v="2100"/>
    <x v="35"/>
    <x v="3266"/>
    <n v="0"/>
    <x v="0"/>
    <x v="0"/>
    <n v="1430307"/>
  </r>
  <r>
    <s v="Coastal"/>
    <n v="2224"/>
    <s v="Terrebonne Parish Port, LA"/>
    <n v="4322"/>
    <x v="33"/>
    <x v="3267"/>
    <n v="0"/>
    <x v="0"/>
    <x v="0"/>
    <n v="144955"/>
  </r>
  <r>
    <s v="Coastal"/>
    <n v="2224"/>
    <s v="Terrebonne Parish Port, LA"/>
    <n v="4331"/>
    <x v="29"/>
    <x v="3268"/>
    <n v="0"/>
    <x v="0"/>
    <x v="0"/>
    <n v="101599"/>
  </r>
  <r>
    <s v="Coastal"/>
    <n v="2224"/>
    <s v="Terrebonne Parish Port, LA"/>
    <n v="4420"/>
    <x v="8"/>
    <x v="3269"/>
    <n v="0"/>
    <x v="0"/>
    <x v="0"/>
    <n v="97646"/>
  </r>
  <r>
    <s v="Coastal"/>
    <n v="2224"/>
    <s v="Terrebonne Parish Port, LA"/>
    <n v="7900"/>
    <x v="21"/>
    <x v="3270"/>
    <n v="0"/>
    <x v="0"/>
    <x v="0"/>
    <n v="7576"/>
  </r>
  <r>
    <s v="Coastal"/>
    <n v="2224"/>
    <s v="Terrebonne Parish Port, LA"/>
    <n v="7110"/>
    <x v="4"/>
    <x v="1114"/>
    <n v="0"/>
    <x v="0"/>
    <x v="0"/>
    <n v="4695"/>
  </r>
  <r>
    <s v="Coastal"/>
    <n v="2224"/>
    <s v="Terrebonne Parish Port, LA"/>
    <n v="4860"/>
    <x v="31"/>
    <x v="3271"/>
    <n v="0"/>
    <x v="0"/>
    <x v="0"/>
    <n v="3193"/>
  </r>
  <r>
    <s v="Coastal"/>
    <n v="2224"/>
    <s v="Terrebonne Parish Port, LA"/>
    <n v="4783"/>
    <x v="7"/>
    <x v="1367"/>
    <n v="0"/>
    <x v="0"/>
    <x v="0"/>
    <n v="1832"/>
  </r>
  <r>
    <s v="Coastal"/>
    <n v="2224"/>
    <s v="Terrebonne Parish Port, LA"/>
    <n v="4335"/>
    <x v="5"/>
    <x v="3272"/>
    <n v="0"/>
    <x v="0"/>
    <x v="0"/>
    <n v="1705"/>
  </r>
  <r>
    <s v="Coastal"/>
    <n v="2224"/>
    <s v="Terrebonne Parish Port, LA"/>
    <n v="5370"/>
    <x v="81"/>
    <x v="577"/>
    <n v="0"/>
    <x v="0"/>
    <x v="0"/>
    <n v="750"/>
  </r>
  <r>
    <s v="Coastal"/>
    <n v="2224"/>
    <s v="Terrebonne Parish Port, LA"/>
    <n v="2330"/>
    <x v="1"/>
    <x v="3273"/>
    <n v="0"/>
    <x v="0"/>
    <x v="0"/>
    <n v="225"/>
  </r>
  <r>
    <s v="Coastal"/>
    <n v="2224"/>
    <s v="Terrebonne Parish Port, LA"/>
    <n v="2340"/>
    <x v="3"/>
    <x v="3274"/>
    <n v="0"/>
    <x v="0"/>
    <x v="0"/>
    <n v="183"/>
  </r>
  <r>
    <s v="Coastal"/>
    <n v="2428"/>
    <s v="Texas City, TX"/>
    <n v="2100"/>
    <x v="35"/>
    <x v="3275"/>
    <n v="6599709"/>
    <x v="3532"/>
    <x v="2691"/>
    <n v="7088558"/>
  </r>
  <r>
    <s v="Coastal"/>
    <n v="2428"/>
    <s v="Texas City, TX"/>
    <n v="2330"/>
    <x v="1"/>
    <x v="3276"/>
    <n v="4441312"/>
    <x v="3533"/>
    <x v="2692"/>
    <n v="6970461"/>
  </r>
  <r>
    <s v="Coastal"/>
    <n v="2428"/>
    <s v="Texas City, TX"/>
    <n v="2211"/>
    <x v="0"/>
    <x v="3277"/>
    <n v="1843180"/>
    <x v="3534"/>
    <x v="2693"/>
    <n v="3522896"/>
  </r>
  <r>
    <s v="Coastal"/>
    <n v="2428"/>
    <s v="Texas City, TX"/>
    <n v="2340"/>
    <x v="3"/>
    <x v="3278"/>
    <n v="466850"/>
    <x v="3535"/>
    <x v="2694"/>
    <n v="1806042"/>
  </r>
  <r>
    <s v="Coastal"/>
    <n v="2428"/>
    <s v="Texas City, TX"/>
    <n v="2429"/>
    <x v="17"/>
    <x v="3279"/>
    <n v="77718"/>
    <x v="0"/>
    <x v="2695"/>
    <n v="1605675"/>
  </r>
  <r>
    <s v="Coastal"/>
    <n v="2428"/>
    <s v="Texas City, TX"/>
    <n v="2540"/>
    <x v="15"/>
    <x v="3280"/>
    <n v="1478937"/>
    <x v="0"/>
    <x v="2696"/>
    <n v="1504582"/>
  </r>
  <r>
    <s v="Coastal"/>
    <n v="2428"/>
    <s v="Texas City, TX"/>
    <n v="3220"/>
    <x v="2"/>
    <x v="3281"/>
    <n v="674275"/>
    <x v="3536"/>
    <x v="2697"/>
    <n v="1362735"/>
  </r>
  <r>
    <s v="Coastal"/>
    <n v="2428"/>
    <s v="Texas City, TX"/>
    <n v="3219"/>
    <x v="19"/>
    <x v="3282"/>
    <n v="71150"/>
    <x v="3537"/>
    <x v="2698"/>
    <n v="1086384"/>
  </r>
  <r>
    <s v="Coastal"/>
    <n v="2428"/>
    <s v="Texas City, TX"/>
    <n v="3212"/>
    <x v="39"/>
    <x v="3283"/>
    <n v="24640"/>
    <x v="3538"/>
    <x v="2699"/>
    <n v="606416"/>
  </r>
  <r>
    <s v="Coastal"/>
    <n v="2428"/>
    <s v="Texas City, TX"/>
    <n v="2430"/>
    <x v="11"/>
    <x v="3284"/>
    <n v="5917"/>
    <x v="0"/>
    <x v="2700"/>
    <n v="522983"/>
  </r>
  <r>
    <s v="Coastal"/>
    <n v="2428"/>
    <s v="Texas City, TX"/>
    <n v="3230"/>
    <x v="80"/>
    <x v="3285"/>
    <n v="219744"/>
    <x v="3539"/>
    <x v="2701"/>
    <n v="461010"/>
  </r>
  <r>
    <s v="Coastal"/>
    <n v="2428"/>
    <s v="Texas City, TX"/>
    <n v="4331"/>
    <x v="29"/>
    <x v="3286"/>
    <n v="0"/>
    <x v="0"/>
    <x v="0"/>
    <n v="402000"/>
  </r>
  <r>
    <s v="Coastal"/>
    <n v="2428"/>
    <s v="Texas City, TX"/>
    <n v="2990"/>
    <x v="102"/>
    <x v="3287"/>
    <n v="13094"/>
    <x v="3540"/>
    <x v="0"/>
    <n v="274119"/>
  </r>
  <r>
    <s v="Coastal"/>
    <n v="2428"/>
    <s v="Texas City, TX"/>
    <n v="2221"/>
    <x v="9"/>
    <x v="3288"/>
    <n v="55949"/>
    <x v="0"/>
    <x v="2702"/>
    <n v="111063"/>
  </r>
  <r>
    <s v="Coastal"/>
    <n v="2428"/>
    <s v="Texas City, TX"/>
    <n v="3260"/>
    <x v="107"/>
    <x v="2847"/>
    <n v="80473"/>
    <x v="2394"/>
    <x v="2703"/>
    <n v="99379"/>
  </r>
  <r>
    <s v="Coastal"/>
    <n v="2428"/>
    <s v="Texas City, TX"/>
    <n v="3286"/>
    <x v="57"/>
    <x v="3289"/>
    <n v="61790"/>
    <x v="0"/>
    <x v="2704"/>
    <n v="84236"/>
  </r>
  <r>
    <s v="Coastal"/>
    <n v="2428"/>
    <s v="Texas City, TX"/>
    <n v="2410"/>
    <x v="98"/>
    <x v="3290"/>
    <n v="23380"/>
    <x v="3541"/>
    <x v="0"/>
    <n v="58780"/>
  </r>
  <r>
    <s v="Coastal"/>
    <n v="2428"/>
    <s v="Texas City, TX"/>
    <n v="6241"/>
    <x v="28"/>
    <x v="10"/>
    <n v="50168"/>
    <x v="0"/>
    <x v="2705"/>
    <n v="50168"/>
  </r>
  <r>
    <s v="Coastal"/>
    <n v="2428"/>
    <s v="Texas City, TX"/>
    <n v="3240"/>
    <x v="53"/>
    <x v="3291"/>
    <n v="7246"/>
    <x v="0"/>
    <x v="2706"/>
    <n v="35418"/>
  </r>
  <r>
    <s v="Coastal"/>
    <n v="2428"/>
    <s v="Texas City, TX"/>
    <n v="2350"/>
    <x v="40"/>
    <x v="3292"/>
    <n v="3484"/>
    <x v="1571"/>
    <x v="2707"/>
    <n v="32077"/>
  </r>
  <r>
    <s v="Coastal"/>
    <n v="2428"/>
    <s v="Texas City, TX"/>
    <n v="4420"/>
    <x v="8"/>
    <x v="3293"/>
    <n v="0"/>
    <x v="0"/>
    <x v="0"/>
    <n v="28087"/>
  </r>
  <r>
    <s v="Coastal"/>
    <n v="2428"/>
    <s v="Texas City, TX"/>
    <n v="3250"/>
    <x v="108"/>
    <x v="2374"/>
    <n v="2392"/>
    <x v="0"/>
    <x v="71"/>
    <n v="27822"/>
  </r>
  <r>
    <s v="Coastal"/>
    <n v="2428"/>
    <s v="Texas City, TX"/>
    <n v="6442"/>
    <x v="85"/>
    <x v="10"/>
    <n v="26875"/>
    <x v="0"/>
    <x v="2708"/>
    <n v="26875"/>
  </r>
  <r>
    <s v="Coastal"/>
    <n v="2428"/>
    <s v="Texas City, TX"/>
    <n v="6344"/>
    <x v="25"/>
    <x v="10"/>
    <n v="25821"/>
    <x v="0"/>
    <x v="2709"/>
    <n v="25821"/>
  </r>
  <r>
    <s v="Coastal"/>
    <n v="2428"/>
    <s v="Texas City, TX"/>
    <n v="7900"/>
    <x v="21"/>
    <x v="10"/>
    <n v="24277"/>
    <x v="3542"/>
    <x v="2710"/>
    <n v="24277"/>
  </r>
  <r>
    <s v="Coastal"/>
    <n v="2428"/>
    <s v="Texas City, TX"/>
    <n v="3211"/>
    <x v="124"/>
    <x v="544"/>
    <n v="20711"/>
    <x v="3543"/>
    <x v="2711"/>
    <n v="21911"/>
  </r>
  <r>
    <s v="Coastal"/>
    <n v="2428"/>
    <s v="Texas City, TX"/>
    <n v="3299"/>
    <x v="79"/>
    <x v="3294"/>
    <n v="3467"/>
    <x v="3104"/>
    <x v="2712"/>
    <n v="20403"/>
  </r>
  <r>
    <s v="Coastal"/>
    <n v="2428"/>
    <s v="Texas City, TX"/>
    <n v="1200"/>
    <x v="43"/>
    <x v="3295"/>
    <n v="0"/>
    <x v="0"/>
    <x v="0"/>
    <n v="10252"/>
  </r>
  <r>
    <s v="Coastal"/>
    <n v="2428"/>
    <s v="Texas City, TX"/>
    <n v="6782"/>
    <x v="27"/>
    <x v="10"/>
    <n v="8354"/>
    <x v="0"/>
    <x v="2713"/>
    <n v="8354"/>
  </r>
  <r>
    <s v="Coastal"/>
    <n v="2428"/>
    <s v="Texas City, TX"/>
    <n v="3275"/>
    <x v="47"/>
    <x v="10"/>
    <n v="8332"/>
    <x v="0"/>
    <x v="2714"/>
    <n v="8332"/>
  </r>
  <r>
    <s v="Coastal"/>
    <n v="2428"/>
    <s v="Texas City, TX"/>
    <n v="7600"/>
    <x v="68"/>
    <x v="10"/>
    <n v="7664"/>
    <x v="3544"/>
    <x v="2715"/>
    <n v="7664"/>
  </r>
  <r>
    <s v="Coastal"/>
    <n v="2428"/>
    <s v="Texas City, TX"/>
    <n v="4225"/>
    <x v="10"/>
    <x v="10"/>
    <n v="7169"/>
    <x v="0"/>
    <x v="2716"/>
    <n v="7169"/>
  </r>
  <r>
    <s v="Coastal"/>
    <n v="2428"/>
    <s v="Texas City, TX"/>
    <n v="3274"/>
    <x v="86"/>
    <x v="3296"/>
    <n v="62"/>
    <x v="0"/>
    <x v="619"/>
    <n v="6217"/>
  </r>
  <r>
    <s v="Coastal"/>
    <n v="2428"/>
    <s v="Texas City, TX"/>
    <n v="7120"/>
    <x v="71"/>
    <x v="10"/>
    <n v="6108"/>
    <x v="416"/>
    <x v="2717"/>
    <n v="6108"/>
  </r>
  <r>
    <s v="Coastal"/>
    <n v="2428"/>
    <s v="Texas City, TX"/>
    <n v="6856"/>
    <x v="126"/>
    <x v="10"/>
    <n v="6089"/>
    <x v="3545"/>
    <x v="0"/>
    <n v="6089"/>
  </r>
  <r>
    <s v="Coastal"/>
    <n v="2428"/>
    <s v="Texas City, TX"/>
    <n v="3285"/>
    <x v="87"/>
    <x v="894"/>
    <n v="2532"/>
    <x v="0"/>
    <x v="2718"/>
    <n v="5852"/>
  </r>
  <r>
    <s v="Coastal"/>
    <n v="2428"/>
    <s v="Texas City, TX"/>
    <n v="7110"/>
    <x v="4"/>
    <x v="10"/>
    <n v="4273"/>
    <x v="3546"/>
    <x v="2719"/>
    <n v="4273"/>
  </r>
  <r>
    <s v="Coastal"/>
    <n v="2428"/>
    <s v="Texas City, TX"/>
    <n v="7210"/>
    <x v="59"/>
    <x v="10"/>
    <n v="3578"/>
    <x v="0"/>
    <x v="2720"/>
    <n v="3578"/>
  </r>
  <r>
    <s v="Coastal"/>
    <n v="2428"/>
    <s v="Texas City, TX"/>
    <n v="5480"/>
    <x v="20"/>
    <x v="10"/>
    <n v="3428"/>
    <x v="3547"/>
    <x v="2721"/>
    <n v="3428"/>
  </r>
  <r>
    <s v="Coastal"/>
    <n v="2428"/>
    <s v="Texas City, TX"/>
    <n v="9900"/>
    <x v="18"/>
    <x v="10"/>
    <n v="2558"/>
    <x v="1000"/>
    <x v="2722"/>
    <n v="2558"/>
  </r>
  <r>
    <s v="Coastal"/>
    <n v="2428"/>
    <s v="Texas City, TX"/>
    <n v="7500"/>
    <x v="60"/>
    <x v="10"/>
    <n v="2090"/>
    <x v="1884"/>
    <x v="2723"/>
    <n v="2090"/>
  </r>
  <r>
    <s v="Coastal"/>
    <n v="2428"/>
    <s v="Texas City, TX"/>
    <n v="6857"/>
    <x v="104"/>
    <x v="10"/>
    <n v="1749"/>
    <x v="3548"/>
    <x v="0"/>
    <n v="1749"/>
  </r>
  <r>
    <s v="Coastal"/>
    <n v="2428"/>
    <s v="Texas City, TX"/>
    <n v="6885"/>
    <x v="72"/>
    <x v="1744"/>
    <n v="0"/>
    <x v="0"/>
    <x v="0"/>
    <n v="1522"/>
  </r>
  <r>
    <s v="Coastal"/>
    <n v="2428"/>
    <s v="Texas City, TX"/>
    <n v="5370"/>
    <x v="81"/>
    <x v="1497"/>
    <n v="13"/>
    <x v="0"/>
    <x v="1038"/>
    <n v="1513"/>
  </r>
  <r>
    <s v="Coastal"/>
    <n v="2428"/>
    <s v="Texas City, TX"/>
    <n v="2640"/>
    <x v="110"/>
    <x v="544"/>
    <n v="0"/>
    <x v="0"/>
    <x v="0"/>
    <n v="1200"/>
  </r>
  <r>
    <s v="Coastal"/>
    <n v="2428"/>
    <s v="Texas City, TX"/>
    <n v="5360"/>
    <x v="94"/>
    <x v="2304"/>
    <n v="0"/>
    <x v="0"/>
    <x v="0"/>
    <n v="802"/>
  </r>
  <r>
    <s v="Coastal"/>
    <n v="2428"/>
    <s v="Texas City, TX"/>
    <n v="3282"/>
    <x v="91"/>
    <x v="10"/>
    <n v="706"/>
    <x v="0"/>
    <x v="194"/>
    <n v="706"/>
  </r>
  <r>
    <s v="Coastal"/>
    <n v="2428"/>
    <s v="Texas City, TX"/>
    <n v="6889"/>
    <x v="42"/>
    <x v="10"/>
    <n v="307"/>
    <x v="391"/>
    <x v="2145"/>
    <n v="307"/>
  </r>
  <r>
    <s v="Coastal"/>
    <n v="2428"/>
    <s v="Texas City, TX"/>
    <n v="3279"/>
    <x v="58"/>
    <x v="10"/>
    <n v="225"/>
    <x v="0"/>
    <x v="2724"/>
    <n v="225"/>
  </r>
  <r>
    <s v="Coastal"/>
    <n v="2428"/>
    <s v="Texas City, TX"/>
    <n v="3276"/>
    <x v="12"/>
    <x v="10"/>
    <n v="213"/>
    <x v="0"/>
    <x v="966"/>
    <n v="213"/>
  </r>
  <r>
    <s v="Coastal"/>
    <n v="2428"/>
    <s v="Texas City, TX"/>
    <n v="5290"/>
    <x v="49"/>
    <x v="10"/>
    <n v="197"/>
    <x v="451"/>
    <x v="1967"/>
    <n v="197"/>
  </r>
  <r>
    <s v="Coastal"/>
    <n v="2428"/>
    <s v="Texas City, TX"/>
    <n v="5421"/>
    <x v="88"/>
    <x v="10"/>
    <n v="180"/>
    <x v="0"/>
    <x v="2725"/>
    <n v="180"/>
  </r>
  <r>
    <s v="Coastal"/>
    <n v="2428"/>
    <s v="Texas City, TX"/>
    <n v="6654"/>
    <x v="50"/>
    <x v="10"/>
    <n v="94"/>
    <x v="211"/>
    <x v="1641"/>
    <n v="94"/>
  </r>
  <r>
    <s v="Coastal"/>
    <n v="2428"/>
    <s v="Texas City, TX"/>
    <n v="6822"/>
    <x v="84"/>
    <x v="10"/>
    <n v="86"/>
    <x v="0"/>
    <x v="256"/>
    <n v="86"/>
  </r>
  <r>
    <s v="Coastal"/>
    <n v="2428"/>
    <s v="Texas City, TX"/>
    <n v="6888"/>
    <x v="109"/>
    <x v="10"/>
    <n v="70"/>
    <x v="0"/>
    <x v="408"/>
    <n v="70"/>
  </r>
  <r>
    <s v="Coastal"/>
    <n v="2428"/>
    <s v="Texas City, TX"/>
    <n v="4189"/>
    <x v="65"/>
    <x v="10"/>
    <n v="44"/>
    <x v="0"/>
    <x v="449"/>
    <n v="44"/>
  </r>
  <r>
    <s v="Coastal"/>
    <n v="2428"/>
    <s v="Texas City, TX"/>
    <n v="5190"/>
    <x v="83"/>
    <x v="10"/>
    <n v="44"/>
    <x v="308"/>
    <x v="0"/>
    <n v="44"/>
  </r>
  <r>
    <s v="Coastal"/>
    <n v="2428"/>
    <s v="Texas City, TX"/>
    <n v="3297"/>
    <x v="116"/>
    <x v="10"/>
    <n v="43"/>
    <x v="0"/>
    <x v="704"/>
    <n v="43"/>
  </r>
  <r>
    <s v="Coastal"/>
    <n v="2428"/>
    <s v="Texas City, TX"/>
    <n v="7230"/>
    <x v="22"/>
    <x v="10"/>
    <n v="6"/>
    <x v="207"/>
    <x v="0"/>
    <n v="6"/>
  </r>
  <r>
    <s v="Great Lakes"/>
    <n v="3204"/>
    <s v="Toledo-Lucas County Port, OH"/>
    <n v="4410"/>
    <x v="34"/>
    <x v="3297"/>
    <n v="0"/>
    <x v="0"/>
    <x v="0"/>
    <n v="5195276"/>
  </r>
  <r>
    <s v="Great Lakes"/>
    <n v="3204"/>
    <s v="Toledo-Lucas County Port, OH"/>
    <n v="1100"/>
    <x v="32"/>
    <x v="3298"/>
    <n v="1417552"/>
    <x v="0"/>
    <x v="2726"/>
    <n v="2693823"/>
  </r>
  <r>
    <s v="Great Lakes"/>
    <n v="3204"/>
    <s v="Toledo-Lucas County Port, OH"/>
    <n v="6522"/>
    <x v="26"/>
    <x v="10"/>
    <n v="524795"/>
    <x v="0"/>
    <x v="2727"/>
    <n v="524795"/>
  </r>
  <r>
    <s v="Great Lakes"/>
    <n v="3204"/>
    <s v="Toledo-Lucas County Port, OH"/>
    <n v="2540"/>
    <x v="15"/>
    <x v="3299"/>
    <n v="424405"/>
    <x v="0"/>
    <x v="2728"/>
    <n v="439373"/>
  </r>
  <r>
    <s v="Great Lakes"/>
    <n v="3204"/>
    <s v="Toledo-Lucas County Port, OH"/>
    <n v="4331"/>
    <x v="29"/>
    <x v="3300"/>
    <n v="243919"/>
    <x v="3549"/>
    <x v="2729"/>
    <n v="375919"/>
  </r>
  <r>
    <s v="Great Lakes"/>
    <n v="3204"/>
    <s v="Toledo-Lucas County Port, OH"/>
    <n v="4783"/>
    <x v="7"/>
    <x v="3301"/>
    <n v="250714"/>
    <x v="3550"/>
    <x v="0"/>
    <n v="372284"/>
  </r>
  <r>
    <s v="Great Lakes"/>
    <n v="3204"/>
    <s v="Toledo-Lucas County Port, OH"/>
    <n v="4322"/>
    <x v="33"/>
    <x v="3302"/>
    <n v="22047"/>
    <x v="542"/>
    <x v="2730"/>
    <n v="321703"/>
  </r>
  <r>
    <s v="Great Lakes"/>
    <n v="3204"/>
    <s v="Toledo-Lucas County Port, OH"/>
    <n v="5422"/>
    <x v="66"/>
    <x v="10"/>
    <n v="310885"/>
    <x v="3551"/>
    <x v="2731"/>
    <n v="310885"/>
  </r>
  <r>
    <s v="Great Lakes"/>
    <n v="3204"/>
    <s v="Toledo-Lucas County Port, OH"/>
    <n v="6747"/>
    <x v="78"/>
    <x v="10"/>
    <n v="284730"/>
    <x v="3552"/>
    <x v="0"/>
    <n v="284730"/>
  </r>
  <r>
    <s v="Great Lakes"/>
    <n v="3204"/>
    <s v="Toledo-Lucas County Port, OH"/>
    <n v="2211"/>
    <x v="0"/>
    <x v="3303"/>
    <n v="28860"/>
    <x v="0"/>
    <x v="2732"/>
    <n v="207533"/>
  </r>
  <r>
    <s v="Great Lakes"/>
    <n v="3204"/>
    <s v="Toledo-Lucas County Port, OH"/>
    <n v="5220"/>
    <x v="30"/>
    <x v="3304"/>
    <n v="26944"/>
    <x v="3553"/>
    <x v="0"/>
    <n v="198361"/>
  </r>
  <r>
    <s v="Great Lakes"/>
    <n v="3204"/>
    <s v="Toledo-Lucas County Port, OH"/>
    <n v="6241"/>
    <x v="28"/>
    <x v="3305"/>
    <n v="121634"/>
    <x v="3554"/>
    <x v="2733"/>
    <n v="139180"/>
  </r>
  <r>
    <s v="Great Lakes"/>
    <n v="3204"/>
    <s v="Toledo-Lucas County Port, OH"/>
    <n v="6344"/>
    <x v="25"/>
    <x v="10"/>
    <n v="133123"/>
    <x v="0"/>
    <x v="2734"/>
    <n v="133123"/>
  </r>
  <r>
    <s v="Great Lakes"/>
    <n v="3204"/>
    <s v="Toledo-Lucas County Port, OH"/>
    <n v="6445"/>
    <x v="136"/>
    <x v="10"/>
    <n v="76831"/>
    <x v="3555"/>
    <x v="0"/>
    <n v="76831"/>
  </r>
  <r>
    <s v="Great Lakes"/>
    <n v="3204"/>
    <s v="Toledo-Lucas County Port, OH"/>
    <n v="5312"/>
    <x v="52"/>
    <x v="10"/>
    <n v="76371"/>
    <x v="3556"/>
    <x v="2735"/>
    <n v="76371"/>
  </r>
  <r>
    <s v="Great Lakes"/>
    <n v="3204"/>
    <s v="Toledo-Lucas County Port, OH"/>
    <n v="4782"/>
    <x v="45"/>
    <x v="10"/>
    <n v="75834"/>
    <x v="3557"/>
    <x v="0"/>
    <n v="75834"/>
  </r>
  <r>
    <s v="Great Lakes"/>
    <n v="3204"/>
    <s v="Toledo-Lucas County Port, OH"/>
    <n v="7110"/>
    <x v="4"/>
    <x v="3306"/>
    <n v="71839"/>
    <x v="3558"/>
    <x v="0"/>
    <n v="72539"/>
  </r>
  <r>
    <s v="Great Lakes"/>
    <n v="3204"/>
    <s v="Toledo-Lucas County Port, OH"/>
    <n v="6782"/>
    <x v="27"/>
    <x v="10"/>
    <n v="69179"/>
    <x v="0"/>
    <x v="2736"/>
    <n v="69179"/>
  </r>
  <r>
    <s v="Great Lakes"/>
    <n v="3204"/>
    <s v="Toledo-Lucas County Port, OH"/>
    <n v="5330"/>
    <x v="16"/>
    <x v="10"/>
    <n v="65739"/>
    <x v="3559"/>
    <x v="0"/>
    <n v="65739"/>
  </r>
  <r>
    <s v="Great Lakes"/>
    <n v="3204"/>
    <s v="Toledo-Lucas County Port, OH"/>
    <n v="2330"/>
    <x v="1"/>
    <x v="3307"/>
    <n v="3110"/>
    <x v="0"/>
    <x v="2737"/>
    <n v="63861"/>
  </r>
  <r>
    <s v="Great Lakes"/>
    <n v="3204"/>
    <s v="Toledo-Lucas County Port, OH"/>
    <n v="3130"/>
    <x v="37"/>
    <x v="10"/>
    <n v="49604"/>
    <x v="3560"/>
    <x v="2738"/>
    <n v="49604"/>
  </r>
  <r>
    <s v="Great Lakes"/>
    <n v="3204"/>
    <s v="Toledo-Lucas County Port, OH"/>
    <n v="4860"/>
    <x v="31"/>
    <x v="3308"/>
    <n v="26455"/>
    <x v="547"/>
    <x v="0"/>
    <n v="42337"/>
  </r>
  <r>
    <s v="Great Lakes"/>
    <n v="3204"/>
    <s v="Toledo-Lucas County Port, OH"/>
    <n v="2430"/>
    <x v="11"/>
    <x v="3309"/>
    <n v="0"/>
    <x v="0"/>
    <x v="0"/>
    <n v="35979"/>
  </r>
  <r>
    <s v="Great Lakes"/>
    <n v="3204"/>
    <s v="Toledo-Lucas County Port, OH"/>
    <n v="3110"/>
    <x v="36"/>
    <x v="10"/>
    <n v="34721"/>
    <x v="3561"/>
    <x v="0"/>
    <n v="34721"/>
  </r>
  <r>
    <s v="Great Lakes"/>
    <n v="3204"/>
    <s v="Toledo-Lucas County Port, OH"/>
    <n v="4690"/>
    <x v="62"/>
    <x v="10"/>
    <n v="31967"/>
    <x v="0"/>
    <x v="2739"/>
    <n v="31967"/>
  </r>
  <r>
    <s v="Great Lakes"/>
    <n v="3204"/>
    <s v="Toledo-Lucas County Port, OH"/>
    <n v="5190"/>
    <x v="83"/>
    <x v="10"/>
    <n v="30314"/>
    <x v="0"/>
    <x v="2740"/>
    <n v="30314"/>
  </r>
  <r>
    <s v="Great Lakes"/>
    <n v="3204"/>
    <s v="Toledo-Lucas County Port, OH"/>
    <n v="4680"/>
    <x v="70"/>
    <x v="10"/>
    <n v="23039"/>
    <x v="3562"/>
    <x v="0"/>
    <n v="23039"/>
  </r>
  <r>
    <s v="Great Lakes"/>
    <n v="3204"/>
    <s v="Toledo-Lucas County Port, OH"/>
    <n v="5480"/>
    <x v="20"/>
    <x v="10"/>
    <n v="6078"/>
    <x v="0"/>
    <x v="2741"/>
    <n v="6078"/>
  </r>
  <r>
    <s v="Great Lakes"/>
    <n v="3204"/>
    <s v="Toledo-Lucas County Port, OH"/>
    <n v="6590"/>
    <x v="23"/>
    <x v="10"/>
    <n v="6063"/>
    <x v="1954"/>
    <x v="0"/>
    <n v="6063"/>
  </r>
  <r>
    <s v="Great Lakes"/>
    <n v="3204"/>
    <s v="Toledo-Lucas County Port, OH"/>
    <n v="7500"/>
    <x v="60"/>
    <x v="10"/>
    <n v="5177"/>
    <x v="3563"/>
    <x v="0"/>
    <n v="5177"/>
  </r>
  <r>
    <s v="Great Lakes"/>
    <n v="3204"/>
    <s v="Toledo-Lucas County Port, OH"/>
    <n v="4900"/>
    <x v="14"/>
    <x v="10"/>
    <n v="4750"/>
    <x v="3564"/>
    <x v="0"/>
    <n v="4750"/>
  </r>
  <r>
    <s v="Great Lakes"/>
    <n v="3204"/>
    <s v="Toledo-Lucas County Port, OH"/>
    <n v="7120"/>
    <x v="71"/>
    <x v="10"/>
    <n v="3314"/>
    <x v="3565"/>
    <x v="0"/>
    <n v="3314"/>
  </r>
  <r>
    <s v="Great Lakes"/>
    <n v="3204"/>
    <s v="Toledo-Lucas County Port, OH"/>
    <n v="4650"/>
    <x v="67"/>
    <x v="10"/>
    <n v="2541"/>
    <x v="3566"/>
    <x v="0"/>
    <n v="2541"/>
  </r>
  <r>
    <s v="Great Lakes"/>
    <n v="3204"/>
    <s v="Toledo-Lucas County Port, OH"/>
    <n v="3276"/>
    <x v="12"/>
    <x v="10"/>
    <n v="1104"/>
    <x v="188"/>
    <x v="0"/>
    <n v="1104"/>
  </r>
  <r>
    <s v="Great Lakes"/>
    <n v="3204"/>
    <s v="Toledo-Lucas County Port, OH"/>
    <n v="5290"/>
    <x v="49"/>
    <x v="10"/>
    <n v="23"/>
    <x v="0"/>
    <x v="86"/>
    <n v="23"/>
  </r>
  <r>
    <s v="Internal"/>
    <n v="6109"/>
    <s v="Tulsa-Rogers County Port, OK"/>
    <n v="6241"/>
    <x v="28"/>
    <x v="3310"/>
    <n v="0"/>
    <x v="0"/>
    <x v="0"/>
    <n v="1045813"/>
  </r>
  <r>
    <s v="Internal"/>
    <n v="6109"/>
    <s v="Tulsa-Rogers County Port, OK"/>
    <n v="3110"/>
    <x v="36"/>
    <x v="3311"/>
    <n v="0"/>
    <x v="0"/>
    <x v="0"/>
    <n v="711904"/>
  </r>
  <r>
    <s v="Internal"/>
    <n v="6109"/>
    <s v="Tulsa-Rogers County Port, OK"/>
    <n v="3190"/>
    <x v="38"/>
    <x v="3312"/>
    <n v="0"/>
    <x v="0"/>
    <x v="0"/>
    <n v="543933"/>
  </r>
  <r>
    <s v="Internal"/>
    <n v="6109"/>
    <s v="Tulsa-Rogers County Port, OK"/>
    <n v="6522"/>
    <x v="26"/>
    <x v="3313"/>
    <n v="0"/>
    <x v="0"/>
    <x v="0"/>
    <n v="529156"/>
  </r>
  <r>
    <s v="Internal"/>
    <n v="6109"/>
    <s v="Tulsa-Rogers County Port, OK"/>
    <n v="3273"/>
    <x v="46"/>
    <x v="3314"/>
    <n v="0"/>
    <x v="0"/>
    <x v="0"/>
    <n v="270009"/>
  </r>
  <r>
    <s v="Internal"/>
    <n v="6109"/>
    <s v="Tulsa-Rogers County Port, OK"/>
    <n v="3130"/>
    <x v="37"/>
    <x v="3315"/>
    <n v="0"/>
    <x v="0"/>
    <x v="0"/>
    <n v="266613"/>
  </r>
  <r>
    <s v="Internal"/>
    <n v="6109"/>
    <s v="Tulsa-Rogers County Port, OK"/>
    <n v="1200"/>
    <x v="43"/>
    <x v="3316"/>
    <n v="0"/>
    <x v="0"/>
    <x v="0"/>
    <n v="204890"/>
  </r>
  <r>
    <s v="Internal"/>
    <n v="6109"/>
    <s v="Tulsa-Rogers County Port, OK"/>
    <n v="2540"/>
    <x v="15"/>
    <x v="3317"/>
    <n v="0"/>
    <x v="0"/>
    <x v="0"/>
    <n v="146932"/>
  </r>
  <r>
    <s v="Internal"/>
    <n v="6109"/>
    <s v="Tulsa-Rogers County Port, OK"/>
    <n v="4420"/>
    <x v="8"/>
    <x v="3318"/>
    <n v="0"/>
    <x v="0"/>
    <x v="0"/>
    <n v="129907"/>
  </r>
  <r>
    <s v="Internal"/>
    <n v="6109"/>
    <s v="Tulsa-Rogers County Port, OK"/>
    <n v="5330"/>
    <x v="16"/>
    <x v="3319"/>
    <n v="0"/>
    <x v="0"/>
    <x v="0"/>
    <n v="95241"/>
  </r>
  <r>
    <s v="Internal"/>
    <n v="6109"/>
    <s v="Tulsa-Rogers County Port, OK"/>
    <n v="3120"/>
    <x v="41"/>
    <x v="3320"/>
    <n v="0"/>
    <x v="0"/>
    <x v="0"/>
    <n v="90787"/>
  </r>
  <r>
    <s v="Internal"/>
    <n v="6109"/>
    <s v="Tulsa-Rogers County Port, OK"/>
    <n v="4650"/>
    <x v="67"/>
    <x v="3321"/>
    <n v="0"/>
    <x v="0"/>
    <x v="0"/>
    <n v="51173"/>
  </r>
  <r>
    <s v="Internal"/>
    <n v="6109"/>
    <s v="Tulsa-Rogers County Port, OK"/>
    <n v="1100"/>
    <x v="32"/>
    <x v="3322"/>
    <n v="0"/>
    <x v="0"/>
    <x v="0"/>
    <n v="35849"/>
  </r>
  <r>
    <s v="Internal"/>
    <n v="6109"/>
    <s v="Tulsa-Rogers County Port, OK"/>
    <n v="5312"/>
    <x v="52"/>
    <x v="3323"/>
    <n v="0"/>
    <x v="0"/>
    <x v="0"/>
    <n v="29508"/>
  </r>
  <r>
    <s v="Internal"/>
    <n v="6109"/>
    <s v="Tulsa-Rogers County Port, OK"/>
    <n v="2430"/>
    <x v="11"/>
    <x v="3324"/>
    <n v="0"/>
    <x v="0"/>
    <x v="0"/>
    <n v="23491"/>
  </r>
  <r>
    <s v="Internal"/>
    <n v="6109"/>
    <s v="Tulsa-Rogers County Port, OK"/>
    <n v="4783"/>
    <x v="7"/>
    <x v="3325"/>
    <n v="0"/>
    <x v="0"/>
    <x v="0"/>
    <n v="14248"/>
  </r>
  <r>
    <s v="Internal"/>
    <n v="6109"/>
    <s v="Tulsa-Rogers County Port, OK"/>
    <n v="2100"/>
    <x v="35"/>
    <x v="1107"/>
    <n v="0"/>
    <x v="0"/>
    <x v="0"/>
    <n v="12632"/>
  </r>
  <r>
    <s v="Internal"/>
    <n v="6109"/>
    <s v="Tulsa-Rogers County Port, OK"/>
    <n v="3274"/>
    <x v="86"/>
    <x v="3144"/>
    <n v="0"/>
    <x v="0"/>
    <x v="0"/>
    <n v="12584"/>
  </r>
  <r>
    <s v="Internal"/>
    <n v="6109"/>
    <s v="Tulsa-Rogers County Port, OK"/>
    <n v="6865"/>
    <x v="75"/>
    <x v="3326"/>
    <n v="0"/>
    <x v="0"/>
    <x v="0"/>
    <n v="9561"/>
  </r>
  <r>
    <s v="Internal"/>
    <n v="6109"/>
    <s v="Tulsa-Rogers County Port, OK"/>
    <n v="6782"/>
    <x v="27"/>
    <x v="3327"/>
    <n v="0"/>
    <x v="0"/>
    <x v="0"/>
    <n v="9362"/>
  </r>
  <r>
    <s v="Internal"/>
    <n v="6109"/>
    <s v="Tulsa-Rogers County Port, OK"/>
    <n v="4860"/>
    <x v="31"/>
    <x v="3328"/>
    <n v="0"/>
    <x v="0"/>
    <x v="0"/>
    <n v="4839"/>
  </r>
  <r>
    <s v="Internal"/>
    <n v="6109"/>
    <s v="Tulsa-Rogers County Port, OK"/>
    <n v="4670"/>
    <x v="90"/>
    <x v="3329"/>
    <n v="0"/>
    <x v="0"/>
    <x v="0"/>
    <n v="4632"/>
  </r>
  <r>
    <s v="Internal"/>
    <n v="6109"/>
    <s v="Tulsa-Rogers County Port, OK"/>
    <n v="2330"/>
    <x v="1"/>
    <x v="165"/>
    <n v="0"/>
    <x v="0"/>
    <x v="0"/>
    <n v="4461"/>
  </r>
  <r>
    <s v="Internal"/>
    <n v="6109"/>
    <s v="Tulsa-Rogers County Port, OK"/>
    <n v="2340"/>
    <x v="3"/>
    <x v="3330"/>
    <n v="0"/>
    <x v="0"/>
    <x v="0"/>
    <n v="3126"/>
  </r>
  <r>
    <s v="Internal"/>
    <n v="6109"/>
    <s v="Tulsa-Rogers County Port, OK"/>
    <n v="4331"/>
    <x v="29"/>
    <x v="3331"/>
    <n v="0"/>
    <x v="0"/>
    <x v="0"/>
    <n v="3069"/>
  </r>
  <r>
    <s v="Internal"/>
    <n v="6109"/>
    <s v="Tulsa-Rogers County Port, OK"/>
    <n v="7110"/>
    <x v="4"/>
    <x v="3332"/>
    <n v="0"/>
    <x v="0"/>
    <x v="0"/>
    <n v="2801"/>
  </r>
  <r>
    <s v="Internal"/>
    <n v="6109"/>
    <s v="Tulsa-Rogers County Port, OK"/>
    <n v="5390"/>
    <x v="44"/>
    <x v="3333"/>
    <n v="0"/>
    <x v="0"/>
    <x v="0"/>
    <n v="1534"/>
  </r>
  <r>
    <s v="Internal"/>
    <n v="6109"/>
    <s v="Tulsa-Rogers County Port, OK"/>
    <n v="4410"/>
    <x v="34"/>
    <x v="3334"/>
    <n v="0"/>
    <x v="0"/>
    <x v="0"/>
    <n v="1421"/>
  </r>
  <r>
    <s v="Internal"/>
    <n v="6109"/>
    <s v="Tulsa-Rogers County Port, OK"/>
    <n v="5360"/>
    <x v="94"/>
    <x v="3335"/>
    <n v="0"/>
    <x v="0"/>
    <x v="0"/>
    <n v="1406"/>
  </r>
  <r>
    <s v="Internal"/>
    <n v="6109"/>
    <s v="Tulsa-Rogers County Port, OK"/>
    <n v="4782"/>
    <x v="45"/>
    <x v="3336"/>
    <n v="0"/>
    <x v="0"/>
    <x v="0"/>
    <n v="1186"/>
  </r>
  <r>
    <s v="Great Lakes"/>
    <n v="3926"/>
    <s v="Two Harbors, MN"/>
    <n v="4410"/>
    <x v="34"/>
    <x v="3337"/>
    <n v="4083910"/>
    <x v="0"/>
    <x v="2742"/>
    <n v="15574020"/>
  </r>
  <r>
    <s v="Great Lakes"/>
    <n v="3926"/>
    <s v="Two Harbors, MN"/>
    <n v="3299"/>
    <x v="79"/>
    <x v="10"/>
    <n v="155304"/>
    <x v="0"/>
    <x v="2743"/>
    <n v="155304"/>
  </r>
  <r>
    <s v="Great Lakes"/>
    <n v="3926"/>
    <s v="Two Harbors, MN"/>
    <n v="4690"/>
    <x v="62"/>
    <x v="10"/>
    <n v="33531"/>
    <x v="0"/>
    <x v="2744"/>
    <n v="33531"/>
  </r>
  <r>
    <s v="Coastal"/>
    <n v="4939"/>
    <s v="Unalaska Island, AK"/>
    <n v="6134"/>
    <x v="82"/>
    <x v="3338"/>
    <n v="503133"/>
    <x v="3567"/>
    <x v="2745"/>
    <n v="633229"/>
  </r>
  <r>
    <s v="Coastal"/>
    <n v="4939"/>
    <s v="Unalaska Island, AK"/>
    <n v="2330"/>
    <x v="1"/>
    <x v="3339"/>
    <n v="129875"/>
    <x v="3568"/>
    <x v="1070"/>
    <n v="155993"/>
  </r>
  <r>
    <s v="Coastal"/>
    <n v="4939"/>
    <s v="Unalaska Island, AK"/>
    <n v="7900"/>
    <x v="21"/>
    <x v="3340"/>
    <n v="37399"/>
    <x v="3569"/>
    <x v="2746"/>
    <n v="102565"/>
  </r>
  <r>
    <s v="Coastal"/>
    <n v="4939"/>
    <s v="Unalaska Island, AK"/>
    <n v="6782"/>
    <x v="27"/>
    <x v="3341"/>
    <n v="58664"/>
    <x v="1884"/>
    <x v="2747"/>
    <n v="61865"/>
  </r>
  <r>
    <s v="Coastal"/>
    <n v="4939"/>
    <s v="Unalaska Island, AK"/>
    <n v="2221"/>
    <x v="9"/>
    <x v="3342"/>
    <n v="24881"/>
    <x v="3570"/>
    <x v="0"/>
    <n v="28496"/>
  </r>
  <r>
    <s v="Coastal"/>
    <n v="4939"/>
    <s v="Unalaska Island, AK"/>
    <n v="2211"/>
    <x v="0"/>
    <x v="3343"/>
    <n v="20237"/>
    <x v="3571"/>
    <x v="0"/>
    <n v="21279"/>
  </r>
  <r>
    <s v="Coastal"/>
    <n v="4939"/>
    <s v="Unalaska Island, AK"/>
    <n v="7110"/>
    <x v="4"/>
    <x v="3344"/>
    <n v="86"/>
    <x v="446"/>
    <x v="134"/>
    <n v="19032"/>
  </r>
  <r>
    <s v="Coastal"/>
    <n v="4939"/>
    <s v="Unalaska Island, AK"/>
    <n v="7400"/>
    <x v="77"/>
    <x v="3345"/>
    <n v="23"/>
    <x v="209"/>
    <x v="0"/>
    <n v="17625"/>
  </r>
  <r>
    <s v="Coastal"/>
    <n v="4939"/>
    <s v="Unalaska Island, AK"/>
    <n v="5190"/>
    <x v="83"/>
    <x v="3346"/>
    <n v="3474"/>
    <x v="3572"/>
    <x v="0"/>
    <n v="15709"/>
  </r>
  <r>
    <s v="Coastal"/>
    <n v="4939"/>
    <s v="Unalaska Island, AK"/>
    <n v="6835"/>
    <x v="92"/>
    <x v="3347"/>
    <n v="11730"/>
    <x v="0"/>
    <x v="2748"/>
    <n v="14092"/>
  </r>
  <r>
    <s v="Coastal"/>
    <n v="4939"/>
    <s v="Unalaska Island, AK"/>
    <n v="9900"/>
    <x v="18"/>
    <x v="10"/>
    <n v="11146"/>
    <x v="199"/>
    <x v="2749"/>
    <n v="11146"/>
  </r>
  <r>
    <s v="Coastal"/>
    <n v="4939"/>
    <s v="Unalaska Island, AK"/>
    <n v="6136"/>
    <x v="95"/>
    <x v="3348"/>
    <n v="4590"/>
    <x v="3573"/>
    <x v="2750"/>
    <n v="10755"/>
  </r>
  <r>
    <s v="Coastal"/>
    <n v="4939"/>
    <s v="Unalaska Island, AK"/>
    <n v="6889"/>
    <x v="42"/>
    <x v="3349"/>
    <n v="1741"/>
    <x v="3574"/>
    <x v="276"/>
    <n v="9197"/>
  </r>
  <r>
    <s v="Coastal"/>
    <n v="4939"/>
    <s v="Unalaska Island, AK"/>
    <n v="3299"/>
    <x v="79"/>
    <x v="3350"/>
    <n v="88"/>
    <x v="0"/>
    <x v="22"/>
    <n v="6809"/>
  </r>
  <r>
    <s v="Coastal"/>
    <n v="4939"/>
    <s v="Unalaska Island, AK"/>
    <n v="4783"/>
    <x v="7"/>
    <x v="3351"/>
    <n v="0"/>
    <x v="0"/>
    <x v="0"/>
    <n v="6693"/>
  </r>
  <r>
    <s v="Coastal"/>
    <n v="4939"/>
    <s v="Unalaska Island, AK"/>
    <n v="6839"/>
    <x v="106"/>
    <x v="10"/>
    <n v="5942"/>
    <x v="257"/>
    <x v="2751"/>
    <n v="5942"/>
  </r>
  <r>
    <s v="Coastal"/>
    <n v="4939"/>
    <s v="Unalaska Island, AK"/>
    <n v="6887"/>
    <x v="138"/>
    <x v="3352"/>
    <n v="0"/>
    <x v="0"/>
    <x v="0"/>
    <n v="5719"/>
  </r>
  <r>
    <s v="Coastal"/>
    <n v="4939"/>
    <s v="Unalaska Island, AK"/>
    <n v="2990"/>
    <x v="102"/>
    <x v="3353"/>
    <n v="0"/>
    <x v="0"/>
    <x v="0"/>
    <n v="5541"/>
  </r>
  <r>
    <s v="Coastal"/>
    <n v="4939"/>
    <s v="Unalaska Island, AK"/>
    <n v="6838"/>
    <x v="131"/>
    <x v="246"/>
    <n v="2883"/>
    <x v="0"/>
    <x v="2752"/>
    <n v="4704"/>
  </r>
  <r>
    <s v="Coastal"/>
    <n v="4939"/>
    <s v="Unalaska Island, AK"/>
    <n v="5480"/>
    <x v="20"/>
    <x v="3354"/>
    <n v="482"/>
    <x v="669"/>
    <x v="259"/>
    <n v="4352"/>
  </r>
  <r>
    <s v="Coastal"/>
    <n v="4939"/>
    <s v="Unalaska Island, AK"/>
    <n v="7210"/>
    <x v="59"/>
    <x v="3355"/>
    <n v="423"/>
    <x v="711"/>
    <x v="405"/>
    <n v="3777"/>
  </r>
  <r>
    <s v="Coastal"/>
    <n v="4939"/>
    <s v="Unalaska Island, AK"/>
    <n v="5360"/>
    <x v="94"/>
    <x v="3356"/>
    <n v="0"/>
    <x v="0"/>
    <x v="0"/>
    <n v="2218"/>
  </r>
  <r>
    <s v="Coastal"/>
    <n v="4939"/>
    <s v="Unalaska Island, AK"/>
    <n v="6899"/>
    <x v="114"/>
    <x v="10"/>
    <n v="1999"/>
    <x v="0"/>
    <x v="2753"/>
    <n v="1999"/>
  </r>
  <r>
    <s v="Coastal"/>
    <n v="4939"/>
    <s v="Unalaska Island, AK"/>
    <n v="4189"/>
    <x v="65"/>
    <x v="3357"/>
    <n v="0"/>
    <x v="0"/>
    <x v="0"/>
    <n v="1953"/>
  </r>
  <r>
    <s v="Coastal"/>
    <n v="4939"/>
    <s v="Unalaska Island, AK"/>
    <n v="4331"/>
    <x v="29"/>
    <x v="3358"/>
    <n v="0"/>
    <x v="0"/>
    <x v="0"/>
    <n v="1596"/>
  </r>
  <r>
    <s v="Coastal"/>
    <n v="4939"/>
    <s v="Unalaska Island, AK"/>
    <n v="6861"/>
    <x v="69"/>
    <x v="3359"/>
    <n v="745"/>
    <x v="1939"/>
    <x v="0"/>
    <n v="1334"/>
  </r>
  <r>
    <s v="Coastal"/>
    <n v="4939"/>
    <s v="Unalaska Island, AK"/>
    <n v="3220"/>
    <x v="2"/>
    <x v="1372"/>
    <n v="221"/>
    <x v="386"/>
    <x v="0"/>
    <n v="986"/>
  </r>
  <r>
    <s v="Coastal"/>
    <n v="4939"/>
    <s v="Unalaska Island, AK"/>
    <n v="6885"/>
    <x v="72"/>
    <x v="3360"/>
    <n v="0"/>
    <x v="0"/>
    <x v="0"/>
    <n v="830"/>
  </r>
  <r>
    <s v="Coastal"/>
    <n v="4939"/>
    <s v="Unalaska Island, AK"/>
    <n v="4420"/>
    <x v="8"/>
    <x v="821"/>
    <n v="0"/>
    <x v="0"/>
    <x v="0"/>
    <n v="575"/>
  </r>
  <r>
    <s v="Coastal"/>
    <n v="4939"/>
    <s v="Unalaska Island, AK"/>
    <n v="7600"/>
    <x v="68"/>
    <x v="847"/>
    <n v="551"/>
    <x v="972"/>
    <x v="284"/>
    <n v="572"/>
  </r>
  <r>
    <s v="Coastal"/>
    <n v="4939"/>
    <s v="Unalaska Island, AK"/>
    <n v="7230"/>
    <x v="22"/>
    <x v="3361"/>
    <n v="2"/>
    <x v="212"/>
    <x v="0"/>
    <n v="550"/>
  </r>
  <r>
    <s v="Coastal"/>
    <n v="4939"/>
    <s v="Unalaska Island, AK"/>
    <n v="6811"/>
    <x v="76"/>
    <x v="129"/>
    <n v="402"/>
    <x v="0"/>
    <x v="427"/>
    <n v="461"/>
  </r>
  <r>
    <s v="Coastal"/>
    <n v="4939"/>
    <s v="Unalaska Island, AK"/>
    <n v="7220"/>
    <x v="103"/>
    <x v="10"/>
    <n v="455"/>
    <x v="0"/>
    <x v="2754"/>
    <n v="455"/>
  </r>
  <r>
    <s v="Coastal"/>
    <n v="4939"/>
    <s v="Unalaska Island, AK"/>
    <n v="7500"/>
    <x v="60"/>
    <x v="523"/>
    <n v="385"/>
    <x v="968"/>
    <x v="2350"/>
    <n v="417"/>
  </r>
  <r>
    <s v="Coastal"/>
    <n v="4939"/>
    <s v="Unalaska Island, AK"/>
    <n v="3284"/>
    <x v="97"/>
    <x v="10"/>
    <n v="415"/>
    <x v="0"/>
    <x v="2108"/>
    <n v="415"/>
  </r>
  <r>
    <s v="Coastal"/>
    <n v="4939"/>
    <s v="Unalaska Island, AK"/>
    <n v="6654"/>
    <x v="50"/>
    <x v="10"/>
    <n v="406"/>
    <x v="0"/>
    <x v="1880"/>
    <n v="406"/>
  </r>
  <r>
    <s v="Coastal"/>
    <n v="4939"/>
    <s v="Unalaska Island, AK"/>
    <n v="5540"/>
    <x v="64"/>
    <x v="3362"/>
    <n v="1"/>
    <x v="19"/>
    <x v="0"/>
    <n v="400"/>
  </r>
  <r>
    <s v="Coastal"/>
    <n v="4939"/>
    <s v="Unalaska Island, AK"/>
    <n v="6747"/>
    <x v="78"/>
    <x v="10"/>
    <n v="384"/>
    <x v="143"/>
    <x v="0"/>
    <n v="384"/>
  </r>
  <r>
    <s v="Coastal"/>
    <n v="4939"/>
    <s v="Unalaska Island, AK"/>
    <n v="3297"/>
    <x v="116"/>
    <x v="10"/>
    <n v="373"/>
    <x v="3575"/>
    <x v="0"/>
    <n v="373"/>
  </r>
  <r>
    <s v="Coastal"/>
    <n v="4939"/>
    <s v="Unalaska Island, AK"/>
    <n v="6817"/>
    <x v="119"/>
    <x v="10"/>
    <n v="325"/>
    <x v="0"/>
    <x v="2208"/>
    <n v="325"/>
  </r>
  <r>
    <s v="Coastal"/>
    <n v="4939"/>
    <s v="Unalaska Island, AK"/>
    <n v="3276"/>
    <x v="12"/>
    <x v="3205"/>
    <n v="0"/>
    <x v="0"/>
    <x v="0"/>
    <n v="298"/>
  </r>
  <r>
    <s v="Coastal"/>
    <n v="4939"/>
    <s v="Unalaska Island, AK"/>
    <n v="7120"/>
    <x v="71"/>
    <x v="3363"/>
    <n v="83"/>
    <x v="418"/>
    <x v="1886"/>
    <n v="278"/>
  </r>
  <r>
    <s v="Coastal"/>
    <n v="4939"/>
    <s v="Unalaska Island, AK"/>
    <n v="3286"/>
    <x v="57"/>
    <x v="10"/>
    <n v="269"/>
    <x v="387"/>
    <x v="1383"/>
    <n v="269"/>
  </r>
  <r>
    <s v="Coastal"/>
    <n v="4939"/>
    <s v="Unalaska Island, AK"/>
    <n v="4782"/>
    <x v="45"/>
    <x v="10"/>
    <n v="264"/>
    <x v="0"/>
    <x v="382"/>
    <n v="264"/>
  </r>
  <r>
    <s v="Coastal"/>
    <n v="4939"/>
    <s v="Unalaska Island, AK"/>
    <n v="6857"/>
    <x v="104"/>
    <x v="10"/>
    <n v="258"/>
    <x v="0"/>
    <x v="2755"/>
    <n v="258"/>
  </r>
  <r>
    <s v="Coastal"/>
    <n v="4939"/>
    <s v="Unalaska Island, AK"/>
    <n v="8900"/>
    <x v="139"/>
    <x v="3364"/>
    <n v="0"/>
    <x v="0"/>
    <x v="0"/>
    <n v="254"/>
  </r>
  <r>
    <s v="Coastal"/>
    <n v="4939"/>
    <s v="Unalaska Island, AK"/>
    <n v="3275"/>
    <x v="47"/>
    <x v="10"/>
    <n v="246"/>
    <x v="1194"/>
    <x v="0"/>
    <n v="246"/>
  </r>
  <r>
    <s v="Coastal"/>
    <n v="4939"/>
    <s v="Unalaska Island, AK"/>
    <n v="6521"/>
    <x v="121"/>
    <x v="10"/>
    <n v="231"/>
    <x v="0"/>
    <x v="580"/>
    <n v="231"/>
  </r>
  <r>
    <s v="Coastal"/>
    <n v="4939"/>
    <s v="Unalaska Island, AK"/>
    <n v="5220"/>
    <x v="30"/>
    <x v="3365"/>
    <n v="0"/>
    <x v="0"/>
    <x v="0"/>
    <n v="230"/>
  </r>
  <r>
    <s v="Coastal"/>
    <n v="4939"/>
    <s v="Unalaska Island, AK"/>
    <n v="5370"/>
    <x v="81"/>
    <x v="3366"/>
    <n v="1"/>
    <x v="0"/>
    <x v="276"/>
    <n v="215"/>
  </r>
  <r>
    <s v="Coastal"/>
    <n v="4939"/>
    <s v="Unalaska Island, AK"/>
    <n v="3190"/>
    <x v="38"/>
    <x v="280"/>
    <n v="0"/>
    <x v="0"/>
    <x v="0"/>
    <n v="171"/>
  </r>
  <r>
    <s v="Coastal"/>
    <n v="4939"/>
    <s v="Unalaska Island, AK"/>
    <n v="3285"/>
    <x v="87"/>
    <x v="180"/>
    <n v="43"/>
    <x v="720"/>
    <x v="0"/>
    <n v="118"/>
  </r>
  <r>
    <s v="Coastal"/>
    <n v="4939"/>
    <s v="Unalaska Island, AK"/>
    <n v="5240"/>
    <x v="89"/>
    <x v="3367"/>
    <n v="0"/>
    <x v="0"/>
    <x v="0"/>
    <n v="108"/>
  </r>
  <r>
    <s v="Coastal"/>
    <n v="4939"/>
    <s v="Unalaska Island, AK"/>
    <n v="6822"/>
    <x v="84"/>
    <x v="10"/>
    <n v="101"/>
    <x v="0"/>
    <x v="2351"/>
    <n v="101"/>
  </r>
  <r>
    <s v="Coastal"/>
    <n v="4939"/>
    <s v="Unalaska Island, AK"/>
    <n v="3211"/>
    <x v="124"/>
    <x v="10"/>
    <n v="54"/>
    <x v="0"/>
    <x v="126"/>
    <n v="54"/>
  </r>
  <r>
    <s v="Coastal"/>
    <n v="4939"/>
    <s v="Unalaska Island, AK"/>
    <n v="6891"/>
    <x v="93"/>
    <x v="10"/>
    <n v="50"/>
    <x v="0"/>
    <x v="667"/>
    <n v="50"/>
  </r>
  <r>
    <s v="Coastal"/>
    <n v="4939"/>
    <s v="Unalaska Island, AK"/>
    <n v="3283"/>
    <x v="111"/>
    <x v="10"/>
    <n v="45"/>
    <x v="0"/>
    <x v="124"/>
    <n v="45"/>
  </r>
  <r>
    <s v="Coastal"/>
    <n v="4939"/>
    <s v="Unalaska Island, AK"/>
    <n v="3282"/>
    <x v="91"/>
    <x v="1351"/>
    <n v="22"/>
    <x v="0"/>
    <x v="383"/>
    <n v="37"/>
  </r>
  <r>
    <s v="Coastal"/>
    <n v="4939"/>
    <s v="Unalaska Island, AK"/>
    <n v="2350"/>
    <x v="40"/>
    <x v="482"/>
    <n v="5"/>
    <x v="0"/>
    <x v="258"/>
    <n v="27"/>
  </r>
  <r>
    <s v="Coastal"/>
    <n v="4939"/>
    <s v="Unalaska Island, AK"/>
    <n v="3260"/>
    <x v="107"/>
    <x v="10"/>
    <n v="27"/>
    <x v="0"/>
    <x v="271"/>
    <n v="27"/>
  </r>
  <r>
    <s v="Coastal"/>
    <n v="4939"/>
    <s v="Unalaska Island, AK"/>
    <n v="5120"/>
    <x v="63"/>
    <x v="10"/>
    <n v="26"/>
    <x v="415"/>
    <x v="0"/>
    <n v="26"/>
  </r>
  <r>
    <s v="Coastal"/>
    <n v="4939"/>
    <s v="Unalaska Island, AK"/>
    <n v="3279"/>
    <x v="58"/>
    <x v="10"/>
    <n v="25"/>
    <x v="0"/>
    <x v="263"/>
    <n v="25"/>
  </r>
  <r>
    <s v="Coastal"/>
    <n v="4939"/>
    <s v="Unalaska Island, AK"/>
    <n v="2640"/>
    <x v="110"/>
    <x v="1061"/>
    <n v="0"/>
    <x v="0"/>
    <x v="0"/>
    <n v="24"/>
  </r>
  <r>
    <s v="Coastal"/>
    <n v="4939"/>
    <s v="Unalaska Island, AK"/>
    <n v="5290"/>
    <x v="49"/>
    <x v="482"/>
    <n v="0"/>
    <x v="0"/>
    <x v="0"/>
    <n v="22"/>
  </r>
  <r>
    <s v="Coastal"/>
    <n v="4939"/>
    <s v="Unalaska Island, AK"/>
    <n v="3292"/>
    <x v="51"/>
    <x v="10"/>
    <n v="21"/>
    <x v="0"/>
    <x v="129"/>
    <n v="21"/>
  </r>
  <r>
    <s v="Coastal"/>
    <n v="4939"/>
    <s v="Unalaska Island, AK"/>
    <n v="6888"/>
    <x v="109"/>
    <x v="10"/>
    <n v="3"/>
    <x v="0"/>
    <x v="128"/>
    <n v="3"/>
  </r>
  <r>
    <s v="Internal"/>
    <n v="2336"/>
    <s v="Upper Mississippi River Port, IL"/>
    <n v="6344"/>
    <x v="25"/>
    <x v="3368"/>
    <n v="0"/>
    <x v="0"/>
    <x v="0"/>
    <n v="165472"/>
  </r>
  <r>
    <s v="Internal"/>
    <n v="2336"/>
    <s v="Upper Mississippi River Port, IL"/>
    <n v="6522"/>
    <x v="26"/>
    <x v="3369"/>
    <n v="0"/>
    <x v="0"/>
    <x v="0"/>
    <n v="126112"/>
  </r>
  <r>
    <s v="Internal"/>
    <n v="2336"/>
    <s v="Upper Mississippi River Port, IL"/>
    <n v="3110"/>
    <x v="36"/>
    <x v="3370"/>
    <n v="0"/>
    <x v="0"/>
    <x v="0"/>
    <n v="29880"/>
  </r>
  <r>
    <s v="Internal"/>
    <n v="2336"/>
    <s v="Upper Mississippi River Port, IL"/>
    <n v="3190"/>
    <x v="38"/>
    <x v="3371"/>
    <n v="0"/>
    <x v="0"/>
    <x v="0"/>
    <n v="14009"/>
  </r>
  <r>
    <s v="Internal"/>
    <n v="2336"/>
    <s v="Upper Mississippi River Port, IL"/>
    <n v="3120"/>
    <x v="41"/>
    <x v="3372"/>
    <n v="0"/>
    <x v="0"/>
    <x v="0"/>
    <n v="6166"/>
  </r>
  <r>
    <s v="Internal"/>
    <n v="2336"/>
    <s v="Upper Mississippi River Port, IL"/>
    <n v="6782"/>
    <x v="27"/>
    <x v="3373"/>
    <n v="0"/>
    <x v="0"/>
    <x v="0"/>
    <n v="3256"/>
  </r>
  <r>
    <s v="Internal"/>
    <n v="2336"/>
    <s v="Upper Mississippi River Port, IL"/>
    <n v="4783"/>
    <x v="7"/>
    <x v="3374"/>
    <n v="0"/>
    <x v="0"/>
    <x v="0"/>
    <n v="3106"/>
  </r>
  <r>
    <s v="Internal"/>
    <n v="2336"/>
    <s v="Upper Mississippi River Port, IL"/>
    <n v="3130"/>
    <x v="37"/>
    <x v="3375"/>
    <n v="0"/>
    <x v="0"/>
    <x v="0"/>
    <n v="3031"/>
  </r>
  <r>
    <s v="Internal"/>
    <n v="2336"/>
    <s v="Upper Mississippi River Port, IL"/>
    <n v="4782"/>
    <x v="45"/>
    <x v="517"/>
    <n v="0"/>
    <x v="0"/>
    <x v="0"/>
    <n v="1449"/>
  </r>
  <r>
    <s v="Coastal"/>
    <n v="4988"/>
    <s v="Utqiagvik (Barrow), AK"/>
    <n v="2330"/>
    <x v="1"/>
    <x v="3376"/>
    <n v="0"/>
    <x v="0"/>
    <x v="0"/>
    <n v="3825"/>
  </r>
  <r>
    <s v="Coastal"/>
    <n v="4988"/>
    <s v="Utqiagvik (Barrow), AK"/>
    <n v="7400"/>
    <x v="77"/>
    <x v="3377"/>
    <n v="0"/>
    <x v="0"/>
    <x v="0"/>
    <n v="3382"/>
  </r>
  <r>
    <s v="Coastal"/>
    <n v="4988"/>
    <s v="Utqiagvik (Barrow), AK"/>
    <n v="2211"/>
    <x v="0"/>
    <x v="3378"/>
    <n v="0"/>
    <x v="0"/>
    <x v="0"/>
    <n v="3059"/>
  </r>
  <r>
    <s v="Coastal"/>
    <n v="4988"/>
    <s v="Utqiagvik (Barrow), AK"/>
    <n v="2990"/>
    <x v="102"/>
    <x v="3379"/>
    <n v="0"/>
    <x v="0"/>
    <x v="0"/>
    <n v="1540"/>
  </r>
  <r>
    <s v="Coastal"/>
    <n v="4988"/>
    <s v="Utqiagvik (Barrow), AK"/>
    <n v="3220"/>
    <x v="2"/>
    <x v="3380"/>
    <n v="0"/>
    <x v="0"/>
    <x v="0"/>
    <n v="907"/>
  </r>
  <r>
    <s v="Coastal"/>
    <n v="4988"/>
    <s v="Utqiagvik (Barrow), AK"/>
    <n v="2221"/>
    <x v="9"/>
    <x v="3381"/>
    <n v="0"/>
    <x v="0"/>
    <x v="0"/>
    <n v="855"/>
  </r>
  <r>
    <s v="Coastal"/>
    <n v="4988"/>
    <s v="Utqiagvik (Barrow), AK"/>
    <n v="7210"/>
    <x v="59"/>
    <x v="3382"/>
    <n v="0"/>
    <x v="0"/>
    <x v="0"/>
    <n v="767"/>
  </r>
  <r>
    <s v="Coastal"/>
    <n v="4988"/>
    <s v="Utqiagvik (Barrow), AK"/>
    <n v="7110"/>
    <x v="4"/>
    <x v="3383"/>
    <n v="0"/>
    <x v="0"/>
    <x v="0"/>
    <n v="752"/>
  </r>
  <r>
    <s v="Coastal"/>
    <n v="4988"/>
    <s v="Utqiagvik (Barrow), AK"/>
    <n v="7900"/>
    <x v="21"/>
    <x v="3384"/>
    <n v="0"/>
    <x v="0"/>
    <x v="0"/>
    <n v="590"/>
  </r>
  <r>
    <s v="Coastal"/>
    <n v="4988"/>
    <s v="Utqiagvik (Barrow), AK"/>
    <n v="6887"/>
    <x v="138"/>
    <x v="623"/>
    <n v="0"/>
    <x v="0"/>
    <x v="0"/>
    <n v="368"/>
  </r>
  <r>
    <s v="Coastal"/>
    <n v="4988"/>
    <s v="Utqiagvik (Barrow), AK"/>
    <n v="8900"/>
    <x v="139"/>
    <x v="1152"/>
    <n v="0"/>
    <x v="0"/>
    <x v="0"/>
    <n v="291"/>
  </r>
  <r>
    <s v="Coastal"/>
    <n v="4988"/>
    <s v="Utqiagvik (Barrow), AK"/>
    <n v="4331"/>
    <x v="29"/>
    <x v="3385"/>
    <n v="0"/>
    <x v="0"/>
    <x v="0"/>
    <n v="287"/>
  </r>
  <r>
    <s v="Coastal"/>
    <n v="4988"/>
    <s v="Utqiagvik (Barrow), AK"/>
    <n v="3299"/>
    <x v="79"/>
    <x v="3363"/>
    <n v="0"/>
    <x v="0"/>
    <x v="0"/>
    <n v="195"/>
  </r>
  <r>
    <s v="Coastal"/>
    <n v="4988"/>
    <s v="Utqiagvik (Barrow), AK"/>
    <n v="5540"/>
    <x v="64"/>
    <x v="3194"/>
    <n v="0"/>
    <x v="0"/>
    <x v="0"/>
    <n v="160"/>
  </r>
  <r>
    <s v="Coastal"/>
    <n v="4988"/>
    <s v="Utqiagvik (Barrow), AK"/>
    <n v="5360"/>
    <x v="94"/>
    <x v="840"/>
    <n v="0"/>
    <x v="0"/>
    <x v="0"/>
    <n v="149"/>
  </r>
  <r>
    <s v="Coastal"/>
    <n v="4988"/>
    <s v="Utqiagvik (Barrow), AK"/>
    <n v="4189"/>
    <x v="65"/>
    <x v="1190"/>
    <n v="0"/>
    <x v="0"/>
    <x v="0"/>
    <n v="133"/>
  </r>
  <r>
    <s v="Coastal"/>
    <n v="4988"/>
    <s v="Utqiagvik (Barrow), AK"/>
    <n v="5190"/>
    <x v="83"/>
    <x v="645"/>
    <n v="0"/>
    <x v="0"/>
    <x v="0"/>
    <n v="77"/>
  </r>
  <r>
    <s v="Coastal"/>
    <n v="4988"/>
    <s v="Utqiagvik (Barrow), AK"/>
    <n v="7120"/>
    <x v="71"/>
    <x v="185"/>
    <n v="0"/>
    <x v="0"/>
    <x v="0"/>
    <n v="16"/>
  </r>
  <r>
    <s v="Coastal"/>
    <n v="4988"/>
    <s v="Utqiagvik (Barrow), AK"/>
    <n v="5480"/>
    <x v="20"/>
    <x v="524"/>
    <n v="0"/>
    <x v="0"/>
    <x v="0"/>
    <n v="10"/>
  </r>
  <r>
    <s v="Coastal"/>
    <n v="4988"/>
    <s v="Utqiagvik (Barrow), AK"/>
    <n v="5370"/>
    <x v="81"/>
    <x v="649"/>
    <n v="0"/>
    <x v="0"/>
    <x v="0"/>
    <n v="8"/>
  </r>
  <r>
    <s v="Coastal"/>
    <n v="4988"/>
    <s v="Utqiagvik (Barrow), AK"/>
    <n v="5240"/>
    <x v="89"/>
    <x v="650"/>
    <n v="0"/>
    <x v="0"/>
    <x v="0"/>
    <n v="7"/>
  </r>
  <r>
    <s v="Coastal"/>
    <n v="4988"/>
    <s v="Utqiagvik (Barrow), AK"/>
    <n v="7500"/>
    <x v="60"/>
    <x v="650"/>
    <n v="0"/>
    <x v="0"/>
    <x v="0"/>
    <n v="7"/>
  </r>
  <r>
    <s v="Coastal"/>
    <n v="4988"/>
    <s v="Utqiagvik (Barrow), AK"/>
    <n v="7230"/>
    <x v="22"/>
    <x v="186"/>
    <n v="0"/>
    <x v="0"/>
    <x v="0"/>
    <n v="5"/>
  </r>
  <r>
    <s v="Coastal"/>
    <n v="4816"/>
    <s v="Valdez, AK"/>
    <n v="2100"/>
    <x v="35"/>
    <x v="3386"/>
    <n v="1462864"/>
    <x v="0"/>
    <x v="2756"/>
    <n v="24967612"/>
  </r>
  <r>
    <s v="Coastal"/>
    <n v="4816"/>
    <s v="Valdez, AK"/>
    <n v="2221"/>
    <x v="9"/>
    <x v="3387"/>
    <n v="0"/>
    <x v="0"/>
    <x v="0"/>
    <n v="459667"/>
  </r>
  <r>
    <s v="Coastal"/>
    <n v="4816"/>
    <s v="Valdez, AK"/>
    <n v="2330"/>
    <x v="1"/>
    <x v="3388"/>
    <n v="0"/>
    <x v="0"/>
    <x v="0"/>
    <n v="54540"/>
  </r>
  <r>
    <s v="Coastal"/>
    <n v="4816"/>
    <s v="Valdez, AK"/>
    <n v="6134"/>
    <x v="82"/>
    <x v="3389"/>
    <n v="0"/>
    <x v="0"/>
    <x v="0"/>
    <n v="5271"/>
  </r>
  <r>
    <s v="Coastal"/>
    <n v="4816"/>
    <s v="Valdez, AK"/>
    <n v="6782"/>
    <x v="27"/>
    <x v="3390"/>
    <n v="0"/>
    <x v="0"/>
    <x v="0"/>
    <n v="3953"/>
  </r>
  <r>
    <s v="Coastal"/>
    <n v="4816"/>
    <s v="Valdez, AK"/>
    <n v="2211"/>
    <x v="0"/>
    <x v="3391"/>
    <n v="0"/>
    <x v="0"/>
    <x v="0"/>
    <n v="2542"/>
  </r>
  <r>
    <s v="Coastal"/>
    <n v="4816"/>
    <s v="Valdez, AK"/>
    <n v="8900"/>
    <x v="139"/>
    <x v="3230"/>
    <n v="0"/>
    <x v="0"/>
    <x v="0"/>
    <n v="2499"/>
  </r>
  <r>
    <s v="Coastal"/>
    <n v="4816"/>
    <s v="Valdez, AK"/>
    <n v="7900"/>
    <x v="21"/>
    <x v="3392"/>
    <n v="0"/>
    <x v="0"/>
    <x v="0"/>
    <n v="2065"/>
  </r>
  <r>
    <s v="Coastal"/>
    <n v="4816"/>
    <s v="Valdez, AK"/>
    <n v="7110"/>
    <x v="4"/>
    <x v="3393"/>
    <n v="0"/>
    <x v="0"/>
    <x v="0"/>
    <n v="106"/>
  </r>
  <r>
    <s v="Coastal"/>
    <n v="4816"/>
    <s v="Valdez, AK"/>
    <n v="6887"/>
    <x v="138"/>
    <x v="412"/>
    <n v="0"/>
    <x v="0"/>
    <x v="0"/>
    <n v="79"/>
  </r>
  <r>
    <s v="Coastal"/>
    <n v="4816"/>
    <s v="Valdez, AK"/>
    <n v="7400"/>
    <x v="77"/>
    <x v="179"/>
    <n v="0"/>
    <x v="0"/>
    <x v="0"/>
    <n v="78"/>
  </r>
  <r>
    <s v="Coastal"/>
    <n v="4816"/>
    <s v="Valdez, AK"/>
    <n v="5540"/>
    <x v="64"/>
    <x v="1052"/>
    <n v="0"/>
    <x v="0"/>
    <x v="0"/>
    <n v="47"/>
  </r>
  <r>
    <s v="Coastal"/>
    <n v="4816"/>
    <s v="Valdez, AK"/>
    <n v="7210"/>
    <x v="59"/>
    <x v="415"/>
    <n v="0"/>
    <x v="0"/>
    <x v="0"/>
    <n v="29"/>
  </r>
  <r>
    <s v="Coastal"/>
    <n v="4816"/>
    <s v="Valdez, AK"/>
    <n v="5190"/>
    <x v="83"/>
    <x v="417"/>
    <n v="0"/>
    <x v="0"/>
    <x v="0"/>
    <n v="26"/>
  </r>
  <r>
    <s v="Coastal"/>
    <n v="4816"/>
    <s v="Valdez, AK"/>
    <n v="5480"/>
    <x v="20"/>
    <x v="417"/>
    <n v="0"/>
    <x v="0"/>
    <x v="0"/>
    <n v="26"/>
  </r>
  <r>
    <s v="Coastal"/>
    <n v="4816"/>
    <s v="Valdez, AK"/>
    <n v="2990"/>
    <x v="102"/>
    <x v="184"/>
    <n v="0"/>
    <x v="0"/>
    <x v="0"/>
    <n v="19"/>
  </r>
  <r>
    <s v="Coastal"/>
    <n v="4816"/>
    <s v="Valdez, AK"/>
    <n v="5360"/>
    <x v="94"/>
    <x v="650"/>
    <n v="0"/>
    <x v="0"/>
    <x v="0"/>
    <n v="7"/>
  </r>
  <r>
    <s v="Coastal"/>
    <n v="4816"/>
    <s v="Valdez, AK"/>
    <n v="7230"/>
    <x v="22"/>
    <x v="421"/>
    <n v="0"/>
    <x v="0"/>
    <x v="0"/>
    <n v="6"/>
  </r>
  <r>
    <s v="Coastal"/>
    <n v="4816"/>
    <s v="Valdez, AK"/>
    <n v="7120"/>
    <x v="71"/>
    <x v="131"/>
    <n v="0"/>
    <x v="0"/>
    <x v="0"/>
    <n v="2"/>
  </r>
  <r>
    <s v="Coastal"/>
    <n v="4816"/>
    <s v="Valdez, AK"/>
    <n v="3220"/>
    <x v="2"/>
    <x v="423"/>
    <n v="0"/>
    <x v="0"/>
    <x v="0"/>
    <n v="1"/>
  </r>
  <r>
    <s v="Coastal"/>
    <n v="4816"/>
    <s v="Valdez, AK"/>
    <n v="4189"/>
    <x v="65"/>
    <x v="423"/>
    <n v="0"/>
    <x v="0"/>
    <x v="0"/>
    <n v="1"/>
  </r>
  <r>
    <s v="Coastal"/>
    <n v="2399"/>
    <s v="Victoria, TX"/>
    <n v="2100"/>
    <x v="35"/>
    <x v="3394"/>
    <n v="0"/>
    <x v="0"/>
    <x v="0"/>
    <n v="548875"/>
  </r>
  <r>
    <s v="Coastal"/>
    <n v="2399"/>
    <s v="Victoria, TX"/>
    <n v="4331"/>
    <x v="29"/>
    <x v="3395"/>
    <n v="0"/>
    <x v="0"/>
    <x v="0"/>
    <n v="506494"/>
  </r>
  <r>
    <s v="Coastal"/>
    <n v="2399"/>
    <s v="Victoria, TX"/>
    <n v="3273"/>
    <x v="46"/>
    <x v="3396"/>
    <n v="0"/>
    <x v="0"/>
    <x v="0"/>
    <n v="205287"/>
  </r>
  <r>
    <s v="Coastal"/>
    <n v="2399"/>
    <s v="Victoria, TX"/>
    <n v="3219"/>
    <x v="19"/>
    <x v="3397"/>
    <n v="0"/>
    <x v="0"/>
    <x v="0"/>
    <n v="196200"/>
  </r>
  <r>
    <s v="Coastal"/>
    <n v="2399"/>
    <s v="Victoria, TX"/>
    <n v="3240"/>
    <x v="53"/>
    <x v="3398"/>
    <n v="0"/>
    <x v="0"/>
    <x v="0"/>
    <n v="152400"/>
  </r>
  <r>
    <s v="Coastal"/>
    <n v="2399"/>
    <s v="Victoria, TX"/>
    <n v="3211"/>
    <x v="124"/>
    <x v="3399"/>
    <n v="0"/>
    <x v="0"/>
    <x v="0"/>
    <n v="149818"/>
  </r>
  <r>
    <s v="Coastal"/>
    <n v="2399"/>
    <s v="Victoria, TX"/>
    <n v="3110"/>
    <x v="36"/>
    <x v="3400"/>
    <n v="0"/>
    <x v="0"/>
    <x v="0"/>
    <n v="64387"/>
  </r>
  <r>
    <s v="Coastal"/>
    <n v="2399"/>
    <s v="Victoria, TX"/>
    <n v="7900"/>
    <x v="21"/>
    <x v="3401"/>
    <n v="0"/>
    <x v="0"/>
    <x v="0"/>
    <n v="14144"/>
  </r>
  <r>
    <s v="Coastal"/>
    <n v="2399"/>
    <s v="Victoria, TX"/>
    <n v="6344"/>
    <x v="25"/>
    <x v="3402"/>
    <n v="0"/>
    <x v="0"/>
    <x v="0"/>
    <n v="8029"/>
  </r>
  <r>
    <s v="Coastal"/>
    <n v="2399"/>
    <s v="Victoria, TX"/>
    <n v="3274"/>
    <x v="86"/>
    <x v="225"/>
    <n v="0"/>
    <x v="0"/>
    <x v="0"/>
    <n v="4500"/>
  </r>
  <r>
    <s v="Coastal"/>
    <n v="2399"/>
    <s v="Victoria, TX"/>
    <n v="3260"/>
    <x v="107"/>
    <x v="3403"/>
    <n v="0"/>
    <x v="0"/>
    <x v="0"/>
    <n v="3600"/>
  </r>
  <r>
    <s v="Coastal"/>
    <n v="2399"/>
    <s v="Victoria, TX"/>
    <n v="6857"/>
    <x v="104"/>
    <x v="1497"/>
    <n v="0"/>
    <x v="0"/>
    <x v="0"/>
    <n v="1500"/>
  </r>
  <r>
    <s v="Coastal"/>
    <n v="2443"/>
    <s v="Virgin Islands - St. Croix, VI"/>
    <n v="2330"/>
    <x v="1"/>
    <x v="3404"/>
    <n v="2387099"/>
    <x v="3576"/>
    <x v="2757"/>
    <n v="2461564"/>
  </r>
  <r>
    <s v="Coastal"/>
    <n v="2443"/>
    <s v="Virgin Islands - St. Croix, VI"/>
    <n v="2100"/>
    <x v="35"/>
    <x v="10"/>
    <n v="1301435"/>
    <x v="3577"/>
    <x v="2758"/>
    <n v="1301435"/>
  </r>
  <r>
    <s v="Coastal"/>
    <n v="2443"/>
    <s v="Virgin Islands - St. Croix, VI"/>
    <n v="2221"/>
    <x v="9"/>
    <x v="10"/>
    <n v="1281612"/>
    <x v="3578"/>
    <x v="2759"/>
    <n v="1281612"/>
  </r>
  <r>
    <s v="Coastal"/>
    <n v="2443"/>
    <s v="Virgin Islands - St. Croix, VI"/>
    <n v="2211"/>
    <x v="0"/>
    <x v="10"/>
    <n v="711225"/>
    <x v="0"/>
    <x v="2760"/>
    <n v="711225"/>
  </r>
  <r>
    <s v="Coastal"/>
    <n v="2443"/>
    <s v="Virgin Islands - St. Croix, VI"/>
    <n v="2340"/>
    <x v="3"/>
    <x v="10"/>
    <n v="138983"/>
    <x v="0"/>
    <x v="2761"/>
    <n v="138983"/>
  </r>
  <r>
    <s v="Coastal"/>
    <n v="2443"/>
    <s v="Virgin Islands - St. Croix, VI"/>
    <n v="2429"/>
    <x v="17"/>
    <x v="10"/>
    <n v="81026"/>
    <x v="3579"/>
    <x v="2762"/>
    <n v="81026"/>
  </r>
  <r>
    <s v="Coastal"/>
    <n v="2443"/>
    <s v="Virgin Islands - St. Croix, VI"/>
    <n v="6865"/>
    <x v="75"/>
    <x v="10"/>
    <n v="41997"/>
    <x v="3580"/>
    <x v="0"/>
    <n v="41997"/>
  </r>
  <r>
    <s v="Coastal"/>
    <n v="2443"/>
    <s v="Virgin Islands - St. Croix, VI"/>
    <n v="2640"/>
    <x v="110"/>
    <x v="10"/>
    <n v="11105"/>
    <x v="3581"/>
    <x v="0"/>
    <n v="11105"/>
  </r>
  <r>
    <s v="Coastal"/>
    <n v="2443"/>
    <s v="Virgin Islands - St. Croix, VI"/>
    <n v="6885"/>
    <x v="72"/>
    <x v="10"/>
    <n v="8679"/>
    <x v="3582"/>
    <x v="0"/>
    <n v="8679"/>
  </r>
  <r>
    <s v="Coastal"/>
    <n v="2443"/>
    <s v="Virgin Islands - St. Croix, VI"/>
    <n v="4420"/>
    <x v="8"/>
    <x v="10"/>
    <n v="6562"/>
    <x v="0"/>
    <x v="2763"/>
    <n v="6562"/>
  </r>
  <r>
    <s v="Coastal"/>
    <n v="2443"/>
    <s v="Virgin Islands - St. Croix, VI"/>
    <n v="4331"/>
    <x v="29"/>
    <x v="10"/>
    <n v="3850"/>
    <x v="3583"/>
    <x v="211"/>
    <n v="3850"/>
  </r>
  <r>
    <s v="Coastal"/>
    <n v="2443"/>
    <s v="Virgin Islands - St. Croix, VI"/>
    <n v="6889"/>
    <x v="42"/>
    <x v="10"/>
    <n v="686"/>
    <x v="3584"/>
    <x v="0"/>
    <n v="686"/>
  </r>
  <r>
    <s v="Coastal"/>
    <n v="2443"/>
    <s v="Virgin Islands - St. Croix, VI"/>
    <n v="7600"/>
    <x v="68"/>
    <x v="10"/>
    <n v="651"/>
    <x v="3585"/>
    <x v="276"/>
    <n v="651"/>
  </r>
  <r>
    <s v="Coastal"/>
    <n v="2443"/>
    <s v="Virgin Islands - St. Croix, VI"/>
    <n v="7900"/>
    <x v="21"/>
    <x v="10"/>
    <n v="347"/>
    <x v="439"/>
    <x v="273"/>
    <n v="347"/>
  </r>
  <r>
    <s v="Coastal"/>
    <n v="2443"/>
    <s v="Virgin Islands - St. Croix, VI"/>
    <n v="5330"/>
    <x v="16"/>
    <x v="10"/>
    <n v="302"/>
    <x v="3586"/>
    <x v="0"/>
    <n v="302"/>
  </r>
  <r>
    <s v="Coastal"/>
    <n v="2443"/>
    <s v="Virgin Islands - St. Croix, VI"/>
    <n v="5480"/>
    <x v="20"/>
    <x v="10"/>
    <n v="176"/>
    <x v="387"/>
    <x v="1073"/>
    <n v="176"/>
  </r>
  <r>
    <s v="Coastal"/>
    <n v="2443"/>
    <s v="Virgin Islands - St. Croix, VI"/>
    <n v="3275"/>
    <x v="47"/>
    <x v="10"/>
    <n v="111"/>
    <x v="180"/>
    <x v="0"/>
    <n v="111"/>
  </r>
  <r>
    <s v="Coastal"/>
    <n v="2443"/>
    <s v="Virgin Islands - St. Croix, VI"/>
    <n v="7210"/>
    <x v="59"/>
    <x v="10"/>
    <n v="75"/>
    <x v="152"/>
    <x v="704"/>
    <n v="75"/>
  </r>
  <r>
    <s v="Coastal"/>
    <n v="2443"/>
    <s v="Virgin Islands - St. Croix, VI"/>
    <n v="6654"/>
    <x v="50"/>
    <x v="10"/>
    <n v="48"/>
    <x v="1198"/>
    <x v="0"/>
    <n v="48"/>
  </r>
  <r>
    <s v="Coastal"/>
    <n v="2443"/>
    <s v="Virgin Islands - St. Croix, VI"/>
    <n v="7110"/>
    <x v="4"/>
    <x v="10"/>
    <n v="38"/>
    <x v="819"/>
    <x v="0"/>
    <n v="38"/>
  </r>
  <r>
    <s v="Coastal"/>
    <n v="2443"/>
    <s v="Virgin Islands - St. Croix, VI"/>
    <n v="5290"/>
    <x v="49"/>
    <x v="10"/>
    <n v="32"/>
    <x v="523"/>
    <x v="284"/>
    <n v="32"/>
  </r>
  <r>
    <s v="Coastal"/>
    <n v="2443"/>
    <s v="Virgin Islands - St. Croix, VI"/>
    <n v="5190"/>
    <x v="83"/>
    <x v="10"/>
    <n v="22"/>
    <x v="210"/>
    <x v="0"/>
    <n v="22"/>
  </r>
  <r>
    <s v="Coastal"/>
    <n v="2443"/>
    <s v="Virgin Islands - St. Croix, VI"/>
    <n v="6858"/>
    <x v="74"/>
    <x v="10"/>
    <n v="14"/>
    <x v="211"/>
    <x v="0"/>
    <n v="14"/>
  </r>
  <r>
    <s v="Coastal"/>
    <n v="2443"/>
    <s v="Virgin Islands - St. Croix, VI"/>
    <n v="7500"/>
    <x v="60"/>
    <x v="10"/>
    <n v="13"/>
    <x v="453"/>
    <x v="0"/>
    <n v="13"/>
  </r>
  <r>
    <s v="Coastal"/>
    <n v="2443"/>
    <s v="Virgin Islands - St. Croix, VI"/>
    <n v="7400"/>
    <x v="77"/>
    <x v="10"/>
    <n v="10"/>
    <x v="0"/>
    <x v="238"/>
    <n v="10"/>
  </r>
  <r>
    <s v="Coastal"/>
    <n v="2443"/>
    <s v="Virgin Islands - St. Croix, VI"/>
    <n v="7230"/>
    <x v="22"/>
    <x v="10"/>
    <n v="7"/>
    <x v="0"/>
    <x v="166"/>
    <n v="7"/>
  </r>
  <r>
    <s v="Coastal"/>
    <n v="2443"/>
    <s v="Virgin Islands - St. Croix, VI"/>
    <n v="5240"/>
    <x v="89"/>
    <x v="10"/>
    <n v="2"/>
    <x v="212"/>
    <x v="0"/>
    <n v="2"/>
  </r>
  <r>
    <s v="Coastal"/>
    <n v="2443"/>
    <s v="Virgin Islands - St. Croix, VI"/>
    <n v="3282"/>
    <x v="91"/>
    <x v="10"/>
    <n v="1"/>
    <x v="19"/>
    <x v="0"/>
    <n v="1"/>
  </r>
  <r>
    <s v="Coastal"/>
    <n v="2142"/>
    <s v="Virgin Islands - St. Johns, VI"/>
    <n v="4331"/>
    <x v="29"/>
    <x v="10"/>
    <n v="2083"/>
    <x v="1482"/>
    <x v="0"/>
    <n v="2083"/>
  </r>
  <r>
    <s v="Coastal"/>
    <n v="2142"/>
    <s v="Virgin Islands - St. Johns, VI"/>
    <n v="7110"/>
    <x v="4"/>
    <x v="10"/>
    <n v="23"/>
    <x v="209"/>
    <x v="0"/>
    <n v="23"/>
  </r>
  <r>
    <s v="Coastal"/>
    <n v="1989"/>
    <s v="Virgin Islands - St. Thomas, VI"/>
    <n v="2330"/>
    <x v="1"/>
    <x v="3405"/>
    <n v="0"/>
    <x v="0"/>
    <x v="0"/>
    <n v="44234"/>
  </r>
  <r>
    <s v="Coastal"/>
    <n v="1989"/>
    <s v="Virgin Islands - St. Thomas, VI"/>
    <n v="4331"/>
    <x v="29"/>
    <x v="10"/>
    <n v="19677"/>
    <x v="3587"/>
    <x v="0"/>
    <n v="19677"/>
  </r>
  <r>
    <s v="Coastal"/>
    <n v="1989"/>
    <s v="Virgin Islands - St. Thomas, VI"/>
    <n v="6885"/>
    <x v="72"/>
    <x v="10"/>
    <n v="5919"/>
    <x v="588"/>
    <x v="1870"/>
    <n v="5919"/>
  </r>
  <r>
    <s v="Coastal"/>
    <n v="1989"/>
    <s v="Virgin Islands - St. Thomas, VI"/>
    <n v="5220"/>
    <x v="30"/>
    <x v="10"/>
    <n v="4866"/>
    <x v="3588"/>
    <x v="0"/>
    <n v="4866"/>
  </r>
  <r>
    <s v="Coastal"/>
    <n v="1989"/>
    <s v="Virgin Islands - St. Thomas, VI"/>
    <n v="2350"/>
    <x v="40"/>
    <x v="10"/>
    <n v="1308"/>
    <x v="0"/>
    <x v="2764"/>
    <n v="1308"/>
  </r>
  <r>
    <s v="Coastal"/>
    <n v="1989"/>
    <s v="Virgin Islands - St. Thomas, VI"/>
    <n v="7110"/>
    <x v="4"/>
    <x v="10"/>
    <n v="841"/>
    <x v="3589"/>
    <x v="1405"/>
    <n v="841"/>
  </r>
  <r>
    <s v="Coastal"/>
    <n v="1989"/>
    <s v="Virgin Islands - St. Thomas, VI"/>
    <n v="9900"/>
    <x v="18"/>
    <x v="3406"/>
    <n v="37"/>
    <x v="613"/>
    <x v="0"/>
    <n v="721"/>
  </r>
  <r>
    <s v="Coastal"/>
    <n v="1989"/>
    <s v="Virgin Islands - St. Thomas, VI"/>
    <n v="6889"/>
    <x v="42"/>
    <x v="10"/>
    <n v="686"/>
    <x v="3590"/>
    <x v="275"/>
    <n v="686"/>
  </r>
  <r>
    <s v="Coastal"/>
    <n v="1989"/>
    <s v="Virgin Islands - St. Thomas, VI"/>
    <n v="6888"/>
    <x v="109"/>
    <x v="3407"/>
    <n v="106"/>
    <x v="148"/>
    <x v="0"/>
    <n v="518"/>
  </r>
  <r>
    <s v="Coastal"/>
    <n v="1989"/>
    <s v="Virgin Islands - St. Thomas, VI"/>
    <n v="5290"/>
    <x v="49"/>
    <x v="10"/>
    <n v="478"/>
    <x v="2079"/>
    <x v="128"/>
    <n v="478"/>
  </r>
  <r>
    <s v="Coastal"/>
    <n v="1989"/>
    <s v="Virgin Islands - St. Thomas, VI"/>
    <n v="6654"/>
    <x v="50"/>
    <x v="10"/>
    <n v="406"/>
    <x v="196"/>
    <x v="0"/>
    <n v="406"/>
  </r>
  <r>
    <s v="Coastal"/>
    <n v="1989"/>
    <s v="Virgin Islands - St. Thomas, VI"/>
    <n v="7900"/>
    <x v="21"/>
    <x v="1296"/>
    <n v="218"/>
    <x v="2816"/>
    <x v="276"/>
    <n v="390"/>
  </r>
  <r>
    <s v="Coastal"/>
    <n v="1989"/>
    <s v="Virgin Islands - St. Thomas, VI"/>
    <n v="7600"/>
    <x v="68"/>
    <x v="10"/>
    <n v="385"/>
    <x v="1361"/>
    <x v="0"/>
    <n v="385"/>
  </r>
  <r>
    <s v="Coastal"/>
    <n v="1989"/>
    <s v="Virgin Islands - St. Thomas, VI"/>
    <n v="7210"/>
    <x v="59"/>
    <x v="3408"/>
    <n v="61"/>
    <x v="0"/>
    <x v="228"/>
    <n v="310"/>
  </r>
  <r>
    <s v="Coastal"/>
    <n v="1989"/>
    <s v="Virgin Islands - St. Thomas, VI"/>
    <n v="5480"/>
    <x v="20"/>
    <x v="10"/>
    <n v="251"/>
    <x v="501"/>
    <x v="238"/>
    <n v="251"/>
  </r>
  <r>
    <s v="Coastal"/>
    <n v="1989"/>
    <s v="Virgin Islands - St. Thomas, VI"/>
    <n v="6861"/>
    <x v="69"/>
    <x v="10"/>
    <n v="144"/>
    <x v="3591"/>
    <x v="0"/>
    <n v="144"/>
  </r>
  <r>
    <s v="Coastal"/>
    <n v="1989"/>
    <s v="Virgin Islands - St. Thomas, VI"/>
    <n v="5360"/>
    <x v="94"/>
    <x v="10"/>
    <n v="139"/>
    <x v="502"/>
    <x v="0"/>
    <n v="139"/>
  </r>
  <r>
    <s v="Coastal"/>
    <n v="1989"/>
    <s v="Virgin Islands - St. Thomas, VI"/>
    <n v="7120"/>
    <x v="71"/>
    <x v="10"/>
    <n v="89"/>
    <x v="1523"/>
    <x v="258"/>
    <n v="89"/>
  </r>
  <r>
    <s v="Coastal"/>
    <n v="1989"/>
    <s v="Virgin Islands - St. Thomas, VI"/>
    <n v="7230"/>
    <x v="22"/>
    <x v="186"/>
    <n v="83"/>
    <x v="20"/>
    <x v="209"/>
    <n v="88"/>
  </r>
  <r>
    <s v="Coastal"/>
    <n v="1989"/>
    <s v="Virgin Islands - St. Thomas, VI"/>
    <n v="3285"/>
    <x v="87"/>
    <x v="10"/>
    <n v="76"/>
    <x v="445"/>
    <x v="0"/>
    <n v="76"/>
  </r>
  <r>
    <s v="Coastal"/>
    <n v="1989"/>
    <s v="Virgin Islands - St. Thomas, VI"/>
    <n v="5190"/>
    <x v="83"/>
    <x v="1048"/>
    <n v="13"/>
    <x v="453"/>
    <x v="0"/>
    <n v="59"/>
  </r>
  <r>
    <s v="Coastal"/>
    <n v="1989"/>
    <s v="Virgin Islands - St. Thomas, VI"/>
    <n v="4170"/>
    <x v="55"/>
    <x v="10"/>
    <n v="58"/>
    <x v="0"/>
    <x v="2498"/>
    <n v="58"/>
  </r>
  <r>
    <s v="Coastal"/>
    <n v="1989"/>
    <s v="Virgin Islands - St. Thomas, VI"/>
    <n v="6858"/>
    <x v="74"/>
    <x v="10"/>
    <n v="43"/>
    <x v="19"/>
    <x v="130"/>
    <n v="43"/>
  </r>
  <r>
    <s v="Coastal"/>
    <n v="1989"/>
    <s v="Virgin Islands - St. Thomas, VI"/>
    <n v="6653"/>
    <x v="24"/>
    <x v="10"/>
    <n v="35"/>
    <x v="310"/>
    <x v="0"/>
    <n v="35"/>
  </r>
  <r>
    <s v="Coastal"/>
    <n v="1989"/>
    <s v="Virgin Islands - St. Thomas, VI"/>
    <n v="7500"/>
    <x v="60"/>
    <x v="10"/>
    <n v="33"/>
    <x v="555"/>
    <x v="0"/>
    <n v="33"/>
  </r>
  <r>
    <s v="Coastal"/>
    <n v="1989"/>
    <s v="Virgin Islands - St. Thomas, VI"/>
    <n v="1100"/>
    <x v="32"/>
    <x v="10"/>
    <n v="24"/>
    <x v="391"/>
    <x v="0"/>
    <n v="24"/>
  </r>
  <r>
    <s v="Coastal"/>
    <n v="1989"/>
    <s v="Virgin Islands - St. Thomas, VI"/>
    <n v="3275"/>
    <x v="47"/>
    <x v="10"/>
    <n v="22"/>
    <x v="0"/>
    <x v="383"/>
    <n v="22"/>
  </r>
  <r>
    <s v="Coastal"/>
    <n v="1989"/>
    <s v="Virgin Islands - St. Thomas, VI"/>
    <n v="5390"/>
    <x v="44"/>
    <x v="10"/>
    <n v="20"/>
    <x v="416"/>
    <x v="0"/>
    <n v="20"/>
  </r>
  <r>
    <s v="Coastal"/>
    <n v="1989"/>
    <s v="Virgin Islands - St. Thomas, VI"/>
    <n v="5429"/>
    <x v="61"/>
    <x v="10"/>
    <n v="20"/>
    <x v="416"/>
    <x v="0"/>
    <n v="20"/>
  </r>
  <r>
    <s v="Coastal"/>
    <n v="1989"/>
    <s v="Virgin Islands - St. Thomas, VI"/>
    <n v="6136"/>
    <x v="95"/>
    <x v="10"/>
    <n v="16"/>
    <x v="452"/>
    <x v="0"/>
    <n v="16"/>
  </r>
  <r>
    <s v="Coastal"/>
    <n v="1989"/>
    <s v="Virgin Islands - St. Thomas, VI"/>
    <n v="5240"/>
    <x v="89"/>
    <x v="10"/>
    <n v="11"/>
    <x v="14"/>
    <x v="0"/>
    <n v="11"/>
  </r>
  <r>
    <s v="Coastal"/>
    <n v="1989"/>
    <s v="Virgin Islands - St. Thomas, VI"/>
    <n v="5422"/>
    <x v="66"/>
    <x v="10"/>
    <n v="5"/>
    <x v="168"/>
    <x v="0"/>
    <n v="5"/>
  </r>
  <r>
    <s v="Coastal"/>
    <n v="1989"/>
    <s v="Virgin Islands - St. Thomas, VI"/>
    <n v="6835"/>
    <x v="92"/>
    <x v="10"/>
    <n v="4"/>
    <x v="504"/>
    <x v="0"/>
    <n v="4"/>
  </r>
  <r>
    <s v="Coastal"/>
    <n v="1989"/>
    <s v="Virgin Islands - St. Thomas, VI"/>
    <n v="7400"/>
    <x v="77"/>
    <x v="10"/>
    <n v="4"/>
    <x v="504"/>
    <x v="0"/>
    <n v="4"/>
  </r>
  <r>
    <s v="Coastal"/>
    <n v="1989"/>
    <s v="Virgin Islands - St. Thomas, VI"/>
    <n v="3240"/>
    <x v="53"/>
    <x v="10"/>
    <n v="3"/>
    <x v="0"/>
    <x v="128"/>
    <n v="3"/>
  </r>
  <r>
    <s v="Coastal"/>
    <n v="1989"/>
    <s v="Virgin Islands - St. Thomas, VI"/>
    <n v="3282"/>
    <x v="91"/>
    <x v="10"/>
    <n v="3"/>
    <x v="0"/>
    <x v="128"/>
    <n v="3"/>
  </r>
  <r>
    <s v="Coastal"/>
    <n v="1989"/>
    <s v="Virgin Islands - St. Thomas, VI"/>
    <n v="6747"/>
    <x v="78"/>
    <x v="10"/>
    <n v="3"/>
    <x v="393"/>
    <x v="0"/>
    <n v="3"/>
  </r>
  <r>
    <s v="Coastal"/>
    <n v="1989"/>
    <s v="Virgin Islands - St. Thomas, VI"/>
    <n v="6822"/>
    <x v="84"/>
    <x v="10"/>
    <n v="3"/>
    <x v="393"/>
    <x v="0"/>
    <n v="3"/>
  </r>
  <r>
    <s v="Coastal"/>
    <n v="1989"/>
    <s v="Virgin Islands - St. Thomas, VI"/>
    <n v="3286"/>
    <x v="57"/>
    <x v="10"/>
    <n v="2"/>
    <x v="212"/>
    <x v="0"/>
    <n v="2"/>
  </r>
  <r>
    <s v="Coastal"/>
    <n v="1989"/>
    <s v="Virgin Islands - St. Thomas, VI"/>
    <n v="3299"/>
    <x v="79"/>
    <x v="10"/>
    <n v="1"/>
    <x v="0"/>
    <x v="276"/>
    <n v="1"/>
  </r>
  <r>
    <s v="Coastal"/>
    <n v="5700"/>
    <s v="Virginia, VA, Port of"/>
    <n v="1100"/>
    <x v="32"/>
    <x v="10"/>
    <n v="26653841"/>
    <x v="3592"/>
    <x v="2765"/>
    <n v="26653841"/>
  </r>
  <r>
    <s v="Coastal"/>
    <n v="5700"/>
    <s v="Virginia, VA, Port of"/>
    <n v="6522"/>
    <x v="26"/>
    <x v="3409"/>
    <n v="3062730"/>
    <x v="3593"/>
    <x v="2766"/>
    <n v="3287358"/>
  </r>
  <r>
    <s v="Coastal"/>
    <n v="5700"/>
    <s v="Virginia, VA, Port of"/>
    <n v="7900"/>
    <x v="21"/>
    <x v="3410"/>
    <n v="2367293"/>
    <x v="3594"/>
    <x v="2767"/>
    <n v="2936229"/>
  </r>
  <r>
    <s v="Coastal"/>
    <n v="5700"/>
    <s v="Virginia, VA, Port of"/>
    <n v="4331"/>
    <x v="29"/>
    <x v="3411"/>
    <n v="30220"/>
    <x v="3595"/>
    <x v="2768"/>
    <n v="2508669"/>
  </r>
  <r>
    <s v="Coastal"/>
    <n v="5700"/>
    <s v="Virginia, VA, Port of"/>
    <n v="7110"/>
    <x v="4"/>
    <x v="496"/>
    <n v="1705803"/>
    <x v="3596"/>
    <x v="2769"/>
    <n v="1706703"/>
  </r>
  <r>
    <s v="Coastal"/>
    <n v="5700"/>
    <s v="Virginia, VA, Port of"/>
    <n v="6782"/>
    <x v="27"/>
    <x v="448"/>
    <n v="1391478"/>
    <x v="3597"/>
    <x v="2770"/>
    <n v="1394478"/>
  </r>
  <r>
    <s v="Coastal"/>
    <n v="5700"/>
    <s v="Virginia, VA, Port of"/>
    <n v="4225"/>
    <x v="10"/>
    <x v="10"/>
    <n v="1369473"/>
    <x v="3598"/>
    <x v="2771"/>
    <n v="1369473"/>
  </r>
  <r>
    <s v="Coastal"/>
    <n v="5700"/>
    <s v="Virginia, VA, Port of"/>
    <n v="4150"/>
    <x v="101"/>
    <x v="10"/>
    <n v="1340643"/>
    <x v="3599"/>
    <x v="2772"/>
    <n v="1340643"/>
  </r>
  <r>
    <s v="Coastal"/>
    <n v="5700"/>
    <s v="Virginia, VA, Port of"/>
    <n v="3286"/>
    <x v="57"/>
    <x v="10"/>
    <n v="1258936"/>
    <x v="3600"/>
    <x v="2773"/>
    <n v="1258936"/>
  </r>
  <r>
    <s v="Coastal"/>
    <n v="5700"/>
    <s v="Virginia, VA, Port of"/>
    <n v="7600"/>
    <x v="68"/>
    <x v="10"/>
    <n v="1197286"/>
    <x v="3601"/>
    <x v="2774"/>
    <n v="1197286"/>
  </r>
  <r>
    <s v="Coastal"/>
    <n v="5700"/>
    <s v="Virginia, VA, Port of"/>
    <n v="7500"/>
    <x v="60"/>
    <x v="10"/>
    <n v="1081664"/>
    <x v="3602"/>
    <x v="2775"/>
    <n v="1081664"/>
  </r>
  <r>
    <s v="Coastal"/>
    <n v="5700"/>
    <s v="Virginia, VA, Port of"/>
    <n v="5290"/>
    <x v="49"/>
    <x v="10"/>
    <n v="1010515"/>
    <x v="3603"/>
    <x v="2776"/>
    <n v="1010515"/>
  </r>
  <r>
    <s v="Coastal"/>
    <n v="5700"/>
    <s v="Virginia, VA, Port of"/>
    <n v="7120"/>
    <x v="71"/>
    <x v="10"/>
    <n v="926692"/>
    <x v="3604"/>
    <x v="2777"/>
    <n v="926692"/>
  </r>
  <r>
    <s v="Coastal"/>
    <n v="5700"/>
    <s v="Virginia, VA, Port of"/>
    <n v="7210"/>
    <x v="59"/>
    <x v="10"/>
    <n v="901878"/>
    <x v="3605"/>
    <x v="2778"/>
    <n v="901878"/>
  </r>
  <r>
    <s v="Coastal"/>
    <n v="5700"/>
    <s v="Virginia, VA, Port of"/>
    <n v="5480"/>
    <x v="20"/>
    <x v="10"/>
    <n v="897385"/>
    <x v="3606"/>
    <x v="2779"/>
    <n v="897385"/>
  </r>
  <r>
    <s v="Coastal"/>
    <n v="5700"/>
    <s v="Virginia, VA, Port of"/>
    <n v="3110"/>
    <x v="36"/>
    <x v="3412"/>
    <n v="463139"/>
    <x v="3607"/>
    <x v="2780"/>
    <n v="713603"/>
  </r>
  <r>
    <s v="Coastal"/>
    <n v="5700"/>
    <s v="Virginia, VA, Port of"/>
    <n v="2221"/>
    <x v="9"/>
    <x v="3413"/>
    <n v="11"/>
    <x v="0"/>
    <x v="274"/>
    <n v="712730"/>
  </r>
  <r>
    <s v="Coastal"/>
    <n v="5700"/>
    <s v="Virginia, VA, Port of"/>
    <n v="6889"/>
    <x v="42"/>
    <x v="10"/>
    <n v="635756"/>
    <x v="3608"/>
    <x v="2781"/>
    <n v="635756"/>
  </r>
  <r>
    <s v="Coastal"/>
    <n v="5700"/>
    <s v="Virginia, VA, Port of"/>
    <n v="5120"/>
    <x v="63"/>
    <x v="10"/>
    <n v="613191"/>
    <x v="3609"/>
    <x v="2782"/>
    <n v="613191"/>
  </r>
  <r>
    <s v="Coastal"/>
    <n v="5700"/>
    <s v="Virginia, VA, Port of"/>
    <n v="4189"/>
    <x v="65"/>
    <x v="10"/>
    <n v="610269"/>
    <x v="3610"/>
    <x v="2783"/>
    <n v="610269"/>
  </r>
  <r>
    <s v="Coastal"/>
    <n v="5700"/>
    <s v="Virginia, VA, Port of"/>
    <n v="4170"/>
    <x v="55"/>
    <x v="10"/>
    <n v="552186"/>
    <x v="3611"/>
    <x v="2784"/>
    <n v="552186"/>
  </r>
  <r>
    <s v="Coastal"/>
    <n v="5700"/>
    <s v="Virginia, VA, Port of"/>
    <n v="3276"/>
    <x v="12"/>
    <x v="10"/>
    <n v="524223"/>
    <x v="3612"/>
    <x v="2785"/>
    <n v="524223"/>
  </r>
  <r>
    <s v="Coastal"/>
    <n v="5700"/>
    <s v="Virginia, VA, Port of"/>
    <n v="4420"/>
    <x v="8"/>
    <x v="3414"/>
    <n v="374925"/>
    <x v="3613"/>
    <x v="2786"/>
    <n v="506092"/>
  </r>
  <r>
    <s v="Coastal"/>
    <n v="5700"/>
    <s v="Virginia, VA, Port of"/>
    <n v="6885"/>
    <x v="72"/>
    <x v="10"/>
    <n v="500491"/>
    <x v="3614"/>
    <x v="2787"/>
    <n v="500491"/>
  </r>
  <r>
    <s v="Coastal"/>
    <n v="5700"/>
    <s v="Virginia, VA, Port of"/>
    <n v="5220"/>
    <x v="30"/>
    <x v="10"/>
    <n v="487952"/>
    <x v="3615"/>
    <x v="2788"/>
    <n v="487952"/>
  </r>
  <r>
    <s v="Coastal"/>
    <n v="5700"/>
    <s v="Virginia, VA, Port of"/>
    <n v="2540"/>
    <x v="15"/>
    <x v="1003"/>
    <n v="448476"/>
    <x v="3616"/>
    <x v="2789"/>
    <n v="455463"/>
  </r>
  <r>
    <s v="Coastal"/>
    <n v="5700"/>
    <s v="Virginia, VA, Port of"/>
    <n v="6654"/>
    <x v="50"/>
    <x v="10"/>
    <n v="428950"/>
    <x v="3617"/>
    <x v="2790"/>
    <n v="428950"/>
  </r>
  <r>
    <s v="Coastal"/>
    <n v="5700"/>
    <s v="Virginia, VA, Port of"/>
    <n v="6590"/>
    <x v="23"/>
    <x v="10"/>
    <n v="404823"/>
    <x v="3618"/>
    <x v="2791"/>
    <n v="404823"/>
  </r>
  <r>
    <s v="Coastal"/>
    <n v="5700"/>
    <s v="Virginia, VA, Port of"/>
    <n v="6811"/>
    <x v="76"/>
    <x v="10"/>
    <n v="386641"/>
    <x v="3619"/>
    <x v="2792"/>
    <n v="386641"/>
  </r>
  <r>
    <s v="Coastal"/>
    <n v="5700"/>
    <s v="Virginia, VA, Port of"/>
    <n v="4680"/>
    <x v="70"/>
    <x v="10"/>
    <n v="351907"/>
    <x v="944"/>
    <x v="2793"/>
    <n v="351907"/>
  </r>
  <r>
    <s v="Coastal"/>
    <n v="5700"/>
    <s v="Virginia, VA, Port of"/>
    <n v="6747"/>
    <x v="78"/>
    <x v="10"/>
    <n v="271191"/>
    <x v="3620"/>
    <x v="2794"/>
    <n v="271191"/>
  </r>
  <r>
    <s v="Coastal"/>
    <n v="5700"/>
    <s v="Virginia, VA, Port of"/>
    <n v="6653"/>
    <x v="24"/>
    <x v="10"/>
    <n v="268332"/>
    <x v="3621"/>
    <x v="2795"/>
    <n v="268332"/>
  </r>
  <r>
    <s v="Coastal"/>
    <n v="5700"/>
    <s v="Virginia, VA, Port of"/>
    <n v="9900"/>
    <x v="18"/>
    <x v="10"/>
    <n v="267780"/>
    <x v="3622"/>
    <x v="2796"/>
    <n v="267780"/>
  </r>
  <r>
    <s v="Coastal"/>
    <n v="5700"/>
    <s v="Virginia, VA, Port of"/>
    <n v="3299"/>
    <x v="79"/>
    <x v="10"/>
    <n v="267043"/>
    <x v="3623"/>
    <x v="2797"/>
    <n v="267043"/>
  </r>
  <r>
    <s v="Coastal"/>
    <n v="5700"/>
    <s v="Virginia, VA, Port of"/>
    <n v="6344"/>
    <x v="25"/>
    <x v="3415"/>
    <n v="199161"/>
    <x v="3624"/>
    <x v="2798"/>
    <n v="266267"/>
  </r>
  <r>
    <s v="Coastal"/>
    <n v="5700"/>
    <s v="Virginia, VA, Port of"/>
    <n v="2340"/>
    <x v="3"/>
    <x v="3416"/>
    <n v="6"/>
    <x v="207"/>
    <x v="0"/>
    <n v="255877"/>
  </r>
  <r>
    <s v="Coastal"/>
    <n v="5700"/>
    <s v="Virginia, VA, Port of"/>
    <n v="2640"/>
    <x v="110"/>
    <x v="10"/>
    <n v="248143"/>
    <x v="3625"/>
    <x v="2799"/>
    <n v="248143"/>
  </r>
  <r>
    <s v="Coastal"/>
    <n v="5700"/>
    <s v="Virginia, VA, Port of"/>
    <n v="3275"/>
    <x v="47"/>
    <x v="10"/>
    <n v="244408"/>
    <x v="3626"/>
    <x v="2800"/>
    <n v="244408"/>
  </r>
  <r>
    <s v="Coastal"/>
    <n v="5700"/>
    <s v="Virginia, VA, Port of"/>
    <n v="5540"/>
    <x v="64"/>
    <x v="10"/>
    <n v="237249"/>
    <x v="3627"/>
    <x v="2801"/>
    <n v="237249"/>
  </r>
  <r>
    <s v="Coastal"/>
    <n v="5700"/>
    <s v="Virginia, VA, Port of"/>
    <n v="5240"/>
    <x v="89"/>
    <x v="10"/>
    <n v="236006"/>
    <x v="3628"/>
    <x v="2802"/>
    <n v="236006"/>
  </r>
  <r>
    <s v="Coastal"/>
    <n v="5700"/>
    <s v="Virginia, VA, Port of"/>
    <n v="6241"/>
    <x v="28"/>
    <x v="3417"/>
    <n v="147367"/>
    <x v="205"/>
    <x v="2803"/>
    <n v="219067"/>
  </r>
  <r>
    <s v="Coastal"/>
    <n v="5700"/>
    <s v="Virginia, VA, Port of"/>
    <n v="6891"/>
    <x v="93"/>
    <x v="10"/>
    <n v="215773"/>
    <x v="3629"/>
    <x v="2804"/>
    <n v="215773"/>
  </r>
  <r>
    <s v="Coastal"/>
    <n v="5700"/>
    <s v="Virginia, VA, Port of"/>
    <n v="2211"/>
    <x v="0"/>
    <x v="3418"/>
    <n v="131944"/>
    <x v="3630"/>
    <x v="2805"/>
    <n v="205140"/>
  </r>
  <r>
    <s v="Coastal"/>
    <n v="5700"/>
    <s v="Virginia, VA, Port of"/>
    <n v="2430"/>
    <x v="11"/>
    <x v="3419"/>
    <n v="2013"/>
    <x v="2129"/>
    <x v="2806"/>
    <n v="198639"/>
  </r>
  <r>
    <s v="Coastal"/>
    <n v="5700"/>
    <s v="Virginia, VA, Port of"/>
    <n v="3285"/>
    <x v="87"/>
    <x v="10"/>
    <n v="191258"/>
    <x v="3631"/>
    <x v="2807"/>
    <n v="191258"/>
  </r>
  <r>
    <s v="Coastal"/>
    <n v="5700"/>
    <s v="Virginia, VA, Port of"/>
    <n v="2330"/>
    <x v="1"/>
    <x v="3420"/>
    <n v="79595"/>
    <x v="3632"/>
    <x v="2808"/>
    <n v="186970"/>
  </r>
  <r>
    <s v="Coastal"/>
    <n v="5700"/>
    <s v="Virginia, VA, Port of"/>
    <n v="3292"/>
    <x v="51"/>
    <x v="10"/>
    <n v="186040"/>
    <x v="3633"/>
    <x v="2809"/>
    <n v="186040"/>
  </r>
  <r>
    <s v="Coastal"/>
    <n v="5700"/>
    <s v="Virginia, VA, Port of"/>
    <n v="5422"/>
    <x v="66"/>
    <x v="10"/>
    <n v="175960"/>
    <x v="3634"/>
    <x v="2810"/>
    <n v="175960"/>
  </r>
  <r>
    <s v="Coastal"/>
    <n v="5700"/>
    <s v="Virginia, VA, Port of"/>
    <n v="3230"/>
    <x v="80"/>
    <x v="10"/>
    <n v="173265"/>
    <x v="3635"/>
    <x v="2811"/>
    <n v="173265"/>
  </r>
  <r>
    <s v="Coastal"/>
    <n v="5700"/>
    <s v="Virginia, VA, Port of"/>
    <n v="5190"/>
    <x v="83"/>
    <x v="10"/>
    <n v="172488"/>
    <x v="3636"/>
    <x v="2812"/>
    <n v="172488"/>
  </r>
  <r>
    <s v="Coastal"/>
    <n v="5700"/>
    <s v="Virginia, VA, Port of"/>
    <n v="3220"/>
    <x v="2"/>
    <x v="10"/>
    <n v="167911"/>
    <x v="3637"/>
    <x v="2813"/>
    <n v="167911"/>
  </r>
  <r>
    <s v="Coastal"/>
    <n v="5700"/>
    <s v="Virginia, VA, Port of"/>
    <n v="7400"/>
    <x v="77"/>
    <x v="10"/>
    <n v="145911"/>
    <x v="3638"/>
    <x v="2814"/>
    <n v="145911"/>
  </r>
  <r>
    <s v="Coastal"/>
    <n v="5700"/>
    <s v="Virginia, VA, Port of"/>
    <n v="3240"/>
    <x v="53"/>
    <x v="10"/>
    <n v="138700"/>
    <x v="3639"/>
    <x v="2815"/>
    <n v="138700"/>
  </r>
  <r>
    <s v="Coastal"/>
    <n v="5700"/>
    <s v="Virginia, VA, Port of"/>
    <n v="4782"/>
    <x v="45"/>
    <x v="10"/>
    <n v="125200"/>
    <x v="3640"/>
    <x v="2816"/>
    <n v="125200"/>
  </r>
  <r>
    <s v="Coastal"/>
    <n v="5700"/>
    <s v="Virginia, VA, Port of"/>
    <n v="3250"/>
    <x v="108"/>
    <x v="10"/>
    <n v="119689"/>
    <x v="1443"/>
    <x v="2817"/>
    <n v="119689"/>
  </r>
  <r>
    <s v="Coastal"/>
    <n v="5700"/>
    <s v="Virginia, VA, Port of"/>
    <n v="4900"/>
    <x v="14"/>
    <x v="10"/>
    <n v="114347"/>
    <x v="3641"/>
    <x v="2818"/>
    <n v="114347"/>
  </r>
  <r>
    <s v="Coastal"/>
    <n v="5700"/>
    <s v="Virginia, VA, Port of"/>
    <n v="6858"/>
    <x v="74"/>
    <x v="10"/>
    <n v="113276"/>
    <x v="3642"/>
    <x v="2819"/>
    <n v="113276"/>
  </r>
  <r>
    <s v="Coastal"/>
    <n v="5700"/>
    <s v="Virginia, VA, Port of"/>
    <n v="3284"/>
    <x v="97"/>
    <x v="10"/>
    <n v="110291"/>
    <x v="3643"/>
    <x v="2820"/>
    <n v="110291"/>
  </r>
  <r>
    <s v="Coastal"/>
    <n v="5700"/>
    <s v="Virginia, VA, Port of"/>
    <n v="4110"/>
    <x v="105"/>
    <x v="10"/>
    <n v="107002"/>
    <x v="3644"/>
    <x v="2515"/>
    <n v="107002"/>
  </r>
  <r>
    <s v="Coastal"/>
    <n v="5700"/>
    <s v="Virginia, VA, Port of"/>
    <n v="5370"/>
    <x v="81"/>
    <x v="10"/>
    <n v="104395"/>
    <x v="3645"/>
    <x v="2821"/>
    <n v="104395"/>
  </r>
  <r>
    <s v="Coastal"/>
    <n v="5700"/>
    <s v="Virginia, VA, Port of"/>
    <n v="3282"/>
    <x v="91"/>
    <x v="10"/>
    <n v="103085"/>
    <x v="3646"/>
    <x v="2822"/>
    <n v="103085"/>
  </r>
  <r>
    <s v="Coastal"/>
    <n v="5700"/>
    <s v="Virginia, VA, Port of"/>
    <n v="4860"/>
    <x v="31"/>
    <x v="3421"/>
    <n v="62172"/>
    <x v="3647"/>
    <x v="2823"/>
    <n v="102781"/>
  </r>
  <r>
    <s v="Coastal"/>
    <n v="5700"/>
    <s v="Virginia, VA, Port of"/>
    <n v="6857"/>
    <x v="104"/>
    <x v="10"/>
    <n v="98548"/>
    <x v="3648"/>
    <x v="2824"/>
    <n v="98548"/>
  </r>
  <r>
    <s v="Coastal"/>
    <n v="5700"/>
    <s v="Virginia, VA, Port of"/>
    <n v="6888"/>
    <x v="109"/>
    <x v="10"/>
    <n v="97362"/>
    <x v="3649"/>
    <x v="2825"/>
    <n v="97362"/>
  </r>
  <r>
    <s v="Coastal"/>
    <n v="5700"/>
    <s v="Virginia, VA, Port of"/>
    <n v="5360"/>
    <x v="94"/>
    <x v="3422"/>
    <n v="86407"/>
    <x v="3650"/>
    <x v="2826"/>
    <n v="97322"/>
  </r>
  <r>
    <s v="Coastal"/>
    <n v="5700"/>
    <s v="Virginia, VA, Port of"/>
    <n v="4783"/>
    <x v="7"/>
    <x v="10"/>
    <n v="86361"/>
    <x v="3651"/>
    <x v="2827"/>
    <n v="86361"/>
  </r>
  <r>
    <s v="Coastal"/>
    <n v="5700"/>
    <s v="Virginia, VA, Port of"/>
    <n v="3297"/>
    <x v="116"/>
    <x v="10"/>
    <n v="83465"/>
    <x v="3652"/>
    <x v="2828"/>
    <n v="83465"/>
  </r>
  <r>
    <s v="Coastal"/>
    <n v="5700"/>
    <s v="Virginia, VA, Port of"/>
    <n v="6134"/>
    <x v="82"/>
    <x v="10"/>
    <n v="80202"/>
    <x v="3653"/>
    <x v="2829"/>
    <n v="80202"/>
  </r>
  <r>
    <s v="Coastal"/>
    <n v="5700"/>
    <s v="Virginia, VA, Port of"/>
    <n v="4161"/>
    <x v="54"/>
    <x v="10"/>
    <n v="78374"/>
    <x v="3654"/>
    <x v="2830"/>
    <n v="78374"/>
  </r>
  <r>
    <s v="Coastal"/>
    <n v="5700"/>
    <s v="Virginia, VA, Port of"/>
    <n v="3260"/>
    <x v="107"/>
    <x v="10"/>
    <n v="78257"/>
    <x v="3655"/>
    <x v="2831"/>
    <n v="78257"/>
  </r>
  <r>
    <s v="Coastal"/>
    <n v="5700"/>
    <s v="Virginia, VA, Port of"/>
    <n v="5330"/>
    <x v="16"/>
    <x v="10"/>
    <n v="76614"/>
    <x v="3656"/>
    <x v="2832"/>
    <n v="76614"/>
  </r>
  <r>
    <s v="Coastal"/>
    <n v="5700"/>
    <s v="Virginia, VA, Port of"/>
    <n v="8900"/>
    <x v="139"/>
    <x v="3423"/>
    <n v="0"/>
    <x v="0"/>
    <x v="0"/>
    <n v="74360"/>
  </r>
  <r>
    <s v="Coastal"/>
    <n v="5700"/>
    <s v="Virginia, VA, Port of"/>
    <n v="6893"/>
    <x v="113"/>
    <x v="10"/>
    <n v="74141"/>
    <x v="3657"/>
    <x v="2833"/>
    <n v="74141"/>
  </r>
  <r>
    <s v="Coastal"/>
    <n v="5700"/>
    <s v="Virginia, VA, Port of"/>
    <n v="3130"/>
    <x v="37"/>
    <x v="10"/>
    <n v="71240"/>
    <x v="3658"/>
    <x v="2834"/>
    <n v="71240"/>
  </r>
  <r>
    <s v="Coastal"/>
    <n v="5700"/>
    <s v="Virginia, VA, Port of"/>
    <n v="5421"/>
    <x v="88"/>
    <x v="10"/>
    <n v="70979"/>
    <x v="3659"/>
    <x v="2835"/>
    <n v="70979"/>
  </r>
  <r>
    <s v="Coastal"/>
    <n v="5700"/>
    <s v="Virginia, VA, Port of"/>
    <n v="6871"/>
    <x v="73"/>
    <x v="10"/>
    <n v="70344"/>
    <x v="3660"/>
    <x v="2836"/>
    <n v="70344"/>
  </r>
  <r>
    <s v="Coastal"/>
    <n v="5700"/>
    <s v="Virginia, VA, Port of"/>
    <n v="6136"/>
    <x v="95"/>
    <x v="10"/>
    <n v="66714"/>
    <x v="3661"/>
    <x v="2033"/>
    <n v="66714"/>
  </r>
  <r>
    <s v="Coastal"/>
    <n v="5700"/>
    <s v="Virginia, VA, Port of"/>
    <n v="6822"/>
    <x v="84"/>
    <x v="10"/>
    <n v="65360"/>
    <x v="3662"/>
    <x v="2837"/>
    <n v="65360"/>
  </r>
  <r>
    <s v="Coastal"/>
    <n v="5700"/>
    <s v="Virginia, VA, Port of"/>
    <n v="6839"/>
    <x v="106"/>
    <x v="10"/>
    <n v="60498"/>
    <x v="3663"/>
    <x v="2838"/>
    <n v="60498"/>
  </r>
  <r>
    <s v="Coastal"/>
    <n v="5700"/>
    <s v="Virginia, VA, Port of"/>
    <n v="4310"/>
    <x v="96"/>
    <x v="10"/>
    <n v="55568"/>
    <x v="3664"/>
    <x v="2839"/>
    <n v="55568"/>
  </r>
  <r>
    <s v="Coastal"/>
    <n v="5700"/>
    <s v="Virginia, VA, Port of"/>
    <n v="5390"/>
    <x v="44"/>
    <x v="10"/>
    <n v="49453"/>
    <x v="3665"/>
    <x v="2840"/>
    <n v="49453"/>
  </r>
  <r>
    <s v="Coastal"/>
    <n v="5700"/>
    <s v="Virginia, VA, Port of"/>
    <n v="4650"/>
    <x v="67"/>
    <x v="10"/>
    <n v="48321"/>
    <x v="3666"/>
    <x v="2841"/>
    <n v="48321"/>
  </r>
  <r>
    <s v="Coastal"/>
    <n v="5700"/>
    <s v="Virginia, VA, Port of"/>
    <n v="4322"/>
    <x v="33"/>
    <x v="10"/>
    <n v="46993"/>
    <x v="3667"/>
    <x v="379"/>
    <n v="46993"/>
  </r>
  <r>
    <s v="Coastal"/>
    <n v="5700"/>
    <s v="Virginia, VA, Port of"/>
    <n v="3219"/>
    <x v="19"/>
    <x v="10"/>
    <n v="46256"/>
    <x v="3668"/>
    <x v="2842"/>
    <n v="46256"/>
  </r>
  <r>
    <s v="Coastal"/>
    <n v="5700"/>
    <s v="Virginia, VA, Port of"/>
    <n v="3190"/>
    <x v="38"/>
    <x v="10"/>
    <n v="44768"/>
    <x v="3669"/>
    <x v="2843"/>
    <n v="44768"/>
  </r>
  <r>
    <s v="Coastal"/>
    <n v="5700"/>
    <s v="Virginia, VA, Port of"/>
    <n v="3291"/>
    <x v="117"/>
    <x v="10"/>
    <n v="41305"/>
    <x v="3670"/>
    <x v="2844"/>
    <n v="41305"/>
  </r>
  <r>
    <s v="Coastal"/>
    <n v="5700"/>
    <s v="Virginia, VA, Port of"/>
    <n v="6894"/>
    <x v="120"/>
    <x v="10"/>
    <n v="41021"/>
    <x v="3671"/>
    <x v="1032"/>
    <n v="41021"/>
  </r>
  <r>
    <s v="Coastal"/>
    <n v="5700"/>
    <s v="Virginia, VA, Port of"/>
    <n v="6442"/>
    <x v="85"/>
    <x v="10"/>
    <n v="38121"/>
    <x v="3672"/>
    <x v="2845"/>
    <n v="38121"/>
  </r>
  <r>
    <s v="Coastal"/>
    <n v="5700"/>
    <s v="Virginia, VA, Port of"/>
    <n v="5315"/>
    <x v="48"/>
    <x v="10"/>
    <n v="37365"/>
    <x v="3673"/>
    <x v="2846"/>
    <n v="37365"/>
  </r>
  <r>
    <s v="Coastal"/>
    <n v="5700"/>
    <s v="Virginia, VA, Port of"/>
    <n v="3283"/>
    <x v="111"/>
    <x v="10"/>
    <n v="36831"/>
    <x v="3674"/>
    <x v="2847"/>
    <n v="36831"/>
  </r>
  <r>
    <s v="Coastal"/>
    <n v="5700"/>
    <s v="Virginia, VA, Port of"/>
    <n v="3274"/>
    <x v="86"/>
    <x v="3424"/>
    <n v="4637"/>
    <x v="3675"/>
    <x v="1486"/>
    <n v="36158"/>
  </r>
  <r>
    <s v="Coastal"/>
    <n v="5700"/>
    <s v="Virginia, VA, Port of"/>
    <n v="6835"/>
    <x v="92"/>
    <x v="10"/>
    <n v="31995"/>
    <x v="3676"/>
    <x v="427"/>
    <n v="31995"/>
  </r>
  <r>
    <s v="Coastal"/>
    <n v="5700"/>
    <s v="Virginia, VA, Port of"/>
    <n v="5429"/>
    <x v="61"/>
    <x v="10"/>
    <n v="29901"/>
    <x v="3677"/>
    <x v="2848"/>
    <n v="29901"/>
  </r>
  <r>
    <s v="Coastal"/>
    <n v="5700"/>
    <s v="Virginia, VA, Port of"/>
    <n v="6521"/>
    <x v="121"/>
    <x v="10"/>
    <n v="27367"/>
    <x v="3678"/>
    <x v="2849"/>
    <n v="27367"/>
  </r>
  <r>
    <s v="Coastal"/>
    <n v="5700"/>
    <s v="Virginia, VA, Port of"/>
    <n v="4190"/>
    <x v="99"/>
    <x v="10"/>
    <n v="27331"/>
    <x v="3679"/>
    <x v="2850"/>
    <n v="27331"/>
  </r>
  <r>
    <s v="Coastal"/>
    <n v="5700"/>
    <s v="Virginia, VA, Port of"/>
    <n v="6872"/>
    <x v="100"/>
    <x v="10"/>
    <n v="23873"/>
    <x v="3680"/>
    <x v="1387"/>
    <n v="23873"/>
  </r>
  <r>
    <s v="Coastal"/>
    <n v="5700"/>
    <s v="Virginia, VA, Port of"/>
    <n v="3298"/>
    <x v="123"/>
    <x v="10"/>
    <n v="22839"/>
    <x v="3681"/>
    <x v="2851"/>
    <n v="22839"/>
  </r>
  <r>
    <s v="Coastal"/>
    <n v="5700"/>
    <s v="Virginia, VA, Port of"/>
    <n v="6899"/>
    <x v="114"/>
    <x v="10"/>
    <n v="18652"/>
    <x v="3682"/>
    <x v="2852"/>
    <n v="18652"/>
  </r>
  <r>
    <s v="Coastal"/>
    <n v="5700"/>
    <s v="Virginia, VA, Port of"/>
    <n v="4690"/>
    <x v="62"/>
    <x v="10"/>
    <n v="17756"/>
    <x v="3683"/>
    <x v="2853"/>
    <n v="17756"/>
  </r>
  <r>
    <s v="Coastal"/>
    <n v="5700"/>
    <s v="Virginia, VA, Port of"/>
    <n v="6856"/>
    <x v="126"/>
    <x v="10"/>
    <n v="17443"/>
    <x v="3684"/>
    <x v="410"/>
    <n v="17443"/>
  </r>
  <r>
    <s v="Coastal"/>
    <n v="5700"/>
    <s v="Virginia, VA, Port of"/>
    <n v="3279"/>
    <x v="58"/>
    <x v="10"/>
    <n v="16500"/>
    <x v="3685"/>
    <x v="2854"/>
    <n v="16500"/>
  </r>
  <r>
    <s v="Coastal"/>
    <n v="5700"/>
    <s v="Virginia, VA, Port of"/>
    <n v="5312"/>
    <x v="52"/>
    <x v="10"/>
    <n v="16432"/>
    <x v="3686"/>
    <x v="2855"/>
    <n v="16432"/>
  </r>
  <r>
    <s v="Coastal"/>
    <n v="5700"/>
    <s v="Virginia, VA, Port of"/>
    <n v="7300"/>
    <x v="115"/>
    <x v="10"/>
    <n v="13271"/>
    <x v="3687"/>
    <x v="2856"/>
    <n v="13271"/>
  </r>
  <r>
    <s v="Coastal"/>
    <n v="5700"/>
    <s v="Virginia, VA, Port of"/>
    <n v="2410"/>
    <x v="98"/>
    <x v="10"/>
    <n v="12120"/>
    <x v="3688"/>
    <x v="2857"/>
    <n v="12120"/>
  </r>
  <r>
    <s v="Coastal"/>
    <n v="5700"/>
    <s v="Virginia, VA, Port of"/>
    <n v="4335"/>
    <x v="5"/>
    <x v="2792"/>
    <n v="0"/>
    <x v="0"/>
    <x v="0"/>
    <n v="11521"/>
  </r>
  <r>
    <s v="Coastal"/>
    <n v="5700"/>
    <s v="Virginia, VA, Port of"/>
    <n v="6838"/>
    <x v="131"/>
    <x v="10"/>
    <n v="8959"/>
    <x v="3689"/>
    <x v="2858"/>
    <n v="8959"/>
  </r>
  <r>
    <s v="Coastal"/>
    <n v="5700"/>
    <s v="Virginia, VA, Port of"/>
    <n v="6817"/>
    <x v="119"/>
    <x v="10"/>
    <n v="8927"/>
    <x v="3690"/>
    <x v="2859"/>
    <n v="8927"/>
  </r>
  <r>
    <s v="Coastal"/>
    <n v="5700"/>
    <s v="Virginia, VA, Port of"/>
    <n v="6861"/>
    <x v="69"/>
    <x v="10"/>
    <n v="8723"/>
    <x v="3691"/>
    <x v="2860"/>
    <n v="8723"/>
  </r>
  <r>
    <s v="Coastal"/>
    <n v="5700"/>
    <s v="Virginia, VA, Port of"/>
    <n v="5320"/>
    <x v="13"/>
    <x v="10"/>
    <n v="8682"/>
    <x v="3692"/>
    <x v="2861"/>
    <n v="8682"/>
  </r>
  <r>
    <s v="Coastal"/>
    <n v="5700"/>
    <s v="Virginia, VA, Port of"/>
    <n v="7220"/>
    <x v="103"/>
    <x v="10"/>
    <n v="7128"/>
    <x v="3693"/>
    <x v="2862"/>
    <n v="7128"/>
  </r>
  <r>
    <s v="Coastal"/>
    <n v="5700"/>
    <s v="Virginia, VA, Port of"/>
    <n v="4323"/>
    <x v="6"/>
    <x v="2794"/>
    <n v="2855"/>
    <x v="3694"/>
    <x v="2863"/>
    <n v="5560"/>
  </r>
  <r>
    <s v="Coastal"/>
    <n v="5700"/>
    <s v="Virginia, VA, Port of"/>
    <n v="6781"/>
    <x v="128"/>
    <x v="10"/>
    <n v="4503"/>
    <x v="3695"/>
    <x v="116"/>
    <n v="4503"/>
  </r>
  <r>
    <s v="Coastal"/>
    <n v="5700"/>
    <s v="Virginia, VA, Port of"/>
    <n v="7230"/>
    <x v="22"/>
    <x v="10"/>
    <n v="4314"/>
    <x v="3696"/>
    <x v="1335"/>
    <n v="4314"/>
  </r>
  <r>
    <s v="Coastal"/>
    <n v="5700"/>
    <s v="Virginia, VA, Port of"/>
    <n v="6746"/>
    <x v="118"/>
    <x v="10"/>
    <n v="4184"/>
    <x v="3697"/>
    <x v="2864"/>
    <n v="4184"/>
  </r>
  <r>
    <s v="Coastal"/>
    <n v="5700"/>
    <s v="Virginia, VA, Port of"/>
    <n v="3211"/>
    <x v="124"/>
    <x v="10"/>
    <n v="3530"/>
    <x v="3698"/>
    <x v="2865"/>
    <n v="3530"/>
  </r>
  <r>
    <s v="Coastal"/>
    <n v="5700"/>
    <s v="Virginia, VA, Port of"/>
    <n v="5110"/>
    <x v="112"/>
    <x v="10"/>
    <n v="3054"/>
    <x v="3699"/>
    <x v="1543"/>
    <n v="3054"/>
  </r>
  <r>
    <s v="Coastal"/>
    <n v="5700"/>
    <s v="Virginia, VA, Port of"/>
    <n v="2350"/>
    <x v="40"/>
    <x v="3425"/>
    <n v="620"/>
    <x v="539"/>
    <x v="2495"/>
    <n v="2911"/>
  </r>
  <r>
    <s v="Coastal"/>
    <n v="5700"/>
    <s v="Virginia, VA, Port of"/>
    <n v="3293"/>
    <x v="122"/>
    <x v="10"/>
    <n v="2479"/>
    <x v="3700"/>
    <x v="1968"/>
    <n v="2479"/>
  </r>
  <r>
    <s v="Coastal"/>
    <n v="5700"/>
    <s v="Virginia, VA, Port of"/>
    <n v="6447"/>
    <x v="132"/>
    <x v="10"/>
    <n v="1866"/>
    <x v="416"/>
    <x v="2866"/>
    <n v="1866"/>
  </r>
  <r>
    <s v="Coastal"/>
    <n v="5700"/>
    <s v="Virginia, VA, Port of"/>
    <n v="4630"/>
    <x v="127"/>
    <x v="10"/>
    <n v="1410"/>
    <x v="852"/>
    <x v="238"/>
    <n v="1410"/>
  </r>
  <r>
    <s v="Coastal"/>
    <n v="5700"/>
    <s v="Virginia, VA, Port of"/>
    <n v="3212"/>
    <x v="39"/>
    <x v="10"/>
    <n v="1374"/>
    <x v="391"/>
    <x v="2147"/>
    <n v="1374"/>
  </r>
  <r>
    <s v="Coastal"/>
    <n v="5700"/>
    <s v="Virginia, VA, Port of"/>
    <n v="4670"/>
    <x v="90"/>
    <x v="10"/>
    <n v="924"/>
    <x v="3701"/>
    <x v="408"/>
    <n v="924"/>
  </r>
  <r>
    <s v="Coastal"/>
    <n v="5700"/>
    <s v="Virginia, VA, Port of"/>
    <n v="6865"/>
    <x v="75"/>
    <x v="10"/>
    <n v="823"/>
    <x v="501"/>
    <x v="2867"/>
    <n v="823"/>
  </r>
  <r>
    <s v="Coastal"/>
    <n v="5700"/>
    <s v="Virginia, VA, Port of"/>
    <n v="3272"/>
    <x v="137"/>
    <x v="10"/>
    <n v="694"/>
    <x v="2612"/>
    <x v="2868"/>
    <n v="694"/>
  </r>
  <r>
    <s v="Coastal"/>
    <n v="5700"/>
    <s v="Virginia, VA, Port of"/>
    <n v="5210"/>
    <x v="130"/>
    <x v="10"/>
    <n v="556"/>
    <x v="607"/>
    <x v="2869"/>
    <n v="556"/>
  </r>
  <r>
    <s v="Coastal"/>
    <n v="5700"/>
    <s v="Virginia, VA, Port of"/>
    <n v="4515"/>
    <x v="129"/>
    <x v="10"/>
    <n v="459"/>
    <x v="403"/>
    <x v="410"/>
    <n v="459"/>
  </r>
  <r>
    <s v="Coastal"/>
    <n v="5700"/>
    <s v="Virginia, VA, Port of"/>
    <n v="3273"/>
    <x v="46"/>
    <x v="10"/>
    <n v="431"/>
    <x v="612"/>
    <x v="2689"/>
    <n v="431"/>
  </r>
  <r>
    <s v="Coastal"/>
    <n v="5700"/>
    <s v="Virginia, VA, Port of"/>
    <n v="3281"/>
    <x v="125"/>
    <x v="10"/>
    <n v="375"/>
    <x v="3702"/>
    <x v="1560"/>
    <n v="375"/>
  </r>
  <r>
    <s v="Coastal"/>
    <n v="5700"/>
    <s v="Virginia, VA, Port of"/>
    <n v="6445"/>
    <x v="136"/>
    <x v="10"/>
    <n v="299"/>
    <x v="3703"/>
    <x v="433"/>
    <n v="299"/>
  </r>
  <r>
    <s v="Coastal"/>
    <n v="5700"/>
    <s v="Virginia, VA, Port of"/>
    <n v="1200"/>
    <x v="43"/>
    <x v="10"/>
    <n v="283"/>
    <x v="1933"/>
    <x v="1885"/>
    <n v="283"/>
  </r>
  <r>
    <s v="Coastal"/>
    <n v="5700"/>
    <s v="Virginia, VA, Port of"/>
    <n v="2429"/>
    <x v="17"/>
    <x v="10"/>
    <n v="237"/>
    <x v="312"/>
    <x v="1360"/>
    <n v="237"/>
  </r>
  <r>
    <s v="Coastal"/>
    <n v="5700"/>
    <s v="Virginia, VA, Port of"/>
    <n v="6534"/>
    <x v="141"/>
    <x v="10"/>
    <n v="185"/>
    <x v="1019"/>
    <x v="2870"/>
    <n v="185"/>
  </r>
  <r>
    <s v="Coastal"/>
    <n v="5700"/>
    <s v="Virginia, VA, Port of"/>
    <n v="6443"/>
    <x v="135"/>
    <x v="10"/>
    <n v="180"/>
    <x v="442"/>
    <x v="0"/>
    <n v="180"/>
  </r>
  <r>
    <s v="Coastal"/>
    <n v="5700"/>
    <s v="Virginia, VA, Port of"/>
    <n v="4410"/>
    <x v="34"/>
    <x v="10"/>
    <n v="78"/>
    <x v="556"/>
    <x v="454"/>
    <n v="78"/>
  </r>
  <r>
    <s v="Coastal"/>
    <n v="5700"/>
    <s v="Virginia, VA, Port of"/>
    <n v="3120"/>
    <x v="41"/>
    <x v="10"/>
    <n v="41"/>
    <x v="0"/>
    <x v="272"/>
    <n v="41"/>
  </r>
  <r>
    <s v="Coastal"/>
    <n v="5700"/>
    <s v="Virginia, VA, Port of"/>
    <n v="3271"/>
    <x v="133"/>
    <x v="10"/>
    <n v="36"/>
    <x v="51"/>
    <x v="0"/>
    <n v="36"/>
  </r>
  <r>
    <s v="Coastal"/>
    <n v="5700"/>
    <s v="Virginia, VA, Port of"/>
    <n v="4741"/>
    <x v="56"/>
    <x v="10"/>
    <n v="20"/>
    <x v="416"/>
    <x v="0"/>
    <n v="20"/>
  </r>
  <r>
    <s v="Coastal"/>
    <n v="5700"/>
    <s v="Virginia, VA, Port of"/>
    <n v="2990"/>
    <x v="102"/>
    <x v="10"/>
    <n v="7"/>
    <x v="19"/>
    <x v="131"/>
    <n v="7"/>
  </r>
  <r>
    <s v="Coastal"/>
    <n v="4986"/>
    <s v="Wainwright, AK"/>
    <n v="7400"/>
    <x v="77"/>
    <x v="3426"/>
    <n v="0"/>
    <x v="0"/>
    <x v="0"/>
    <n v="636"/>
  </r>
  <r>
    <s v="Coastal"/>
    <n v="4986"/>
    <s v="Wainwright, AK"/>
    <n v="7210"/>
    <x v="59"/>
    <x v="3427"/>
    <n v="0"/>
    <x v="0"/>
    <x v="0"/>
    <n v="493"/>
  </r>
  <r>
    <s v="Coastal"/>
    <n v="4986"/>
    <s v="Wainwright, AK"/>
    <n v="2990"/>
    <x v="102"/>
    <x v="3187"/>
    <n v="0"/>
    <x v="0"/>
    <x v="0"/>
    <n v="398"/>
  </r>
  <r>
    <s v="Coastal"/>
    <n v="4986"/>
    <s v="Wainwright, AK"/>
    <n v="2330"/>
    <x v="1"/>
    <x v="1209"/>
    <n v="0"/>
    <x v="0"/>
    <x v="0"/>
    <n v="278"/>
  </r>
  <r>
    <s v="Coastal"/>
    <n v="4986"/>
    <s v="Wainwright, AK"/>
    <n v="7900"/>
    <x v="21"/>
    <x v="3428"/>
    <n v="0"/>
    <x v="0"/>
    <x v="0"/>
    <n v="173"/>
  </r>
  <r>
    <s v="Coastal"/>
    <n v="4986"/>
    <s v="Wainwright, AK"/>
    <n v="7110"/>
    <x v="4"/>
    <x v="3429"/>
    <n v="0"/>
    <x v="0"/>
    <x v="0"/>
    <n v="154"/>
  </r>
  <r>
    <s v="Coastal"/>
    <n v="4986"/>
    <s v="Wainwright, AK"/>
    <n v="3220"/>
    <x v="2"/>
    <x v="1213"/>
    <n v="0"/>
    <x v="0"/>
    <x v="0"/>
    <n v="130"/>
  </r>
  <r>
    <s v="Coastal"/>
    <n v="4986"/>
    <s v="Wainwright, AK"/>
    <n v="6887"/>
    <x v="138"/>
    <x v="841"/>
    <n v="0"/>
    <x v="0"/>
    <x v="0"/>
    <n v="117"/>
  </r>
  <r>
    <s v="Coastal"/>
    <n v="4986"/>
    <s v="Wainwright, AK"/>
    <n v="5540"/>
    <x v="64"/>
    <x v="2908"/>
    <n v="0"/>
    <x v="0"/>
    <x v="0"/>
    <n v="90"/>
  </r>
  <r>
    <s v="Coastal"/>
    <n v="4986"/>
    <s v="Wainwright, AK"/>
    <n v="3299"/>
    <x v="79"/>
    <x v="202"/>
    <n v="0"/>
    <x v="0"/>
    <x v="0"/>
    <n v="53"/>
  </r>
  <r>
    <s v="Coastal"/>
    <n v="4986"/>
    <s v="Wainwright, AK"/>
    <n v="4331"/>
    <x v="29"/>
    <x v="2646"/>
    <n v="0"/>
    <x v="0"/>
    <x v="0"/>
    <n v="41"/>
  </r>
  <r>
    <s v="Coastal"/>
    <n v="4986"/>
    <s v="Wainwright, AK"/>
    <n v="2211"/>
    <x v="0"/>
    <x v="846"/>
    <n v="0"/>
    <x v="0"/>
    <x v="0"/>
    <n v="38"/>
  </r>
  <r>
    <s v="Coastal"/>
    <n v="4986"/>
    <s v="Wainwright, AK"/>
    <n v="4189"/>
    <x v="65"/>
    <x v="415"/>
    <n v="0"/>
    <x v="0"/>
    <x v="0"/>
    <n v="29"/>
  </r>
  <r>
    <s v="Coastal"/>
    <n v="4986"/>
    <s v="Wainwright, AK"/>
    <n v="5360"/>
    <x v="94"/>
    <x v="418"/>
    <n v="0"/>
    <x v="0"/>
    <x v="0"/>
    <n v="25"/>
  </r>
  <r>
    <s v="Coastal"/>
    <n v="4986"/>
    <s v="Wainwright, AK"/>
    <n v="7120"/>
    <x v="71"/>
    <x v="1065"/>
    <n v="0"/>
    <x v="0"/>
    <x v="0"/>
    <n v="20"/>
  </r>
  <r>
    <s v="Coastal"/>
    <n v="4986"/>
    <s v="Wainwright, AK"/>
    <n v="5190"/>
    <x v="83"/>
    <x v="420"/>
    <n v="0"/>
    <x v="0"/>
    <x v="0"/>
    <n v="11"/>
  </r>
  <r>
    <s v="Coastal"/>
    <n v="4986"/>
    <s v="Wainwright, AK"/>
    <n v="5370"/>
    <x v="81"/>
    <x v="131"/>
    <n v="0"/>
    <x v="0"/>
    <x v="0"/>
    <n v="2"/>
  </r>
  <r>
    <s v="Coastal"/>
    <n v="4986"/>
    <s v="Wainwright, AK"/>
    <n v="5480"/>
    <x v="20"/>
    <x v="131"/>
    <n v="0"/>
    <x v="0"/>
    <x v="0"/>
    <n v="2"/>
  </r>
  <r>
    <s v="Coastal"/>
    <n v="4986"/>
    <s v="Wainwright, AK"/>
    <n v="5240"/>
    <x v="89"/>
    <x v="423"/>
    <n v="0"/>
    <x v="0"/>
    <x v="0"/>
    <n v="1"/>
  </r>
  <r>
    <s v="Coastal"/>
    <n v="4986"/>
    <s v="Wainwright, AK"/>
    <n v="7230"/>
    <x v="22"/>
    <x v="423"/>
    <n v="0"/>
    <x v="0"/>
    <x v="0"/>
    <n v="1"/>
  </r>
  <r>
    <s v="Coastal"/>
    <n v="4986"/>
    <s v="Wainwright, AK"/>
    <n v="7500"/>
    <x v="60"/>
    <x v="423"/>
    <n v="0"/>
    <x v="0"/>
    <x v="0"/>
    <n v="1"/>
  </r>
  <r>
    <s v="Coastal"/>
    <n v="717"/>
    <s v="Washington, DC"/>
    <n v="2221"/>
    <x v="9"/>
    <x v="3430"/>
    <n v="0"/>
    <x v="0"/>
    <x v="0"/>
    <n v="69858"/>
  </r>
  <r>
    <s v="Great Lakes"/>
    <n v="3788"/>
    <s v="Waukegan Port District, IL"/>
    <n v="4323"/>
    <x v="6"/>
    <x v="3431"/>
    <n v="0"/>
    <x v="0"/>
    <x v="0"/>
    <n v="161411"/>
  </r>
  <r>
    <s v="Great Lakes"/>
    <n v="3788"/>
    <s v="Waukegan Port District, IL"/>
    <n v="4335"/>
    <x v="5"/>
    <x v="3432"/>
    <n v="0"/>
    <x v="0"/>
    <x v="0"/>
    <n v="48568"/>
  </r>
  <r>
    <s v="Great Lakes"/>
    <n v="3788"/>
    <s v="Waukegan Port District, IL"/>
    <n v="5220"/>
    <x v="30"/>
    <x v="3433"/>
    <n v="0"/>
    <x v="0"/>
    <x v="0"/>
    <n v="9845"/>
  </r>
  <r>
    <s v="Great Lakes"/>
    <n v="3788"/>
    <s v="Waukegan Port District, IL"/>
    <n v="4331"/>
    <x v="29"/>
    <x v="3434"/>
    <n v="0"/>
    <x v="0"/>
    <x v="0"/>
    <n v="2377"/>
  </r>
  <r>
    <s v="Great Lakes"/>
    <n v="3788"/>
    <s v="Waukegan Port District, IL"/>
    <n v="7110"/>
    <x v="4"/>
    <x v="3435"/>
    <n v="0"/>
    <x v="0"/>
    <x v="0"/>
    <n v="420"/>
  </r>
  <r>
    <s v="Great Lakes"/>
    <n v="3788"/>
    <s v="Waukegan Port District, IL"/>
    <n v="7230"/>
    <x v="22"/>
    <x v="423"/>
    <n v="0"/>
    <x v="0"/>
    <x v="0"/>
    <n v="1"/>
  </r>
  <r>
    <s v="Coastal"/>
    <n v="2383"/>
    <s v="West St. Mary Parish Port, LA"/>
    <n v="4783"/>
    <x v="7"/>
    <x v="3436"/>
    <n v="0"/>
    <x v="0"/>
    <x v="0"/>
    <n v="2027340"/>
  </r>
  <r>
    <s v="Coastal"/>
    <n v="2383"/>
    <s v="West St. Mary Parish Port, LA"/>
    <n v="2100"/>
    <x v="35"/>
    <x v="3437"/>
    <n v="0"/>
    <x v="0"/>
    <x v="0"/>
    <n v="938206"/>
  </r>
  <r>
    <s v="Coastal"/>
    <n v="2383"/>
    <s v="West St. Mary Parish Port, LA"/>
    <n v="2340"/>
    <x v="3"/>
    <x v="3438"/>
    <n v="0"/>
    <x v="0"/>
    <x v="0"/>
    <n v="556461"/>
  </r>
  <r>
    <s v="Coastal"/>
    <n v="2383"/>
    <s v="West St. Mary Parish Port, LA"/>
    <n v="6861"/>
    <x v="69"/>
    <x v="3439"/>
    <n v="0"/>
    <x v="0"/>
    <x v="0"/>
    <n v="135040"/>
  </r>
  <r>
    <s v="Coastal"/>
    <n v="2383"/>
    <s v="West St. Mary Parish Port, LA"/>
    <n v="2330"/>
    <x v="1"/>
    <x v="3440"/>
    <n v="0"/>
    <x v="0"/>
    <x v="0"/>
    <n v="52617"/>
  </r>
  <r>
    <s v="Coastal"/>
    <n v="2383"/>
    <s v="West St. Mary Parish Port, LA"/>
    <n v="6865"/>
    <x v="75"/>
    <x v="3441"/>
    <n v="0"/>
    <x v="0"/>
    <x v="0"/>
    <n v="33731"/>
  </r>
  <r>
    <s v="Coastal"/>
    <n v="2383"/>
    <s v="West St. Mary Parish Port, LA"/>
    <n v="3276"/>
    <x v="12"/>
    <x v="3442"/>
    <n v="0"/>
    <x v="0"/>
    <x v="0"/>
    <n v="6302"/>
  </r>
  <r>
    <s v="Coastal"/>
    <n v="2383"/>
    <s v="West St. Mary Parish Port, LA"/>
    <n v="7900"/>
    <x v="21"/>
    <x v="3443"/>
    <n v="0"/>
    <x v="0"/>
    <x v="0"/>
    <n v="5585"/>
  </r>
  <r>
    <s v="Coastal"/>
    <n v="2383"/>
    <s v="West St. Mary Parish Port, LA"/>
    <n v="4331"/>
    <x v="29"/>
    <x v="1628"/>
    <n v="0"/>
    <x v="0"/>
    <x v="0"/>
    <n v="3980"/>
  </r>
  <r>
    <s v="Coastal"/>
    <n v="2383"/>
    <s v="West St. Mary Parish Port, LA"/>
    <n v="6782"/>
    <x v="27"/>
    <x v="3444"/>
    <n v="0"/>
    <x v="0"/>
    <x v="0"/>
    <n v="1565"/>
  </r>
  <r>
    <s v="Coastal"/>
    <n v="2383"/>
    <s v="West St. Mary Parish Port, LA"/>
    <n v="2350"/>
    <x v="40"/>
    <x v="3445"/>
    <n v="0"/>
    <x v="0"/>
    <x v="0"/>
    <n v="961"/>
  </r>
  <r>
    <s v="Coastal"/>
    <n v="2383"/>
    <s v="West St. Mary Parish Port, LA"/>
    <n v="7110"/>
    <x v="4"/>
    <x v="3446"/>
    <n v="0"/>
    <x v="0"/>
    <x v="0"/>
    <n v="742"/>
  </r>
  <r>
    <s v="Coastal"/>
    <n v="2383"/>
    <s v="West St. Mary Parish Port, LA"/>
    <n v="4782"/>
    <x v="45"/>
    <x v="2616"/>
    <n v="0"/>
    <x v="0"/>
    <x v="0"/>
    <n v="180"/>
  </r>
  <r>
    <s v="Coastal"/>
    <n v="2383"/>
    <s v="West St. Mary Parish Port, LA"/>
    <n v="4420"/>
    <x v="8"/>
    <x v="249"/>
    <n v="0"/>
    <x v="0"/>
    <x v="0"/>
    <n v="50"/>
  </r>
  <r>
    <s v="Coastal"/>
    <n v="4824"/>
    <s v="Whittier, AK"/>
    <n v="7900"/>
    <x v="21"/>
    <x v="3447"/>
    <n v="33"/>
    <x v="555"/>
    <x v="0"/>
    <n v="312647"/>
  </r>
  <r>
    <s v="Coastal"/>
    <n v="4824"/>
    <s v="Whittier, AK"/>
    <n v="6889"/>
    <x v="42"/>
    <x v="3448"/>
    <n v="0"/>
    <x v="0"/>
    <x v="0"/>
    <n v="41057"/>
  </r>
  <r>
    <s v="Coastal"/>
    <n v="4824"/>
    <s v="Whittier, AK"/>
    <n v="6134"/>
    <x v="82"/>
    <x v="3449"/>
    <n v="0"/>
    <x v="0"/>
    <x v="0"/>
    <n v="38979"/>
  </r>
  <r>
    <s v="Coastal"/>
    <n v="4824"/>
    <s v="Whittier, AK"/>
    <n v="6782"/>
    <x v="27"/>
    <x v="3450"/>
    <n v="10"/>
    <x v="312"/>
    <x v="0"/>
    <n v="15475"/>
  </r>
  <r>
    <s v="Coastal"/>
    <n v="4824"/>
    <s v="Whittier, AK"/>
    <n v="7400"/>
    <x v="77"/>
    <x v="3451"/>
    <n v="0"/>
    <x v="0"/>
    <x v="0"/>
    <n v="14534"/>
  </r>
  <r>
    <s v="Coastal"/>
    <n v="4824"/>
    <s v="Whittier, AK"/>
    <n v="5540"/>
    <x v="64"/>
    <x v="3452"/>
    <n v="18"/>
    <x v="170"/>
    <x v="0"/>
    <n v="13611"/>
  </r>
  <r>
    <s v="Coastal"/>
    <n v="4824"/>
    <s v="Whittier, AK"/>
    <n v="4189"/>
    <x v="65"/>
    <x v="3453"/>
    <n v="9"/>
    <x v="313"/>
    <x v="0"/>
    <n v="10919"/>
  </r>
  <r>
    <s v="Coastal"/>
    <n v="4824"/>
    <s v="Whittier, AK"/>
    <n v="5190"/>
    <x v="83"/>
    <x v="3454"/>
    <n v="0"/>
    <x v="0"/>
    <x v="0"/>
    <n v="10804"/>
  </r>
  <r>
    <s v="Coastal"/>
    <n v="4824"/>
    <s v="Whittier, AK"/>
    <n v="7110"/>
    <x v="4"/>
    <x v="3455"/>
    <n v="0"/>
    <x v="0"/>
    <x v="0"/>
    <n v="8083"/>
  </r>
  <r>
    <s v="Coastal"/>
    <n v="4824"/>
    <s v="Whittier, AK"/>
    <n v="6885"/>
    <x v="72"/>
    <x v="3456"/>
    <n v="80"/>
    <x v="546"/>
    <x v="0"/>
    <n v="7737"/>
  </r>
  <r>
    <s v="Coastal"/>
    <n v="4824"/>
    <s v="Whittier, AK"/>
    <n v="7210"/>
    <x v="59"/>
    <x v="3457"/>
    <n v="0"/>
    <x v="0"/>
    <x v="0"/>
    <n v="6566"/>
  </r>
  <r>
    <s v="Coastal"/>
    <n v="4824"/>
    <s v="Whittier, AK"/>
    <n v="5480"/>
    <x v="20"/>
    <x v="3458"/>
    <n v="0"/>
    <x v="0"/>
    <x v="0"/>
    <n v="5885"/>
  </r>
  <r>
    <s v="Coastal"/>
    <n v="4824"/>
    <s v="Whittier, AK"/>
    <n v="4783"/>
    <x v="7"/>
    <x v="3459"/>
    <n v="0"/>
    <x v="0"/>
    <x v="0"/>
    <n v="5697"/>
  </r>
  <r>
    <s v="Coastal"/>
    <n v="4824"/>
    <s v="Whittier, AK"/>
    <n v="6887"/>
    <x v="138"/>
    <x v="3460"/>
    <n v="0"/>
    <x v="0"/>
    <x v="0"/>
    <n v="4841"/>
  </r>
  <r>
    <s v="Coastal"/>
    <n v="4824"/>
    <s v="Whittier, AK"/>
    <n v="5360"/>
    <x v="94"/>
    <x v="3461"/>
    <n v="0"/>
    <x v="0"/>
    <x v="0"/>
    <n v="4287"/>
  </r>
  <r>
    <s v="Coastal"/>
    <n v="4824"/>
    <s v="Whittier, AK"/>
    <n v="6136"/>
    <x v="95"/>
    <x v="3462"/>
    <n v="0"/>
    <x v="0"/>
    <x v="0"/>
    <n v="3581"/>
  </r>
  <r>
    <s v="Coastal"/>
    <n v="4824"/>
    <s v="Whittier, AK"/>
    <n v="8900"/>
    <x v="139"/>
    <x v="3463"/>
    <n v="0"/>
    <x v="0"/>
    <x v="0"/>
    <n v="3559"/>
  </r>
  <r>
    <s v="Coastal"/>
    <n v="4824"/>
    <s v="Whittier, AK"/>
    <n v="5240"/>
    <x v="89"/>
    <x v="1788"/>
    <n v="0"/>
    <x v="0"/>
    <x v="0"/>
    <n v="2148"/>
  </r>
  <r>
    <s v="Coastal"/>
    <n v="4824"/>
    <s v="Whittier, AK"/>
    <n v="4331"/>
    <x v="29"/>
    <x v="3464"/>
    <n v="0"/>
    <x v="0"/>
    <x v="0"/>
    <n v="1949"/>
  </r>
  <r>
    <s v="Coastal"/>
    <n v="4824"/>
    <s v="Whittier, AK"/>
    <n v="3299"/>
    <x v="79"/>
    <x v="3465"/>
    <n v="0"/>
    <x v="0"/>
    <x v="0"/>
    <n v="1647"/>
  </r>
  <r>
    <s v="Coastal"/>
    <n v="4824"/>
    <s v="Whittier, AK"/>
    <n v="5370"/>
    <x v="81"/>
    <x v="1055"/>
    <n v="0"/>
    <x v="0"/>
    <x v="0"/>
    <n v="1165"/>
  </r>
  <r>
    <s v="Coastal"/>
    <n v="4824"/>
    <s v="Whittier, AK"/>
    <n v="2990"/>
    <x v="102"/>
    <x v="2648"/>
    <n v="0"/>
    <x v="0"/>
    <x v="0"/>
    <n v="719"/>
  </r>
  <r>
    <s v="Coastal"/>
    <n v="4824"/>
    <s v="Whittier, AK"/>
    <n v="7500"/>
    <x v="60"/>
    <x v="3466"/>
    <n v="0"/>
    <x v="0"/>
    <x v="0"/>
    <n v="662"/>
  </r>
  <r>
    <s v="Coastal"/>
    <n v="4824"/>
    <s v="Whittier, AK"/>
    <n v="5290"/>
    <x v="49"/>
    <x v="3467"/>
    <n v="0"/>
    <x v="0"/>
    <x v="0"/>
    <n v="661"/>
  </r>
  <r>
    <s v="Coastal"/>
    <n v="4824"/>
    <s v="Whittier, AK"/>
    <n v="6838"/>
    <x v="131"/>
    <x v="3468"/>
    <n v="0"/>
    <x v="0"/>
    <x v="0"/>
    <n v="623"/>
  </r>
  <r>
    <s v="Coastal"/>
    <n v="4824"/>
    <s v="Whittier, AK"/>
    <n v="7230"/>
    <x v="22"/>
    <x v="1187"/>
    <n v="0"/>
    <x v="0"/>
    <x v="0"/>
    <n v="557"/>
  </r>
  <r>
    <s v="Coastal"/>
    <n v="4824"/>
    <s v="Whittier, AK"/>
    <n v="7120"/>
    <x v="71"/>
    <x v="3469"/>
    <n v="0"/>
    <x v="0"/>
    <x v="0"/>
    <n v="541"/>
  </r>
  <r>
    <s v="Coastal"/>
    <n v="4824"/>
    <s v="Whittier, AK"/>
    <n v="2640"/>
    <x v="110"/>
    <x v="3470"/>
    <n v="0"/>
    <x v="0"/>
    <x v="0"/>
    <n v="246"/>
  </r>
  <r>
    <s v="Coastal"/>
    <n v="4824"/>
    <s v="Whittier, AK"/>
    <n v="7600"/>
    <x v="68"/>
    <x v="3471"/>
    <n v="0"/>
    <x v="0"/>
    <x v="0"/>
    <n v="174"/>
  </r>
  <r>
    <s v="Coastal"/>
    <n v="4824"/>
    <s v="Whittier, AK"/>
    <n v="3220"/>
    <x v="2"/>
    <x v="3472"/>
    <n v="37"/>
    <x v="613"/>
    <x v="0"/>
    <n v="171"/>
  </r>
  <r>
    <s v="Coastal"/>
    <n v="4824"/>
    <s v="Whittier, AK"/>
    <n v="4420"/>
    <x v="8"/>
    <x v="2930"/>
    <n v="0"/>
    <x v="0"/>
    <x v="0"/>
    <n v="94"/>
  </r>
  <r>
    <s v="Coastal"/>
    <n v="4824"/>
    <s v="Whittier, AK"/>
    <n v="2340"/>
    <x v="3"/>
    <x v="249"/>
    <n v="0"/>
    <x v="0"/>
    <x v="0"/>
    <n v="50"/>
  </r>
  <r>
    <s v="Coastal"/>
    <n v="4824"/>
    <s v="Whittier, AK"/>
    <n v="3110"/>
    <x v="36"/>
    <x v="10"/>
    <n v="49"/>
    <x v="681"/>
    <x v="0"/>
    <n v="49"/>
  </r>
  <r>
    <s v="Coastal"/>
    <n v="4824"/>
    <s v="Whittier, AK"/>
    <n v="3130"/>
    <x v="37"/>
    <x v="10"/>
    <n v="41"/>
    <x v="1019"/>
    <x v="0"/>
    <n v="41"/>
  </r>
  <r>
    <s v="Coastal"/>
    <n v="4824"/>
    <s v="Whittier, AK"/>
    <n v="2211"/>
    <x v="0"/>
    <x v="824"/>
    <n v="0"/>
    <x v="0"/>
    <x v="0"/>
    <n v="35"/>
  </r>
  <r>
    <s v="Coastal"/>
    <n v="4824"/>
    <s v="Whittier, AK"/>
    <n v="4225"/>
    <x v="10"/>
    <x v="419"/>
    <n v="0"/>
    <x v="0"/>
    <x v="0"/>
    <n v="17"/>
  </r>
  <r>
    <s v="Coastal"/>
    <n v="4824"/>
    <s v="Whittier, AK"/>
    <n v="3282"/>
    <x v="91"/>
    <x v="421"/>
    <n v="0"/>
    <x v="0"/>
    <x v="0"/>
    <n v="6"/>
  </r>
  <r>
    <s v="Great Lakes"/>
    <n v="3750"/>
    <s v="Wilmette, IL"/>
    <n v="4335"/>
    <x v="5"/>
    <x v="3473"/>
    <n v="0"/>
    <x v="0"/>
    <x v="0"/>
    <n v="2432"/>
  </r>
  <r>
    <s v="Great Lakes"/>
    <n v="3750"/>
    <s v="Wilmette, IL"/>
    <n v="4331"/>
    <x v="29"/>
    <x v="3474"/>
    <n v="0"/>
    <x v="0"/>
    <x v="0"/>
    <n v="1800"/>
  </r>
  <r>
    <s v="Coastal"/>
    <n v="555"/>
    <s v="Wilmington, DE"/>
    <n v="6856"/>
    <x v="126"/>
    <x v="10"/>
    <n v="1496756"/>
    <x v="3704"/>
    <x v="2871"/>
    <n v="1496756"/>
  </r>
  <r>
    <s v="Coastal"/>
    <n v="555"/>
    <s v="Wilmington, DE"/>
    <n v="2100"/>
    <x v="35"/>
    <x v="10"/>
    <n v="1019665"/>
    <x v="3705"/>
    <x v="0"/>
    <n v="1019665"/>
  </r>
  <r>
    <s v="Coastal"/>
    <n v="555"/>
    <s v="Wilmington, DE"/>
    <n v="2330"/>
    <x v="1"/>
    <x v="3475"/>
    <n v="609963"/>
    <x v="3706"/>
    <x v="2872"/>
    <n v="652854"/>
  </r>
  <r>
    <s v="Coastal"/>
    <n v="555"/>
    <s v="Wilmington, DE"/>
    <n v="2340"/>
    <x v="3"/>
    <x v="3476"/>
    <n v="293693"/>
    <x v="3707"/>
    <x v="0"/>
    <n v="546023"/>
  </r>
  <r>
    <s v="Coastal"/>
    <n v="555"/>
    <s v="Wilmington, DE"/>
    <n v="4783"/>
    <x v="7"/>
    <x v="10"/>
    <n v="478193"/>
    <x v="3708"/>
    <x v="580"/>
    <n v="478193"/>
  </r>
  <r>
    <s v="Coastal"/>
    <n v="555"/>
    <s v="Wilmington, DE"/>
    <n v="6857"/>
    <x v="104"/>
    <x v="10"/>
    <n v="450860"/>
    <x v="3709"/>
    <x v="2506"/>
    <n v="450860"/>
  </r>
  <r>
    <s v="Coastal"/>
    <n v="555"/>
    <s v="Wilmington, DE"/>
    <n v="2540"/>
    <x v="15"/>
    <x v="10"/>
    <n v="386878"/>
    <x v="0"/>
    <x v="2873"/>
    <n v="386878"/>
  </r>
  <r>
    <s v="Coastal"/>
    <n v="555"/>
    <s v="Wilmington, DE"/>
    <n v="2211"/>
    <x v="0"/>
    <x v="3477"/>
    <n v="0"/>
    <x v="0"/>
    <x v="0"/>
    <n v="252703"/>
  </r>
  <r>
    <s v="Coastal"/>
    <n v="555"/>
    <s v="Wilmington, DE"/>
    <n v="6858"/>
    <x v="74"/>
    <x v="10"/>
    <n v="199226"/>
    <x v="3710"/>
    <x v="1524"/>
    <n v="199226"/>
  </r>
  <r>
    <s v="Coastal"/>
    <n v="555"/>
    <s v="Wilmington, DE"/>
    <n v="7210"/>
    <x v="59"/>
    <x v="10"/>
    <n v="91505"/>
    <x v="3711"/>
    <x v="2874"/>
    <n v="91505"/>
  </r>
  <r>
    <s v="Coastal"/>
    <n v="555"/>
    <s v="Wilmington, DE"/>
    <n v="4189"/>
    <x v="65"/>
    <x v="10"/>
    <n v="73477"/>
    <x v="3712"/>
    <x v="0"/>
    <n v="73477"/>
  </r>
  <r>
    <s v="Coastal"/>
    <n v="555"/>
    <s v="Wilmington, DE"/>
    <n v="6747"/>
    <x v="78"/>
    <x v="10"/>
    <n v="70718"/>
    <x v="3713"/>
    <x v="1870"/>
    <n v="70718"/>
  </r>
  <r>
    <s v="Coastal"/>
    <n v="555"/>
    <s v="Wilmington, DE"/>
    <n v="3276"/>
    <x v="12"/>
    <x v="10"/>
    <n v="69293"/>
    <x v="3714"/>
    <x v="2875"/>
    <n v="69293"/>
  </r>
  <r>
    <s v="Coastal"/>
    <n v="555"/>
    <s v="Wilmington, DE"/>
    <n v="6654"/>
    <x v="50"/>
    <x v="10"/>
    <n v="64825"/>
    <x v="3715"/>
    <x v="2876"/>
    <n v="64825"/>
  </r>
  <r>
    <s v="Coastal"/>
    <n v="555"/>
    <s v="Wilmington, DE"/>
    <n v="5120"/>
    <x v="63"/>
    <x v="10"/>
    <n v="63344"/>
    <x v="393"/>
    <x v="2877"/>
    <n v="63344"/>
  </r>
  <r>
    <s v="Coastal"/>
    <n v="555"/>
    <s v="Wilmington, DE"/>
    <n v="3220"/>
    <x v="2"/>
    <x v="3478"/>
    <n v="109"/>
    <x v="1934"/>
    <x v="0"/>
    <n v="46431"/>
  </r>
  <r>
    <s v="Coastal"/>
    <n v="555"/>
    <s v="Wilmington, DE"/>
    <n v="4860"/>
    <x v="31"/>
    <x v="10"/>
    <n v="44203"/>
    <x v="3716"/>
    <x v="0"/>
    <n v="44203"/>
  </r>
  <r>
    <s v="Coastal"/>
    <n v="555"/>
    <s v="Wilmington, DE"/>
    <n v="2350"/>
    <x v="40"/>
    <x v="10"/>
    <n v="41736"/>
    <x v="3717"/>
    <x v="0"/>
    <n v="41736"/>
  </r>
  <r>
    <s v="Coastal"/>
    <n v="555"/>
    <s v="Wilmington, DE"/>
    <n v="7900"/>
    <x v="21"/>
    <x v="10"/>
    <n v="25941"/>
    <x v="3718"/>
    <x v="2878"/>
    <n v="25941"/>
  </r>
  <r>
    <s v="Coastal"/>
    <n v="555"/>
    <s v="Wilmington, DE"/>
    <n v="3275"/>
    <x v="47"/>
    <x v="10"/>
    <n v="15423"/>
    <x v="3719"/>
    <x v="359"/>
    <n v="15423"/>
  </r>
  <r>
    <s v="Coastal"/>
    <n v="555"/>
    <s v="Wilmington, DE"/>
    <n v="3299"/>
    <x v="79"/>
    <x v="10"/>
    <n v="14024"/>
    <x v="3720"/>
    <x v="619"/>
    <n v="14024"/>
  </r>
  <r>
    <s v="Coastal"/>
    <n v="555"/>
    <s v="Wilmington, DE"/>
    <n v="6782"/>
    <x v="27"/>
    <x v="10"/>
    <n v="13431"/>
    <x v="3721"/>
    <x v="222"/>
    <n v="13431"/>
  </r>
  <r>
    <s v="Coastal"/>
    <n v="555"/>
    <s v="Wilmington, DE"/>
    <n v="2640"/>
    <x v="110"/>
    <x v="10"/>
    <n v="13223"/>
    <x v="0"/>
    <x v="2879"/>
    <n v="13223"/>
  </r>
  <r>
    <s v="Coastal"/>
    <n v="555"/>
    <s v="Wilmington, DE"/>
    <n v="6442"/>
    <x v="85"/>
    <x v="10"/>
    <n v="12462"/>
    <x v="3722"/>
    <x v="0"/>
    <n v="12462"/>
  </r>
  <r>
    <s v="Coastal"/>
    <n v="555"/>
    <s v="Wilmington, DE"/>
    <n v="4900"/>
    <x v="14"/>
    <x v="10"/>
    <n v="11696"/>
    <x v="3723"/>
    <x v="2880"/>
    <n v="11696"/>
  </r>
  <r>
    <s v="Coastal"/>
    <n v="555"/>
    <s v="Wilmington, DE"/>
    <n v="6889"/>
    <x v="42"/>
    <x v="10"/>
    <n v="10668"/>
    <x v="3724"/>
    <x v="2881"/>
    <n v="10668"/>
  </r>
  <r>
    <s v="Coastal"/>
    <n v="555"/>
    <s v="Wilmington, DE"/>
    <n v="3219"/>
    <x v="19"/>
    <x v="10"/>
    <n v="10436"/>
    <x v="0"/>
    <x v="603"/>
    <n v="10436"/>
  </r>
  <r>
    <s v="Coastal"/>
    <n v="555"/>
    <s v="Wilmington, DE"/>
    <n v="6653"/>
    <x v="24"/>
    <x v="10"/>
    <n v="7342"/>
    <x v="3725"/>
    <x v="185"/>
    <n v="7342"/>
  </r>
  <r>
    <s v="Coastal"/>
    <n v="555"/>
    <s v="Wilmington, DE"/>
    <n v="3110"/>
    <x v="36"/>
    <x v="10"/>
    <n v="6716"/>
    <x v="3726"/>
    <x v="129"/>
    <n v="6716"/>
  </r>
  <r>
    <s v="Coastal"/>
    <n v="555"/>
    <s v="Wilmington, DE"/>
    <n v="6885"/>
    <x v="72"/>
    <x v="10"/>
    <n v="5703"/>
    <x v="3727"/>
    <x v="2882"/>
    <n v="5703"/>
  </r>
  <r>
    <s v="Coastal"/>
    <n v="555"/>
    <s v="Wilmington, DE"/>
    <n v="6522"/>
    <x v="26"/>
    <x v="10"/>
    <n v="5454"/>
    <x v="3728"/>
    <x v="0"/>
    <n v="5454"/>
  </r>
  <r>
    <s v="Coastal"/>
    <n v="555"/>
    <s v="Wilmington, DE"/>
    <n v="4225"/>
    <x v="10"/>
    <x v="10"/>
    <n v="5382"/>
    <x v="3729"/>
    <x v="2883"/>
    <n v="5382"/>
  </r>
  <r>
    <s v="Coastal"/>
    <n v="555"/>
    <s v="Wilmington, DE"/>
    <n v="9900"/>
    <x v="18"/>
    <x v="10"/>
    <n v="4510"/>
    <x v="619"/>
    <x v="2884"/>
    <n v="4510"/>
  </r>
  <r>
    <s v="Coastal"/>
    <n v="555"/>
    <s v="Wilmington, DE"/>
    <n v="4680"/>
    <x v="70"/>
    <x v="10"/>
    <n v="3225"/>
    <x v="0"/>
    <x v="2885"/>
    <n v="3225"/>
  </r>
  <r>
    <s v="Coastal"/>
    <n v="555"/>
    <s v="Wilmington, DE"/>
    <n v="7500"/>
    <x v="60"/>
    <x v="10"/>
    <n v="3079"/>
    <x v="3730"/>
    <x v="2886"/>
    <n v="3079"/>
  </r>
  <r>
    <s v="Coastal"/>
    <n v="555"/>
    <s v="Wilmington, DE"/>
    <n v="6822"/>
    <x v="84"/>
    <x v="10"/>
    <n v="2756"/>
    <x v="3731"/>
    <x v="1196"/>
    <n v="2756"/>
  </r>
  <r>
    <s v="Coastal"/>
    <n v="555"/>
    <s v="Wilmington, DE"/>
    <n v="5370"/>
    <x v="81"/>
    <x v="10"/>
    <n v="2411"/>
    <x v="3732"/>
    <x v="237"/>
    <n v="2411"/>
  </r>
  <r>
    <s v="Coastal"/>
    <n v="555"/>
    <s v="Wilmington, DE"/>
    <n v="5540"/>
    <x v="64"/>
    <x v="10"/>
    <n v="2170"/>
    <x v="3733"/>
    <x v="1072"/>
    <n v="2170"/>
  </r>
  <r>
    <s v="Coastal"/>
    <n v="555"/>
    <s v="Wilmington, DE"/>
    <n v="6811"/>
    <x v="76"/>
    <x v="10"/>
    <n v="1978"/>
    <x v="2960"/>
    <x v="2887"/>
    <n v="1978"/>
  </r>
  <r>
    <s v="Coastal"/>
    <n v="555"/>
    <s v="Wilmington, DE"/>
    <n v="5480"/>
    <x v="20"/>
    <x v="10"/>
    <n v="1971"/>
    <x v="1928"/>
    <x v="2888"/>
    <n v="1971"/>
  </r>
  <r>
    <s v="Coastal"/>
    <n v="555"/>
    <s v="Wilmington, DE"/>
    <n v="7110"/>
    <x v="4"/>
    <x v="10"/>
    <n v="1658"/>
    <x v="3734"/>
    <x v="2889"/>
    <n v="1658"/>
  </r>
  <r>
    <s v="Coastal"/>
    <n v="555"/>
    <s v="Wilmington, DE"/>
    <n v="3190"/>
    <x v="38"/>
    <x v="10"/>
    <n v="1502"/>
    <x v="3735"/>
    <x v="666"/>
    <n v="1502"/>
  </r>
  <r>
    <s v="Coastal"/>
    <n v="555"/>
    <s v="Wilmington, DE"/>
    <n v="7600"/>
    <x v="68"/>
    <x v="10"/>
    <n v="1342"/>
    <x v="3736"/>
    <x v="446"/>
    <n v="1342"/>
  </r>
  <r>
    <s v="Coastal"/>
    <n v="555"/>
    <s v="Wilmington, DE"/>
    <n v="7400"/>
    <x v="77"/>
    <x v="10"/>
    <n v="1311"/>
    <x v="3737"/>
    <x v="1054"/>
    <n v="1311"/>
  </r>
  <r>
    <s v="Coastal"/>
    <n v="555"/>
    <s v="Wilmington, DE"/>
    <n v="7120"/>
    <x v="71"/>
    <x v="10"/>
    <n v="1250"/>
    <x v="590"/>
    <x v="2890"/>
    <n v="1250"/>
  </r>
  <r>
    <s v="Coastal"/>
    <n v="555"/>
    <s v="Wilmington, DE"/>
    <n v="3282"/>
    <x v="91"/>
    <x v="10"/>
    <n v="1075"/>
    <x v="450"/>
    <x v="2891"/>
    <n v="1075"/>
  </r>
  <r>
    <s v="Coastal"/>
    <n v="555"/>
    <s v="Wilmington, DE"/>
    <n v="3240"/>
    <x v="53"/>
    <x v="10"/>
    <n v="1053"/>
    <x v="2812"/>
    <x v="0"/>
    <n v="1053"/>
  </r>
  <r>
    <s v="Coastal"/>
    <n v="555"/>
    <s v="Wilmington, DE"/>
    <n v="5290"/>
    <x v="49"/>
    <x v="10"/>
    <n v="1004"/>
    <x v="0"/>
    <x v="2892"/>
    <n v="1004"/>
  </r>
  <r>
    <s v="Coastal"/>
    <n v="555"/>
    <s v="Wilmington, DE"/>
    <n v="6871"/>
    <x v="73"/>
    <x v="10"/>
    <n v="930"/>
    <x v="2059"/>
    <x v="0"/>
    <n v="930"/>
  </r>
  <r>
    <s v="Coastal"/>
    <n v="555"/>
    <s v="Wilmington, DE"/>
    <n v="3292"/>
    <x v="51"/>
    <x v="10"/>
    <n v="837"/>
    <x v="3738"/>
    <x v="0"/>
    <n v="837"/>
  </r>
  <r>
    <s v="Coastal"/>
    <n v="555"/>
    <s v="Wilmington, DE"/>
    <n v="3285"/>
    <x v="87"/>
    <x v="10"/>
    <n v="698"/>
    <x v="3739"/>
    <x v="225"/>
    <n v="698"/>
  </r>
  <r>
    <s v="Coastal"/>
    <n v="555"/>
    <s v="Wilmington, DE"/>
    <n v="3286"/>
    <x v="57"/>
    <x v="10"/>
    <n v="655"/>
    <x v="3740"/>
    <x v="2893"/>
    <n v="655"/>
  </r>
  <r>
    <s v="Coastal"/>
    <n v="555"/>
    <s v="Wilmington, DE"/>
    <n v="5190"/>
    <x v="83"/>
    <x v="10"/>
    <n v="532"/>
    <x v="3741"/>
    <x v="1006"/>
    <n v="532"/>
  </r>
  <r>
    <s v="Coastal"/>
    <n v="555"/>
    <s v="Wilmington, DE"/>
    <n v="6899"/>
    <x v="114"/>
    <x v="10"/>
    <n v="507"/>
    <x v="289"/>
    <x v="0"/>
    <n v="507"/>
  </r>
  <r>
    <s v="Coastal"/>
    <n v="555"/>
    <s v="Wilmington, DE"/>
    <n v="6136"/>
    <x v="95"/>
    <x v="10"/>
    <n v="473"/>
    <x v="2081"/>
    <x v="125"/>
    <n v="473"/>
  </r>
  <r>
    <s v="Coastal"/>
    <n v="555"/>
    <s v="Wilmington, DE"/>
    <n v="3211"/>
    <x v="124"/>
    <x v="10"/>
    <n v="340"/>
    <x v="0"/>
    <x v="379"/>
    <n v="340"/>
  </r>
  <r>
    <s v="Coastal"/>
    <n v="555"/>
    <s v="Wilmington, DE"/>
    <n v="6344"/>
    <x v="25"/>
    <x v="10"/>
    <n v="237"/>
    <x v="307"/>
    <x v="208"/>
    <n v="237"/>
  </r>
  <r>
    <s v="Coastal"/>
    <n v="555"/>
    <s v="Wilmington, DE"/>
    <n v="4150"/>
    <x v="101"/>
    <x v="10"/>
    <n v="154"/>
    <x v="838"/>
    <x v="0"/>
    <n v="154"/>
  </r>
  <r>
    <s v="Coastal"/>
    <n v="555"/>
    <s v="Wilmington, DE"/>
    <n v="6746"/>
    <x v="118"/>
    <x v="10"/>
    <n v="144"/>
    <x v="3591"/>
    <x v="0"/>
    <n v="144"/>
  </r>
  <r>
    <s v="Coastal"/>
    <n v="555"/>
    <s v="Wilmington, DE"/>
    <n v="5422"/>
    <x v="66"/>
    <x v="10"/>
    <n v="134"/>
    <x v="0"/>
    <x v="1033"/>
    <n v="134"/>
  </r>
  <r>
    <s v="Coastal"/>
    <n v="555"/>
    <s v="Wilmington, DE"/>
    <n v="2990"/>
    <x v="102"/>
    <x v="10"/>
    <n v="120"/>
    <x v="1363"/>
    <x v="0"/>
    <n v="120"/>
  </r>
  <r>
    <s v="Coastal"/>
    <n v="555"/>
    <s v="Wilmington, DE"/>
    <n v="3298"/>
    <x v="123"/>
    <x v="10"/>
    <n v="110"/>
    <x v="1602"/>
    <x v="0"/>
    <n v="110"/>
  </r>
  <r>
    <s v="Coastal"/>
    <n v="555"/>
    <s v="Wilmington, DE"/>
    <n v="4161"/>
    <x v="54"/>
    <x v="10"/>
    <n v="110"/>
    <x v="1602"/>
    <x v="0"/>
    <n v="110"/>
  </r>
  <r>
    <s v="Coastal"/>
    <n v="555"/>
    <s v="Wilmington, DE"/>
    <n v="3230"/>
    <x v="80"/>
    <x v="10"/>
    <n v="102"/>
    <x v="311"/>
    <x v="1409"/>
    <n v="102"/>
  </r>
  <r>
    <s v="Coastal"/>
    <n v="555"/>
    <s v="Wilmington, DE"/>
    <n v="6835"/>
    <x v="92"/>
    <x v="10"/>
    <n v="89"/>
    <x v="168"/>
    <x v="79"/>
    <n v="89"/>
  </r>
  <r>
    <s v="Coastal"/>
    <n v="555"/>
    <s v="Wilmington, DE"/>
    <n v="6891"/>
    <x v="93"/>
    <x v="10"/>
    <n v="89"/>
    <x v="605"/>
    <x v="385"/>
    <n v="89"/>
  </r>
  <r>
    <s v="Coastal"/>
    <n v="555"/>
    <s v="Wilmington, DE"/>
    <n v="6134"/>
    <x v="82"/>
    <x v="10"/>
    <n v="80"/>
    <x v="546"/>
    <x v="0"/>
    <n v="80"/>
  </r>
  <r>
    <s v="Coastal"/>
    <n v="555"/>
    <s v="Wilmington, DE"/>
    <n v="6872"/>
    <x v="100"/>
    <x v="10"/>
    <n v="79"/>
    <x v="418"/>
    <x v="209"/>
    <n v="79"/>
  </r>
  <r>
    <s v="Coastal"/>
    <n v="555"/>
    <s v="Wilmington, DE"/>
    <n v="6817"/>
    <x v="119"/>
    <x v="10"/>
    <n v="44"/>
    <x v="0"/>
    <x v="449"/>
    <n v="44"/>
  </r>
  <r>
    <s v="Coastal"/>
    <n v="555"/>
    <s v="Wilmington, DE"/>
    <n v="5240"/>
    <x v="89"/>
    <x v="10"/>
    <n v="42"/>
    <x v="211"/>
    <x v="234"/>
    <n v="42"/>
  </r>
  <r>
    <s v="Coastal"/>
    <n v="555"/>
    <s v="Wilmington, DE"/>
    <n v="6839"/>
    <x v="106"/>
    <x v="10"/>
    <n v="42"/>
    <x v="0"/>
    <x v="130"/>
    <n v="42"/>
  </r>
  <r>
    <s v="Coastal"/>
    <n v="555"/>
    <s v="Wilmington, DE"/>
    <n v="3284"/>
    <x v="97"/>
    <x v="10"/>
    <n v="39"/>
    <x v="210"/>
    <x v="133"/>
    <n v="39"/>
  </r>
  <r>
    <s v="Coastal"/>
    <n v="555"/>
    <s v="Wilmington, DE"/>
    <n v="6781"/>
    <x v="128"/>
    <x v="10"/>
    <n v="34"/>
    <x v="0"/>
    <x v="409"/>
    <n v="34"/>
  </r>
  <r>
    <s v="Coastal"/>
    <n v="555"/>
    <s v="Wilmington, DE"/>
    <n v="6861"/>
    <x v="69"/>
    <x v="10"/>
    <n v="34"/>
    <x v="605"/>
    <x v="0"/>
    <n v="34"/>
  </r>
  <r>
    <s v="Coastal"/>
    <n v="555"/>
    <s v="Wilmington, DE"/>
    <n v="4190"/>
    <x v="99"/>
    <x v="10"/>
    <n v="31"/>
    <x v="856"/>
    <x v="0"/>
    <n v="31"/>
  </r>
  <r>
    <s v="Coastal"/>
    <n v="555"/>
    <s v="Wilmington, DE"/>
    <n v="3250"/>
    <x v="108"/>
    <x v="10"/>
    <n v="24"/>
    <x v="0"/>
    <x v="236"/>
    <n v="24"/>
  </r>
  <r>
    <s v="Coastal"/>
    <n v="555"/>
    <s v="Wilmington, DE"/>
    <n v="4420"/>
    <x v="8"/>
    <x v="10"/>
    <n v="24"/>
    <x v="391"/>
    <x v="0"/>
    <n v="24"/>
  </r>
  <r>
    <s v="Coastal"/>
    <n v="555"/>
    <s v="Wilmington, DE"/>
    <n v="5210"/>
    <x v="130"/>
    <x v="10"/>
    <n v="22"/>
    <x v="210"/>
    <x v="0"/>
    <n v="22"/>
  </r>
  <r>
    <s v="Coastal"/>
    <n v="555"/>
    <s v="Wilmington, DE"/>
    <n v="6888"/>
    <x v="109"/>
    <x v="10"/>
    <n v="19"/>
    <x v="0"/>
    <x v="235"/>
    <n v="19"/>
  </r>
  <r>
    <s v="Coastal"/>
    <n v="555"/>
    <s v="Wilmington, DE"/>
    <n v="7300"/>
    <x v="115"/>
    <x v="10"/>
    <n v="18"/>
    <x v="170"/>
    <x v="0"/>
    <n v="18"/>
  </r>
  <r>
    <s v="Coastal"/>
    <n v="555"/>
    <s v="Wilmington, DE"/>
    <n v="5360"/>
    <x v="94"/>
    <x v="10"/>
    <n v="14"/>
    <x v="0"/>
    <x v="411"/>
    <n v="14"/>
  </r>
  <r>
    <s v="Coastal"/>
    <n v="555"/>
    <s v="Wilmington, DE"/>
    <n v="6893"/>
    <x v="113"/>
    <x v="10"/>
    <n v="13"/>
    <x v="453"/>
    <x v="0"/>
    <n v="13"/>
  </r>
  <r>
    <s v="Coastal"/>
    <n v="555"/>
    <s v="Wilmington, DE"/>
    <n v="5421"/>
    <x v="88"/>
    <x v="10"/>
    <n v="8"/>
    <x v="0"/>
    <x v="232"/>
    <n v="8"/>
  </r>
  <r>
    <s v="Coastal"/>
    <n v="555"/>
    <s v="Wilmington, DE"/>
    <n v="3297"/>
    <x v="116"/>
    <x v="10"/>
    <n v="7"/>
    <x v="0"/>
    <x v="166"/>
    <n v="7"/>
  </r>
  <r>
    <s v="Coastal"/>
    <n v="555"/>
    <s v="Wilmington, DE"/>
    <n v="7230"/>
    <x v="22"/>
    <x v="10"/>
    <n v="6"/>
    <x v="393"/>
    <x v="128"/>
    <n v="6"/>
  </r>
  <r>
    <s v="Coastal"/>
    <n v="555"/>
    <s v="Wilmington, DE"/>
    <n v="6590"/>
    <x v="23"/>
    <x v="10"/>
    <n v="5"/>
    <x v="168"/>
    <x v="0"/>
    <n v="5"/>
  </r>
  <r>
    <s v="Coastal"/>
    <n v="555"/>
    <s v="Wilmington, DE"/>
    <n v="5315"/>
    <x v="48"/>
    <x v="10"/>
    <n v="4"/>
    <x v="0"/>
    <x v="237"/>
    <n v="4"/>
  </r>
  <r>
    <s v="Coastal"/>
    <n v="555"/>
    <s v="Wilmington, DE"/>
    <n v="7220"/>
    <x v="103"/>
    <x v="10"/>
    <n v="4"/>
    <x v="504"/>
    <x v="0"/>
    <n v="4"/>
  </r>
  <r>
    <s v="Coastal"/>
    <n v="555"/>
    <s v="Wilmington, DE"/>
    <n v="3260"/>
    <x v="107"/>
    <x v="10"/>
    <n v="3"/>
    <x v="0"/>
    <x v="128"/>
    <n v="3"/>
  </r>
  <r>
    <s v="Coastal"/>
    <n v="555"/>
    <s v="Wilmington, DE"/>
    <n v="4650"/>
    <x v="67"/>
    <x v="10"/>
    <n v="2"/>
    <x v="212"/>
    <x v="0"/>
    <n v="2"/>
  </r>
  <r>
    <s v="Coastal"/>
    <n v="555"/>
    <s v="Wilmington, DE"/>
    <n v="5312"/>
    <x v="52"/>
    <x v="10"/>
    <n v="2"/>
    <x v="212"/>
    <x v="0"/>
    <n v="2"/>
  </r>
  <r>
    <s v="Coastal"/>
    <n v="766"/>
    <s v="Wilmington, NC"/>
    <n v="4150"/>
    <x v="101"/>
    <x v="10"/>
    <n v="903861"/>
    <x v="2055"/>
    <x v="2894"/>
    <n v="903861"/>
  </r>
  <r>
    <s v="Coastal"/>
    <n v="766"/>
    <s v="Wilmington, NC"/>
    <n v="3110"/>
    <x v="36"/>
    <x v="3479"/>
    <n v="619774"/>
    <x v="3742"/>
    <x v="1409"/>
    <n v="640700"/>
  </r>
  <r>
    <s v="Coastal"/>
    <n v="766"/>
    <s v="Wilmington, NC"/>
    <n v="3220"/>
    <x v="2"/>
    <x v="3480"/>
    <n v="393756"/>
    <x v="3743"/>
    <x v="2895"/>
    <n v="525472"/>
  </r>
  <r>
    <s v="Coastal"/>
    <n v="766"/>
    <s v="Wilmington, NC"/>
    <n v="4170"/>
    <x v="55"/>
    <x v="10"/>
    <n v="328286"/>
    <x v="307"/>
    <x v="2896"/>
    <n v="328286"/>
  </r>
  <r>
    <s v="Coastal"/>
    <n v="766"/>
    <s v="Wilmington, NC"/>
    <n v="4225"/>
    <x v="10"/>
    <x v="10"/>
    <n v="307798"/>
    <x v="3744"/>
    <x v="2897"/>
    <n v="307798"/>
  </r>
  <r>
    <s v="Coastal"/>
    <n v="766"/>
    <s v="Wilmington, NC"/>
    <n v="4323"/>
    <x v="6"/>
    <x v="10"/>
    <n v="282107"/>
    <x v="3745"/>
    <x v="1406"/>
    <n v="282107"/>
  </r>
  <r>
    <s v="Coastal"/>
    <n v="766"/>
    <s v="Wilmington, NC"/>
    <n v="6811"/>
    <x v="76"/>
    <x v="10"/>
    <n v="278381"/>
    <x v="3746"/>
    <x v="2898"/>
    <n v="278381"/>
  </r>
  <r>
    <s v="Coastal"/>
    <n v="766"/>
    <s v="Wilmington, NC"/>
    <n v="7500"/>
    <x v="60"/>
    <x v="10"/>
    <n v="278033"/>
    <x v="3747"/>
    <x v="2899"/>
    <n v="278033"/>
  </r>
  <r>
    <s v="Coastal"/>
    <n v="766"/>
    <s v="Wilmington, NC"/>
    <n v="2211"/>
    <x v="0"/>
    <x v="3481"/>
    <n v="56861"/>
    <x v="3748"/>
    <x v="1406"/>
    <n v="186488"/>
  </r>
  <r>
    <s v="Coastal"/>
    <n v="766"/>
    <s v="Wilmington, NC"/>
    <n v="7900"/>
    <x v="21"/>
    <x v="10"/>
    <n v="169906"/>
    <x v="3749"/>
    <x v="2900"/>
    <n v="169906"/>
  </r>
  <r>
    <s v="Coastal"/>
    <n v="766"/>
    <s v="Wilmington, NC"/>
    <n v="4331"/>
    <x v="29"/>
    <x v="10"/>
    <n v="139526"/>
    <x v="3750"/>
    <x v="233"/>
    <n v="139526"/>
  </r>
  <r>
    <s v="Coastal"/>
    <n v="766"/>
    <s v="Wilmington, NC"/>
    <n v="5480"/>
    <x v="20"/>
    <x v="10"/>
    <n v="139484"/>
    <x v="3751"/>
    <x v="2901"/>
    <n v="139484"/>
  </r>
  <r>
    <s v="Coastal"/>
    <n v="766"/>
    <s v="Wilmington, NC"/>
    <n v="3286"/>
    <x v="57"/>
    <x v="10"/>
    <n v="138890"/>
    <x v="3752"/>
    <x v="2902"/>
    <n v="138890"/>
  </r>
  <r>
    <s v="Coastal"/>
    <n v="766"/>
    <s v="Wilmington, NC"/>
    <n v="4189"/>
    <x v="65"/>
    <x v="10"/>
    <n v="138665"/>
    <x v="3753"/>
    <x v="2903"/>
    <n v="138665"/>
  </r>
  <r>
    <s v="Coastal"/>
    <n v="766"/>
    <s v="Wilmington, NC"/>
    <n v="7110"/>
    <x v="4"/>
    <x v="10"/>
    <n v="133557"/>
    <x v="3754"/>
    <x v="2904"/>
    <n v="133557"/>
  </r>
  <r>
    <s v="Coastal"/>
    <n v="766"/>
    <s v="Wilmington, NC"/>
    <n v="2330"/>
    <x v="1"/>
    <x v="3482"/>
    <n v="65108"/>
    <x v="3755"/>
    <x v="424"/>
    <n v="123692"/>
  </r>
  <r>
    <s v="Coastal"/>
    <n v="766"/>
    <s v="Wilmington, NC"/>
    <n v="2430"/>
    <x v="11"/>
    <x v="3483"/>
    <n v="17"/>
    <x v="0"/>
    <x v="133"/>
    <n v="122468"/>
  </r>
  <r>
    <s v="Coastal"/>
    <n v="766"/>
    <s v="Wilmington, NC"/>
    <n v="3130"/>
    <x v="37"/>
    <x v="10"/>
    <n v="120421"/>
    <x v="3756"/>
    <x v="0"/>
    <n v="120421"/>
  </r>
  <r>
    <s v="Coastal"/>
    <n v="766"/>
    <s v="Wilmington, NC"/>
    <n v="6782"/>
    <x v="27"/>
    <x v="10"/>
    <n v="116106"/>
    <x v="3757"/>
    <x v="2905"/>
    <n v="116106"/>
  </r>
  <r>
    <s v="Coastal"/>
    <n v="766"/>
    <s v="Wilmington, NC"/>
    <n v="4322"/>
    <x v="33"/>
    <x v="10"/>
    <n v="102306"/>
    <x v="3758"/>
    <x v="0"/>
    <n v="102306"/>
  </r>
  <r>
    <s v="Coastal"/>
    <n v="766"/>
    <s v="Wilmington, NC"/>
    <n v="4783"/>
    <x v="7"/>
    <x v="10"/>
    <n v="80116"/>
    <x v="3759"/>
    <x v="69"/>
    <n v="80116"/>
  </r>
  <r>
    <s v="Coastal"/>
    <n v="766"/>
    <s v="Wilmington, NC"/>
    <n v="7600"/>
    <x v="68"/>
    <x v="10"/>
    <n v="76063"/>
    <x v="3760"/>
    <x v="2906"/>
    <n v="76063"/>
  </r>
  <r>
    <s v="Coastal"/>
    <n v="766"/>
    <s v="Wilmington, NC"/>
    <n v="3274"/>
    <x v="86"/>
    <x v="3484"/>
    <n v="27697"/>
    <x v="3761"/>
    <x v="2907"/>
    <n v="74230"/>
  </r>
  <r>
    <s v="Coastal"/>
    <n v="766"/>
    <s v="Wilmington, NC"/>
    <n v="2340"/>
    <x v="3"/>
    <x v="3485"/>
    <n v="0"/>
    <x v="0"/>
    <x v="0"/>
    <n v="73566"/>
  </r>
  <r>
    <s v="Coastal"/>
    <n v="766"/>
    <s v="Wilmington, NC"/>
    <n v="4690"/>
    <x v="62"/>
    <x v="10"/>
    <n v="66649"/>
    <x v="3762"/>
    <x v="2908"/>
    <n v="66649"/>
  </r>
  <r>
    <s v="Coastal"/>
    <n v="766"/>
    <s v="Wilmington, NC"/>
    <n v="7210"/>
    <x v="59"/>
    <x v="10"/>
    <n v="66623"/>
    <x v="3763"/>
    <x v="2909"/>
    <n v="66623"/>
  </r>
  <r>
    <s v="Coastal"/>
    <n v="766"/>
    <s v="Wilmington, NC"/>
    <n v="3276"/>
    <x v="12"/>
    <x v="10"/>
    <n v="65419"/>
    <x v="3764"/>
    <x v="2910"/>
    <n v="65419"/>
  </r>
  <r>
    <s v="Coastal"/>
    <n v="766"/>
    <s v="Wilmington, NC"/>
    <n v="5220"/>
    <x v="30"/>
    <x v="10"/>
    <n v="63981"/>
    <x v="3765"/>
    <x v="0"/>
    <n v="63981"/>
  </r>
  <r>
    <s v="Coastal"/>
    <n v="766"/>
    <s v="Wilmington, NC"/>
    <n v="4900"/>
    <x v="14"/>
    <x v="10"/>
    <n v="61039"/>
    <x v="3766"/>
    <x v="2911"/>
    <n v="61039"/>
  </r>
  <r>
    <s v="Coastal"/>
    <n v="766"/>
    <s v="Wilmington, NC"/>
    <n v="7120"/>
    <x v="71"/>
    <x v="10"/>
    <n v="59445"/>
    <x v="3767"/>
    <x v="2912"/>
    <n v="59445"/>
  </r>
  <r>
    <s v="Coastal"/>
    <n v="766"/>
    <s v="Wilmington, NC"/>
    <n v="5120"/>
    <x v="63"/>
    <x v="10"/>
    <n v="58368"/>
    <x v="3768"/>
    <x v="2913"/>
    <n v="58368"/>
  </r>
  <r>
    <s v="Coastal"/>
    <n v="766"/>
    <s v="Wilmington, NC"/>
    <n v="6654"/>
    <x v="50"/>
    <x v="10"/>
    <n v="57371"/>
    <x v="3769"/>
    <x v="2914"/>
    <n v="57371"/>
  </r>
  <r>
    <s v="Coastal"/>
    <n v="766"/>
    <s v="Wilmington, NC"/>
    <n v="6856"/>
    <x v="126"/>
    <x v="10"/>
    <n v="49506"/>
    <x v="3770"/>
    <x v="2915"/>
    <n v="49506"/>
  </r>
  <r>
    <s v="Coastal"/>
    <n v="766"/>
    <s v="Wilmington, NC"/>
    <n v="3190"/>
    <x v="38"/>
    <x v="10"/>
    <n v="49479"/>
    <x v="3771"/>
    <x v="119"/>
    <n v="49479"/>
  </r>
  <r>
    <s v="Coastal"/>
    <n v="766"/>
    <s v="Wilmington, NC"/>
    <n v="2221"/>
    <x v="9"/>
    <x v="3486"/>
    <n v="0"/>
    <x v="0"/>
    <x v="0"/>
    <n v="44732"/>
  </r>
  <r>
    <s v="Coastal"/>
    <n v="766"/>
    <s v="Wilmington, NC"/>
    <n v="6522"/>
    <x v="26"/>
    <x v="10"/>
    <n v="44661"/>
    <x v="3772"/>
    <x v="2916"/>
    <n v="44661"/>
  </r>
  <r>
    <s v="Coastal"/>
    <n v="766"/>
    <s v="Wilmington, NC"/>
    <n v="3219"/>
    <x v="19"/>
    <x v="10"/>
    <n v="37601"/>
    <x v="3773"/>
    <x v="2706"/>
    <n v="37601"/>
  </r>
  <r>
    <s v="Coastal"/>
    <n v="766"/>
    <s v="Wilmington, NC"/>
    <n v="5330"/>
    <x v="16"/>
    <x v="10"/>
    <n v="36297"/>
    <x v="3774"/>
    <x v="2917"/>
    <n v="36297"/>
  </r>
  <r>
    <s v="Coastal"/>
    <n v="766"/>
    <s v="Wilmington, NC"/>
    <n v="5290"/>
    <x v="49"/>
    <x v="10"/>
    <n v="34343"/>
    <x v="3775"/>
    <x v="2918"/>
    <n v="34343"/>
  </r>
  <r>
    <s v="Coastal"/>
    <n v="766"/>
    <s v="Wilmington, NC"/>
    <n v="3260"/>
    <x v="107"/>
    <x v="10"/>
    <n v="32894"/>
    <x v="3776"/>
    <x v="2919"/>
    <n v="32894"/>
  </r>
  <r>
    <s v="Coastal"/>
    <n v="766"/>
    <s v="Wilmington, NC"/>
    <n v="5190"/>
    <x v="83"/>
    <x v="10"/>
    <n v="32419"/>
    <x v="3777"/>
    <x v="1729"/>
    <n v="32419"/>
  </r>
  <r>
    <s v="Coastal"/>
    <n v="766"/>
    <s v="Wilmington, NC"/>
    <n v="3285"/>
    <x v="87"/>
    <x v="10"/>
    <n v="31433"/>
    <x v="3778"/>
    <x v="2920"/>
    <n v="31433"/>
  </r>
  <r>
    <s v="Coastal"/>
    <n v="766"/>
    <s v="Wilmington, NC"/>
    <n v="6653"/>
    <x v="24"/>
    <x v="10"/>
    <n v="28126"/>
    <x v="3779"/>
    <x v="2051"/>
    <n v="28126"/>
  </r>
  <r>
    <s v="Coastal"/>
    <n v="766"/>
    <s v="Wilmington, NC"/>
    <n v="2540"/>
    <x v="15"/>
    <x v="3487"/>
    <n v="17715"/>
    <x v="3780"/>
    <x v="0"/>
    <n v="24841"/>
  </r>
  <r>
    <s v="Coastal"/>
    <n v="766"/>
    <s v="Wilmington, NC"/>
    <n v="5540"/>
    <x v="64"/>
    <x v="10"/>
    <n v="24547"/>
    <x v="3781"/>
    <x v="2921"/>
    <n v="24547"/>
  </r>
  <r>
    <s v="Coastal"/>
    <n v="766"/>
    <s v="Wilmington, NC"/>
    <n v="5390"/>
    <x v="44"/>
    <x v="10"/>
    <n v="21645"/>
    <x v="3782"/>
    <x v="2479"/>
    <n v="21645"/>
  </r>
  <r>
    <s v="Coastal"/>
    <n v="766"/>
    <s v="Wilmington, NC"/>
    <n v="3230"/>
    <x v="80"/>
    <x v="10"/>
    <n v="21634"/>
    <x v="3783"/>
    <x v="2922"/>
    <n v="21634"/>
  </r>
  <r>
    <s v="Coastal"/>
    <n v="766"/>
    <s v="Wilmington, NC"/>
    <n v="3275"/>
    <x v="47"/>
    <x v="10"/>
    <n v="20529"/>
    <x v="3784"/>
    <x v="2923"/>
    <n v="20529"/>
  </r>
  <r>
    <s v="Coastal"/>
    <n v="766"/>
    <s v="Wilmington, NC"/>
    <n v="3299"/>
    <x v="79"/>
    <x v="10"/>
    <n v="20004"/>
    <x v="3785"/>
    <x v="2924"/>
    <n v="20004"/>
  </r>
  <r>
    <s v="Coastal"/>
    <n v="766"/>
    <s v="Wilmington, NC"/>
    <n v="5429"/>
    <x v="61"/>
    <x v="10"/>
    <n v="17865"/>
    <x v="3786"/>
    <x v="400"/>
    <n v="17865"/>
  </r>
  <r>
    <s v="Coastal"/>
    <n v="766"/>
    <s v="Wilmington, NC"/>
    <n v="3240"/>
    <x v="53"/>
    <x v="10"/>
    <n v="17836"/>
    <x v="3787"/>
    <x v="2925"/>
    <n v="17836"/>
  </r>
  <r>
    <s v="Coastal"/>
    <n v="766"/>
    <s v="Wilmington, NC"/>
    <n v="7400"/>
    <x v="77"/>
    <x v="10"/>
    <n v="17200"/>
    <x v="3788"/>
    <x v="2699"/>
    <n v="17200"/>
  </r>
  <r>
    <s v="Coastal"/>
    <n v="766"/>
    <s v="Wilmington, NC"/>
    <n v="6838"/>
    <x v="131"/>
    <x v="10"/>
    <n v="17002"/>
    <x v="2601"/>
    <x v="2926"/>
    <n v="17002"/>
  </r>
  <r>
    <s v="Coastal"/>
    <n v="766"/>
    <s v="Wilmington, NC"/>
    <n v="6889"/>
    <x v="42"/>
    <x v="10"/>
    <n v="14871"/>
    <x v="3789"/>
    <x v="2927"/>
    <n v="14871"/>
  </r>
  <r>
    <s v="Coastal"/>
    <n v="766"/>
    <s v="Wilmington, NC"/>
    <n v="6839"/>
    <x v="106"/>
    <x v="10"/>
    <n v="13961"/>
    <x v="3790"/>
    <x v="2928"/>
    <n v="13961"/>
  </r>
  <r>
    <s v="Coastal"/>
    <n v="766"/>
    <s v="Wilmington, NC"/>
    <n v="7300"/>
    <x v="115"/>
    <x v="10"/>
    <n v="12842"/>
    <x v="3791"/>
    <x v="2929"/>
    <n v="12842"/>
  </r>
  <r>
    <s v="Coastal"/>
    <n v="766"/>
    <s v="Wilmington, NC"/>
    <n v="3279"/>
    <x v="58"/>
    <x v="10"/>
    <n v="12670"/>
    <x v="3792"/>
    <x v="2930"/>
    <n v="12670"/>
  </r>
  <r>
    <s v="Coastal"/>
    <n v="766"/>
    <s v="Wilmington, NC"/>
    <n v="4782"/>
    <x v="45"/>
    <x v="10"/>
    <n v="12418"/>
    <x v="3793"/>
    <x v="2931"/>
    <n v="12418"/>
  </r>
  <r>
    <s v="Coastal"/>
    <n v="766"/>
    <s v="Wilmington, NC"/>
    <n v="6891"/>
    <x v="93"/>
    <x v="10"/>
    <n v="12130"/>
    <x v="3794"/>
    <x v="2932"/>
    <n v="12130"/>
  </r>
  <r>
    <s v="Coastal"/>
    <n v="766"/>
    <s v="Wilmington, NC"/>
    <n v="5240"/>
    <x v="89"/>
    <x v="10"/>
    <n v="11750"/>
    <x v="3795"/>
    <x v="2933"/>
    <n v="11750"/>
  </r>
  <r>
    <s v="Coastal"/>
    <n v="766"/>
    <s v="Wilmington, NC"/>
    <n v="9900"/>
    <x v="18"/>
    <x v="10"/>
    <n v="10530"/>
    <x v="3796"/>
    <x v="2934"/>
    <n v="10530"/>
  </r>
  <r>
    <s v="Coastal"/>
    <n v="766"/>
    <s v="Wilmington, NC"/>
    <n v="6590"/>
    <x v="23"/>
    <x v="10"/>
    <n v="8812"/>
    <x v="3797"/>
    <x v="2935"/>
    <n v="8812"/>
  </r>
  <r>
    <s v="Coastal"/>
    <n v="766"/>
    <s v="Wilmington, NC"/>
    <n v="5360"/>
    <x v="94"/>
    <x v="10"/>
    <n v="8146"/>
    <x v="3798"/>
    <x v="2936"/>
    <n v="8146"/>
  </r>
  <r>
    <s v="Coastal"/>
    <n v="766"/>
    <s v="Wilmington, NC"/>
    <n v="6134"/>
    <x v="82"/>
    <x v="10"/>
    <n v="7809"/>
    <x v="3799"/>
    <x v="1884"/>
    <n v="7809"/>
  </r>
  <r>
    <s v="Coastal"/>
    <n v="766"/>
    <s v="Wilmington, NC"/>
    <n v="3250"/>
    <x v="108"/>
    <x v="10"/>
    <n v="6825"/>
    <x v="2988"/>
    <x v="2937"/>
    <n v="6825"/>
  </r>
  <r>
    <s v="Coastal"/>
    <n v="766"/>
    <s v="Wilmington, NC"/>
    <n v="4860"/>
    <x v="31"/>
    <x v="10"/>
    <n v="6228"/>
    <x v="3800"/>
    <x v="0"/>
    <n v="6228"/>
  </r>
  <r>
    <s v="Coastal"/>
    <n v="766"/>
    <s v="Wilmington, NC"/>
    <n v="6747"/>
    <x v="78"/>
    <x v="10"/>
    <n v="6021"/>
    <x v="3801"/>
    <x v="2938"/>
    <n v="6021"/>
  </r>
  <r>
    <s v="Coastal"/>
    <n v="766"/>
    <s v="Wilmington, NC"/>
    <n v="5370"/>
    <x v="81"/>
    <x v="10"/>
    <n v="5905"/>
    <x v="3802"/>
    <x v="2939"/>
    <n v="5905"/>
  </r>
  <r>
    <s v="Coastal"/>
    <n v="766"/>
    <s v="Wilmington, NC"/>
    <n v="6893"/>
    <x v="113"/>
    <x v="10"/>
    <n v="5557"/>
    <x v="3803"/>
    <x v="2940"/>
    <n v="5557"/>
  </r>
  <r>
    <s v="Coastal"/>
    <n v="766"/>
    <s v="Wilmington, NC"/>
    <n v="3292"/>
    <x v="51"/>
    <x v="10"/>
    <n v="5195"/>
    <x v="1031"/>
    <x v="1065"/>
    <n v="5195"/>
  </r>
  <r>
    <s v="Coastal"/>
    <n v="766"/>
    <s v="Wilmington, NC"/>
    <n v="5422"/>
    <x v="66"/>
    <x v="10"/>
    <n v="4897"/>
    <x v="3804"/>
    <x v="1722"/>
    <n v="4897"/>
  </r>
  <r>
    <s v="Coastal"/>
    <n v="766"/>
    <s v="Wilmington, NC"/>
    <n v="4680"/>
    <x v="70"/>
    <x v="10"/>
    <n v="4620"/>
    <x v="3805"/>
    <x v="2941"/>
    <n v="4620"/>
  </r>
  <r>
    <s v="Coastal"/>
    <n v="766"/>
    <s v="Wilmington, NC"/>
    <n v="3282"/>
    <x v="91"/>
    <x v="10"/>
    <n v="3854"/>
    <x v="3806"/>
    <x v="2942"/>
    <n v="3854"/>
  </r>
  <r>
    <s v="Coastal"/>
    <n v="766"/>
    <s v="Wilmington, NC"/>
    <n v="6442"/>
    <x v="85"/>
    <x v="10"/>
    <n v="3787"/>
    <x v="609"/>
    <x v="2943"/>
    <n v="3787"/>
  </r>
  <r>
    <s v="Coastal"/>
    <n v="766"/>
    <s v="Wilmington, NC"/>
    <n v="4650"/>
    <x v="67"/>
    <x v="10"/>
    <n v="3655"/>
    <x v="3807"/>
    <x v="622"/>
    <n v="3655"/>
  </r>
  <r>
    <s v="Coastal"/>
    <n v="766"/>
    <s v="Wilmington, NC"/>
    <n v="6885"/>
    <x v="72"/>
    <x v="10"/>
    <n v="3190"/>
    <x v="3808"/>
    <x v="2944"/>
    <n v="3190"/>
  </r>
  <r>
    <s v="Coastal"/>
    <n v="766"/>
    <s v="Wilmington, NC"/>
    <n v="3284"/>
    <x v="97"/>
    <x v="10"/>
    <n v="3070"/>
    <x v="3809"/>
    <x v="2945"/>
    <n v="3070"/>
  </r>
  <r>
    <s v="Coastal"/>
    <n v="766"/>
    <s v="Wilmington, NC"/>
    <n v="5315"/>
    <x v="48"/>
    <x v="10"/>
    <n v="3011"/>
    <x v="3810"/>
    <x v="665"/>
    <n v="3011"/>
  </r>
  <r>
    <s v="Coastal"/>
    <n v="766"/>
    <s v="Wilmington, NC"/>
    <n v="6857"/>
    <x v="104"/>
    <x v="10"/>
    <n v="2848"/>
    <x v="3811"/>
    <x v="2386"/>
    <n v="2848"/>
  </r>
  <r>
    <s v="Coastal"/>
    <n v="766"/>
    <s v="Wilmington, NC"/>
    <n v="3297"/>
    <x v="116"/>
    <x v="10"/>
    <n v="2619"/>
    <x v="2665"/>
    <x v="2946"/>
    <n v="2619"/>
  </r>
  <r>
    <s v="Coastal"/>
    <n v="766"/>
    <s v="Wilmington, NC"/>
    <n v="5421"/>
    <x v="88"/>
    <x v="10"/>
    <n v="2026"/>
    <x v="3812"/>
    <x v="2097"/>
    <n v="2026"/>
  </r>
  <r>
    <s v="Coastal"/>
    <n v="766"/>
    <s v="Wilmington, NC"/>
    <n v="4420"/>
    <x v="8"/>
    <x v="10"/>
    <n v="2025"/>
    <x v="2121"/>
    <x v="2942"/>
    <n v="2025"/>
  </r>
  <r>
    <s v="Coastal"/>
    <n v="766"/>
    <s v="Wilmington, NC"/>
    <n v="6858"/>
    <x v="74"/>
    <x v="10"/>
    <n v="1805"/>
    <x v="3813"/>
    <x v="2947"/>
    <n v="1805"/>
  </r>
  <r>
    <s v="Coastal"/>
    <n v="766"/>
    <s v="Wilmington, NC"/>
    <n v="6822"/>
    <x v="84"/>
    <x v="10"/>
    <n v="1656"/>
    <x v="1594"/>
    <x v="2948"/>
    <n v="1656"/>
  </r>
  <r>
    <s v="Coastal"/>
    <n v="766"/>
    <s v="Wilmington, NC"/>
    <n v="6817"/>
    <x v="119"/>
    <x v="10"/>
    <n v="1552"/>
    <x v="207"/>
    <x v="2949"/>
    <n v="1552"/>
  </r>
  <r>
    <s v="Coastal"/>
    <n v="766"/>
    <s v="Wilmington, NC"/>
    <n v="3283"/>
    <x v="111"/>
    <x v="10"/>
    <n v="1525"/>
    <x v="3471"/>
    <x v="2950"/>
    <n v="1525"/>
  </r>
  <r>
    <s v="Coastal"/>
    <n v="766"/>
    <s v="Wilmington, NC"/>
    <n v="3291"/>
    <x v="117"/>
    <x v="10"/>
    <n v="1424"/>
    <x v="3098"/>
    <x v="2951"/>
    <n v="1424"/>
  </r>
  <r>
    <s v="Coastal"/>
    <n v="766"/>
    <s v="Wilmington, NC"/>
    <n v="5312"/>
    <x v="52"/>
    <x v="10"/>
    <n v="1233"/>
    <x v="3740"/>
    <x v="2952"/>
    <n v="1233"/>
  </r>
  <r>
    <s v="Coastal"/>
    <n v="766"/>
    <s v="Wilmington, NC"/>
    <n v="3293"/>
    <x v="122"/>
    <x v="10"/>
    <n v="1217"/>
    <x v="2081"/>
    <x v="1429"/>
    <n v="1217"/>
  </r>
  <r>
    <s v="Coastal"/>
    <n v="766"/>
    <s v="Wilmington, NC"/>
    <n v="6521"/>
    <x v="121"/>
    <x v="10"/>
    <n v="926"/>
    <x v="0"/>
    <x v="1514"/>
    <n v="926"/>
  </r>
  <r>
    <s v="Coastal"/>
    <n v="766"/>
    <s v="Wilmington, NC"/>
    <n v="6781"/>
    <x v="128"/>
    <x v="10"/>
    <n v="926"/>
    <x v="51"/>
    <x v="2953"/>
    <n v="926"/>
  </r>
  <r>
    <s v="Coastal"/>
    <n v="766"/>
    <s v="Wilmington, NC"/>
    <n v="4161"/>
    <x v="54"/>
    <x v="10"/>
    <n v="729"/>
    <x v="210"/>
    <x v="2338"/>
    <n v="729"/>
  </r>
  <r>
    <s v="Coastal"/>
    <n v="766"/>
    <s v="Wilmington, NC"/>
    <n v="7220"/>
    <x v="103"/>
    <x v="10"/>
    <n v="666"/>
    <x v="607"/>
    <x v="2954"/>
    <n v="666"/>
  </r>
  <r>
    <s v="Coastal"/>
    <n v="766"/>
    <s v="Wilmington, NC"/>
    <n v="4190"/>
    <x v="99"/>
    <x v="10"/>
    <n v="616"/>
    <x v="3814"/>
    <x v="207"/>
    <n v="616"/>
  </r>
  <r>
    <s v="Coastal"/>
    <n v="766"/>
    <s v="Wilmington, NC"/>
    <n v="4110"/>
    <x v="105"/>
    <x v="10"/>
    <n v="367"/>
    <x v="177"/>
    <x v="0"/>
    <n v="367"/>
  </r>
  <r>
    <s v="Coastal"/>
    <n v="766"/>
    <s v="Wilmington, NC"/>
    <n v="6899"/>
    <x v="114"/>
    <x v="10"/>
    <n v="313"/>
    <x v="2212"/>
    <x v="383"/>
    <n v="313"/>
  </r>
  <r>
    <s v="Coastal"/>
    <n v="766"/>
    <s v="Wilmington, NC"/>
    <n v="5320"/>
    <x v="13"/>
    <x v="10"/>
    <n v="312"/>
    <x v="856"/>
    <x v="2955"/>
    <n v="312"/>
  </r>
  <r>
    <s v="Coastal"/>
    <n v="766"/>
    <s v="Wilmington, NC"/>
    <n v="3211"/>
    <x v="124"/>
    <x v="10"/>
    <n v="253"/>
    <x v="607"/>
    <x v="1406"/>
    <n v="253"/>
  </r>
  <r>
    <s v="Coastal"/>
    <n v="766"/>
    <s v="Wilmington, NC"/>
    <n v="7230"/>
    <x v="22"/>
    <x v="10"/>
    <n v="197"/>
    <x v="410"/>
    <x v="222"/>
    <n v="197"/>
  </r>
  <r>
    <s v="Coastal"/>
    <n v="766"/>
    <s v="Wilmington, NC"/>
    <n v="6888"/>
    <x v="109"/>
    <x v="10"/>
    <n v="172"/>
    <x v="19"/>
    <x v="2956"/>
    <n v="172"/>
  </r>
  <r>
    <s v="Coastal"/>
    <n v="766"/>
    <s v="Wilmington, NC"/>
    <n v="5210"/>
    <x v="130"/>
    <x v="10"/>
    <n v="147"/>
    <x v="387"/>
    <x v="0"/>
    <n v="147"/>
  </r>
  <r>
    <s v="Coastal"/>
    <n v="766"/>
    <s v="Wilmington, NC"/>
    <n v="2429"/>
    <x v="17"/>
    <x v="10"/>
    <n v="121"/>
    <x v="212"/>
    <x v="1077"/>
    <n v="121"/>
  </r>
  <r>
    <s v="Coastal"/>
    <n v="766"/>
    <s v="Wilmington, NC"/>
    <n v="2990"/>
    <x v="102"/>
    <x v="10"/>
    <n v="108"/>
    <x v="968"/>
    <x v="0"/>
    <n v="108"/>
  </r>
  <r>
    <s v="Coastal"/>
    <n v="766"/>
    <s v="Wilmington, NC"/>
    <n v="6871"/>
    <x v="73"/>
    <x v="10"/>
    <n v="97"/>
    <x v="539"/>
    <x v="0"/>
    <n v="97"/>
  </r>
  <r>
    <s v="Coastal"/>
    <n v="766"/>
    <s v="Wilmington, NC"/>
    <n v="6894"/>
    <x v="120"/>
    <x v="10"/>
    <n v="97"/>
    <x v="539"/>
    <x v="0"/>
    <n v="97"/>
  </r>
  <r>
    <s v="Coastal"/>
    <n v="766"/>
    <s v="Wilmington, NC"/>
    <n v="1100"/>
    <x v="32"/>
    <x v="10"/>
    <n v="47"/>
    <x v="388"/>
    <x v="0"/>
    <n v="47"/>
  </r>
  <r>
    <s v="Coastal"/>
    <n v="766"/>
    <s v="Wilmington, NC"/>
    <n v="6241"/>
    <x v="28"/>
    <x v="10"/>
    <n v="45"/>
    <x v="153"/>
    <x v="0"/>
    <n v="45"/>
  </r>
  <r>
    <s v="Coastal"/>
    <n v="766"/>
    <s v="Wilmington, NC"/>
    <n v="4310"/>
    <x v="96"/>
    <x v="10"/>
    <n v="44"/>
    <x v="0"/>
    <x v="449"/>
    <n v="44"/>
  </r>
  <r>
    <s v="Coastal"/>
    <n v="766"/>
    <s v="Wilmington, NC"/>
    <n v="6136"/>
    <x v="95"/>
    <x v="10"/>
    <n v="40"/>
    <x v="459"/>
    <x v="0"/>
    <n v="40"/>
  </r>
  <r>
    <s v="Coastal"/>
    <n v="766"/>
    <s v="Wilmington, NC"/>
    <n v="6344"/>
    <x v="25"/>
    <x v="10"/>
    <n v="31"/>
    <x v="856"/>
    <x v="0"/>
    <n v="31"/>
  </r>
  <r>
    <s v="Coastal"/>
    <n v="766"/>
    <s v="Wilmington, NC"/>
    <n v="4515"/>
    <x v="129"/>
    <x v="10"/>
    <n v="30"/>
    <x v="523"/>
    <x v="0"/>
    <n v="30"/>
  </r>
  <r>
    <s v="Coastal"/>
    <n v="766"/>
    <s v="Wilmington, NC"/>
    <n v="2640"/>
    <x v="110"/>
    <x v="10"/>
    <n v="27"/>
    <x v="451"/>
    <x v="0"/>
    <n v="27"/>
  </r>
  <r>
    <s v="Coastal"/>
    <n v="766"/>
    <s v="Wilmington, NC"/>
    <n v="6861"/>
    <x v="69"/>
    <x v="10"/>
    <n v="23"/>
    <x v="209"/>
    <x v="0"/>
    <n v="23"/>
  </r>
  <r>
    <s v="Coastal"/>
    <n v="766"/>
    <s v="Wilmington, NC"/>
    <n v="2410"/>
    <x v="98"/>
    <x v="10"/>
    <n v="21"/>
    <x v="154"/>
    <x v="0"/>
    <n v="21"/>
  </r>
  <r>
    <s v="Coastal"/>
    <n v="766"/>
    <s v="Wilmington, NC"/>
    <n v="3281"/>
    <x v="125"/>
    <x v="10"/>
    <n v="8"/>
    <x v="418"/>
    <x v="0"/>
    <n v="8"/>
  </r>
  <r>
    <s v="Coastal"/>
    <n v="766"/>
    <s v="Wilmington, NC"/>
    <n v="3273"/>
    <x v="46"/>
    <x v="10"/>
    <n v="7"/>
    <x v="311"/>
    <x v="0"/>
    <n v="7"/>
  </r>
  <r>
    <s v="Coastal"/>
    <n v="766"/>
    <s v="Wilmington, NC"/>
    <n v="6872"/>
    <x v="100"/>
    <x v="10"/>
    <n v="1"/>
    <x v="19"/>
    <x v="0"/>
    <n v="1"/>
  </r>
  <r>
    <s v="Coastal"/>
    <n v="4795"/>
    <s v="Wrangell, AK"/>
    <n v="7900"/>
    <x v="21"/>
    <x v="391"/>
    <n v="763"/>
    <x v="3815"/>
    <x v="0"/>
    <n v="6516"/>
  </r>
  <r>
    <s v="Coastal"/>
    <n v="4795"/>
    <s v="Wrangell, AK"/>
    <n v="6887"/>
    <x v="138"/>
    <x v="3488"/>
    <n v="0"/>
    <x v="0"/>
    <x v="0"/>
    <n v="3740"/>
  </r>
  <r>
    <s v="Coastal"/>
    <n v="4795"/>
    <s v="Wrangell, AK"/>
    <n v="7400"/>
    <x v="77"/>
    <x v="2251"/>
    <n v="0"/>
    <x v="0"/>
    <x v="0"/>
    <n v="1710"/>
  </r>
  <r>
    <s v="Coastal"/>
    <n v="4795"/>
    <s v="Wrangell, AK"/>
    <n v="8900"/>
    <x v="139"/>
    <x v="3489"/>
    <n v="0"/>
    <x v="0"/>
    <x v="0"/>
    <n v="1384"/>
  </r>
  <r>
    <s v="Coastal"/>
    <n v="4795"/>
    <s v="Wrangell, AK"/>
    <n v="7210"/>
    <x v="59"/>
    <x v="3490"/>
    <n v="0"/>
    <x v="0"/>
    <x v="0"/>
    <n v="698"/>
  </r>
  <r>
    <s v="Coastal"/>
    <n v="4795"/>
    <s v="Wrangell, AK"/>
    <n v="2211"/>
    <x v="0"/>
    <x v="3491"/>
    <n v="0"/>
    <x v="0"/>
    <x v="0"/>
    <n v="592"/>
  </r>
  <r>
    <s v="Coastal"/>
    <n v="4795"/>
    <s v="Wrangell, AK"/>
    <n v="6134"/>
    <x v="82"/>
    <x v="3492"/>
    <n v="0"/>
    <x v="0"/>
    <x v="0"/>
    <n v="547"/>
  </r>
  <r>
    <s v="Coastal"/>
    <n v="4795"/>
    <s v="Wrangell, AK"/>
    <n v="4331"/>
    <x v="29"/>
    <x v="3493"/>
    <n v="0"/>
    <x v="0"/>
    <x v="0"/>
    <n v="443"/>
  </r>
  <r>
    <s v="Coastal"/>
    <n v="4795"/>
    <s v="Wrangell, AK"/>
    <n v="7110"/>
    <x v="4"/>
    <x v="3494"/>
    <n v="0"/>
    <x v="0"/>
    <x v="0"/>
    <n v="391"/>
  </r>
  <r>
    <s v="Coastal"/>
    <n v="4795"/>
    <s v="Wrangell, AK"/>
    <n v="3299"/>
    <x v="79"/>
    <x v="3495"/>
    <n v="0"/>
    <x v="0"/>
    <x v="0"/>
    <n v="295"/>
  </r>
  <r>
    <s v="Coastal"/>
    <n v="4795"/>
    <s v="Wrangell, AK"/>
    <n v="6885"/>
    <x v="72"/>
    <x v="3496"/>
    <n v="0"/>
    <x v="0"/>
    <x v="0"/>
    <n v="273"/>
  </r>
  <r>
    <s v="Coastal"/>
    <n v="4795"/>
    <s v="Wrangell, AK"/>
    <n v="5360"/>
    <x v="94"/>
    <x v="3497"/>
    <n v="0"/>
    <x v="0"/>
    <x v="0"/>
    <n v="265"/>
  </r>
  <r>
    <s v="Coastal"/>
    <n v="4795"/>
    <s v="Wrangell, AK"/>
    <n v="4420"/>
    <x v="8"/>
    <x v="3498"/>
    <n v="0"/>
    <x v="0"/>
    <x v="0"/>
    <n v="199"/>
  </r>
  <r>
    <s v="Coastal"/>
    <n v="4795"/>
    <s v="Wrangell, AK"/>
    <n v="7120"/>
    <x v="71"/>
    <x v="3498"/>
    <n v="0"/>
    <x v="0"/>
    <x v="0"/>
    <n v="199"/>
  </r>
  <r>
    <s v="Coastal"/>
    <n v="4795"/>
    <s v="Wrangell, AK"/>
    <n v="5190"/>
    <x v="83"/>
    <x v="411"/>
    <n v="0"/>
    <x v="0"/>
    <x v="0"/>
    <n v="152"/>
  </r>
  <r>
    <s v="Coastal"/>
    <n v="4795"/>
    <s v="Wrangell, AK"/>
    <n v="5480"/>
    <x v="20"/>
    <x v="293"/>
    <n v="0"/>
    <x v="0"/>
    <x v="0"/>
    <n v="150"/>
  </r>
  <r>
    <s v="Coastal"/>
    <n v="4795"/>
    <s v="Wrangell, AK"/>
    <n v="7230"/>
    <x v="22"/>
    <x v="1380"/>
    <n v="0"/>
    <x v="0"/>
    <x v="0"/>
    <n v="142"/>
  </r>
  <r>
    <s v="Coastal"/>
    <n v="4795"/>
    <s v="Wrangell, AK"/>
    <n v="6889"/>
    <x v="42"/>
    <x v="479"/>
    <n v="0"/>
    <x v="0"/>
    <x v="0"/>
    <n v="124"/>
  </r>
  <r>
    <s v="Coastal"/>
    <n v="4795"/>
    <s v="Wrangell, AK"/>
    <n v="7500"/>
    <x v="60"/>
    <x v="3499"/>
    <n v="0"/>
    <x v="0"/>
    <x v="0"/>
    <n v="105"/>
  </r>
  <r>
    <s v="Coastal"/>
    <n v="4795"/>
    <s v="Wrangell, AK"/>
    <n v="4189"/>
    <x v="65"/>
    <x v="1297"/>
    <n v="0"/>
    <x v="0"/>
    <x v="0"/>
    <n v="76"/>
  </r>
  <r>
    <s v="Coastal"/>
    <n v="4795"/>
    <s v="Wrangell, AK"/>
    <n v="4783"/>
    <x v="7"/>
    <x v="3500"/>
    <n v="0"/>
    <x v="0"/>
    <x v="0"/>
    <n v="68"/>
  </r>
  <r>
    <s v="Coastal"/>
    <n v="4795"/>
    <s v="Wrangell, AK"/>
    <n v="6782"/>
    <x v="27"/>
    <x v="129"/>
    <n v="0"/>
    <x v="0"/>
    <x v="0"/>
    <n v="59"/>
  </r>
  <r>
    <s v="Coastal"/>
    <n v="4795"/>
    <s v="Wrangell, AK"/>
    <n v="5370"/>
    <x v="81"/>
    <x v="3501"/>
    <n v="0"/>
    <x v="0"/>
    <x v="0"/>
    <n v="57"/>
  </r>
  <r>
    <s v="Coastal"/>
    <n v="4795"/>
    <s v="Wrangell, AK"/>
    <n v="3293"/>
    <x v="122"/>
    <x v="2568"/>
    <n v="0"/>
    <x v="0"/>
    <x v="0"/>
    <n v="42"/>
  </r>
  <r>
    <s v="Coastal"/>
    <n v="4795"/>
    <s v="Wrangell, AK"/>
    <n v="5240"/>
    <x v="89"/>
    <x v="2646"/>
    <n v="0"/>
    <x v="0"/>
    <x v="0"/>
    <n v="41"/>
  </r>
  <r>
    <s v="Coastal"/>
    <n v="4795"/>
    <s v="Wrangell, AK"/>
    <n v="3282"/>
    <x v="91"/>
    <x v="846"/>
    <n v="0"/>
    <x v="0"/>
    <x v="0"/>
    <n v="38"/>
  </r>
  <r>
    <s v="Coastal"/>
    <n v="4795"/>
    <s v="Wrangell, AK"/>
    <n v="2430"/>
    <x v="11"/>
    <x v="130"/>
    <n v="0"/>
    <x v="0"/>
    <x v="0"/>
    <n v="30"/>
  </r>
  <r>
    <s v="Coastal"/>
    <n v="4795"/>
    <s v="Wrangell, AK"/>
    <n v="7220"/>
    <x v="103"/>
    <x v="419"/>
    <n v="0"/>
    <x v="0"/>
    <x v="0"/>
    <n v="17"/>
  </r>
  <r>
    <s v="Coastal"/>
    <n v="4795"/>
    <s v="Wrangell, AK"/>
    <n v="2990"/>
    <x v="102"/>
    <x v="1351"/>
    <n v="0"/>
    <x v="0"/>
    <x v="0"/>
    <n v="15"/>
  </r>
  <r>
    <s v="Coastal"/>
    <n v="4795"/>
    <s v="Wrangell, AK"/>
    <n v="3220"/>
    <x v="2"/>
    <x v="1351"/>
    <n v="0"/>
    <x v="0"/>
    <x v="0"/>
    <n v="15"/>
  </r>
  <r>
    <s v="Coastal"/>
    <n v="4795"/>
    <s v="Wrangell, AK"/>
    <n v="6136"/>
    <x v="95"/>
    <x v="848"/>
    <n v="0"/>
    <x v="0"/>
    <x v="0"/>
    <n v="13"/>
  </r>
  <r>
    <s v="Coastal"/>
    <n v="4795"/>
    <s v="Wrangell, AK"/>
    <n v="5290"/>
    <x v="49"/>
    <x v="420"/>
    <n v="0"/>
    <x v="0"/>
    <x v="0"/>
    <n v="11"/>
  </r>
  <r>
    <s v="Coastal"/>
    <n v="4795"/>
    <s v="Wrangell, AK"/>
    <n v="3286"/>
    <x v="57"/>
    <x v="650"/>
    <n v="0"/>
    <x v="0"/>
    <x v="0"/>
    <n v="7"/>
  </r>
  <r>
    <s v="Coastal"/>
    <n v="4795"/>
    <s v="Wrangell, AK"/>
    <n v="5540"/>
    <x v="64"/>
    <x v="421"/>
    <n v="0"/>
    <x v="0"/>
    <x v="0"/>
    <n v="6"/>
  </r>
  <r>
    <s v="Coastal"/>
    <n v="4795"/>
    <s v="Wrangell, AK"/>
    <n v="4225"/>
    <x v="10"/>
    <x v="186"/>
    <n v="0"/>
    <x v="0"/>
    <x v="0"/>
    <n v="5"/>
  </r>
  <r>
    <s v="Coastal"/>
    <n v="4795"/>
    <s v="Wrangell, AK"/>
    <n v="2340"/>
    <x v="3"/>
    <x v="422"/>
    <n v="0"/>
    <x v="0"/>
    <x v="0"/>
    <n v="3"/>
  </r>
  <r>
    <s v="Coastal"/>
    <n v="4795"/>
    <s v="Wrangell, AK"/>
    <n v="5330"/>
    <x v="16"/>
    <x v="422"/>
    <n v="0"/>
    <x v="0"/>
    <x v="0"/>
    <n v="3"/>
  </r>
  <r>
    <s v="Coastal"/>
    <n v="4795"/>
    <s v="Wrangell, AK"/>
    <n v="7600"/>
    <x v="68"/>
    <x v="423"/>
    <n v="0"/>
    <x v="0"/>
    <x v="0"/>
    <n v="1"/>
  </r>
  <r>
    <s v="Coastal"/>
    <n v="2220"/>
    <s v="Yabucoa, PR"/>
    <n v="2211"/>
    <x v="0"/>
    <x v="10"/>
    <n v="776351"/>
    <x v="3816"/>
    <x v="0"/>
    <n v="776351"/>
  </r>
  <r>
    <s v="Coastal"/>
    <n v="2220"/>
    <s v="Yabucoa, PR"/>
    <n v="2330"/>
    <x v="1"/>
    <x v="3502"/>
    <n v="738023"/>
    <x v="3817"/>
    <x v="2957"/>
    <n v="746761"/>
  </r>
  <r>
    <s v="Coastal"/>
    <n v="2220"/>
    <s v="Yabucoa, PR"/>
    <n v="2429"/>
    <x v="17"/>
    <x v="10"/>
    <n v="175077"/>
    <x v="0"/>
    <x v="2958"/>
    <n v="175077"/>
  </r>
  <r>
    <s v="Coastal"/>
    <n v="2220"/>
    <s v="Yabucoa, PR"/>
    <n v="2221"/>
    <x v="9"/>
    <x v="10"/>
    <n v="90080"/>
    <x v="3818"/>
    <x v="2959"/>
    <n v="90080"/>
  </r>
  <r>
    <s v="Coastal"/>
    <n v="2220"/>
    <s v="Yabucoa, PR"/>
    <n v="2340"/>
    <x v="3"/>
    <x v="10"/>
    <n v="28010"/>
    <x v="3819"/>
    <x v="0"/>
    <n v="28010"/>
  </r>
  <r>
    <s v="Coastal"/>
    <n v="2220"/>
    <s v="Yabucoa, PR"/>
    <n v="5480"/>
    <x v="20"/>
    <x v="10"/>
    <n v="15"/>
    <x v="612"/>
    <x v="0"/>
    <n v="15"/>
  </r>
  <r>
    <s v="Coastal"/>
    <n v="5004"/>
    <s v="Yakutat, AK"/>
    <n v="2211"/>
    <x v="0"/>
    <x v="3194"/>
    <n v="3609"/>
    <x v="3395"/>
    <x v="0"/>
    <n v="3769"/>
  </r>
  <r>
    <s v="Coastal"/>
    <n v="5004"/>
    <s v="Yakutat, AK"/>
    <n v="2330"/>
    <x v="1"/>
    <x v="10"/>
    <n v="3141"/>
    <x v="3820"/>
    <x v="0"/>
    <n v="3141"/>
  </r>
  <r>
    <s v="Coastal"/>
    <n v="5004"/>
    <s v="Yakutat, AK"/>
    <n v="2990"/>
    <x v="102"/>
    <x v="3503"/>
    <n v="0"/>
    <x v="0"/>
    <x v="0"/>
    <n v="2491"/>
  </r>
  <r>
    <s v="Coastal"/>
    <n v="5004"/>
    <s v="Yakutat, AK"/>
    <n v="6887"/>
    <x v="138"/>
    <x v="3504"/>
    <n v="0"/>
    <x v="0"/>
    <x v="0"/>
    <n v="2119"/>
  </r>
  <r>
    <s v="Coastal"/>
    <n v="5004"/>
    <s v="Yakutat, AK"/>
    <n v="6134"/>
    <x v="82"/>
    <x v="3505"/>
    <n v="0"/>
    <x v="0"/>
    <x v="0"/>
    <n v="1642"/>
  </r>
  <r>
    <s v="Coastal"/>
    <n v="5004"/>
    <s v="Yakutat, AK"/>
    <n v="7900"/>
    <x v="21"/>
    <x v="3506"/>
    <n v="0"/>
    <x v="0"/>
    <x v="0"/>
    <n v="1572"/>
  </r>
  <r>
    <s v="Coastal"/>
    <n v="5004"/>
    <s v="Yakutat, AK"/>
    <n v="7110"/>
    <x v="4"/>
    <x v="3507"/>
    <n v="0"/>
    <x v="0"/>
    <x v="0"/>
    <n v="1217"/>
  </r>
  <r>
    <s v="Coastal"/>
    <n v="5004"/>
    <s v="Yakutat, AK"/>
    <n v="6885"/>
    <x v="72"/>
    <x v="3508"/>
    <n v="0"/>
    <x v="0"/>
    <x v="0"/>
    <n v="1004"/>
  </r>
  <r>
    <s v="Coastal"/>
    <n v="5004"/>
    <s v="Yakutat, AK"/>
    <n v="7210"/>
    <x v="59"/>
    <x v="3509"/>
    <n v="0"/>
    <x v="0"/>
    <x v="0"/>
    <n v="790"/>
  </r>
  <r>
    <s v="Coastal"/>
    <n v="5004"/>
    <s v="Yakutat, AK"/>
    <n v="4331"/>
    <x v="29"/>
    <x v="3510"/>
    <n v="0"/>
    <x v="0"/>
    <x v="0"/>
    <n v="714"/>
  </r>
  <r>
    <s v="Coastal"/>
    <n v="5004"/>
    <s v="Yakutat, AK"/>
    <n v="7400"/>
    <x v="77"/>
    <x v="3511"/>
    <n v="0"/>
    <x v="0"/>
    <x v="0"/>
    <n v="671"/>
  </r>
  <r>
    <s v="Coastal"/>
    <n v="5004"/>
    <s v="Yakutat, AK"/>
    <n v="3299"/>
    <x v="79"/>
    <x v="3512"/>
    <n v="0"/>
    <x v="0"/>
    <x v="0"/>
    <n v="652"/>
  </r>
  <r>
    <s v="Coastal"/>
    <n v="5004"/>
    <s v="Yakutat, AK"/>
    <n v="2221"/>
    <x v="9"/>
    <x v="10"/>
    <n v="601"/>
    <x v="3821"/>
    <x v="0"/>
    <n v="601"/>
  </r>
  <r>
    <s v="Coastal"/>
    <n v="5004"/>
    <s v="Yakutat, AK"/>
    <n v="5190"/>
    <x v="83"/>
    <x v="3513"/>
    <n v="0"/>
    <x v="0"/>
    <x v="0"/>
    <n v="495"/>
  </r>
  <r>
    <s v="Coastal"/>
    <n v="5004"/>
    <s v="Yakutat, AK"/>
    <n v="5480"/>
    <x v="20"/>
    <x v="3514"/>
    <n v="0"/>
    <x v="0"/>
    <x v="0"/>
    <n v="332"/>
  </r>
  <r>
    <s v="Coastal"/>
    <n v="5004"/>
    <s v="Yakutat, AK"/>
    <n v="5360"/>
    <x v="94"/>
    <x v="2618"/>
    <n v="0"/>
    <x v="0"/>
    <x v="0"/>
    <n v="305"/>
  </r>
  <r>
    <s v="Coastal"/>
    <n v="5004"/>
    <s v="Yakutat, AK"/>
    <n v="5290"/>
    <x v="49"/>
    <x v="3217"/>
    <n v="0"/>
    <x v="0"/>
    <x v="0"/>
    <n v="257"/>
  </r>
  <r>
    <s v="Coastal"/>
    <n v="5004"/>
    <s v="Yakutat, AK"/>
    <n v="4189"/>
    <x v="65"/>
    <x v="3515"/>
    <n v="0"/>
    <x v="0"/>
    <x v="0"/>
    <n v="220"/>
  </r>
  <r>
    <s v="Coastal"/>
    <n v="5004"/>
    <s v="Yakutat, AK"/>
    <n v="7120"/>
    <x v="71"/>
    <x v="4"/>
    <n v="0"/>
    <x v="0"/>
    <x v="0"/>
    <n v="200"/>
  </r>
  <r>
    <s v="Coastal"/>
    <n v="5004"/>
    <s v="Yakutat, AK"/>
    <n v="8900"/>
    <x v="139"/>
    <x v="1347"/>
    <n v="0"/>
    <x v="0"/>
    <x v="0"/>
    <n v="178"/>
  </r>
  <r>
    <s v="Coastal"/>
    <n v="5004"/>
    <s v="Yakutat, AK"/>
    <n v="6835"/>
    <x v="92"/>
    <x v="1379"/>
    <n v="0"/>
    <x v="0"/>
    <x v="0"/>
    <n v="159"/>
  </r>
  <r>
    <s v="Coastal"/>
    <n v="5004"/>
    <s v="Yakutat, AK"/>
    <n v="4420"/>
    <x v="8"/>
    <x v="480"/>
    <n v="0"/>
    <x v="0"/>
    <x v="0"/>
    <n v="116"/>
  </r>
  <r>
    <s v="Coastal"/>
    <n v="5004"/>
    <s v="Yakutat, AK"/>
    <n v="7500"/>
    <x v="60"/>
    <x v="3516"/>
    <n v="0"/>
    <x v="0"/>
    <x v="0"/>
    <n v="98"/>
  </r>
  <r>
    <s v="Coastal"/>
    <n v="5004"/>
    <s v="Yakutat, AK"/>
    <n v="3282"/>
    <x v="91"/>
    <x v="994"/>
    <n v="0"/>
    <x v="0"/>
    <x v="0"/>
    <n v="91"/>
  </r>
  <r>
    <s v="Coastal"/>
    <n v="5004"/>
    <s v="Yakutat, AK"/>
    <n v="5540"/>
    <x v="64"/>
    <x v="179"/>
    <n v="0"/>
    <x v="0"/>
    <x v="0"/>
    <n v="78"/>
  </r>
  <r>
    <s v="Coastal"/>
    <n v="5004"/>
    <s v="Yakutat, AK"/>
    <n v="5370"/>
    <x v="81"/>
    <x v="200"/>
    <n v="0"/>
    <x v="0"/>
    <x v="0"/>
    <n v="73"/>
  </r>
  <r>
    <s v="Coastal"/>
    <n v="5004"/>
    <s v="Yakutat, AK"/>
    <n v="6889"/>
    <x v="42"/>
    <x v="2844"/>
    <n v="0"/>
    <x v="0"/>
    <x v="0"/>
    <n v="55"/>
  </r>
  <r>
    <s v="Coastal"/>
    <n v="5004"/>
    <s v="Yakutat, AK"/>
    <n v="5240"/>
    <x v="89"/>
    <x v="90"/>
    <n v="0"/>
    <x v="0"/>
    <x v="0"/>
    <n v="40"/>
  </r>
  <r>
    <s v="Coastal"/>
    <n v="5004"/>
    <s v="Yakutat, AK"/>
    <n v="7230"/>
    <x v="22"/>
    <x v="824"/>
    <n v="0"/>
    <x v="0"/>
    <x v="0"/>
    <n v="35"/>
  </r>
  <r>
    <s v="Coastal"/>
    <n v="5004"/>
    <s v="Yakutat, AK"/>
    <n v="3220"/>
    <x v="2"/>
    <x v="3517"/>
    <n v="0"/>
    <x v="0"/>
    <x v="0"/>
    <n v="33"/>
  </r>
  <r>
    <s v="Coastal"/>
    <n v="5004"/>
    <s v="Yakutat, AK"/>
    <n v="6136"/>
    <x v="95"/>
    <x v="183"/>
    <n v="0"/>
    <x v="0"/>
    <x v="0"/>
    <n v="27"/>
  </r>
  <r>
    <s v="Coastal"/>
    <n v="5004"/>
    <s v="Yakutat, AK"/>
    <n v="4783"/>
    <x v="7"/>
    <x v="1351"/>
    <n v="0"/>
    <x v="0"/>
    <x v="0"/>
    <n v="15"/>
  </r>
  <r>
    <s v="Coastal"/>
    <n v="5004"/>
    <s v="Yakutat, AK"/>
    <n v="6782"/>
    <x v="27"/>
    <x v="421"/>
    <n v="0"/>
    <x v="0"/>
    <x v="0"/>
    <n v="6"/>
  </r>
  <r>
    <s v="Coastal"/>
    <n v="5004"/>
    <s v="Yakutat, AK"/>
    <n v="7220"/>
    <x v="103"/>
    <x v="422"/>
    <n v="0"/>
    <x v="0"/>
    <x v="0"/>
    <n v="3"/>
  </r>
  <r>
    <s v="Internal"/>
    <n v="2264"/>
    <s v="Yazoo County Port, MS"/>
    <n v="3110"/>
    <x v="36"/>
    <x v="3518"/>
    <n v="0"/>
    <x v="0"/>
    <x v="0"/>
    <n v="35192"/>
  </r>
  <r>
    <s v="Internal"/>
    <n v="2228"/>
    <s v="Yellow Bend Port Authority, AR"/>
    <n v="6522"/>
    <x v="26"/>
    <x v="3519"/>
    <n v="0"/>
    <x v="0"/>
    <x v="0"/>
    <n v="433520"/>
  </r>
  <r>
    <s v="Internal"/>
    <n v="2228"/>
    <s v="Yellow Bend Port Authority, AR"/>
    <n v="6344"/>
    <x v="25"/>
    <x v="3520"/>
    <n v="0"/>
    <x v="0"/>
    <x v="0"/>
    <n v="214975"/>
  </r>
  <r>
    <s v="Internal"/>
    <n v="2228"/>
    <s v="Yellow Bend Port Authority, AR"/>
    <n v="4331"/>
    <x v="29"/>
    <x v="3521"/>
    <n v="0"/>
    <x v="0"/>
    <x v="0"/>
    <n v="144927"/>
  </r>
  <r>
    <s v="Internal"/>
    <n v="2228"/>
    <s v="Yellow Bend Port Authority, AR"/>
    <n v="6442"/>
    <x v="85"/>
    <x v="3522"/>
    <n v="0"/>
    <x v="0"/>
    <x v="0"/>
    <n v="63773"/>
  </r>
  <r>
    <s v="Internal"/>
    <n v="2228"/>
    <s v="Yellow Bend Port Authority, AR"/>
    <n v="4322"/>
    <x v="33"/>
    <x v="3523"/>
    <n v="0"/>
    <x v="0"/>
    <x v="0"/>
    <n v="42712"/>
  </r>
  <r>
    <s v="Internal"/>
    <n v="2228"/>
    <s v="Yellow Bend Port Authority, AR"/>
    <n v="3110"/>
    <x v="36"/>
    <x v="3524"/>
    <n v="0"/>
    <x v="0"/>
    <x v="0"/>
    <n v="30171"/>
  </r>
  <r>
    <s v="Internal"/>
    <n v="2228"/>
    <s v="Yellow Bend Port Authority, AR"/>
    <n v="4310"/>
    <x v="96"/>
    <x v="3525"/>
    <n v="0"/>
    <x v="0"/>
    <x v="0"/>
    <n v="20576"/>
  </r>
  <r>
    <s v="Internal"/>
    <n v="2228"/>
    <s v="Yellow Bend Port Authority, AR"/>
    <n v="3130"/>
    <x v="37"/>
    <x v="3526"/>
    <n v="0"/>
    <x v="0"/>
    <x v="0"/>
    <n v="16124"/>
  </r>
  <r>
    <s v="Internal"/>
    <n v="2228"/>
    <s v="Yellow Bend Port Authority, AR"/>
    <n v="3190"/>
    <x v="38"/>
    <x v="3527"/>
    <n v="0"/>
    <x v="0"/>
    <x v="0"/>
    <n v="7158"/>
  </r>
  <r>
    <s v="Internal"/>
    <n v="2228"/>
    <s v="Yellow Bend Port Authority, AR"/>
    <n v="3120"/>
    <x v="41"/>
    <x v="3528"/>
    <n v="0"/>
    <x v="0"/>
    <x v="0"/>
    <n v="6030"/>
  </r>
  <r>
    <s v="Internal"/>
    <n v="2228"/>
    <s v="Yellow Bend Port Authority, AR"/>
    <n v="4335"/>
    <x v="5"/>
    <x v="3529"/>
    <n v="0"/>
    <x v="0"/>
    <x v="0"/>
    <n v="4478"/>
  </r>
  <r>
    <s v="Internal"/>
    <n v="2228"/>
    <s v="Yellow Bend Port Authority, AR"/>
    <n v="6241"/>
    <x v="28"/>
    <x v="1631"/>
    <n v="0"/>
    <x v="0"/>
    <x v="0"/>
    <n v="3171"/>
  </r>
  <r>
    <s v="Internal"/>
    <n v="2362"/>
    <s v="Yellow Creek State Port, MS"/>
    <n v="4161"/>
    <x v="54"/>
    <x v="3530"/>
    <n v="0"/>
    <x v="0"/>
    <x v="0"/>
    <n v="461518"/>
  </r>
  <r>
    <s v="Internal"/>
    <n v="2362"/>
    <s v="Yellow Creek State Port, MS"/>
    <n v="4331"/>
    <x v="29"/>
    <x v="3531"/>
    <n v="0"/>
    <x v="0"/>
    <x v="0"/>
    <n v="190700"/>
  </r>
  <r>
    <s v="Internal"/>
    <n v="2362"/>
    <s v="Yellow Creek State Port, MS"/>
    <n v="5360"/>
    <x v="94"/>
    <x v="3532"/>
    <n v="0"/>
    <x v="0"/>
    <x v="0"/>
    <n v="83899"/>
  </r>
  <r>
    <s v="Internal"/>
    <n v="2362"/>
    <s v="Yellow Creek State Port, MS"/>
    <n v="5330"/>
    <x v="16"/>
    <x v="3533"/>
    <n v="0"/>
    <x v="0"/>
    <x v="0"/>
    <n v="59230"/>
  </r>
  <r>
    <s v="Internal"/>
    <n v="2362"/>
    <s v="Yellow Creek State Port, MS"/>
    <n v="2430"/>
    <x v="11"/>
    <x v="3534"/>
    <n v="0"/>
    <x v="0"/>
    <x v="0"/>
    <n v="32147"/>
  </r>
  <r>
    <s v="Internal"/>
    <n v="2362"/>
    <s v="Yellow Creek State Port, MS"/>
    <n v="4420"/>
    <x v="8"/>
    <x v="3535"/>
    <n v="0"/>
    <x v="0"/>
    <x v="0"/>
    <n v="29900"/>
  </r>
  <r>
    <s v="Internal"/>
    <n v="2362"/>
    <s v="Yellow Creek State Port, MS"/>
    <n v="5390"/>
    <x v="44"/>
    <x v="3536"/>
    <n v="0"/>
    <x v="0"/>
    <x v="0"/>
    <n v="19731"/>
  </r>
  <r>
    <s v="Internal"/>
    <n v="2362"/>
    <s v="Yellow Creek State Port, MS"/>
    <n v="3275"/>
    <x v="47"/>
    <x v="1472"/>
    <n v="0"/>
    <x v="0"/>
    <x v="0"/>
    <n v="15029"/>
  </r>
  <r>
    <s v="Internal"/>
    <n v="2362"/>
    <s v="Yellow Creek State Port, MS"/>
    <n v="5312"/>
    <x v="52"/>
    <x v="3537"/>
    <n v="0"/>
    <x v="0"/>
    <x v="0"/>
    <n v="12600"/>
  </r>
  <r>
    <s v="Internal"/>
    <n v="2362"/>
    <s v="Yellow Creek State Port, MS"/>
    <n v="5370"/>
    <x v="81"/>
    <x v="3538"/>
    <n v="0"/>
    <x v="0"/>
    <x v="0"/>
    <n v="7194"/>
  </r>
  <r>
    <s v="Internal"/>
    <n v="2362"/>
    <s v="Yellow Creek State Port, MS"/>
    <n v="4170"/>
    <x v="55"/>
    <x v="1494"/>
    <n v="0"/>
    <x v="0"/>
    <x v="0"/>
    <n v="4300"/>
  </r>
  <r>
    <s v="Internal"/>
    <n v="2362"/>
    <s v="Yellow Creek State Port, MS"/>
    <n v="6590"/>
    <x v="23"/>
    <x v="2780"/>
    <n v="0"/>
    <x v="0"/>
    <x v="0"/>
    <n v="3200"/>
  </r>
  <r>
    <s v="Internal"/>
    <n v="2362"/>
    <s v="Yellow Creek State Port, MS"/>
    <n v="2540"/>
    <x v="15"/>
    <x v="79"/>
    <n v="0"/>
    <x v="0"/>
    <x v="0"/>
    <n v="1700"/>
  </r>
  <r>
    <s v="Internal"/>
    <n v="2362"/>
    <s v="Yellow Creek State Port, MS"/>
    <n v="1100"/>
    <x v="32"/>
    <x v="1497"/>
    <n v="0"/>
    <x v="0"/>
    <x v="0"/>
    <n v="1500"/>
  </r>
  <r>
    <s v="Internal"/>
    <n v="2362"/>
    <s v="Yellow Creek State Port, MS"/>
    <n v="3279"/>
    <x v="58"/>
    <x v="1482"/>
    <n v="0"/>
    <x v="0"/>
    <x v="0"/>
    <n v="840"/>
  </r>
  <r>
    <m/>
    <m/>
    <m/>
    <m/>
    <x v="143"/>
    <x v="3539"/>
    <m/>
    <x v="3822"/>
    <x v="2960"/>
    <m/>
  </r>
  <r>
    <m/>
    <m/>
    <m/>
    <m/>
    <x v="143"/>
    <x v="3539"/>
    <m/>
    <x v="3822"/>
    <x v="296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B9B92-9D5F-4B7C-91F1-6ECC81CA82D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Q146" firstHeaderRow="0" firstDataRow="1" firstDataCol="1"/>
  <pivotFields count="10">
    <pivotField showAll="0"/>
    <pivotField showAll="0"/>
    <pivotField showAll="0"/>
    <pivotField showAll="0"/>
    <pivotField axis="axisRow" showAll="0" sortType="descending">
      <items count="145">
        <item x="124"/>
        <item x="103"/>
        <item x="72"/>
        <item x="2"/>
        <item x="66"/>
        <item x="67"/>
        <item x="46"/>
        <item x="27"/>
        <item x="106"/>
        <item x="11"/>
        <item x="126"/>
        <item x="135"/>
        <item x="39"/>
        <item x="96"/>
        <item x="80"/>
        <item x="30"/>
        <item x="79"/>
        <item x="116"/>
        <item x="45"/>
        <item x="32"/>
        <item x="43"/>
        <item x="100"/>
        <item x="73"/>
        <item x="111"/>
        <item x="88"/>
        <item x="127"/>
        <item x="25"/>
        <item x="113"/>
        <item x="35"/>
        <item x="84"/>
        <item x="1"/>
        <item x="71"/>
        <item x="140"/>
        <item x="122"/>
        <item x="20"/>
        <item x="114"/>
        <item x="48"/>
        <item x="38"/>
        <item x="82"/>
        <item x="92"/>
        <item x="141"/>
        <item x="42"/>
        <item x="99"/>
        <item x="104"/>
        <item x="74"/>
        <item x="101"/>
        <item x="0"/>
        <item x="89"/>
        <item x="78"/>
        <item x="138"/>
        <item x="6"/>
        <item x="128"/>
        <item x="110"/>
        <item x="94"/>
        <item x="81"/>
        <item x="16"/>
        <item x="13"/>
        <item x="47"/>
        <item x="58"/>
        <item x="8"/>
        <item x="34"/>
        <item x="9"/>
        <item x="130"/>
        <item x="33"/>
        <item x="40"/>
        <item x="65"/>
        <item x="4"/>
        <item x="90"/>
        <item x="21"/>
        <item x="77"/>
        <item x="129"/>
        <item x="76"/>
        <item x="119"/>
        <item x="97"/>
        <item x="12"/>
        <item x="49"/>
        <item x="75"/>
        <item x="17"/>
        <item x="120"/>
        <item x="112"/>
        <item x="53"/>
        <item x="36"/>
        <item x="62"/>
        <item x="70"/>
        <item x="14"/>
        <item x="136"/>
        <item x="23"/>
        <item x="115"/>
        <item x="107"/>
        <item x="108"/>
        <item x="19"/>
        <item x="63"/>
        <item x="83"/>
        <item x="121"/>
        <item x="87"/>
        <item x="117"/>
        <item x="98"/>
        <item x="102"/>
        <item x="15"/>
        <item x="134"/>
        <item x="41"/>
        <item x="52"/>
        <item x="91"/>
        <item x="57"/>
        <item x="37"/>
        <item x="44"/>
        <item x="64"/>
        <item x="10"/>
        <item x="125"/>
        <item x="3"/>
        <item x="85"/>
        <item x="105"/>
        <item x="68"/>
        <item x="7"/>
        <item x="29"/>
        <item x="95"/>
        <item x="22"/>
        <item x="31"/>
        <item x="61"/>
        <item x="86"/>
        <item x="142"/>
        <item x="132"/>
        <item x="26"/>
        <item x="51"/>
        <item x="69"/>
        <item x="133"/>
        <item x="56"/>
        <item x="137"/>
        <item x="131"/>
        <item x="60"/>
        <item x="93"/>
        <item x="18"/>
        <item x="24"/>
        <item x="50"/>
        <item x="59"/>
        <item x="139"/>
        <item x="109"/>
        <item x="5"/>
        <item x="28"/>
        <item x="118"/>
        <item x="123"/>
        <item x="54"/>
        <item x="55"/>
        <item x="1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3541">
        <item x="10"/>
        <item x="423"/>
        <item x="131"/>
        <item x="422"/>
        <item x="485"/>
        <item x="186"/>
        <item x="421"/>
        <item x="650"/>
        <item x="649"/>
        <item x="484"/>
        <item x="524"/>
        <item x="420"/>
        <item x="483"/>
        <item x="848"/>
        <item x="826"/>
        <item x="1351"/>
        <item x="185"/>
        <item x="419"/>
        <item x="1350"/>
        <item x="184"/>
        <item x="1065"/>
        <item x="847"/>
        <item x="482"/>
        <item x="2430"/>
        <item x="1061"/>
        <item x="418"/>
        <item x="417"/>
        <item x="183"/>
        <item x="416"/>
        <item x="415"/>
        <item x="130"/>
        <item x="182"/>
        <item x="523"/>
        <item x="3517"/>
        <item x="1192"/>
        <item x="824"/>
        <item x="1218"/>
        <item x="414"/>
        <item x="846"/>
        <item x="648"/>
        <item x="90"/>
        <item x="2646"/>
        <item x="2568"/>
        <item x="825"/>
        <item x="1253"/>
        <item x="181"/>
        <item x="1048"/>
        <item x="1052"/>
        <item x="647"/>
        <item x="249"/>
        <item x="413"/>
        <item x="1655"/>
        <item x="202"/>
        <item x="845"/>
        <item x="2844"/>
        <item x="2308"/>
        <item x="3501"/>
        <item x="1252"/>
        <item x="129"/>
        <item x="1349"/>
        <item x="2843"/>
        <item x="646"/>
        <item x="762"/>
        <item x="1990"/>
        <item x="844"/>
        <item x="1298"/>
        <item x="3500"/>
        <item x="1191"/>
        <item x="201"/>
        <item x="2645"/>
        <item x="1822"/>
        <item x="200"/>
        <item x="180"/>
        <item x="1297"/>
        <item x="645"/>
        <item x="179"/>
        <item x="412"/>
        <item x="510"/>
        <item x="843"/>
        <item x="1157"/>
        <item x="377"/>
        <item x="2831"/>
        <item x="823"/>
        <item x="2931"/>
        <item x="2908"/>
        <item x="994"/>
        <item x="2624"/>
        <item x="2930"/>
        <item x="1821"/>
        <item x="2540"/>
        <item x="3516"/>
        <item x="1156"/>
        <item x="589"/>
        <item x="842"/>
        <item x="578"/>
        <item x="2175"/>
        <item x="3499"/>
        <item x="3393"/>
        <item x="3367"/>
        <item x="481"/>
        <item x="543"/>
        <item x="513"/>
        <item x="3235"/>
        <item x="1064"/>
        <item x="480"/>
        <item x="841"/>
        <item x="644"/>
        <item x="3212"/>
        <item x="1381"/>
        <item x="522"/>
        <item x="199"/>
        <item x="479"/>
        <item x="1523"/>
        <item x="1348"/>
        <item x="1214"/>
        <item x="2427"/>
        <item x="1213"/>
        <item x="1012"/>
        <item x="1190"/>
        <item x="3472"/>
        <item x="478"/>
        <item x="1338"/>
        <item x="1217"/>
        <item x="1380"/>
        <item x="816"/>
        <item x="1155"/>
        <item x="2589"/>
        <item x="840"/>
        <item x="293"/>
        <item x="411"/>
        <item x="1216"/>
        <item x="3429"/>
        <item x="839"/>
        <item x="2570"/>
        <item x="1379"/>
        <item x="3194"/>
        <item x="1820"/>
        <item x="1017"/>
        <item x="121"/>
        <item x="838"/>
        <item x="1524"/>
        <item x="1378"/>
        <item x="280"/>
        <item x="1296"/>
        <item x="3428"/>
        <item x="3471"/>
        <item x="1212"/>
        <item x="753"/>
        <item x="1347"/>
        <item x="1829"/>
        <item x="2616"/>
        <item x="3274"/>
        <item x="1262"/>
        <item x="1295"/>
        <item x="1377"/>
        <item x="3261"/>
        <item x="410"/>
        <item x="837"/>
        <item x="409"/>
        <item x="3363"/>
        <item x="3498"/>
        <item x="4"/>
        <item x="761"/>
        <item x="2907"/>
        <item x="1189"/>
        <item x="836"/>
        <item x="809"/>
        <item x="3241"/>
        <item x="1251"/>
        <item x="1211"/>
        <item x="2582"/>
        <item x="3366"/>
        <item x="2887"/>
        <item x="1337"/>
        <item x="2597"/>
        <item x="3515"/>
        <item x="1210"/>
        <item x="178"/>
        <item x="3265"/>
        <item x="3273"/>
        <item x="3365"/>
        <item x="1819"/>
        <item x="2929"/>
        <item x="1336"/>
        <item x="2928"/>
        <item x="2610"/>
        <item x="2927"/>
        <item x="835"/>
        <item x="2805"/>
        <item x="3470"/>
        <item x="477"/>
        <item x="3408"/>
        <item x="1154"/>
        <item x="2429"/>
        <item x="3364"/>
        <item x="1376"/>
        <item x="2796"/>
        <item x="3217"/>
        <item x="643"/>
        <item x="3497"/>
        <item x="760"/>
        <item x="2769"/>
        <item x="3496"/>
        <item x="642"/>
        <item x="1035"/>
        <item x="1209"/>
        <item x="1748"/>
        <item x="1153"/>
        <item x="2174"/>
        <item x="408"/>
        <item x="279"/>
        <item x="3385"/>
        <item x="1152"/>
        <item x="1989"/>
        <item x="2437"/>
        <item x="3495"/>
        <item x="3205"/>
        <item x="2397"/>
        <item x="177"/>
        <item x="2618"/>
        <item x="2173"/>
        <item x="2037"/>
        <item x="1208"/>
        <item x="2842"/>
        <item x="1375"/>
        <item x="1207"/>
        <item x="815"/>
        <item x="2674"/>
        <item x="1374"/>
        <item x="807"/>
        <item x="1206"/>
        <item x="2593"/>
        <item x="834"/>
        <item x="3514"/>
        <item x="1988"/>
        <item x="2307"/>
        <item x="2547"/>
        <item x="1343"/>
        <item x="1667"/>
        <item x="2428"/>
        <item x="2889"/>
        <item x="2626"/>
        <item x="128"/>
        <item x="521"/>
        <item x="2305"/>
        <item x="641"/>
        <item x="1261"/>
        <item x="623"/>
        <item x="2021"/>
        <item x="822"/>
        <item x="2119"/>
        <item x="2172"/>
        <item x="833"/>
        <item x="2619"/>
        <item x="2391"/>
        <item x="1013"/>
        <item x="832"/>
        <item x="378"/>
        <item x="3494"/>
        <item x="277"/>
        <item x="831"/>
        <item x="574"/>
        <item x="3187"/>
        <item x="3362"/>
        <item x="248"/>
        <item x="1034"/>
        <item x="3219"/>
        <item x="2337"/>
        <item x="3407"/>
        <item x="1205"/>
        <item x="1987"/>
        <item x="3435"/>
        <item x="476"/>
        <item x="849"/>
        <item x="1986"/>
        <item x="2171"/>
        <item x="1204"/>
        <item x="3493"/>
        <item x="1203"/>
        <item x="407"/>
        <item x="475"/>
        <item x="520"/>
        <item x="1818"/>
        <item x="1335"/>
        <item x="156"/>
        <item x="1202"/>
        <item x="198"/>
        <item x="1188"/>
        <item x="1294"/>
        <item x="1293"/>
        <item x="3427"/>
        <item x="474"/>
        <item x="3513"/>
        <item x="1747"/>
        <item x="125"/>
        <item x="1292"/>
        <item x="3153"/>
        <item x="1346"/>
        <item x="3193"/>
        <item x="1201"/>
        <item x="2636"/>
        <item x="759"/>
        <item x="640"/>
        <item x="1200"/>
        <item x="758"/>
        <item x="1199"/>
        <item x="278"/>
        <item x="2187"/>
        <item x="3469"/>
        <item x="2906"/>
        <item x="2170"/>
        <item x="3492"/>
        <item x="3361"/>
        <item x="1198"/>
        <item x="509"/>
        <item x="519"/>
        <item x="1187"/>
        <item x="639"/>
        <item x="1342"/>
        <item x="1334"/>
        <item x="1197"/>
        <item x="3214"/>
        <item x="821"/>
        <item x="1151"/>
        <item x="1601"/>
        <item x="638"/>
        <item x="3359"/>
        <item x="3384"/>
        <item x="3491"/>
        <item x="1719"/>
        <item x="176"/>
        <item x="637"/>
        <item x="3468"/>
        <item x="594"/>
        <item x="1138"/>
        <item x="3426"/>
        <item x="2914"/>
        <item x="2926"/>
        <item x="3231"/>
        <item x="2649"/>
        <item x="97"/>
        <item x="3512"/>
        <item x="2336"/>
        <item x="406"/>
        <item x="3467"/>
        <item x="3466"/>
        <item x="405"/>
        <item x="518"/>
        <item x="636"/>
        <item x="3511"/>
        <item x="3406"/>
        <item x="127"/>
        <item x="1817"/>
        <item x="1600"/>
        <item x="3"/>
        <item x="3490"/>
        <item x="3306"/>
        <item x="2406"/>
        <item x="473"/>
        <item x="1186"/>
        <item x="175"/>
        <item x="3510"/>
        <item x="2648"/>
        <item x="830"/>
        <item x="1150"/>
        <item x="3446"/>
        <item x="2282"/>
        <item x="577"/>
        <item x="3383"/>
        <item x="829"/>
        <item x="1373"/>
        <item x="1816"/>
        <item x="1372"/>
        <item x="3382"/>
        <item x="1333"/>
        <item x="2878"/>
        <item x="828"/>
        <item x="3509"/>
        <item x="174"/>
        <item x="387"/>
        <item x="173"/>
        <item x="2304"/>
        <item x="472"/>
        <item x="2882"/>
        <item x="2417"/>
        <item x="2925"/>
        <item x="820"/>
        <item x="1014"/>
        <item x="3360"/>
        <item x="471"/>
        <item x="2169"/>
        <item x="1482"/>
        <item x="1185"/>
        <item x="827"/>
        <item x="3381"/>
        <item x="319"/>
        <item x="1184"/>
        <item x="172"/>
        <item x="404"/>
        <item x="2612"/>
        <item x="1047"/>
        <item x="2168"/>
        <item x="2924"/>
        <item x="171"/>
        <item x="1063"/>
        <item x="496"/>
        <item x="819"/>
        <item x="3380"/>
        <item x="2884"/>
        <item x="818"/>
        <item x="170"/>
        <item x="532"/>
        <item x="1332"/>
        <item x="1250"/>
        <item x="1331"/>
        <item x="2445"/>
        <item x="3445"/>
        <item x="1371"/>
        <item x="2426"/>
        <item x="2378"/>
        <item x="2795"/>
        <item x="3228"/>
        <item x="2167"/>
        <item x="984"/>
        <item x="3508"/>
        <item x="2923"/>
        <item x="3117"/>
        <item x="2886"/>
        <item x="169"/>
        <item x="3343"/>
        <item x="1291"/>
        <item x="1290"/>
        <item x="635"/>
        <item x="810"/>
        <item x="2425"/>
        <item x="919"/>
        <item x="2922"/>
        <item x="1815"/>
        <item x="470"/>
        <item x="2885"/>
        <item x="1814"/>
        <item x="1517"/>
        <item x="951"/>
        <item x="1059"/>
        <item x="2605"/>
        <item x="3047"/>
        <item x="1149"/>
        <item x="469"/>
        <item x="1791"/>
        <item x="2424"/>
        <item x="757"/>
        <item x="2302"/>
        <item x="312"/>
        <item x="1330"/>
        <item x="2390"/>
        <item x="1055"/>
        <item x="3238"/>
        <item x="1038"/>
        <item x="3336"/>
        <item x="1015"/>
        <item x="2329"/>
        <item x="544"/>
        <item x="1683"/>
        <item x="2587"/>
        <item x="3507"/>
        <item x="2068"/>
        <item x="1813"/>
        <item x="634"/>
        <item x="1319"/>
        <item x="1828"/>
        <item x="1370"/>
        <item x="1148"/>
        <item x="1249"/>
        <item x="2166"/>
        <item x="817"/>
        <item x="3224"/>
        <item x="1985"/>
        <item x="1599"/>
        <item x="751"/>
        <item x="1790"/>
        <item x="1196"/>
        <item x="1299"/>
        <item x="229"/>
        <item x="2165"/>
        <item x="1602"/>
        <item x="403"/>
        <item x="73"/>
        <item x="2092"/>
        <item x="1183"/>
        <item x="2370"/>
        <item x="2091"/>
        <item x="962"/>
        <item x="2164"/>
        <item x="1245"/>
        <item x="1638"/>
        <item x="1718"/>
        <item x="2611"/>
        <item x="1147"/>
        <item x="2423"/>
        <item x="2770"/>
        <item x="382"/>
        <item x="1260"/>
        <item x="3489"/>
        <item x="633"/>
        <item x="632"/>
        <item x="1598"/>
        <item x="3335"/>
        <item x="1146"/>
        <item x="3186"/>
        <item x="1369"/>
        <item x="1060"/>
        <item x="3334"/>
        <item x="2829"/>
        <item x="2163"/>
        <item x="546"/>
        <item x="2559"/>
        <item x="724"/>
        <item x="2716"/>
        <item x="3019"/>
        <item x="517"/>
        <item x="1717"/>
        <item x="1368"/>
        <item x="2756"/>
        <item x="1444"/>
        <item x="2533"/>
        <item x="1942"/>
        <item x="107"/>
        <item x="961"/>
        <item x="228"/>
        <item x="72"/>
        <item x="3168"/>
        <item x="1118"/>
        <item x="1329"/>
        <item x="247"/>
        <item x="1498"/>
        <item x="2838"/>
        <item x="1497"/>
        <item x="1416"/>
        <item x="1328"/>
        <item x="631"/>
        <item x="1637"/>
        <item x="1636"/>
        <item x="1744"/>
        <item x="81"/>
        <item x="2121"/>
        <item x="363"/>
        <item x="3333"/>
        <item x="1635"/>
        <item x="3015"/>
        <item x="3379"/>
        <item x="2534"/>
        <item x="3013"/>
        <item x="630"/>
        <item x="2046"/>
        <item x="2511"/>
        <item x="270"/>
        <item x="983"/>
        <item x="71"/>
        <item x="741"/>
        <item x="960"/>
        <item x="3444"/>
        <item x="3185"/>
        <item x="2625"/>
        <item x="3152"/>
        <item x="3113"/>
        <item x="3506"/>
        <item x="686"/>
        <item x="311"/>
        <item x="1654"/>
        <item x="3112"/>
        <item x="1496"/>
        <item x="504"/>
        <item x="291"/>
        <item x="1653"/>
        <item x="3358"/>
        <item x="2303"/>
        <item x="80"/>
        <item x="1634"/>
        <item x="740"/>
        <item x="1597"/>
        <item x="2715"/>
        <item x="2139"/>
        <item x="1195"/>
        <item x="685"/>
        <item x="2921"/>
        <item x="2090"/>
        <item x="368"/>
        <item x="1062"/>
        <item x="227"/>
        <item x="2067"/>
        <item x="2647"/>
        <item x="1345"/>
        <item x="1789"/>
        <item x="1984"/>
        <item x="1481"/>
        <item x="617"/>
        <item x="3505"/>
        <item x="684"/>
        <item x="1516"/>
        <item x="3465"/>
        <item x="70"/>
        <item x="1117"/>
        <item x="1116"/>
        <item x="450"/>
        <item x="1872"/>
        <item x="723"/>
        <item x="1918"/>
        <item x="3046"/>
        <item x="2066"/>
        <item x="2558"/>
        <item x="959"/>
        <item x="1182"/>
        <item x="453"/>
        <item x="1077"/>
        <item x="2335"/>
        <item x="616"/>
        <item x="69"/>
        <item x="79"/>
        <item x="3272"/>
        <item x="2251"/>
        <item x="1812"/>
        <item x="683"/>
        <item x="874"/>
        <item x="1767"/>
        <item x="2377"/>
        <item x="657"/>
        <item x="3045"/>
        <item x="1289"/>
        <item x="1596"/>
        <item x="1974"/>
        <item x="402"/>
        <item x="1225"/>
        <item x="2888"/>
        <item x="452"/>
        <item x="1181"/>
        <item x="2604"/>
        <item x="905"/>
        <item x="576"/>
        <item x="2513"/>
        <item x="1288"/>
        <item x="3474"/>
        <item x="468"/>
        <item x="1327"/>
        <item x="1811"/>
        <item x="246"/>
        <item x="989"/>
        <item x="1844"/>
        <item x="1367"/>
        <item x="1306"/>
        <item x="68"/>
        <item x="1287"/>
        <item x="3044"/>
        <item x="451"/>
        <item x="1180"/>
        <item x="1179"/>
        <item x="2089"/>
        <item x="3237"/>
        <item x="1480"/>
        <item x="2113"/>
        <item x="3260"/>
        <item x="1479"/>
        <item x="1178"/>
        <item x="1145"/>
        <item x="3464"/>
        <item x="3357"/>
        <item x="1515"/>
        <item x="2802"/>
        <item x="2594"/>
        <item x="739"/>
        <item x="2392"/>
        <item x="2328"/>
        <item x="372"/>
        <item x="2532"/>
        <item x="1532"/>
        <item x="2854"/>
        <item x="629"/>
        <item x="2755"/>
        <item x="3392"/>
        <item x="1144"/>
        <item x="1633"/>
        <item x="2045"/>
        <item x="2162"/>
        <item x="2580"/>
        <item x="628"/>
        <item x="2512"/>
        <item x="806"/>
        <item x="1259"/>
        <item x="2911"/>
        <item x="3504"/>
        <item x="627"/>
        <item x="2422"/>
        <item x="1023"/>
        <item x="362"/>
        <item x="1326"/>
        <item x="1810"/>
        <item x="1788"/>
        <item x="1215"/>
        <item x="1325"/>
        <item x="2920"/>
        <item x="3356"/>
        <item x="1827"/>
        <item x="812"/>
        <item x="2841"/>
        <item x="3425"/>
        <item x="1286"/>
        <item x="1691"/>
        <item x="2421"/>
        <item x="464"/>
        <item x="1809"/>
        <item x="1354"/>
        <item x="1324"/>
        <item x="168"/>
        <item x="1285"/>
        <item x="318"/>
        <item x="226"/>
        <item x="2837"/>
        <item x="3347"/>
        <item x="3258"/>
        <item x="1688"/>
        <item x="958"/>
        <item x="3434"/>
        <item x="2330"/>
        <item x="1049"/>
        <item x="1746"/>
        <item x="269"/>
        <item x="3473"/>
        <item x="2879"/>
        <item x="2420"/>
        <item x="2634"/>
        <item x="1925"/>
        <item x="267"/>
        <item x="361"/>
        <item x="3503"/>
        <item x="3230"/>
        <item x="1057"/>
        <item x="756"/>
        <item x="467"/>
        <item x="1366"/>
        <item x="3043"/>
        <item x="3391"/>
        <item x="1983"/>
        <item x="1025"/>
        <item x="2639"/>
        <item x="2419"/>
        <item x="401"/>
        <item x="2161"/>
        <item x="626"/>
        <item x="360"/>
        <item x="1982"/>
        <item x="2418"/>
        <item x="625"/>
        <item x="2557"/>
        <item x="1808"/>
        <item x="2794"/>
        <item x="2531"/>
        <item x="245"/>
        <item x="2828"/>
        <item x="2581"/>
        <item x="1478"/>
        <item x="808"/>
        <item x="1477"/>
        <item x="2883"/>
        <item x="1728"/>
        <item x="3332"/>
        <item x="615"/>
        <item x="1595"/>
        <item x="161"/>
        <item x="1495"/>
        <item x="2416"/>
        <item x="1787"/>
        <item x="1058"/>
        <item x="67"/>
        <item x="1353"/>
        <item x="1981"/>
        <item x="219"/>
        <item x="903"/>
        <item x="244"/>
        <item x="1707"/>
        <item x="2095"/>
        <item x="1258"/>
        <item x="614"/>
        <item x="290"/>
        <item x="1743"/>
        <item x="1443"/>
        <item x="2808"/>
        <item x="1177"/>
        <item x="722"/>
        <item x="895"/>
        <item x="1442"/>
        <item x="96"/>
        <item x="3090"/>
        <item x="2807"/>
        <item x="448"/>
        <item x="310"/>
        <item x="1632"/>
        <item x="466"/>
        <item x="3375"/>
        <item x="2250"/>
        <item x="1033"/>
        <item x="2008"/>
        <item x="935"/>
        <item x="1980"/>
        <item x="3378"/>
        <item x="1766"/>
        <item x="3331"/>
        <item x="1786"/>
        <item x="367"/>
        <item x="1323"/>
        <item x="2899"/>
        <item x="2389"/>
        <item x="3167"/>
        <item x="1684"/>
        <item x="682"/>
        <item x="3374"/>
        <item x="2065"/>
        <item x="309"/>
        <item x="548"/>
        <item x="3012"/>
        <item x="3330"/>
        <item x="1945"/>
        <item x="167"/>
        <item x="2583"/>
        <item x="1695"/>
        <item x="2530"/>
        <item x="66"/>
        <item x="1115"/>
        <item x="1594"/>
        <item x="1056"/>
        <item x="1631"/>
        <item x="3271"/>
        <item x="2780"/>
        <item x="3341"/>
        <item x="2453"/>
        <item x="877"/>
        <item x="1716"/>
        <item x="2204"/>
        <item x="2615"/>
        <item x="2249"/>
        <item x="755"/>
        <item x="547"/>
        <item x="1630"/>
        <item x="2112"/>
        <item x="3373"/>
        <item x="2301"/>
        <item x="1785"/>
        <item x="2714"/>
        <item x="1441"/>
        <item x="1742"/>
        <item x="624"/>
        <item x="3120"/>
        <item x="2826"/>
        <item x="2867"/>
        <item x="2064"/>
        <item x="3111"/>
        <item x="1408"/>
        <item x="894"/>
        <item x="1143"/>
        <item x="359"/>
        <item x="2063"/>
        <item x="1076"/>
        <item x="3355"/>
        <item x="545"/>
        <item x="1807"/>
        <item x="3240"/>
        <item x="3377"/>
        <item x="721"/>
        <item x="2575"/>
        <item x="1132"/>
        <item x="1715"/>
        <item x="2036"/>
        <item x="872"/>
        <item x="1284"/>
        <item x="243"/>
        <item x="242"/>
        <item x="1514"/>
        <item x="2160"/>
        <item x="1714"/>
        <item x="575"/>
        <item x="814"/>
        <item x="2159"/>
        <item x="1914"/>
        <item x="720"/>
        <item x="3463"/>
        <item x="2529"/>
        <item x="3018"/>
        <item x="2044"/>
        <item x="3462"/>
        <item x="3403"/>
        <item x="1975"/>
        <item x="3342"/>
        <item x="1341"/>
        <item x="1365"/>
        <item x="1651"/>
        <item x="1979"/>
        <item x="1016"/>
        <item x="1364"/>
        <item x="2620"/>
        <item x="1142"/>
        <item x="2017"/>
        <item x="65"/>
        <item x="3488"/>
        <item x="1697"/>
        <item x="1652"/>
        <item x="2094"/>
        <item x="1629"/>
        <item x="957"/>
        <item x="3376"/>
        <item x="2919"/>
        <item x="2644"/>
        <item x="1141"/>
        <item x="3354"/>
        <item x="2876"/>
        <item x="2502"/>
        <item x="2020"/>
        <item x="1140"/>
        <item x="2306"/>
        <item x="1283"/>
        <item x="1054"/>
        <item x="3390"/>
        <item x="1322"/>
        <item x="3017"/>
        <item x="1628"/>
        <item x="2528"/>
        <item x="1282"/>
        <item x="1046"/>
        <item x="2556"/>
        <item x="1036"/>
        <item x="956"/>
        <item x="516"/>
        <item x="3239"/>
        <item x="1843"/>
        <item x="2333"/>
        <item x="2111"/>
        <item x="1020"/>
        <item x="64"/>
        <item x="3151"/>
        <item x="443"/>
        <item x="400"/>
        <item x="738"/>
        <item x="550"/>
        <item x="2373"/>
        <item x="3461"/>
        <item x="2898"/>
        <item x="1494"/>
        <item x="3089"/>
        <item x="3110"/>
        <item x="1650"/>
        <item x="370"/>
        <item x="813"/>
        <item x="955"/>
        <item x="1363"/>
        <item x="954"/>
        <item x="3042"/>
        <item x="2779"/>
        <item x="2415"/>
        <item x="95"/>
        <item x="2918"/>
        <item x="366"/>
        <item x="1194"/>
        <item x="166"/>
        <item x="1139"/>
        <item x="3218"/>
        <item x="2158"/>
        <item x="165"/>
        <item x="2248"/>
        <item x="3529"/>
        <item x="982"/>
        <item x="225"/>
        <item x="1321"/>
        <item x="681"/>
        <item x="953"/>
        <item x="613"/>
        <item x="1042"/>
        <item x="503"/>
        <item x="3150"/>
        <item x="2414"/>
        <item x="1009"/>
        <item x="1493"/>
        <item x="1696"/>
        <item x="2203"/>
        <item x="358"/>
        <item x="3329"/>
        <item x="289"/>
        <item x="3227"/>
        <item x="1912"/>
        <item x="2334"/>
        <item x="680"/>
        <item x="2043"/>
        <item x="2247"/>
        <item x="1114"/>
        <item x="2016"/>
        <item x="1682"/>
        <item x="656"/>
        <item x="2110"/>
        <item x="981"/>
        <item x="1627"/>
        <item x="952"/>
        <item x="1037"/>
        <item x="1551"/>
        <item x="2673"/>
        <item x="1593"/>
        <item x="1871"/>
        <item x="399"/>
        <item x="1440"/>
        <item x="622"/>
        <item x="2434"/>
        <item x="737"/>
        <item x="2917"/>
        <item x="1976"/>
        <item x="3328"/>
        <item x="3460"/>
        <item x="736"/>
        <item x="357"/>
        <item x="1502"/>
        <item x="719"/>
        <item x="980"/>
        <item x="2778"/>
        <item x="1806"/>
        <item x="164"/>
        <item x="2546"/>
        <item x="1411"/>
        <item x="1320"/>
        <item x="1193"/>
        <item x="1176"/>
        <item x="3236"/>
        <item x="1592"/>
        <item x="3216"/>
        <item x="528"/>
        <item x="29"/>
        <item x="2840"/>
        <item x="2635"/>
        <item x="749"/>
        <item x="3197"/>
        <item x="2768"/>
        <item x="2870"/>
        <item x="2413"/>
        <item x="2412"/>
        <item x="1362"/>
        <item x="2848"/>
        <item x="3203"/>
        <item x="3229"/>
        <item x="2569"/>
        <item x="2411"/>
        <item x="573"/>
        <item x="3389"/>
        <item x="811"/>
        <item x="1175"/>
        <item x="2539"/>
        <item x="2595"/>
        <item x="786"/>
        <item x="365"/>
        <item x="1075"/>
        <item x="805"/>
        <item x="2288"/>
        <item x="2300"/>
        <item x="163"/>
        <item x="2157"/>
        <item x="2410"/>
        <item x="1826"/>
        <item x="3353"/>
        <item x="2701"/>
        <item x="2905"/>
        <item x="449"/>
        <item x="2527"/>
        <item x="63"/>
        <item x="3443"/>
        <item x="2109"/>
        <item x="2713"/>
        <item x="1591"/>
        <item x="1137"/>
        <item x="3459"/>
        <item x="2294"/>
        <item x="3352"/>
        <item x="1053"/>
        <item x="1694"/>
        <item x="2830"/>
        <item x="1784"/>
        <item x="612"/>
        <item x="391"/>
        <item x="1783"/>
        <item x="1136"/>
        <item x="2897"/>
        <item x="3458"/>
        <item x="224"/>
        <item x="2896"/>
        <item x="1011"/>
        <item x="1476"/>
        <item x="1174"/>
        <item x="2246"/>
        <item x="2754"/>
        <item x="14"/>
        <item x="241"/>
        <item x="2459"/>
        <item x="1590"/>
        <item x="3149"/>
        <item x="1978"/>
        <item x="3528"/>
        <item x="1492"/>
        <item x="2505"/>
        <item x="356"/>
        <item x="2088"/>
        <item x="1946"/>
        <item x="3109"/>
        <item x="3041"/>
        <item x="1318"/>
        <item x="1765"/>
        <item x="3296"/>
        <item x="1113"/>
        <item x="3348"/>
        <item x="3372"/>
        <item x="3016"/>
        <item x="2712"/>
        <item x="2853"/>
        <item x="2156"/>
        <item x="3148"/>
        <item x="1782"/>
        <item x="2035"/>
        <item x="3442"/>
        <item x="1936"/>
        <item x="231"/>
        <item x="1244"/>
        <item x="1281"/>
        <item x="1280"/>
        <item x="899"/>
        <item x="852"/>
        <item x="78"/>
        <item x="3264"/>
        <item x="1043"/>
        <item x="1745"/>
        <item x="465"/>
        <item x="1741"/>
        <item x="787"/>
        <item x="515"/>
        <item x="3457"/>
        <item x="2409"/>
        <item x="317"/>
        <item x="679"/>
        <item x="621"/>
        <item x="2245"/>
        <item x="2376"/>
        <item x="398"/>
        <item x="1428"/>
        <item x="1317"/>
        <item x="3351"/>
        <item x="718"/>
        <item x="1947"/>
        <item x="3088"/>
        <item x="1589"/>
        <item x="3350"/>
        <item x="1316"/>
        <item x="1825"/>
        <item x="2700"/>
        <item x="2108"/>
        <item x="793"/>
        <item x="717"/>
        <item x="62"/>
        <item x="2381"/>
        <item x="2640"/>
        <item x="1003"/>
        <item x="512"/>
        <item x="223"/>
        <item x="3040"/>
        <item x="2643"/>
        <item x="540"/>
        <item x="221"/>
        <item x="3204"/>
        <item x="3487"/>
        <item x="2812"/>
        <item x="2299"/>
        <item x="2138"/>
        <item x="3527"/>
        <item x="2332"/>
        <item x="588"/>
        <item x="3538"/>
        <item x="1173"/>
        <item x="2375"/>
        <item x="611"/>
        <item x="140"/>
        <item x="1279"/>
        <item x="160"/>
        <item x="88"/>
        <item x="2189"/>
        <item x="3166"/>
        <item x="3108"/>
        <item x="1051"/>
        <item x="2342"/>
        <item x="1315"/>
        <item x="2637"/>
        <item x="1781"/>
        <item x="1172"/>
        <item x="268"/>
        <item x="3349"/>
        <item x="1415"/>
        <item x="2120"/>
        <item x="2155"/>
        <item x="3165"/>
        <item x="1314"/>
        <item x="2154"/>
        <item x="3270"/>
        <item x="1050"/>
        <item x="2672"/>
        <item x="397"/>
        <item x="2834"/>
        <item x="3107"/>
        <item x="572"/>
        <item x="768"/>
        <item x="1278"/>
        <item x="2585"/>
        <item x="3456"/>
        <item x="1427"/>
        <item x="2292"/>
        <item x="2538"/>
        <item x="502"/>
        <item x="222"/>
        <item x="2087"/>
        <item x="1439"/>
        <item x="1740"/>
        <item x="355"/>
        <item x="1967"/>
        <item x="1074"/>
        <item x="2793"/>
        <item x="2153"/>
        <item x="2777"/>
        <item x="2873"/>
        <item x="3402"/>
        <item x="2827"/>
        <item x="1977"/>
        <item x="3455"/>
        <item x="1135"/>
        <item x="1313"/>
        <item x="2202"/>
        <item x="2443"/>
        <item x="214"/>
        <item x="1948"/>
        <item x="880"/>
        <item x="2062"/>
        <item x="2137"/>
        <item x="610"/>
        <item x="2152"/>
        <item x="123"/>
        <item x="1426"/>
        <item x="1414"/>
        <item x="2244"/>
        <item x="2201"/>
        <item x="620"/>
        <item x="3087"/>
        <item x="2151"/>
        <item x="2776"/>
        <item x="3192"/>
        <item x="440"/>
        <item x="1870"/>
        <item x="1031"/>
        <item x="766"/>
        <item x="2150"/>
        <item x="308"/>
        <item x="1361"/>
        <item x="2753"/>
        <item x="1800"/>
        <item x="2408"/>
        <item x="162"/>
        <item x="2711"/>
        <item x="2629"/>
        <item x="950"/>
        <item x="609"/>
        <item x="2682"/>
        <item x="3502"/>
        <item x="1027"/>
        <item x="1425"/>
        <item x="292"/>
        <item x="2671"/>
        <item x="61"/>
        <item x="288"/>
        <item x="22"/>
        <item x="354"/>
        <item x="1257"/>
        <item x="3014"/>
        <item x="1805"/>
        <item x="1396"/>
        <item x="678"/>
        <item x="2061"/>
        <item x="2403"/>
        <item x="2441"/>
        <item x="1256"/>
        <item x="2775"/>
        <item x="1675"/>
        <item x="1739"/>
        <item x="2999"/>
        <item x="2881"/>
        <item x="1693"/>
        <item x="1738"/>
        <item x="2243"/>
        <item x="3191"/>
        <item x="1243"/>
        <item x="3327"/>
        <item x="1307"/>
        <item x="1764"/>
        <item x="1934"/>
        <item x="1134"/>
        <item x="2526"/>
        <item x="1045"/>
        <item x="2242"/>
        <item x="1312"/>
        <item x="1804"/>
        <item x="439"/>
        <item x="2880"/>
        <item x="3326"/>
        <item x="1588"/>
        <item x="3233"/>
        <item x="1803"/>
        <item x="3184"/>
        <item x="2563"/>
        <item x="541"/>
        <item x="996"/>
        <item x="2916"/>
        <item x="3147"/>
        <item x="735"/>
        <item x="3433"/>
        <item x="1626"/>
        <item x="254"/>
        <item x="571"/>
        <item x="1938"/>
        <item x="1587"/>
        <item x="2670"/>
        <item x="353"/>
        <item x="1248"/>
        <item x="3146"/>
        <item x="1680"/>
        <item x="655"/>
        <item x="446"/>
        <item x="1231"/>
        <item x="1133"/>
        <item x="906"/>
        <item x="1513"/>
        <item x="2107"/>
        <item x="158"/>
        <item x="1041"/>
        <item x="3295"/>
        <item x="2951"/>
        <item x="3106"/>
        <item x="1360"/>
        <item x="2458"/>
        <item x="1112"/>
        <item x="2592"/>
        <item x="264"/>
        <item x="1552"/>
        <item x="1019"/>
        <item x="870"/>
        <item x="2136"/>
        <item x="898"/>
        <item x="1625"/>
        <item x="1111"/>
        <item x="1277"/>
        <item x="1110"/>
        <item x="1311"/>
        <item x="2015"/>
        <item x="754"/>
        <item x="2555"/>
        <item x="1475"/>
        <item x="939"/>
        <item x="1109"/>
        <item x="533"/>
        <item x="3454"/>
        <item x="2566"/>
        <item x="197"/>
        <item x="1171"/>
        <item x="3453"/>
        <item x="3422"/>
        <item x="2106"/>
        <item x="1535"/>
        <item x="913"/>
        <item x="352"/>
        <item x="2676"/>
        <item x="1032"/>
        <item x="1931"/>
        <item x="2774"/>
        <item x="2042"/>
        <item x="803"/>
        <item x="2731"/>
        <item x="979"/>
        <item x="2510"/>
        <item x="1276"/>
        <item x="2241"/>
        <item x="2525"/>
        <item x="1512"/>
        <item x="2851"/>
        <item x="2578"/>
        <item x="2149"/>
        <item x="2240"/>
        <item x="2124"/>
        <item x="1170"/>
        <item x="2792"/>
        <item x="3039"/>
        <item x="619"/>
        <item x="1359"/>
        <item x="2295"/>
        <item x="3145"/>
        <item x="2298"/>
        <item x="2239"/>
        <item x="2752"/>
        <item x="351"/>
        <item x="2904"/>
        <item x="2060"/>
        <item x="1108"/>
        <item x="2454"/>
        <item x="2623"/>
        <item x="586"/>
        <item x="2148"/>
        <item x="1275"/>
        <item x="1124"/>
        <item x="1586"/>
        <item x="3346"/>
        <item x="1919"/>
        <item x="2293"/>
        <item x="734"/>
        <item x="1230"/>
        <item x="2041"/>
        <item x="124"/>
        <item x="1649"/>
        <item x="2596"/>
        <item x="1474"/>
        <item x="3144"/>
        <item x="3537"/>
        <item x="716"/>
        <item x="1107"/>
        <item x="1340"/>
        <item x="1044"/>
        <item x="873"/>
        <item x="3011"/>
        <item x="1780"/>
        <item x="2751"/>
        <item x="1274"/>
        <item x="1943"/>
        <item x="2147"/>
        <item x="1779"/>
        <item x="1413"/>
        <item x="1624"/>
        <item x="3234"/>
        <item x="1648"/>
        <item x="3010"/>
        <item x="396"/>
        <item x="1310"/>
        <item x="1869"/>
        <item x="126"/>
        <item x="1690"/>
        <item x="1131"/>
        <item x="287"/>
        <item x="2901"/>
        <item x="21"/>
        <item x="885"/>
        <item x="2669"/>
        <item x="2146"/>
        <item x="1802"/>
        <item x="1505"/>
        <item x="1713"/>
        <item x="2407"/>
        <item x="3452"/>
        <item x="1130"/>
        <item x="2874"/>
        <item x="1309"/>
        <item x="1705"/>
        <item x="2105"/>
        <item x="1623"/>
        <item x="752"/>
        <item x="2509"/>
        <item x="1308"/>
        <item x="94"/>
        <item x="1678"/>
        <item x="618"/>
        <item x="608"/>
        <item x="3164"/>
        <item x="1106"/>
        <item x="2014"/>
        <item x="765"/>
        <item x="1166"/>
        <item x="3371"/>
        <item x="3163"/>
        <item x="1686"/>
        <item x="1473"/>
        <item x="3086"/>
        <item x="3401"/>
        <item x="733"/>
        <item x="266"/>
        <item x="3116"/>
        <item x="3325"/>
        <item x="2059"/>
        <item x="607"/>
        <item x="240"/>
        <item x="157"/>
        <item x="1778"/>
        <item x="3262"/>
        <item x="2868"/>
        <item x="2628"/>
        <item x="779"/>
        <item x="1491"/>
        <item x="3263"/>
        <item x="350"/>
        <item x="3451"/>
        <item x="1412"/>
        <item x="2631"/>
        <item x="1129"/>
        <item x="715"/>
        <item x="1801"/>
        <item x="907"/>
        <item x="1737"/>
        <item x="265"/>
        <item x="570"/>
        <item x="447"/>
        <item x="2915"/>
        <item x="230"/>
        <item x="349"/>
        <item x="3085"/>
        <item x="3299"/>
        <item x="1868"/>
        <item x="1736"/>
        <item x="2436"/>
        <item x="1472"/>
        <item x="3105"/>
        <item x="1531"/>
        <item x="2388"/>
        <item x="60"/>
        <item x="2058"/>
        <item x="2680"/>
        <item x="1242"/>
        <item x="1530"/>
        <item x="1026"/>
        <item x="1692"/>
        <item x="1407"/>
        <item x="3450"/>
        <item x="3143"/>
        <item x="1128"/>
        <item x="2034"/>
        <item x="2763"/>
        <item x="348"/>
        <item x="677"/>
        <item x="2200"/>
        <item x="2013"/>
        <item x="2238"/>
        <item x="1227"/>
        <item x="3038"/>
        <item x="3308"/>
        <item x="2852"/>
        <item x="750"/>
        <item x="3526"/>
        <item x="2761"/>
        <item x="1622"/>
        <item x="3037"/>
        <item x="2104"/>
        <item x="2591"/>
        <item x="2588"/>
        <item x="2800"/>
        <item x="1471"/>
        <item x="1127"/>
        <item x="2452"/>
        <item x="908"/>
        <item x="3226"/>
        <item x="2199"/>
        <item x="1706"/>
        <item x="347"/>
        <item x="2331"/>
        <item x="1539"/>
        <item x="2765"/>
        <item x="93"/>
        <item x="1777"/>
        <item x="3142"/>
        <item x="2145"/>
        <item x="1490"/>
        <item x="1842"/>
        <item x="2815"/>
        <item x="3294"/>
        <item x="2012"/>
        <item x="676"/>
        <item x="531"/>
        <item x="2237"/>
        <item x="654"/>
        <item x="2086"/>
        <item x="2524"/>
        <item x="2691"/>
        <item x="1763"/>
        <item x="1867"/>
        <item x="1799"/>
        <item x="1446"/>
        <item x="2396"/>
        <item x="978"/>
        <item x="3000"/>
        <item x="1470"/>
        <item x="795"/>
        <item x="3305"/>
        <item x="3345"/>
        <item x="583"/>
        <item x="1735"/>
        <item x="794"/>
        <item x="732"/>
        <item x="1550"/>
        <item x="1659"/>
        <item x="20"/>
        <item x="606"/>
        <item x="2877"/>
        <item x="901"/>
        <item x="3084"/>
        <item x="804"/>
        <item x="2085"/>
        <item x="1438"/>
        <item x="2341"/>
        <item x="2833"/>
        <item x="2236"/>
        <item x="1039"/>
        <item x="2093"/>
        <item x="675"/>
        <item x="3036"/>
        <item x="1424"/>
        <item x="2913"/>
        <item x="1469"/>
        <item x="977"/>
        <item x="605"/>
        <item x="220"/>
        <item x="1423"/>
        <item x="2537"/>
        <item x="2710"/>
        <item x="554"/>
        <item x="2198"/>
        <item x="1585"/>
        <item x="1273"/>
        <item x="2709"/>
        <item x="2847"/>
        <item x="542"/>
        <item x="2590"/>
        <item x="3344"/>
        <item x="587"/>
        <item x="316"/>
        <item x="1126"/>
        <item x="782"/>
        <item x="2405"/>
        <item x="731"/>
        <item x="92"/>
        <item x="1712"/>
        <item x="2632"/>
        <item x="508"/>
        <item x="3035"/>
        <item x="1255"/>
        <item x="208"/>
        <item x="3034"/>
        <item x="1040"/>
        <item x="802"/>
        <item x="1073"/>
        <item x="1030"/>
        <item x="2235"/>
        <item x="3083"/>
        <item x="674"/>
        <item x="2508"/>
        <item x="3246"/>
        <item x="3232"/>
        <item x="3536"/>
        <item x="2523"/>
        <item x="2642"/>
        <item x="1079"/>
        <item x="3190"/>
        <item x="909"/>
        <item x="3009"/>
        <item x="159"/>
        <item x="1951"/>
        <item x="2291"/>
        <item x="949"/>
        <item x="2535"/>
        <item x="2773"/>
        <item x="2033"/>
        <item x="3141"/>
        <item x="1422"/>
        <item x="1853"/>
        <item x="3525"/>
        <item x="59"/>
        <item x="1272"/>
        <item x="2287"/>
        <item x="2750"/>
        <item x="2708"/>
        <item x="569"/>
        <item x="1125"/>
        <item x="3479"/>
        <item x="3008"/>
        <item x="91"/>
        <item x="263"/>
        <item x="3082"/>
        <item x="2814"/>
        <item x="730"/>
        <item x="1105"/>
        <item x="2749"/>
        <item x="369"/>
        <item x="3198"/>
        <item x="307"/>
        <item x="2135"/>
        <item x="568"/>
        <item x="58"/>
        <item x="57"/>
        <item x="2084"/>
        <item x="1689"/>
        <item x="2234"/>
        <item x="2011"/>
        <item x="2404"/>
        <item x="2134"/>
        <item x="539"/>
        <item x="1852"/>
        <item x="1468"/>
        <item x="2855"/>
        <item x="1973"/>
        <item x="2561"/>
        <item x="699"/>
        <item x="1866"/>
        <item x="2144"/>
        <item x="1489"/>
        <item x="1169"/>
        <item x="2032"/>
        <item x="239"/>
        <item x="3289"/>
        <item x="2184"/>
        <item x="552"/>
        <item x="501"/>
        <item x="801"/>
        <item x="2895"/>
        <item x="2233"/>
        <item x="2993"/>
        <item x="1247"/>
        <item x="1584"/>
        <item x="2507"/>
        <item x="2083"/>
        <item x="2057"/>
        <item x="3007"/>
        <item x="2804"/>
        <item x="604"/>
        <item x="948"/>
        <item x="2858"/>
        <item x="500"/>
        <item x="218"/>
        <item x="767"/>
        <item x="1776"/>
        <item x="912"/>
        <item x="567"/>
        <item x="2748"/>
        <item x="800"/>
        <item x="2103"/>
        <item x="1549"/>
        <item x="463"/>
        <item x="2297"/>
        <item x="346"/>
        <item x="1701"/>
        <item x="1226"/>
        <item x="3324"/>
        <item x="1004"/>
        <item x="1467"/>
        <item x="1798"/>
        <item x="2350"/>
        <item x="2846"/>
        <item x="976"/>
        <item x="2197"/>
        <item x="1917"/>
        <item x="2196"/>
        <item x="1123"/>
        <item x="1122"/>
        <item x="2451"/>
        <item x="1410"/>
        <item x="918"/>
        <item x="2133"/>
        <item x="904"/>
        <item x="1382"/>
        <item x="698"/>
        <item x="306"/>
        <item x="3221"/>
        <item x="3183"/>
        <item x="3162"/>
        <item x="2232"/>
        <item x="1504"/>
        <item x="1488"/>
        <item x="275"/>
        <item x="2374"/>
        <item x="1966"/>
        <item x="1775"/>
        <item x="273"/>
        <item x="1104"/>
        <item x="1358"/>
        <item x="947"/>
        <item x="3200"/>
        <item x="3280"/>
        <item x="2630"/>
        <item x="1941"/>
        <item x="2296"/>
        <item x="3104"/>
        <item x="56"/>
        <item x="1271"/>
        <item x="3225"/>
        <item x="603"/>
        <item x="3339"/>
        <item x="714"/>
        <item x="697"/>
        <item x="1305"/>
        <item x="796"/>
        <item x="262"/>
        <item x="2501"/>
        <item x="376"/>
        <item x="946"/>
        <item x="1725"/>
        <item x="2621"/>
        <item x="2132"/>
        <item x="2195"/>
        <item x="696"/>
        <item x="2056"/>
        <item x="315"/>
        <item x="2368"/>
        <item x="55"/>
        <item x="1583"/>
        <item x="1621"/>
        <item x="514"/>
        <item x="1466"/>
        <item x="549"/>
        <item x="945"/>
        <item x="3182"/>
        <item x="2055"/>
        <item x="2082"/>
        <item x="1944"/>
        <item x="602"/>
        <item x="911"/>
        <item x="3161"/>
        <item x="2861"/>
        <item x="1437"/>
        <item x="2668"/>
        <item x="345"/>
        <item x="601"/>
        <item x="1711"/>
        <item x="1935"/>
        <item x="3293"/>
        <item x="1930"/>
        <item x="944"/>
        <item x="3291"/>
        <item x="2622"/>
        <item x="3181"/>
        <item x="2857"/>
        <item x="2730"/>
        <item x="390"/>
        <item x="3180"/>
        <item x="3033"/>
        <item x="3179"/>
        <item x="891"/>
        <item x="3292"/>
        <item x="1704"/>
        <item x="1722"/>
        <item x="2757"/>
        <item x="2001"/>
        <item x="1357"/>
        <item x="799"/>
        <item x="381"/>
        <item x="1304"/>
        <item x="713"/>
        <item x="2493"/>
        <item x="344"/>
        <item x="798"/>
        <item x="3160"/>
        <item x="2875"/>
        <item x="2601"/>
        <item x="1465"/>
        <item x="783"/>
        <item x="3323"/>
        <item x="1402"/>
        <item x="1865"/>
        <item x="2522"/>
        <item x="314"/>
        <item x="3370"/>
        <item x="3535"/>
        <item x="797"/>
        <item x="2503"/>
        <item x="1270"/>
        <item x="1103"/>
        <item x="2681"/>
        <item x="2387"/>
        <item x="2054"/>
        <item x="3524"/>
        <item x="1168"/>
        <item x="1436"/>
        <item x="2803"/>
        <item x="343"/>
        <item x="2081"/>
        <item x="2747"/>
        <item x="2053"/>
        <item x="943"/>
        <item x="2839"/>
        <item x="395"/>
        <item x="1487"/>
        <item x="3081"/>
        <item x="3159"/>
        <item x="2693"/>
        <item x="3424"/>
        <item x="1970"/>
        <item x="342"/>
        <item x="3080"/>
        <item x="3202"/>
        <item x="1167"/>
        <item x="555"/>
        <item x="910"/>
        <item x="3534"/>
        <item x="712"/>
        <item x="3079"/>
        <item x="217"/>
        <item x="434"/>
        <item x="2894"/>
        <item x="1435"/>
        <item x="122"/>
        <item x="3032"/>
        <item x="2231"/>
        <item x="1464"/>
        <item x="54"/>
        <item x="142"/>
        <item x="3078"/>
        <item x="2571"/>
        <item x="785"/>
        <item x="673"/>
        <item x="2402"/>
        <item x="388"/>
        <item x="1582"/>
        <item x="2401"/>
        <item x="902"/>
        <item x="3441"/>
        <item x="1356"/>
        <item x="3158"/>
        <item x="341"/>
        <item x="1933"/>
        <item x="2893"/>
        <item x="2230"/>
        <item x="28"/>
        <item x="672"/>
        <item x="3157"/>
        <item x="931"/>
        <item x="3077"/>
        <item x="1851"/>
        <item x="529"/>
        <item x="2322"/>
        <item x="1486"/>
        <item x="1434"/>
        <item x="1405"/>
        <item x="2327"/>
        <item x="653"/>
        <item x="1463"/>
        <item x="2950"/>
        <item x="711"/>
        <item x="2724"/>
        <item x="2892"/>
        <item x="3156"/>
        <item x="3518"/>
        <item x="2860"/>
        <item x="53"/>
        <item x="1528"/>
        <item x="3290"/>
        <item x="27"/>
        <item x="2504"/>
        <item x="3103"/>
        <item x="1072"/>
        <item x="2"/>
        <item x="3322"/>
        <item x="3309"/>
        <item x="507"/>
        <item x="1241"/>
        <item x="1647"/>
        <item x="942"/>
        <item x="2010"/>
        <item x="2787"/>
        <item x="671"/>
        <item x="792"/>
        <item x="77"/>
        <item x="1734"/>
        <item x="975"/>
        <item x="2229"/>
        <item x="1864"/>
        <item x="1527"/>
        <item x="1774"/>
        <item x="710"/>
        <item x="1462"/>
        <item x="1461"/>
        <item x="3002"/>
        <item x="1548"/>
        <item x="2450"/>
        <item x="52"/>
        <item x="1240"/>
        <item x="2912"/>
        <item x="1460"/>
        <item x="1762"/>
        <item x="2506"/>
        <item x="2118"/>
        <item x="146"/>
        <item x="2386"/>
        <item x="2932"/>
        <item x="3449"/>
        <item x="2500"/>
        <item x="2080"/>
        <item x="2279"/>
        <item x="462"/>
        <item x="748"/>
        <item x="2602"/>
        <item x="1547"/>
        <item x="2122"/>
        <item x="1620"/>
        <item x="2865"/>
        <item x="791"/>
        <item x="2009"/>
        <item x="709"/>
        <item x="1581"/>
        <item x="2372"/>
        <item x="1841"/>
        <item x="2228"/>
        <item x="2052"/>
        <item x="1773"/>
        <item x="2079"/>
        <item x="1863"/>
        <item x="974"/>
        <item x="2723"/>
        <item x="1940"/>
        <item x="3421"/>
        <item x="1710"/>
        <item x="2194"/>
        <item x="115"/>
        <item x="1546"/>
        <item x="3448"/>
        <item x="2536"/>
        <item x="941"/>
        <item x="1619"/>
        <item x="2949"/>
        <item x="1862"/>
        <item x="2283"/>
        <item x="3252"/>
        <item x="1007"/>
        <item x="3189"/>
        <item x="3140"/>
        <item x="1580"/>
        <item x="553"/>
        <item x="3004"/>
        <item x="2007"/>
        <item x="940"/>
        <item x="695"/>
        <item x="394"/>
        <item x="1409"/>
        <item x="2825"/>
        <item x="1433"/>
        <item x="535"/>
        <item x="1501"/>
        <item x="1733"/>
        <item x="1029"/>
        <item x="2123"/>
        <item x="585"/>
        <item x="2729"/>
        <item x="2227"/>
        <item x="3523"/>
        <item x="3139"/>
        <item x="2746"/>
        <item x="3475"/>
        <item x="3178"/>
        <item x="789"/>
        <item x="2872"/>
        <item x="566"/>
        <item x="2781"/>
        <item x="1665"/>
        <item x="1840"/>
        <item x="1432"/>
        <item x="234"/>
        <item x="1685"/>
        <item x="1254"/>
        <item x="261"/>
        <item x="1459"/>
        <item x="3405"/>
        <item x="1102"/>
        <item x="729"/>
        <item x="938"/>
        <item x="3486"/>
        <item x="3076"/>
        <item x="1761"/>
        <item x="340"/>
        <item x="2772"/>
        <item x="773"/>
        <item x="1687"/>
        <item x="1972"/>
        <item x="2371"/>
        <item x="2031"/>
        <item x="2707"/>
        <item x="3223"/>
        <item x="1355"/>
        <item x="2143"/>
        <item x="2900"/>
        <item x="393"/>
        <item x="51"/>
        <item x="89"/>
        <item x="1239"/>
        <item x="2276"/>
        <item x="260"/>
        <item x="2226"/>
        <item x="973"/>
        <item x="1642"/>
        <item x="2102"/>
        <item x="3478"/>
        <item x="1760"/>
        <item x="3484"/>
        <item x="1421"/>
        <item x="3102"/>
        <item x="1339"/>
        <item x="238"/>
        <item x="790"/>
        <item x="1269"/>
        <item x="2277"/>
        <item x="1101"/>
        <item x="1937"/>
        <item x="3031"/>
        <item x="708"/>
        <item x="216"/>
        <item x="1018"/>
        <item x="2380"/>
        <item x="565"/>
        <item x="2435"/>
        <item x="1503"/>
        <item x="3432"/>
        <item x="103"/>
        <item x="155"/>
        <item x="788"/>
        <item x="2193"/>
        <item x="13"/>
        <item x="2998"/>
        <item x="339"/>
        <item x="1674"/>
        <item x="2051"/>
        <item x="196"/>
        <item x="2018"/>
        <item x="3213"/>
        <item x="937"/>
        <item x="375"/>
        <item x="1545"/>
        <item x="338"/>
        <item x="1458"/>
        <item x="3075"/>
        <item x="1028"/>
        <item x="3074"/>
        <item x="916"/>
        <item x="728"/>
        <item x="707"/>
        <item x="258"/>
        <item x="3321"/>
        <item x="1165"/>
        <item x="276"/>
        <item x="2633"/>
        <item x="1238"/>
        <item x="2545"/>
        <item x="1579"/>
        <item x="2948"/>
        <item x="1526"/>
        <item x="50"/>
        <item x="1646"/>
        <item x="706"/>
        <item x="1850"/>
        <item x="1268"/>
        <item x="582"/>
        <item x="1303"/>
        <item x="1100"/>
        <item x="1578"/>
        <item x="100"/>
        <item x="564"/>
        <item x="3440"/>
        <item x="3201"/>
        <item x="2225"/>
        <item x="2369"/>
        <item x="2192"/>
        <item x="2728"/>
        <item x="1965"/>
        <item x="2449"/>
        <item x="2379"/>
        <item x="1267"/>
        <item x="2799"/>
        <item x="2448"/>
        <item x="253"/>
        <item x="2006"/>
        <item x="2866"/>
        <item x="1071"/>
        <item x="2824"/>
        <item x="2699"/>
        <item x="76"/>
        <item x="2224"/>
        <item x="2117"/>
        <item x="1709"/>
        <item x="3388"/>
        <item x="26"/>
        <item x="1577"/>
        <item x="1772"/>
        <item x="563"/>
        <item x="2586"/>
        <item x="1759"/>
        <item x="3288"/>
        <item x="2579"/>
        <item x="2706"/>
        <item x="2131"/>
        <item x="1522"/>
        <item x="3177"/>
        <item x="491"/>
        <item x="2862"/>
        <item x="1099"/>
        <item x="1913"/>
        <item x="2544"/>
        <item x="3073"/>
        <item x="2005"/>
        <item x="2845"/>
        <item x="305"/>
        <item x="154"/>
        <item x="3253"/>
        <item x="3005"/>
        <item x="237"/>
        <item x="495"/>
        <item x="600"/>
        <item x="1645"/>
        <item x="1849"/>
        <item x="3101"/>
        <item x="2004"/>
        <item x="1022"/>
        <item x="3259"/>
        <item x="784"/>
        <item x="2050"/>
        <item x="1861"/>
        <item x="2745"/>
        <item x="1010"/>
        <item x="3482"/>
        <item x="1797"/>
        <item x="2521"/>
        <item x="1676"/>
        <item x="3030"/>
        <item x="1771"/>
        <item x="3533"/>
        <item x="2223"/>
        <item x="337"/>
        <item x="211"/>
        <item x="670"/>
        <item x="1824"/>
        <item x="694"/>
        <item x="2871"/>
        <item x="1792"/>
        <item x="3155"/>
        <item x="2562"/>
        <item x="2142"/>
        <item x="499"/>
        <item x="2584"/>
        <item x="2360"/>
        <item x="3307"/>
        <item x="936"/>
        <item x="599"/>
        <item x="1927"/>
        <item x="1618"/>
        <item x="747"/>
        <item x="2040"/>
        <item x="1511"/>
        <item x="304"/>
        <item x="562"/>
        <item x="3072"/>
        <item x="3006"/>
        <item x="147"/>
        <item x="2947"/>
        <item x="1021"/>
        <item x="3138"/>
        <item x="303"/>
        <item x="3003"/>
        <item x="3071"/>
        <item x="1457"/>
        <item x="2744"/>
        <item x="3522"/>
        <item x="1576"/>
        <item x="2222"/>
        <item x="3400"/>
        <item x="1641"/>
        <item x="2679"/>
        <item x="98"/>
        <item x="693"/>
        <item x="1406"/>
        <item x="2141"/>
        <item x="2554"/>
        <item x="3340"/>
        <item x="1229"/>
        <item x="917"/>
        <item x="1485"/>
        <item x="2641"/>
        <item x="1121"/>
        <item x="3222"/>
        <item x="189"/>
        <item x="1098"/>
        <item x="1024"/>
        <item x="3137"/>
        <item x="119"/>
        <item x="2221"/>
        <item x="3100"/>
        <item x="3029"/>
        <item x="151"/>
        <item x="3415"/>
        <item x="1575"/>
        <item x="1097"/>
        <item x="2760"/>
        <item x="2078"/>
        <item x="1544"/>
        <item x="1617"/>
        <item x="1658"/>
        <item x="3207"/>
        <item x="2116"/>
        <item x="2758"/>
        <item x="887"/>
        <item x="2400"/>
        <item x="1302"/>
        <item x="781"/>
        <item x="49"/>
        <item x="259"/>
        <item x="2284"/>
        <item x="2077"/>
        <item x="2613"/>
        <item x="3430"/>
        <item x="932"/>
        <item x="2667"/>
        <item x="3001"/>
        <item x="2220"/>
        <item x="1574"/>
        <item x="2290"/>
        <item x="2349"/>
        <item x="2049"/>
        <item x="1096"/>
        <item x="1095"/>
        <item x="2219"/>
        <item x="2663"/>
        <item x="2340"/>
        <item x="2666"/>
        <item x="19"/>
        <item x="2572"/>
        <item x="1266"/>
        <item x="900"/>
        <item x="3417"/>
        <item x="2399"/>
        <item x="1237"/>
        <item x="1922"/>
        <item x="75"/>
        <item x="494"/>
        <item x="2398"/>
        <item x="336"/>
        <item x="2269"/>
        <item x="2289"/>
        <item x="1094"/>
        <item x="2791"/>
        <item x="2003"/>
        <item x="1960"/>
        <item x="3028"/>
        <item x="3418"/>
        <item x="897"/>
        <item x="3215"/>
        <item x="3485"/>
        <item x="2498"/>
        <item x="2863"/>
        <item x="1839"/>
        <item x="1164"/>
        <item x="2339"/>
        <item x="48"/>
        <item x="3423"/>
        <item x="593"/>
        <item x="1997"/>
        <item x="3404"/>
        <item x="1732"/>
        <item x="2764"/>
        <item x="2553"/>
        <item x="2606"/>
        <item x="2722"/>
        <item x="972"/>
        <item x="1939"/>
        <item x="2101"/>
        <item x="2076"/>
        <item x="2771"/>
        <item x="302"/>
        <item x="1928"/>
        <item x="1644"/>
        <item x="1770"/>
        <item x="2280"/>
        <item x="1731"/>
        <item x="47"/>
        <item x="207"/>
        <item x="2552"/>
        <item x="2653"/>
        <item x="1573"/>
        <item x="2678"/>
        <item x="1727"/>
        <item x="1572"/>
        <item x="669"/>
        <item x="1571"/>
        <item x="598"/>
        <item x="2115"/>
        <item x="1796"/>
        <item x="2869"/>
        <item x="2786"/>
        <item x="537"/>
        <item x="2813"/>
        <item x="2718"/>
        <item x="2665"/>
        <item x="1657"/>
        <item x="2359"/>
        <item x="2494"/>
        <item x="538"/>
        <item x="2520"/>
        <item x="1758"/>
        <item x="3256"/>
        <item x="2496"/>
        <item x="335"/>
        <item x="2278"/>
        <item x="988"/>
        <item x="2614"/>
        <item x="380"/>
        <item x="3136"/>
        <item x="3220"/>
        <item x="11"/>
        <item x="705"/>
        <item x="2743"/>
        <item x="2946"/>
        <item x="1265"/>
        <item x="3532"/>
        <item x="2351"/>
        <item x="971"/>
        <item x="2677"/>
        <item x="2627"/>
        <item x="334"/>
        <item x="3209"/>
        <item x="1510"/>
        <item x="1724"/>
        <item x="1520"/>
        <item x="704"/>
        <item x="3070"/>
        <item x="668"/>
        <item x="3199"/>
        <item x="2030"/>
        <item x="1521"/>
        <item x="1222"/>
        <item x="215"/>
        <item x="1570"/>
        <item x="3069"/>
        <item x="3115"/>
        <item x="2281"/>
        <item x="2191"/>
        <item x="1431"/>
        <item x="1352"/>
        <item x="460"/>
        <item x="1093"/>
        <item x="2810"/>
        <item x="111"/>
        <item x="2444"/>
        <item x="2788"/>
        <item x="1643"/>
        <item x="2742"/>
        <item x="934"/>
        <item x="780"/>
        <item x="2705"/>
        <item x="2519"/>
        <item x="133"/>
        <item x="3320"/>
        <item x="1301"/>
        <item x="746"/>
        <item x="2367"/>
        <item x="3068"/>
        <item x="498"/>
        <item x="2599"/>
        <item x="1008"/>
        <item x="2019"/>
        <item x="1092"/>
        <item x="860"/>
        <item x="2130"/>
        <item x="2806"/>
        <item x="301"/>
        <item x="1708"/>
        <item x="389"/>
        <item x="46"/>
        <item x="1420"/>
        <item x="688"/>
        <item x="2823"/>
        <item x="2801"/>
        <item x="1500"/>
        <item x="1906"/>
        <item x="2638"/>
        <item x="915"/>
        <item x="667"/>
        <item x="1757"/>
        <item x="3319"/>
        <item x="18"/>
        <item x="1907"/>
        <item x="1569"/>
        <item x="3269"/>
        <item x="45"/>
        <item x="300"/>
        <item x="148"/>
        <item x="1525"/>
        <item x="3027"/>
        <item x="1860"/>
        <item x="1091"/>
        <item x="2286"/>
        <item x="1404"/>
        <item x="727"/>
        <item x="970"/>
        <item x="1859"/>
        <item x="1838"/>
        <item x="2326"/>
        <item x="44"/>
        <item x="299"/>
        <item x="298"/>
        <item x="1681"/>
        <item x="1568"/>
        <item x="1567"/>
        <item x="3268"/>
        <item x="1726"/>
        <item x="236"/>
        <item x="1566"/>
        <item x="1700"/>
        <item x="3257"/>
        <item x="195"/>
        <item x="666"/>
        <item x="2188"/>
        <item x="43"/>
        <item x="2002"/>
        <item x="3067"/>
        <item x="1932"/>
        <item x="2285"/>
        <item x="492"/>
        <item x="1616"/>
        <item x="120"/>
        <item x="1615"/>
        <item x="3135"/>
        <item x="969"/>
        <item x="2996"/>
        <item x="313"/>
        <item x="3420"/>
        <item x="2689"/>
        <item x="1795"/>
        <item x="778"/>
        <item x="933"/>
        <item x="2338"/>
        <item x="2696"/>
        <item x="896"/>
        <item x="3066"/>
        <item x="2992"/>
        <item x="536"/>
        <item x="102"/>
        <item x="2218"/>
        <item x="333"/>
        <item x="1509"/>
        <item x="1656"/>
        <item x="2741"/>
        <item x="1730"/>
        <item x="2543"/>
        <item x="1614"/>
        <item x="297"/>
        <item x="2719"/>
        <item x="1419"/>
        <item x="1756"/>
        <item x="1005"/>
        <item x="2551"/>
        <item x="2217"/>
        <item x="665"/>
        <item x="445"/>
        <item x="1430"/>
        <item x="777"/>
        <item x="2652"/>
        <item x="3255"/>
        <item x="490"/>
        <item x="914"/>
        <item x="296"/>
        <item x="2190"/>
        <item x="581"/>
        <item x="2320"/>
        <item x="87"/>
        <item x="597"/>
        <item x="2995"/>
        <item x="2348"/>
        <item x="3254"/>
        <item x="1403"/>
        <item x="295"/>
        <item x="2937"/>
        <item x="2140"/>
        <item x="1794"/>
        <item x="745"/>
        <item x="444"/>
        <item x="2440"/>
        <item x="257"/>
        <item x="3134"/>
        <item x="3301"/>
        <item x="1070"/>
        <item x="3483"/>
        <item x="2997"/>
        <item x="1613"/>
        <item x="2499"/>
        <item x="332"/>
        <item x="3026"/>
        <item x="2325"/>
        <item x="274"/>
        <item x="1508"/>
        <item x="3099"/>
        <item x="459"/>
        <item x="3369"/>
        <item x="2740"/>
        <item x="153"/>
        <item x="2762"/>
        <item x="2859"/>
        <item x="2664"/>
        <item x="2028"/>
        <item x="893"/>
        <item x="2864"/>
        <item x="1679"/>
        <item x="3481"/>
        <item x="1729"/>
        <item x="3318"/>
        <item x="3338"/>
        <item x="2721"/>
        <item x="2029"/>
        <item x="3065"/>
        <item x="1926"/>
        <item x="3414"/>
        <item x="1639"/>
        <item x="925"/>
        <item x="3480"/>
        <item x="561"/>
        <item x="3300"/>
        <item x="3025"/>
        <item x="2717"/>
        <item x="534"/>
        <item x="2442"/>
        <item x="2836"/>
        <item x="42"/>
        <item x="3439"/>
        <item x="2891"/>
        <item x="2692"/>
        <item x="235"/>
        <item x="1246"/>
        <item x="2945"/>
        <item x="664"/>
        <item x="1769"/>
        <item x="1755"/>
        <item x="1069"/>
        <item x="2075"/>
        <item x="2608"/>
        <item x="1929"/>
        <item x="1484"/>
        <item x="2039"/>
        <item x="1163"/>
        <item x="1399"/>
        <item x="1224"/>
        <item x="2074"/>
        <item x="3064"/>
        <item x="2497"/>
        <item x="12"/>
        <item x="3133"/>
        <item x="3521"/>
        <item x="3267"/>
        <item x="1768"/>
        <item x="703"/>
        <item x="2366"/>
        <item x="152"/>
        <item x="1963"/>
        <item x="2027"/>
        <item x="3119"/>
        <item x="2910"/>
        <item x="3317"/>
        <item x="2739"/>
        <item x="890"/>
        <item x="764"/>
        <item x="2457"/>
        <item x="3063"/>
        <item x="888"/>
        <item x="1401"/>
        <item x="744"/>
        <item x="3399"/>
        <item x="2518"/>
        <item x="2346"/>
        <item x="3132"/>
        <item x="2274"/>
        <item x="2489"/>
        <item x="1090"/>
        <item x="3398"/>
        <item x="1002"/>
        <item x="1612"/>
        <item x="2026"/>
        <item x="692"/>
        <item x="1916"/>
        <item x="993"/>
        <item x="2790"/>
        <item x="2365"/>
        <item x="1529"/>
        <item x="1858"/>
        <item x="2542"/>
        <item x="2347"/>
        <item x="1964"/>
        <item x="584"/>
        <item x="2216"/>
        <item x="861"/>
        <item x="1837"/>
        <item x="2577"/>
        <item x="1300"/>
        <item x="3431"/>
        <item x="663"/>
        <item x="1162"/>
        <item x="743"/>
        <item x="1677"/>
        <item x="1456"/>
        <item x="3098"/>
        <item x="206"/>
        <item x="1898"/>
        <item x="2185"/>
        <item x="2821"/>
        <item x="2129"/>
        <item x="3368"/>
        <item x="1611"/>
        <item x="118"/>
        <item x="2944"/>
        <item x="2313"/>
        <item x="2938"/>
        <item x="3097"/>
        <item x="2186"/>
        <item x="691"/>
        <item x="2738"/>
        <item x="3118"/>
        <item x="114"/>
        <item x="2311"/>
        <item x="2268"/>
        <item x="2272"/>
        <item x="776"/>
        <item x="1400"/>
        <item x="3304"/>
        <item x="2698"/>
        <item x="1836"/>
        <item x="2704"/>
        <item x="3131"/>
        <item x="2215"/>
        <item x="101"/>
        <item x="2658"/>
        <item x="2000"/>
        <item x="2364"/>
        <item x="2994"/>
        <item x="1909"/>
        <item x="1610"/>
        <item x="3130"/>
        <item x="2517"/>
        <item x="2323"/>
        <item x="1924"/>
        <item x="1264"/>
        <item x="2025"/>
        <item x="1161"/>
        <item x="3303"/>
        <item x="2273"/>
        <item x="1394"/>
        <item x="188"/>
        <item x="493"/>
        <item x="2324"/>
        <item x="775"/>
        <item x="1089"/>
        <item x="2128"/>
        <item x="3024"/>
        <item x="41"/>
        <item x="2275"/>
        <item x="1923"/>
        <item x="929"/>
        <item x="2354"/>
        <item x="2495"/>
        <item x="2385"/>
        <item x="2395"/>
        <item x="2024"/>
        <item x="331"/>
        <item x="40"/>
        <item x="2214"/>
        <item x="851"/>
        <item x="213"/>
        <item x="2127"/>
        <item x="435"/>
        <item x="1999"/>
        <item x="117"/>
        <item x="2576"/>
        <item x="3531"/>
        <item x="2433"/>
        <item x="3176"/>
        <item x="1429"/>
        <item x="2737"/>
        <item x="1160"/>
        <item x="3188"/>
        <item x="1565"/>
        <item x="3208"/>
        <item x="442"/>
        <item x="2798"/>
        <item x="1483"/>
        <item x="1006"/>
        <item x="272"/>
        <item x="39"/>
        <item x="3397"/>
        <item x="1754"/>
        <item x="928"/>
        <item x="374"/>
        <item x="3419"/>
        <item x="3210"/>
        <item x="2516"/>
        <item x="2890"/>
        <item x="251"/>
        <item x="438"/>
        <item x="591"/>
        <item x="1996"/>
        <item x="17"/>
        <item x="2456"/>
        <item x="1000"/>
        <item x="256"/>
        <item x="5"/>
        <item x="116"/>
        <item x="3316"/>
        <item x="3396"/>
        <item x="2213"/>
        <item x="1519"/>
        <item x="386"/>
        <item x="205"/>
        <item x="2650"/>
        <item x="2856"/>
        <item x="1507"/>
        <item x="1609"/>
        <item x="286"/>
        <item x="1236"/>
        <item x="2492"/>
        <item x="930"/>
        <item x="3129"/>
        <item x="1921"/>
        <item x="1721"/>
        <item x="2048"/>
        <item x="1159"/>
        <item x="3520"/>
        <item x="3211"/>
        <item x="194"/>
        <item x="2943"/>
        <item x="1088"/>
        <item x="2490"/>
        <item x="1506"/>
        <item x="592"/>
        <item x="1908"/>
        <item x="1499"/>
        <item x="506"/>
        <item x="16"/>
        <item x="560"/>
        <item x="38"/>
        <item x="1120"/>
        <item x="2023"/>
        <item x="2212"/>
        <item x="330"/>
        <item x="2266"/>
        <item x="2271"/>
        <item x="37"/>
        <item x="2270"/>
        <item x="3409"/>
        <item x="1398"/>
        <item x="36"/>
        <item x="252"/>
        <item x="9"/>
        <item x="497"/>
        <item x="1672"/>
        <item x="3206"/>
        <item x="2662"/>
        <item x="590"/>
        <item x="1068"/>
        <item x="329"/>
        <item x="2720"/>
        <item x="2809"/>
        <item x="3128"/>
        <item x="233"/>
        <item x="2736"/>
        <item x="1119"/>
        <item x="702"/>
        <item x="1538"/>
        <item x="3127"/>
        <item x="2903"/>
        <item x="763"/>
        <item x="2656"/>
        <item x="2550"/>
        <item x="2265"/>
        <item x="2263"/>
        <item x="3285"/>
        <item x="2991"/>
        <item x="110"/>
        <item x="232"/>
        <item x="1564"/>
        <item x="1563"/>
        <item x="2100"/>
        <item x="2549"/>
        <item x="1848"/>
        <item x="150"/>
        <item x="1418"/>
        <item x="285"/>
        <item x="2990"/>
        <item x="489"/>
        <item x="3412"/>
        <item x="2988"/>
        <item x="2353"/>
        <item x="212"/>
        <item x="3476"/>
        <item x="3477"/>
        <item x="774"/>
        <item x="328"/>
        <item x="2356"/>
        <item x="2073"/>
        <item x="3416"/>
        <item x="987"/>
        <item x="2183"/>
        <item x="2989"/>
        <item x="255"/>
        <item x="1883"/>
        <item x="3287"/>
        <item x="2617"/>
        <item x="2759"/>
        <item x="35"/>
        <item x="187"/>
        <item x="1673"/>
        <item x="327"/>
        <item x="2182"/>
        <item x="3315"/>
        <item x="1562"/>
        <item x="2491"/>
        <item x="1998"/>
        <item x="892"/>
        <item x="1892"/>
        <item x="2126"/>
        <item x="3314"/>
        <item x="86"/>
        <item x="968"/>
        <item x="3062"/>
        <item x="3175"/>
        <item x="113"/>
        <item x="2735"/>
        <item x="25"/>
        <item x="2703"/>
        <item x="967"/>
        <item x="2818"/>
        <item x="2985"/>
        <item x="2363"/>
        <item x="1561"/>
        <item x="1920"/>
        <item x="1904"/>
        <item x="2114"/>
        <item x="1078"/>
        <item x="881"/>
        <item x="1"/>
        <item x="2942"/>
        <item x="461"/>
        <item x="1388"/>
        <item x="2432"/>
        <item x="1608"/>
        <item x="1971"/>
        <item x="1703"/>
        <item x="3302"/>
        <item x="1962"/>
        <item x="1001"/>
        <item x="986"/>
        <item x="2690"/>
        <item x="1455"/>
        <item x="0"/>
        <item x="1753"/>
        <item x="112"/>
        <item x="3061"/>
        <item x="1087"/>
        <item x="1397"/>
        <item x="1995"/>
        <item x="2487"/>
        <item x="662"/>
        <item x="997"/>
        <item x="3174"/>
        <item x="1221"/>
        <item x="2447"/>
        <item x="1857"/>
        <item x="2038"/>
        <item x="2431"/>
        <item x="3447"/>
        <item x="3060"/>
        <item x="1896"/>
        <item x="1899"/>
        <item x="3173"/>
        <item x="1905"/>
        <item x="998"/>
        <item x="1699"/>
        <item x="3242"/>
        <item x="2659"/>
        <item x="2983"/>
        <item x="2362"/>
        <item x="927"/>
        <item x="149"/>
        <item x="1086"/>
        <item x="3023"/>
        <item x="1537"/>
        <item x="999"/>
        <item x="1888"/>
        <item x="2697"/>
        <item x="1702"/>
        <item x="2267"/>
        <item x="1543"/>
        <item x="1835"/>
        <item x="284"/>
        <item x="2661"/>
        <item x="661"/>
        <item x="1915"/>
        <item x="1454"/>
        <item x="2211"/>
        <item x="1560"/>
        <item x="2481"/>
        <item x="2822"/>
        <item x="3096"/>
        <item x="2483"/>
        <item x="1894"/>
        <item x="2072"/>
        <item x="192"/>
        <item x="2384"/>
        <item x="1235"/>
        <item x="1666"/>
        <item x="457"/>
        <item x="2099"/>
        <item x="2819"/>
        <item x="1953"/>
        <item x="2361"/>
        <item x="3059"/>
        <item x="1897"/>
        <item x="2321"/>
        <item x="2941"/>
        <item x="458"/>
        <item x="2727"/>
        <item x="966"/>
        <item x="2820"/>
        <item x="1823"/>
        <item x="3251"/>
        <item x="511"/>
        <item x="425"/>
        <item x="1607"/>
        <item x="371"/>
        <item x="1453"/>
        <item x="3058"/>
        <item x="1723"/>
        <item x="2600"/>
        <item x="104"/>
        <item x="326"/>
        <item x="850"/>
        <item x="2675"/>
        <item x="2981"/>
        <item x="1452"/>
        <item x="24"/>
        <item x="325"/>
        <item x="1085"/>
        <item x="1223"/>
        <item x="875"/>
        <item x="2439"/>
        <item x="441"/>
        <item x="505"/>
        <item x="1084"/>
        <item x="191"/>
        <item x="1911"/>
        <item x="2598"/>
        <item x="2961"/>
        <item x="3250"/>
        <item x="1834"/>
        <item x="2785"/>
        <item x="926"/>
        <item x="1559"/>
        <item x="559"/>
        <item x="3286"/>
        <item x="2694"/>
        <item x="3022"/>
        <item x="527"/>
        <item x="3057"/>
        <item x="2358"/>
        <item x="1961"/>
        <item x="690"/>
        <item x="2178"/>
        <item x="106"/>
        <item x="143"/>
        <item x="580"/>
        <item x="2940"/>
        <item x="1417"/>
        <item x="1083"/>
        <item x="2210"/>
        <item x="1558"/>
        <item x="1451"/>
        <item x="1395"/>
        <item x="2980"/>
        <item x="1910"/>
        <item x="882"/>
        <item x="1895"/>
        <item x="889"/>
        <item x="3519"/>
        <item x="530"/>
        <item x="1903"/>
        <item x="2393"/>
        <item x="2688"/>
        <item x="2098"/>
        <item x="2957"/>
        <item x="3126"/>
        <item x="596"/>
        <item x="2319"/>
        <item x="1671"/>
        <item x="2352"/>
        <item x="2726"/>
        <item x="3056"/>
        <item x="283"/>
        <item x="145"/>
        <item x="324"/>
        <item x="2734"/>
        <item x="2979"/>
        <item x="3387"/>
        <item x="3530"/>
        <item x="920"/>
        <item x="1670"/>
        <item x="862"/>
        <item x="726"/>
        <item x="2383"/>
        <item x="1856"/>
        <item x="2316"/>
        <item x="2071"/>
        <item x="2515"/>
        <item x="2455"/>
        <item x="34"/>
        <item x="2264"/>
        <item x="1847"/>
        <item x="74"/>
        <item x="1902"/>
        <item x="725"/>
        <item x="3172"/>
        <item x="886"/>
        <item x="2488"/>
        <item x="3275"/>
        <item x="2070"/>
        <item x="385"/>
        <item x="3249"/>
        <item x="1900"/>
        <item x="109"/>
        <item x="1668"/>
        <item x="379"/>
        <item x="3395"/>
        <item x="1891"/>
        <item x="2767"/>
        <item x="2069"/>
        <item x="1220"/>
        <item x="3284"/>
        <item x="772"/>
        <item x="204"/>
        <item x="2811"/>
        <item x="551"/>
        <item x="2609"/>
        <item x="1391"/>
        <item x="250"/>
        <item x="701"/>
        <item x="3313"/>
        <item x="2733"/>
        <item x="1893"/>
        <item x="430"/>
        <item x="15"/>
        <item x="2181"/>
        <item x="2660"/>
        <item x="700"/>
        <item x="1959"/>
        <item x="3312"/>
        <item x="2973"/>
        <item x="3394"/>
        <item x="689"/>
        <item x="3171"/>
        <item x="2784"/>
        <item x="3438"/>
        <item x="2850"/>
        <item x="1855"/>
        <item x="1889"/>
        <item x="105"/>
        <item x="2732"/>
        <item x="2987"/>
        <item x="2482"/>
        <item x="1234"/>
        <item x="660"/>
        <item x="2477"/>
        <item x="3410"/>
        <item x="965"/>
        <item x="1387"/>
        <item x="144"/>
        <item x="1669"/>
        <item x="3125"/>
        <item x="2357"/>
        <item x="323"/>
        <item x="2484"/>
        <item x="2978"/>
        <item x="282"/>
        <item x="579"/>
        <item x="2318"/>
        <item x="2125"/>
        <item x="3283"/>
        <item x="2982"/>
        <item x="8"/>
        <item x="436"/>
        <item x="3124"/>
        <item x="2939"/>
        <item x="878"/>
        <item x="2047"/>
        <item x="1854"/>
        <item x="437"/>
        <item x="2835"/>
        <item x="2902"/>
        <item x="1901"/>
        <item x="2486"/>
        <item x="2209"/>
        <item x="924"/>
        <item x="3248"/>
        <item x="1393"/>
        <item x="1450"/>
        <item x="2986"/>
        <item x="322"/>
        <item x="3021"/>
        <item x="1969"/>
        <item x="1557"/>
        <item x="1663"/>
        <item x="995"/>
        <item x="771"/>
        <item x="3095"/>
        <item x="1542"/>
        <item x="2977"/>
        <item x="2984"/>
        <item x="193"/>
        <item x="1887"/>
        <item x="1540"/>
        <item x="3094"/>
        <item x="2317"/>
        <item x="2259"/>
        <item x="2179"/>
        <item x="2651"/>
        <item x="3055"/>
        <item x="2485"/>
        <item x="2355"/>
        <item x="2262"/>
        <item x="3123"/>
        <item x="2466"/>
        <item x="2789"/>
        <item x="3281"/>
        <item x="1640"/>
        <item x="2180"/>
        <item x="1833"/>
        <item x="1233"/>
        <item x="3311"/>
        <item x="3413"/>
        <item x="271"/>
        <item x="203"/>
        <item x="108"/>
        <item x="2394"/>
        <item x="595"/>
        <item x="141"/>
        <item x="2315"/>
        <item x="99"/>
        <item x="2783"/>
        <item x="659"/>
        <item x="3114"/>
        <item x="1890"/>
        <item x="3195"/>
        <item x="1445"/>
        <item x="558"/>
        <item x="1518"/>
        <item x="2702"/>
        <item x="2022"/>
        <item x="884"/>
        <item x="321"/>
        <item x="1219"/>
        <item x="2567"/>
        <item x="3245"/>
        <item x="2438"/>
        <item x="2480"/>
        <item x="320"/>
        <item x="1752"/>
        <item x="2695"/>
        <item x="855"/>
        <item x="2687"/>
        <item x="83"/>
        <item x="1751"/>
        <item x="652"/>
        <item x="867"/>
        <item x="2817"/>
        <item x="2479"/>
        <item x="1886"/>
        <item x="1885"/>
        <item x="281"/>
        <item x="2478"/>
        <item x="84"/>
        <item x="1390"/>
        <item x="1541"/>
        <item x="992"/>
        <item x="2208"/>
        <item x="85"/>
        <item x="2574"/>
        <item x="7"/>
        <item x="1556"/>
        <item x="2832"/>
        <item x="2976"/>
        <item x="33"/>
        <item x="2607"/>
        <item x="3437"/>
        <item x="1846"/>
        <item x="3170"/>
        <item x="687"/>
        <item x="3093"/>
        <item x="32"/>
        <item x="883"/>
        <item x="364"/>
        <item x="1555"/>
        <item x="2207"/>
        <item x="3282"/>
        <item x="1955"/>
        <item x="2935"/>
        <item x="2936"/>
        <item x="3310"/>
        <item x="2975"/>
        <item x="1606"/>
        <item x="428"/>
        <item x="433"/>
        <item x="869"/>
        <item x="139"/>
        <item x="1605"/>
        <item x="2514"/>
        <item x="31"/>
        <item x="1994"/>
        <item x="2260"/>
        <item x="964"/>
        <item x="209"/>
        <item x="2548"/>
        <item x="3169"/>
        <item x="1554"/>
        <item x="456"/>
        <item x="3122"/>
        <item x="138"/>
        <item x="1750"/>
        <item x="879"/>
        <item x="1082"/>
        <item x="1664"/>
        <item x="1228"/>
        <item x="1392"/>
        <item x="1534"/>
        <item x="3154"/>
        <item x="294"/>
        <item x="2470"/>
        <item x="2686"/>
        <item x="1067"/>
        <item x="557"/>
        <item x="210"/>
        <item x="136"/>
        <item x="1344"/>
        <item x="2097"/>
        <item x="876"/>
        <item x="2177"/>
        <item x="2467"/>
        <item x="2725"/>
        <item x="1958"/>
        <item x="658"/>
        <item x="864"/>
        <item x="2603"/>
        <item x="2972"/>
        <item x="3298"/>
        <item x="1386"/>
        <item x="1832"/>
        <item x="1881"/>
        <item x="2261"/>
        <item x="3054"/>
        <item x="3278"/>
        <item x="190"/>
        <item x="2560"/>
        <item x="2974"/>
        <item x="1880"/>
        <item x="1449"/>
        <item x="1956"/>
        <item x="526"/>
        <item x="923"/>
        <item x="3266"/>
        <item x="2312"/>
        <item x="2469"/>
        <item x="2685"/>
        <item x="1389"/>
        <item x="3053"/>
        <item x="429"/>
        <item x="1884"/>
        <item x="985"/>
        <item x="1882"/>
        <item x="431"/>
        <item x="922"/>
        <item x="3279"/>
        <item x="2258"/>
        <item x="2960"/>
        <item x="2206"/>
        <item x="2382"/>
        <item x="2934"/>
        <item x="991"/>
        <item x="23"/>
        <item x="3052"/>
        <item x="921"/>
        <item x="2969"/>
        <item x="2475"/>
        <item x="1993"/>
        <item x="1263"/>
        <item x="1793"/>
        <item x="1698"/>
        <item x="3277"/>
        <item x="1553"/>
        <item x="455"/>
        <item x="2967"/>
        <item x="1448"/>
        <item x="742"/>
        <item x="3247"/>
        <item x="2565"/>
        <item x="2573"/>
        <item x="3051"/>
        <item x="1877"/>
        <item x="2816"/>
        <item x="1845"/>
        <item x="2472"/>
        <item x="2465"/>
        <item x="2471"/>
        <item x="3092"/>
        <item x="2476"/>
        <item x="2473"/>
        <item x="137"/>
        <item x="2314"/>
        <item x="1081"/>
        <item x="2468"/>
        <item x="2256"/>
        <item x="2933"/>
        <item x="1066"/>
        <item x="1968"/>
        <item x="2255"/>
        <item x="2654"/>
        <item x="3436"/>
        <item x="2683"/>
        <item x="3196"/>
        <item x="6"/>
        <item x="2474"/>
        <item x="651"/>
        <item x="2541"/>
        <item x="871"/>
        <item x="2657"/>
        <item x="2971"/>
        <item x="1080"/>
        <item x="963"/>
        <item x="2345"/>
        <item x="2968"/>
        <item x="2782"/>
        <item x="135"/>
        <item x="2966"/>
        <item x="2959"/>
        <item x="384"/>
        <item x="1957"/>
        <item x="30"/>
        <item x="1879"/>
        <item x="432"/>
        <item x="1447"/>
        <item x="1878"/>
        <item x="3121"/>
        <item x="2344"/>
        <item x="863"/>
        <item x="990"/>
        <item x="868"/>
        <item x="2446"/>
        <item x="2684"/>
        <item x="3411"/>
        <item x="1533"/>
        <item x="2464"/>
        <item x="3276"/>
        <item x="1604"/>
        <item x="373"/>
        <item x="2963"/>
        <item x="525"/>
        <item x="1875"/>
        <item x="1158"/>
        <item x="770"/>
        <item x="3020"/>
        <item x="2462"/>
        <item x="488"/>
        <item x="2849"/>
        <item x="3050"/>
        <item x="2965"/>
        <item x="2962"/>
        <item x="2970"/>
        <item x="2257"/>
        <item x="427"/>
        <item x="2460"/>
        <item x="1992"/>
        <item x="1831"/>
        <item x="2964"/>
        <item x="134"/>
        <item x="454"/>
        <item x="3244"/>
        <item x="2655"/>
        <item x="1954"/>
        <item x="2252"/>
        <item x="556"/>
        <item x="1662"/>
        <item x="866"/>
        <item x="853"/>
        <item x="865"/>
        <item x="1385"/>
        <item x="2766"/>
        <item x="2461"/>
        <item x="1749"/>
        <item x="1232"/>
        <item x="3091"/>
        <item x="2254"/>
        <item x="1720"/>
        <item x="132"/>
        <item x="2309"/>
        <item x="82"/>
        <item x="1660"/>
        <item x="392"/>
        <item x="424"/>
        <item x="859"/>
        <item x="2463"/>
        <item x="426"/>
        <item x="1661"/>
        <item x="2958"/>
        <item x="1383"/>
        <item x="1384"/>
        <item x="2909"/>
        <item x="1876"/>
        <item x="1830"/>
        <item x="2096"/>
        <item x="3049"/>
        <item x="3297"/>
        <item x="1873"/>
        <item x="2253"/>
        <item x="3048"/>
        <item x="2176"/>
        <item x="2310"/>
        <item x="1536"/>
        <item x="2955"/>
        <item x="2956"/>
        <item x="857"/>
        <item x="1874"/>
        <item x="1603"/>
        <item x="2343"/>
        <item x="2797"/>
        <item x="383"/>
        <item x="487"/>
        <item x="769"/>
        <item x="1950"/>
        <item x="1952"/>
        <item x="2564"/>
        <item x="2205"/>
        <item x="856"/>
        <item x="858"/>
        <item x="3243"/>
        <item x="2954"/>
        <item x="3337"/>
        <item x="1949"/>
        <item x="486"/>
        <item x="854"/>
        <item x="2953"/>
        <item x="1991"/>
        <item x="3386"/>
        <item x="2952"/>
        <item x="3539"/>
        <item t="default"/>
      </items>
    </pivotField>
    <pivotField showAll="0"/>
    <pivotField dataField="1" showAll="0">
      <items count="3824">
        <item x="0"/>
        <item x="19"/>
        <item x="212"/>
        <item x="393"/>
        <item x="504"/>
        <item x="168"/>
        <item x="207"/>
        <item x="311"/>
        <item x="418"/>
        <item x="313"/>
        <item x="312"/>
        <item x="14"/>
        <item x="20"/>
        <item x="453"/>
        <item x="211"/>
        <item x="612"/>
        <item x="452"/>
        <item x="182"/>
        <item x="170"/>
        <item x="417"/>
        <item x="416"/>
        <item x="154"/>
        <item x="210"/>
        <item x="209"/>
        <item x="391"/>
        <item x="208"/>
        <item x="415"/>
        <item x="451"/>
        <item x="717"/>
        <item x="669"/>
        <item x="523"/>
        <item x="856"/>
        <item x="152"/>
        <item x="555"/>
        <item x="605"/>
        <item x="310"/>
        <item x="51"/>
        <item x="613"/>
        <item x="819"/>
        <item x="414"/>
        <item x="459"/>
        <item x="1019"/>
        <item x="413"/>
        <item x="720"/>
        <item x="308"/>
        <item x="153"/>
        <item x="621"/>
        <item x="388"/>
        <item x="1198"/>
        <item x="681"/>
        <item x="392"/>
        <item x="206"/>
        <item x="309"/>
        <item x="412"/>
        <item x="475"/>
        <item x="719"/>
        <item x="1571"/>
        <item x="450"/>
        <item x="1249"/>
        <item x="449"/>
        <item x="556"/>
        <item x="205"/>
        <item x="718"/>
        <item x="151"/>
        <item x="448"/>
        <item x="181"/>
        <item x="1087"/>
        <item x="447"/>
        <item x="1884"/>
        <item x="1086"/>
        <item x="446"/>
        <item x="1085"/>
        <item x="611"/>
        <item x="576"/>
        <item x="176"/>
        <item x="390"/>
        <item x="445"/>
        <item x="610"/>
        <item x="1927"/>
        <item x="307"/>
        <item x="546"/>
        <item x="554"/>
        <item x="1084"/>
        <item x="540"/>
        <item x="1523"/>
        <item x="1599"/>
        <item x="2698"/>
        <item x="150"/>
        <item x="411"/>
        <item x="1494"/>
        <item x="2991"/>
        <item x="2677"/>
        <item x="2194"/>
        <item x="880"/>
        <item x="149"/>
        <item x="539"/>
        <item x="306"/>
        <item x="389"/>
        <item x="2961"/>
        <item x="226"/>
        <item x="1355"/>
        <item x="333"/>
        <item x="410"/>
        <item x="148"/>
        <item x="409"/>
        <item x="968"/>
        <item x="1934"/>
        <item x="1602"/>
        <item x="180"/>
        <item x="609"/>
        <item x="1360"/>
        <item x="305"/>
        <item x="299"/>
        <item x="908"/>
        <item x="2601"/>
        <item x="476"/>
        <item x="302"/>
        <item x="1363"/>
        <item x="1248"/>
        <item x="503"/>
        <item x="304"/>
        <item x="579"/>
        <item x="1492"/>
        <item x="716"/>
        <item x="2591"/>
        <item x="695"/>
        <item x="444"/>
        <item x="688"/>
        <item x="293"/>
        <item x="146"/>
        <item x="1570"/>
        <item x="3239"/>
        <item x="2318"/>
        <item x="303"/>
        <item x="2612"/>
        <item x="502"/>
        <item x="953"/>
        <item x="204"/>
        <item x="408"/>
        <item x="1913"/>
        <item x="3591"/>
        <item x="147"/>
        <item x="183"/>
        <item x="387"/>
        <item x="2090"/>
        <item x="3295"/>
        <item x="443"/>
        <item x="301"/>
        <item x="838"/>
        <item x="407"/>
        <item x="354"/>
        <item x="560"/>
        <item x="1947"/>
        <item x="2189"/>
        <item x="606"/>
        <item x="1600"/>
        <item x="596"/>
        <item x="1197"/>
        <item x="1335"/>
        <item x="294"/>
        <item x="527"/>
        <item x="1083"/>
        <item x="1933"/>
        <item x="2447"/>
        <item x="1220"/>
        <item x="2193"/>
        <item x="607"/>
        <item x="203"/>
        <item x="715"/>
        <item x="1247"/>
        <item x="855"/>
        <item x="442"/>
        <item x="1879"/>
        <item x="13"/>
        <item x="2402"/>
        <item x="3702"/>
        <item x="1558"/>
        <item x="300"/>
        <item x="1586"/>
        <item x="2676"/>
        <item x="1875"/>
        <item x="2554"/>
        <item x="2870"/>
        <item x="620"/>
        <item x="977"/>
        <item x="2675"/>
        <item x="553"/>
        <item x="1491"/>
        <item x="2082"/>
        <item x="1362"/>
        <item x="1196"/>
        <item x="714"/>
        <item x="1591"/>
        <item x="2869"/>
        <item x="599"/>
        <item x="493"/>
        <item x="3384"/>
        <item x="3294"/>
        <item x="976"/>
        <item x="202"/>
        <item x="593"/>
        <item x="1106"/>
        <item x="1082"/>
        <item x="2816"/>
        <item x="201"/>
        <item x="296"/>
        <item x="975"/>
        <item x="386"/>
        <item x="2954"/>
        <item x="297"/>
        <item x="257"/>
        <item x="29"/>
        <item x="1785"/>
        <item x="1970"/>
        <item x="2611"/>
        <item x="1883"/>
        <item x="298"/>
        <item x="774"/>
        <item x="1195"/>
        <item x="3124"/>
        <item x="3015"/>
        <item x="2955"/>
        <item x="1520"/>
        <item x="713"/>
        <item x="501"/>
        <item x="2963"/>
        <item x="538"/>
        <item x="581"/>
        <item x="1194"/>
        <item x="608"/>
        <item x="744"/>
        <item x="145"/>
        <item x="2083"/>
        <item x="406"/>
        <item x="1359"/>
        <item x="2131"/>
        <item x="1493"/>
        <item x="295"/>
        <item x="441"/>
        <item x="1569"/>
        <item x="552"/>
        <item x="971"/>
        <item x="665"/>
        <item x="3471"/>
        <item x="3703"/>
        <item x="130"/>
        <item x="537"/>
        <item x="3279"/>
        <item x="1932"/>
        <item x="1357"/>
        <item x="2191"/>
        <item x="2598"/>
        <item x="2319"/>
        <item x="2147"/>
        <item x="1081"/>
        <item x="1561"/>
        <item x="712"/>
        <item x="536"/>
        <item x="1080"/>
        <item x="2212"/>
        <item x="1079"/>
        <item x="200"/>
        <item x="440"/>
        <item x="3531"/>
        <item x="3467"/>
        <item x="3468"/>
        <item x="3586"/>
        <item x="2868"/>
        <item x="711"/>
        <item x="1968"/>
        <item x="2602"/>
        <item x="2796"/>
        <item x="385"/>
        <item x="962"/>
        <item x="199"/>
        <item x="879"/>
        <item x="534"/>
        <item x="439"/>
        <item x="198"/>
        <item x="287"/>
        <item x="535"/>
        <item x="2579"/>
        <item x="3461"/>
        <item x="1358"/>
        <item x="3740"/>
        <item x="1075"/>
        <item x="1078"/>
        <item x="1695"/>
        <item x="3288"/>
        <item x="683"/>
        <item x="2674"/>
        <item x="291"/>
        <item x="288"/>
        <item x="2944"/>
        <item x="137"/>
        <item x="405"/>
        <item x="2835"/>
        <item x="3105"/>
        <item x="494"/>
        <item x="935"/>
        <item x="404"/>
        <item x="2673"/>
        <item x="710"/>
        <item x="1345"/>
        <item x="2600"/>
        <item x="2126"/>
        <item x="2492"/>
        <item x="3293"/>
        <item x="973"/>
        <item x="670"/>
        <item x="138"/>
        <item x="2960"/>
        <item x="140"/>
        <item x="3012"/>
        <item x="292"/>
        <item x="3469"/>
        <item x="3470"/>
        <item x="177"/>
        <item x="144"/>
        <item x="197"/>
        <item x="2089"/>
        <item x="3575"/>
        <item x="1881"/>
        <item x="1946"/>
        <item x="3292"/>
        <item x="3017"/>
        <item x="1002"/>
        <item x="951"/>
        <item x="143"/>
        <item x="1361"/>
        <item x="1969"/>
        <item x="3289"/>
        <item x="438"/>
        <item x="1882"/>
        <item x="878"/>
        <item x="1594"/>
        <item x="1519"/>
        <item x="3790"/>
        <item x="2820"/>
        <item x="3123"/>
        <item x="2552"/>
        <item x="2986"/>
        <item x="196"/>
        <item x="707"/>
        <item x="1759"/>
        <item x="3228"/>
        <item x="3525"/>
        <item x="2553"/>
        <item x="290"/>
        <item x="279"/>
        <item x="384"/>
        <item x="195"/>
        <item x="1077"/>
        <item x="3243"/>
        <item x="403"/>
        <item x="969"/>
        <item x="2076"/>
        <item x="2288"/>
        <item x="500"/>
        <item x="590"/>
        <item x="142"/>
        <item x="402"/>
        <item x="2125"/>
        <item x="2651"/>
        <item x="1568"/>
        <item x="133"/>
        <item x="2827"/>
        <item x="286"/>
        <item x="939"/>
        <item x="2081"/>
        <item x="604"/>
        <item x="709"/>
        <item x="141"/>
        <item x="1076"/>
        <item x="680"/>
        <item x="3741"/>
        <item x="3814"/>
        <item x="1521"/>
        <item x="437"/>
        <item x="1929"/>
        <item x="2130"/>
        <item x="2079"/>
        <item x="139"/>
        <item x="1074"/>
        <item x="706"/>
        <item x="2112"/>
        <item x="1505"/>
        <item x="1522"/>
        <item x="2128"/>
        <item x="1073"/>
        <item x="3734"/>
        <item x="2548"/>
        <item x="2958"/>
        <item x="1169"/>
        <item x="1193"/>
        <item x="3522"/>
        <item x="2129"/>
        <item x="705"/>
        <item x="1565"/>
        <item x="289"/>
        <item x="3098"/>
        <item x="3481"/>
        <item x="2313"/>
        <item x="2599"/>
        <item x="276"/>
        <item x="2310"/>
        <item x="285"/>
        <item x="1567"/>
        <item x="1072"/>
        <item x="1192"/>
        <item x="1132"/>
        <item x="499"/>
        <item x="282"/>
        <item x="2550"/>
        <item x="1906"/>
        <item x="2545"/>
        <item x="1880"/>
        <item x="592"/>
        <item x="708"/>
        <item x="3240"/>
        <item x="972"/>
        <item x="1726"/>
        <item x="635"/>
        <item x="3382"/>
        <item x="1705"/>
        <item x="2571"/>
        <item x="2315"/>
        <item x="2672"/>
        <item x="2314"/>
        <item x="1704"/>
        <item x="3739"/>
        <item x="2597"/>
        <item x="1305"/>
        <item x="1931"/>
        <item x="3694"/>
        <item x="1480"/>
        <item x="2196"/>
        <item x="974"/>
        <item x="2551"/>
        <item x="3347"/>
        <item x="401"/>
        <item x="1513"/>
        <item x="1350"/>
        <item x="2537"/>
        <item x="400"/>
        <item x="1781"/>
        <item x="1266"/>
        <item x="1119"/>
        <item x="2566"/>
        <item x="3821"/>
        <item x="2127"/>
        <item x="3381"/>
        <item x="3346"/>
        <item x="1186"/>
        <item x="2632"/>
        <item x="2451"/>
        <item x="2317"/>
        <item x="2078"/>
        <item x="194"/>
        <item x="2055"/>
        <item x="193"/>
        <item x="853"/>
        <item x="267"/>
        <item x="192"/>
        <item x="1861"/>
        <item x="3530"/>
        <item x="603"/>
        <item x="1930"/>
        <item x="1585"/>
        <item x="2697"/>
        <item x="1916"/>
        <item x="1966"/>
        <item x="854"/>
        <item x="1703"/>
        <item x="1854"/>
        <item x="3242"/>
        <item x="3585"/>
        <item x="1603"/>
        <item x="1191"/>
        <item x="119"/>
        <item x="3229"/>
        <item x="1945"/>
        <item x="2671"/>
        <item x="2316"/>
        <item x="271"/>
        <item x="1871"/>
        <item x="3238"/>
        <item x="1892"/>
        <item x="1699"/>
        <item x="1566"/>
        <item x="2123"/>
        <item x="3590"/>
        <item x="1877"/>
        <item x="1701"/>
        <item x="741"/>
        <item x="2962"/>
        <item x="2696"/>
        <item x="3584"/>
        <item x="219"/>
        <item x="284"/>
        <item x="3573"/>
        <item x="115"/>
        <item x="1001"/>
        <item x="1071"/>
        <item x="1070"/>
        <item x="602"/>
        <item x="2192"/>
        <item x="522"/>
        <item x="1574"/>
        <item x="191"/>
        <item x="1702"/>
        <item x="1526"/>
        <item x="1965"/>
        <item x="2415"/>
        <item x="1560"/>
        <item x="3121"/>
        <item x="3589"/>
        <item x="2867"/>
        <item x="283"/>
        <item x="1564"/>
        <item x="1324"/>
        <item x="2670"/>
        <item x="1939"/>
        <item x="3237"/>
        <item x="1573"/>
        <item x="3122"/>
        <item x="1928"/>
        <item x="1490"/>
        <item x="2124"/>
        <item x="617"/>
        <item x="3815"/>
        <item x="1347"/>
        <item x="243"/>
        <item x="2669"/>
        <item x="3544"/>
        <item x="1967"/>
        <item x="2195"/>
        <item x="907"/>
        <item x="703"/>
        <item x="2668"/>
        <item x="66"/>
        <item x="2661"/>
        <item x="1784"/>
        <item x="3434"/>
        <item x="3241"/>
        <item x="1963"/>
        <item x="3141"/>
        <item x="704"/>
        <item x="2471"/>
        <item x="2815"/>
        <item x="2953"/>
        <item x="3466"/>
        <item x="280"/>
        <item x="2667"/>
        <item x="436"/>
        <item x="2590"/>
        <item x="3527"/>
        <item x="1922"/>
        <item x="1597"/>
        <item x="1559"/>
        <item x="273"/>
        <item x="1190"/>
        <item x="2866"/>
        <item x="3738"/>
        <item x="2549"/>
        <item x="3232"/>
        <item x="3171"/>
        <item x="1069"/>
        <item x="3701"/>
        <item x="281"/>
        <item x="3537"/>
        <item x="3736"/>
        <item x="2800"/>
        <item x="2444"/>
        <item x="2662"/>
        <item x="1563"/>
        <item x="601"/>
        <item x="1700"/>
        <item x="179"/>
        <item x="877"/>
        <item x="1598"/>
        <item x="2122"/>
        <item x="2438"/>
        <item x="1557"/>
        <item x="2437"/>
        <item x="3529"/>
        <item x="1873"/>
        <item x="970"/>
        <item x="2433"/>
        <item x="190"/>
        <item x="2455"/>
        <item x="686"/>
        <item x="1562"/>
        <item x="123"/>
        <item x="2534"/>
        <item x="1595"/>
        <item x="3045"/>
        <item x="2660"/>
        <item x="2059"/>
        <item x="2121"/>
        <item x="278"/>
        <item x="189"/>
        <item x="3791"/>
        <item x="136"/>
        <item x="1189"/>
        <item x="948"/>
        <item x="3235"/>
        <item x="1964"/>
        <item x="1779"/>
        <item x="3146"/>
        <item x="1878"/>
        <item x="3737"/>
        <item x="1876"/>
        <item x="1533"/>
        <item x="1865"/>
        <item x="572"/>
        <item x="3016"/>
        <item x="1698"/>
        <item x="2309"/>
        <item x="3113"/>
        <item x="1596"/>
        <item x="3290"/>
        <item x="675"/>
        <item x="1027"/>
        <item x="2959"/>
        <item x="985"/>
        <item x="498"/>
        <item x="3120"/>
        <item x="967"/>
        <item x="383"/>
        <item x="2812"/>
        <item x="1000"/>
        <item x="1555"/>
        <item x="2617"/>
        <item x="3116"/>
        <item x="135"/>
        <item x="435"/>
        <item x="966"/>
        <item x="2431"/>
        <item x="275"/>
        <item x="1041"/>
        <item x="2814"/>
        <item x="131"/>
        <item x="3729"/>
        <item x="1767"/>
        <item x="2450"/>
        <item x="1738"/>
        <item x="339"/>
        <item x="2141"/>
        <item x="188"/>
        <item x="382"/>
        <item x="42"/>
        <item x="3119"/>
        <item x="2435"/>
        <item x="277"/>
        <item x="545"/>
        <item x="3183"/>
        <item x="163"/>
        <item x="1184"/>
        <item x="702"/>
        <item x="1512"/>
        <item x="2449"/>
        <item x="2834"/>
        <item x="2865"/>
        <item x="274"/>
        <item x="2988"/>
        <item x="3291"/>
        <item x="925"/>
        <item x="3386"/>
        <item x="2080"/>
        <item x="3233"/>
        <item x="12"/>
        <item x="2350"/>
        <item x="1188"/>
        <item x="1487"/>
        <item x="1693"/>
        <item x="3118"/>
        <item x="2312"/>
        <item x="2578"/>
        <item x="1872"/>
        <item x="2077"/>
        <item x="381"/>
        <item x="1068"/>
        <item x="3465"/>
        <item x="2864"/>
        <item x="2666"/>
        <item x="1187"/>
        <item x="134"/>
        <item x="1049"/>
        <item x="1912"/>
        <item x="2665"/>
        <item x="2311"/>
        <item x="2113"/>
        <item x="2184"/>
        <item x="1751"/>
        <item x="2947"/>
        <item x="3117"/>
        <item x="3418"/>
        <item x="1105"/>
        <item x="2957"/>
        <item x="1125"/>
        <item x="3044"/>
        <item x="3611"/>
        <item x="3730"/>
        <item x="3813"/>
        <item x="1511"/>
        <item x="2592"/>
        <item x="2533"/>
        <item x="701"/>
        <item x="3115"/>
        <item x="2535"/>
        <item x="2547"/>
        <item x="3095"/>
        <item x="2118"/>
        <item x="3464"/>
        <item x="2088"/>
        <item x="1026"/>
        <item x="3411"/>
        <item x="187"/>
        <item x="3805"/>
        <item x="272"/>
        <item x="3528"/>
        <item x="1593"/>
        <item x="399"/>
        <item x="965"/>
        <item x="1962"/>
        <item x="1173"/>
        <item x="3735"/>
        <item x="2119"/>
        <item x="2863"/>
        <item x="2589"/>
        <item x="434"/>
        <item x="3234"/>
        <item x="1961"/>
        <item x="852"/>
        <item x="2862"/>
        <item x="2120"/>
        <item x="1227"/>
        <item x="1153"/>
        <item x="595"/>
        <item x="178"/>
        <item x="600"/>
        <item x="2833"/>
        <item x="2116"/>
        <item x="3236"/>
        <item x="3109"/>
        <item x="1783"/>
        <item x="2546"/>
        <item x="1293"/>
        <item x="433"/>
        <item x="3698"/>
        <item x="3772"/>
        <item x="2594"/>
        <item x="1489"/>
        <item x="1874"/>
        <item x="2620"/>
        <item x="3463"/>
        <item x="955"/>
        <item x="2813"/>
        <item x="2586"/>
        <item x="432"/>
        <item x="1185"/>
        <item x="11"/>
        <item x="3526"/>
        <item x="1556"/>
        <item x="2949"/>
        <item x="332"/>
        <item x="1300"/>
        <item x="380"/>
        <item x="1060"/>
        <item x="2861"/>
        <item x="594"/>
        <item x="1669"/>
        <item x="1157"/>
        <item x="431"/>
        <item x="2860"/>
        <item x="532"/>
        <item x="2985"/>
        <item x="2541"/>
        <item x="1750"/>
        <item x="2748"/>
        <item x="1488"/>
        <item x="2956"/>
        <item x="949"/>
        <item x="2531"/>
        <item x="374"/>
        <item x="1868"/>
        <item x="266"/>
        <item x="2185"/>
        <item x="2448"/>
        <item x="2694"/>
        <item x="2115"/>
        <item x="2542"/>
        <item x="684"/>
        <item x="2576"/>
        <item x="3524"/>
        <item x="2117"/>
        <item x="2809"/>
        <item x="1748"/>
        <item x="1910"/>
        <item x="353"/>
        <item x="1104"/>
        <item x="3808"/>
        <item x="696"/>
        <item x="2658"/>
        <item x="1869"/>
        <item x="379"/>
        <item x="1145"/>
        <item x="2695"/>
        <item x="1025"/>
        <item x="947"/>
        <item x="2561"/>
        <item x="2544"/>
        <item x="598"/>
        <item x="156"/>
        <item x="1478"/>
        <item x="3380"/>
        <item x="3812"/>
        <item x="3547"/>
        <item x="2811"/>
        <item x="3462"/>
        <item x="1172"/>
        <item x="957"/>
        <item x="3574"/>
        <item x="3548"/>
        <item x="2114"/>
        <item x="1484"/>
        <item x="533"/>
        <item x="876"/>
        <item x="1885"/>
        <item x="2101"/>
        <item x="132"/>
        <item x="352"/>
        <item x="38"/>
        <item x="2951"/>
        <item x="2934"/>
        <item x="217"/>
        <item x="270"/>
        <item x="1486"/>
        <item x="3282"/>
        <item x="1485"/>
        <item x="1745"/>
        <item x="3503"/>
        <item x="3231"/>
        <item x="269"/>
        <item x="3092"/>
        <item x="3014"/>
        <item x="3287"/>
        <item x="1696"/>
        <item x="2559"/>
        <item x="1782"/>
        <item x="1332"/>
        <item x="2441"/>
        <item x="250"/>
        <item x="700"/>
        <item x="2543"/>
        <item x="2936"/>
        <item x="2859"/>
        <item x="1747"/>
        <item x="1581"/>
        <item x="1856"/>
        <item x="1183"/>
        <item x="268"/>
        <item x="3221"/>
        <item x="597"/>
        <item x="2190"/>
        <item x="1226"/>
        <item x="899"/>
        <item x="2889"/>
        <item x="2070"/>
        <item x="3654"/>
        <item x="3542"/>
        <item x="2540"/>
        <item x="3224"/>
        <item x="1178"/>
        <item x="3599"/>
        <item x="2525"/>
        <item x="1589"/>
        <item x="1592"/>
        <item x="1845"/>
        <item x="2507"/>
        <item x="1866"/>
        <item x="2945"/>
        <item x="833"/>
        <item x="1870"/>
        <item x="3114"/>
        <item x="3625"/>
        <item x="3733"/>
        <item x="3811"/>
        <item x="1356"/>
        <item x="3675"/>
        <item x="1482"/>
        <item x="3379"/>
        <item x="2532"/>
        <item x="3727"/>
        <item x="458"/>
        <item x="544"/>
        <item x="1354"/>
        <item x="2810"/>
        <item x="2064"/>
        <item x="2805"/>
        <item x="2712"/>
        <item x="2610"/>
        <item x="2952"/>
        <item x="3695"/>
        <item x="56"/>
        <item x="3700"/>
        <item x="650"/>
        <item x="1590"/>
        <item x="126"/>
        <item x="2172"/>
        <item x="2938"/>
        <item x="2664"/>
        <item x="1697"/>
        <item x="2446"/>
        <item x="3452"/>
        <item x="1715"/>
        <item x="129"/>
        <item x="2595"/>
        <item x="2445"/>
        <item x="1926"/>
        <item x="1749"/>
        <item x="3511"/>
        <item x="2950"/>
        <item x="264"/>
        <item x="3793"/>
        <item x="2663"/>
        <item x="1656"/>
        <item x="1619"/>
        <item x="1517"/>
        <item x="2806"/>
        <item x="2075"/>
        <item x="1180"/>
        <item x="2933"/>
        <item x="944"/>
        <item x="2072"/>
        <item x="3104"/>
        <item x="3441"/>
        <item x="3111"/>
        <item x="2948"/>
        <item x="2442"/>
        <item x="3223"/>
        <item x="55"/>
        <item x="1768"/>
        <item x="981"/>
        <item x="3692"/>
        <item x="1483"/>
        <item x="2562"/>
        <item x="3731"/>
        <item x="3732"/>
        <item x="1412"/>
        <item x="258"/>
        <item x="3222"/>
        <item x="2539"/>
        <item x="687"/>
        <item x="2596"/>
        <item x="1219"/>
        <item x="1650"/>
        <item x="3809"/>
        <item x="2858"/>
        <item x="1246"/>
        <item x="1681"/>
        <item x="941"/>
        <item x="2593"/>
        <item x="3112"/>
        <item x="3110"/>
        <item x="3227"/>
        <item x="2056"/>
        <item x="3523"/>
        <item x="265"/>
        <item x="3566"/>
        <item x="958"/>
        <item x="1867"/>
        <item x="2443"/>
        <item x="3186"/>
        <item x="1067"/>
        <item x="2486"/>
        <item x="3107"/>
        <item x="2111"/>
        <item x="2946"/>
        <item x="2333"/>
        <item x="2937"/>
        <item x="3378"/>
        <item x="2921"/>
        <item x="2555"/>
        <item x="378"/>
        <item x="2538"/>
        <item x="3449"/>
        <item x="377"/>
        <item x="2923"/>
        <item x="375"/>
        <item x="1803"/>
        <item x="3096"/>
        <item x="3810"/>
        <item x="2573"/>
        <item x="2160"/>
        <item x="1958"/>
        <item x="3199"/>
        <item x="3801"/>
        <item x="376"/>
        <item x="2832"/>
        <item x="3806"/>
        <item x="1694"/>
        <item x="1273"/>
        <item x="694"/>
        <item x="851"/>
        <item x="1182"/>
        <item x="699"/>
        <item x="2071"/>
        <item x="2536"/>
        <item x="127"/>
        <item x="682"/>
        <item x="2619"/>
        <item x="262"/>
        <item x="2570"/>
        <item x="1024"/>
        <item x="1857"/>
        <item x="2857"/>
        <item x="2073"/>
        <item x="3699"/>
        <item x="3345"/>
        <item x="964"/>
        <item x="263"/>
        <item x="698"/>
        <item x="1758"/>
        <item x="1550"/>
        <item x="3230"/>
        <item x="2904"/>
        <item x="128"/>
        <item x="3220"/>
        <item x="2346"/>
        <item x="1688"/>
        <item x="3013"/>
        <item x="1518"/>
        <item x="2074"/>
        <item x="2068"/>
        <item x="3283"/>
        <item x="1554"/>
        <item x="2856"/>
        <item x="1181"/>
        <item x="963"/>
        <item x="1923"/>
        <item x="3339"/>
        <item x="2659"/>
        <item x="2855"/>
        <item x="3521"/>
        <item x="2440"/>
        <item x="629"/>
        <item x="2940"/>
        <item x="1245"/>
        <item x="2854"/>
        <item x="3696"/>
        <item x="2587"/>
        <item x="3285"/>
        <item x="1023"/>
        <item x="3108"/>
        <item x="2289"/>
        <item x="3803"/>
        <item x="3226"/>
        <item x="1553"/>
        <item x="2581"/>
        <item x="3106"/>
        <item x="3377"/>
        <item x="649"/>
        <item x="3807"/>
        <item x="3286"/>
        <item x="2704"/>
        <item x="3820"/>
        <item x="984"/>
        <item x="2941"/>
        <item x="256"/>
        <item x="697"/>
        <item x="1175"/>
        <item x="767"/>
        <item x="663"/>
        <item x="2939"/>
        <item x="2831"/>
        <item x="1924"/>
        <item x="3376"/>
        <item x="1551"/>
        <item x="3690"/>
        <item x="260"/>
        <item x="1063"/>
        <item x="3546"/>
        <item x="2931"/>
        <item x="3408"/>
        <item x="1337"/>
        <item x="845"/>
        <item x="3426"/>
        <item x="3142"/>
        <item x="2183"/>
        <item x="2652"/>
        <item x="648"/>
        <item x="3460"/>
        <item x="2188"/>
        <item x="3583"/>
        <item x="2308"/>
        <item x="342"/>
        <item x="3312"/>
        <item x="261"/>
        <item x="2830"/>
        <item x="959"/>
        <item x="3565"/>
        <item x="2807"/>
        <item x="662"/>
        <item x="2103"/>
        <item x="3693"/>
        <item x="1862"/>
        <item x="2220"/>
        <item x="3375"/>
        <item x="2621"/>
        <item x="2332"/>
        <item x="1692"/>
        <item x="1587"/>
        <item x="2439"/>
        <item x="1925"/>
        <item x="3567"/>
        <item x="2808"/>
        <item x="3689"/>
        <item x="2262"/>
        <item x="120"/>
        <item x="3572"/>
        <item x="1588"/>
        <item x="1552"/>
        <item x="2222"/>
        <item x="3455"/>
        <item x="2942"/>
        <item x="2240"/>
        <item x="3102"/>
        <item x="2331"/>
        <item x="2186"/>
        <item x="1481"/>
        <item x="1686"/>
        <item x="3011"/>
        <item x="1960"/>
        <item x="3280"/>
        <item x="2943"/>
        <item x="10"/>
        <item x="591"/>
        <item x="2657"/>
        <item x="848"/>
        <item x="259"/>
        <item x="2187"/>
        <item x="3427"/>
        <item x="1171"/>
        <item x="3459"/>
        <item x="1066"/>
        <item x="2930"/>
        <item x="1353"/>
        <item x="3395"/>
        <item x="2286"/>
        <item x="619"/>
        <item x="2307"/>
        <item x="961"/>
        <item x="918"/>
        <item x="1352"/>
        <item x="956"/>
        <item x="3217"/>
        <item x="2379"/>
        <item x="1863"/>
        <item x="589"/>
        <item x="960"/>
        <item x="479"/>
        <item x="125"/>
        <item x="654"/>
        <item x="892"/>
        <item x="846"/>
        <item x="1148"/>
        <item x="1843"/>
        <item x="3458"/>
        <item x="2609"/>
        <item x="2626"/>
        <item x="1291"/>
        <item x="2042"/>
        <item x="3103"/>
        <item x="1547"/>
        <item x="124"/>
        <item x="186"/>
        <item x="2631"/>
        <item x="1065"/>
        <item x="3010"/>
        <item x="2853"/>
        <item x="3697"/>
        <item x="2069"/>
        <item x="1858"/>
        <item x="843"/>
        <item x="3278"/>
        <item x="2327"/>
        <item x="3624"/>
        <item x="3007"/>
        <item x="919"/>
        <item x="2026"/>
        <item x="2306"/>
        <item x="3579"/>
        <item x="3100"/>
        <item x="1920"/>
        <item x="3789"/>
        <item x="2803"/>
        <item x="2159"/>
        <item x="1988"/>
        <item x="1691"/>
        <item x="3101"/>
        <item x="255"/>
        <item x="1580"/>
        <item x="1168"/>
        <item x="2656"/>
        <item x="859"/>
        <item x="3804"/>
        <item x="1179"/>
        <item x="1859"/>
        <item x="1479"/>
        <item x="1918"/>
        <item x="175"/>
        <item x="1864"/>
        <item x="1177"/>
        <item x="2850"/>
        <item x="58"/>
        <item x="1895"/>
        <item x="2291"/>
        <item x="3099"/>
        <item x="3457"/>
        <item x="1471"/>
        <item x="3083"/>
        <item x="2585"/>
        <item x="1780"/>
        <item x="2852"/>
        <item x="726"/>
        <item x="1218"/>
        <item x="2851"/>
        <item x="1840"/>
        <item x="1532"/>
        <item x="2169"/>
        <item x="253"/>
        <item x="993"/>
        <item x="3009"/>
        <item x="1959"/>
        <item x="351"/>
        <item x="1351"/>
        <item x="3216"/>
        <item x="3430"/>
        <item x="2804"/>
        <item x="2110"/>
        <item x="1690"/>
        <item x="1746"/>
        <item x="254"/>
        <item x="1250"/>
        <item x="1921"/>
        <item x="1031"/>
        <item x="1474"/>
        <item x="2527"/>
        <item x="954"/>
        <item x="2618"/>
        <item x="1678"/>
        <item x="2572"/>
        <item x="3244"/>
        <item x="185"/>
        <item x="3344"/>
        <item x="3508"/>
        <item x="1510"/>
        <item x="2436"/>
        <item x="1176"/>
        <item x="689"/>
        <item x="3456"/>
        <item x="2791"/>
        <item x="2087"/>
        <item x="2568"/>
        <item x="2488"/>
        <item x="121"/>
        <item x="2588"/>
        <item x="3746"/>
        <item x="998"/>
        <item x="108"/>
        <item x="2608"/>
        <item x="1217"/>
        <item x="850"/>
        <item x="1679"/>
        <item x="3284"/>
        <item x="3343"/>
        <item x="1200"/>
        <item x="1852"/>
        <item x="1549"/>
        <item x="3520"/>
        <item x="2798"/>
        <item x="3543"/>
        <item x="1003"/>
        <item x="3332"/>
        <item x="690"/>
        <item x="2530"/>
        <item x="679"/>
        <item x="3564"/>
        <item x="2567"/>
        <item x="980"/>
        <item x="1225"/>
        <item x="938"/>
        <item x="2299"/>
        <item x="849"/>
        <item x="122"/>
        <item x="3081"/>
        <item x="924"/>
        <item x="2693"/>
        <item x="3097"/>
        <item x="691"/>
        <item x="2918"/>
        <item x="1847"/>
        <item x="3688"/>
        <item x="647"/>
        <item x="2298"/>
        <item x="2109"/>
        <item x="3588"/>
        <item x="1165"/>
        <item x="1860"/>
        <item x="3225"/>
        <item x="1348"/>
        <item x="1064"/>
        <item x="3519"/>
        <item x="674"/>
        <item x="3193"/>
        <item x="2085"/>
        <item x="1174"/>
        <item x="174"/>
        <item x="1546"/>
        <item x="3792"/>
        <item x="3518"/>
        <item x="2305"/>
        <item x="1919"/>
        <item x="1942"/>
        <item x="3281"/>
        <item x="875"/>
        <item x="2751"/>
        <item x="331"/>
        <item x="2034"/>
        <item x="2563"/>
        <item x="2575"/>
        <item x="3769"/>
        <item x="1281"/>
        <item x="1062"/>
        <item x="2927"/>
        <item x="874"/>
        <item x="2655"/>
        <item x="3563"/>
        <item x="3194"/>
        <item x="2529"/>
        <item x="3094"/>
        <item x="3219"/>
        <item x="3683"/>
        <item x="3794"/>
        <item x="3341"/>
        <item x="548"/>
        <item x="3374"/>
        <item x="1022"/>
        <item x="1155"/>
        <item x="995"/>
        <item x="618"/>
        <item x="2528"/>
        <item x="646"/>
        <item x="1343"/>
        <item x="1757"/>
        <item x="3093"/>
        <item x="2063"/>
        <item x="330"/>
        <item x="2067"/>
        <item x="1896"/>
        <item x="2162"/>
        <item x="3454"/>
        <item x="2066"/>
        <item x="2932"/>
        <item x="2523"/>
        <item x="1725"/>
        <item x="3728"/>
        <item x="999"/>
        <item x="398"/>
        <item x="1409"/>
        <item x="9"/>
        <item x="347"/>
        <item x="1163"/>
        <item x="616"/>
        <item x="159"/>
        <item x="3373"/>
        <item x="2301"/>
        <item x="1117"/>
        <item x="184"/>
        <item x="3796"/>
        <item x="1061"/>
        <item x="2524"/>
        <item x="588"/>
        <item x="2967"/>
        <item x="3802"/>
        <item x="2640"/>
        <item x="350"/>
        <item x="1338"/>
        <item x="2929"/>
        <item x="2052"/>
        <item x="2569"/>
        <item x="2065"/>
        <item x="252"/>
        <item x="530"/>
        <item x="2320"/>
        <item x="2802"/>
        <item x="2928"/>
        <item x="329"/>
        <item x="1769"/>
        <item x="3302"/>
        <item x="2053"/>
        <item x="2108"/>
        <item x="2935"/>
        <item x="1689"/>
        <item x="117"/>
        <item x="2522"/>
        <item x="3437"/>
        <item x="3247"/>
        <item x="1687"/>
        <item x="3515"/>
        <item x="1463"/>
        <item x="2107"/>
        <item x="2926"/>
        <item x="519"/>
        <item x="2801"/>
        <item x="2423"/>
        <item x="3277"/>
        <item x="1206"/>
        <item x="1954"/>
        <item x="1349"/>
        <item x="2526"/>
        <item x="3167"/>
        <item x="1682"/>
        <item x="3545"/>
        <item x="3372"/>
        <item x="3445"/>
        <item x="2092"/>
        <item x="2302"/>
        <item x="90"/>
        <item x="3453"/>
        <item x="3800"/>
        <item x="2654"/>
        <item x="2849"/>
        <item x="723"/>
        <item x="645"/>
        <item x="2058"/>
        <item x="2303"/>
        <item x="3419"/>
        <item x="1008"/>
        <item x="2647"/>
        <item x="2920"/>
        <item x="2304"/>
        <item x="2653"/>
        <item x="2007"/>
        <item x="1917"/>
        <item x="3448"/>
        <item x="251"/>
        <item x="3681"/>
        <item x="3592"/>
        <item x="241"/>
        <item x="1030"/>
        <item x="106"/>
        <item x="2514"/>
        <item x="2167"/>
        <item x="2883"/>
        <item x="2490"/>
        <item x="1516"/>
        <item x="2692"/>
        <item x="118"/>
        <item x="3726"/>
        <item x="1170"/>
        <item x="327"/>
        <item x="3534"/>
        <item x="373"/>
        <item x="3516"/>
        <item x="3517"/>
        <item x="1507"/>
        <item x="2799"/>
        <item x="1833"/>
        <item x="2650"/>
        <item x="2105"/>
        <item x="1400"/>
        <item x="2848"/>
        <item x="2987"/>
        <item x="3685"/>
        <item x="1456"/>
        <item x="3725"/>
        <item x="2171"/>
        <item x="328"/>
        <item x="2300"/>
        <item x="2104"/>
        <item x="3091"/>
        <item x="693"/>
        <item x="2144"/>
        <item x="1167"/>
        <item x="2424"/>
        <item x="3444"/>
        <item x="3276"/>
        <item x="1059"/>
        <item x="685"/>
        <item x="2691"/>
        <item x="872"/>
        <item x="1851"/>
        <item x="3451"/>
        <item x="1211"/>
        <item x="2106"/>
        <item x="1902"/>
        <item x="2182"/>
        <item x="116"/>
        <item x="114"/>
        <item x="64"/>
        <item x="1216"/>
        <item x="2414"/>
        <item x="873"/>
        <item x="3799"/>
        <item x="1244"/>
        <item x="1815"/>
        <item x="1685"/>
        <item x="3784"/>
        <item x="3678"/>
        <item x="2354"/>
        <item x="3324"/>
        <item x="2916"/>
        <item x="3432"/>
        <item x="950"/>
        <item x="1088"/>
        <item x="1322"/>
        <item x="3798"/>
        <item x="2062"/>
        <item x="1839"/>
        <item x="1584"/>
        <item x="979"/>
        <item x="3090"/>
        <item x="1548"/>
        <item x="3087"/>
        <item x="1680"/>
        <item x="2770"/>
        <item x="17"/>
        <item x="3273"/>
        <item x="485"/>
        <item x="1499"/>
        <item x="1215"/>
        <item x="2517"/>
        <item x="2649"/>
        <item x="628"/>
        <item x="1472"/>
        <item x="3046"/>
        <item x="349"/>
        <item x="497"/>
        <item x="102"/>
        <item x="586"/>
        <item x="3450"/>
        <item x="2925"/>
        <item x="3189"/>
        <item x="316"/>
        <item x="945"/>
        <item x="3088"/>
        <item x="2518"/>
        <item x="249"/>
        <item x="3218"/>
        <item x="3797"/>
        <item x="3371"/>
        <item x="430"/>
        <item x="847"/>
        <item x="28"/>
        <item x="837"/>
        <item x="2228"/>
        <item x="1515"/>
        <item x="248"/>
        <item x="2347"/>
        <item x="1531"/>
        <item x="3447"/>
        <item x="1952"/>
        <item x="2829"/>
        <item x="1853"/>
        <item x="3213"/>
        <item x="584"/>
        <item x="3718"/>
        <item x="113"/>
        <item x="3691"/>
        <item x="1957"/>
        <item x="3089"/>
        <item x="1058"/>
        <item x="1214"/>
        <item x="1224"/>
        <item x="27"/>
        <item x="3446"/>
        <item x="1955"/>
        <item x="1662"/>
        <item x="372"/>
        <item x="3214"/>
        <item x="2574"/>
        <item x="2822"/>
        <item x="2847"/>
        <item x="2050"/>
        <item x="3370"/>
        <item x="3443"/>
        <item x="3785"/>
        <item x="2521"/>
        <item x="751"/>
        <item x="3342"/>
        <item x="396"/>
        <item x="3206"/>
        <item x="2434"/>
        <item x="1333"/>
        <item x="1160"/>
        <item x="692"/>
        <item x="587"/>
        <item x="247"/>
        <item x="2560"/>
        <item x="112"/>
        <item x="1542"/>
        <item x="1765"/>
        <item x="1676"/>
        <item x="3582"/>
        <item x="2218"/>
        <item x="1477"/>
        <item x="2060"/>
        <item x="3203"/>
        <item x="1684"/>
        <item x="3215"/>
        <item x="1855"/>
        <item x="952"/>
        <item x="664"/>
        <item x="809"/>
        <item x="1090"/>
        <item x="2061"/>
        <item x="3059"/>
        <item x="583"/>
        <item x="1154"/>
        <item x="346"/>
        <item x="2394"/>
        <item x="3783"/>
        <item x="2842"/>
        <item x="3618"/>
        <item x="2922"/>
        <item x="2520"/>
        <item x="785"/>
        <item x="666"/>
        <item x="429"/>
        <item x="3077"/>
        <item x="1473"/>
        <item x="1683"/>
        <item x="831"/>
        <item x="1475"/>
        <item x="577"/>
        <item x="1545"/>
        <item x="2297"/>
        <item x="3246"/>
        <item x="3266"/>
        <item x="1739"/>
        <item x="871"/>
        <item x="3652"/>
        <item x="2045"/>
        <item x="1314"/>
        <item x="1166"/>
        <item x="2648"/>
        <item x="3076"/>
        <item x="585"/>
        <item x="1267"/>
        <item x="1346"/>
        <item x="1476"/>
        <item x="839"/>
        <item x="2430"/>
        <item x="3514"/>
        <item x="2290"/>
        <item x="3212"/>
        <item x="2178"/>
        <item x="2777"/>
        <item x="2828"/>
        <item x="2403"/>
        <item x="3402"/>
        <item x="3406"/>
        <item x="2782"/>
        <item x="2287"/>
        <item x="103"/>
        <item x="107"/>
        <item x="3438"/>
        <item x="1583"/>
        <item x="111"/>
        <item x="1340"/>
        <item x="844"/>
        <item x="983"/>
        <item x="3008"/>
        <item x="3724"/>
        <item x="1889"/>
        <item x="2969"/>
        <item x="3086"/>
        <item x="3034"/>
        <item x="2846"/>
        <item x="3442"/>
        <item x="946"/>
        <item x="2432"/>
        <item x="2429"/>
        <item x="1372"/>
        <item x="2740"/>
        <item x="3682"/>
        <item x="861"/>
        <item x="1279"/>
        <item x="1582"/>
        <item x="1057"/>
        <item x="3323"/>
        <item x="942"/>
        <item x="1956"/>
        <item x="2924"/>
        <item x="1944"/>
        <item x="3795"/>
        <item x="1544"/>
        <item x="832"/>
        <item x="1429"/>
        <item x="834"/>
        <item x="3435"/>
        <item x="428"/>
        <item x="371"/>
        <item x="2293"/>
        <item x="1021"/>
        <item x="1020"/>
        <item x="1336"/>
        <item x="2405"/>
        <item x="3209"/>
        <item x="496"/>
        <item x="3181"/>
        <item x="491"/>
        <item x="2391"/>
        <item x="3004"/>
        <item x="3085"/>
        <item x="3421"/>
        <item x="88"/>
        <item x="3084"/>
        <item x="580"/>
        <item x="110"/>
        <item x="913"/>
        <item x="659"/>
        <item x="752"/>
        <item x="232"/>
        <item x="3075"/>
        <item x="2797"/>
        <item x="2577"/>
        <item x="109"/>
        <item x="76"/>
        <item x="3079"/>
        <item x="3723"/>
        <item x="2519"/>
        <item x="1311"/>
        <item x="2795"/>
        <item x="2330"/>
        <item x="2163"/>
        <item x="1744"/>
        <item x="2616"/>
        <item x="1243"/>
        <item x="2296"/>
        <item x="3581"/>
        <item x="1005"/>
        <item x="3663"/>
        <item x="2908"/>
        <item x="3440"/>
        <item x="3484"/>
        <item x="1666"/>
        <item x="2646"/>
        <item x="2057"/>
        <item x="3439"/>
        <item x="3512"/>
        <item x="2882"/>
        <item x="3211"/>
        <item x="1850"/>
        <item x="2633"/>
        <item x="2727"/>
        <item x="2583"/>
        <item x="900"/>
        <item x="1743"/>
        <item x="1307"/>
        <item x="1164"/>
        <item x="1846"/>
        <item x="2179"/>
        <item x="1908"/>
        <item x="1538"/>
        <item x="2170"/>
        <item x="348"/>
        <item x="1210"/>
        <item x="1826"/>
        <item x="244"/>
        <item x="764"/>
        <item x="1664"/>
        <item x="3082"/>
        <item x="2041"/>
        <item x="1162"/>
        <item x="341"/>
        <item x="978"/>
        <item x="997"/>
        <item x="1742"/>
        <item x="1827"/>
        <item x="1103"/>
        <item x="1344"/>
        <item x="1468"/>
        <item x="2790"/>
        <item x="2584"/>
        <item x="1849"/>
        <item x="1056"/>
        <item x="245"/>
        <item x="1677"/>
        <item x="164"/>
        <item x="2294"/>
        <item x="1152"/>
        <item x="1770"/>
        <item x="2145"/>
        <item x="3269"/>
        <item x="1470"/>
        <item x="1848"/>
        <item x="3369"/>
        <item x="3210"/>
        <item x="521"/>
        <item x="246"/>
        <item x="3338"/>
        <item x="842"/>
        <item x="3300"/>
        <item x="1055"/>
        <item x="1530"/>
        <item x="2645"/>
        <item x="2794"/>
        <item x="677"/>
        <item x="1230"/>
        <item x="2427"/>
        <item x="2703"/>
        <item x="1540"/>
        <item x="1663"/>
        <item x="943"/>
        <item x="2295"/>
        <item x="3722"/>
        <item x="2428"/>
        <item x="841"/>
        <item x="3053"/>
        <item x="2181"/>
        <item x="2054"/>
        <item x="2915"/>
        <item x="2200"/>
        <item x="835"/>
        <item x="3006"/>
        <item x="678"/>
        <item x="1161"/>
        <item x="2793"/>
        <item x="2136"/>
        <item x="3080"/>
        <item x="8"/>
        <item x="821"/>
        <item x="1326"/>
        <item x="3787"/>
        <item x="653"/>
        <item x="916"/>
        <item x="917"/>
        <item x="3687"/>
        <item x="367"/>
        <item x="652"/>
        <item x="1844"/>
        <item x="2102"/>
        <item x="2513"/>
        <item x="507"/>
        <item x="495"/>
        <item x="2166"/>
        <item x="3005"/>
        <item x="3539"/>
        <item x="242"/>
        <item x="1915"/>
        <item x="3540"/>
        <item x="634"/>
        <item x="3513"/>
        <item x="104"/>
        <item x="2280"/>
        <item x="2329"/>
        <item x="3657"/>
        <item x="2180"/>
        <item x="1093"/>
        <item x="173"/>
        <item x="1740"/>
        <item x="1543"/>
        <item x="2792"/>
        <item x="3721"/>
        <item x="2516"/>
        <item x="1395"/>
        <item x="3207"/>
        <item x="3195"/>
        <item x="1015"/>
        <item x="7"/>
        <item x="2485"/>
        <item x="722"/>
        <item x="3340"/>
        <item x="3509"/>
        <item x="3208"/>
        <item x="1159"/>
        <item x="1252"/>
        <item x="1890"/>
        <item x="1907"/>
        <item x="2051"/>
        <item x="3720"/>
        <item x="3436"/>
        <item x="1672"/>
        <item x="2919"/>
        <item x="3025"/>
        <item x="2282"/>
        <item x="2582"/>
        <item x="2418"/>
        <item x="1036"/>
        <item x="3204"/>
        <item x="3078"/>
        <item x="239"/>
        <item x="506"/>
        <item x="1675"/>
        <item x="2292"/>
        <item x="2511"/>
        <item x="2984"/>
        <item x="2644"/>
        <item x="1914"/>
        <item x="1841"/>
        <item x="1509"/>
        <item x="792"/>
        <item x="492"/>
        <item x="1842"/>
        <item x="3202"/>
        <item x="1756"/>
        <item x="335"/>
        <item x="1342"/>
        <item x="105"/>
        <item x="1674"/>
        <item x="3262"/>
        <item x="3433"/>
        <item x="2907"/>
        <item x="3307"/>
        <item x="818"/>
        <item x="95"/>
        <item x="2738"/>
        <item x="2685"/>
        <item x="3200"/>
        <item x="2558"/>
        <item x="2515"/>
        <item x="2199"/>
        <item x="467"/>
        <item x="2326"/>
        <item x="3662"/>
        <item x="2643"/>
        <item x="1054"/>
        <item x="3400"/>
        <item x="820"/>
        <item x="3719"/>
        <item x="2100"/>
        <item x="582"/>
        <item x="1829"/>
        <item x="343"/>
        <item x="840"/>
        <item x="3788"/>
        <item x="3405"/>
        <item x="1668"/>
        <item x="1341"/>
        <item x="1242"/>
        <item x="2426"/>
        <item x="1147"/>
        <item x="1823"/>
        <item x="2238"/>
        <item x="2465"/>
        <item x="3686"/>
        <item x="1671"/>
        <item x="3245"/>
        <item x="83"/>
        <item x="240"/>
        <item x="1466"/>
        <item x="3329"/>
        <item x="2453"/>
        <item x="1469"/>
        <item x="870"/>
        <item x="2093"/>
        <item x="101"/>
        <item x="2781"/>
        <item x="2425"/>
        <item x="3201"/>
        <item x="1158"/>
        <item x="2690"/>
        <item x="3613"/>
        <item x="1711"/>
        <item x="1673"/>
        <item x="1339"/>
        <item x="96"/>
        <item x="1089"/>
        <item x="2284"/>
        <item x="1737"/>
        <item x="26"/>
        <item x="2165"/>
        <item x="1331"/>
        <item x="3205"/>
        <item x="3368"/>
        <item x="2910"/>
        <item x="2580"/>
        <item x="2503"/>
        <item x="2421"/>
        <item x="1639"/>
        <item x="100"/>
        <item x="3385"/>
        <item x="3786"/>
        <item x="1741"/>
        <item x="3778"/>
        <item x="1838"/>
        <item x="370"/>
        <item x="99"/>
        <item x="3684"/>
        <item x="531"/>
        <item x="578"/>
        <item x="1241"/>
        <item x="2493"/>
        <item x="3275"/>
        <item x="2049"/>
        <item x="3126"/>
        <item x="1097"/>
        <item x="3333"/>
        <item x="775"/>
        <item x="3780"/>
        <item x="3510"/>
        <item x="2024"/>
        <item x="3187"/>
        <item x="98"/>
        <item x="1465"/>
        <item x="395"/>
        <item x="1835"/>
        <item x="1734"/>
        <item x="3473"/>
        <item x="836"/>
        <item x="2168"/>
        <item x="1498"/>
        <item x="1943"/>
        <item x="1053"/>
        <item x="937"/>
        <item x="2270"/>
        <item x="3196"/>
        <item x="1461"/>
        <item x="1317"/>
        <item x="1213"/>
        <item x="2422"/>
        <item x="940"/>
        <item x="2328"/>
        <item x="1670"/>
        <item x="2506"/>
        <item x="3003"/>
        <item x="2512"/>
        <item x="1323"/>
        <item x="1467"/>
        <item x="1240"/>
        <item x="1661"/>
        <item x="238"/>
        <item x="3129"/>
        <item x="2975"/>
        <item x="559"/>
        <item x="2047"/>
        <item x="817"/>
        <item x="326"/>
        <item x="1156"/>
        <item x="1334"/>
        <item x="676"/>
        <item x="671"/>
        <item x="2498"/>
        <item x="1937"/>
        <item x="2048"/>
        <item x="1837"/>
        <item x="3002"/>
        <item x="936"/>
        <item x="235"/>
        <item x="2419"/>
        <item x="1667"/>
        <item x="2642"/>
        <item x="2406"/>
        <item x="2896"/>
        <item x="471"/>
        <item x="3556"/>
        <item x="1822"/>
        <item x="991"/>
        <item x="1501"/>
        <item x="18"/>
        <item x="1212"/>
        <item x="3587"/>
        <item x="2902"/>
        <item x="2038"/>
        <item x="1051"/>
        <item x="542"/>
        <item x="3072"/>
        <item x="2508"/>
        <item x="541"/>
        <item x="2143"/>
        <item x="6"/>
        <item x="3074"/>
        <item x="889"/>
        <item x="3768"/>
        <item x="1732"/>
        <item x="2502"/>
        <item x="2912"/>
        <item x="3571"/>
        <item x="171"/>
        <item x="1579"/>
        <item x="1052"/>
        <item x="3472"/>
        <item x="1894"/>
        <item x="520"/>
        <item x="1911"/>
        <item x="2917"/>
        <item x="3777"/>
        <item x="2044"/>
        <item x="3364"/>
        <item x="2046"/>
        <item x="3782"/>
        <item x="2641"/>
        <item x="2990"/>
        <item x="1018"/>
        <item x="91"/>
        <item x="2420"/>
        <item x="1612"/>
        <item x="1541"/>
        <item x="2914"/>
        <item x="2510"/>
        <item x="1651"/>
        <item x="1017"/>
        <item x="490"/>
        <item x="3429"/>
        <item x="1778"/>
        <item x="1665"/>
        <item x="1887"/>
        <item x="1296"/>
        <item x="1578"/>
        <item x="2375"/>
        <item x="5"/>
        <item x="1102"/>
        <item x="3677"/>
        <item x="2911"/>
        <item x="1144"/>
        <item x="551"/>
        <item x="3536"/>
        <item x="1720"/>
        <item x="2279"/>
        <item x="2758"/>
        <item x="325"/>
        <item x="2789"/>
        <item x="2913"/>
        <item x="1836"/>
        <item x="2767"/>
        <item x="1146"/>
        <item x="2785"/>
        <item x="1735"/>
        <item x="2709"/>
        <item x="3538"/>
        <item x="1653"/>
        <item x="3781"/>
        <item x="3562"/>
        <item x="869"/>
        <item x="338"/>
        <item x="345"/>
        <item x="3680"/>
        <item x="1909"/>
        <item x="3422"/>
        <item x="1995"/>
        <item x="2787"/>
        <item x="2285"/>
        <item x="3541"/>
        <item x="2788"/>
        <item x="1832"/>
        <item x="1834"/>
        <item x="2410"/>
        <item x="3274"/>
        <item x="824"/>
        <item x="2164"/>
        <item x="3595"/>
        <item x="2413"/>
        <item x="1891"/>
        <item x="996"/>
        <item x="929"/>
        <item x="3674"/>
        <item x="2786"/>
        <item x="1029"/>
        <item x="160"/>
        <item x="3367"/>
        <item x="1150"/>
        <item x="1464"/>
        <item x="2039"/>
        <item x="1900"/>
        <item x="928"/>
        <item x="3068"/>
        <item x="2509"/>
        <item x="3198"/>
        <item x="1820"/>
        <item x="3296"/>
        <item x="2002"/>
        <item x="3431"/>
        <item x="97"/>
        <item x="3570"/>
        <item x="3505"/>
        <item x="3366"/>
        <item x="862"/>
        <item x="926"/>
        <item x="3335"/>
        <item x="3070"/>
        <item x="3001"/>
        <item x="3197"/>
        <item x="1209"/>
        <item x="2417"/>
        <item x="3679"/>
        <item x="994"/>
        <item x="3365"/>
        <item x="2906"/>
        <item x="3775"/>
        <item x="2281"/>
        <item x="2409"/>
        <item x="2978"/>
        <item x="1658"/>
        <item x="2412"/>
        <item x="2411"/>
        <item x="2043"/>
        <item x="2565"/>
        <item x="324"/>
        <item x="2273"/>
        <item x="3670"/>
        <item x="547"/>
        <item x="2909"/>
        <item x="3487"/>
        <item x="2903"/>
        <item x="3398"/>
        <item x="3188"/>
        <item x="2826"/>
        <item x="2158"/>
        <item x="2040"/>
        <item x="1274"/>
        <item x="802"/>
        <item x="489"/>
        <item x="2176"/>
        <item x="3553"/>
        <item x="427"/>
        <item x="3744"/>
        <item x="466"/>
        <item x="3403"/>
        <item x="2099"/>
        <item x="1577"/>
        <item x="2416"/>
        <item x="3779"/>
        <item x="487"/>
        <item x="172"/>
        <item x="2499"/>
        <item x="3139"/>
        <item x="3761"/>
        <item x="658"/>
        <item x="529"/>
        <item x="397"/>
        <item x="1777"/>
        <item x="1208"/>
        <item x="1330"/>
        <item x="1660"/>
        <item x="3507"/>
        <item x="1460"/>
        <item x="3192"/>
        <item x="1657"/>
        <item x="2825"/>
        <item x="3819"/>
        <item x="1131"/>
        <item x="1654"/>
        <item x="895"/>
        <item x="902"/>
        <item x="627"/>
        <item x="1831"/>
        <item x="2283"/>
        <item x="3506"/>
        <item x="826"/>
        <item x="930"/>
        <item x="1828"/>
        <item x="92"/>
        <item x="2714"/>
        <item x="237"/>
        <item x="3073"/>
        <item x="934"/>
        <item x="3191"/>
        <item x="1984"/>
        <item x="3616"/>
        <item x="1325"/>
        <item x="1659"/>
        <item x="1733"/>
        <item x="1016"/>
        <item x="3569"/>
        <item x="1239"/>
        <item x="93"/>
        <item x="2784"/>
        <item x="3256"/>
        <item x="518"/>
        <item x="1462"/>
        <item x="2636"/>
        <item x="2504"/>
        <item x="1440"/>
        <item x="3560"/>
        <item x="3773"/>
        <item x="236"/>
        <item x="1459"/>
        <item x="3669"/>
        <item x="1576"/>
        <item x="574"/>
        <item x="915"/>
        <item x="868"/>
        <item x="488"/>
        <item x="2639"/>
        <item x="3071"/>
        <item x="1953"/>
        <item x="1141"/>
        <item x="1013"/>
        <item x="2098"/>
        <item x="1830"/>
        <item x="2505"/>
        <item x="3711"/>
        <item x="364"/>
        <item x="2779"/>
        <item x="2407"/>
        <item x="1825"/>
        <item x="982"/>
        <item x="3668"/>
        <item x="2627"/>
        <item x="3492"/>
        <item x="4"/>
        <item x="3504"/>
        <item x="3173"/>
        <item x="932"/>
        <item x="2030"/>
        <item x="933"/>
        <item x="825"/>
        <item x="3676"/>
        <item x="2780"/>
        <item x="863"/>
        <item x="890"/>
        <item x="3134"/>
        <item x="2275"/>
        <item x="644"/>
        <item x="651"/>
        <item x="1655"/>
        <item x="3776"/>
        <item x="3423"/>
        <item x="1151"/>
        <item x="2716"/>
        <item x="3363"/>
        <item x="657"/>
        <item x="3190"/>
        <item x="643"/>
        <item x="2501"/>
        <item x="3425"/>
        <item x="3655"/>
        <item x="1710"/>
        <item x="1301"/>
        <item x="3632"/>
        <item x="323"/>
        <item x="2899"/>
        <item x="233"/>
        <item x="922"/>
        <item x="1238"/>
        <item x="3666"/>
        <item x="3060"/>
        <item x="867"/>
        <item x="549"/>
        <item x="169"/>
        <item x="931"/>
        <item x="2277"/>
        <item x="3428"/>
        <item x="3763"/>
        <item x="3175"/>
        <item x="334"/>
        <item x="1441"/>
        <item x="2271"/>
        <item x="2495"/>
        <item x="626"/>
        <item x="3263"/>
        <item x="1207"/>
        <item x="1810"/>
        <item x="3155"/>
        <item x="528"/>
        <item x="3672"/>
        <item x="3362"/>
        <item x="3138"/>
        <item x="2783"/>
        <item x="1457"/>
        <item x="3561"/>
        <item x="3069"/>
        <item x="829"/>
        <item x="2905"/>
        <item x="1525"/>
        <item x="642"/>
        <item x="803"/>
        <item x="2278"/>
        <item x="505"/>
        <item x="3409"/>
        <item x="1327"/>
        <item x="1096"/>
        <item x="2161"/>
        <item x="3598"/>
        <item x="2401"/>
        <item x="3049"/>
        <item x="3774"/>
        <item x="3065"/>
        <item x="94"/>
        <item x="3334"/>
        <item x="565"/>
        <item x="2276"/>
        <item x="3673"/>
        <item x="2395"/>
        <item x="2032"/>
        <item x="3354"/>
        <item x="1028"/>
        <item x="1736"/>
        <item x="3164"/>
        <item x="3137"/>
        <item x="2210"/>
        <item x="830"/>
        <item x="2408"/>
        <item x="1719"/>
        <item x="1809"/>
        <item x="3000"/>
        <item x="1304"/>
        <item x="2778"/>
        <item x="2096"/>
        <item x="3500"/>
        <item x="3064"/>
        <item x="3424"/>
        <item x="3152"/>
        <item x="228"/>
        <item x="1729"/>
        <item x="3128"/>
        <item x="1508"/>
        <item x="1237"/>
        <item x="3051"/>
        <item x="234"/>
        <item x="1771"/>
        <item x="2487"/>
        <item x="2097"/>
        <item x="2494"/>
        <item x="2037"/>
        <item x="2776"/>
        <item x="2149"/>
        <item x="822"/>
        <item x="1776"/>
        <item x="2035"/>
        <item x="2765"/>
        <item x="3052"/>
        <item x="463"/>
        <item x="1755"/>
        <item x="2689"/>
        <item x="2274"/>
        <item x="2344"/>
        <item x="1707"/>
        <item x="1050"/>
        <item x="2029"/>
        <item x="1646"/>
        <item x="1006"/>
        <item x="3327"/>
        <item x="904"/>
        <item x="625"/>
        <item x="1936"/>
        <item x="3502"/>
        <item x="2031"/>
        <item x="1458"/>
        <item x="575"/>
        <item x="1529"/>
        <item x="317"/>
        <item x="2983"/>
        <item x="2153"/>
        <item x="1455"/>
        <item x="1261"/>
        <item x="823"/>
        <item x="22"/>
        <item x="3067"/>
        <item x="2033"/>
        <item x="2638"/>
        <item x="668"/>
        <item x="3619"/>
        <item x="2500"/>
        <item x="3063"/>
        <item x="1328"/>
        <item x="314"/>
        <item x="1014"/>
        <item x="3671"/>
        <item x="3184"/>
        <item x="2404"/>
        <item x="1649"/>
        <item x="1453"/>
        <item x="1528"/>
        <item x="2622"/>
        <item x="71"/>
        <item x="3182"/>
        <item x="89"/>
        <item x="3717"/>
        <item x="52"/>
        <item x="2775"/>
        <item x="3061"/>
        <item x="2140"/>
        <item x="3580"/>
        <item x="2156"/>
        <item x="2400"/>
        <item x="921"/>
        <item x="2036"/>
        <item x="2688"/>
        <item x="2325"/>
        <item x="455"/>
        <item x="1644"/>
        <item x="3389"/>
        <item x="633"/>
        <item x="1149"/>
        <item x="3476"/>
        <item x="87"/>
        <item x="3656"/>
        <item x="3647"/>
        <item x="3501"/>
        <item x="2766"/>
        <item x="231"/>
        <item x="3185"/>
        <item x="3498"/>
        <item x="1813"/>
        <item x="828"/>
        <item x="3"/>
        <item x="426"/>
        <item x="827"/>
        <item x="2898"/>
        <item x="369"/>
        <item x="229"/>
        <item x="2496"/>
        <item x="2157"/>
        <item x="927"/>
        <item x="2374"/>
        <item x="721"/>
        <item x="3391"/>
        <item x="3716"/>
        <item x="1622"/>
        <item x="1431"/>
        <item x="673"/>
        <item x="1101"/>
        <item x="368"/>
        <item x="672"/>
        <item x="2719"/>
        <item x="1232"/>
        <item x="1935"/>
        <item x="517"/>
        <item x="2497"/>
        <item x="2824"/>
        <item x="2272"/>
        <item x="3066"/>
        <item x="1821"/>
        <item x="3348"/>
        <item x="1140"/>
        <item x="1450"/>
        <item x="2266"/>
        <item x="2615"/>
        <item x="486"/>
        <item x="25"/>
        <item x="484"/>
        <item x="550"/>
        <item x="3667"/>
        <item x="86"/>
        <item x="2491"/>
        <item x="1796"/>
        <item x="1011"/>
        <item x="1652"/>
        <item x="3162"/>
        <item x="80"/>
        <item x="813"/>
        <item x="2901"/>
        <item x="1329"/>
        <item x="24"/>
        <item x="564"/>
        <item x="2687"/>
        <item x="3413"/>
        <item x="3271"/>
        <item x="1434"/>
        <item x="3665"/>
        <item x="3156"/>
        <item x="757"/>
        <item x="1236"/>
        <item x="2757"/>
        <item x="366"/>
        <item x="3136"/>
        <item x="2359"/>
        <item x="3062"/>
        <item x="420"/>
        <item x="365"/>
        <item x="470"/>
        <item x="3767"/>
        <item x="3770"/>
        <item x="3414"/>
        <item x="3664"/>
        <item x="54"/>
        <item x="3771"/>
        <item x="3125"/>
        <item x="1444"/>
        <item x="1100"/>
        <item x="2900"/>
        <item x="3399"/>
        <item x="3272"/>
        <item x="2028"/>
        <item x="2148"/>
        <item x="3415"/>
        <item x="3640"/>
        <item x="3135"/>
        <item x="3499"/>
        <item x="1451"/>
        <item x="2023"/>
        <item x="1222"/>
        <item x="1775"/>
        <item x="2890"/>
        <item x="557"/>
        <item x="1722"/>
        <item x="1454"/>
        <item x="2324"/>
        <item x="2355"/>
        <item x="3057"/>
        <item x="230"/>
        <item x="3420"/>
        <item x="2968"/>
        <item x="1817"/>
        <item x="482"/>
        <item x="2095"/>
        <item x="3055"/>
        <item x="454"/>
        <item x="1452"/>
        <item x="1802"/>
        <item x="1048"/>
        <item x="2845"/>
        <item x="2744"/>
        <item x="2637"/>
        <item x="3270"/>
        <item x="1824"/>
        <item x="2397"/>
        <item x="3497"/>
        <item x="2686"/>
        <item x="573"/>
        <item x="1010"/>
        <item x="732"/>
        <item x="804"/>
        <item x="1774"/>
        <item x="2244"/>
        <item x="2146"/>
        <item x="2"/>
        <item x="1235"/>
        <item x="1254"/>
        <item x="2177"/>
        <item x="2774"/>
        <item x="3268"/>
        <item x="2267"/>
        <item x="1425"/>
        <item x="1376"/>
        <item x="2390"/>
        <item x="2772"/>
        <item x="3361"/>
        <item x="3032"/>
        <item x="2887"/>
        <item x="1047"/>
        <item x="1812"/>
        <item x="1138"/>
        <item x="3748"/>
        <item x="2769"/>
        <item x="85"/>
        <item x="914"/>
        <item x="2269"/>
        <item x="225"/>
        <item x="3023"/>
        <item x="3766"/>
        <item x="483"/>
        <item x="3024"/>
        <item x="2564"/>
        <item x="320"/>
        <item x="3496"/>
        <item x="3336"/>
        <item x="1092"/>
        <item x="394"/>
        <item x="3166"/>
        <item x="1539"/>
        <item x="227"/>
        <item x="3319"/>
        <item x="3659"/>
        <item x="1773"/>
        <item x="2823"/>
        <item x="2268"/>
        <item x="3715"/>
        <item x="2221"/>
        <item x="1647"/>
        <item x="3337"/>
        <item x="3267"/>
        <item x="1808"/>
        <item x="865"/>
        <item x="84"/>
        <item x="1709"/>
        <item x="3058"/>
        <item x="812"/>
        <item x="2483"/>
        <item x="2994"/>
        <item x="3760"/>
        <item x="2771"/>
        <item x="1320"/>
        <item x="1205"/>
        <item x="1979"/>
        <item x="3764"/>
        <item x="3762"/>
        <item x="2020"/>
        <item x="2265"/>
        <item x="667"/>
        <item x="1449"/>
        <item x="923"/>
        <item x="2976"/>
        <item x="1772"/>
        <item x="2821"/>
        <item x="641"/>
        <item x="3165"/>
        <item x="3416"/>
        <item x="1447"/>
        <item x="2684"/>
        <item x="2773"/>
        <item x="2360"/>
        <item x="1645"/>
        <item x="2027"/>
        <item x="1723"/>
        <item x="3495"/>
        <item x="753"/>
        <item x="2396"/>
        <item x="419"/>
        <item x="920"/>
        <item x="3180"/>
        <item x="3054"/>
        <item x="3765"/>
        <item x="3755"/>
        <item x="1497"/>
        <item x="1648"/>
        <item x="2025"/>
        <item x="3661"/>
        <item x="1448"/>
        <item x="1987"/>
        <item x="2155"/>
        <item x="2888"/>
        <item x="1442"/>
        <item x="815"/>
        <item x="3417"/>
        <item x="2635"/>
        <item x="2388"/>
        <item x="1904"/>
        <item x="2844"/>
        <item x="3056"/>
        <item x="1724"/>
        <item x="3147"/>
        <item x="2481"/>
        <item x="3559"/>
        <item x="2150"/>
        <item x="2749"/>
        <item x="632"/>
        <item x="2021"/>
        <item x="2477"/>
        <item x="2152"/>
        <item x="1143"/>
        <item x="3646"/>
        <item x="3660"/>
        <item x="2399"/>
        <item x="866"/>
        <item x="1142"/>
        <item x="1319"/>
        <item x="2768"/>
        <item x="2154"/>
        <item x="1814"/>
        <item x="1443"/>
        <item x="1439"/>
        <item x="3714"/>
        <item x="816"/>
        <item x="2022"/>
        <item x="3179"/>
        <item x="2015"/>
        <item x="2557"/>
        <item x="2474"/>
        <item x="3178"/>
        <item x="814"/>
        <item x="82"/>
        <item x="1046"/>
        <item x="1819"/>
        <item x="3407"/>
        <item x="81"/>
        <item x="2398"/>
        <item x="3757"/>
        <item x="3494"/>
        <item x="3037"/>
        <item x="3174"/>
        <item x="1506"/>
        <item x="3713"/>
        <item x="761"/>
        <item x="3658"/>
        <item x="2223"/>
        <item x="2891"/>
        <item x="1905"/>
        <item x="2094"/>
        <item x="2893"/>
        <item x="3360"/>
        <item x="3558"/>
        <item x="1818"/>
        <item x="801"/>
        <item x="1642"/>
        <item x="640"/>
        <item x="2489"/>
        <item x="3160"/>
        <item x="2760"/>
        <item x="344"/>
        <item x="805"/>
        <item x="16"/>
        <item x="3047"/>
        <item x="2016"/>
        <item x="2323"/>
        <item x="3712"/>
        <item x="3253"/>
        <item x="3359"/>
        <item x="1607"/>
        <item x="1045"/>
        <item x="798"/>
        <item x="1446"/>
        <item x="1044"/>
        <item x="3177"/>
        <item x="1731"/>
        <item x="1445"/>
        <item x="3358"/>
        <item x="1135"/>
        <item x="1012"/>
        <item x="2392"/>
        <item x="2843"/>
        <item x="615"/>
        <item x="1641"/>
        <item x="1728"/>
        <item x="1730"/>
        <item x="901"/>
        <item x="481"/>
        <item x="1315"/>
        <item x="569"/>
        <item x="2897"/>
        <item x="1298"/>
        <item x="3557"/>
        <item x="3031"/>
        <item x="807"/>
        <item x="2133"/>
        <item x="2019"/>
        <item x="3653"/>
        <item x="2457"/>
        <item x="3643"/>
        <item x="457"/>
        <item x="3555"/>
        <item x="3650"/>
        <item x="2343"/>
        <item x="2756"/>
        <item x="1638"/>
        <item x="912"/>
        <item x="224"/>
        <item x="2175"/>
        <item x="3493"/>
        <item x="2322"/>
        <item x="1234"/>
        <item x="2385"/>
        <item x="2255"/>
        <item x="75"/>
        <item x="1321"/>
        <item x="911"/>
        <item x="2469"/>
        <item x="79"/>
        <item x="3759"/>
        <item x="2211"/>
        <item x="3651"/>
        <item x="909"/>
        <item x="78"/>
        <item x="3752"/>
        <item x="1438"/>
        <item x="3330"/>
        <item x="1116"/>
        <item x="3021"/>
        <item x="1800"/>
        <item x="1043"/>
        <item x="2454"/>
        <item x="570"/>
        <item x="2683"/>
        <item x="1643"/>
        <item x="1042"/>
        <item x="1095"/>
        <item x="2763"/>
        <item x="3168"/>
        <item x="2993"/>
        <item x="571"/>
        <item x="2393"/>
        <item x="223"/>
        <item x="2263"/>
        <item x="1951"/>
        <item x="363"/>
        <item x="3642"/>
        <item x="3638"/>
        <item x="3048"/>
        <item x="1575"/>
        <item x="480"/>
        <item x="2151"/>
        <item x="808"/>
        <item x="1139"/>
        <item x="516"/>
        <item x="3401"/>
        <item x="1903"/>
        <item x="1306"/>
        <item x="1901"/>
        <item x="2387"/>
        <item x="1640"/>
        <item x="3176"/>
        <item x="3412"/>
        <item x="2894"/>
        <item x="1282"/>
        <item x="1318"/>
        <item x="3127"/>
        <item x="2732"/>
        <item x="910"/>
        <item x="2247"/>
        <item x="2841"/>
        <item x="2764"/>
        <item x="905"/>
        <item x="1798"/>
        <item x="3331"/>
        <item x="77"/>
        <item x="811"/>
        <item x="2759"/>
        <item x="2762"/>
        <item x="72"/>
        <item x="337"/>
        <item x="779"/>
        <item x="789"/>
        <item x="810"/>
        <item x="2761"/>
        <item x="1288"/>
        <item x="1094"/>
        <item x="2755"/>
        <item x="2895"/>
        <item x="2386"/>
        <item x="63"/>
        <item x="3818"/>
        <item x="1706"/>
        <item x="3639"/>
        <item x="1500"/>
        <item x="1941"/>
        <item x="2892"/>
        <item x="2989"/>
        <item x="3648"/>
        <item x="1816"/>
        <item x="2264"/>
        <item x="1637"/>
        <item x="2000"/>
        <item x="1137"/>
        <item x="2321"/>
        <item x="1136"/>
        <item x="23"/>
        <item x="2840"/>
        <item x="3050"/>
        <item x="62"/>
        <item x="1199"/>
        <item x="3620"/>
        <item x="790"/>
        <item x="2198"/>
        <item x="1118"/>
        <item x="1633"/>
        <item x="1811"/>
        <item x="864"/>
        <item x="2982"/>
        <item x="773"/>
        <item x="2981"/>
        <item x="2484"/>
        <item x="3649"/>
        <item x="3035"/>
        <item x="906"/>
        <item x="1804"/>
        <item x="1502"/>
        <item x="3597"/>
        <item x="2389"/>
        <item x="543"/>
        <item x="2750"/>
        <item x="1286"/>
        <item x="3133"/>
        <item x="3621"/>
        <item x="3170"/>
        <item x="1258"/>
        <item x="3645"/>
        <item x="222"/>
        <item x="221"/>
        <item x="806"/>
        <item x="1223"/>
        <item x="2479"/>
        <item x="3172"/>
        <item x="1259"/>
        <item x="2258"/>
        <item x="2752"/>
        <item x="2001"/>
        <item x="1940"/>
        <item x="566"/>
        <item x="1993"/>
        <item x="2972"/>
        <item x="3169"/>
        <item x="2215"/>
        <item x="3758"/>
        <item x="3041"/>
        <item x="2875"/>
        <item x="73"/>
        <item x="74"/>
        <item x="2261"/>
        <item x="60"/>
        <item x="1806"/>
        <item x="1712"/>
        <item x="1514"/>
        <item x="2259"/>
        <item x="2260"/>
        <item x="1754"/>
        <item x="2252"/>
        <item x="1636"/>
        <item x="1436"/>
        <item x="2482"/>
        <item x="3410"/>
        <item x="3022"/>
        <item x="2018"/>
        <item x="1302"/>
        <item x="2384"/>
        <item x="3641"/>
        <item x="3644"/>
        <item x="2999"/>
        <item x="1280"/>
        <item x="1310"/>
        <item x="1629"/>
        <item x="1630"/>
        <item x="2257"/>
        <item x="639"/>
        <item x="2246"/>
        <item x="1316"/>
        <item x="903"/>
        <item x="3554"/>
        <item x="2013"/>
        <item x="2256"/>
        <item x="1122"/>
        <item x="2998"/>
        <item x="1430"/>
        <item x="1437"/>
        <item x="3631"/>
        <item x="1634"/>
        <item x="1997"/>
        <item x="70"/>
        <item x="1635"/>
        <item x="3040"/>
        <item x="614"/>
        <item x="1308"/>
        <item x="2634"/>
        <item x="2746"/>
        <item x="1403"/>
        <item x="1899"/>
        <item x="2754"/>
        <item x="1727"/>
        <item x="2009"/>
        <item x="1950"/>
        <item x="3747"/>
        <item x="1299"/>
        <item x="69"/>
        <item x="2753"/>
        <item x="1204"/>
        <item x="1309"/>
        <item x="2881"/>
        <item x="3754"/>
        <item x="1099"/>
        <item x="2624"/>
        <item x="1233"/>
        <item x="3474"/>
        <item x="2480"/>
        <item x="68"/>
        <item x="2475"/>
        <item x="3637"/>
        <item x="67"/>
        <item x="1433"/>
        <item x="3351"/>
        <item x="2376"/>
        <item x="1040"/>
        <item x="1721"/>
        <item x="568"/>
        <item x="1632"/>
        <item x="2886"/>
        <item x="462"/>
        <item x="1313"/>
        <item x="2383"/>
        <item x="891"/>
        <item x="1504"/>
        <item x="3753"/>
        <item x="2819"/>
        <item x="1631"/>
        <item x="888"/>
        <item x="1949"/>
        <item x="2245"/>
        <item x="3756"/>
        <item x="2739"/>
        <item x="3328"/>
        <item x="425"/>
        <item x="1435"/>
        <item x="3751"/>
        <item x="1312"/>
        <item x="2224"/>
        <item x="3309"/>
        <item x="787"/>
        <item x="65"/>
        <item x="797"/>
        <item x="2014"/>
        <item x="1203"/>
        <item x="2613"/>
        <item x="799"/>
        <item x="2371"/>
        <item x="2614"/>
        <item x="3629"/>
        <item x="322"/>
        <item x="2381"/>
        <item x="2004"/>
        <item x="2556"/>
        <item x="524"/>
        <item x="3357"/>
        <item x="3043"/>
        <item x="1133"/>
        <item x="2017"/>
        <item x="1221"/>
        <item x="162"/>
        <item x="3568"/>
        <item x="800"/>
        <item x="2010"/>
        <item x="1294"/>
        <item x="1268"/>
        <item x="2254"/>
        <item x="3630"/>
        <item x="567"/>
        <item x="3549"/>
        <item x="1625"/>
        <item x="220"/>
        <item x="40"/>
        <item x="2253"/>
        <item x="3265"/>
        <item x="1428"/>
        <item x="2997"/>
        <item x="1202"/>
        <item x="1807"/>
        <item x="2478"/>
        <item x="894"/>
        <item x="1762"/>
        <item x="515"/>
        <item x="1127"/>
        <item x="1134"/>
        <item x="3750"/>
        <item x="2250"/>
        <item x="1091"/>
        <item x="2604"/>
        <item x="3299"/>
        <item x="3623"/>
        <item x="1278"/>
        <item x="3356"/>
        <item x="3633"/>
        <item x="2248"/>
        <item x="786"/>
        <item x="508"/>
        <item x="2747"/>
        <item x="1537"/>
        <item x="3749"/>
        <item x="3042"/>
        <item x="3355"/>
        <item x="1414"/>
        <item x="166"/>
        <item x="3636"/>
        <item x="3491"/>
        <item x="477"/>
        <item x="3163"/>
        <item x="3264"/>
        <item x="3626"/>
        <item x="2839"/>
        <item x="3486"/>
        <item x="2884"/>
        <item x="59"/>
        <item x="3593"/>
        <item x="2005"/>
        <item x="1427"/>
        <item x="776"/>
        <item x="2720"/>
        <item x="3490"/>
        <item x="1805"/>
        <item x="1129"/>
        <item x="3634"/>
        <item x="336"/>
        <item x="1888"/>
        <item x="2251"/>
        <item x="1432"/>
        <item x="1039"/>
        <item x="1130"/>
        <item x="1424"/>
        <item x="3635"/>
        <item x="2006"/>
        <item x="3261"/>
        <item x="1303"/>
        <item x="1983"/>
        <item x="1627"/>
        <item x="791"/>
        <item x="2476"/>
        <item x="57"/>
        <item x="2012"/>
        <item x="3489"/>
        <item x="2011"/>
        <item x="2745"/>
        <item x="2372"/>
        <item x="1998"/>
        <item x="2382"/>
        <item x="21"/>
        <item x="526"/>
        <item x="1038"/>
        <item x="3039"/>
        <item x="2377"/>
        <item x="2682"/>
        <item x="2473"/>
        <item x="3038"/>
        <item x="1275"/>
        <item x="3485"/>
        <item x="1623"/>
        <item x="796"/>
        <item x="2008"/>
        <item x="1620"/>
        <item x="781"/>
        <item x="2879"/>
        <item x="3622"/>
        <item x="3316"/>
        <item x="1628"/>
        <item x="2607"/>
        <item x="1402"/>
        <item x="655"/>
        <item x="3020"/>
        <item x="1126"/>
        <item x="61"/>
        <item x="3326"/>
        <item x="3488"/>
        <item x="1626"/>
        <item x="3252"/>
        <item x="2134"/>
        <item x="795"/>
        <item x="2735"/>
        <item x="1495"/>
        <item x="1527"/>
        <item x="478"/>
        <item x="1399"/>
        <item x="2467"/>
        <item x="763"/>
        <item x="794"/>
        <item x="1524"/>
        <item x="2743"/>
        <item x="793"/>
        <item x="2818"/>
        <item x="3610"/>
        <item x="1120"/>
        <item x="1128"/>
        <item x="2380"/>
        <item x="3161"/>
        <item x="2249"/>
        <item x="2885"/>
        <item x="897"/>
        <item x="2003"/>
        <item x="1624"/>
        <item x="734"/>
        <item x="638"/>
        <item x="1295"/>
        <item x="1124"/>
        <item x="511"/>
        <item x="1426"/>
        <item x="735"/>
        <item x="756"/>
        <item x="1037"/>
        <item x="563"/>
        <item x="2705"/>
        <item x="2623"/>
        <item x="992"/>
        <item x="2378"/>
        <item x="3036"/>
        <item x="1123"/>
        <item x="1801"/>
        <item x="622"/>
        <item x="421"/>
        <item x="3710"/>
        <item x="3628"/>
        <item x="3353"/>
        <item x="1503"/>
        <item x="1114"/>
        <item x="2742"/>
        <item x="2472"/>
        <item x="513"/>
        <item x="1606"/>
        <item x="3404"/>
        <item x="2741"/>
        <item x="1999"/>
        <item x="788"/>
        <item x="167"/>
        <item x="2878"/>
        <item x="3627"/>
        <item x="321"/>
        <item x="53"/>
        <item x="1423"/>
        <item x="2462"/>
        <item x="1111"/>
        <item x="1"/>
        <item x="2980"/>
        <item x="3315"/>
        <item x="3617"/>
        <item x="514"/>
        <item x="3026"/>
        <item x="2236"/>
        <item x="2729"/>
        <item x="3033"/>
        <item x="3132"/>
        <item x="2736"/>
        <item x="624"/>
        <item x="1422"/>
        <item x="1621"/>
        <item x="3131"/>
        <item x="2091"/>
        <item x="2996"/>
        <item x="1283"/>
        <item x="1415"/>
        <item x="2137"/>
        <item x="424"/>
        <item x="1419"/>
        <item x="2966"/>
        <item x="780"/>
        <item x="1420"/>
        <item x="623"/>
        <item x="1297"/>
        <item x="631"/>
        <item x="1421"/>
        <item x="3159"/>
        <item x="1761"/>
        <item x="1418"/>
        <item x="784"/>
        <item x="1797"/>
        <item x="2880"/>
        <item x="1996"/>
        <item x="1994"/>
        <item x="525"/>
        <item x="771"/>
        <item x="1795"/>
        <item x="1799"/>
        <item x="2733"/>
        <item x="2458"/>
        <item x="2737"/>
        <item x="165"/>
        <item x="2365"/>
        <item x="1716"/>
        <item x="1718"/>
        <item x="2239"/>
        <item x="3019"/>
        <item x="2232"/>
        <item x="3352"/>
        <item x="1617"/>
        <item x="1605"/>
        <item x="2817"/>
        <item x="2876"/>
        <item x="858"/>
        <item x="50"/>
        <item x="898"/>
        <item x="2725"/>
        <item x="3550"/>
        <item x="2225"/>
        <item x="2731"/>
        <item x="1618"/>
        <item x="1990"/>
        <item x="777"/>
        <item x="2734"/>
        <item x="2877"/>
        <item x="896"/>
        <item x="1714"/>
        <item x="512"/>
        <item x="3250"/>
        <item x="2979"/>
        <item x="2243"/>
        <item x="1417"/>
        <item x="3029"/>
        <item x="362"/>
        <item x="1985"/>
        <item x="1289"/>
        <item x="468"/>
        <item x="1287"/>
        <item x="772"/>
        <item x="2242"/>
        <item x="3577"/>
        <item x="456"/>
        <item x="1897"/>
        <item x="1898"/>
        <item x="2971"/>
        <item x="1411"/>
        <item x="2468"/>
        <item x="740"/>
        <item x="728"/>
        <item x="2234"/>
        <item x="1792"/>
        <item x="882"/>
        <item x="2139"/>
        <item x="3321"/>
        <item x="3745"/>
        <item x="1416"/>
        <item x="3483"/>
        <item x="2373"/>
        <item x="2357"/>
        <item x="2700"/>
        <item x="2366"/>
        <item x="3552"/>
        <item x="2730"/>
        <item x="49"/>
        <item x="2241"/>
        <item x="656"/>
        <item x="46"/>
        <item x="2370"/>
        <item x="3707"/>
        <item x="48"/>
        <item x="359"/>
        <item x="3158"/>
        <item x="3551"/>
        <item x="423"/>
        <item x="2728"/>
        <item x="661"/>
        <item x="1413"/>
        <item x="893"/>
        <item x="778"/>
        <item x="3609"/>
        <item x="1369"/>
        <item x="319"/>
        <item x="3325"/>
        <item x="1794"/>
        <item x="2470"/>
        <item x="2726"/>
        <item x="860"/>
        <item x="1753"/>
        <item x="3614"/>
        <item x="2197"/>
        <item x="3318"/>
        <item x="660"/>
        <item x="783"/>
        <item x="33"/>
        <item x="3612"/>
        <item x="3157"/>
        <item x="3130"/>
        <item x="361"/>
        <item x="509"/>
        <item x="990"/>
        <item x="2724"/>
        <item x="2231"/>
        <item x="1788"/>
        <item x="2237"/>
        <item x="886"/>
        <item x="3154"/>
        <item x="1893"/>
        <item x="747"/>
        <item x="1992"/>
        <item x="2965"/>
        <item x="3153"/>
        <item x="2348"/>
        <item x="3260"/>
        <item x="637"/>
        <item x="1496"/>
        <item x="2233"/>
        <item x="1009"/>
        <item x="1713"/>
        <item x="636"/>
        <item x="2369"/>
        <item x="2364"/>
        <item x="782"/>
        <item x="1292"/>
        <item x="2235"/>
        <item x="1290"/>
        <item x="1989"/>
        <item x="2086"/>
        <item x="1277"/>
        <item x="3396"/>
        <item x="1717"/>
        <item x="47"/>
        <item x="1991"/>
        <item x="2230"/>
        <item x="3397"/>
        <item x="558"/>
        <item x="1035"/>
        <item x="2630"/>
        <item x="1986"/>
        <item x="473"/>
        <item x="3322"/>
        <item x="1398"/>
        <item x="2873"/>
        <item x="1616"/>
        <item x="3607"/>
        <item x="2368"/>
        <item x="3320"/>
        <item x="3151"/>
        <item x="1408"/>
        <item x="2838"/>
        <item x="1121"/>
        <item x="3149"/>
        <item x="2464"/>
        <item x="1790"/>
        <item x="3259"/>
        <item x="45"/>
        <item x="2227"/>
        <item x="1572"/>
        <item x="2466"/>
        <item x="1615"/>
        <item x="3743"/>
        <item x="1285"/>
        <item x="2367"/>
        <item x="562"/>
        <item x="44"/>
        <item x="988"/>
        <item x="2361"/>
        <item x="1536"/>
        <item x="1410"/>
        <item x="3150"/>
        <item x="3535"/>
        <item x="2679"/>
        <item x="3258"/>
        <item x="2219"/>
        <item x="1231"/>
        <item x="1793"/>
        <item x="3257"/>
        <item x="1257"/>
        <item x="41"/>
        <item x="3387"/>
        <item x="2629"/>
        <item x="474"/>
        <item x="765"/>
        <item x="360"/>
        <item x="1614"/>
        <item x="2463"/>
        <item x="2226"/>
        <item x="1284"/>
        <item x="2874"/>
        <item x="1766"/>
        <item x="1407"/>
        <item x="2628"/>
        <item x="1406"/>
        <item x="1404"/>
        <item x="2229"/>
        <item x="2363"/>
        <item x="1271"/>
        <item x="1201"/>
        <item x="3317"/>
        <item x="3709"/>
        <item x="340"/>
        <item x="3608"/>
        <item x="2084"/>
        <item x="748"/>
        <item x="561"/>
        <item x="1405"/>
        <item x="1034"/>
        <item x="887"/>
        <item x="770"/>
        <item x="3030"/>
        <item x="43"/>
        <item x="987"/>
        <item x="2352"/>
        <item x="3708"/>
        <item x="2721"/>
        <item x="3254"/>
        <item x="2356"/>
        <item x="1610"/>
        <item x="3615"/>
        <item x="3482"/>
        <item x="358"/>
        <item x="3394"/>
        <item x="1613"/>
        <item x="1401"/>
        <item x="1609"/>
        <item x="737"/>
        <item x="2362"/>
        <item x="2461"/>
        <item x="3393"/>
        <item x="736"/>
        <item x="738"/>
        <item x="1276"/>
        <item x="1269"/>
        <item x="2214"/>
        <item x="2977"/>
        <item x="766"/>
        <item x="3255"/>
        <item x="989"/>
        <item x="769"/>
        <item x="1535"/>
        <item x="1112"/>
        <item x="1391"/>
        <item x="2460"/>
        <item x="2174"/>
        <item x="759"/>
        <item x="3706"/>
        <item x="1392"/>
        <item x="3392"/>
        <item x="3148"/>
        <item x="422"/>
        <item x="2681"/>
        <item x="1397"/>
        <item x="357"/>
        <item x="2964"/>
        <item x="2723"/>
        <item x="1611"/>
        <item x="2722"/>
        <item x="3480"/>
        <item x="2358"/>
        <item x="2995"/>
        <item x="3390"/>
        <item x="2173"/>
        <item x="2459"/>
        <item x="1115"/>
        <item x="1263"/>
        <item x="1396"/>
        <item x="34"/>
        <item x="2718"/>
        <item x="3028"/>
        <item x="1253"/>
        <item x="768"/>
        <item x="1374"/>
        <item x="2680"/>
        <item x="472"/>
        <item x="3742"/>
        <item x="3310"/>
        <item x="218"/>
        <item x="510"/>
        <item x="1272"/>
        <item x="318"/>
        <item x="3578"/>
        <item x="3817"/>
        <item x="1982"/>
        <item x="1393"/>
        <item x="3140"/>
        <item x="1394"/>
        <item x="881"/>
        <item x="883"/>
        <item x="1033"/>
        <item x="1270"/>
        <item x="2456"/>
        <item x="630"/>
        <item x="758"/>
        <item x="3600"/>
        <item x="161"/>
        <item x="39"/>
        <item x="158"/>
        <item x="1389"/>
        <item x="1608"/>
        <item x="1534"/>
        <item x="3479"/>
        <item x="35"/>
        <item x="2717"/>
        <item x="1980"/>
        <item x="1390"/>
        <item x="2713"/>
        <item x="355"/>
        <item x="3605"/>
        <item x="31"/>
        <item x="356"/>
        <item x="3388"/>
        <item x="1007"/>
        <item x="1791"/>
        <item x="2871"/>
        <item x="3350"/>
        <item x="2992"/>
        <item x="3249"/>
        <item x="3816"/>
        <item x="37"/>
        <item x="1972"/>
        <item x="1264"/>
        <item x="1032"/>
        <item x="3606"/>
        <item x="731"/>
        <item x="1262"/>
        <item x="762"/>
        <item x="3604"/>
        <item x="215"/>
        <item x="884"/>
        <item x="730"/>
        <item x="2217"/>
        <item x="36"/>
        <item x="1948"/>
        <item x="1981"/>
        <item x="2142"/>
        <item x="3018"/>
        <item x="1098"/>
        <item x="1978"/>
        <item x="1974"/>
        <item x="3145"/>
        <item x="3602"/>
        <item x="1763"/>
        <item x="3478"/>
        <item x="1265"/>
        <item x="3603"/>
        <item x="2138"/>
        <item x="760"/>
        <item x="2353"/>
        <item x="1113"/>
        <item x="2351"/>
        <item x="3027"/>
        <item x="2216"/>
        <item x="2715"/>
        <item x="3308"/>
        <item x="755"/>
        <item x="3314"/>
        <item x="3601"/>
        <item x="1251"/>
        <item x="739"/>
        <item x="3705"/>
        <item x="469"/>
        <item x="216"/>
        <item x="749"/>
        <item x="1973"/>
        <item x="2970"/>
        <item x="750"/>
        <item x="2625"/>
        <item x="3576"/>
        <item x="1789"/>
        <item x="754"/>
        <item x="2872"/>
        <item x="2345"/>
        <item x="3144"/>
        <item x="2349"/>
        <item x="2837"/>
        <item x="885"/>
        <item x="3477"/>
        <item x="30"/>
        <item x="2135"/>
        <item x="1976"/>
        <item x="1256"/>
        <item x="3143"/>
        <item x="1004"/>
        <item x="2707"/>
        <item x="464"/>
        <item x="32"/>
        <item x="1977"/>
        <item x="2711"/>
        <item x="2974"/>
        <item x="1229"/>
        <item x="2606"/>
        <item x="1938"/>
        <item x="3596"/>
        <item x="1786"/>
        <item x="2710"/>
        <item x="1975"/>
        <item x="1787"/>
        <item x="3349"/>
        <item x="2678"/>
        <item x="3383"/>
        <item x="2708"/>
        <item x="857"/>
        <item x="3533"/>
        <item x="3311"/>
        <item x="1752"/>
        <item x="1388"/>
        <item x="2452"/>
        <item x="3704"/>
        <item x="1604"/>
        <item x="2213"/>
        <item x="3313"/>
        <item x="3251"/>
        <item x="1382"/>
        <item x="746"/>
        <item x="1387"/>
        <item x="2706"/>
        <item x="1373"/>
        <item x="157"/>
        <item x="1260"/>
        <item x="1375"/>
        <item x="15"/>
        <item x="1708"/>
        <item x="2209"/>
        <item x="2338"/>
        <item x="2836"/>
        <item x="1764"/>
        <item x="1379"/>
        <item x="1107"/>
        <item x="1380"/>
        <item x="1255"/>
        <item x="1110"/>
        <item x="1386"/>
        <item x="461"/>
        <item x="2603"/>
        <item x="2208"/>
        <item x="1385"/>
        <item x="727"/>
        <item x="1381"/>
        <item x="465"/>
        <item x="1371"/>
        <item x="745"/>
        <item x="1384"/>
        <item x="2204"/>
        <item x="3301"/>
        <item x="214"/>
        <item x="2702"/>
        <item x="1228"/>
        <item x="1971"/>
        <item x="2342"/>
        <item x="3594"/>
        <item x="1383"/>
        <item x="2207"/>
        <item x="3306"/>
        <item x="1760"/>
        <item x="3305"/>
        <item x="1367"/>
        <item x="2132"/>
        <item x="1378"/>
        <item x="2341"/>
        <item x="3475"/>
        <item x="743"/>
        <item x="2701"/>
        <item x="1377"/>
        <item x="2340"/>
        <item x="986"/>
        <item x="742"/>
        <item x="729"/>
        <item x="2339"/>
        <item x="1601"/>
        <item x="2206"/>
        <item x="2205"/>
        <item x="1109"/>
        <item x="1886"/>
        <item x="1370"/>
        <item x="213"/>
        <item x="2337"/>
        <item x="2336"/>
        <item x="3304"/>
        <item x="2605"/>
        <item x="3298"/>
        <item x="2203"/>
        <item x="315"/>
        <item x="2699"/>
        <item x="2335"/>
        <item x="733"/>
        <item x="3303"/>
        <item x="3248"/>
        <item x="1368"/>
        <item x="1108"/>
        <item x="3297"/>
        <item x="3532"/>
        <item x="725"/>
        <item x="460"/>
        <item x="1365"/>
        <item x="2202"/>
        <item x="2334"/>
        <item x="2973"/>
        <item x="1364"/>
        <item x="155"/>
        <item x="1366"/>
        <item x="724"/>
        <item x="2201"/>
        <item x="3822"/>
        <item t="default"/>
      </items>
    </pivotField>
    <pivotField dataField="1" showAll="0">
      <items count="2962">
        <item x="0"/>
        <item x="276"/>
        <item x="284"/>
        <item x="128"/>
        <item x="237"/>
        <item x="258"/>
        <item x="131"/>
        <item x="166"/>
        <item x="232"/>
        <item x="275"/>
        <item x="238"/>
        <item x="274"/>
        <item x="1007"/>
        <item x="1038"/>
        <item x="411"/>
        <item x="220"/>
        <item x="134"/>
        <item x="133"/>
        <item x="454"/>
        <item x="235"/>
        <item x="125"/>
        <item x="129"/>
        <item x="383"/>
        <item x="86"/>
        <item x="236"/>
        <item x="263"/>
        <item x="160"/>
        <item x="271"/>
        <item x="234"/>
        <item x="1073"/>
        <item x="433"/>
        <item x="273"/>
        <item x="410"/>
        <item x="205"/>
        <item x="409"/>
        <item x="1037"/>
        <item x="543"/>
        <item x="132"/>
        <item x="1190"/>
        <item x="376"/>
        <item x="365"/>
        <item x="272"/>
        <item x="130"/>
        <item x="704"/>
        <item x="449"/>
        <item x="124"/>
        <item x="82"/>
        <item x="2062"/>
        <item x="572"/>
        <item x="1036"/>
        <item x="667"/>
        <item x="1128"/>
        <item x="20"/>
        <item x="214"/>
        <item x="126"/>
        <item x="385"/>
        <item x="1976"/>
        <item x="448"/>
        <item x="2498"/>
        <item x="26"/>
        <item x="268"/>
        <item x="228"/>
        <item x="619"/>
        <item x="119"/>
        <item x="224"/>
        <item x="270"/>
        <item x="758"/>
        <item x="281"/>
        <item x="213"/>
        <item x="751"/>
        <item x="408"/>
        <item x="209"/>
        <item x="1006"/>
        <item x="249"/>
        <item x="1203"/>
        <item x="1886"/>
        <item x="193"/>
        <item x="384"/>
        <item x="1406"/>
        <item x="884"/>
        <item x="1641"/>
        <item x="2527"/>
        <item x="700"/>
        <item x="407"/>
        <item x="79"/>
        <item x="257"/>
        <item x="256"/>
        <item x="158"/>
        <item x="22"/>
        <item x="452"/>
        <item x="2402"/>
        <item x="442"/>
        <item x="222"/>
        <item x="2313"/>
        <item x="781"/>
        <item x="1409"/>
        <item x="406"/>
        <item x="1973"/>
        <item x="537"/>
        <item x="1072"/>
        <item x="2351"/>
        <item x="233"/>
        <item x="265"/>
        <item x="229"/>
        <item x="231"/>
        <item x="1035"/>
        <item x="513"/>
        <item x="1405"/>
        <item x="1034"/>
        <item x="2655"/>
        <item x="262"/>
        <item x="425"/>
        <item x="1005"/>
        <item x="1885"/>
        <item x="1067"/>
        <item x="162"/>
        <item x="405"/>
        <item x="1077"/>
        <item x="1111"/>
        <item x="255"/>
        <item x="1383"/>
        <item x="885"/>
        <item x="1361"/>
        <item x="582"/>
        <item x="666"/>
        <item x="1646"/>
        <item x="738"/>
        <item x="12"/>
        <item x="225"/>
        <item x="127"/>
        <item x="398"/>
        <item x="1645"/>
        <item x="1033"/>
        <item x="599"/>
        <item x="451"/>
        <item x="776"/>
        <item x="570"/>
        <item x="1029"/>
        <item x="2061"/>
        <item x="1408"/>
        <item x="217"/>
        <item x="2870"/>
        <item x="453"/>
        <item x="1110"/>
        <item x="1068"/>
        <item x="1407"/>
        <item x="772"/>
        <item x="819"/>
        <item x="703"/>
        <item x="230"/>
        <item x="1357"/>
        <item x="207"/>
        <item x="1263"/>
        <item x="1109"/>
        <item x="104"/>
        <item x="208"/>
        <item x="1404"/>
        <item x="2404"/>
        <item x="120"/>
        <item x="404"/>
        <item x="1193"/>
        <item x="363"/>
        <item x="1106"/>
        <item x="1206"/>
        <item x="1032"/>
        <item x="1644"/>
        <item x="1967"/>
        <item x="2956"/>
        <item x="450"/>
        <item x="1356"/>
        <item x="227"/>
        <item x="748"/>
        <item x="359"/>
        <item x="85"/>
        <item x="93"/>
        <item x="2725"/>
        <item x="111"/>
        <item x="1108"/>
        <item x="1031"/>
        <item x="403"/>
        <item x="1121"/>
        <item x="380"/>
        <item x="771"/>
        <item x="1030"/>
        <item x="123"/>
        <item x="1560"/>
        <item x="218"/>
        <item x="1543"/>
        <item x="226"/>
        <item x="1412"/>
        <item x="2347"/>
        <item x="1533"/>
        <item x="664"/>
        <item x="569"/>
        <item x="102"/>
        <item x="2082"/>
        <item x="266"/>
        <item x="269"/>
        <item x="732"/>
        <item x="966"/>
        <item x="2642"/>
        <item x="1531"/>
        <item x="616"/>
        <item x="1734"/>
        <item x="2528"/>
        <item x="1189"/>
        <item x="1205"/>
        <item x="2724"/>
        <item x="1028"/>
        <item x="1360"/>
        <item x="2907"/>
        <item x="497"/>
        <item x="580"/>
        <item x="1004"/>
        <item x="1091"/>
        <item x="1554"/>
        <item x="1463"/>
        <item x="2308"/>
        <item x="122"/>
        <item x="1359"/>
        <item x="1788"/>
        <item x="623"/>
        <item x="381"/>
        <item x="766"/>
        <item x="402"/>
        <item x="2398"/>
        <item x="1027"/>
        <item x="223"/>
        <item x="2310"/>
        <item x="2203"/>
        <item x="1532"/>
        <item x="2755"/>
        <item x="375"/>
        <item x="350"/>
        <item x="2690"/>
        <item x="195"/>
        <item x="382"/>
        <item x="1862"/>
        <item x="692"/>
        <item x="89"/>
        <item x="879"/>
        <item x="1071"/>
        <item x="1107"/>
        <item x="1358"/>
        <item x="2350"/>
        <item x="559"/>
        <item x="1652"/>
        <item x="2060"/>
        <item x="2955"/>
        <item x="75"/>
        <item x="2145"/>
        <item x="2864"/>
        <item x="118"/>
        <item x="1562"/>
        <item x="2939"/>
        <item x="2098"/>
        <item x="1430"/>
        <item x="1744"/>
        <item x="2666"/>
        <item x="1069"/>
        <item x="2653"/>
        <item x="445"/>
        <item x="2345"/>
        <item x="1434"/>
        <item x="665"/>
        <item x="1756"/>
        <item x="1749"/>
        <item x="2207"/>
        <item x="165"/>
        <item x="2097"/>
        <item x="2492"/>
        <item x="1974"/>
        <item x="1195"/>
        <item x="1968"/>
        <item x="883"/>
        <item x="94"/>
        <item x="1870"/>
        <item x="2049"/>
        <item x="419"/>
        <item x="2309"/>
        <item x="206"/>
        <item x="1099"/>
        <item x="2208"/>
        <item x="661"/>
        <item x="2059"/>
        <item x="2915"/>
        <item x="2893"/>
        <item x="2058"/>
        <item x="1262"/>
        <item x="161"/>
        <item x="1141"/>
        <item x="1942"/>
        <item x="538"/>
        <item x="379"/>
        <item x="1054"/>
        <item x="2341"/>
        <item x="401"/>
        <item x="1555"/>
        <item x="1642"/>
        <item x="504"/>
        <item x="1196"/>
        <item x="1178"/>
        <item x="1204"/>
        <item x="2359"/>
        <item x="2405"/>
        <item x="377"/>
        <item x="2358"/>
        <item x="773"/>
        <item x="2312"/>
        <item x="96"/>
        <item x="2572"/>
        <item x="1351"/>
        <item x="2303"/>
        <item x="1877"/>
        <item x="394"/>
        <item x="185"/>
        <item x="2311"/>
        <item x="1070"/>
        <item x="1023"/>
        <item x="2869"/>
        <item x="2515"/>
        <item x="1241"/>
        <item x="32"/>
        <item x="1759"/>
        <item x="1105"/>
        <item x="2574"/>
        <item x="1167"/>
        <item x="83"/>
        <item x="764"/>
        <item x="1413"/>
        <item x="427"/>
        <item x="95"/>
        <item x="581"/>
        <item x="1880"/>
        <item x="1431"/>
        <item x="2654"/>
        <item x="2648"/>
        <item x="1000"/>
        <item x="1751"/>
        <item x="2108"/>
        <item x="2689"/>
        <item x="108"/>
        <item x="687"/>
        <item x="378"/>
        <item x="67"/>
        <item x="579"/>
        <item x="565"/>
        <item x="654"/>
        <item x="842"/>
        <item x="1104"/>
        <item x="1115"/>
        <item x="2497"/>
        <item x="1432"/>
        <item x="1403"/>
        <item x="2055"/>
        <item x="635"/>
        <item x="1643"/>
        <item x="1966"/>
        <item x="1552"/>
        <item x="2674"/>
        <item x="1883"/>
        <item x="656"/>
        <item x="1626"/>
        <item x="638"/>
        <item x="115"/>
        <item x="1103"/>
        <item x="699"/>
        <item x="259"/>
        <item x="2754"/>
        <item x="1102"/>
        <item x="2057"/>
        <item x="2307"/>
        <item x="2856"/>
        <item x="717"/>
        <item x="2396"/>
        <item x="815"/>
        <item x="1003"/>
        <item x="1062"/>
        <item x="2526"/>
        <item x="210"/>
        <item x="1978"/>
        <item x="1355"/>
        <item x="1090"/>
        <item x="446"/>
        <item x="98"/>
        <item x="1518"/>
        <item x="1884"/>
        <item x="351"/>
        <item x="2954"/>
        <item x="2834"/>
        <item x="2039"/>
        <item x="216"/>
        <item x="1938"/>
        <item x="2305"/>
        <item x="644"/>
        <item x="985"/>
        <item x="1142"/>
        <item x="114"/>
        <item x="1948"/>
        <item x="2473"/>
        <item x="2151"/>
        <item x="1161"/>
        <item x="2056"/>
        <item x="756"/>
        <item x="823"/>
        <item x="1202"/>
        <item x="221"/>
        <item x="868"/>
        <item x="622"/>
        <item x="1348"/>
        <item x="2495"/>
        <item x="2871"/>
        <item x="2947"/>
        <item x="1625"/>
        <item x="1299"/>
        <item x="1127"/>
        <item x="2506"/>
        <item x="2643"/>
        <item x="121"/>
        <item x="1353"/>
        <item x="2860"/>
        <item x="1101"/>
        <item x="1002"/>
        <item x="2300"/>
        <item x="870"/>
        <item x="2326"/>
        <item x="211"/>
        <item x="2377"/>
        <item x="2868"/>
        <item x="1964"/>
        <item x="2687"/>
        <item x="1563"/>
        <item x="343"/>
        <item x="1524"/>
        <item x="1958"/>
        <item x="2917"/>
        <item x="2406"/>
        <item x="2349"/>
        <item x="392"/>
        <item x="390"/>
        <item x="1522"/>
        <item x="1971"/>
        <item x="2867"/>
        <item x="652"/>
        <item x="2651"/>
        <item x="555"/>
        <item x="422"/>
        <item x="997"/>
        <item x="1639"/>
        <item x="1468"/>
        <item x="995"/>
        <item x="2945"/>
        <item x="200"/>
        <item x="2478"/>
        <item x="1977"/>
        <item x="2855"/>
        <item x="2390"/>
        <item x="2246"/>
        <item x="1515"/>
        <item x="2195"/>
        <item x="192"/>
        <item x="1471"/>
        <item x="66"/>
        <item x="1426"/>
        <item x="2936"/>
        <item x="1295"/>
        <item x="877"/>
        <item x="1954"/>
        <item x="2477"/>
        <item x="1868"/>
        <item x="219"/>
        <item x="2667"/>
        <item x="168"/>
        <item x="1066"/>
        <item x="2488"/>
        <item x="2291"/>
        <item x="1635"/>
        <item x="399"/>
        <item x="1026"/>
        <item x="1025"/>
        <item x="113"/>
        <item x="1706"/>
        <item x="395"/>
        <item x="1387"/>
        <item x="1100"/>
        <item x="74"/>
        <item x="215"/>
        <item x="993"/>
        <item x="544"/>
        <item x="2052"/>
        <item x="2634"/>
        <item x="194"/>
        <item x="2338"/>
        <item x="1338"/>
        <item x="1001"/>
        <item x="2479"/>
        <item x="2105"/>
        <item x="1433"/>
        <item x="2306"/>
        <item x="2343"/>
        <item x="1757"/>
        <item x="1183"/>
        <item x="1013"/>
        <item x="1760"/>
        <item x="2392"/>
        <item x="1197"/>
        <item x="1527"/>
        <item x="1640"/>
        <item x="2881"/>
        <item x="2880"/>
        <item x="181"/>
        <item x="1093"/>
        <item x="400"/>
        <item x="2296"/>
        <item x="2342"/>
        <item x="999"/>
        <item x="372"/>
        <item x="1180"/>
        <item x="2054"/>
        <item x="2919"/>
        <item x="1397"/>
        <item x="1541"/>
        <item x="1975"/>
        <item x="1429"/>
        <item x="1349"/>
        <item x="2805"/>
        <item x="2386"/>
        <item x="882"/>
        <item x="1354"/>
        <item x="84"/>
        <item x="1345"/>
        <item x="2688"/>
        <item x="1065"/>
        <item x="2104"/>
        <item x="2196"/>
        <item x="1638"/>
        <item x="1157"/>
        <item x="754"/>
        <item x="1328"/>
        <item x="2168"/>
        <item x="253"/>
        <item x="1832"/>
        <item x="657"/>
        <item x="2890"/>
        <item x="434"/>
        <item x="1064"/>
        <item x="1745"/>
        <item x="1722"/>
        <item x="649"/>
        <item x="1018"/>
        <item x="1022"/>
        <item x="578"/>
        <item x="1538"/>
        <item x="881"/>
        <item x="1024"/>
        <item x="2051"/>
        <item x="1828"/>
        <item x="2294"/>
        <item x="1402"/>
        <item x="2788"/>
        <item x="176"/>
        <item x="2394"/>
        <item x="1199"/>
        <item x="2935"/>
        <item x="2053"/>
        <item x="2357"/>
        <item x="2884"/>
        <item x="1839"/>
        <item x="640"/>
        <item x="197"/>
        <item x="867"/>
        <item x="2079"/>
        <item x="628"/>
        <item x="41"/>
        <item x="2953"/>
        <item x="744"/>
        <item x="1758"/>
        <item x="1922"/>
        <item x="1547"/>
        <item x="2191"/>
        <item x="69"/>
        <item x="1019"/>
        <item x="2952"/>
        <item x="1395"/>
        <item x="421"/>
        <item x="2670"/>
        <item x="2951"/>
        <item x="201"/>
        <item x="663"/>
        <item x="110"/>
        <item x="2176"/>
        <item x="1514"/>
        <item x="56"/>
        <item x="2268"/>
        <item x="1146"/>
        <item x="1755"/>
        <item x="1879"/>
        <item x="1523"/>
        <item x="1561"/>
        <item x="875"/>
        <item x="199"/>
        <item x="1098"/>
        <item x="424"/>
        <item x="627"/>
        <item x="2050"/>
        <item x="417"/>
        <item x="645"/>
        <item x="418"/>
        <item x="525"/>
        <item x="660"/>
        <item x="2042"/>
        <item x="816"/>
        <item x="1021"/>
        <item x="975"/>
        <item x="2281"/>
        <item x="1052"/>
        <item x="2892"/>
        <item x="2525"/>
        <item x="1628"/>
        <item x="2891"/>
        <item x="2047"/>
        <item x="636"/>
        <item x="2496"/>
        <item x="2475"/>
        <item x="97"/>
        <item x="1181"/>
        <item x="1020"/>
        <item x="191"/>
        <item x="2719"/>
        <item x="804"/>
        <item x="1503"/>
        <item x="1972"/>
        <item x="2635"/>
        <item x="1175"/>
        <item x="1168"/>
        <item x="1401"/>
        <item x="695"/>
        <item x="2524"/>
        <item x="1969"/>
        <item x="1132"/>
        <item x="2298"/>
        <item x="1400"/>
        <item x="2494"/>
        <item x="1636"/>
        <item x="2942"/>
        <item x="117"/>
        <item x="998"/>
        <item x="1530"/>
        <item x="1318"/>
        <item x="391"/>
        <item x="366"/>
        <item x="1173"/>
        <item x="99"/>
        <item x="765"/>
        <item x="1637"/>
        <item x="1063"/>
        <item x="899"/>
        <item x="167"/>
        <item x="2555"/>
        <item x="187"/>
        <item x="577"/>
        <item x="774"/>
        <item x="2206"/>
        <item x="1331"/>
        <item x="2712"/>
        <item x="42"/>
        <item x="983"/>
        <item x="2078"/>
        <item x="1559"/>
        <item x="1519"/>
        <item x="1970"/>
        <item x="2889"/>
        <item x="1056"/>
        <item x="558"/>
        <item x="1607"/>
        <item x="1529"/>
        <item x="2403"/>
        <item x="2048"/>
        <item x="1350"/>
        <item x="2489"/>
        <item x="1724"/>
        <item x="1154"/>
        <item x="662"/>
        <item x="354"/>
        <item x="1092"/>
        <item x="1428"/>
        <item x="2080"/>
        <item x="2888"/>
        <item x="198"/>
        <item x="2875"/>
        <item x="260"/>
        <item x="2045"/>
        <item x="575"/>
        <item x="1504"/>
        <item x="204"/>
        <item x="1716"/>
        <item x="1748"/>
        <item x="107"/>
        <item x="2950"/>
        <item x="2948"/>
        <item x="1352"/>
        <item x="869"/>
        <item x="267"/>
        <item x="24"/>
        <item x="2652"/>
        <item x="1335"/>
        <item x="393"/>
        <item x="1558"/>
        <item x="2764"/>
        <item x="775"/>
        <item x="770"/>
        <item x="2400"/>
        <item x="103"/>
        <item x="615"/>
        <item x="1667"/>
        <item x="725"/>
        <item x="2573"/>
        <item x="2044"/>
        <item x="2840"/>
        <item x="1017"/>
        <item x="2348"/>
        <item x="2147"/>
        <item x="2933"/>
        <item x="2846"/>
        <item x="2290"/>
        <item x="2946"/>
        <item x="1258"/>
        <item x="780"/>
        <item x="1606"/>
        <item x="202"/>
        <item x="2664"/>
        <item x="1665"/>
        <item x="2619"/>
        <item x="1346"/>
        <item x="2046"/>
        <item x="1631"/>
        <item x="2128"/>
        <item x="2077"/>
        <item x="1347"/>
        <item x="1634"/>
        <item x="2103"/>
        <item x="2043"/>
        <item x="659"/>
        <item x="37"/>
        <item x="2486"/>
        <item x="348"/>
        <item x="1557"/>
        <item x="264"/>
        <item x="2521"/>
        <item x="837"/>
        <item x="655"/>
        <item x="1624"/>
        <item x="2197"/>
        <item x="112"/>
        <item x="1317"/>
        <item x="1957"/>
        <item x="189"/>
        <item x="212"/>
        <item x="1867"/>
        <item x="596"/>
        <item x="1097"/>
        <item x="2722"/>
        <item x="768"/>
        <item x="2806"/>
        <item x="2513"/>
        <item x="2293"/>
        <item x="374"/>
        <item x="2683"/>
        <item x="2491"/>
        <item x="2944"/>
        <item x="651"/>
        <item x="2407"/>
        <item x="2645"/>
        <item x="2304"/>
        <item x="250"/>
        <item x="2949"/>
        <item x="943"/>
        <item x="2921"/>
        <item x="2297"/>
        <item x="532"/>
        <item x="1521"/>
        <item x="1016"/>
        <item x="941"/>
        <item x="1556"/>
        <item x="1712"/>
        <item x="388"/>
        <item x="426"/>
        <item x="1605"/>
        <item x="2289"/>
        <item x="2887"/>
        <item x="2041"/>
        <item x="1632"/>
        <item x="2267"/>
        <item x="658"/>
        <item x="2639"/>
        <item x="11"/>
        <item x="1096"/>
        <item x="2523"/>
        <item x="1633"/>
        <item x="1790"/>
        <item x="2483"/>
        <item x="2699"/>
        <item x="1165"/>
        <item x="2094"/>
        <item x="444"/>
        <item x="1394"/>
        <item x="1494"/>
        <item x="1881"/>
        <item x="650"/>
        <item x="979"/>
        <item x="2721"/>
        <item x="630"/>
        <item x="1326"/>
        <item x="431"/>
        <item x="63"/>
        <item x="1874"/>
        <item x="2510"/>
        <item x="1955"/>
        <item x="753"/>
        <item x="1546"/>
        <item x="2202"/>
        <item x="2102"/>
        <item x="466"/>
        <item x="1715"/>
        <item x="702"/>
        <item x="241"/>
        <item x="2220"/>
        <item x="2522"/>
        <item x="370"/>
        <item x="53"/>
        <item x="371"/>
        <item x="1313"/>
        <item x="64"/>
        <item x="1528"/>
        <item x="447"/>
        <item x="2073"/>
        <item x="1840"/>
        <item x="2886"/>
        <item x="1306"/>
        <item x="2658"/>
        <item x="2850"/>
        <item x="2397"/>
        <item x="2448"/>
        <item x="760"/>
        <item x="70"/>
        <item x="2205"/>
        <item x="2866"/>
        <item x="1117"/>
        <item x="2519"/>
        <item x="2671"/>
        <item x="1372"/>
        <item x="430"/>
        <item x="1129"/>
        <item x="2013"/>
        <item x="2517"/>
        <item x="1342"/>
        <item x="992"/>
        <item x="2509"/>
        <item x="2476"/>
        <item x="1341"/>
        <item x="2607"/>
        <item x="1849"/>
        <item x="1118"/>
        <item x="1857"/>
        <item x="254"/>
        <item x="1411"/>
        <item x="2399"/>
        <item x="2295"/>
        <item x="2278"/>
        <item x="373"/>
        <item x="1399"/>
        <item x="2753"/>
        <item x="2520"/>
        <item x="1535"/>
        <item x="2723"/>
        <item x="1937"/>
        <item x="2381"/>
        <item x="1095"/>
        <item x="1816"/>
        <item x="1526"/>
        <item x="2452"/>
        <item x="2302"/>
        <item x="2200"/>
        <item x="880"/>
        <item x="1015"/>
        <item x="685"/>
        <item x="1337"/>
        <item x="2277"/>
        <item x="1500"/>
        <item x="1726"/>
        <item x="2493"/>
        <item x="2076"/>
        <item x="2865"/>
        <item x="1934"/>
        <item x="609"/>
        <item x="1520"/>
        <item x="1941"/>
        <item x="1240"/>
        <item x="88"/>
        <item x="769"/>
        <item x="621"/>
        <item x="31"/>
        <item x="2204"/>
        <item x="632"/>
        <item x="1553"/>
        <item x="1085"/>
        <item x="1963"/>
        <item x="2016"/>
        <item x="1711"/>
        <item x="2730"/>
        <item x="2825"/>
        <item x="1953"/>
        <item x="2366"/>
        <item x="2650"/>
        <item x="694"/>
        <item x="846"/>
        <item x="874"/>
        <item x="1379"/>
        <item x="1294"/>
        <item x="1754"/>
        <item x="2033"/>
        <item x="1961"/>
        <item x="971"/>
        <item x="1191"/>
        <item x="608"/>
        <item x="2863"/>
        <item x="1845"/>
        <item x="1079"/>
        <item x="1753"/>
        <item x="639"/>
        <item x="2271"/>
        <item x="1060"/>
        <item x="2367"/>
        <item x="779"/>
        <item x="2391"/>
        <item x="1061"/>
        <item x="1114"/>
        <item x="1234"/>
        <item x="2040"/>
        <item x="1424"/>
        <item x="1322"/>
        <item x="1320"/>
        <item x="991"/>
        <item x="59"/>
        <item x="691"/>
        <item x="116"/>
        <item x="843"/>
        <item x="2895"/>
        <item x="317"/>
        <item x="1094"/>
        <item x="1695"/>
        <item x="1344"/>
        <item x="2190"/>
        <item x="71"/>
        <item x="1010"/>
        <item x="648"/>
        <item x="546"/>
        <item x="1516"/>
        <item x="2940"/>
        <item x="415"/>
        <item x="154"/>
        <item x="811"/>
        <item x="1239"/>
        <item x="2370"/>
        <item x="2379"/>
        <item x="1198"/>
        <item x="1040"/>
        <item x="1138"/>
        <item x="2640"/>
        <item x="601"/>
        <item x="2301"/>
        <item x="1340"/>
        <item x="825"/>
        <item x="1882"/>
        <item x="2389"/>
        <item x="2718"/>
        <item x="1343"/>
        <item x="54"/>
        <item x="2563"/>
        <item x="2356"/>
        <item x="1486"/>
        <item x="625"/>
        <item x="2299"/>
        <item x="1014"/>
        <item x="1390"/>
        <item x="2273"/>
        <item x="1192"/>
        <item x="1259"/>
        <item x="923"/>
        <item x="1261"/>
        <item x="2262"/>
        <item x="1525"/>
        <item x="2034"/>
        <item x="2149"/>
        <item x="1960"/>
        <item x="1806"/>
        <item x="1186"/>
        <item x="1878"/>
        <item x="1604"/>
        <item x="1334"/>
        <item x="2276"/>
        <item x="1311"/>
        <item x="2189"/>
        <item x="2959"/>
        <item x="1965"/>
        <item x="1287"/>
        <item x="397"/>
        <item x="2186"/>
        <item x="1630"/>
        <item x="1962"/>
        <item x="1721"/>
        <item x="1179"/>
        <item x="1752"/>
        <item x="1602"/>
        <item x="1914"/>
        <item x="2686"/>
        <item x="1946"/>
        <item x="2566"/>
        <item x="2752"/>
        <item x="1392"/>
        <item x="2512"/>
        <item x="25"/>
        <item x="2339"/>
        <item x="1078"/>
        <item x="1629"/>
        <item x="1201"/>
        <item x="646"/>
        <item x="2288"/>
        <item x="369"/>
        <item x="1200"/>
        <item x="2401"/>
        <item x="2490"/>
        <item x="2287"/>
        <item x="653"/>
        <item x="18"/>
        <item x="2685"/>
        <item x="878"/>
        <item x="55"/>
        <item x="2647"/>
        <item x="2518"/>
        <item x="1858"/>
        <item x="2472"/>
        <item x="2641"/>
        <item x="1382"/>
        <item x="416"/>
        <item x="2737"/>
        <item x="47"/>
        <item x="2637"/>
        <item x="1194"/>
        <item x="2836"/>
        <item x="1309"/>
        <item x="157"/>
        <item x="106"/>
        <item x="2485"/>
        <item x="289"/>
        <item x="994"/>
        <item x="1506"/>
        <item x="2026"/>
        <item x="1701"/>
        <item x="1058"/>
        <item x="2537"/>
        <item x="2346"/>
        <item x="1551"/>
        <item x="2161"/>
        <item x="1741"/>
        <item x="2280"/>
        <item x="1627"/>
        <item x="2885"/>
        <item x="2292"/>
        <item x="2038"/>
        <item x="1959"/>
        <item x="2938"/>
        <item x="48"/>
        <item x="2941"/>
        <item x="247"/>
        <item x="310"/>
        <item x="2571"/>
        <item x="10"/>
        <item x="347"/>
        <item x="1427"/>
        <item x="1916"/>
        <item x="986"/>
        <item x="1911"/>
        <item x="186"/>
        <item x="2101"/>
        <item x="1188"/>
        <item x="1423"/>
        <item x="2681"/>
        <item x="151"/>
        <item x="2037"/>
        <item x="2382"/>
        <item x="2707"/>
        <item x="1709"/>
        <item x="440"/>
        <item x="989"/>
        <item x="1876"/>
        <item x="2447"/>
        <item x="2164"/>
        <item x="1398"/>
        <item x="2467"/>
        <item x="203"/>
        <item x="809"/>
        <item x="1012"/>
        <item x="2845"/>
        <item x="965"/>
        <item x="2720"/>
        <item x="1875"/>
        <item x="2882"/>
        <item x="626"/>
        <item x="1619"/>
        <item x="2487"/>
        <item x="2011"/>
        <item x="996"/>
        <item x="1339"/>
        <item x="2388"/>
        <item x="1820"/>
        <item x="1314"/>
        <item x="982"/>
        <item x="62"/>
        <item x="2943"/>
        <item x="177"/>
        <item x="1166"/>
        <item x="2462"/>
        <item x="396"/>
        <item x="2075"/>
        <item x="2678"/>
        <item x="183"/>
        <item x="2177"/>
        <item x="2035"/>
        <item x="1617"/>
        <item x="1623"/>
        <item x="2862"/>
        <item x="778"/>
        <item x="2511"/>
        <item x="2646"/>
        <item x="1324"/>
        <item x="1727"/>
        <item x="2032"/>
        <item x="2911"/>
        <item x="1496"/>
        <item x="2015"/>
        <item x="2829"/>
        <item x="2263"/>
        <item x="1260"/>
        <item x="1501"/>
        <item x="2484"/>
        <item x="1864"/>
        <item x="718"/>
        <item x="2036"/>
        <item x="2750"/>
        <item x="937"/>
        <item x="1396"/>
        <item x="2368"/>
        <item x="1176"/>
        <item x="672"/>
        <item x="2508"/>
        <item x="1457"/>
        <item x="824"/>
        <item x="963"/>
        <item x="1747"/>
        <item x="1059"/>
        <item x="1011"/>
        <item x="2285"/>
        <item x="2344"/>
        <item x="109"/>
        <item x="2279"/>
        <item x="633"/>
        <item x="542"/>
        <item x="2614"/>
        <item x="2649"/>
        <item x="1333"/>
        <item x="2481"/>
        <item x="1743"/>
        <item x="2282"/>
        <item x="547"/>
        <item x="2570"/>
        <item x="341"/>
        <item x="1603"/>
        <item x="634"/>
        <item x="602"/>
        <item x="1545"/>
        <item x="2684"/>
        <item x="1517"/>
        <item x="2628"/>
        <item x="2284"/>
        <item x="2333"/>
        <item x="1425"/>
        <item x="2883"/>
        <item x="2469"/>
        <item x="184"/>
        <item x="1693"/>
        <item x="2482"/>
        <item x="1493"/>
        <item x="2199"/>
        <item x="1512"/>
        <item x="2188"/>
        <item x="2625"/>
        <item x="845"/>
        <item x="9"/>
        <item x="1550"/>
        <item x="1182"/>
        <item x="2669"/>
        <item x="701"/>
        <item x="969"/>
        <item x="1731"/>
        <item x="1304"/>
        <item x="441"/>
        <item x="2644"/>
        <item x="1534"/>
        <item x="494"/>
        <item x="958"/>
        <item x="1614"/>
        <item x="173"/>
        <item x="2910"/>
        <item x="91"/>
        <item x="1821"/>
        <item x="755"/>
        <item x="1087"/>
        <item x="1949"/>
        <item x="1598"/>
        <item x="637"/>
        <item x="1134"/>
        <item x="1048"/>
        <item x="2030"/>
        <item x="848"/>
        <item x="368"/>
        <item x="367"/>
        <item x="1144"/>
        <item x="1272"/>
        <item x="2449"/>
        <item x="767"/>
        <item x="761"/>
        <item x="1952"/>
        <item x="2167"/>
        <item x="2171"/>
        <item x="362"/>
        <item x="2074"/>
        <item x="2174"/>
        <item x="1852"/>
        <item x="1746"/>
        <item x="1956"/>
        <item x="1043"/>
        <item x="2633"/>
        <item x="1089"/>
        <item x="1691"/>
        <item x="2934"/>
        <item x="72"/>
        <item x="1088"/>
        <item x="934"/>
        <item x="2031"/>
        <item x="2616"/>
        <item x="1947"/>
        <item x="2395"/>
        <item x="1122"/>
        <item x="1497"/>
        <item x="2385"/>
        <item x="2258"/>
        <item x="747"/>
        <item x="2244"/>
        <item x="2925"/>
        <item x="647"/>
        <item x="2025"/>
        <item x="180"/>
        <item x="1773"/>
        <item x="2821"/>
        <item x="496"/>
        <item x="759"/>
        <item x="1549"/>
        <item x="930"/>
        <item x="2331"/>
        <item x="1925"/>
        <item x="2673"/>
        <item x="1830"/>
        <item x="1750"/>
        <item x="613"/>
        <item x="2260"/>
        <item x="2516"/>
        <item x="2249"/>
        <item x="1800"/>
        <item x="1336"/>
        <item x="872"/>
        <item x="2286"/>
        <item x="1620"/>
        <item x="576"/>
        <item x="2092"/>
        <item x="1238"/>
        <item x="2374"/>
        <item x="2858"/>
        <item x="927"/>
        <item x="33"/>
        <item x="2187"/>
        <item x="2618"/>
        <item x="1811"/>
        <item x="1708"/>
        <item x="512"/>
        <item x="977"/>
        <item x="429"/>
        <item x="2937"/>
        <item x="1080"/>
        <item x="2680"/>
        <item x="2859"/>
        <item x="988"/>
        <item x="2751"/>
        <item x="364"/>
        <item x="2908"/>
        <item x="1307"/>
        <item x="980"/>
        <item x="1325"/>
        <item x="87"/>
        <item x="2029"/>
        <item x="984"/>
        <item x="2602"/>
        <item x="2283"/>
        <item x="1332"/>
        <item x="1393"/>
        <item x="170"/>
        <item x="1227"/>
        <item x="1982"/>
        <item x="2700"/>
        <item x="1051"/>
        <item x="1861"/>
        <item x="631"/>
        <item x="2470"/>
        <item x="1042"/>
        <item x="574"/>
        <item x="196"/>
        <item x="1081"/>
        <item x="2610"/>
        <item x="1622"/>
        <item x="1742"/>
        <item x="1596"/>
        <item x="1487"/>
        <item x="2741"/>
        <item x="1476"/>
        <item x="2717"/>
        <item x="571"/>
        <item x="1185"/>
        <item x="560"/>
        <item x="1150"/>
        <item x="105"/>
        <item x="2027"/>
        <item x="1233"/>
        <item x="2839"/>
        <item x="2330"/>
        <item x="2100"/>
        <item x="1945"/>
        <item x="2876"/>
        <item x="876"/>
        <item x="1184"/>
        <item x="2861"/>
        <item x="974"/>
        <item x="643"/>
        <item x="1599"/>
        <item x="2269"/>
        <item x="2250"/>
        <item x="330"/>
        <item x="389"/>
        <item x="2768"/>
        <item x="1236"/>
        <item x="719"/>
        <item x="2384"/>
        <item x="1710"/>
        <item x="715"/>
        <item x="573"/>
        <item x="1548"/>
        <item x="502"/>
        <item x="1901"/>
        <item x="2378"/>
        <item x="936"/>
        <item x="1951"/>
        <item x="1725"/>
        <item x="2028"/>
        <item x="1086"/>
        <item x="2763"/>
        <item x="1621"/>
        <item x="252"/>
        <item x="2562"/>
        <item x="757"/>
        <item x="1255"/>
        <item x="568"/>
        <item x="2463"/>
        <item x="1912"/>
        <item x="855"/>
        <item x="2380"/>
        <item x="313"/>
        <item x="101"/>
        <item x="2433"/>
        <item x="2459"/>
        <item x="797"/>
        <item x="2201"/>
        <item x="2715"/>
        <item x="2261"/>
        <item x="2242"/>
        <item x="2932"/>
        <item x="439"/>
        <item x="2022"/>
        <item x="561"/>
        <item x="316"/>
        <item x="1123"/>
        <item x="861"/>
        <item x="2827"/>
        <item x="607"/>
        <item x="443"/>
        <item x="968"/>
        <item x="1689"/>
        <item x="2024"/>
        <item x="1988"/>
        <item x="2621"/>
        <item x="1135"/>
        <item x="2716"/>
        <item x="1226"/>
        <item x="1329"/>
        <item x="2337"/>
        <item x="2706"/>
        <item x="763"/>
        <item x="2857"/>
        <item x="990"/>
        <item x="762"/>
        <item x="2569"/>
        <item x="2568"/>
        <item x="1237"/>
        <item x="528"/>
        <item x="1302"/>
        <item x="964"/>
        <item x="1873"/>
        <item x="2340"/>
        <item x="78"/>
        <item x="1330"/>
        <item x="789"/>
        <item x="981"/>
        <item x="2383"/>
        <item x="617"/>
        <item x="1848"/>
        <item x="2329"/>
        <item x="593"/>
        <item x="100"/>
        <item x="2930"/>
        <item x="1187"/>
        <item x="261"/>
        <item x="2818"/>
        <item x="1981"/>
        <item x="925"/>
        <item x="2746"/>
        <item x="2275"/>
        <item x="1853"/>
        <item x="1509"/>
        <item x="2848"/>
        <item x="976"/>
        <item x="838"/>
        <item x="2387"/>
        <item x="346"/>
        <item x="1991"/>
        <item x="1544"/>
        <item x="2468"/>
        <item x="531"/>
        <item x="1733"/>
        <item x="2254"/>
        <item x="940"/>
        <item x="1484"/>
        <item x="1818"/>
        <item x="1151"/>
        <item x="1601"/>
        <item x="1872"/>
        <item x="895"/>
        <item x="90"/>
        <item x="1597"/>
        <item x="903"/>
        <item x="1057"/>
        <item x="251"/>
        <item x="594"/>
        <item x="2714"/>
        <item x="2175"/>
        <item x="2372"/>
        <item x="2713"/>
        <item x="2598"/>
        <item x="8"/>
        <item x="955"/>
        <item x="2023"/>
        <item x="2636"/>
        <item x="2852"/>
        <item x="2450"/>
        <item x="1323"/>
        <item x="2440"/>
        <item x="2272"/>
        <item x="2193"/>
        <item x="873"/>
        <item x="2362"/>
        <item x="2682"/>
        <item x="2480"/>
        <item x="1310"/>
        <item x="2586"/>
        <item x="1608"/>
        <item x="2918"/>
        <item x="1084"/>
        <item x="81"/>
        <item x="799"/>
        <item x="1455"/>
        <item x="2142"/>
        <item x="2622"/>
        <item x="188"/>
        <item x="340"/>
        <item x="1145"/>
        <item x="942"/>
        <item x="1871"/>
        <item x="156"/>
        <item x="1854"/>
        <item x="240"/>
        <item x="1156"/>
        <item x="1327"/>
        <item x="1391"/>
        <item x="1505"/>
        <item x="2081"/>
        <item x="1600"/>
        <item x="2178"/>
        <item x="2086"/>
        <item x="2471"/>
        <item x="288"/>
        <item x="2826"/>
        <item x="926"/>
        <item x="1513"/>
        <item x="2274"/>
        <item x="1686"/>
        <item x="92"/>
        <item x="327"/>
        <item x="1869"/>
        <item x="734"/>
        <item x="1705"/>
        <item x="2160"/>
        <item x="329"/>
        <item x="2072"/>
        <item x="1831"/>
        <item x="2593"/>
        <item x="77"/>
        <item x="2854"/>
        <item x="1147"/>
        <item x="2181"/>
        <item x="2172"/>
        <item x="2179"/>
        <item x="1507"/>
        <item x="1980"/>
        <item x="2668"/>
        <item x="1271"/>
        <item x="611"/>
        <item x="1866"/>
        <item x="835"/>
        <item x="2679"/>
        <item x="1169"/>
        <item x="1950"/>
        <item x="948"/>
        <item x="641"/>
        <item x="1490"/>
        <item x="2270"/>
        <item x="1594"/>
        <item x="1149"/>
        <item x="566"/>
        <item x="2931"/>
        <item x="2595"/>
        <item x="2369"/>
        <item x="302"/>
        <item x="1315"/>
        <item x="2435"/>
        <item x="2620"/>
        <item x="2824"/>
        <item x="2638"/>
        <item x="412"/>
        <item x="1055"/>
        <item x="820"/>
        <item x="1389"/>
        <item x="1163"/>
        <item x="2544"/>
        <item x="1152"/>
        <item x="1932"/>
        <item x="1491"/>
        <item x="527"/>
        <item x="603"/>
        <item x="540"/>
        <item x="2912"/>
        <item x="1719"/>
        <item x="624"/>
        <item x="642"/>
        <item x="1511"/>
        <item x="2656"/>
        <item x="953"/>
        <item x="1718"/>
        <item x="2150"/>
        <item x="1264"/>
        <item x="428"/>
        <item x="1174"/>
        <item x="600"/>
        <item x="2018"/>
        <item x="2749"/>
        <item x="2264"/>
        <item x="2927"/>
        <item x="863"/>
        <item x="1694"/>
        <item x="939"/>
        <item x="553"/>
        <item x="871"/>
        <item x="1865"/>
        <item x="987"/>
        <item x="856"/>
        <item x="2020"/>
        <item x="2198"/>
        <item x="1082"/>
        <item x="1651"/>
        <item x="1388"/>
        <item x="2099"/>
        <item x="435"/>
        <item x="29"/>
        <item x="2021"/>
        <item x="972"/>
        <item x="865"/>
        <item x="1906"/>
        <item x="1618"/>
        <item x="2505"/>
        <item x="2663"/>
        <item x="1319"/>
        <item x="1807"/>
        <item x="2165"/>
        <item x="413"/>
        <item x="7"/>
        <item x="1943"/>
        <item x="1410"/>
        <item x="2924"/>
        <item x="1437"/>
        <item x="1265"/>
        <item x="2017"/>
        <item x="2019"/>
        <item x="1703"/>
        <item x="2183"/>
        <item x="2748"/>
        <item x="1729"/>
        <item x="866"/>
        <item x="1386"/>
        <item x="2929"/>
        <item x="1171"/>
        <item x="1300"/>
        <item x="785"/>
        <item x="526"/>
        <item x="1172"/>
        <item x="155"/>
        <item x="2411"/>
        <item x="1920"/>
        <item x="592"/>
        <item x="2259"/>
        <item x="2255"/>
        <item x="1739"/>
        <item x="308"/>
        <item x="51"/>
        <item x="961"/>
        <item x="1591"/>
        <item x="1850"/>
        <item x="148"/>
        <item x="2853"/>
        <item x="175"/>
        <item x="564"/>
        <item x="1321"/>
        <item x="2182"/>
        <item x="1714"/>
        <item x="2922"/>
        <item x="437"/>
        <item x="515"/>
        <item x="1939"/>
        <item x="2430"/>
        <item x="1466"/>
        <item x="2835"/>
        <item x="1510"/>
        <item x="190"/>
        <item x="2847"/>
        <item x="2626"/>
        <item x="1053"/>
        <item x="967"/>
        <item x="1851"/>
        <item x="1918"/>
        <item x="169"/>
        <item x="1316"/>
        <item x="2923"/>
        <item x="1232"/>
        <item x="1477"/>
        <item x="970"/>
        <item x="2879"/>
        <item x="2733"/>
        <item x="1736"/>
        <item x="2355"/>
        <item x="495"/>
        <item x="2365"/>
        <item x="2466"/>
        <item x="2612"/>
        <item x="850"/>
        <item x="1933"/>
        <item x="1542"/>
        <item x="1592"/>
        <item x="1137"/>
        <item x="315"/>
        <item x="817"/>
        <item x="1860"/>
        <item x="2928"/>
        <item x="1931"/>
        <item x="1508"/>
        <item x="604"/>
        <item x="1717"/>
        <item x="1835"/>
        <item x="2451"/>
        <item x="2514"/>
        <item x="1502"/>
        <item x="2219"/>
        <item x="1416"/>
        <item x="1481"/>
        <item x="749"/>
        <item x="1380"/>
        <item x="2920"/>
        <item x="314"/>
        <item x="2843"/>
        <item x="2547"/>
        <item x="1822"/>
        <item x="246"/>
        <item x="438"/>
        <item x="2194"/>
        <item x="2731"/>
        <item x="1796"/>
        <item x="584"/>
        <item x="436"/>
        <item x="1083"/>
        <item x="1915"/>
        <item x="342"/>
        <item x="2841"/>
        <item x="2007"/>
        <item x="1041"/>
        <item x="2844"/>
        <item x="2842"/>
        <item x="978"/>
        <item x="280"/>
        <item x="812"/>
        <item x="182"/>
        <item x="1771"/>
        <item x="1732"/>
        <item x="1805"/>
        <item x="1720"/>
        <item x="2012"/>
        <item x="2213"/>
        <item x="1616"/>
        <item x="1936"/>
        <item x="2014"/>
        <item x="361"/>
        <item x="1422"/>
        <item x="1681"/>
        <item x="2423"/>
        <item x="2265"/>
        <item x="159"/>
        <item x="1940"/>
        <item x="933"/>
        <item x="1421"/>
        <item x="2711"/>
        <item x="1615"/>
        <item x="2632"/>
        <item x="2266"/>
        <item x="2906"/>
        <item x="2851"/>
        <item x="1488"/>
        <item x="1498"/>
        <item x="1305"/>
        <item x="1230"/>
        <item x="1045"/>
        <item x="1009"/>
        <item x="567"/>
        <item x="724"/>
        <item x="2631"/>
        <item x="1448"/>
        <item x="1896"/>
        <item x="489"/>
        <item x="792"/>
        <item x="1044"/>
        <item x="2926"/>
        <item x="752"/>
        <item x="2630"/>
        <item x="1495"/>
        <item x="932"/>
        <item x="1451"/>
        <item x="2474"/>
        <item x="1772"/>
        <item x="2461"/>
        <item x="2458"/>
        <item x="1008"/>
        <item x="2582"/>
        <item x="358"/>
        <item x="2439"/>
        <item x="1791"/>
        <item x="690"/>
        <item x="76"/>
        <item x="1220"/>
        <item x="2166"/>
        <item x="1935"/>
        <item x="2677"/>
        <item x="2901"/>
        <item x="2136"/>
        <item x="2878"/>
        <item x="1177"/>
        <item x="595"/>
        <item x="1723"/>
        <item x="2501"/>
        <item x="2559"/>
        <item x="2138"/>
        <item x="1842"/>
        <item x="2256"/>
        <item x="2665"/>
        <item x="864"/>
        <item x="2811"/>
        <item x="1838"/>
        <item x="355"/>
        <item x="735"/>
        <item x="954"/>
        <item x="1593"/>
        <item x="2444"/>
        <item x="2567"/>
        <item x="610"/>
        <item x="1381"/>
        <item x="2413"/>
        <item x="2904"/>
        <item x="1385"/>
        <item x="2316"/>
        <item x="2429"/>
        <item x="1162"/>
        <item x="1148"/>
        <item x="1384"/>
        <item x="1170"/>
        <item x="914"/>
        <item x="2823"/>
        <item x="503"/>
        <item x="2738"/>
        <item x="2903"/>
        <item x="750"/>
        <item x="1378"/>
        <item x="1738"/>
        <item x="2604"/>
        <item x="960"/>
        <item x="2371"/>
        <item x="80"/>
        <item x="1735"/>
        <item x="745"/>
        <item x="556"/>
        <item x="1730"/>
        <item x="13"/>
        <item x="320"/>
        <item x="1841"/>
        <item x="2849"/>
        <item x="387"/>
        <item x="2230"/>
        <item x="1158"/>
        <item x="854"/>
        <item x="1826"/>
        <item x="2393"/>
        <item x="1376"/>
        <item x="326"/>
        <item x="1453"/>
        <item x="1847"/>
        <item x="1489"/>
        <item x="2257"/>
        <item x="618"/>
        <item x="563"/>
        <item x="2192"/>
        <item x="858"/>
        <item x="1740"/>
        <item x="860"/>
        <item x="2010"/>
        <item x="174"/>
        <item x="727"/>
        <item x="853"/>
        <item x="152"/>
        <item x="2235"/>
        <item x="840"/>
        <item x="2500"/>
        <item x="1374"/>
        <item x="1928"/>
        <item x="1536"/>
        <item x="1664"/>
        <item x="1781"/>
        <item x="1863"/>
        <item x="2454"/>
        <item x="586"/>
        <item x="1143"/>
        <item x="539"/>
        <item x="2629"/>
        <item x="2535"/>
        <item x="2003"/>
        <item x="1308"/>
        <item x="1465"/>
        <item x="1420"/>
        <item x="746"/>
        <item x="35"/>
        <item x="2096"/>
        <item x="277"/>
        <item x="360"/>
        <item x="414"/>
        <item x="810"/>
        <item x="60"/>
        <item x="1737"/>
        <item x="2710"/>
        <item x="1303"/>
        <item x="2252"/>
        <item x="344"/>
        <item x="782"/>
        <item x="1855"/>
        <item x="283"/>
        <item x="1540"/>
        <item x="862"/>
        <item x="2243"/>
        <item x="729"/>
        <item x="534"/>
        <item x="2095"/>
        <item x="1539"/>
        <item x="352"/>
        <item x="1824"/>
        <item x="1288"/>
        <item x="2009"/>
        <item x="58"/>
        <item x="707"/>
        <item x="2810"/>
        <item x="857"/>
        <item x="432"/>
        <item x="2008"/>
        <item x="2676"/>
        <item x="1223"/>
        <item x="1499"/>
        <item x="2152"/>
        <item x="1944"/>
        <item x="2364"/>
        <item x="2332"/>
        <item x="171"/>
        <item x="2615"/>
        <item x="742"/>
        <item x="957"/>
        <item x="562"/>
        <item x="1140"/>
        <item x="1301"/>
        <item x="2597"/>
        <item x="2004"/>
        <item x="629"/>
        <item x="1235"/>
        <item x="951"/>
        <item x="1312"/>
        <item x="2071"/>
        <item x="1277"/>
        <item x="2441"/>
        <item x="304"/>
        <item x="554"/>
        <item x="39"/>
        <item x="2675"/>
        <item x="2709"/>
        <item x="1482"/>
        <item x="2253"/>
        <item x="2314"/>
        <item x="2315"/>
        <item x="2162"/>
        <item x="1293"/>
        <item x="1707"/>
        <item x="2184"/>
        <item x="2594"/>
        <item x="2006"/>
        <item x="2812"/>
        <item x="1702"/>
        <item x="545"/>
        <item x="591"/>
        <item x="319"/>
        <item x="65"/>
        <item x="2900"/>
        <item x="2159"/>
        <item x="2093"/>
        <item x="1291"/>
        <item x="2708"/>
        <item x="43"/>
        <item x="2222"/>
        <item x="1568"/>
        <item x="2412"/>
        <item x="1139"/>
        <item x="520"/>
        <item x="2144"/>
        <item x="938"/>
        <item x="2564"/>
        <item x="2442"/>
        <item x="1164"/>
        <item x="2352"/>
        <item x="671"/>
        <item x="1050"/>
        <item x="1581"/>
        <item x="693"/>
        <item x="1859"/>
        <item x="956"/>
        <item x="2247"/>
        <item x="737"/>
        <item x="2005"/>
        <item x="2002"/>
        <item x="1124"/>
        <item x="962"/>
        <item x="1856"/>
        <item x="2732"/>
        <item x="2185"/>
        <item x="1678"/>
        <item x="1275"/>
        <item x="2363"/>
        <item x="1480"/>
        <item x="2131"/>
        <item x="50"/>
        <item x="2464"/>
        <item x="1155"/>
        <item x="2446"/>
        <item x="2503"/>
        <item x="423"/>
        <item x="2627"/>
        <item x="888"/>
        <item x="916"/>
        <item x="859"/>
        <item x="2624"/>
        <item x="2565"/>
        <item x="2740"/>
        <item x="2465"/>
        <item x="2672"/>
        <item x="521"/>
        <item x="305"/>
        <item x="1999"/>
        <item x="921"/>
        <item x="726"/>
        <item x="2819"/>
        <item x="827"/>
        <item x="2328"/>
        <item x="2801"/>
        <item x="2248"/>
        <item x="2410"/>
        <item x="839"/>
        <item x="23"/>
        <item x="1470"/>
        <item x="2141"/>
        <item x="1473"/>
        <item x="2001"/>
        <item x="688"/>
        <item x="798"/>
        <item x="2000"/>
        <item x="2739"/>
        <item x="45"/>
        <item x="1846"/>
        <item x="946"/>
        <item x="73"/>
        <item x="1478"/>
        <item x="1997"/>
        <item x="2909"/>
        <item x="2170"/>
        <item x="2589"/>
        <item x="153"/>
        <item x="2426"/>
        <item x="2251"/>
        <item x="847"/>
        <item x="1574"/>
        <item x="2744"/>
        <item x="2832"/>
        <item x="2820"/>
        <item x="1231"/>
        <item x="1251"/>
        <item x="307"/>
        <item x="1225"/>
        <item x="179"/>
        <item x="1160"/>
        <item x="1998"/>
        <item x="822"/>
        <item x="2227"/>
        <item x="683"/>
        <item x="1046"/>
        <item x="589"/>
        <item x="924"/>
        <item x="2613"/>
        <item x="739"/>
        <item x="1479"/>
        <item x="1844"/>
        <item x="2354"/>
        <item x="2558"/>
        <item x="536"/>
        <item x="1269"/>
        <item x="1047"/>
        <item x="708"/>
        <item x="2822"/>
        <item x="1996"/>
        <item x="1992"/>
        <item x="2422"/>
        <item x="1683"/>
        <item x="1728"/>
        <item x="1899"/>
        <item x="2802"/>
        <item x="1823"/>
        <item x="2623"/>
        <item x="2560"/>
        <item x="973"/>
        <item x="743"/>
        <item x="1125"/>
        <item x="2600"/>
        <item x="357"/>
        <item x="852"/>
        <item x="1267"/>
        <item x="1221"/>
        <item x="1377"/>
        <item x="2154"/>
        <item x="2180"/>
        <item x="1995"/>
        <item x="1419"/>
        <item x="1153"/>
        <item x="2157"/>
        <item x="698"/>
        <item x="2913"/>
        <item x="1827"/>
        <item x="1829"/>
        <item x="150"/>
        <item x="1049"/>
        <item x="2581"/>
        <item x="1684"/>
        <item x="1298"/>
        <item x="1297"/>
        <item x="356"/>
        <item x="1895"/>
        <item x="1492"/>
        <item x="529"/>
        <item x="2240"/>
        <item x="1595"/>
        <item x="2580"/>
        <item x="1613"/>
        <item x="1994"/>
        <item x="2169"/>
        <item x="2591"/>
        <item x="2662"/>
        <item x="1283"/>
        <item x="511"/>
        <item x="36"/>
        <item x="6"/>
        <item x="311"/>
        <item x="312"/>
        <item x="612"/>
        <item x="1229"/>
        <item x="1834"/>
        <item x="2127"/>
        <item x="2431"/>
        <item x="2070"/>
        <item x="552"/>
        <item x="2916"/>
        <item x="1296"/>
        <item x="1218"/>
        <item x="2809"/>
        <item x="805"/>
        <item x="1257"/>
        <item x="791"/>
        <item x="2373"/>
        <item x="597"/>
        <item x="2420"/>
        <item x="68"/>
        <item x="2107"/>
        <item x="1228"/>
        <item x="2460"/>
        <item x="722"/>
        <item x="620"/>
        <item x="523"/>
        <item x="2661"/>
        <item x="2134"/>
        <item x="328"/>
        <item x="917"/>
        <item x="1770"/>
        <item x="2831"/>
        <item x="30"/>
        <item x="1279"/>
        <item x="947"/>
        <item x="353"/>
        <item x="551"/>
        <item x="1224"/>
        <item x="783"/>
        <item x="1894"/>
        <item x="2905"/>
        <item x="2872"/>
        <item x="1917"/>
        <item x="1133"/>
        <item x="1273"/>
        <item x="2139"/>
        <item x="2808"/>
        <item x="1459"/>
        <item x="913"/>
        <item x="557"/>
        <item x="178"/>
        <item x="740"/>
        <item x="548"/>
        <item x="14"/>
        <item x="1843"/>
        <item x="1612"/>
        <item x="908"/>
        <item x="1930"/>
        <item x="1704"/>
        <item x="1281"/>
        <item x="689"/>
        <item x="1370"/>
        <item x="1472"/>
        <item x="522"/>
        <item x="697"/>
        <item x="894"/>
        <item x="34"/>
        <item x="2838"/>
        <item x="2554"/>
        <item x="142"/>
        <item x="2353"/>
        <item x="705"/>
        <item x="1815"/>
        <item x="1580"/>
        <item x="1919"/>
        <item x="2218"/>
        <item x="533"/>
        <item x="2705"/>
        <item x="2837"/>
        <item x="1469"/>
        <item x="549"/>
        <item x="1908"/>
        <item x="1808"/>
        <item x="325"/>
        <item x="959"/>
        <item x="2579"/>
        <item x="2425"/>
        <item x="2813"/>
        <item x="2437"/>
        <item x="1700"/>
        <item x="2815"/>
        <item x="2557"/>
        <item x="2817"/>
        <item x="482"/>
        <item x="1256"/>
        <item x="2914"/>
        <item x="2409"/>
        <item x="550"/>
        <item x="2540"/>
        <item x="296"/>
        <item x="2163"/>
        <item x="1136"/>
        <item x="590"/>
        <item x="712"/>
        <item x="2453"/>
        <item x="670"/>
        <item x="1242"/>
        <item x="1923"/>
        <item x="904"/>
        <item x="38"/>
        <item x="1266"/>
        <item x="2702"/>
        <item x="2455"/>
        <item x="668"/>
        <item x="1993"/>
        <item x="944"/>
        <item x="1483"/>
        <item x="1159"/>
        <item x="2735"/>
        <item x="318"/>
        <item x="681"/>
        <item x="1819"/>
        <item x="2457"/>
        <item x="686"/>
        <item x="2234"/>
        <item x="279"/>
        <item x="2173"/>
        <item x="928"/>
        <item x="1464"/>
        <item x="830"/>
        <item x="2747"/>
        <item x="2245"/>
        <item x="949"/>
        <item x="1289"/>
        <item x="733"/>
        <item x="2694"/>
        <item x="477"/>
        <item x="2239"/>
        <item x="2902"/>
        <item x="2456"/>
        <item x="147"/>
        <item x="337"/>
        <item x="1801"/>
        <item x="1418"/>
        <item x="2874"/>
        <item x="2833"/>
        <item x="1417"/>
        <item x="2361"/>
        <item x="2704"/>
        <item x="1926"/>
        <item x="1222"/>
        <item x="1485"/>
        <item x="1131"/>
        <item x="2224"/>
        <item x="49"/>
        <item x="2617"/>
        <item x="741"/>
        <item x="1898"/>
        <item x="2877"/>
        <item x="2814"/>
        <item x="1909"/>
        <item x="834"/>
        <item x="1929"/>
        <item x="1475"/>
        <item x="2360"/>
        <item x="1927"/>
        <item x="1903"/>
        <item x="1610"/>
        <item x="1126"/>
        <item x="1290"/>
        <item x="2236"/>
        <item x="1246"/>
        <item x="309"/>
        <item x="1924"/>
        <item x="172"/>
        <item x="1039"/>
        <item x="849"/>
        <item x="935"/>
        <item x="1687"/>
        <item x="2561"/>
        <item x="614"/>
        <item x="2736"/>
        <item x="57"/>
        <item x="1443"/>
        <item x="2335"/>
        <item x="2153"/>
        <item x="2698"/>
        <item x="516"/>
        <item x="3"/>
        <item x="1837"/>
        <item x="2703"/>
        <item x="2069"/>
        <item x="1699"/>
        <item x="46"/>
        <item x="1537"/>
        <item x="1833"/>
        <item x="1474"/>
        <item x="679"/>
        <item x="530"/>
        <item x="1577"/>
        <item x="2828"/>
        <item x="2816"/>
        <item x="2226"/>
        <item x="851"/>
        <item x="1836"/>
        <item x="2228"/>
        <item x="2830"/>
        <item x="2241"/>
        <item x="2762"/>
        <item x="2432"/>
        <item x="2695"/>
        <item x="5"/>
        <item x="248"/>
        <item x="2691"/>
        <item x="2609"/>
        <item x="2156"/>
        <item x="1219"/>
        <item x="2507"/>
        <item x="1990"/>
        <item x="844"/>
        <item x="500"/>
        <item x="2548"/>
        <item x="2143"/>
        <item x="1247"/>
        <item x="541"/>
        <item x="2807"/>
        <item x="349"/>
        <item x="1292"/>
        <item x="2125"/>
        <item x="2118"/>
        <item x="1655"/>
        <item x="889"/>
        <item x="2445"/>
        <item x="1989"/>
        <item x="535"/>
        <item x="1679"/>
        <item x="61"/>
        <item x="585"/>
        <item x="828"/>
        <item x="833"/>
        <item x="1286"/>
        <item x="1913"/>
        <item x="952"/>
        <item x="1659"/>
        <item x="1282"/>
        <item x="606"/>
        <item x="2137"/>
        <item x="1461"/>
        <item x="420"/>
        <item x="2776"/>
        <item x="605"/>
        <item x="479"/>
        <item x="2804"/>
        <item x="1713"/>
        <item x="2068"/>
        <item x="2780"/>
        <item x="345"/>
        <item x="509"/>
        <item x="1921"/>
        <item x="736"/>
        <item x="2611"/>
        <item x="898"/>
        <item x="324"/>
        <item x="1814"/>
        <item x="2417"/>
        <item x="2800"/>
        <item x="1452"/>
        <item x="1987"/>
        <item x="505"/>
        <item x="1284"/>
        <item x="1611"/>
        <item x="2605"/>
        <item x="1119"/>
        <item x="886"/>
        <item x="1373"/>
        <item x="17"/>
        <item x="1769"/>
        <item x="1250"/>
        <item x="2957"/>
        <item x="2796"/>
        <item x="836"/>
        <item x="1248"/>
        <item x="2121"/>
        <item x="1588"/>
        <item x="2237"/>
        <item x="2217"/>
        <item x="287"/>
        <item x="1825"/>
        <item x="1375"/>
        <item x="1076"/>
        <item x="1"/>
        <item x="696"/>
        <item x="143"/>
        <item x="2376"/>
        <item x="1986"/>
        <item x="1910"/>
        <item x="2133"/>
        <item x="2779"/>
        <item x="1685"/>
        <item x="1589"/>
        <item x="1280"/>
        <item x="1120"/>
        <item x="1698"/>
        <item x="1799"/>
        <item x="1458"/>
        <item x="2216"/>
        <item x="2091"/>
        <item x="1984"/>
        <item x="2729"/>
        <item x="1444"/>
        <item x="2120"/>
        <item x="1585"/>
        <item x="2229"/>
        <item x="1460"/>
        <item x="598"/>
        <item x="510"/>
        <item x="2502"/>
        <item x="2427"/>
        <item x="1697"/>
        <item x="2777"/>
        <item x="1285"/>
        <item x="518"/>
        <item x="907"/>
        <item x="669"/>
        <item x="950"/>
        <item x="2443"/>
        <item x="40"/>
        <item x="841"/>
        <item x="2549"/>
        <item x="52"/>
        <item x="2231"/>
        <item x="1583"/>
        <item x="2158"/>
        <item x="2375"/>
        <item x="27"/>
        <item x="2797"/>
        <item x="1657"/>
        <item x="721"/>
        <item x="2608"/>
        <item x="1688"/>
        <item x="339"/>
        <item x="931"/>
        <item x="2334"/>
        <item x="1590"/>
        <item x="2416"/>
        <item x="1116"/>
        <item x="912"/>
        <item x="456"/>
        <item x="1985"/>
        <item x="1802"/>
        <item x="2577"/>
        <item x="730"/>
        <item x="519"/>
        <item x="1810"/>
        <item x="2734"/>
        <item x="1211"/>
        <item x="1658"/>
        <item x="2606"/>
        <item x="2551"/>
        <item x="455"/>
        <item x="2761"/>
        <item x="1777"/>
        <item x="2434"/>
        <item x="728"/>
        <item x="2578"/>
        <item x="731"/>
        <item x="777"/>
        <item x="945"/>
        <item x="906"/>
        <item x="1650"/>
        <item x="2436"/>
        <item x="2803"/>
        <item x="2215"/>
        <item x="282"/>
        <item x="1804"/>
        <item x="818"/>
        <item x="2155"/>
        <item x="2238"/>
        <item x="1671"/>
        <item x="1278"/>
        <item x="832"/>
        <item x="684"/>
        <item x="796"/>
        <item x="2743"/>
        <item x="1775"/>
        <item x="2556"/>
        <item x="813"/>
        <item x="1467"/>
        <item x="1779"/>
        <item x="2438"/>
        <item x="2576"/>
        <item x="2552"/>
        <item x="1462"/>
        <item x="2899"/>
        <item x="2775"/>
        <item x="1794"/>
        <item x="1440"/>
        <item x="2795"/>
        <item x="2778"/>
        <item x="1367"/>
        <item x="331"/>
        <item x="1276"/>
        <item x="2958"/>
        <item x="800"/>
        <item x="1778"/>
        <item x="2112"/>
        <item x="1809"/>
        <item x="1454"/>
        <item x="2794"/>
        <item x="808"/>
        <item x="905"/>
        <item x="524"/>
        <item x="44"/>
        <item x="1587"/>
        <item x="2090"/>
        <item x="2603"/>
        <item x="2781"/>
        <item x="1609"/>
        <item x="514"/>
        <item x="2787"/>
        <item x="1817"/>
        <item x="1887"/>
        <item x="149"/>
        <item x="297"/>
        <item x="2774"/>
        <item x="1696"/>
        <item x="2798"/>
        <item x="1897"/>
        <item x="2214"/>
        <item x="2132"/>
        <item x="2087"/>
        <item x="587"/>
        <item x="1983"/>
        <item x="2660"/>
        <item x="588"/>
        <item x="2320"/>
        <item x="2233"/>
        <item x="2111"/>
        <item x="1902"/>
        <item x="2140"/>
        <item x="2601"/>
        <item x="909"/>
        <item x="2701"/>
        <item x="2327"/>
        <item x="1803"/>
        <item x="2785"/>
        <item x="4"/>
        <item x="831"/>
        <item x="911"/>
        <item x="2232"/>
        <item x="506"/>
        <item x="1780"/>
        <item x="1656"/>
        <item x="1776"/>
        <item x="2790"/>
        <item x="2148"/>
        <item x="2089"/>
        <item x="720"/>
        <item x="1456"/>
        <item x="918"/>
        <item x="1782"/>
        <item x="2336"/>
        <item x="814"/>
        <item x="470"/>
        <item x="723"/>
        <item x="1075"/>
        <item x="1813"/>
        <item x="2146"/>
        <item x="1130"/>
        <item x="499"/>
        <item x="1768"/>
        <item x="1660"/>
        <item x="1274"/>
        <item x="1586"/>
        <item x="491"/>
        <item x="1576"/>
        <item x="21"/>
        <item x="910"/>
        <item x="1812"/>
        <item x="2317"/>
        <item x="901"/>
        <item x="2116"/>
        <item x="278"/>
        <item x="2799"/>
        <item x="2324"/>
        <item x="488"/>
        <item x="338"/>
        <item x="480"/>
        <item x="486"/>
        <item x="517"/>
        <item x="1905"/>
        <item x="2659"/>
        <item x="2428"/>
        <item x="1438"/>
        <item x="1447"/>
        <item x="2106"/>
        <item x="829"/>
        <item x="2545"/>
        <item x="2898"/>
        <item x="146"/>
        <item x="2325"/>
        <item x="1578"/>
        <item x="2897"/>
        <item x="2584"/>
        <item x="28"/>
        <item x="2767"/>
        <item x="711"/>
        <item x="2088"/>
        <item x="244"/>
        <item x="821"/>
        <item x="1254"/>
        <item x="1907"/>
        <item x="1253"/>
        <item x="897"/>
        <item x="1690"/>
        <item x="2223"/>
        <item x="1692"/>
        <item x="1369"/>
        <item x="2782"/>
        <item x="583"/>
        <item x="1252"/>
        <item x="1441"/>
        <item x="1249"/>
        <item x="245"/>
        <item x="145"/>
        <item x="1270"/>
        <item x="1668"/>
        <item x="1677"/>
        <item x="469"/>
        <item x="2135"/>
        <item x="2599"/>
        <item x="2323"/>
        <item x="1371"/>
        <item x="1439"/>
        <item x="826"/>
        <item x="1575"/>
        <item x="2896"/>
        <item x="1661"/>
        <item x="1891"/>
        <item x="1449"/>
        <item x="1415"/>
        <item x="306"/>
        <item x="1795"/>
        <item x="795"/>
        <item x="1584"/>
        <item x="1904"/>
        <item x="243"/>
        <item x="2792"/>
        <item x="784"/>
        <item x="2793"/>
        <item x="2225"/>
        <item x="2553"/>
        <item x="144"/>
        <item x="922"/>
        <item x="507"/>
        <item x="323"/>
        <item x="2786"/>
        <item x="2424"/>
        <item x="2"/>
        <item x="716"/>
        <item x="2550"/>
        <item x="164"/>
        <item x="472"/>
        <item x="1450"/>
        <item x="476"/>
        <item x="508"/>
        <item x="2596"/>
        <item x="919"/>
        <item x="891"/>
        <item x="1414"/>
        <item x="2873"/>
        <item x="802"/>
        <item x="1582"/>
        <item x="2221"/>
        <item x="242"/>
        <item x="2791"/>
        <item x="2109"/>
        <item x="1900"/>
        <item x="806"/>
        <item x="2769"/>
        <item x="929"/>
        <item x="2321"/>
        <item x="336"/>
        <item x="2789"/>
        <item x="1893"/>
        <item x="2728"/>
        <item x="322"/>
        <item x="492"/>
        <item x="2783"/>
        <item x="2322"/>
        <item x="1268"/>
        <item x="239"/>
        <item x="1682"/>
        <item x="1215"/>
        <item x="1676"/>
        <item x="1445"/>
        <item x="332"/>
        <item x="1798"/>
        <item x="2543"/>
        <item x="900"/>
        <item x="285"/>
        <item x="1785"/>
        <item x="2212"/>
        <item x="2130"/>
        <item x="16"/>
        <item x="1217"/>
        <item x="680"/>
        <item x="493"/>
        <item x="1767"/>
        <item x="2421"/>
        <item x="807"/>
        <item x="1680"/>
        <item x="2745"/>
        <item x="682"/>
        <item x="335"/>
        <item x="140"/>
        <item x="1567"/>
        <item x="920"/>
        <item x="2727"/>
        <item x="303"/>
        <item x="1675"/>
        <item x="1797"/>
        <item x="2123"/>
        <item x="2784"/>
        <item x="1774"/>
        <item x="2065"/>
        <item x="2592"/>
        <item x="794"/>
        <item x="1216"/>
        <item x="2117"/>
        <item x="2067"/>
        <item x="1446"/>
        <item x="902"/>
        <item x="2773"/>
        <item x="484"/>
        <item x="801"/>
        <item x="2504"/>
        <item x="714"/>
        <item x="163"/>
        <item x="1673"/>
        <item x="501"/>
        <item x="483"/>
        <item x="2588"/>
        <item x="915"/>
        <item x="713"/>
        <item x="2419"/>
        <item x="1793"/>
        <item x="498"/>
        <item x="2759"/>
        <item x="2697"/>
        <item x="2590"/>
        <item x="1674"/>
        <item x="1672"/>
        <item x="490"/>
        <item x="1368"/>
        <item x="1766"/>
        <item x="2129"/>
        <item x="2760"/>
        <item x="1436"/>
        <item x="334"/>
        <item x="2546"/>
        <item x="676"/>
        <item x="1792"/>
        <item x="1979"/>
        <item x="1765"/>
        <item x="2418"/>
        <item x="2539"/>
        <item x="462"/>
        <item x="2318"/>
        <item x="890"/>
        <item x="1074"/>
        <item x="1670"/>
        <item x="19"/>
        <item x="2319"/>
        <item x="1653"/>
        <item x="141"/>
        <item x="1572"/>
        <item x="1573"/>
        <item x="301"/>
        <item x="793"/>
        <item x="299"/>
        <item x="485"/>
        <item x="1892"/>
        <item x="2894"/>
        <item x="803"/>
        <item x="887"/>
        <item x="2499"/>
        <item x="2211"/>
        <item x="475"/>
        <item x="1214"/>
        <item x="333"/>
        <item x="709"/>
        <item x="2126"/>
        <item x="1669"/>
        <item x="2758"/>
        <item x="1365"/>
        <item x="677"/>
        <item x="2124"/>
        <item x="1442"/>
        <item x="1364"/>
        <item x="481"/>
        <item x="298"/>
        <item x="1789"/>
        <item x="1366"/>
        <item x="710"/>
        <item x="1890"/>
        <item x="1666"/>
        <item x="1435"/>
        <item x="487"/>
        <item x="892"/>
        <item x="2541"/>
        <item x="1787"/>
        <item x="2770"/>
        <item x="678"/>
        <item x="2757"/>
        <item x="2064"/>
        <item x="2771"/>
        <item x="2772"/>
        <item x="2122"/>
        <item x="1212"/>
        <item x="2575"/>
        <item x="2587"/>
        <item x="300"/>
        <item x="2726"/>
        <item x="1763"/>
        <item x="2119"/>
        <item x="2756"/>
        <item x="1210"/>
        <item x="2696"/>
        <item x="1571"/>
        <item x="1889"/>
        <item x="1569"/>
        <item x="1786"/>
        <item x="1764"/>
        <item x="2542"/>
        <item x="1784"/>
        <item x="2210"/>
        <item x="1113"/>
        <item x="1213"/>
        <item x="2538"/>
        <item x="386"/>
        <item x="1888"/>
        <item x="463"/>
        <item x="1783"/>
        <item x="675"/>
        <item x="2115"/>
        <item x="1579"/>
        <item x="1663"/>
        <item x="473"/>
        <item x="2532"/>
        <item x="2693"/>
        <item x="2408"/>
        <item x="1662"/>
        <item x="2114"/>
        <item x="2066"/>
        <item x="2415"/>
        <item x="893"/>
        <item x="286"/>
        <item x="2113"/>
        <item x="467"/>
        <item x="2657"/>
        <item x="292"/>
        <item x="2585"/>
        <item x="2414"/>
        <item x="787"/>
        <item x="1208"/>
        <item x="2063"/>
        <item x="478"/>
        <item x="1564"/>
        <item x="1570"/>
        <item x="138"/>
        <item x="1566"/>
        <item x="2110"/>
        <item x="471"/>
        <item x="139"/>
        <item x="2533"/>
        <item x="1565"/>
        <item x="896"/>
        <item x="1762"/>
        <item x="1761"/>
        <item x="2766"/>
        <item x="790"/>
        <item x="2692"/>
        <item x="474"/>
        <item x="2209"/>
        <item x="468"/>
        <item x="2085"/>
        <item x="1244"/>
        <item x="293"/>
        <item x="2083"/>
        <item x="295"/>
        <item x="2583"/>
        <item x="1209"/>
        <item x="2084"/>
        <item x="294"/>
        <item x="2742"/>
        <item x="674"/>
        <item x="2536"/>
        <item x="1112"/>
        <item x="788"/>
        <item x="1649"/>
        <item x="137"/>
        <item x="1654"/>
        <item x="321"/>
        <item x="465"/>
        <item x="1363"/>
        <item x="1647"/>
        <item x="464"/>
        <item x="2531"/>
        <item x="1245"/>
        <item x="1243"/>
        <item x="1207"/>
        <item x="1648"/>
        <item x="2534"/>
        <item x="786"/>
        <item x="461"/>
        <item x="706"/>
        <item x="458"/>
        <item x="460"/>
        <item x="673"/>
        <item x="135"/>
        <item x="136"/>
        <item x="15"/>
        <item x="291"/>
        <item x="2530"/>
        <item x="1362"/>
        <item x="2765"/>
        <item x="459"/>
        <item x="457"/>
        <item x="2529"/>
        <item x="290"/>
        <item x="2960"/>
        <item t="default"/>
      </items>
    </pivotField>
    <pivotField dataField="1" showAll="0"/>
  </pivotFields>
  <rowFields count="1">
    <field x="4"/>
  </rowFields>
  <rowItems count="145">
    <i>
      <x v="28"/>
    </i>
    <i>
      <x v="30"/>
    </i>
    <i>
      <x v="46"/>
    </i>
    <i>
      <x v="26"/>
    </i>
    <i>
      <x v="19"/>
    </i>
    <i>
      <x v="52"/>
    </i>
    <i>
      <x v="60"/>
    </i>
    <i>
      <x v="122"/>
    </i>
    <i>
      <x v="114"/>
    </i>
    <i>
      <x v="109"/>
    </i>
    <i>
      <x v="63"/>
    </i>
    <i>
      <x v="68"/>
    </i>
    <i>
      <x v="98"/>
    </i>
    <i>
      <x v="15"/>
    </i>
    <i>
      <x v="77"/>
    </i>
    <i>
      <x v="61"/>
    </i>
    <i>
      <x v="3"/>
    </i>
    <i>
      <x v="138"/>
    </i>
    <i>
      <x v="7"/>
    </i>
    <i>
      <x v="9"/>
    </i>
    <i>
      <x v="81"/>
    </i>
    <i>
      <x v="134"/>
    </i>
    <i>
      <x v="113"/>
    </i>
    <i>
      <x v="59"/>
    </i>
    <i>
      <x v="66"/>
    </i>
    <i>
      <x v="107"/>
    </i>
    <i>
      <x v="90"/>
    </i>
    <i>
      <x v="103"/>
    </i>
    <i>
      <x v="112"/>
    </i>
    <i>
      <x v="129"/>
    </i>
    <i>
      <x v="101"/>
    </i>
    <i>
      <x v="31"/>
    </i>
    <i>
      <x v="34"/>
    </i>
    <i>
      <x v="37"/>
    </i>
    <i>
      <x v="32"/>
    </i>
    <i>
      <x v="119"/>
    </i>
    <i>
      <x v="75"/>
    </i>
    <i>
      <x v="56"/>
    </i>
    <i>
      <x v="74"/>
    </i>
    <i>
      <x v="64"/>
    </i>
    <i>
      <x v="12"/>
    </i>
    <i>
      <x v="104"/>
    </i>
    <i>
      <x v="55"/>
    </i>
    <i>
      <x v="20"/>
    </i>
    <i>
      <x v="86"/>
    </i>
    <i>
      <x/>
    </i>
    <i>
      <x v="41"/>
    </i>
    <i>
      <x v="117"/>
    </i>
    <i>
      <x v="5"/>
    </i>
    <i>
      <x v="91"/>
    </i>
    <i>
      <x v="133"/>
    </i>
    <i>
      <x v="50"/>
    </i>
    <i>
      <x v="43"/>
    </i>
    <i>
      <x v="2"/>
    </i>
    <i>
      <x v="142"/>
    </i>
    <i>
      <x v="45"/>
    </i>
    <i>
      <x v="71"/>
    </i>
    <i>
      <x v="16"/>
    </i>
    <i>
      <x v="84"/>
    </i>
    <i>
      <x v="121"/>
    </i>
    <i>
      <x v="65"/>
    </i>
    <i>
      <x v="132"/>
    </i>
    <i>
      <x v="110"/>
    </i>
    <i>
      <x v="14"/>
    </i>
    <i>
      <x v="88"/>
    </i>
    <i>
      <x v="10"/>
    </i>
    <i>
      <x v="141"/>
    </i>
    <i>
      <x v="106"/>
    </i>
    <i>
      <x v="18"/>
    </i>
    <i>
      <x v="44"/>
    </i>
    <i>
      <x v="51"/>
    </i>
    <i>
      <x v="4"/>
    </i>
    <i>
      <x v="53"/>
    </i>
    <i>
      <x v="57"/>
    </i>
    <i>
      <x v="6"/>
    </i>
    <i>
      <x v="131"/>
    </i>
    <i>
      <x v="83"/>
    </i>
    <i>
      <x v="54"/>
    </i>
    <i>
      <x v="97"/>
    </i>
    <i>
      <x v="80"/>
    </i>
    <i>
      <x v="92"/>
    </i>
    <i>
      <x v="47"/>
    </i>
    <i>
      <x v="82"/>
    </i>
    <i>
      <x v="48"/>
    </i>
    <i>
      <x v="94"/>
    </i>
    <i>
      <x v="124"/>
    </i>
    <i>
      <x v="27"/>
    </i>
    <i>
      <x v="69"/>
    </i>
    <i>
      <x v="36"/>
    </i>
    <i>
      <x v="127"/>
    </i>
    <i>
      <x v="38"/>
    </i>
    <i>
      <x v="99"/>
    </i>
    <i>
      <x v="29"/>
    </i>
    <i>
      <x v="17"/>
    </i>
    <i>
      <x v="49"/>
    </i>
    <i>
      <x v="100"/>
    </i>
    <i>
      <x v="136"/>
    </i>
    <i>
      <x v="22"/>
    </i>
    <i>
      <x v="125"/>
    </i>
    <i>
      <x v="126"/>
    </i>
    <i>
      <x v="137"/>
    </i>
    <i>
      <x v="123"/>
    </i>
    <i>
      <x v="76"/>
    </i>
    <i>
      <x v="89"/>
    </i>
    <i>
      <x v="115"/>
    </i>
    <i>
      <x v="24"/>
    </i>
    <i>
      <x v="8"/>
    </i>
    <i>
      <x v="67"/>
    </i>
    <i>
      <x v="105"/>
    </i>
    <i>
      <x v="120"/>
    </i>
    <i>
      <x v="73"/>
    </i>
    <i>
      <x v="118"/>
    </i>
    <i>
      <x v="111"/>
    </i>
    <i>
      <x v="62"/>
    </i>
    <i>
      <x v="13"/>
    </i>
    <i>
      <x v="102"/>
    </i>
    <i>
      <x v="21"/>
    </i>
    <i>
      <x v="39"/>
    </i>
    <i>
      <x v="58"/>
    </i>
    <i>
      <x v="130"/>
    </i>
    <i>
      <x v="135"/>
    </i>
    <i>
      <x v="35"/>
    </i>
    <i>
      <x v="95"/>
    </i>
    <i>
      <x v="96"/>
    </i>
    <i>
      <x v="140"/>
    </i>
    <i>
      <x v="42"/>
    </i>
    <i>
      <x v="11"/>
    </i>
    <i>
      <x v="72"/>
    </i>
    <i>
      <x v="128"/>
    </i>
    <i>
      <x v="33"/>
    </i>
    <i>
      <x v="25"/>
    </i>
    <i>
      <x v="78"/>
    </i>
    <i>
      <x v="93"/>
    </i>
    <i>
      <x v="116"/>
    </i>
    <i>
      <x v="85"/>
    </i>
    <i>
      <x v="23"/>
    </i>
    <i>
      <x v="87"/>
    </i>
    <i>
      <x v="139"/>
    </i>
    <i>
      <x v="1"/>
    </i>
    <i>
      <x v="79"/>
    </i>
    <i>
      <x v="108"/>
    </i>
    <i>
      <x v="70"/>
    </i>
    <i>
      <x v="40"/>
    </i>
    <i>
      <x v="14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" fld="9" baseField="0" baseItem="0"/>
    <dataField name="Sum of DOMESTIC" fld="5" baseField="0" baseItem="0"/>
    <dataField name="Sum of IMPORTS" fld="7" baseField="0" baseItem="0"/>
    <dataField name="Sum of EXPORTS" fld="8" baseField="0" baseItem="0"/>
  </dataFields>
  <formats count="5"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dataOnly="0" fieldPosition="0">
        <references count="1">
          <reference field="4" count="1">
            <x v="26"/>
          </reference>
        </references>
      </pivotArea>
    </format>
    <format dxfId="1">
      <pivotArea dataOnly="0" fieldPosition="0">
        <references count="1">
          <reference field="4" count="1">
            <x v="19"/>
          </reference>
        </references>
      </pivotArea>
    </format>
    <format dxfId="0">
      <pivotArea dataOnly="0" fieldPosition="0">
        <references count="1">
          <reference field="4" count="1">
            <x v="1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B267-DB80-416A-A272-CE14FA93F036}">
  <sheetPr codeName="Sheet2"/>
  <dimension ref="A1:J300"/>
  <sheetViews>
    <sheetView topLeftCell="A144" workbookViewId="0">
      <selection sqref="A1:A1048576"/>
    </sheetView>
  </sheetViews>
  <sheetFormatPr defaultRowHeight="14.75" x14ac:dyDescent="0.75"/>
  <cols>
    <col min="2" max="2" width="12.76953125" customWidth="1"/>
    <col min="3" max="3" width="31.08984375" customWidth="1"/>
    <col min="4" max="4" width="17.08984375" customWidth="1"/>
    <col min="5" max="5" width="16.90625" customWidth="1"/>
    <col min="6" max="6" width="12.5" customWidth="1"/>
    <col min="7" max="7" width="14.40625" customWidth="1"/>
    <col min="8" max="8" width="13.76953125" customWidth="1"/>
    <col min="10" max="10" width="16.08984375" bestFit="1" customWidth="1"/>
  </cols>
  <sheetData>
    <row r="1" spans="1:10" x14ac:dyDescent="0.75">
      <c r="A1" s="2" t="s">
        <v>146</v>
      </c>
      <c r="B1" s="2" t="s">
        <v>147</v>
      </c>
      <c r="C1" s="2" t="s">
        <v>510</v>
      </c>
      <c r="D1" s="3" t="s">
        <v>520</v>
      </c>
      <c r="E1" s="2" t="s">
        <v>519</v>
      </c>
      <c r="F1" s="2" t="s">
        <v>148</v>
      </c>
      <c r="G1" s="2" t="s">
        <v>149</v>
      </c>
      <c r="H1" s="2" t="s">
        <v>150</v>
      </c>
      <c r="J1" s="14">
        <f>SUM(E:E)</f>
        <v>1500182125</v>
      </c>
    </row>
    <row r="2" spans="1:10" x14ac:dyDescent="0.75">
      <c r="A2">
        <v>1</v>
      </c>
      <c r="B2" t="s">
        <v>151</v>
      </c>
      <c r="C2" t="s">
        <v>152</v>
      </c>
      <c r="D2" s="4">
        <v>266524394</v>
      </c>
      <c r="E2" s="4">
        <v>190661887</v>
      </c>
      <c r="F2" s="4">
        <v>60859595</v>
      </c>
      <c r="G2" s="4">
        <v>129802292</v>
      </c>
      <c r="H2" s="4">
        <v>75862507</v>
      </c>
    </row>
    <row r="3" spans="1:10" x14ac:dyDescent="0.75">
      <c r="A3">
        <v>2</v>
      </c>
      <c r="B3" t="s">
        <v>151</v>
      </c>
      <c r="C3" t="s">
        <v>153</v>
      </c>
      <c r="D3" s="4">
        <v>224695741</v>
      </c>
      <c r="E3" s="4">
        <v>108989320</v>
      </c>
      <c r="F3" s="4">
        <v>33348220</v>
      </c>
      <c r="G3" s="4">
        <v>75641100</v>
      </c>
      <c r="H3" s="4">
        <v>115706421</v>
      </c>
    </row>
    <row r="4" spans="1:10" x14ac:dyDescent="0.75">
      <c r="A4">
        <v>3</v>
      </c>
      <c r="B4" t="s">
        <v>151</v>
      </c>
      <c r="C4" t="s">
        <v>93</v>
      </c>
      <c r="D4" s="4">
        <v>164448393</v>
      </c>
      <c r="E4" s="4">
        <v>141836015</v>
      </c>
      <c r="F4" s="4">
        <v>15429041</v>
      </c>
      <c r="G4" s="4">
        <v>126406974</v>
      </c>
      <c r="H4" s="4">
        <v>22612378</v>
      </c>
    </row>
    <row r="5" spans="1:10" x14ac:dyDescent="0.75">
      <c r="A5">
        <v>4</v>
      </c>
      <c r="B5" t="s">
        <v>151</v>
      </c>
      <c r="C5" t="s">
        <v>154</v>
      </c>
      <c r="D5" s="4">
        <v>142340216</v>
      </c>
      <c r="E5" s="4">
        <v>101590552</v>
      </c>
      <c r="F5" s="4">
        <v>85961606</v>
      </c>
      <c r="G5" s="4">
        <v>15628946</v>
      </c>
      <c r="H5" s="4">
        <v>40749664</v>
      </c>
    </row>
    <row r="6" spans="1:10" x14ac:dyDescent="0.75">
      <c r="A6">
        <v>5</v>
      </c>
      <c r="B6" t="s">
        <v>151</v>
      </c>
      <c r="C6" t="s">
        <v>2</v>
      </c>
      <c r="D6" s="4">
        <v>91501826</v>
      </c>
      <c r="E6" s="4">
        <v>76655252</v>
      </c>
      <c r="F6" s="4">
        <v>56051551</v>
      </c>
      <c r="G6" s="4">
        <v>20603701</v>
      </c>
      <c r="H6" s="4">
        <v>14846574</v>
      </c>
    </row>
    <row r="7" spans="1:10" x14ac:dyDescent="0.75">
      <c r="A7">
        <v>6</v>
      </c>
      <c r="B7" t="s">
        <v>151</v>
      </c>
      <c r="C7" t="s">
        <v>155</v>
      </c>
      <c r="D7" s="4">
        <v>89511808</v>
      </c>
      <c r="E7" s="4">
        <v>44256995</v>
      </c>
      <c r="F7" s="4">
        <v>19032458</v>
      </c>
      <c r="G7" s="4">
        <v>25224537</v>
      </c>
      <c r="H7" s="4">
        <v>45254813</v>
      </c>
    </row>
    <row r="8" spans="1:10" x14ac:dyDescent="0.75">
      <c r="A8">
        <v>7</v>
      </c>
      <c r="B8" t="s">
        <v>151</v>
      </c>
      <c r="C8" t="s">
        <v>116</v>
      </c>
      <c r="D8" s="4">
        <v>74555488</v>
      </c>
      <c r="E8" s="4">
        <v>56316563</v>
      </c>
      <c r="F8" s="4">
        <v>16355729</v>
      </c>
      <c r="G8" s="4">
        <v>39960834</v>
      </c>
      <c r="H8" s="4">
        <v>18238925</v>
      </c>
    </row>
    <row r="9" spans="1:10" x14ac:dyDescent="0.75">
      <c r="A9">
        <v>8</v>
      </c>
      <c r="B9" t="s">
        <v>151</v>
      </c>
      <c r="C9" t="s">
        <v>156</v>
      </c>
      <c r="D9" s="4">
        <v>71222675</v>
      </c>
      <c r="E9" s="4">
        <v>26758641</v>
      </c>
      <c r="F9" s="4">
        <v>6936594</v>
      </c>
      <c r="G9" s="4">
        <v>19822047</v>
      </c>
      <c r="H9" s="4">
        <v>44464034</v>
      </c>
    </row>
    <row r="10" spans="1:10" x14ac:dyDescent="0.75">
      <c r="A10">
        <v>9</v>
      </c>
      <c r="B10" t="s">
        <v>151</v>
      </c>
      <c r="C10" t="s">
        <v>157</v>
      </c>
      <c r="D10" s="4">
        <v>64518045</v>
      </c>
      <c r="E10" s="4">
        <v>59194999</v>
      </c>
      <c r="F10" s="4">
        <v>16747201</v>
      </c>
      <c r="G10" s="4">
        <v>42447798</v>
      </c>
      <c r="H10" s="4">
        <v>5323046</v>
      </c>
    </row>
    <row r="11" spans="1:10" x14ac:dyDescent="0.75">
      <c r="A11">
        <v>10</v>
      </c>
      <c r="B11" t="s">
        <v>151</v>
      </c>
      <c r="C11" t="s">
        <v>0</v>
      </c>
      <c r="D11" s="4">
        <v>64270296</v>
      </c>
      <c r="E11" s="4">
        <v>61123213</v>
      </c>
      <c r="F11" s="4">
        <v>45761015</v>
      </c>
      <c r="G11" s="4">
        <v>15362198</v>
      </c>
      <c r="H11" s="4">
        <v>3147083</v>
      </c>
    </row>
    <row r="12" spans="1:10" x14ac:dyDescent="0.75">
      <c r="A12">
        <v>11</v>
      </c>
      <c r="B12" t="s">
        <v>151</v>
      </c>
      <c r="C12" t="s">
        <v>158</v>
      </c>
      <c r="D12" s="4">
        <v>52698083</v>
      </c>
      <c r="E12" s="4">
        <v>24141694</v>
      </c>
      <c r="F12" s="4">
        <v>4446932</v>
      </c>
      <c r="G12" s="4">
        <v>19694762</v>
      </c>
      <c r="H12" s="4">
        <v>28556389</v>
      </c>
    </row>
    <row r="13" spans="1:10" x14ac:dyDescent="0.75">
      <c r="A13">
        <v>12</v>
      </c>
      <c r="B13" t="s">
        <v>151</v>
      </c>
      <c r="C13" t="s">
        <v>29</v>
      </c>
      <c r="D13" s="4">
        <v>50268633</v>
      </c>
      <c r="E13" s="4">
        <v>32815166</v>
      </c>
      <c r="F13" s="4">
        <v>18063921</v>
      </c>
      <c r="G13" s="4">
        <v>14751245</v>
      </c>
      <c r="H13" s="4">
        <v>17453467</v>
      </c>
    </row>
    <row r="14" spans="1:10" x14ac:dyDescent="0.75">
      <c r="A14">
        <v>13</v>
      </c>
      <c r="B14" t="s">
        <v>151</v>
      </c>
      <c r="C14" t="s">
        <v>159</v>
      </c>
      <c r="D14" s="4">
        <v>48320953</v>
      </c>
      <c r="E14" s="4">
        <v>26432658</v>
      </c>
      <c r="F14" s="4">
        <v>2750019</v>
      </c>
      <c r="G14" s="4">
        <v>23682639</v>
      </c>
      <c r="H14" s="4">
        <v>21888295</v>
      </c>
    </row>
    <row r="15" spans="1:10" x14ac:dyDescent="0.75">
      <c r="A15">
        <v>14</v>
      </c>
      <c r="B15" t="s">
        <v>151</v>
      </c>
      <c r="C15" t="s">
        <v>5</v>
      </c>
      <c r="D15" s="4">
        <v>47656391</v>
      </c>
      <c r="E15" s="4">
        <v>46816960</v>
      </c>
      <c r="F15" s="4">
        <v>27352535</v>
      </c>
      <c r="G15" s="4">
        <v>19464425</v>
      </c>
      <c r="H15" s="4">
        <v>839431</v>
      </c>
    </row>
    <row r="16" spans="1:10" x14ac:dyDescent="0.75">
      <c r="A16">
        <v>15</v>
      </c>
      <c r="B16" t="s">
        <v>151</v>
      </c>
      <c r="C16" t="s">
        <v>58</v>
      </c>
      <c r="D16" s="4">
        <v>42243269</v>
      </c>
      <c r="E16" s="4">
        <v>37462026</v>
      </c>
      <c r="F16" s="4">
        <v>4754176</v>
      </c>
      <c r="G16" s="4">
        <v>32707850</v>
      </c>
      <c r="H16" s="4">
        <v>4781243</v>
      </c>
    </row>
    <row r="17" spans="1:8" x14ac:dyDescent="0.75">
      <c r="A17">
        <v>16</v>
      </c>
      <c r="B17" t="s">
        <v>151</v>
      </c>
      <c r="C17" t="s">
        <v>102</v>
      </c>
      <c r="D17" s="4">
        <v>40224061</v>
      </c>
      <c r="E17" s="4">
        <v>22958126</v>
      </c>
      <c r="F17" s="4">
        <v>6009779</v>
      </c>
      <c r="G17" s="4">
        <v>16948347</v>
      </c>
      <c r="H17" s="4">
        <v>17265935</v>
      </c>
    </row>
    <row r="18" spans="1:8" x14ac:dyDescent="0.75">
      <c r="A18">
        <v>17</v>
      </c>
      <c r="B18" t="s">
        <v>151</v>
      </c>
      <c r="C18" t="s">
        <v>24</v>
      </c>
      <c r="D18" s="4">
        <v>37439579</v>
      </c>
      <c r="E18" s="4">
        <v>32969804</v>
      </c>
      <c r="F18" s="4">
        <v>13605961</v>
      </c>
      <c r="G18" s="4">
        <v>19363843</v>
      </c>
      <c r="H18" s="4">
        <v>4469775</v>
      </c>
    </row>
    <row r="19" spans="1:8" x14ac:dyDescent="0.75">
      <c r="A19">
        <v>18</v>
      </c>
      <c r="B19" t="s">
        <v>160</v>
      </c>
      <c r="C19" t="s">
        <v>111</v>
      </c>
      <c r="D19" s="4">
        <v>32462993</v>
      </c>
      <c r="E19" s="4">
        <v>6528155</v>
      </c>
      <c r="F19" s="4">
        <v>613176</v>
      </c>
      <c r="G19" s="4">
        <v>5914979</v>
      </c>
      <c r="H19" s="4">
        <v>25934838</v>
      </c>
    </row>
    <row r="20" spans="1:8" x14ac:dyDescent="0.75">
      <c r="A20">
        <v>19</v>
      </c>
      <c r="B20" t="s">
        <v>151</v>
      </c>
      <c r="C20" t="s">
        <v>161</v>
      </c>
      <c r="D20" s="4">
        <v>30654595</v>
      </c>
      <c r="E20" s="4">
        <v>20581353</v>
      </c>
      <c r="F20" s="4">
        <v>13059233</v>
      </c>
      <c r="G20" s="4">
        <v>7522120</v>
      </c>
      <c r="H20" s="4">
        <v>10073242</v>
      </c>
    </row>
    <row r="21" spans="1:8" x14ac:dyDescent="0.75">
      <c r="A21">
        <v>20</v>
      </c>
      <c r="B21" t="s">
        <v>160</v>
      </c>
      <c r="C21" t="s">
        <v>162</v>
      </c>
      <c r="D21" s="4">
        <v>30256241</v>
      </c>
      <c r="E21" s="4">
        <v>659381</v>
      </c>
      <c r="F21" s="4">
        <v>659381</v>
      </c>
      <c r="G21" s="4">
        <v>0</v>
      </c>
      <c r="H21" s="4">
        <v>29596860</v>
      </c>
    </row>
    <row r="22" spans="1:8" x14ac:dyDescent="0.75">
      <c r="A22">
        <v>21</v>
      </c>
      <c r="B22" t="s">
        <v>151</v>
      </c>
      <c r="C22" t="s">
        <v>49</v>
      </c>
      <c r="D22" s="4">
        <v>30034277</v>
      </c>
      <c r="E22" s="4">
        <v>11400553</v>
      </c>
      <c r="F22" s="4">
        <v>8479764</v>
      </c>
      <c r="G22" s="4">
        <v>2920789</v>
      </c>
      <c r="H22" s="4">
        <v>18633724</v>
      </c>
    </row>
    <row r="23" spans="1:8" x14ac:dyDescent="0.75">
      <c r="A23">
        <v>22</v>
      </c>
      <c r="B23" t="s">
        <v>151</v>
      </c>
      <c r="C23" t="s">
        <v>11</v>
      </c>
      <c r="D23" s="4">
        <v>28400127</v>
      </c>
      <c r="E23" s="4">
        <v>26849954</v>
      </c>
      <c r="F23" s="4">
        <v>18343926</v>
      </c>
      <c r="G23" s="4">
        <v>8506028</v>
      </c>
      <c r="H23" s="4">
        <v>1550173</v>
      </c>
    </row>
    <row r="24" spans="1:8" x14ac:dyDescent="0.75">
      <c r="A24">
        <v>23</v>
      </c>
      <c r="B24" t="s">
        <v>151</v>
      </c>
      <c r="C24" t="s">
        <v>94</v>
      </c>
      <c r="D24" s="4">
        <v>27951143</v>
      </c>
      <c r="E24" s="4">
        <v>16368773</v>
      </c>
      <c r="F24" s="4">
        <v>8497226</v>
      </c>
      <c r="G24" s="4">
        <v>7871547</v>
      </c>
      <c r="H24" s="4">
        <v>11582370</v>
      </c>
    </row>
    <row r="25" spans="1:8" x14ac:dyDescent="0.75">
      <c r="A25">
        <v>24</v>
      </c>
      <c r="B25" t="s">
        <v>151</v>
      </c>
      <c r="C25" t="s">
        <v>85</v>
      </c>
      <c r="D25" s="4">
        <v>25498576</v>
      </c>
      <c r="E25" s="4">
        <v>1462864</v>
      </c>
      <c r="F25" s="4">
        <v>0</v>
      </c>
      <c r="G25" s="4">
        <v>1462864</v>
      </c>
      <c r="H25" s="4">
        <v>24035712</v>
      </c>
    </row>
    <row r="26" spans="1:8" x14ac:dyDescent="0.75">
      <c r="A26">
        <v>25</v>
      </c>
      <c r="B26" t="s">
        <v>151</v>
      </c>
      <c r="C26" t="s">
        <v>53</v>
      </c>
      <c r="D26" s="4">
        <v>24462420</v>
      </c>
      <c r="E26" s="4">
        <v>14913465</v>
      </c>
      <c r="F26" s="4">
        <v>3210857</v>
      </c>
      <c r="G26" s="4">
        <v>11702608</v>
      </c>
      <c r="H26" s="4">
        <v>9548955</v>
      </c>
    </row>
    <row r="27" spans="1:8" x14ac:dyDescent="0.75">
      <c r="A27">
        <v>26</v>
      </c>
      <c r="B27" t="s">
        <v>163</v>
      </c>
      <c r="C27" t="s">
        <v>164</v>
      </c>
      <c r="D27" s="4">
        <v>24179490</v>
      </c>
      <c r="E27" s="4">
        <v>0</v>
      </c>
      <c r="F27" s="4">
        <v>0</v>
      </c>
      <c r="G27" s="4">
        <v>0</v>
      </c>
      <c r="H27" s="4">
        <v>24179490</v>
      </c>
    </row>
    <row r="28" spans="1:8" x14ac:dyDescent="0.75">
      <c r="A28">
        <v>27</v>
      </c>
      <c r="B28" t="s">
        <v>151</v>
      </c>
      <c r="C28" t="s">
        <v>141</v>
      </c>
      <c r="D28" s="4">
        <v>23757927</v>
      </c>
      <c r="E28" s="4">
        <v>14032930</v>
      </c>
      <c r="F28" s="4">
        <v>7087797</v>
      </c>
      <c r="G28" s="4">
        <v>6945133</v>
      </c>
      <c r="H28" s="4">
        <v>9724997</v>
      </c>
    </row>
    <row r="29" spans="1:8" x14ac:dyDescent="0.75">
      <c r="A29">
        <v>28</v>
      </c>
      <c r="B29" t="s">
        <v>151</v>
      </c>
      <c r="C29" t="s">
        <v>26</v>
      </c>
      <c r="D29" s="4">
        <v>23745453</v>
      </c>
      <c r="E29" s="4">
        <v>12192849</v>
      </c>
      <c r="F29" s="4">
        <v>9234318</v>
      </c>
      <c r="G29" s="4">
        <v>2958531</v>
      </c>
      <c r="H29" s="4">
        <v>11552604</v>
      </c>
    </row>
    <row r="30" spans="1:8" x14ac:dyDescent="0.75">
      <c r="A30">
        <v>29</v>
      </c>
      <c r="B30" t="s">
        <v>151</v>
      </c>
      <c r="C30" t="s">
        <v>14</v>
      </c>
      <c r="D30" s="4">
        <v>23362351</v>
      </c>
      <c r="E30" s="4">
        <v>18865248</v>
      </c>
      <c r="F30" s="4">
        <v>7107048</v>
      </c>
      <c r="G30" s="4">
        <v>11758200</v>
      </c>
      <c r="H30" s="4">
        <v>4497103</v>
      </c>
    </row>
    <row r="31" spans="1:8" x14ac:dyDescent="0.75">
      <c r="A31">
        <v>30</v>
      </c>
      <c r="B31" t="s">
        <v>151</v>
      </c>
      <c r="C31" t="s">
        <v>165</v>
      </c>
      <c r="D31" s="4">
        <v>22909282</v>
      </c>
      <c r="E31" s="4">
        <v>18352249</v>
      </c>
      <c r="F31" s="4">
        <v>9435508</v>
      </c>
      <c r="G31" s="4">
        <v>8916741</v>
      </c>
      <c r="H31" s="4">
        <v>4557033</v>
      </c>
    </row>
    <row r="32" spans="1:8" x14ac:dyDescent="0.75">
      <c r="A32">
        <v>31</v>
      </c>
      <c r="B32" t="s">
        <v>151</v>
      </c>
      <c r="C32" t="s">
        <v>119</v>
      </c>
      <c r="D32" s="4">
        <v>20859707</v>
      </c>
      <c r="E32" s="4">
        <v>16771176</v>
      </c>
      <c r="F32" s="4">
        <v>12979463</v>
      </c>
      <c r="G32" s="4">
        <v>3791713</v>
      </c>
      <c r="H32" s="4">
        <v>4088531</v>
      </c>
    </row>
    <row r="33" spans="1:8" x14ac:dyDescent="0.75">
      <c r="A33">
        <v>32</v>
      </c>
      <c r="B33" t="s">
        <v>151</v>
      </c>
      <c r="C33" t="s">
        <v>166</v>
      </c>
      <c r="D33" s="4">
        <v>20199431</v>
      </c>
      <c r="E33" s="4">
        <v>11814412</v>
      </c>
      <c r="F33" s="4">
        <v>10916314</v>
      </c>
      <c r="G33" s="4">
        <v>898098</v>
      </c>
      <c r="H33" s="4">
        <v>8385019</v>
      </c>
    </row>
    <row r="34" spans="1:8" x14ac:dyDescent="0.75">
      <c r="A34">
        <v>33</v>
      </c>
      <c r="B34" t="s">
        <v>151</v>
      </c>
      <c r="C34" t="s">
        <v>13</v>
      </c>
      <c r="D34" s="4">
        <v>18888765</v>
      </c>
      <c r="E34" s="4">
        <v>18116189</v>
      </c>
      <c r="F34" s="4">
        <v>8819935</v>
      </c>
      <c r="G34" s="4">
        <v>9296254</v>
      </c>
      <c r="H34" s="4">
        <v>772576</v>
      </c>
    </row>
    <row r="35" spans="1:8" x14ac:dyDescent="0.75">
      <c r="A35">
        <v>34</v>
      </c>
      <c r="B35" t="s">
        <v>151</v>
      </c>
      <c r="C35" t="s">
        <v>167</v>
      </c>
      <c r="D35" s="4">
        <v>18385878</v>
      </c>
      <c r="E35" s="4">
        <v>16923681</v>
      </c>
      <c r="F35" s="4">
        <v>432019</v>
      </c>
      <c r="G35" s="4">
        <v>16491662</v>
      </c>
      <c r="H35" s="4">
        <v>1462197</v>
      </c>
    </row>
    <row r="36" spans="1:8" x14ac:dyDescent="0.75">
      <c r="A36">
        <v>35</v>
      </c>
      <c r="B36" t="s">
        <v>151</v>
      </c>
      <c r="C36" t="s">
        <v>17</v>
      </c>
      <c r="D36" s="4">
        <v>17425507</v>
      </c>
      <c r="E36" s="4">
        <v>8796562</v>
      </c>
      <c r="F36" s="4">
        <v>7381794</v>
      </c>
      <c r="G36" s="4">
        <v>1414768</v>
      </c>
      <c r="H36" s="4">
        <v>8628945</v>
      </c>
    </row>
    <row r="37" spans="1:8" x14ac:dyDescent="0.75">
      <c r="A37">
        <v>36</v>
      </c>
      <c r="B37" t="s">
        <v>163</v>
      </c>
      <c r="C37" t="s">
        <v>168</v>
      </c>
      <c r="D37" s="4">
        <v>16431187</v>
      </c>
      <c r="E37" s="4">
        <v>0</v>
      </c>
      <c r="F37" s="4">
        <v>0</v>
      </c>
      <c r="G37" s="4">
        <v>0</v>
      </c>
      <c r="H37" s="4">
        <v>16431187</v>
      </c>
    </row>
    <row r="38" spans="1:8" x14ac:dyDescent="0.75">
      <c r="A38">
        <v>37</v>
      </c>
      <c r="B38" t="s">
        <v>160</v>
      </c>
      <c r="C38" t="s">
        <v>169</v>
      </c>
      <c r="D38" s="4">
        <v>15762855</v>
      </c>
      <c r="E38" s="4">
        <v>4272745</v>
      </c>
      <c r="F38" s="4">
        <v>0</v>
      </c>
      <c r="G38" s="4">
        <v>4272745</v>
      </c>
      <c r="H38" s="4">
        <v>11490110</v>
      </c>
    </row>
    <row r="39" spans="1:8" x14ac:dyDescent="0.75">
      <c r="A39">
        <v>38</v>
      </c>
      <c r="B39" t="s">
        <v>151</v>
      </c>
      <c r="C39" t="s">
        <v>22</v>
      </c>
      <c r="D39" s="4">
        <v>14755817</v>
      </c>
      <c r="E39" s="4">
        <v>1306456</v>
      </c>
      <c r="F39" s="4">
        <v>1046576</v>
      </c>
      <c r="G39" s="4">
        <v>259880</v>
      </c>
      <c r="H39" s="4">
        <v>13449361</v>
      </c>
    </row>
    <row r="40" spans="1:8" x14ac:dyDescent="0.75">
      <c r="A40">
        <v>39</v>
      </c>
      <c r="B40" t="s">
        <v>163</v>
      </c>
      <c r="C40" t="s">
        <v>170</v>
      </c>
      <c r="D40" s="4">
        <v>13529051</v>
      </c>
      <c r="E40" s="4">
        <v>0</v>
      </c>
      <c r="F40" s="4">
        <v>0</v>
      </c>
      <c r="G40" s="4">
        <v>0</v>
      </c>
      <c r="H40" s="4">
        <v>13529051</v>
      </c>
    </row>
    <row r="41" spans="1:8" x14ac:dyDescent="0.75">
      <c r="A41">
        <v>40</v>
      </c>
      <c r="B41" t="s">
        <v>151</v>
      </c>
      <c r="C41" t="s">
        <v>42</v>
      </c>
      <c r="D41" s="4">
        <v>13308532</v>
      </c>
      <c r="E41" s="4">
        <v>10175690</v>
      </c>
      <c r="F41" s="4">
        <v>8885672</v>
      </c>
      <c r="G41" s="4">
        <v>1290018</v>
      </c>
      <c r="H41" s="4">
        <v>3132842</v>
      </c>
    </row>
    <row r="42" spans="1:8" x14ac:dyDescent="0.75">
      <c r="A42">
        <v>41</v>
      </c>
      <c r="B42" t="s">
        <v>151</v>
      </c>
      <c r="C42" t="s">
        <v>98</v>
      </c>
      <c r="D42" s="4">
        <v>12391158</v>
      </c>
      <c r="E42" s="4">
        <v>11501601</v>
      </c>
      <c r="F42" s="4">
        <v>417659</v>
      </c>
      <c r="G42" s="4">
        <v>11083942</v>
      </c>
      <c r="H42" s="4">
        <v>889557</v>
      </c>
    </row>
    <row r="43" spans="1:8" x14ac:dyDescent="0.75">
      <c r="A43">
        <v>42</v>
      </c>
      <c r="B43" t="s">
        <v>160</v>
      </c>
      <c r="C43" t="s">
        <v>171</v>
      </c>
      <c r="D43" s="4">
        <v>12386921</v>
      </c>
      <c r="E43" s="4">
        <v>2042602</v>
      </c>
      <c r="F43" s="4">
        <v>1576094</v>
      </c>
      <c r="G43" s="4">
        <v>466508</v>
      </c>
      <c r="H43" s="4">
        <v>10344319</v>
      </c>
    </row>
    <row r="44" spans="1:8" x14ac:dyDescent="0.75">
      <c r="A44">
        <v>43</v>
      </c>
      <c r="B44" t="s">
        <v>151</v>
      </c>
      <c r="C44" t="s">
        <v>65</v>
      </c>
      <c r="D44" s="4">
        <v>12011826</v>
      </c>
      <c r="E44" s="4">
        <v>6603505</v>
      </c>
      <c r="F44" s="4">
        <v>2400599</v>
      </c>
      <c r="G44" s="4">
        <v>4202906</v>
      </c>
      <c r="H44" s="4">
        <v>5408321</v>
      </c>
    </row>
    <row r="45" spans="1:8" x14ac:dyDescent="0.75">
      <c r="A45">
        <v>44</v>
      </c>
      <c r="B45" t="s">
        <v>160</v>
      </c>
      <c r="C45" t="s">
        <v>172</v>
      </c>
      <c r="D45" s="4">
        <v>11974350</v>
      </c>
      <c r="E45" s="4">
        <v>4453661</v>
      </c>
      <c r="F45" s="4">
        <v>1565950</v>
      </c>
      <c r="G45" s="4">
        <v>2887711</v>
      </c>
      <c r="H45" s="4">
        <v>7520689</v>
      </c>
    </row>
    <row r="46" spans="1:8" x14ac:dyDescent="0.75">
      <c r="A46">
        <v>45</v>
      </c>
      <c r="B46" t="s">
        <v>163</v>
      </c>
      <c r="C46" t="s">
        <v>173</v>
      </c>
      <c r="D46" s="4">
        <v>11632162</v>
      </c>
      <c r="E46" s="4">
        <v>0</v>
      </c>
      <c r="F46" s="4">
        <v>0</v>
      </c>
      <c r="G46" s="4">
        <v>0</v>
      </c>
      <c r="H46" s="4">
        <v>11632162</v>
      </c>
    </row>
    <row r="47" spans="1:8" x14ac:dyDescent="0.75">
      <c r="A47">
        <v>46</v>
      </c>
      <c r="B47" t="s">
        <v>151</v>
      </c>
      <c r="C47" t="s">
        <v>20</v>
      </c>
      <c r="D47" s="4">
        <v>11236361</v>
      </c>
      <c r="E47" s="4">
        <v>6117568</v>
      </c>
      <c r="F47" s="4">
        <v>5473831</v>
      </c>
      <c r="G47" s="4">
        <v>643737</v>
      </c>
      <c r="H47" s="4">
        <v>5118793</v>
      </c>
    </row>
    <row r="48" spans="1:8" x14ac:dyDescent="0.75">
      <c r="A48">
        <v>47</v>
      </c>
      <c r="B48" t="s">
        <v>160</v>
      </c>
      <c r="C48" t="s">
        <v>174</v>
      </c>
      <c r="D48" s="4">
        <v>10314969</v>
      </c>
      <c r="E48" s="4">
        <v>2413144</v>
      </c>
      <c r="F48" s="4">
        <v>2413144</v>
      </c>
      <c r="G48" s="4">
        <v>0</v>
      </c>
      <c r="H48" s="4">
        <v>7901825</v>
      </c>
    </row>
    <row r="49" spans="1:8" x14ac:dyDescent="0.75">
      <c r="A49">
        <v>48</v>
      </c>
      <c r="B49" t="s">
        <v>151</v>
      </c>
      <c r="C49" t="s">
        <v>66</v>
      </c>
      <c r="D49" s="4">
        <v>9761517</v>
      </c>
      <c r="E49" s="4">
        <v>7566757</v>
      </c>
      <c r="F49" s="4">
        <v>810327</v>
      </c>
      <c r="G49" s="4">
        <v>6756430</v>
      </c>
      <c r="H49" s="4">
        <v>2194760</v>
      </c>
    </row>
    <row r="50" spans="1:8" x14ac:dyDescent="0.75">
      <c r="A50">
        <v>49</v>
      </c>
      <c r="B50" t="s">
        <v>160</v>
      </c>
      <c r="C50" t="s">
        <v>175</v>
      </c>
      <c r="D50" s="4">
        <v>9698313</v>
      </c>
      <c r="E50" s="4">
        <v>2394202</v>
      </c>
      <c r="F50" s="4">
        <v>2290842</v>
      </c>
      <c r="G50" s="4">
        <v>103360</v>
      </c>
      <c r="H50" s="4">
        <v>7304111</v>
      </c>
    </row>
    <row r="51" spans="1:8" x14ac:dyDescent="0.75">
      <c r="A51">
        <v>50</v>
      </c>
      <c r="B51" t="s">
        <v>151</v>
      </c>
      <c r="C51" t="s">
        <v>176</v>
      </c>
      <c r="D51" s="4">
        <v>9612351</v>
      </c>
      <c r="E51" s="4">
        <v>2547551</v>
      </c>
      <c r="F51" s="4">
        <v>1759229</v>
      </c>
      <c r="G51" s="4">
        <v>788322</v>
      </c>
      <c r="H51" s="4">
        <v>7064800</v>
      </c>
    </row>
    <row r="52" spans="1:8" x14ac:dyDescent="0.75">
      <c r="A52">
        <v>51</v>
      </c>
      <c r="B52" t="s">
        <v>163</v>
      </c>
      <c r="C52" t="s">
        <v>177</v>
      </c>
      <c r="D52" s="4">
        <v>9151580</v>
      </c>
      <c r="E52" s="4">
        <v>0</v>
      </c>
      <c r="F52" s="4">
        <v>0</v>
      </c>
      <c r="G52" s="4">
        <v>0</v>
      </c>
      <c r="H52" s="4">
        <v>9151580</v>
      </c>
    </row>
    <row r="53" spans="1:8" x14ac:dyDescent="0.75">
      <c r="A53">
        <v>52</v>
      </c>
      <c r="B53" t="s">
        <v>163</v>
      </c>
      <c r="C53" t="s">
        <v>178</v>
      </c>
      <c r="D53" s="4">
        <v>9071813</v>
      </c>
      <c r="E53" s="4">
        <v>0</v>
      </c>
      <c r="F53" s="4">
        <v>0</v>
      </c>
      <c r="G53" s="4">
        <v>0</v>
      </c>
      <c r="H53" s="4">
        <v>9071813</v>
      </c>
    </row>
    <row r="54" spans="1:8" x14ac:dyDescent="0.75">
      <c r="A54">
        <v>53</v>
      </c>
      <c r="B54" t="s">
        <v>151</v>
      </c>
      <c r="C54" t="s">
        <v>19</v>
      </c>
      <c r="D54" s="4">
        <v>9067205</v>
      </c>
      <c r="E54" s="4">
        <v>8924919</v>
      </c>
      <c r="F54" s="4">
        <v>5829951</v>
      </c>
      <c r="G54" s="4">
        <v>3094968</v>
      </c>
      <c r="H54" s="4">
        <v>142286</v>
      </c>
    </row>
    <row r="55" spans="1:8" x14ac:dyDescent="0.75">
      <c r="A55">
        <v>54</v>
      </c>
      <c r="B55" t="s">
        <v>163</v>
      </c>
      <c r="C55" t="s">
        <v>179</v>
      </c>
      <c r="D55" s="4">
        <v>8921550</v>
      </c>
      <c r="E55" s="4">
        <v>0</v>
      </c>
      <c r="F55" s="4">
        <v>0</v>
      </c>
      <c r="G55" s="4">
        <v>0</v>
      </c>
      <c r="H55" s="4">
        <v>8921550</v>
      </c>
    </row>
    <row r="56" spans="1:8" x14ac:dyDescent="0.75">
      <c r="A56">
        <v>55</v>
      </c>
      <c r="B56" t="s">
        <v>151</v>
      </c>
      <c r="C56" t="s">
        <v>180</v>
      </c>
      <c r="D56" s="4">
        <v>8860199</v>
      </c>
      <c r="E56" s="4">
        <v>5749932</v>
      </c>
      <c r="F56" s="4">
        <v>5304986</v>
      </c>
      <c r="G56" s="4">
        <v>444946</v>
      </c>
      <c r="H56" s="4">
        <v>3110267</v>
      </c>
    </row>
    <row r="57" spans="1:8" x14ac:dyDescent="0.75">
      <c r="A57">
        <v>56</v>
      </c>
      <c r="B57" t="s">
        <v>163</v>
      </c>
      <c r="C57" t="s">
        <v>181</v>
      </c>
      <c r="D57" s="4">
        <v>8633174</v>
      </c>
      <c r="E57" s="4">
        <v>0</v>
      </c>
      <c r="F57" s="4">
        <v>0</v>
      </c>
      <c r="G57" s="4">
        <v>0</v>
      </c>
      <c r="H57" s="4">
        <v>8633174</v>
      </c>
    </row>
    <row r="58" spans="1:8" x14ac:dyDescent="0.75">
      <c r="A58">
        <v>57</v>
      </c>
      <c r="B58" t="s">
        <v>163</v>
      </c>
      <c r="C58" t="s">
        <v>182</v>
      </c>
      <c r="D58" s="4">
        <v>8409663</v>
      </c>
      <c r="E58" s="4">
        <v>0</v>
      </c>
      <c r="F58" s="4">
        <v>0</v>
      </c>
      <c r="G58" s="4">
        <v>0</v>
      </c>
      <c r="H58" s="4">
        <v>8409663</v>
      </c>
    </row>
    <row r="59" spans="1:8" x14ac:dyDescent="0.75">
      <c r="A59">
        <v>58</v>
      </c>
      <c r="B59" t="s">
        <v>151</v>
      </c>
      <c r="C59" t="s">
        <v>183</v>
      </c>
      <c r="D59" s="4">
        <v>8301172</v>
      </c>
      <c r="E59" s="4">
        <v>4650102</v>
      </c>
      <c r="F59" s="4">
        <v>4289226</v>
      </c>
      <c r="G59" s="4">
        <v>360876</v>
      </c>
      <c r="H59" s="4">
        <v>3651070</v>
      </c>
    </row>
    <row r="60" spans="1:8" x14ac:dyDescent="0.75">
      <c r="A60">
        <v>59</v>
      </c>
      <c r="B60" t="s">
        <v>163</v>
      </c>
      <c r="C60" t="s">
        <v>184</v>
      </c>
      <c r="D60" s="4">
        <v>7771448</v>
      </c>
      <c r="E60" s="4">
        <v>0</v>
      </c>
      <c r="F60" s="4">
        <v>0</v>
      </c>
      <c r="G60" s="4">
        <v>0</v>
      </c>
      <c r="H60" s="4">
        <v>7771448</v>
      </c>
    </row>
    <row r="61" spans="1:8" x14ac:dyDescent="0.75">
      <c r="A61">
        <v>60</v>
      </c>
      <c r="B61" t="s">
        <v>163</v>
      </c>
      <c r="C61" t="s">
        <v>185</v>
      </c>
      <c r="D61" s="4">
        <v>7661879</v>
      </c>
      <c r="E61" s="4">
        <v>0</v>
      </c>
      <c r="F61" s="4">
        <v>0</v>
      </c>
      <c r="G61" s="4">
        <v>0</v>
      </c>
      <c r="H61" s="4">
        <v>7661879</v>
      </c>
    </row>
    <row r="62" spans="1:8" x14ac:dyDescent="0.75">
      <c r="A62">
        <v>61</v>
      </c>
      <c r="B62" t="s">
        <v>163</v>
      </c>
      <c r="C62" t="s">
        <v>186</v>
      </c>
      <c r="D62" s="4">
        <v>7557116</v>
      </c>
      <c r="E62" s="4">
        <v>0</v>
      </c>
      <c r="F62" s="4">
        <v>0</v>
      </c>
      <c r="G62" s="4">
        <v>0</v>
      </c>
      <c r="H62" s="4">
        <v>7557116</v>
      </c>
    </row>
    <row r="63" spans="1:8" x14ac:dyDescent="0.75">
      <c r="A63">
        <v>62</v>
      </c>
      <c r="B63" t="s">
        <v>160</v>
      </c>
      <c r="C63" t="s">
        <v>117</v>
      </c>
      <c r="D63" s="4">
        <v>7163077</v>
      </c>
      <c r="E63" s="4">
        <v>149568</v>
      </c>
      <c r="F63" s="4">
        <v>21314</v>
      </c>
      <c r="G63" s="4">
        <v>128254</v>
      </c>
      <c r="H63" s="4">
        <v>7013509</v>
      </c>
    </row>
    <row r="64" spans="1:8" x14ac:dyDescent="0.75">
      <c r="A64">
        <v>63</v>
      </c>
      <c r="B64" t="s">
        <v>151</v>
      </c>
      <c r="C64" t="s">
        <v>187</v>
      </c>
      <c r="D64" s="4">
        <v>7034667</v>
      </c>
      <c r="E64" s="4">
        <v>4771835</v>
      </c>
      <c r="F64" s="4">
        <v>4596933</v>
      </c>
      <c r="G64" s="4">
        <v>174902</v>
      </c>
      <c r="H64" s="4">
        <v>2262832</v>
      </c>
    </row>
    <row r="65" spans="1:8" x14ac:dyDescent="0.75">
      <c r="A65">
        <v>64</v>
      </c>
      <c r="B65" t="s">
        <v>151</v>
      </c>
      <c r="C65" t="s">
        <v>35</v>
      </c>
      <c r="D65" s="4">
        <v>6821666</v>
      </c>
      <c r="E65" s="4">
        <v>6186405</v>
      </c>
      <c r="F65" s="4">
        <v>3618523</v>
      </c>
      <c r="G65" s="4">
        <v>2567882</v>
      </c>
      <c r="H65" s="4">
        <v>635261</v>
      </c>
    </row>
    <row r="66" spans="1:8" x14ac:dyDescent="0.75">
      <c r="A66">
        <v>65</v>
      </c>
      <c r="B66" t="s">
        <v>151</v>
      </c>
      <c r="C66" t="s">
        <v>188</v>
      </c>
      <c r="D66" s="4">
        <v>6536135</v>
      </c>
      <c r="E66" s="4">
        <v>32973</v>
      </c>
      <c r="F66" s="4">
        <v>10309</v>
      </c>
      <c r="G66" s="4">
        <v>22664</v>
      </c>
      <c r="H66" s="4">
        <v>6503162</v>
      </c>
    </row>
    <row r="67" spans="1:8" x14ac:dyDescent="0.75">
      <c r="A67">
        <v>66</v>
      </c>
      <c r="B67" t="s">
        <v>160</v>
      </c>
      <c r="C67" t="s">
        <v>189</v>
      </c>
      <c r="D67" s="4">
        <v>6466226</v>
      </c>
      <c r="E67" s="4">
        <v>197752</v>
      </c>
      <c r="F67" s="4">
        <v>197752</v>
      </c>
      <c r="G67" s="4">
        <v>0</v>
      </c>
      <c r="H67" s="4">
        <v>6268474</v>
      </c>
    </row>
    <row r="68" spans="1:8" x14ac:dyDescent="0.75">
      <c r="A68">
        <v>67</v>
      </c>
      <c r="B68" t="s">
        <v>151</v>
      </c>
      <c r="C68" t="s">
        <v>37</v>
      </c>
      <c r="D68" s="4">
        <v>6245747</v>
      </c>
      <c r="E68" s="4">
        <v>5651501</v>
      </c>
      <c r="F68" s="4">
        <v>5017542</v>
      </c>
      <c r="G68" s="4">
        <v>633959</v>
      </c>
      <c r="H68" s="4">
        <v>594246</v>
      </c>
    </row>
    <row r="69" spans="1:8" x14ac:dyDescent="0.75">
      <c r="A69">
        <v>68</v>
      </c>
      <c r="B69" t="s">
        <v>163</v>
      </c>
      <c r="C69" t="s">
        <v>190</v>
      </c>
      <c r="D69" s="4">
        <v>6137832</v>
      </c>
      <c r="E69" s="4">
        <v>0</v>
      </c>
      <c r="F69" s="4">
        <v>0</v>
      </c>
      <c r="G69" s="4">
        <v>0</v>
      </c>
      <c r="H69" s="4">
        <v>6137832</v>
      </c>
    </row>
    <row r="70" spans="1:8" x14ac:dyDescent="0.75">
      <c r="A70">
        <v>69</v>
      </c>
      <c r="B70" t="s">
        <v>151</v>
      </c>
      <c r="C70" t="s">
        <v>191</v>
      </c>
      <c r="D70" s="4">
        <v>6050573</v>
      </c>
      <c r="E70" s="4">
        <v>5976108</v>
      </c>
      <c r="F70" s="4">
        <v>2050270</v>
      </c>
      <c r="G70" s="4">
        <v>3925838</v>
      </c>
      <c r="H70" s="4">
        <v>74465</v>
      </c>
    </row>
    <row r="71" spans="1:8" x14ac:dyDescent="0.75">
      <c r="A71">
        <v>70</v>
      </c>
      <c r="B71" t="s">
        <v>160</v>
      </c>
      <c r="C71" t="s">
        <v>192</v>
      </c>
      <c r="D71" s="4">
        <v>5839641</v>
      </c>
      <c r="E71" s="4">
        <v>941593</v>
      </c>
      <c r="F71" s="4">
        <v>0</v>
      </c>
      <c r="G71" s="4">
        <v>941593</v>
      </c>
      <c r="H71" s="4">
        <v>4898048</v>
      </c>
    </row>
    <row r="72" spans="1:8" x14ac:dyDescent="0.75">
      <c r="A72">
        <v>71</v>
      </c>
      <c r="B72" t="s">
        <v>163</v>
      </c>
      <c r="C72" t="s">
        <v>193</v>
      </c>
      <c r="D72" s="4">
        <v>5751790</v>
      </c>
      <c r="E72" s="4">
        <v>0</v>
      </c>
      <c r="F72" s="4">
        <v>0</v>
      </c>
      <c r="G72" s="4">
        <v>0</v>
      </c>
      <c r="H72" s="4">
        <v>5751790</v>
      </c>
    </row>
    <row r="73" spans="1:8" x14ac:dyDescent="0.75">
      <c r="A73">
        <v>72</v>
      </c>
      <c r="B73" t="s">
        <v>151</v>
      </c>
      <c r="C73" t="s">
        <v>126</v>
      </c>
      <c r="D73" s="4">
        <v>5731422</v>
      </c>
      <c r="E73" s="4">
        <v>3839029</v>
      </c>
      <c r="F73" s="4">
        <v>3526950</v>
      </c>
      <c r="G73" s="4">
        <v>312079</v>
      </c>
      <c r="H73" s="4">
        <v>1892393</v>
      </c>
    </row>
    <row r="74" spans="1:8" x14ac:dyDescent="0.75">
      <c r="A74">
        <v>73</v>
      </c>
      <c r="B74" t="s">
        <v>151</v>
      </c>
      <c r="C74" t="s">
        <v>194</v>
      </c>
      <c r="D74" s="4">
        <v>5645906</v>
      </c>
      <c r="E74" s="4">
        <v>5636561</v>
      </c>
      <c r="F74" s="4">
        <v>3702354</v>
      </c>
      <c r="G74" s="4">
        <v>1934207</v>
      </c>
      <c r="H74" s="4">
        <v>9345</v>
      </c>
    </row>
    <row r="75" spans="1:8" x14ac:dyDescent="0.75">
      <c r="A75">
        <v>74</v>
      </c>
      <c r="B75" t="s">
        <v>151</v>
      </c>
      <c r="C75" t="s">
        <v>90</v>
      </c>
      <c r="D75" s="4">
        <v>5419271</v>
      </c>
      <c r="E75" s="4">
        <v>4279717</v>
      </c>
      <c r="F75" s="4">
        <v>4232580</v>
      </c>
      <c r="G75" s="4">
        <v>47137</v>
      </c>
      <c r="H75" s="4">
        <v>1139554</v>
      </c>
    </row>
    <row r="76" spans="1:8" x14ac:dyDescent="0.75">
      <c r="A76">
        <v>75</v>
      </c>
      <c r="B76" t="s">
        <v>163</v>
      </c>
      <c r="C76" t="s">
        <v>195</v>
      </c>
      <c r="D76" s="4">
        <v>5283149</v>
      </c>
      <c r="E76" s="4">
        <v>0</v>
      </c>
      <c r="F76" s="4">
        <v>0</v>
      </c>
      <c r="G76" s="4">
        <v>0</v>
      </c>
      <c r="H76" s="4">
        <v>5283149</v>
      </c>
    </row>
    <row r="77" spans="1:8" x14ac:dyDescent="0.75">
      <c r="A77">
        <v>76</v>
      </c>
      <c r="B77" t="s">
        <v>163</v>
      </c>
      <c r="C77" t="s">
        <v>196</v>
      </c>
      <c r="D77" s="4">
        <v>5081034</v>
      </c>
      <c r="E77" s="4">
        <v>0</v>
      </c>
      <c r="F77" s="4">
        <v>0</v>
      </c>
      <c r="G77" s="4">
        <v>0</v>
      </c>
      <c r="H77" s="4">
        <v>5081034</v>
      </c>
    </row>
    <row r="78" spans="1:8" x14ac:dyDescent="0.75">
      <c r="A78">
        <v>77</v>
      </c>
      <c r="B78" t="s">
        <v>151</v>
      </c>
      <c r="C78" t="s">
        <v>197</v>
      </c>
      <c r="D78" s="4">
        <v>5019519</v>
      </c>
      <c r="E78" s="4">
        <v>3820507</v>
      </c>
      <c r="F78" s="4">
        <v>3616569</v>
      </c>
      <c r="G78" s="4">
        <v>203938</v>
      </c>
      <c r="H78" s="4">
        <v>1199012</v>
      </c>
    </row>
    <row r="79" spans="1:8" x14ac:dyDescent="0.75">
      <c r="A79">
        <v>78</v>
      </c>
      <c r="B79" t="s">
        <v>151</v>
      </c>
      <c r="C79" t="s">
        <v>136</v>
      </c>
      <c r="D79" s="4">
        <v>4577888</v>
      </c>
      <c r="E79" s="4">
        <v>527930</v>
      </c>
      <c r="F79" s="4">
        <v>421419</v>
      </c>
      <c r="G79" s="4">
        <v>106511</v>
      </c>
      <c r="H79" s="4">
        <v>4049958</v>
      </c>
    </row>
    <row r="80" spans="1:8" x14ac:dyDescent="0.75">
      <c r="A80">
        <v>79</v>
      </c>
      <c r="B80" t="s">
        <v>163</v>
      </c>
      <c r="C80" t="s">
        <v>198</v>
      </c>
      <c r="D80" s="4">
        <v>4463132</v>
      </c>
      <c r="E80" s="4">
        <v>0</v>
      </c>
      <c r="F80" s="4">
        <v>0</v>
      </c>
      <c r="G80" s="4">
        <v>0</v>
      </c>
      <c r="H80" s="4">
        <v>4463132</v>
      </c>
    </row>
    <row r="81" spans="1:8" x14ac:dyDescent="0.75">
      <c r="A81">
        <v>80</v>
      </c>
      <c r="B81" t="s">
        <v>151</v>
      </c>
      <c r="C81" t="s">
        <v>67</v>
      </c>
      <c r="D81" s="4">
        <v>4288628</v>
      </c>
      <c r="E81" s="4">
        <v>3844106</v>
      </c>
      <c r="F81" s="4">
        <v>3844106</v>
      </c>
      <c r="G81" s="4">
        <v>0</v>
      </c>
      <c r="H81" s="4">
        <v>444522</v>
      </c>
    </row>
    <row r="82" spans="1:8" x14ac:dyDescent="0.75">
      <c r="A82">
        <v>81</v>
      </c>
      <c r="B82" t="s">
        <v>163</v>
      </c>
      <c r="C82" t="s">
        <v>199</v>
      </c>
      <c r="D82" s="4">
        <v>4262068</v>
      </c>
      <c r="E82" s="4">
        <v>0</v>
      </c>
      <c r="F82" s="4">
        <v>0</v>
      </c>
      <c r="G82" s="4">
        <v>0</v>
      </c>
      <c r="H82" s="4">
        <v>4262068</v>
      </c>
    </row>
    <row r="83" spans="1:8" x14ac:dyDescent="0.75">
      <c r="A83">
        <v>82</v>
      </c>
      <c r="B83" t="s">
        <v>163</v>
      </c>
      <c r="C83" t="s">
        <v>200</v>
      </c>
      <c r="D83" s="4">
        <v>4259089</v>
      </c>
      <c r="E83" s="4">
        <v>0</v>
      </c>
      <c r="F83" s="4">
        <v>0</v>
      </c>
      <c r="G83" s="4">
        <v>0</v>
      </c>
      <c r="H83" s="4">
        <v>4259089</v>
      </c>
    </row>
    <row r="84" spans="1:8" x14ac:dyDescent="0.75">
      <c r="A84">
        <v>83</v>
      </c>
      <c r="B84" t="s">
        <v>160</v>
      </c>
      <c r="C84" t="s">
        <v>201</v>
      </c>
      <c r="D84" s="4">
        <v>4251340</v>
      </c>
      <c r="E84" s="4">
        <v>95347</v>
      </c>
      <c r="F84" s="4">
        <v>95347</v>
      </c>
      <c r="G84" s="4">
        <v>0</v>
      </c>
      <c r="H84" s="4">
        <v>4155993</v>
      </c>
    </row>
    <row r="85" spans="1:8" x14ac:dyDescent="0.75">
      <c r="A85">
        <v>84</v>
      </c>
      <c r="B85" t="s">
        <v>160</v>
      </c>
      <c r="C85" t="s">
        <v>202</v>
      </c>
      <c r="D85" s="4">
        <v>4201995</v>
      </c>
      <c r="E85" s="4">
        <v>133253</v>
      </c>
      <c r="F85" s="4">
        <v>62360</v>
      </c>
      <c r="G85" s="4">
        <v>70893</v>
      </c>
      <c r="H85" s="4">
        <v>4068742</v>
      </c>
    </row>
    <row r="86" spans="1:8" x14ac:dyDescent="0.75">
      <c r="A86">
        <v>85</v>
      </c>
      <c r="B86" t="s">
        <v>160</v>
      </c>
      <c r="C86" t="s">
        <v>203</v>
      </c>
      <c r="D86" s="4">
        <v>4165579</v>
      </c>
      <c r="E86" s="4">
        <v>46000</v>
      </c>
      <c r="F86" s="4">
        <v>0</v>
      </c>
      <c r="G86" s="4">
        <v>46000</v>
      </c>
      <c r="H86" s="4">
        <v>4119579</v>
      </c>
    </row>
    <row r="87" spans="1:8" x14ac:dyDescent="0.75">
      <c r="A87">
        <v>86</v>
      </c>
      <c r="B87" t="s">
        <v>151</v>
      </c>
      <c r="C87" t="s">
        <v>204</v>
      </c>
      <c r="D87" s="4">
        <v>4008040</v>
      </c>
      <c r="E87" s="4">
        <v>2093061</v>
      </c>
      <c r="F87" s="4">
        <v>627706</v>
      </c>
      <c r="G87" s="4">
        <v>1465355</v>
      </c>
      <c r="H87" s="4">
        <v>1914979</v>
      </c>
    </row>
    <row r="88" spans="1:8" x14ac:dyDescent="0.75">
      <c r="A88">
        <v>87</v>
      </c>
      <c r="B88" t="s">
        <v>151</v>
      </c>
      <c r="C88" t="s">
        <v>51</v>
      </c>
      <c r="D88" s="4">
        <v>3866917</v>
      </c>
      <c r="E88" s="4">
        <v>47689</v>
      </c>
      <c r="F88" s="4">
        <v>47689</v>
      </c>
      <c r="G88" s="4">
        <v>0</v>
      </c>
      <c r="H88" s="4">
        <v>3819228</v>
      </c>
    </row>
    <row r="89" spans="1:8" x14ac:dyDescent="0.75">
      <c r="A89">
        <v>88</v>
      </c>
      <c r="B89" t="s">
        <v>163</v>
      </c>
      <c r="C89" t="s">
        <v>205</v>
      </c>
      <c r="D89" s="4">
        <v>3808690</v>
      </c>
      <c r="E89" s="4">
        <v>0</v>
      </c>
      <c r="F89" s="4">
        <v>0</v>
      </c>
      <c r="G89" s="4">
        <v>0</v>
      </c>
      <c r="H89" s="4">
        <v>3808690</v>
      </c>
    </row>
    <row r="90" spans="1:8" x14ac:dyDescent="0.75">
      <c r="A90">
        <v>89</v>
      </c>
      <c r="B90" t="s">
        <v>151</v>
      </c>
      <c r="C90" t="s">
        <v>206</v>
      </c>
      <c r="D90" s="4">
        <v>3762760</v>
      </c>
      <c r="E90" s="4">
        <v>0</v>
      </c>
      <c r="F90" s="4">
        <v>0</v>
      </c>
      <c r="G90" s="4">
        <v>0</v>
      </c>
      <c r="H90" s="4">
        <v>3762760</v>
      </c>
    </row>
    <row r="91" spans="1:8" x14ac:dyDescent="0.75">
      <c r="A91">
        <v>90</v>
      </c>
      <c r="B91" t="s">
        <v>151</v>
      </c>
      <c r="C91" t="s">
        <v>207</v>
      </c>
      <c r="D91" s="4">
        <v>3512844</v>
      </c>
      <c r="E91" s="4">
        <v>510649</v>
      </c>
      <c r="F91" s="4">
        <v>510649</v>
      </c>
      <c r="G91" s="4">
        <v>0</v>
      </c>
      <c r="H91" s="4">
        <v>3002195</v>
      </c>
    </row>
    <row r="92" spans="1:8" x14ac:dyDescent="0.75">
      <c r="A92">
        <v>91</v>
      </c>
      <c r="B92" t="s">
        <v>163</v>
      </c>
      <c r="C92" t="s">
        <v>208</v>
      </c>
      <c r="D92" s="4">
        <v>3417046</v>
      </c>
      <c r="E92" s="4">
        <v>460599</v>
      </c>
      <c r="F92" s="4">
        <v>460599</v>
      </c>
      <c r="G92" s="4">
        <v>0</v>
      </c>
      <c r="H92" s="4">
        <v>2956447</v>
      </c>
    </row>
    <row r="93" spans="1:8" x14ac:dyDescent="0.75">
      <c r="A93">
        <v>92</v>
      </c>
      <c r="B93" t="s">
        <v>151</v>
      </c>
      <c r="C93" t="s">
        <v>31</v>
      </c>
      <c r="D93" s="4">
        <v>3318978</v>
      </c>
      <c r="E93" s="4">
        <v>1531697</v>
      </c>
      <c r="F93" s="4">
        <v>1517086</v>
      </c>
      <c r="G93" s="4">
        <v>14611</v>
      </c>
      <c r="H93" s="4">
        <v>1787281</v>
      </c>
    </row>
    <row r="94" spans="1:8" x14ac:dyDescent="0.75">
      <c r="A94">
        <v>93</v>
      </c>
      <c r="B94" t="s">
        <v>163</v>
      </c>
      <c r="C94" t="s">
        <v>209</v>
      </c>
      <c r="D94" s="4">
        <v>3284096</v>
      </c>
      <c r="E94" s="4">
        <v>0</v>
      </c>
      <c r="F94" s="4">
        <v>0</v>
      </c>
      <c r="G94" s="4">
        <v>0</v>
      </c>
      <c r="H94" s="4">
        <v>3284096</v>
      </c>
    </row>
    <row r="95" spans="1:8" x14ac:dyDescent="0.75">
      <c r="A95">
        <v>94</v>
      </c>
      <c r="B95" t="s">
        <v>160</v>
      </c>
      <c r="C95" t="s">
        <v>210</v>
      </c>
      <c r="D95" s="4">
        <v>3066708</v>
      </c>
      <c r="E95" s="4">
        <v>236530</v>
      </c>
      <c r="F95" s="4">
        <v>63659</v>
      </c>
      <c r="G95" s="4">
        <v>172871</v>
      </c>
      <c r="H95" s="4">
        <v>2830178</v>
      </c>
    </row>
    <row r="96" spans="1:8" x14ac:dyDescent="0.75">
      <c r="A96">
        <v>95</v>
      </c>
      <c r="B96" t="s">
        <v>160</v>
      </c>
      <c r="C96" t="s">
        <v>211</v>
      </c>
      <c r="D96" s="4">
        <v>2970759</v>
      </c>
      <c r="E96" s="4">
        <v>2021193</v>
      </c>
      <c r="F96" s="4">
        <v>80431</v>
      </c>
      <c r="G96" s="4">
        <v>1940762</v>
      </c>
      <c r="H96" s="4">
        <v>949566</v>
      </c>
    </row>
    <row r="97" spans="1:8" x14ac:dyDescent="0.75">
      <c r="A97">
        <v>96</v>
      </c>
      <c r="B97" t="s">
        <v>163</v>
      </c>
      <c r="C97" t="s">
        <v>212</v>
      </c>
      <c r="D97" s="4">
        <v>2966251</v>
      </c>
      <c r="E97" s="4">
        <v>0</v>
      </c>
      <c r="F97" s="4">
        <v>0</v>
      </c>
      <c r="G97" s="4">
        <v>0</v>
      </c>
      <c r="H97" s="4">
        <v>2966251</v>
      </c>
    </row>
    <row r="98" spans="1:8" x14ac:dyDescent="0.75">
      <c r="A98">
        <v>97</v>
      </c>
      <c r="B98" t="s">
        <v>151</v>
      </c>
      <c r="C98" t="s">
        <v>39</v>
      </c>
      <c r="D98" s="4">
        <v>2956775</v>
      </c>
      <c r="E98" s="4">
        <v>2106893</v>
      </c>
      <c r="F98" s="4">
        <v>460965</v>
      </c>
      <c r="G98" s="4">
        <v>1645928</v>
      </c>
      <c r="H98" s="4">
        <v>849882</v>
      </c>
    </row>
    <row r="99" spans="1:8" x14ac:dyDescent="0.75">
      <c r="A99">
        <v>98</v>
      </c>
      <c r="B99" t="s">
        <v>163</v>
      </c>
      <c r="C99" t="s">
        <v>213</v>
      </c>
      <c r="D99" s="4">
        <v>2815317</v>
      </c>
      <c r="E99" s="4">
        <v>0</v>
      </c>
      <c r="F99" s="4">
        <v>0</v>
      </c>
      <c r="G99" s="4">
        <v>0</v>
      </c>
      <c r="H99" s="4">
        <v>2815317</v>
      </c>
    </row>
    <row r="100" spans="1:8" x14ac:dyDescent="0.75">
      <c r="A100">
        <v>99</v>
      </c>
      <c r="B100" t="s">
        <v>163</v>
      </c>
      <c r="C100" t="s">
        <v>214</v>
      </c>
      <c r="D100" s="4">
        <v>2722460</v>
      </c>
      <c r="E100" s="4">
        <v>0</v>
      </c>
      <c r="F100" s="4">
        <v>0</v>
      </c>
      <c r="G100" s="4">
        <v>0</v>
      </c>
      <c r="H100" s="4">
        <v>2722460</v>
      </c>
    </row>
    <row r="101" spans="1:8" x14ac:dyDescent="0.75">
      <c r="A101">
        <v>100</v>
      </c>
      <c r="B101" t="s">
        <v>151</v>
      </c>
      <c r="C101" t="s">
        <v>215</v>
      </c>
      <c r="D101" s="4">
        <v>2644691</v>
      </c>
      <c r="E101" s="4">
        <v>0</v>
      </c>
      <c r="F101" s="4">
        <v>0</v>
      </c>
      <c r="G101" s="4">
        <v>0</v>
      </c>
      <c r="H101" s="4">
        <v>2644691</v>
      </c>
    </row>
    <row r="102" spans="1:8" x14ac:dyDescent="0.75">
      <c r="A102">
        <v>101</v>
      </c>
      <c r="B102" t="s">
        <v>163</v>
      </c>
      <c r="C102" t="s">
        <v>216</v>
      </c>
      <c r="D102" s="4">
        <v>2596673</v>
      </c>
      <c r="E102" s="4">
        <v>0</v>
      </c>
      <c r="F102" s="4">
        <v>0</v>
      </c>
      <c r="G102" s="4">
        <v>0</v>
      </c>
      <c r="H102" s="4">
        <v>2596673</v>
      </c>
    </row>
    <row r="103" spans="1:8" x14ac:dyDescent="0.75">
      <c r="A103">
        <v>102</v>
      </c>
      <c r="B103" t="s">
        <v>151</v>
      </c>
      <c r="C103" t="s">
        <v>217</v>
      </c>
      <c r="D103" s="4">
        <v>2542730</v>
      </c>
      <c r="E103" s="4">
        <v>2500664</v>
      </c>
      <c r="F103" s="4">
        <v>352939</v>
      </c>
      <c r="G103" s="4">
        <v>2147725</v>
      </c>
      <c r="H103" s="4">
        <v>42066</v>
      </c>
    </row>
    <row r="104" spans="1:8" x14ac:dyDescent="0.75">
      <c r="A104">
        <v>103</v>
      </c>
      <c r="B104" t="s">
        <v>160</v>
      </c>
      <c r="C104" t="s">
        <v>218</v>
      </c>
      <c r="D104" s="4">
        <v>2510940</v>
      </c>
      <c r="E104" s="4">
        <v>16500</v>
      </c>
      <c r="F104" s="4">
        <v>16500</v>
      </c>
      <c r="G104" s="4">
        <v>0</v>
      </c>
      <c r="H104" s="4">
        <v>2494440</v>
      </c>
    </row>
    <row r="105" spans="1:8" x14ac:dyDescent="0.75">
      <c r="A105">
        <v>104</v>
      </c>
      <c r="B105" t="s">
        <v>151</v>
      </c>
      <c r="C105" t="s">
        <v>62</v>
      </c>
      <c r="D105" s="4">
        <v>2484582</v>
      </c>
      <c r="E105" s="4">
        <v>61511</v>
      </c>
      <c r="F105" s="4">
        <v>61511</v>
      </c>
      <c r="G105" s="4">
        <v>0</v>
      </c>
      <c r="H105" s="4">
        <v>2423071</v>
      </c>
    </row>
    <row r="106" spans="1:8" x14ac:dyDescent="0.75">
      <c r="A106">
        <v>105</v>
      </c>
      <c r="B106" t="s">
        <v>163</v>
      </c>
      <c r="C106" t="s">
        <v>219</v>
      </c>
      <c r="D106" s="4">
        <v>2454703</v>
      </c>
      <c r="E106" s="4">
        <v>0</v>
      </c>
      <c r="F106" s="4">
        <v>0</v>
      </c>
      <c r="G106" s="4">
        <v>0</v>
      </c>
      <c r="H106" s="4">
        <v>2454703</v>
      </c>
    </row>
    <row r="107" spans="1:8" x14ac:dyDescent="0.75">
      <c r="A107">
        <v>106</v>
      </c>
      <c r="B107" t="s">
        <v>151</v>
      </c>
      <c r="C107" t="s">
        <v>220</v>
      </c>
      <c r="D107" s="4">
        <v>2453780</v>
      </c>
      <c r="E107" s="4">
        <v>0</v>
      </c>
      <c r="F107" s="4">
        <v>0</v>
      </c>
      <c r="G107" s="4">
        <v>0</v>
      </c>
      <c r="H107" s="4">
        <v>2453780</v>
      </c>
    </row>
    <row r="108" spans="1:8" x14ac:dyDescent="0.75">
      <c r="A108">
        <v>107</v>
      </c>
      <c r="B108" t="s">
        <v>160</v>
      </c>
      <c r="C108" t="s">
        <v>221</v>
      </c>
      <c r="D108" s="4">
        <v>2438802</v>
      </c>
      <c r="E108" s="4">
        <v>1155614</v>
      </c>
      <c r="F108" s="4">
        <v>1106000</v>
      </c>
      <c r="G108" s="4">
        <v>49614</v>
      </c>
      <c r="H108" s="4">
        <v>1283188</v>
      </c>
    </row>
    <row r="109" spans="1:8" x14ac:dyDescent="0.75">
      <c r="A109">
        <v>108</v>
      </c>
      <c r="B109" t="s">
        <v>151</v>
      </c>
      <c r="C109" t="s">
        <v>64</v>
      </c>
      <c r="D109" s="4">
        <v>2430118</v>
      </c>
      <c r="E109" s="4">
        <v>1899968</v>
      </c>
      <c r="F109" s="4">
        <v>650011</v>
      </c>
      <c r="G109" s="4">
        <v>1249957</v>
      </c>
      <c r="H109" s="4">
        <v>530150</v>
      </c>
    </row>
    <row r="110" spans="1:8" x14ac:dyDescent="0.75">
      <c r="A110">
        <v>109</v>
      </c>
      <c r="B110" t="s">
        <v>151</v>
      </c>
      <c r="C110" t="s">
        <v>222</v>
      </c>
      <c r="D110" s="4">
        <v>2374670</v>
      </c>
      <c r="E110" s="4">
        <v>1723192</v>
      </c>
      <c r="F110" s="4">
        <v>1589927</v>
      </c>
      <c r="G110" s="4">
        <v>133265</v>
      </c>
      <c r="H110" s="4">
        <v>651478</v>
      </c>
    </row>
    <row r="111" spans="1:8" x14ac:dyDescent="0.75">
      <c r="A111">
        <v>110</v>
      </c>
      <c r="B111" t="s">
        <v>160</v>
      </c>
      <c r="C111" t="s">
        <v>223</v>
      </c>
      <c r="D111" s="4">
        <v>2360344</v>
      </c>
      <c r="E111" s="4">
        <v>0</v>
      </c>
      <c r="F111" s="4">
        <v>0</v>
      </c>
      <c r="G111" s="4">
        <v>0</v>
      </c>
      <c r="H111" s="4">
        <v>2360344</v>
      </c>
    </row>
    <row r="112" spans="1:8" x14ac:dyDescent="0.75">
      <c r="A112">
        <v>111</v>
      </c>
      <c r="B112" t="s">
        <v>151</v>
      </c>
      <c r="C112" t="s">
        <v>52</v>
      </c>
      <c r="D112" s="4">
        <v>2315355</v>
      </c>
      <c r="E112" s="4">
        <v>0</v>
      </c>
      <c r="F112" s="4">
        <v>0</v>
      </c>
      <c r="G112" s="4">
        <v>0</v>
      </c>
      <c r="H112" s="4">
        <v>2315355</v>
      </c>
    </row>
    <row r="113" spans="1:8" x14ac:dyDescent="0.75">
      <c r="A113">
        <v>112</v>
      </c>
      <c r="B113" t="s">
        <v>151</v>
      </c>
      <c r="C113" t="s">
        <v>224</v>
      </c>
      <c r="D113" s="4">
        <v>2315106</v>
      </c>
      <c r="E113" s="4">
        <v>17587</v>
      </c>
      <c r="F113" s="4">
        <v>719</v>
      </c>
      <c r="G113" s="4">
        <v>16868</v>
      </c>
      <c r="H113" s="4">
        <v>2297519</v>
      </c>
    </row>
    <row r="114" spans="1:8" x14ac:dyDescent="0.75">
      <c r="A114">
        <v>113</v>
      </c>
      <c r="B114" t="s">
        <v>151</v>
      </c>
      <c r="C114" t="s">
        <v>122</v>
      </c>
      <c r="D114" s="4">
        <v>2292065</v>
      </c>
      <c r="E114" s="4">
        <v>2228277</v>
      </c>
      <c r="F114" s="4">
        <v>1248661</v>
      </c>
      <c r="G114" s="4">
        <v>979616</v>
      </c>
      <c r="H114" s="4">
        <v>63788</v>
      </c>
    </row>
    <row r="115" spans="1:8" x14ac:dyDescent="0.75">
      <c r="A115">
        <v>114</v>
      </c>
      <c r="B115" t="s">
        <v>163</v>
      </c>
      <c r="C115" t="s">
        <v>225</v>
      </c>
      <c r="D115" s="4">
        <v>2281025</v>
      </c>
      <c r="E115" s="4">
        <v>0</v>
      </c>
      <c r="F115" s="4">
        <v>0</v>
      </c>
      <c r="G115" s="4">
        <v>0</v>
      </c>
      <c r="H115" s="4">
        <v>2281025</v>
      </c>
    </row>
    <row r="116" spans="1:8" x14ac:dyDescent="0.75">
      <c r="A116">
        <v>115</v>
      </c>
      <c r="B116" t="s">
        <v>151</v>
      </c>
      <c r="C116" t="s">
        <v>44</v>
      </c>
      <c r="D116" s="4">
        <v>2247401</v>
      </c>
      <c r="E116" s="4">
        <v>2222438</v>
      </c>
      <c r="F116" s="4">
        <v>2004886</v>
      </c>
      <c r="G116" s="4">
        <v>217552</v>
      </c>
      <c r="H116" s="4">
        <v>24963</v>
      </c>
    </row>
    <row r="117" spans="1:8" x14ac:dyDescent="0.75">
      <c r="A117">
        <v>116</v>
      </c>
      <c r="B117" t="s">
        <v>160</v>
      </c>
      <c r="C117" t="s">
        <v>226</v>
      </c>
      <c r="D117" s="4">
        <v>2216020</v>
      </c>
      <c r="E117" s="4">
        <v>97453</v>
      </c>
      <c r="F117" s="4">
        <v>97453</v>
      </c>
      <c r="G117" s="4">
        <v>0</v>
      </c>
      <c r="H117" s="4">
        <v>2118567</v>
      </c>
    </row>
    <row r="118" spans="1:8" x14ac:dyDescent="0.75">
      <c r="A118">
        <v>117</v>
      </c>
      <c r="B118" t="s">
        <v>160</v>
      </c>
      <c r="C118" t="s">
        <v>227</v>
      </c>
      <c r="D118" s="4">
        <v>2202130</v>
      </c>
      <c r="E118" s="4">
        <v>784505</v>
      </c>
      <c r="F118" s="4">
        <v>784505</v>
      </c>
      <c r="G118" s="4">
        <v>0</v>
      </c>
      <c r="H118" s="4">
        <v>1417625</v>
      </c>
    </row>
    <row r="119" spans="1:8" x14ac:dyDescent="0.75">
      <c r="A119">
        <v>118</v>
      </c>
      <c r="B119" t="s">
        <v>151</v>
      </c>
      <c r="C119" t="s">
        <v>61</v>
      </c>
      <c r="D119" s="4">
        <v>2156427</v>
      </c>
      <c r="E119" s="4">
        <v>8234</v>
      </c>
      <c r="F119" s="4">
        <v>8234</v>
      </c>
      <c r="G119" s="4">
        <v>0</v>
      </c>
      <c r="H119" s="4">
        <v>2148193</v>
      </c>
    </row>
    <row r="120" spans="1:8" x14ac:dyDescent="0.75">
      <c r="A120">
        <v>119</v>
      </c>
      <c r="B120" t="s">
        <v>163</v>
      </c>
      <c r="C120" t="s">
        <v>228</v>
      </c>
      <c r="D120" s="4">
        <v>2136177</v>
      </c>
      <c r="E120" s="4">
        <v>0</v>
      </c>
      <c r="F120" s="4">
        <v>0</v>
      </c>
      <c r="G120" s="4">
        <v>0</v>
      </c>
      <c r="H120" s="4">
        <v>2136177</v>
      </c>
    </row>
    <row r="121" spans="1:8" x14ac:dyDescent="0.75">
      <c r="A121">
        <v>120</v>
      </c>
      <c r="B121" t="s">
        <v>163</v>
      </c>
      <c r="C121" t="s">
        <v>229</v>
      </c>
      <c r="D121" s="4">
        <v>2131488</v>
      </c>
      <c r="E121" s="4">
        <v>0</v>
      </c>
      <c r="F121" s="4">
        <v>0</v>
      </c>
      <c r="G121" s="4">
        <v>0</v>
      </c>
      <c r="H121" s="4">
        <v>2131488</v>
      </c>
    </row>
    <row r="122" spans="1:8" x14ac:dyDescent="0.75">
      <c r="A122">
        <v>121</v>
      </c>
      <c r="B122" t="s">
        <v>151</v>
      </c>
      <c r="C122" t="s">
        <v>45</v>
      </c>
      <c r="D122" s="4">
        <v>2064116</v>
      </c>
      <c r="E122" s="4">
        <v>1966419</v>
      </c>
      <c r="F122" s="4">
        <v>1416084</v>
      </c>
      <c r="G122" s="4">
        <v>550335</v>
      </c>
      <c r="H122" s="4">
        <v>97697</v>
      </c>
    </row>
    <row r="123" spans="1:8" x14ac:dyDescent="0.75">
      <c r="A123">
        <v>122</v>
      </c>
      <c r="B123" t="s">
        <v>163</v>
      </c>
      <c r="C123" t="s">
        <v>230</v>
      </c>
      <c r="D123" s="4">
        <v>2033113</v>
      </c>
      <c r="E123" s="4">
        <v>0</v>
      </c>
      <c r="F123" s="4">
        <v>0</v>
      </c>
      <c r="G123" s="4">
        <v>0</v>
      </c>
      <c r="H123" s="4">
        <v>2033113</v>
      </c>
    </row>
    <row r="124" spans="1:8" x14ac:dyDescent="0.75">
      <c r="A124">
        <v>123</v>
      </c>
      <c r="B124" t="s">
        <v>151</v>
      </c>
      <c r="C124" t="s">
        <v>142</v>
      </c>
      <c r="D124" s="4">
        <v>1987062</v>
      </c>
      <c r="E124" s="4">
        <v>1987062</v>
      </c>
      <c r="F124" s="4">
        <v>1931557</v>
      </c>
      <c r="G124" s="4">
        <v>55505</v>
      </c>
      <c r="H124" s="4">
        <v>0</v>
      </c>
    </row>
    <row r="125" spans="1:8" x14ac:dyDescent="0.75">
      <c r="A125">
        <v>124</v>
      </c>
      <c r="B125" t="s">
        <v>151</v>
      </c>
      <c r="C125" t="s">
        <v>231</v>
      </c>
      <c r="D125" s="4">
        <v>1967050</v>
      </c>
      <c r="E125" s="4">
        <v>0</v>
      </c>
      <c r="F125" s="4">
        <v>0</v>
      </c>
      <c r="G125" s="4">
        <v>0</v>
      </c>
      <c r="H125" s="4">
        <v>1967050</v>
      </c>
    </row>
    <row r="126" spans="1:8" x14ac:dyDescent="0.75">
      <c r="A126">
        <v>125</v>
      </c>
      <c r="B126" t="s">
        <v>151</v>
      </c>
      <c r="C126" t="s">
        <v>110</v>
      </c>
      <c r="D126" s="4">
        <v>1907079</v>
      </c>
      <c r="E126" s="4">
        <v>1222596</v>
      </c>
      <c r="F126" s="4">
        <v>1070391</v>
      </c>
      <c r="G126" s="4">
        <v>152205</v>
      </c>
      <c r="H126" s="4">
        <v>684483</v>
      </c>
    </row>
    <row r="127" spans="1:8" x14ac:dyDescent="0.75">
      <c r="A127">
        <v>126</v>
      </c>
      <c r="B127" t="s">
        <v>151</v>
      </c>
      <c r="C127" t="s">
        <v>232</v>
      </c>
      <c r="D127" s="4">
        <v>1855234</v>
      </c>
      <c r="E127" s="4">
        <v>0</v>
      </c>
      <c r="F127" s="4">
        <v>0</v>
      </c>
      <c r="G127" s="4">
        <v>0</v>
      </c>
      <c r="H127" s="4">
        <v>1855234</v>
      </c>
    </row>
    <row r="128" spans="1:8" x14ac:dyDescent="0.75">
      <c r="A128">
        <v>127</v>
      </c>
      <c r="B128" t="s">
        <v>151</v>
      </c>
      <c r="C128" t="s">
        <v>132</v>
      </c>
      <c r="D128" s="4">
        <v>1816294</v>
      </c>
      <c r="E128" s="4">
        <v>1807556</v>
      </c>
      <c r="F128" s="4">
        <v>1528774</v>
      </c>
      <c r="G128" s="4">
        <v>278782</v>
      </c>
      <c r="H128" s="4">
        <v>8738</v>
      </c>
    </row>
    <row r="129" spans="1:8" x14ac:dyDescent="0.75">
      <c r="A129">
        <v>128</v>
      </c>
      <c r="B129" t="s">
        <v>151</v>
      </c>
      <c r="C129" t="s">
        <v>233</v>
      </c>
      <c r="D129" s="4">
        <v>1794666</v>
      </c>
      <c r="E129" s="4">
        <v>0</v>
      </c>
      <c r="F129" s="4">
        <v>0</v>
      </c>
      <c r="G129" s="4">
        <v>0</v>
      </c>
      <c r="H129" s="4">
        <v>1794666</v>
      </c>
    </row>
    <row r="130" spans="1:8" x14ac:dyDescent="0.75">
      <c r="A130">
        <v>129</v>
      </c>
      <c r="B130" t="s">
        <v>151</v>
      </c>
      <c r="C130" t="s">
        <v>234</v>
      </c>
      <c r="D130" s="4">
        <v>1751337</v>
      </c>
      <c r="E130" s="4">
        <v>40768</v>
      </c>
      <c r="F130" s="4">
        <v>40768</v>
      </c>
      <c r="G130" s="4">
        <v>0</v>
      </c>
      <c r="H130" s="4">
        <v>1710569</v>
      </c>
    </row>
    <row r="131" spans="1:8" x14ac:dyDescent="0.75">
      <c r="A131">
        <v>130</v>
      </c>
      <c r="B131" t="s">
        <v>151</v>
      </c>
      <c r="C131" t="s">
        <v>235</v>
      </c>
      <c r="D131" s="4">
        <v>1750703</v>
      </c>
      <c r="E131" s="4">
        <v>1718568</v>
      </c>
      <c r="F131" s="4">
        <v>80484</v>
      </c>
      <c r="G131" s="4">
        <v>1638084</v>
      </c>
      <c r="H131" s="4">
        <v>32135</v>
      </c>
    </row>
    <row r="132" spans="1:8" x14ac:dyDescent="0.75">
      <c r="A132">
        <v>131</v>
      </c>
      <c r="B132" t="s">
        <v>151</v>
      </c>
      <c r="C132" t="s">
        <v>236</v>
      </c>
      <c r="D132" s="4">
        <v>1729931</v>
      </c>
      <c r="E132" s="4">
        <v>1686645</v>
      </c>
      <c r="F132" s="4">
        <v>1445437</v>
      </c>
      <c r="G132" s="4">
        <v>241208</v>
      </c>
      <c r="H132" s="4">
        <v>43286</v>
      </c>
    </row>
    <row r="133" spans="1:8" x14ac:dyDescent="0.75">
      <c r="A133">
        <v>132</v>
      </c>
      <c r="B133" t="s">
        <v>151</v>
      </c>
      <c r="C133" t="s">
        <v>237</v>
      </c>
      <c r="D133" s="4">
        <v>1707321</v>
      </c>
      <c r="E133" s="4">
        <v>1384781</v>
      </c>
      <c r="F133" s="4">
        <v>1347147</v>
      </c>
      <c r="G133" s="4">
        <v>37634</v>
      </c>
      <c r="H133" s="4">
        <v>322540</v>
      </c>
    </row>
    <row r="134" spans="1:8" x14ac:dyDescent="0.75">
      <c r="A134">
        <v>133</v>
      </c>
      <c r="B134" t="s">
        <v>163</v>
      </c>
      <c r="C134" t="s">
        <v>238</v>
      </c>
      <c r="D134" s="4">
        <v>1697056</v>
      </c>
      <c r="E134" s="4">
        <v>0</v>
      </c>
      <c r="F134" s="4">
        <v>0</v>
      </c>
      <c r="G134" s="4">
        <v>0</v>
      </c>
      <c r="H134" s="4">
        <v>1697056</v>
      </c>
    </row>
    <row r="135" spans="1:8" x14ac:dyDescent="0.75">
      <c r="A135">
        <v>134</v>
      </c>
      <c r="B135" t="s">
        <v>151</v>
      </c>
      <c r="C135" t="s">
        <v>60</v>
      </c>
      <c r="D135" s="4">
        <v>1669008</v>
      </c>
      <c r="E135" s="4">
        <v>825740</v>
      </c>
      <c r="F135" s="4">
        <v>610163</v>
      </c>
      <c r="G135" s="4">
        <v>215577</v>
      </c>
      <c r="H135" s="4">
        <v>843268</v>
      </c>
    </row>
    <row r="136" spans="1:8" x14ac:dyDescent="0.75">
      <c r="A136">
        <v>135</v>
      </c>
      <c r="B136" t="s">
        <v>163</v>
      </c>
      <c r="C136" t="s">
        <v>239</v>
      </c>
      <c r="D136" s="4">
        <v>1655866</v>
      </c>
      <c r="E136" s="4">
        <v>0</v>
      </c>
      <c r="F136" s="4">
        <v>0</v>
      </c>
      <c r="G136" s="4">
        <v>0</v>
      </c>
      <c r="H136" s="4">
        <v>1655866</v>
      </c>
    </row>
    <row r="137" spans="1:8" x14ac:dyDescent="0.75">
      <c r="A137">
        <v>136</v>
      </c>
      <c r="B137" t="s">
        <v>160</v>
      </c>
      <c r="C137" t="s">
        <v>240</v>
      </c>
      <c r="D137" s="4">
        <v>1603644</v>
      </c>
      <c r="E137" s="4">
        <v>485212</v>
      </c>
      <c r="F137" s="4">
        <v>418370</v>
      </c>
      <c r="G137" s="4">
        <v>66842</v>
      </c>
      <c r="H137" s="4">
        <v>1118432</v>
      </c>
    </row>
    <row r="138" spans="1:8" x14ac:dyDescent="0.75">
      <c r="A138">
        <v>137</v>
      </c>
      <c r="B138" t="s">
        <v>151</v>
      </c>
      <c r="C138" t="s">
        <v>47</v>
      </c>
      <c r="D138" s="4">
        <v>1580839</v>
      </c>
      <c r="E138" s="4">
        <v>1288191</v>
      </c>
      <c r="F138" s="4">
        <v>1244121</v>
      </c>
      <c r="G138" s="4">
        <v>44070</v>
      </c>
      <c r="H138" s="4">
        <v>292648</v>
      </c>
    </row>
    <row r="139" spans="1:8" x14ac:dyDescent="0.75">
      <c r="A139">
        <v>138</v>
      </c>
      <c r="B139" t="s">
        <v>163</v>
      </c>
      <c r="C139" t="s">
        <v>241</v>
      </c>
      <c r="D139" s="4">
        <v>1547986</v>
      </c>
      <c r="E139" s="4">
        <v>0</v>
      </c>
      <c r="F139" s="4">
        <v>0</v>
      </c>
      <c r="G139" s="4">
        <v>0</v>
      </c>
      <c r="H139" s="4">
        <v>1547986</v>
      </c>
    </row>
    <row r="140" spans="1:8" x14ac:dyDescent="0.75">
      <c r="A140">
        <v>139</v>
      </c>
      <c r="B140" t="s">
        <v>163</v>
      </c>
      <c r="C140" t="s">
        <v>242</v>
      </c>
      <c r="D140" s="4">
        <v>1541161</v>
      </c>
      <c r="E140" s="4">
        <v>0</v>
      </c>
      <c r="F140" s="4">
        <v>0</v>
      </c>
      <c r="G140" s="4">
        <v>0</v>
      </c>
      <c r="H140" s="4">
        <v>1541161</v>
      </c>
    </row>
    <row r="141" spans="1:8" x14ac:dyDescent="0.75">
      <c r="A141">
        <v>140</v>
      </c>
      <c r="B141" t="s">
        <v>163</v>
      </c>
      <c r="C141" t="s">
        <v>243</v>
      </c>
      <c r="D141" s="4">
        <v>1491848</v>
      </c>
      <c r="E141" s="4">
        <v>0</v>
      </c>
      <c r="F141" s="4">
        <v>0</v>
      </c>
      <c r="G141" s="4">
        <v>0</v>
      </c>
      <c r="H141" s="4">
        <v>1491848</v>
      </c>
    </row>
    <row r="142" spans="1:8" x14ac:dyDescent="0.75">
      <c r="A142">
        <v>141</v>
      </c>
      <c r="B142" t="s">
        <v>163</v>
      </c>
      <c r="C142" t="s">
        <v>244</v>
      </c>
      <c r="D142" s="4">
        <v>1277667</v>
      </c>
      <c r="E142" s="4">
        <v>0</v>
      </c>
      <c r="F142" s="4">
        <v>0</v>
      </c>
      <c r="G142" s="4">
        <v>0</v>
      </c>
      <c r="H142" s="4">
        <v>1277667</v>
      </c>
    </row>
    <row r="143" spans="1:8" x14ac:dyDescent="0.75">
      <c r="A143">
        <v>142</v>
      </c>
      <c r="B143" t="s">
        <v>163</v>
      </c>
      <c r="C143" t="s">
        <v>245</v>
      </c>
      <c r="D143" s="4">
        <v>1255276</v>
      </c>
      <c r="E143" s="4">
        <v>0</v>
      </c>
      <c r="F143" s="4">
        <v>0</v>
      </c>
      <c r="G143" s="4">
        <v>0</v>
      </c>
      <c r="H143" s="4">
        <v>1255276</v>
      </c>
    </row>
    <row r="144" spans="1:8" x14ac:dyDescent="0.75">
      <c r="A144">
        <v>143</v>
      </c>
      <c r="B144" t="s">
        <v>151</v>
      </c>
      <c r="C144" t="s">
        <v>95</v>
      </c>
      <c r="D144" s="4">
        <v>1250403</v>
      </c>
      <c r="E144" s="4">
        <v>9186</v>
      </c>
      <c r="F144" s="4">
        <v>9186</v>
      </c>
      <c r="G144" s="4">
        <v>0</v>
      </c>
      <c r="H144" s="4">
        <v>1241217</v>
      </c>
    </row>
    <row r="145" spans="1:8" x14ac:dyDescent="0.75">
      <c r="A145">
        <v>144</v>
      </c>
      <c r="B145" t="s">
        <v>163</v>
      </c>
      <c r="C145" t="s">
        <v>246</v>
      </c>
      <c r="D145" s="4">
        <v>1250282</v>
      </c>
      <c r="E145" s="4">
        <v>0</v>
      </c>
      <c r="F145" s="4">
        <v>0</v>
      </c>
      <c r="G145" s="4">
        <v>0</v>
      </c>
      <c r="H145" s="4">
        <v>1250282</v>
      </c>
    </row>
    <row r="146" spans="1:8" x14ac:dyDescent="0.75">
      <c r="A146">
        <v>145</v>
      </c>
      <c r="B146" t="s">
        <v>151</v>
      </c>
      <c r="C146" t="s">
        <v>247</v>
      </c>
      <c r="D146" s="4">
        <v>1228210</v>
      </c>
      <c r="E146" s="4">
        <v>1136966</v>
      </c>
      <c r="F146" s="4">
        <v>1136966</v>
      </c>
      <c r="G146" s="4">
        <v>0</v>
      </c>
      <c r="H146" s="4">
        <v>91244</v>
      </c>
    </row>
    <row r="147" spans="1:8" x14ac:dyDescent="0.75">
      <c r="A147">
        <v>146</v>
      </c>
      <c r="B147" t="s">
        <v>151</v>
      </c>
      <c r="C147" t="s">
        <v>101</v>
      </c>
      <c r="D147" s="4">
        <v>1227643</v>
      </c>
      <c r="E147" s="4">
        <v>1123598</v>
      </c>
      <c r="F147" s="4">
        <v>1096521</v>
      </c>
      <c r="G147" s="4">
        <v>27077</v>
      </c>
      <c r="H147" s="4">
        <v>104045</v>
      </c>
    </row>
    <row r="148" spans="1:8" x14ac:dyDescent="0.75">
      <c r="A148">
        <v>147</v>
      </c>
      <c r="B148" t="s">
        <v>160</v>
      </c>
      <c r="C148" t="s">
        <v>248</v>
      </c>
      <c r="D148" s="4">
        <v>1222055</v>
      </c>
      <c r="E148" s="4">
        <v>8818</v>
      </c>
      <c r="F148" s="4">
        <v>8818</v>
      </c>
      <c r="G148" s="4">
        <v>0</v>
      </c>
      <c r="H148" s="4">
        <v>1213237</v>
      </c>
    </row>
    <row r="149" spans="1:8" x14ac:dyDescent="0.75">
      <c r="A149">
        <v>148</v>
      </c>
      <c r="B149" t="s">
        <v>163</v>
      </c>
      <c r="C149" t="s">
        <v>249</v>
      </c>
      <c r="D149" s="4">
        <v>1168613</v>
      </c>
      <c r="E149" s="4">
        <v>0</v>
      </c>
      <c r="F149" s="4">
        <v>0</v>
      </c>
      <c r="G149" s="4">
        <v>0</v>
      </c>
      <c r="H149" s="4">
        <v>1168613</v>
      </c>
    </row>
    <row r="150" spans="1:8" x14ac:dyDescent="0.75">
      <c r="A150">
        <v>149</v>
      </c>
      <c r="B150" t="s">
        <v>151</v>
      </c>
      <c r="C150" t="s">
        <v>59</v>
      </c>
      <c r="D150" s="4">
        <v>1164171</v>
      </c>
      <c r="E150" s="4">
        <v>825235</v>
      </c>
      <c r="F150" s="4">
        <v>217440</v>
      </c>
      <c r="G150" s="4">
        <v>607795</v>
      </c>
      <c r="H150" s="4">
        <v>338936</v>
      </c>
    </row>
    <row r="151" spans="1:8" x14ac:dyDescent="0.75">
      <c r="A151">
        <v>150</v>
      </c>
      <c r="B151" t="s">
        <v>151</v>
      </c>
      <c r="C151" t="s">
        <v>250</v>
      </c>
      <c r="D151" s="4">
        <v>1132340</v>
      </c>
      <c r="E151" s="4">
        <v>1132340</v>
      </c>
      <c r="F151" s="4">
        <v>914260</v>
      </c>
      <c r="G151" s="4">
        <v>218080</v>
      </c>
      <c r="H151" s="4">
        <v>0</v>
      </c>
    </row>
    <row r="152" spans="1:8" x14ac:dyDescent="0.75">
      <c r="A152">
        <v>151</v>
      </c>
      <c r="B152" t="s">
        <v>163</v>
      </c>
      <c r="C152" t="s">
        <v>251</v>
      </c>
      <c r="D152" s="4">
        <v>1039387</v>
      </c>
      <c r="E152" s="4">
        <v>0</v>
      </c>
      <c r="F152" s="4">
        <v>0</v>
      </c>
      <c r="G152" s="4">
        <v>0</v>
      </c>
      <c r="H152" s="4">
        <v>1039387</v>
      </c>
    </row>
    <row r="153" spans="1:8" x14ac:dyDescent="0.75">
      <c r="A153">
        <v>152</v>
      </c>
      <c r="B153" t="s">
        <v>151</v>
      </c>
      <c r="C153" t="s">
        <v>252</v>
      </c>
      <c r="D153" s="4">
        <v>1032072</v>
      </c>
      <c r="E153" s="4">
        <v>1032072</v>
      </c>
      <c r="F153" s="4">
        <v>1032072</v>
      </c>
      <c r="G153" s="4">
        <v>0</v>
      </c>
      <c r="H153" s="4">
        <v>0</v>
      </c>
    </row>
    <row r="154" spans="1:8" x14ac:dyDescent="0.75">
      <c r="A154">
        <v>153</v>
      </c>
      <c r="B154" t="s">
        <v>163</v>
      </c>
      <c r="C154" t="s">
        <v>253</v>
      </c>
      <c r="D154" s="4">
        <v>1007141</v>
      </c>
      <c r="E154" s="4">
        <v>0</v>
      </c>
      <c r="F154" s="4">
        <v>0</v>
      </c>
      <c r="G154" s="4">
        <v>0</v>
      </c>
      <c r="H154" s="4">
        <v>1007141</v>
      </c>
    </row>
    <row r="155" spans="1:8" x14ac:dyDescent="0.75">
      <c r="A155">
        <v>154</v>
      </c>
      <c r="B155" t="s">
        <v>151</v>
      </c>
      <c r="C155" t="s">
        <v>99</v>
      </c>
      <c r="D155" s="4">
        <v>1001209</v>
      </c>
      <c r="E155" s="4">
        <v>333791</v>
      </c>
      <c r="F155" s="4">
        <v>322620</v>
      </c>
      <c r="G155" s="4">
        <v>11171</v>
      </c>
      <c r="H155" s="4">
        <v>667418</v>
      </c>
    </row>
    <row r="156" spans="1:8" x14ac:dyDescent="0.75">
      <c r="A156">
        <v>155</v>
      </c>
      <c r="B156" t="s">
        <v>151</v>
      </c>
      <c r="C156" t="s">
        <v>254</v>
      </c>
      <c r="D156" s="4">
        <v>992732</v>
      </c>
      <c r="E156" s="4">
        <v>785182</v>
      </c>
      <c r="F156" s="4">
        <v>2655</v>
      </c>
      <c r="G156" s="4">
        <v>782527</v>
      </c>
      <c r="H156" s="4">
        <v>207550</v>
      </c>
    </row>
    <row r="157" spans="1:8" x14ac:dyDescent="0.75">
      <c r="A157">
        <v>156</v>
      </c>
      <c r="B157" t="s">
        <v>163</v>
      </c>
      <c r="C157" t="s">
        <v>255</v>
      </c>
      <c r="D157" s="4">
        <v>987615</v>
      </c>
      <c r="E157" s="4">
        <v>0</v>
      </c>
      <c r="F157" s="4">
        <v>0</v>
      </c>
      <c r="G157" s="4">
        <v>0</v>
      </c>
      <c r="H157" s="4">
        <v>987615</v>
      </c>
    </row>
    <row r="158" spans="1:8" x14ac:dyDescent="0.75">
      <c r="A158">
        <v>157</v>
      </c>
      <c r="B158" t="s">
        <v>163</v>
      </c>
      <c r="C158" t="s">
        <v>256</v>
      </c>
      <c r="D158" s="4">
        <v>978563</v>
      </c>
      <c r="E158" s="4">
        <v>0</v>
      </c>
      <c r="F158" s="4">
        <v>0</v>
      </c>
      <c r="G158" s="4">
        <v>0</v>
      </c>
      <c r="H158" s="4">
        <v>978563</v>
      </c>
    </row>
    <row r="159" spans="1:8" x14ac:dyDescent="0.75">
      <c r="A159">
        <v>158</v>
      </c>
      <c r="B159" t="s">
        <v>151</v>
      </c>
      <c r="C159" t="s">
        <v>125</v>
      </c>
      <c r="D159" s="4">
        <v>975101</v>
      </c>
      <c r="E159" s="4">
        <v>36773</v>
      </c>
      <c r="F159" s="4">
        <v>8095</v>
      </c>
      <c r="G159" s="4">
        <v>28678</v>
      </c>
      <c r="H159" s="4">
        <v>938328</v>
      </c>
    </row>
    <row r="160" spans="1:8" x14ac:dyDescent="0.75">
      <c r="A160">
        <v>159</v>
      </c>
      <c r="B160" t="s">
        <v>160</v>
      </c>
      <c r="C160" t="s">
        <v>257</v>
      </c>
      <c r="D160" s="4">
        <v>947430</v>
      </c>
      <c r="E160" s="4">
        <v>152549</v>
      </c>
      <c r="F160" s="4">
        <v>140424</v>
      </c>
      <c r="G160" s="4">
        <v>12125</v>
      </c>
      <c r="H160" s="4">
        <v>794881</v>
      </c>
    </row>
    <row r="161" spans="1:8" x14ac:dyDescent="0.75">
      <c r="A161">
        <v>160</v>
      </c>
      <c r="B161" t="s">
        <v>160</v>
      </c>
      <c r="C161" t="s">
        <v>258</v>
      </c>
      <c r="D161" s="4">
        <v>945815</v>
      </c>
      <c r="E161" s="4">
        <v>279733</v>
      </c>
      <c r="F161" s="4">
        <v>279733</v>
      </c>
      <c r="G161" s="4">
        <v>0</v>
      </c>
      <c r="H161" s="4">
        <v>666082</v>
      </c>
    </row>
    <row r="162" spans="1:8" x14ac:dyDescent="0.75">
      <c r="A162">
        <v>161</v>
      </c>
      <c r="B162" t="s">
        <v>163</v>
      </c>
      <c r="C162" t="s">
        <v>259</v>
      </c>
      <c r="D162" s="4">
        <v>923488</v>
      </c>
      <c r="E162" s="4">
        <v>0</v>
      </c>
      <c r="F162" s="4">
        <v>0</v>
      </c>
      <c r="G162" s="4">
        <v>0</v>
      </c>
      <c r="H162" s="4">
        <v>923488</v>
      </c>
    </row>
    <row r="163" spans="1:8" x14ac:dyDescent="0.75">
      <c r="A163">
        <v>162</v>
      </c>
      <c r="B163" t="s">
        <v>151</v>
      </c>
      <c r="C163" t="s">
        <v>260</v>
      </c>
      <c r="D163" s="4">
        <v>900899</v>
      </c>
      <c r="E163" s="4">
        <v>331863</v>
      </c>
      <c r="F163" s="4">
        <v>63811</v>
      </c>
      <c r="G163" s="4">
        <v>268052</v>
      </c>
      <c r="H163" s="4">
        <v>569036</v>
      </c>
    </row>
    <row r="164" spans="1:8" x14ac:dyDescent="0.75">
      <c r="A164">
        <v>163</v>
      </c>
      <c r="B164" t="s">
        <v>160</v>
      </c>
      <c r="C164" t="s">
        <v>261</v>
      </c>
      <c r="D164" s="4">
        <v>896651</v>
      </c>
      <c r="E164" s="4">
        <v>126876</v>
      </c>
      <c r="F164" s="4">
        <v>98767</v>
      </c>
      <c r="G164" s="4">
        <v>28109</v>
      </c>
      <c r="H164" s="4">
        <v>769775</v>
      </c>
    </row>
    <row r="165" spans="1:8" x14ac:dyDescent="0.75">
      <c r="A165">
        <v>164</v>
      </c>
      <c r="B165" t="s">
        <v>163</v>
      </c>
      <c r="C165" t="s">
        <v>262</v>
      </c>
      <c r="D165" s="4">
        <v>872447</v>
      </c>
      <c r="E165" s="4">
        <v>0</v>
      </c>
      <c r="F165" s="4">
        <v>0</v>
      </c>
      <c r="G165" s="4">
        <v>0</v>
      </c>
      <c r="H165" s="4">
        <v>872447</v>
      </c>
    </row>
    <row r="166" spans="1:8" x14ac:dyDescent="0.75">
      <c r="A166">
        <v>165</v>
      </c>
      <c r="B166" t="s">
        <v>151</v>
      </c>
      <c r="C166" t="s">
        <v>48</v>
      </c>
      <c r="D166" s="4">
        <v>855538</v>
      </c>
      <c r="E166" s="4">
        <v>80415</v>
      </c>
      <c r="F166" s="4">
        <v>24084</v>
      </c>
      <c r="G166" s="4">
        <v>56331</v>
      </c>
      <c r="H166" s="4">
        <v>775123</v>
      </c>
    </row>
    <row r="167" spans="1:8" x14ac:dyDescent="0.75">
      <c r="A167">
        <v>166</v>
      </c>
      <c r="B167" t="s">
        <v>160</v>
      </c>
      <c r="C167" t="s">
        <v>263</v>
      </c>
      <c r="D167" s="4">
        <v>839132</v>
      </c>
      <c r="E167" s="4">
        <v>189582</v>
      </c>
      <c r="F167" s="4">
        <v>189582</v>
      </c>
      <c r="G167" s="4">
        <v>0</v>
      </c>
      <c r="H167" s="4">
        <v>649550</v>
      </c>
    </row>
    <row r="168" spans="1:8" x14ac:dyDescent="0.75">
      <c r="A168">
        <v>167</v>
      </c>
      <c r="B168" t="s">
        <v>163</v>
      </c>
      <c r="C168" t="s">
        <v>264</v>
      </c>
      <c r="D168" s="4">
        <v>838557</v>
      </c>
      <c r="E168" s="4">
        <v>0</v>
      </c>
      <c r="F168" s="4">
        <v>0</v>
      </c>
      <c r="G168" s="4">
        <v>0</v>
      </c>
      <c r="H168" s="4">
        <v>838557</v>
      </c>
    </row>
    <row r="169" spans="1:8" x14ac:dyDescent="0.75">
      <c r="A169">
        <v>168</v>
      </c>
      <c r="B169" t="s">
        <v>163</v>
      </c>
      <c r="C169" t="s">
        <v>265</v>
      </c>
      <c r="D169" s="4">
        <v>827417</v>
      </c>
      <c r="E169" s="4">
        <v>0</v>
      </c>
      <c r="F169" s="4">
        <v>0</v>
      </c>
      <c r="G169" s="4">
        <v>0</v>
      </c>
      <c r="H169" s="4">
        <v>827417</v>
      </c>
    </row>
    <row r="170" spans="1:8" x14ac:dyDescent="0.75">
      <c r="A170">
        <v>169</v>
      </c>
      <c r="B170" t="s">
        <v>151</v>
      </c>
      <c r="C170" t="s">
        <v>266</v>
      </c>
      <c r="D170" s="4">
        <v>799210</v>
      </c>
      <c r="E170" s="4">
        <v>0</v>
      </c>
      <c r="F170" s="4">
        <v>0</v>
      </c>
      <c r="G170" s="4">
        <v>0</v>
      </c>
      <c r="H170" s="4">
        <v>799210</v>
      </c>
    </row>
    <row r="171" spans="1:8" x14ac:dyDescent="0.75">
      <c r="A171">
        <v>170</v>
      </c>
      <c r="B171" t="s">
        <v>160</v>
      </c>
      <c r="C171" t="s">
        <v>267</v>
      </c>
      <c r="D171" s="4">
        <v>786583</v>
      </c>
      <c r="E171" s="4">
        <v>140728</v>
      </c>
      <c r="F171" s="4">
        <v>140728</v>
      </c>
      <c r="G171" s="4">
        <v>0</v>
      </c>
      <c r="H171" s="4">
        <v>645855</v>
      </c>
    </row>
    <row r="172" spans="1:8" x14ac:dyDescent="0.75">
      <c r="A172">
        <v>171</v>
      </c>
      <c r="B172" t="s">
        <v>160</v>
      </c>
      <c r="C172" t="s">
        <v>144</v>
      </c>
      <c r="D172" s="4">
        <v>781564</v>
      </c>
      <c r="E172" s="4">
        <v>262933</v>
      </c>
      <c r="F172" s="4">
        <v>262925</v>
      </c>
      <c r="G172" s="4">
        <v>8</v>
      </c>
      <c r="H172" s="4">
        <v>518631</v>
      </c>
    </row>
    <row r="173" spans="1:8" x14ac:dyDescent="0.75">
      <c r="A173">
        <v>172</v>
      </c>
      <c r="B173" t="s">
        <v>151</v>
      </c>
      <c r="C173" t="s">
        <v>89</v>
      </c>
      <c r="D173" s="4">
        <v>734754</v>
      </c>
      <c r="E173" s="4">
        <v>363870</v>
      </c>
      <c r="F173" s="4">
        <v>47291</v>
      </c>
      <c r="G173" s="4">
        <v>316579</v>
      </c>
      <c r="H173" s="4">
        <v>370884</v>
      </c>
    </row>
    <row r="174" spans="1:8" x14ac:dyDescent="0.75">
      <c r="A174">
        <v>173</v>
      </c>
      <c r="B174" t="s">
        <v>160</v>
      </c>
      <c r="C174" t="s">
        <v>268</v>
      </c>
      <c r="D174" s="4">
        <v>720219</v>
      </c>
      <c r="E174" s="4">
        <v>111132</v>
      </c>
      <c r="F174" s="4">
        <v>111132</v>
      </c>
      <c r="G174" s="4">
        <v>0</v>
      </c>
      <c r="H174" s="4">
        <v>609087</v>
      </c>
    </row>
    <row r="175" spans="1:8" x14ac:dyDescent="0.75">
      <c r="A175">
        <v>174</v>
      </c>
      <c r="B175" t="s">
        <v>163</v>
      </c>
      <c r="C175" t="s">
        <v>269</v>
      </c>
      <c r="D175" s="4">
        <v>700271</v>
      </c>
      <c r="E175" s="4">
        <v>0</v>
      </c>
      <c r="F175" s="4">
        <v>0</v>
      </c>
      <c r="G175" s="4">
        <v>0</v>
      </c>
      <c r="H175" s="4">
        <v>700271</v>
      </c>
    </row>
    <row r="176" spans="1:8" x14ac:dyDescent="0.75">
      <c r="A176">
        <v>175</v>
      </c>
      <c r="B176" t="s">
        <v>163</v>
      </c>
      <c r="C176" t="s">
        <v>270</v>
      </c>
      <c r="D176" s="4">
        <v>653604</v>
      </c>
      <c r="E176" s="4">
        <v>0</v>
      </c>
      <c r="F176" s="4">
        <v>0</v>
      </c>
      <c r="G176" s="4">
        <v>0</v>
      </c>
      <c r="H176" s="4">
        <v>653604</v>
      </c>
    </row>
    <row r="177" spans="1:8" x14ac:dyDescent="0.75">
      <c r="A177">
        <v>176</v>
      </c>
      <c r="B177" t="s">
        <v>163</v>
      </c>
      <c r="C177" t="s">
        <v>271</v>
      </c>
      <c r="D177" s="4">
        <v>651270</v>
      </c>
      <c r="E177" s="4">
        <v>0</v>
      </c>
      <c r="F177" s="4">
        <v>0</v>
      </c>
      <c r="G177" s="4">
        <v>0</v>
      </c>
      <c r="H177" s="4">
        <v>651270</v>
      </c>
    </row>
    <row r="178" spans="1:8" x14ac:dyDescent="0.75">
      <c r="A178">
        <v>177</v>
      </c>
      <c r="B178" t="s">
        <v>163</v>
      </c>
      <c r="C178" t="s">
        <v>272</v>
      </c>
      <c r="D178" s="4">
        <v>625423</v>
      </c>
      <c r="E178" s="4">
        <v>0</v>
      </c>
      <c r="F178" s="4">
        <v>0</v>
      </c>
      <c r="G178" s="4">
        <v>0</v>
      </c>
      <c r="H178" s="4">
        <v>625423</v>
      </c>
    </row>
    <row r="179" spans="1:8" x14ac:dyDescent="0.75">
      <c r="A179">
        <v>178</v>
      </c>
      <c r="B179" t="s">
        <v>151</v>
      </c>
      <c r="C179" t="s">
        <v>50</v>
      </c>
      <c r="D179" s="4">
        <v>618948</v>
      </c>
      <c r="E179" s="4">
        <v>40243</v>
      </c>
      <c r="F179" s="4">
        <v>40243</v>
      </c>
      <c r="G179" s="4">
        <v>0</v>
      </c>
      <c r="H179" s="4">
        <v>578705</v>
      </c>
    </row>
    <row r="180" spans="1:8" x14ac:dyDescent="0.75">
      <c r="A180">
        <v>179</v>
      </c>
      <c r="B180" t="s">
        <v>151</v>
      </c>
      <c r="C180" t="s">
        <v>273</v>
      </c>
      <c r="D180" s="4">
        <v>618188</v>
      </c>
      <c r="E180" s="4">
        <v>2</v>
      </c>
      <c r="F180" s="4">
        <v>0</v>
      </c>
      <c r="G180" s="4">
        <v>2</v>
      </c>
      <c r="H180" s="4">
        <v>618186</v>
      </c>
    </row>
    <row r="181" spans="1:8" x14ac:dyDescent="0.75">
      <c r="A181">
        <v>180</v>
      </c>
      <c r="B181" t="s">
        <v>160</v>
      </c>
      <c r="C181" t="s">
        <v>274</v>
      </c>
      <c r="D181" s="4">
        <v>590947</v>
      </c>
      <c r="E181" s="4">
        <v>191051</v>
      </c>
      <c r="F181" s="4">
        <v>169005</v>
      </c>
      <c r="G181" s="4">
        <v>22046</v>
      </c>
      <c r="H181" s="4">
        <v>399896</v>
      </c>
    </row>
    <row r="182" spans="1:8" x14ac:dyDescent="0.75">
      <c r="A182">
        <v>181</v>
      </c>
      <c r="B182" t="s">
        <v>163</v>
      </c>
      <c r="C182" t="s">
        <v>275</v>
      </c>
      <c r="D182" s="4">
        <v>569866</v>
      </c>
      <c r="E182" s="4">
        <v>0</v>
      </c>
      <c r="F182" s="4">
        <v>0</v>
      </c>
      <c r="G182" s="4">
        <v>0</v>
      </c>
      <c r="H182" s="4">
        <v>569866</v>
      </c>
    </row>
    <row r="183" spans="1:8" x14ac:dyDescent="0.75">
      <c r="A183">
        <v>182</v>
      </c>
      <c r="B183" t="s">
        <v>163</v>
      </c>
      <c r="C183" t="s">
        <v>276</v>
      </c>
      <c r="D183" s="4">
        <v>563719</v>
      </c>
      <c r="E183" s="4">
        <v>0</v>
      </c>
      <c r="F183" s="4">
        <v>0</v>
      </c>
      <c r="G183" s="4">
        <v>0</v>
      </c>
      <c r="H183" s="4">
        <v>563719</v>
      </c>
    </row>
    <row r="184" spans="1:8" x14ac:dyDescent="0.75">
      <c r="A184">
        <v>183</v>
      </c>
      <c r="B184" t="s">
        <v>163</v>
      </c>
      <c r="C184" t="s">
        <v>277</v>
      </c>
      <c r="D184" s="4">
        <v>551144</v>
      </c>
      <c r="E184" s="4">
        <v>0</v>
      </c>
      <c r="F184" s="4">
        <v>0</v>
      </c>
      <c r="G184" s="4">
        <v>0</v>
      </c>
      <c r="H184" s="4">
        <v>551144</v>
      </c>
    </row>
    <row r="185" spans="1:8" x14ac:dyDescent="0.75">
      <c r="A185">
        <v>184</v>
      </c>
      <c r="B185" t="s">
        <v>151</v>
      </c>
      <c r="C185" t="s">
        <v>63</v>
      </c>
      <c r="D185" s="4">
        <v>519817</v>
      </c>
      <c r="E185" s="4">
        <v>277</v>
      </c>
      <c r="F185" s="4">
        <v>277</v>
      </c>
      <c r="G185" s="4">
        <v>0</v>
      </c>
      <c r="H185" s="4">
        <v>519540</v>
      </c>
    </row>
    <row r="186" spans="1:8" x14ac:dyDescent="0.75">
      <c r="A186">
        <v>185</v>
      </c>
      <c r="B186" t="s">
        <v>151</v>
      </c>
      <c r="C186" t="s">
        <v>278</v>
      </c>
      <c r="D186" s="4">
        <v>510805</v>
      </c>
      <c r="E186" s="4">
        <v>0</v>
      </c>
      <c r="F186" s="4">
        <v>0</v>
      </c>
      <c r="G186" s="4">
        <v>0</v>
      </c>
      <c r="H186" s="4">
        <v>510805</v>
      </c>
    </row>
    <row r="187" spans="1:8" x14ac:dyDescent="0.75">
      <c r="A187">
        <v>186</v>
      </c>
      <c r="B187" t="s">
        <v>163</v>
      </c>
      <c r="C187" t="s">
        <v>279</v>
      </c>
      <c r="D187" s="4">
        <v>495867</v>
      </c>
      <c r="E187" s="4">
        <v>0</v>
      </c>
      <c r="F187" s="4">
        <v>0</v>
      </c>
      <c r="G187" s="4">
        <v>0</v>
      </c>
      <c r="H187" s="4">
        <v>495867</v>
      </c>
    </row>
    <row r="188" spans="1:8" x14ac:dyDescent="0.75">
      <c r="A188">
        <v>187</v>
      </c>
      <c r="B188" t="s">
        <v>163</v>
      </c>
      <c r="C188" t="s">
        <v>280</v>
      </c>
      <c r="D188" s="4">
        <v>478988</v>
      </c>
      <c r="E188" s="4">
        <v>0</v>
      </c>
      <c r="F188" s="4">
        <v>0</v>
      </c>
      <c r="G188" s="4">
        <v>0</v>
      </c>
      <c r="H188" s="4">
        <v>478988</v>
      </c>
    </row>
    <row r="189" spans="1:8" x14ac:dyDescent="0.75">
      <c r="A189">
        <v>188</v>
      </c>
      <c r="B189" t="s">
        <v>151</v>
      </c>
      <c r="C189" t="s">
        <v>56</v>
      </c>
      <c r="D189" s="4">
        <v>469701</v>
      </c>
      <c r="E189" s="4">
        <v>0</v>
      </c>
      <c r="F189" s="4">
        <v>0</v>
      </c>
      <c r="G189" s="4">
        <v>0</v>
      </c>
      <c r="H189" s="4">
        <v>469701</v>
      </c>
    </row>
    <row r="190" spans="1:8" x14ac:dyDescent="0.75">
      <c r="A190">
        <v>189</v>
      </c>
      <c r="B190" t="s">
        <v>160</v>
      </c>
      <c r="C190" t="s">
        <v>281</v>
      </c>
      <c r="D190" s="4">
        <v>459172</v>
      </c>
      <c r="E190" s="4">
        <v>89757</v>
      </c>
      <c r="F190" s="4">
        <v>80205</v>
      </c>
      <c r="G190" s="4">
        <v>9552</v>
      </c>
      <c r="H190" s="4">
        <v>369415</v>
      </c>
    </row>
    <row r="191" spans="1:8" x14ac:dyDescent="0.75">
      <c r="A191">
        <v>190</v>
      </c>
      <c r="B191" t="s">
        <v>151</v>
      </c>
      <c r="C191" t="s">
        <v>282</v>
      </c>
      <c r="D191" s="4">
        <v>453418</v>
      </c>
      <c r="E191" s="4">
        <v>311473</v>
      </c>
      <c r="F191" s="4">
        <v>31</v>
      </c>
      <c r="G191" s="4">
        <v>311442</v>
      </c>
      <c r="H191" s="4">
        <v>141945</v>
      </c>
    </row>
    <row r="192" spans="1:8" x14ac:dyDescent="0.75">
      <c r="A192">
        <v>191</v>
      </c>
      <c r="B192" t="s">
        <v>151</v>
      </c>
      <c r="C192" t="s">
        <v>283</v>
      </c>
      <c r="D192" s="4">
        <v>448420</v>
      </c>
      <c r="E192" s="4">
        <v>8176</v>
      </c>
      <c r="F192" s="4">
        <v>8176</v>
      </c>
      <c r="G192" s="4">
        <v>0</v>
      </c>
      <c r="H192" s="4">
        <v>440244</v>
      </c>
    </row>
    <row r="193" spans="1:8" x14ac:dyDescent="0.75">
      <c r="A193">
        <v>192</v>
      </c>
      <c r="B193" t="s">
        <v>163</v>
      </c>
      <c r="C193" t="s">
        <v>284</v>
      </c>
      <c r="D193" s="4">
        <v>439897</v>
      </c>
      <c r="E193" s="4">
        <v>0</v>
      </c>
      <c r="F193" s="4">
        <v>0</v>
      </c>
      <c r="G193" s="4">
        <v>0</v>
      </c>
      <c r="H193" s="4">
        <v>439897</v>
      </c>
    </row>
    <row r="194" spans="1:8" x14ac:dyDescent="0.75">
      <c r="A194">
        <v>193</v>
      </c>
      <c r="B194" t="s">
        <v>151</v>
      </c>
      <c r="C194" t="s">
        <v>285</v>
      </c>
      <c r="D194" s="4">
        <v>431157</v>
      </c>
      <c r="E194" s="4">
        <v>0</v>
      </c>
      <c r="F194" s="4">
        <v>0</v>
      </c>
      <c r="G194" s="4">
        <v>0</v>
      </c>
      <c r="H194" s="4">
        <v>431157</v>
      </c>
    </row>
    <row r="195" spans="1:8" x14ac:dyDescent="0.75">
      <c r="A195">
        <v>194</v>
      </c>
      <c r="B195" t="s">
        <v>163</v>
      </c>
      <c r="C195" t="s">
        <v>286</v>
      </c>
      <c r="D195" s="4">
        <v>402242</v>
      </c>
      <c r="E195" s="4">
        <v>0</v>
      </c>
      <c r="F195" s="4">
        <v>0</v>
      </c>
      <c r="G195" s="4">
        <v>0</v>
      </c>
      <c r="H195" s="4">
        <v>402242</v>
      </c>
    </row>
    <row r="196" spans="1:8" x14ac:dyDescent="0.75">
      <c r="A196">
        <v>195</v>
      </c>
      <c r="B196" t="s">
        <v>151</v>
      </c>
      <c r="C196" t="s">
        <v>140</v>
      </c>
      <c r="D196" s="4">
        <v>373794</v>
      </c>
      <c r="E196" s="4">
        <v>361752</v>
      </c>
      <c r="F196" s="4">
        <v>357190</v>
      </c>
      <c r="G196" s="4">
        <v>4562</v>
      </c>
      <c r="H196" s="4">
        <v>12042</v>
      </c>
    </row>
    <row r="197" spans="1:8" x14ac:dyDescent="0.75">
      <c r="A197">
        <v>196</v>
      </c>
      <c r="B197" t="s">
        <v>160</v>
      </c>
      <c r="C197" t="s">
        <v>287</v>
      </c>
      <c r="D197" s="4">
        <v>364179</v>
      </c>
      <c r="E197" s="4">
        <v>45746</v>
      </c>
      <c r="F197" s="4">
        <v>45746</v>
      </c>
      <c r="G197" s="4">
        <v>0</v>
      </c>
      <c r="H197" s="4">
        <v>318433</v>
      </c>
    </row>
    <row r="198" spans="1:8" x14ac:dyDescent="0.75">
      <c r="A198">
        <v>197</v>
      </c>
      <c r="B198" t="s">
        <v>160</v>
      </c>
      <c r="C198" t="s">
        <v>288</v>
      </c>
      <c r="D198" s="4">
        <v>360075</v>
      </c>
      <c r="E198" s="4">
        <v>0</v>
      </c>
      <c r="F198" s="4">
        <v>0</v>
      </c>
      <c r="G198" s="4">
        <v>0</v>
      </c>
      <c r="H198" s="4">
        <v>360075</v>
      </c>
    </row>
    <row r="199" spans="1:8" x14ac:dyDescent="0.75">
      <c r="A199">
        <v>198</v>
      </c>
      <c r="B199" t="s">
        <v>163</v>
      </c>
      <c r="C199" t="s">
        <v>289</v>
      </c>
      <c r="D199" s="4">
        <v>352481</v>
      </c>
      <c r="E199" s="4">
        <v>0</v>
      </c>
      <c r="F199" s="4">
        <v>0</v>
      </c>
      <c r="G199" s="4">
        <v>0</v>
      </c>
      <c r="H199" s="4">
        <v>352481</v>
      </c>
    </row>
    <row r="200" spans="1:8" x14ac:dyDescent="0.75">
      <c r="A200">
        <v>199</v>
      </c>
      <c r="B200" t="s">
        <v>151</v>
      </c>
      <c r="C200" t="s">
        <v>145</v>
      </c>
      <c r="D200" s="4">
        <v>330860</v>
      </c>
      <c r="E200" s="4">
        <v>291502</v>
      </c>
      <c r="F200" s="4">
        <v>291502</v>
      </c>
      <c r="G200" s="4">
        <v>0</v>
      </c>
      <c r="H200" s="4">
        <v>39358</v>
      </c>
    </row>
    <row r="201" spans="1:8" x14ac:dyDescent="0.75">
      <c r="A201">
        <v>200</v>
      </c>
      <c r="B201" t="s">
        <v>160</v>
      </c>
      <c r="C201" t="s">
        <v>290</v>
      </c>
      <c r="D201" s="4">
        <v>321312</v>
      </c>
      <c r="E201" s="4">
        <v>0</v>
      </c>
      <c r="F201" s="4">
        <v>0</v>
      </c>
      <c r="G201" s="4">
        <v>0</v>
      </c>
      <c r="H201" s="4">
        <v>321312</v>
      </c>
    </row>
    <row r="202" spans="1:8" x14ac:dyDescent="0.75">
      <c r="A202">
        <v>201</v>
      </c>
      <c r="B202" t="s">
        <v>151</v>
      </c>
      <c r="C202" t="s">
        <v>291</v>
      </c>
      <c r="D202" s="4">
        <v>304028</v>
      </c>
      <c r="E202" s="4">
        <v>0</v>
      </c>
      <c r="F202" s="4">
        <v>0</v>
      </c>
      <c r="G202" s="4">
        <v>0</v>
      </c>
      <c r="H202" s="4">
        <v>304028</v>
      </c>
    </row>
    <row r="203" spans="1:8" x14ac:dyDescent="0.75">
      <c r="A203">
        <v>202</v>
      </c>
      <c r="B203" t="s">
        <v>160</v>
      </c>
      <c r="C203" t="s">
        <v>124</v>
      </c>
      <c r="D203" s="4">
        <v>290573</v>
      </c>
      <c r="E203" s="4">
        <v>97860</v>
      </c>
      <c r="F203" s="4">
        <v>75814</v>
      </c>
      <c r="G203" s="4">
        <v>22046</v>
      </c>
      <c r="H203" s="4">
        <v>192713</v>
      </c>
    </row>
    <row r="204" spans="1:8" x14ac:dyDescent="0.75">
      <c r="A204">
        <v>203</v>
      </c>
      <c r="B204" t="s">
        <v>151</v>
      </c>
      <c r="C204" t="s">
        <v>292</v>
      </c>
      <c r="D204" s="4">
        <v>287214</v>
      </c>
      <c r="E204" s="4">
        <v>22933</v>
      </c>
      <c r="F204" s="4">
        <v>0</v>
      </c>
      <c r="G204" s="4">
        <v>22933</v>
      </c>
      <c r="H204" s="4">
        <v>264281</v>
      </c>
    </row>
    <row r="205" spans="1:8" x14ac:dyDescent="0.75">
      <c r="A205">
        <v>204</v>
      </c>
      <c r="B205" t="s">
        <v>151</v>
      </c>
      <c r="C205" t="s">
        <v>293</v>
      </c>
      <c r="D205" s="4">
        <v>283238</v>
      </c>
      <c r="E205" s="4">
        <v>191606</v>
      </c>
      <c r="F205" s="4">
        <v>126219</v>
      </c>
      <c r="G205" s="4">
        <v>65387</v>
      </c>
      <c r="H205" s="4">
        <v>91632</v>
      </c>
    </row>
    <row r="206" spans="1:8" x14ac:dyDescent="0.75">
      <c r="A206">
        <v>205</v>
      </c>
      <c r="B206" t="s">
        <v>160</v>
      </c>
      <c r="C206" t="s">
        <v>294</v>
      </c>
      <c r="D206" s="4">
        <v>281840</v>
      </c>
      <c r="E206" s="4">
        <v>281840</v>
      </c>
      <c r="F206" s="4">
        <v>281840</v>
      </c>
      <c r="G206" s="4">
        <v>0</v>
      </c>
      <c r="H206" s="4">
        <v>0</v>
      </c>
    </row>
    <row r="207" spans="1:8" x14ac:dyDescent="0.75">
      <c r="A207">
        <v>206</v>
      </c>
      <c r="B207" t="s">
        <v>151</v>
      </c>
      <c r="C207" t="s">
        <v>295</v>
      </c>
      <c r="D207" s="4">
        <v>279835</v>
      </c>
      <c r="E207" s="4">
        <v>0</v>
      </c>
      <c r="F207" s="4">
        <v>0</v>
      </c>
      <c r="G207" s="4">
        <v>0</v>
      </c>
      <c r="H207" s="4">
        <v>279835</v>
      </c>
    </row>
    <row r="208" spans="1:8" x14ac:dyDescent="0.75">
      <c r="A208">
        <v>207</v>
      </c>
      <c r="B208" t="s">
        <v>163</v>
      </c>
      <c r="C208" t="s">
        <v>296</v>
      </c>
      <c r="D208" s="4">
        <v>277649</v>
      </c>
      <c r="E208" s="4">
        <v>0</v>
      </c>
      <c r="F208" s="4">
        <v>0</v>
      </c>
      <c r="G208" s="4">
        <v>0</v>
      </c>
      <c r="H208" s="4">
        <v>277649</v>
      </c>
    </row>
    <row r="209" spans="1:8" x14ac:dyDescent="0.75">
      <c r="A209">
        <v>208</v>
      </c>
      <c r="B209" t="s">
        <v>151</v>
      </c>
      <c r="C209" t="s">
        <v>297</v>
      </c>
      <c r="D209" s="4">
        <v>255030</v>
      </c>
      <c r="E209" s="4">
        <v>0</v>
      </c>
      <c r="F209" s="4">
        <v>0</v>
      </c>
      <c r="G209" s="4">
        <v>0</v>
      </c>
      <c r="H209" s="4">
        <v>255030</v>
      </c>
    </row>
    <row r="210" spans="1:8" x14ac:dyDescent="0.75">
      <c r="A210">
        <v>209</v>
      </c>
      <c r="B210" t="s">
        <v>160</v>
      </c>
      <c r="C210" t="s">
        <v>298</v>
      </c>
      <c r="D210" s="4">
        <v>229998</v>
      </c>
      <c r="E210" s="4">
        <v>7496</v>
      </c>
      <c r="F210" s="4">
        <v>7496</v>
      </c>
      <c r="G210" s="4">
        <v>0</v>
      </c>
      <c r="H210" s="4">
        <v>222502</v>
      </c>
    </row>
    <row r="211" spans="1:8" x14ac:dyDescent="0.75">
      <c r="A211">
        <v>210</v>
      </c>
      <c r="B211" t="s">
        <v>160</v>
      </c>
      <c r="C211" t="s">
        <v>299</v>
      </c>
      <c r="D211" s="4">
        <v>222622</v>
      </c>
      <c r="E211" s="4">
        <v>0</v>
      </c>
      <c r="F211" s="4">
        <v>0</v>
      </c>
      <c r="G211" s="4">
        <v>0</v>
      </c>
      <c r="H211" s="4">
        <v>222622</v>
      </c>
    </row>
    <row r="212" spans="1:8" x14ac:dyDescent="0.75">
      <c r="A212">
        <v>211</v>
      </c>
      <c r="B212" t="s">
        <v>163</v>
      </c>
      <c r="C212" t="s">
        <v>300</v>
      </c>
      <c r="D212" s="4">
        <v>210692</v>
      </c>
      <c r="E212" s="4">
        <v>0</v>
      </c>
      <c r="F212" s="4">
        <v>0</v>
      </c>
      <c r="G212" s="4">
        <v>0</v>
      </c>
      <c r="H212" s="4">
        <v>210692</v>
      </c>
    </row>
    <row r="213" spans="1:8" x14ac:dyDescent="0.75">
      <c r="A213">
        <v>212</v>
      </c>
      <c r="B213" t="s">
        <v>160</v>
      </c>
      <c r="C213" t="s">
        <v>301</v>
      </c>
      <c r="D213" s="4">
        <v>203967</v>
      </c>
      <c r="E213" s="4">
        <v>0</v>
      </c>
      <c r="F213" s="4">
        <v>0</v>
      </c>
      <c r="G213" s="4">
        <v>0</v>
      </c>
      <c r="H213" s="4">
        <v>203967</v>
      </c>
    </row>
    <row r="214" spans="1:8" x14ac:dyDescent="0.75">
      <c r="A214">
        <v>213</v>
      </c>
      <c r="B214" t="s">
        <v>151</v>
      </c>
      <c r="C214" t="s">
        <v>69</v>
      </c>
      <c r="D214" s="4">
        <v>198701</v>
      </c>
      <c r="E214" s="4">
        <v>3972</v>
      </c>
      <c r="F214" s="4">
        <v>0</v>
      </c>
      <c r="G214" s="4">
        <v>3972</v>
      </c>
      <c r="H214" s="4">
        <v>194729</v>
      </c>
    </row>
    <row r="215" spans="1:8" x14ac:dyDescent="0.75">
      <c r="A215">
        <v>214</v>
      </c>
      <c r="B215" t="s">
        <v>160</v>
      </c>
      <c r="C215" t="s">
        <v>302</v>
      </c>
      <c r="D215" s="4">
        <v>194145</v>
      </c>
      <c r="E215" s="4">
        <v>0</v>
      </c>
      <c r="F215" s="4">
        <v>0</v>
      </c>
      <c r="G215" s="4">
        <v>0</v>
      </c>
      <c r="H215" s="4">
        <v>194145</v>
      </c>
    </row>
    <row r="216" spans="1:8" x14ac:dyDescent="0.75">
      <c r="A216">
        <v>215</v>
      </c>
      <c r="B216" t="s">
        <v>163</v>
      </c>
      <c r="C216" t="s">
        <v>303</v>
      </c>
      <c r="D216" s="4">
        <v>192525</v>
      </c>
      <c r="E216" s="4">
        <v>0</v>
      </c>
      <c r="F216" s="4">
        <v>0</v>
      </c>
      <c r="G216" s="4">
        <v>0</v>
      </c>
      <c r="H216" s="4">
        <v>192525</v>
      </c>
    </row>
    <row r="217" spans="1:8" x14ac:dyDescent="0.75">
      <c r="A217">
        <v>216</v>
      </c>
      <c r="B217" t="s">
        <v>151</v>
      </c>
      <c r="C217" t="s">
        <v>71</v>
      </c>
      <c r="D217" s="4">
        <v>178939</v>
      </c>
      <c r="E217" s="4">
        <v>69952</v>
      </c>
      <c r="F217" s="4">
        <v>31090</v>
      </c>
      <c r="G217" s="4">
        <v>38862</v>
      </c>
      <c r="H217" s="4">
        <v>108987</v>
      </c>
    </row>
    <row r="218" spans="1:8" x14ac:dyDescent="0.75">
      <c r="A218">
        <v>217</v>
      </c>
      <c r="B218" t="s">
        <v>160</v>
      </c>
      <c r="C218" t="s">
        <v>304</v>
      </c>
      <c r="D218" s="4">
        <v>178862</v>
      </c>
      <c r="E218" s="4">
        <v>178862</v>
      </c>
      <c r="F218" s="4">
        <v>178862</v>
      </c>
      <c r="G218" s="4">
        <v>0</v>
      </c>
      <c r="H218" s="4">
        <v>0</v>
      </c>
    </row>
    <row r="219" spans="1:8" x14ac:dyDescent="0.75">
      <c r="A219">
        <v>218</v>
      </c>
      <c r="B219" t="s">
        <v>151</v>
      </c>
      <c r="C219" t="s">
        <v>79</v>
      </c>
      <c r="D219" s="4">
        <v>173758</v>
      </c>
      <c r="E219" s="4">
        <v>0</v>
      </c>
      <c r="F219" s="4">
        <v>0</v>
      </c>
      <c r="G219" s="4">
        <v>0</v>
      </c>
      <c r="H219" s="4">
        <v>173758</v>
      </c>
    </row>
    <row r="220" spans="1:8" x14ac:dyDescent="0.75">
      <c r="A220">
        <v>219</v>
      </c>
      <c r="B220" t="s">
        <v>151</v>
      </c>
      <c r="C220" t="s">
        <v>74</v>
      </c>
      <c r="D220" s="4">
        <v>138991</v>
      </c>
      <c r="E220" s="4">
        <v>90173</v>
      </c>
      <c r="F220" s="4">
        <v>90173</v>
      </c>
      <c r="G220" s="4">
        <v>0</v>
      </c>
      <c r="H220" s="4">
        <v>48818</v>
      </c>
    </row>
    <row r="221" spans="1:8" x14ac:dyDescent="0.75">
      <c r="A221">
        <v>220</v>
      </c>
      <c r="B221" t="s">
        <v>151</v>
      </c>
      <c r="C221" t="s">
        <v>72</v>
      </c>
      <c r="D221" s="4">
        <v>136612</v>
      </c>
      <c r="E221" s="4">
        <v>131769</v>
      </c>
      <c r="F221" s="4">
        <v>35436</v>
      </c>
      <c r="G221" s="4">
        <v>96333</v>
      </c>
      <c r="H221" s="4">
        <v>4843</v>
      </c>
    </row>
    <row r="222" spans="1:8" x14ac:dyDescent="0.75">
      <c r="A222">
        <v>221</v>
      </c>
      <c r="B222" t="s">
        <v>151</v>
      </c>
      <c r="C222" t="s">
        <v>305</v>
      </c>
      <c r="D222" s="4">
        <v>134064</v>
      </c>
      <c r="E222" s="4">
        <v>80486</v>
      </c>
      <c r="F222" s="4">
        <v>11062</v>
      </c>
      <c r="G222" s="4">
        <v>69424</v>
      </c>
      <c r="H222" s="4">
        <v>53578</v>
      </c>
    </row>
    <row r="223" spans="1:8" x14ac:dyDescent="0.75">
      <c r="A223">
        <v>222</v>
      </c>
      <c r="B223" t="s">
        <v>151</v>
      </c>
      <c r="C223" t="s">
        <v>306</v>
      </c>
      <c r="D223" s="4">
        <v>108169</v>
      </c>
      <c r="E223" s="4">
        <v>0</v>
      </c>
      <c r="F223" s="4">
        <v>0</v>
      </c>
      <c r="G223" s="4">
        <v>0</v>
      </c>
      <c r="H223" s="4">
        <v>108169</v>
      </c>
    </row>
    <row r="224" spans="1:8" x14ac:dyDescent="0.75">
      <c r="A224">
        <v>223</v>
      </c>
      <c r="B224" t="s">
        <v>160</v>
      </c>
      <c r="C224" t="s">
        <v>307</v>
      </c>
      <c r="D224" s="4">
        <v>103415</v>
      </c>
      <c r="E224" s="4">
        <v>31695</v>
      </c>
      <c r="F224" s="4">
        <v>31695</v>
      </c>
      <c r="G224" s="4">
        <v>0</v>
      </c>
      <c r="H224" s="4">
        <v>71720</v>
      </c>
    </row>
    <row r="225" spans="1:8" x14ac:dyDescent="0.75">
      <c r="A225">
        <v>224</v>
      </c>
      <c r="B225" t="s">
        <v>160</v>
      </c>
      <c r="C225" t="s">
        <v>143</v>
      </c>
      <c r="D225" s="4">
        <v>103195</v>
      </c>
      <c r="E225" s="4">
        <v>103195</v>
      </c>
      <c r="F225" s="4">
        <v>103195</v>
      </c>
      <c r="G225" s="4">
        <v>0</v>
      </c>
      <c r="H225" s="4">
        <v>0</v>
      </c>
    </row>
    <row r="226" spans="1:8" x14ac:dyDescent="0.75">
      <c r="A226">
        <v>225</v>
      </c>
      <c r="B226" t="s">
        <v>163</v>
      </c>
      <c r="C226" t="s">
        <v>308</v>
      </c>
      <c r="D226" s="4">
        <v>102780</v>
      </c>
      <c r="E226" s="4">
        <v>0</v>
      </c>
      <c r="F226" s="4">
        <v>0</v>
      </c>
      <c r="G226" s="4">
        <v>0</v>
      </c>
      <c r="H226" s="4">
        <v>102780</v>
      </c>
    </row>
    <row r="227" spans="1:8" x14ac:dyDescent="0.75">
      <c r="A227">
        <v>226</v>
      </c>
      <c r="B227" t="s">
        <v>163</v>
      </c>
      <c r="C227" t="s">
        <v>309</v>
      </c>
      <c r="D227" s="4">
        <v>95319</v>
      </c>
      <c r="E227" s="4">
        <v>0</v>
      </c>
      <c r="F227" s="4">
        <v>0</v>
      </c>
      <c r="G227" s="4">
        <v>0</v>
      </c>
      <c r="H227" s="4">
        <v>95319</v>
      </c>
    </row>
    <row r="228" spans="1:8" x14ac:dyDescent="0.75">
      <c r="A228">
        <v>227</v>
      </c>
      <c r="B228" t="s">
        <v>163</v>
      </c>
      <c r="C228" t="s">
        <v>310</v>
      </c>
      <c r="D228" s="4">
        <v>92675</v>
      </c>
      <c r="E228" s="4">
        <v>0</v>
      </c>
      <c r="F228" s="4">
        <v>0</v>
      </c>
      <c r="G228" s="4">
        <v>0</v>
      </c>
      <c r="H228" s="4">
        <v>92675</v>
      </c>
    </row>
    <row r="229" spans="1:8" x14ac:dyDescent="0.75">
      <c r="A229">
        <v>228</v>
      </c>
      <c r="B229" t="s">
        <v>151</v>
      </c>
      <c r="C229" t="s">
        <v>88</v>
      </c>
      <c r="D229" s="4">
        <v>88745</v>
      </c>
      <c r="E229" s="4">
        <v>0</v>
      </c>
      <c r="F229" s="4">
        <v>0</v>
      </c>
      <c r="G229" s="4">
        <v>0</v>
      </c>
      <c r="H229" s="4">
        <v>88745</v>
      </c>
    </row>
    <row r="230" spans="1:8" x14ac:dyDescent="0.75">
      <c r="A230">
        <v>229</v>
      </c>
      <c r="B230" t="s">
        <v>160</v>
      </c>
      <c r="C230" t="s">
        <v>133</v>
      </c>
      <c r="D230" s="4">
        <v>88157</v>
      </c>
      <c r="E230" s="4">
        <v>88157</v>
      </c>
      <c r="F230" s="4">
        <v>88157</v>
      </c>
      <c r="G230" s="4">
        <v>0</v>
      </c>
      <c r="H230" s="4">
        <v>0</v>
      </c>
    </row>
    <row r="231" spans="1:8" x14ac:dyDescent="0.75">
      <c r="A231">
        <v>230</v>
      </c>
      <c r="B231" t="s">
        <v>160</v>
      </c>
      <c r="C231" t="s">
        <v>311</v>
      </c>
      <c r="D231" s="4">
        <v>87407</v>
      </c>
      <c r="E231" s="4">
        <v>0</v>
      </c>
      <c r="F231" s="4">
        <v>0</v>
      </c>
      <c r="G231" s="4">
        <v>0</v>
      </c>
      <c r="H231" s="4">
        <v>87407</v>
      </c>
    </row>
    <row r="232" spans="1:8" x14ac:dyDescent="0.75">
      <c r="A232">
        <v>231</v>
      </c>
      <c r="B232" t="s">
        <v>151</v>
      </c>
      <c r="C232" t="s">
        <v>70</v>
      </c>
      <c r="D232" s="4">
        <v>83662</v>
      </c>
      <c r="E232" s="4">
        <v>8564</v>
      </c>
      <c r="F232" s="4">
        <v>8564</v>
      </c>
      <c r="G232" s="4">
        <v>0</v>
      </c>
      <c r="H232" s="4">
        <v>75098</v>
      </c>
    </row>
    <row r="233" spans="1:8" x14ac:dyDescent="0.75">
      <c r="A233">
        <v>232</v>
      </c>
      <c r="B233" t="s">
        <v>151</v>
      </c>
      <c r="C233" t="s">
        <v>312</v>
      </c>
      <c r="D233" s="4">
        <v>81895</v>
      </c>
      <c r="E233" s="4">
        <v>36093</v>
      </c>
      <c r="F233" s="4">
        <v>34069</v>
      </c>
      <c r="G233" s="4">
        <v>2024</v>
      </c>
      <c r="H233" s="4">
        <v>45802</v>
      </c>
    </row>
    <row r="234" spans="1:8" x14ac:dyDescent="0.75">
      <c r="A234">
        <v>233</v>
      </c>
      <c r="B234" t="s">
        <v>151</v>
      </c>
      <c r="C234" t="s">
        <v>313</v>
      </c>
      <c r="D234" s="4">
        <v>78814</v>
      </c>
      <c r="E234" s="4">
        <v>0</v>
      </c>
      <c r="F234" s="4">
        <v>0</v>
      </c>
      <c r="G234" s="4">
        <v>0</v>
      </c>
      <c r="H234" s="4">
        <v>78814</v>
      </c>
    </row>
    <row r="235" spans="1:8" x14ac:dyDescent="0.75">
      <c r="A235">
        <v>234</v>
      </c>
      <c r="B235" t="s">
        <v>151</v>
      </c>
      <c r="C235" t="s">
        <v>314</v>
      </c>
      <c r="D235" s="4">
        <v>78759</v>
      </c>
      <c r="E235" s="4">
        <v>68374</v>
      </c>
      <c r="F235" s="4">
        <v>68374</v>
      </c>
      <c r="G235" s="4">
        <v>0</v>
      </c>
      <c r="H235" s="4">
        <v>10385</v>
      </c>
    </row>
    <row r="236" spans="1:8" x14ac:dyDescent="0.75">
      <c r="A236">
        <v>235</v>
      </c>
      <c r="B236" t="s">
        <v>151</v>
      </c>
      <c r="C236" t="s">
        <v>73</v>
      </c>
      <c r="D236" s="4">
        <v>76778</v>
      </c>
      <c r="E236" s="4">
        <v>0</v>
      </c>
      <c r="F236" s="4">
        <v>0</v>
      </c>
      <c r="G236" s="4">
        <v>0</v>
      </c>
      <c r="H236" s="4">
        <v>76778</v>
      </c>
    </row>
    <row r="237" spans="1:8" x14ac:dyDescent="0.75">
      <c r="A237">
        <v>236</v>
      </c>
      <c r="B237" t="s">
        <v>151</v>
      </c>
      <c r="C237" t="s">
        <v>315</v>
      </c>
      <c r="D237" s="4">
        <v>70021</v>
      </c>
      <c r="E237" s="4">
        <v>48828</v>
      </c>
      <c r="F237" s="4">
        <v>48828</v>
      </c>
      <c r="G237" s="4">
        <v>0</v>
      </c>
      <c r="H237" s="4">
        <v>21193</v>
      </c>
    </row>
    <row r="238" spans="1:8" x14ac:dyDescent="0.75">
      <c r="A238">
        <v>237</v>
      </c>
      <c r="B238" t="s">
        <v>151</v>
      </c>
      <c r="C238" t="s">
        <v>316</v>
      </c>
      <c r="D238" s="4">
        <v>69858</v>
      </c>
      <c r="E238" s="4">
        <v>0</v>
      </c>
      <c r="F238" s="4">
        <v>0</v>
      </c>
      <c r="G238" s="4">
        <v>0</v>
      </c>
      <c r="H238" s="4">
        <v>69858</v>
      </c>
    </row>
    <row r="239" spans="1:8" x14ac:dyDescent="0.75">
      <c r="A239">
        <v>238</v>
      </c>
      <c r="B239" t="s">
        <v>151</v>
      </c>
      <c r="C239" t="s">
        <v>317</v>
      </c>
      <c r="D239" s="4">
        <v>64666</v>
      </c>
      <c r="E239" s="4">
        <v>0</v>
      </c>
      <c r="F239" s="4">
        <v>0</v>
      </c>
      <c r="G239" s="4">
        <v>0</v>
      </c>
      <c r="H239" s="4">
        <v>64666</v>
      </c>
    </row>
    <row r="240" spans="1:8" x14ac:dyDescent="0.75">
      <c r="A240">
        <v>239</v>
      </c>
      <c r="B240" t="s">
        <v>151</v>
      </c>
      <c r="C240" t="s">
        <v>318</v>
      </c>
      <c r="D240" s="4">
        <v>63439</v>
      </c>
      <c r="E240" s="4">
        <v>4493</v>
      </c>
      <c r="F240" s="4">
        <v>4493</v>
      </c>
      <c r="G240" s="4">
        <v>0</v>
      </c>
      <c r="H240" s="4">
        <v>58946</v>
      </c>
    </row>
    <row r="241" spans="1:8" x14ac:dyDescent="0.75">
      <c r="A241">
        <v>240</v>
      </c>
      <c r="B241" t="s">
        <v>151</v>
      </c>
      <c r="C241" t="s">
        <v>319</v>
      </c>
      <c r="D241" s="4">
        <v>62443</v>
      </c>
      <c r="E241" s="4">
        <v>62443</v>
      </c>
      <c r="F241" s="4">
        <v>62443</v>
      </c>
      <c r="G241" s="4">
        <v>0</v>
      </c>
      <c r="H241" s="4">
        <v>0</v>
      </c>
    </row>
    <row r="242" spans="1:8" x14ac:dyDescent="0.75">
      <c r="A242">
        <v>241</v>
      </c>
      <c r="B242" t="s">
        <v>163</v>
      </c>
      <c r="C242" t="s">
        <v>320</v>
      </c>
      <c r="D242" s="4">
        <v>59695</v>
      </c>
      <c r="E242" s="4">
        <v>0</v>
      </c>
      <c r="F242" s="4">
        <v>0</v>
      </c>
      <c r="G242" s="4">
        <v>0</v>
      </c>
      <c r="H242" s="4">
        <v>59695</v>
      </c>
    </row>
    <row r="243" spans="1:8" x14ac:dyDescent="0.75">
      <c r="A243">
        <v>242</v>
      </c>
      <c r="B243" t="s">
        <v>151</v>
      </c>
      <c r="C243" t="s">
        <v>92</v>
      </c>
      <c r="D243" s="4">
        <v>54171</v>
      </c>
      <c r="E243" s="4">
        <v>40169</v>
      </c>
      <c r="F243" s="4">
        <v>24207</v>
      </c>
      <c r="G243" s="4">
        <v>15962</v>
      </c>
      <c r="H243" s="4">
        <v>14002</v>
      </c>
    </row>
    <row r="244" spans="1:8" x14ac:dyDescent="0.75">
      <c r="A244">
        <v>243</v>
      </c>
      <c r="B244" t="s">
        <v>163</v>
      </c>
      <c r="C244" t="s">
        <v>321</v>
      </c>
      <c r="D244" s="4">
        <v>54049</v>
      </c>
      <c r="E244" s="4">
        <v>0</v>
      </c>
      <c r="F244" s="4">
        <v>0</v>
      </c>
      <c r="G244" s="4">
        <v>0</v>
      </c>
      <c r="H244" s="4">
        <v>54049</v>
      </c>
    </row>
    <row r="245" spans="1:8" x14ac:dyDescent="0.75">
      <c r="A245">
        <v>244</v>
      </c>
      <c r="B245" t="s">
        <v>151</v>
      </c>
      <c r="C245" t="s">
        <v>322</v>
      </c>
      <c r="D245" s="4">
        <v>49877</v>
      </c>
      <c r="E245" s="4">
        <v>0</v>
      </c>
      <c r="F245" s="4">
        <v>0</v>
      </c>
      <c r="G245" s="4">
        <v>0</v>
      </c>
      <c r="H245" s="4">
        <v>49877</v>
      </c>
    </row>
    <row r="246" spans="1:8" x14ac:dyDescent="0.75">
      <c r="A246">
        <v>245</v>
      </c>
      <c r="B246" t="s">
        <v>151</v>
      </c>
      <c r="C246" t="s">
        <v>323</v>
      </c>
      <c r="D246" s="4">
        <v>47347</v>
      </c>
      <c r="E246" s="4">
        <v>0</v>
      </c>
      <c r="F246" s="4">
        <v>0</v>
      </c>
      <c r="G246" s="4">
        <v>0</v>
      </c>
      <c r="H246" s="4">
        <v>47347</v>
      </c>
    </row>
    <row r="247" spans="1:8" x14ac:dyDescent="0.75">
      <c r="A247">
        <v>246</v>
      </c>
      <c r="B247" t="s">
        <v>151</v>
      </c>
      <c r="C247" t="s">
        <v>324</v>
      </c>
      <c r="D247" s="4">
        <v>45070</v>
      </c>
      <c r="E247" s="4">
        <v>45070</v>
      </c>
      <c r="F247" s="4">
        <v>20</v>
      </c>
      <c r="G247" s="4">
        <v>45050</v>
      </c>
      <c r="H247" s="4">
        <v>0</v>
      </c>
    </row>
    <row r="248" spans="1:8" x14ac:dyDescent="0.75">
      <c r="A248">
        <v>247</v>
      </c>
      <c r="B248" t="s">
        <v>151</v>
      </c>
      <c r="C248" t="s">
        <v>77</v>
      </c>
      <c r="D248" s="4">
        <v>41268</v>
      </c>
      <c r="E248" s="4">
        <v>0</v>
      </c>
      <c r="F248" s="4">
        <v>0</v>
      </c>
      <c r="G248" s="4">
        <v>0</v>
      </c>
      <c r="H248" s="4">
        <v>41268</v>
      </c>
    </row>
    <row r="249" spans="1:8" x14ac:dyDescent="0.75">
      <c r="A249">
        <v>248</v>
      </c>
      <c r="B249" t="s">
        <v>151</v>
      </c>
      <c r="C249" t="s">
        <v>325</v>
      </c>
      <c r="D249" s="4">
        <v>39809</v>
      </c>
      <c r="E249" s="4">
        <v>0</v>
      </c>
      <c r="F249" s="4">
        <v>0</v>
      </c>
      <c r="G249" s="4">
        <v>0</v>
      </c>
      <c r="H249" s="4">
        <v>39809</v>
      </c>
    </row>
    <row r="250" spans="1:8" x14ac:dyDescent="0.75">
      <c r="A250">
        <v>249</v>
      </c>
      <c r="B250" t="s">
        <v>163</v>
      </c>
      <c r="C250" t="s">
        <v>326</v>
      </c>
      <c r="D250" s="4">
        <v>35192</v>
      </c>
      <c r="E250" s="4">
        <v>0</v>
      </c>
      <c r="F250" s="4">
        <v>0</v>
      </c>
      <c r="G250" s="4">
        <v>0</v>
      </c>
      <c r="H250" s="4">
        <v>35192</v>
      </c>
    </row>
    <row r="251" spans="1:8" x14ac:dyDescent="0.75">
      <c r="A251">
        <v>250</v>
      </c>
      <c r="B251" t="s">
        <v>151</v>
      </c>
      <c r="C251" t="s">
        <v>104</v>
      </c>
      <c r="D251" s="4">
        <v>29281</v>
      </c>
      <c r="E251" s="4">
        <v>29281</v>
      </c>
      <c r="F251" s="4">
        <v>22888</v>
      </c>
      <c r="G251" s="4">
        <v>6393</v>
      </c>
      <c r="H251" s="4">
        <v>0</v>
      </c>
    </row>
    <row r="252" spans="1:8" x14ac:dyDescent="0.75">
      <c r="A252">
        <v>251</v>
      </c>
      <c r="B252" t="s">
        <v>160</v>
      </c>
      <c r="C252" t="s">
        <v>327</v>
      </c>
      <c r="D252" s="4">
        <v>28685</v>
      </c>
      <c r="E252" s="4">
        <v>0</v>
      </c>
      <c r="F252" s="4">
        <v>0</v>
      </c>
      <c r="G252" s="4">
        <v>0</v>
      </c>
      <c r="H252" s="4">
        <v>28685</v>
      </c>
    </row>
    <row r="253" spans="1:8" x14ac:dyDescent="0.75">
      <c r="A253">
        <v>252</v>
      </c>
      <c r="B253" t="s">
        <v>151</v>
      </c>
      <c r="C253" t="s">
        <v>328</v>
      </c>
      <c r="D253" s="4">
        <v>27807</v>
      </c>
      <c r="E253" s="4">
        <v>27807</v>
      </c>
      <c r="F253" s="4">
        <v>0</v>
      </c>
      <c r="G253" s="4">
        <v>27807</v>
      </c>
      <c r="H253" s="4">
        <v>0</v>
      </c>
    </row>
    <row r="254" spans="1:8" x14ac:dyDescent="0.75">
      <c r="A254">
        <v>253</v>
      </c>
      <c r="B254" t="s">
        <v>160</v>
      </c>
      <c r="C254" t="s">
        <v>329</v>
      </c>
      <c r="D254" s="4">
        <v>27006</v>
      </c>
      <c r="E254" s="4">
        <v>0</v>
      </c>
      <c r="F254" s="4">
        <v>0</v>
      </c>
      <c r="G254" s="4">
        <v>0</v>
      </c>
      <c r="H254" s="4">
        <v>27006</v>
      </c>
    </row>
    <row r="255" spans="1:8" x14ac:dyDescent="0.75">
      <c r="A255">
        <v>254</v>
      </c>
      <c r="B255" t="s">
        <v>151</v>
      </c>
      <c r="C255" t="s">
        <v>81</v>
      </c>
      <c r="D255" s="4">
        <v>26908</v>
      </c>
      <c r="E255" s="4">
        <v>0</v>
      </c>
      <c r="F255" s="4">
        <v>0</v>
      </c>
      <c r="G255" s="4">
        <v>0</v>
      </c>
      <c r="H255" s="4">
        <v>26908</v>
      </c>
    </row>
    <row r="256" spans="1:8" x14ac:dyDescent="0.75">
      <c r="A256">
        <v>255</v>
      </c>
      <c r="B256" t="s">
        <v>163</v>
      </c>
      <c r="C256" t="s">
        <v>330</v>
      </c>
      <c r="D256" s="4">
        <v>25829</v>
      </c>
      <c r="E256" s="4">
        <v>0</v>
      </c>
      <c r="F256" s="4">
        <v>0</v>
      </c>
      <c r="G256" s="4">
        <v>0</v>
      </c>
      <c r="H256" s="4">
        <v>25829</v>
      </c>
    </row>
    <row r="257" spans="1:8" x14ac:dyDescent="0.75">
      <c r="A257">
        <v>256</v>
      </c>
      <c r="B257" t="s">
        <v>160</v>
      </c>
      <c r="C257" t="s">
        <v>331</v>
      </c>
      <c r="D257" s="4">
        <v>25261</v>
      </c>
      <c r="E257" s="4">
        <v>0</v>
      </c>
      <c r="F257" s="4">
        <v>0</v>
      </c>
      <c r="G257" s="4">
        <v>0</v>
      </c>
      <c r="H257" s="4">
        <v>25261</v>
      </c>
    </row>
    <row r="258" spans="1:8" x14ac:dyDescent="0.75">
      <c r="A258">
        <v>257</v>
      </c>
      <c r="B258" t="s">
        <v>151</v>
      </c>
      <c r="C258" t="s">
        <v>78</v>
      </c>
      <c r="D258" s="4">
        <v>23199</v>
      </c>
      <c r="E258" s="4">
        <v>7351</v>
      </c>
      <c r="F258" s="4">
        <v>7351</v>
      </c>
      <c r="G258" s="4">
        <v>0</v>
      </c>
      <c r="H258" s="4">
        <v>15848</v>
      </c>
    </row>
    <row r="259" spans="1:8" x14ac:dyDescent="0.75">
      <c r="A259">
        <v>258</v>
      </c>
      <c r="B259" t="s">
        <v>151</v>
      </c>
      <c r="C259" t="s">
        <v>80</v>
      </c>
      <c r="D259" s="4">
        <v>20717</v>
      </c>
      <c r="E259" s="4">
        <v>0</v>
      </c>
      <c r="F259" s="4">
        <v>0</v>
      </c>
      <c r="G259" s="4">
        <v>0</v>
      </c>
      <c r="H259" s="4">
        <v>20717</v>
      </c>
    </row>
    <row r="260" spans="1:8" x14ac:dyDescent="0.75">
      <c r="A260">
        <v>259</v>
      </c>
      <c r="B260" t="s">
        <v>151</v>
      </c>
      <c r="C260" t="s">
        <v>75</v>
      </c>
      <c r="D260" s="4">
        <v>19954</v>
      </c>
      <c r="E260" s="4">
        <v>0</v>
      </c>
      <c r="F260" s="4">
        <v>0</v>
      </c>
      <c r="G260" s="4">
        <v>0</v>
      </c>
      <c r="H260" s="4">
        <v>19954</v>
      </c>
    </row>
    <row r="261" spans="1:8" x14ac:dyDescent="0.75">
      <c r="A261">
        <v>260</v>
      </c>
      <c r="B261" t="s">
        <v>151</v>
      </c>
      <c r="C261" t="s">
        <v>76</v>
      </c>
      <c r="D261" s="4">
        <v>18432</v>
      </c>
      <c r="E261" s="4">
        <v>763</v>
      </c>
      <c r="F261" s="4">
        <v>763</v>
      </c>
      <c r="G261" s="4">
        <v>0</v>
      </c>
      <c r="H261" s="4">
        <v>17669</v>
      </c>
    </row>
    <row r="262" spans="1:8" x14ac:dyDescent="0.75">
      <c r="A262">
        <v>261</v>
      </c>
      <c r="B262" t="s">
        <v>151</v>
      </c>
      <c r="C262" t="s">
        <v>84</v>
      </c>
      <c r="D262" s="4">
        <v>17390</v>
      </c>
      <c r="E262" s="4">
        <v>0</v>
      </c>
      <c r="F262" s="4">
        <v>0</v>
      </c>
      <c r="G262" s="4">
        <v>0</v>
      </c>
      <c r="H262" s="4">
        <v>17390</v>
      </c>
    </row>
    <row r="263" spans="1:8" x14ac:dyDescent="0.75">
      <c r="A263">
        <v>262</v>
      </c>
      <c r="B263" t="s">
        <v>151</v>
      </c>
      <c r="C263" t="s">
        <v>96</v>
      </c>
      <c r="D263" s="4">
        <v>17328</v>
      </c>
      <c r="E263" s="4">
        <v>0</v>
      </c>
      <c r="F263" s="4">
        <v>0</v>
      </c>
      <c r="G263" s="4">
        <v>0</v>
      </c>
      <c r="H263" s="4">
        <v>17328</v>
      </c>
    </row>
    <row r="264" spans="1:8" x14ac:dyDescent="0.75">
      <c r="A264">
        <v>263</v>
      </c>
      <c r="B264" t="s">
        <v>160</v>
      </c>
      <c r="C264" t="s">
        <v>332</v>
      </c>
      <c r="D264" s="4">
        <v>15373</v>
      </c>
      <c r="E264" s="4">
        <v>0</v>
      </c>
      <c r="F264" s="4">
        <v>0</v>
      </c>
      <c r="G264" s="4">
        <v>0</v>
      </c>
      <c r="H264" s="4">
        <v>15373</v>
      </c>
    </row>
    <row r="265" spans="1:8" x14ac:dyDescent="0.75">
      <c r="A265">
        <v>264</v>
      </c>
      <c r="B265" t="s">
        <v>151</v>
      </c>
      <c r="C265" t="s">
        <v>333</v>
      </c>
      <c r="D265" s="4">
        <v>14602</v>
      </c>
      <c r="E265" s="4">
        <v>14602</v>
      </c>
      <c r="F265" s="4">
        <v>0</v>
      </c>
      <c r="G265" s="4">
        <v>14602</v>
      </c>
      <c r="H265" s="4">
        <v>0</v>
      </c>
    </row>
    <row r="266" spans="1:8" x14ac:dyDescent="0.75">
      <c r="A266">
        <v>265</v>
      </c>
      <c r="B266" t="s">
        <v>160</v>
      </c>
      <c r="C266" t="s">
        <v>334</v>
      </c>
      <c r="D266" s="4">
        <v>14282</v>
      </c>
      <c r="E266" s="4">
        <v>0</v>
      </c>
      <c r="F266" s="4">
        <v>0</v>
      </c>
      <c r="G266" s="4">
        <v>0</v>
      </c>
      <c r="H266" s="4">
        <v>14282</v>
      </c>
    </row>
    <row r="267" spans="1:8" x14ac:dyDescent="0.75">
      <c r="A267">
        <v>266</v>
      </c>
      <c r="B267" t="s">
        <v>151</v>
      </c>
      <c r="C267" t="s">
        <v>335</v>
      </c>
      <c r="D267" s="4">
        <v>9761</v>
      </c>
      <c r="E267" s="4">
        <v>0</v>
      </c>
      <c r="F267" s="4">
        <v>0</v>
      </c>
      <c r="G267" s="4">
        <v>0</v>
      </c>
      <c r="H267" s="4">
        <v>9761</v>
      </c>
    </row>
    <row r="268" spans="1:8" x14ac:dyDescent="0.75">
      <c r="A268">
        <v>267</v>
      </c>
      <c r="B268" t="s">
        <v>160</v>
      </c>
      <c r="C268" t="s">
        <v>336</v>
      </c>
      <c r="D268" s="4">
        <v>8999</v>
      </c>
      <c r="E268" s="4">
        <v>0</v>
      </c>
      <c r="F268" s="4">
        <v>0</v>
      </c>
      <c r="G268" s="4">
        <v>0</v>
      </c>
      <c r="H268" s="4">
        <v>8999</v>
      </c>
    </row>
    <row r="269" spans="1:8" x14ac:dyDescent="0.75">
      <c r="A269">
        <v>268</v>
      </c>
      <c r="B269" t="s">
        <v>151</v>
      </c>
      <c r="C269" t="s">
        <v>337</v>
      </c>
      <c r="D269" s="4">
        <v>8437</v>
      </c>
      <c r="E269" s="4">
        <v>0</v>
      </c>
      <c r="F269" s="4">
        <v>0</v>
      </c>
      <c r="G269" s="4">
        <v>0</v>
      </c>
      <c r="H269" s="4">
        <v>8437</v>
      </c>
    </row>
    <row r="270" spans="1:8" x14ac:dyDescent="0.75">
      <c r="A270">
        <v>269</v>
      </c>
      <c r="B270" t="s">
        <v>151</v>
      </c>
      <c r="C270" t="s">
        <v>83</v>
      </c>
      <c r="D270" s="4">
        <v>6265</v>
      </c>
      <c r="E270" s="4">
        <v>0</v>
      </c>
      <c r="F270" s="4">
        <v>0</v>
      </c>
      <c r="G270" s="4">
        <v>0</v>
      </c>
      <c r="H270" s="4">
        <v>6265</v>
      </c>
    </row>
    <row r="271" spans="1:8" x14ac:dyDescent="0.75">
      <c r="A271">
        <v>270</v>
      </c>
      <c r="B271" t="s">
        <v>160</v>
      </c>
      <c r="C271" t="s">
        <v>338</v>
      </c>
      <c r="D271" s="4">
        <v>5389</v>
      </c>
      <c r="E271" s="4">
        <v>0</v>
      </c>
      <c r="F271" s="4">
        <v>0</v>
      </c>
      <c r="G271" s="4">
        <v>0</v>
      </c>
      <c r="H271" s="4">
        <v>5389</v>
      </c>
    </row>
    <row r="272" spans="1:8" x14ac:dyDescent="0.75">
      <c r="A272">
        <v>271</v>
      </c>
      <c r="B272" t="s">
        <v>151</v>
      </c>
      <c r="C272" t="s">
        <v>339</v>
      </c>
      <c r="D272" s="4">
        <v>4639</v>
      </c>
      <c r="E272" s="4">
        <v>0</v>
      </c>
      <c r="F272" s="4">
        <v>0</v>
      </c>
      <c r="G272" s="4">
        <v>0</v>
      </c>
      <c r="H272" s="4">
        <v>4639</v>
      </c>
    </row>
    <row r="273" spans="1:8" x14ac:dyDescent="0.75">
      <c r="A273">
        <v>272</v>
      </c>
      <c r="B273" t="s">
        <v>151</v>
      </c>
      <c r="C273" t="s">
        <v>105</v>
      </c>
      <c r="D273" s="4">
        <v>4575</v>
      </c>
      <c r="E273" s="4">
        <v>0</v>
      </c>
      <c r="F273" s="4">
        <v>0</v>
      </c>
      <c r="G273" s="4">
        <v>0</v>
      </c>
      <c r="H273" s="4">
        <v>4575</v>
      </c>
    </row>
    <row r="274" spans="1:8" x14ac:dyDescent="0.75">
      <c r="A274">
        <v>273</v>
      </c>
      <c r="B274" t="s">
        <v>151</v>
      </c>
      <c r="C274" t="s">
        <v>340</v>
      </c>
      <c r="D274" s="4">
        <v>4407</v>
      </c>
      <c r="E274" s="4">
        <v>4407</v>
      </c>
      <c r="F274" s="4">
        <v>4407</v>
      </c>
      <c r="G274" s="4">
        <v>0</v>
      </c>
      <c r="H274" s="4">
        <v>0</v>
      </c>
    </row>
    <row r="275" spans="1:8" x14ac:dyDescent="0.75">
      <c r="A275">
        <v>274</v>
      </c>
      <c r="B275" t="s">
        <v>151</v>
      </c>
      <c r="C275" t="s">
        <v>341</v>
      </c>
      <c r="D275" s="4">
        <v>4267</v>
      </c>
      <c r="E275" s="4">
        <v>0</v>
      </c>
      <c r="F275" s="4">
        <v>0</v>
      </c>
      <c r="G275" s="4">
        <v>0</v>
      </c>
      <c r="H275" s="4">
        <v>4267</v>
      </c>
    </row>
    <row r="276" spans="1:8" x14ac:dyDescent="0.75">
      <c r="A276">
        <v>275</v>
      </c>
      <c r="B276" t="s">
        <v>160</v>
      </c>
      <c r="C276" t="s">
        <v>342</v>
      </c>
      <c r="D276" s="4">
        <v>4232</v>
      </c>
      <c r="E276" s="4">
        <v>0</v>
      </c>
      <c r="F276" s="4">
        <v>0</v>
      </c>
      <c r="G276" s="4">
        <v>0</v>
      </c>
      <c r="H276" s="4">
        <v>4232</v>
      </c>
    </row>
    <row r="277" spans="1:8" x14ac:dyDescent="0.75">
      <c r="A277">
        <v>276</v>
      </c>
      <c r="B277" t="s">
        <v>151</v>
      </c>
      <c r="C277" t="s">
        <v>343</v>
      </c>
      <c r="D277" s="4">
        <v>3127</v>
      </c>
      <c r="E277" s="4">
        <v>0</v>
      </c>
      <c r="F277" s="4">
        <v>0</v>
      </c>
      <c r="G277" s="4">
        <v>0</v>
      </c>
      <c r="H277" s="4">
        <v>3127</v>
      </c>
    </row>
    <row r="278" spans="1:8" x14ac:dyDescent="0.75">
      <c r="A278">
        <v>277</v>
      </c>
      <c r="B278" t="s">
        <v>151</v>
      </c>
      <c r="C278" t="s">
        <v>97</v>
      </c>
      <c r="D278" s="4">
        <v>2693</v>
      </c>
      <c r="E278" s="4">
        <v>0</v>
      </c>
      <c r="F278" s="4">
        <v>0</v>
      </c>
      <c r="G278" s="4">
        <v>0</v>
      </c>
      <c r="H278" s="4">
        <v>2693</v>
      </c>
    </row>
    <row r="279" spans="1:8" x14ac:dyDescent="0.75">
      <c r="A279">
        <v>278</v>
      </c>
      <c r="B279" t="s">
        <v>151</v>
      </c>
      <c r="C279" t="s">
        <v>115</v>
      </c>
      <c r="D279" s="4">
        <v>2591</v>
      </c>
      <c r="E279" s="4">
        <v>0</v>
      </c>
      <c r="F279" s="4">
        <v>0</v>
      </c>
      <c r="G279" s="4">
        <v>0</v>
      </c>
      <c r="H279" s="4">
        <v>2591</v>
      </c>
    </row>
    <row r="280" spans="1:8" x14ac:dyDescent="0.75">
      <c r="A280">
        <v>279</v>
      </c>
      <c r="B280" t="s">
        <v>151</v>
      </c>
      <c r="C280" t="s">
        <v>114</v>
      </c>
      <c r="D280" s="4">
        <v>2540</v>
      </c>
      <c r="E280" s="4">
        <v>0</v>
      </c>
      <c r="F280" s="4">
        <v>0</v>
      </c>
      <c r="G280" s="4">
        <v>0</v>
      </c>
      <c r="H280" s="4">
        <v>2540</v>
      </c>
    </row>
    <row r="281" spans="1:8" x14ac:dyDescent="0.75">
      <c r="A281">
        <v>280</v>
      </c>
      <c r="B281" t="s">
        <v>151</v>
      </c>
      <c r="C281" t="s">
        <v>344</v>
      </c>
      <c r="D281" s="4">
        <v>2497</v>
      </c>
      <c r="E281" s="4">
        <v>0</v>
      </c>
      <c r="F281" s="4">
        <v>0</v>
      </c>
      <c r="G281" s="4">
        <v>0</v>
      </c>
      <c r="H281" s="4">
        <v>2497</v>
      </c>
    </row>
    <row r="282" spans="1:8" x14ac:dyDescent="0.75">
      <c r="A282">
        <v>281</v>
      </c>
      <c r="B282" t="s">
        <v>151</v>
      </c>
      <c r="C282" t="s">
        <v>345</v>
      </c>
      <c r="D282" s="4">
        <v>2220</v>
      </c>
      <c r="E282" s="4">
        <v>20</v>
      </c>
      <c r="F282" s="4">
        <v>20</v>
      </c>
      <c r="G282" s="4">
        <v>0</v>
      </c>
      <c r="H282" s="4">
        <v>2200</v>
      </c>
    </row>
    <row r="283" spans="1:8" x14ac:dyDescent="0.75">
      <c r="A283">
        <v>282</v>
      </c>
      <c r="B283" t="s">
        <v>151</v>
      </c>
      <c r="C283" t="s">
        <v>346</v>
      </c>
      <c r="D283" s="4">
        <v>2106</v>
      </c>
      <c r="E283" s="4">
        <v>2106</v>
      </c>
      <c r="F283" s="4">
        <v>2106</v>
      </c>
      <c r="G283" s="4">
        <v>0</v>
      </c>
      <c r="H283" s="4">
        <v>0</v>
      </c>
    </row>
    <row r="284" spans="1:8" x14ac:dyDescent="0.75">
      <c r="A284">
        <v>283</v>
      </c>
      <c r="B284" t="s">
        <v>160</v>
      </c>
      <c r="C284" t="s">
        <v>347</v>
      </c>
      <c r="D284" s="4">
        <v>1540</v>
      </c>
      <c r="E284" s="4">
        <v>0</v>
      </c>
      <c r="F284" s="4">
        <v>0</v>
      </c>
      <c r="G284" s="4">
        <v>0</v>
      </c>
      <c r="H284" s="4">
        <v>1540</v>
      </c>
    </row>
    <row r="285" spans="1:8" x14ac:dyDescent="0.75">
      <c r="A285">
        <v>284</v>
      </c>
      <c r="B285" t="s">
        <v>151</v>
      </c>
      <c r="C285" t="s">
        <v>100</v>
      </c>
      <c r="D285" s="4">
        <v>1476</v>
      </c>
      <c r="E285" s="4">
        <v>0</v>
      </c>
      <c r="F285" s="4">
        <v>0</v>
      </c>
      <c r="G285" s="4">
        <v>0</v>
      </c>
      <c r="H285" s="4">
        <v>1476</v>
      </c>
    </row>
    <row r="286" spans="1:8" x14ac:dyDescent="0.75">
      <c r="A286">
        <v>285</v>
      </c>
      <c r="B286" t="s">
        <v>160</v>
      </c>
      <c r="C286" t="s">
        <v>348</v>
      </c>
      <c r="D286" s="4">
        <v>1444</v>
      </c>
      <c r="E286" s="4">
        <v>0</v>
      </c>
      <c r="F286" s="4">
        <v>0</v>
      </c>
      <c r="G286" s="4">
        <v>0</v>
      </c>
      <c r="H286" s="4">
        <v>1444</v>
      </c>
    </row>
    <row r="287" spans="1:8" x14ac:dyDescent="0.75">
      <c r="A287">
        <v>286</v>
      </c>
      <c r="B287" t="s">
        <v>160</v>
      </c>
      <c r="C287" t="s">
        <v>349</v>
      </c>
      <c r="D287" s="4">
        <v>1440</v>
      </c>
      <c r="E287" s="4">
        <v>0</v>
      </c>
      <c r="F287" s="4">
        <v>0</v>
      </c>
      <c r="G287" s="4">
        <v>0</v>
      </c>
      <c r="H287" s="4">
        <v>1440</v>
      </c>
    </row>
    <row r="288" spans="1:8" x14ac:dyDescent="0.75">
      <c r="A288">
        <v>287</v>
      </c>
      <c r="B288" t="s">
        <v>151</v>
      </c>
      <c r="C288" t="s">
        <v>350</v>
      </c>
      <c r="D288" s="4">
        <v>1333</v>
      </c>
      <c r="E288" s="4">
        <v>0</v>
      </c>
      <c r="F288" s="4">
        <v>0</v>
      </c>
      <c r="G288" s="4">
        <v>0</v>
      </c>
      <c r="H288" s="4">
        <v>1333</v>
      </c>
    </row>
    <row r="289" spans="1:8" x14ac:dyDescent="0.75">
      <c r="A289">
        <v>288</v>
      </c>
      <c r="B289" t="s">
        <v>151</v>
      </c>
      <c r="C289" t="s">
        <v>103</v>
      </c>
      <c r="D289" s="4">
        <v>1179</v>
      </c>
      <c r="E289" s="4">
        <v>0</v>
      </c>
      <c r="F289" s="4">
        <v>0</v>
      </c>
      <c r="G289" s="4">
        <v>0</v>
      </c>
      <c r="H289" s="4">
        <v>1179</v>
      </c>
    </row>
    <row r="290" spans="1:8" x14ac:dyDescent="0.75">
      <c r="A290">
        <v>289</v>
      </c>
      <c r="B290" t="s">
        <v>163</v>
      </c>
      <c r="C290" t="s">
        <v>351</v>
      </c>
      <c r="D290" s="4">
        <v>1000</v>
      </c>
      <c r="E290" s="4">
        <v>0</v>
      </c>
      <c r="F290" s="4">
        <v>0</v>
      </c>
      <c r="G290" s="4">
        <v>0</v>
      </c>
      <c r="H290" s="4">
        <v>1000</v>
      </c>
    </row>
    <row r="291" spans="1:8" x14ac:dyDescent="0.75">
      <c r="A291">
        <v>290</v>
      </c>
      <c r="B291" t="s">
        <v>151</v>
      </c>
      <c r="C291" t="s">
        <v>112</v>
      </c>
      <c r="D291" s="4">
        <v>798</v>
      </c>
      <c r="E291" s="4">
        <v>0</v>
      </c>
      <c r="F291" s="4">
        <v>0</v>
      </c>
      <c r="G291" s="4">
        <v>0</v>
      </c>
      <c r="H291" s="4">
        <v>798</v>
      </c>
    </row>
    <row r="292" spans="1:8" x14ac:dyDescent="0.75">
      <c r="A292">
        <v>291</v>
      </c>
      <c r="B292" t="s">
        <v>151</v>
      </c>
      <c r="C292" t="s">
        <v>352</v>
      </c>
      <c r="D292" s="4">
        <v>773</v>
      </c>
      <c r="E292" s="4">
        <v>0</v>
      </c>
      <c r="F292" s="4">
        <v>0</v>
      </c>
      <c r="G292" s="4">
        <v>0</v>
      </c>
      <c r="H292" s="4">
        <v>773</v>
      </c>
    </row>
    <row r="293" spans="1:8" x14ac:dyDescent="0.75">
      <c r="A293">
        <v>292</v>
      </c>
      <c r="B293" t="s">
        <v>151</v>
      </c>
      <c r="C293" t="s">
        <v>353</v>
      </c>
      <c r="D293" s="4">
        <v>705</v>
      </c>
      <c r="E293" s="4">
        <v>0</v>
      </c>
      <c r="F293" s="4">
        <v>0</v>
      </c>
      <c r="G293" s="4">
        <v>0</v>
      </c>
      <c r="H293" s="4">
        <v>705</v>
      </c>
    </row>
    <row r="294" spans="1:8" x14ac:dyDescent="0.75">
      <c r="A294">
        <v>293</v>
      </c>
      <c r="B294" t="s">
        <v>160</v>
      </c>
      <c r="C294" t="s">
        <v>354</v>
      </c>
      <c r="D294" s="4">
        <v>680</v>
      </c>
      <c r="E294" s="4">
        <v>0</v>
      </c>
      <c r="F294" s="4">
        <v>0</v>
      </c>
      <c r="G294" s="4">
        <v>0</v>
      </c>
      <c r="H294" s="4">
        <v>680</v>
      </c>
    </row>
    <row r="295" spans="1:8" x14ac:dyDescent="0.75">
      <c r="A295">
        <v>294</v>
      </c>
      <c r="B295" t="s">
        <v>151</v>
      </c>
      <c r="C295" t="s">
        <v>355</v>
      </c>
      <c r="D295" s="4">
        <v>288</v>
      </c>
      <c r="E295" s="4">
        <v>0</v>
      </c>
      <c r="F295" s="4">
        <v>0</v>
      </c>
      <c r="G295" s="4">
        <v>0</v>
      </c>
      <c r="H295" s="4">
        <v>288</v>
      </c>
    </row>
    <row r="296" spans="1:8" x14ac:dyDescent="0.75">
      <c r="A296">
        <v>295</v>
      </c>
      <c r="B296" t="s">
        <v>160</v>
      </c>
      <c r="C296" t="s">
        <v>356</v>
      </c>
      <c r="D296" s="4">
        <v>200</v>
      </c>
      <c r="E296" s="4">
        <v>0</v>
      </c>
      <c r="F296" s="4">
        <v>0</v>
      </c>
      <c r="G296" s="4">
        <v>0</v>
      </c>
      <c r="H296" s="4">
        <v>200</v>
      </c>
    </row>
    <row r="297" spans="1:8" x14ac:dyDescent="0.75">
      <c r="A297">
        <v>296</v>
      </c>
      <c r="B297" t="s">
        <v>151</v>
      </c>
      <c r="C297" t="s">
        <v>357</v>
      </c>
      <c r="D297" s="4">
        <v>112</v>
      </c>
      <c r="E297" s="4">
        <v>0</v>
      </c>
      <c r="F297" s="4">
        <v>0</v>
      </c>
      <c r="G297" s="4">
        <v>0</v>
      </c>
      <c r="H297" s="4">
        <v>112</v>
      </c>
    </row>
    <row r="298" spans="1:8" x14ac:dyDescent="0.75">
      <c r="A298">
        <v>297</v>
      </c>
      <c r="B298" t="s">
        <v>160</v>
      </c>
      <c r="C298" t="s">
        <v>358</v>
      </c>
      <c r="D298" s="4">
        <v>100</v>
      </c>
      <c r="E298" s="4">
        <v>0</v>
      </c>
      <c r="F298" s="4">
        <v>0</v>
      </c>
      <c r="G298" s="4">
        <v>0</v>
      </c>
      <c r="H298" s="4">
        <v>100</v>
      </c>
    </row>
    <row r="299" spans="1:8" x14ac:dyDescent="0.75">
      <c r="A299">
        <v>298</v>
      </c>
      <c r="B299" t="s">
        <v>151</v>
      </c>
      <c r="C299" t="s">
        <v>359</v>
      </c>
      <c r="D299" s="4">
        <v>60</v>
      </c>
      <c r="E299" s="4">
        <v>60</v>
      </c>
      <c r="F299" s="4">
        <v>60</v>
      </c>
      <c r="G299" s="4">
        <v>0</v>
      </c>
      <c r="H299" s="4">
        <v>0</v>
      </c>
    </row>
    <row r="300" spans="1:8" x14ac:dyDescent="0.75">
      <c r="A300">
        <v>299</v>
      </c>
      <c r="B300" t="s">
        <v>160</v>
      </c>
      <c r="C300" t="s">
        <v>360</v>
      </c>
      <c r="D300" s="4">
        <v>60</v>
      </c>
      <c r="E300" s="4">
        <v>0</v>
      </c>
      <c r="F300" s="4">
        <v>0</v>
      </c>
      <c r="G300" s="4">
        <v>0</v>
      </c>
      <c r="H300" s="4">
        <v>60</v>
      </c>
    </row>
  </sheetData>
  <autoFilter ref="A1:H300" xr:uid="{DE8CB267-DB80-416A-A272-CE14FA93F036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D9C3-689E-48B7-AD28-8FF45E6959E0}">
  <sheetPr codeName="Sheet3"/>
  <dimension ref="A1:X8734"/>
  <sheetViews>
    <sheetView topLeftCell="E4" workbookViewId="0">
      <selection activeCell="E1" sqref="E1"/>
    </sheetView>
  </sheetViews>
  <sheetFormatPr defaultRowHeight="14.75" x14ac:dyDescent="0.75"/>
  <cols>
    <col min="3" max="3" width="27.1796875" customWidth="1"/>
    <col min="4" max="4" width="18" customWidth="1"/>
    <col min="5" max="5" width="22.6796875" customWidth="1"/>
    <col min="6" max="6" width="13.08984375" customWidth="1"/>
    <col min="7" max="9" width="9.90625" bestFit="1" customWidth="1"/>
    <col min="10" max="10" width="10.90625" bestFit="1" customWidth="1"/>
    <col min="13" max="13" width="44" bestFit="1" customWidth="1"/>
    <col min="14" max="15" width="16.08984375" style="8" bestFit="1" customWidth="1"/>
    <col min="16" max="17" width="14.58984375" style="8" bestFit="1" customWidth="1"/>
    <col min="18" max="23" width="1.76953125" bestFit="1" customWidth="1"/>
    <col min="24" max="24" width="18.7265625" customWidth="1"/>
    <col min="25" max="110" width="2.6796875" bestFit="1" customWidth="1"/>
    <col min="111" max="635" width="3.6796875" bestFit="1" customWidth="1"/>
    <col min="636" max="1691" width="4.6796875" bestFit="1" customWidth="1"/>
    <col min="1692" max="2979" width="5.6796875" bestFit="1" customWidth="1"/>
    <col min="2980" max="3689" width="6.6796875" bestFit="1" customWidth="1"/>
    <col min="3690" max="3828" width="7.6796875" bestFit="1" customWidth="1"/>
    <col min="3829" max="3835" width="8.6796875" bestFit="1" customWidth="1"/>
    <col min="3836" max="3836" width="6.6328125" bestFit="1" customWidth="1"/>
    <col min="3837" max="3837" width="10.31640625" bestFit="1" customWidth="1"/>
    <col min="3838" max="3838" width="6.453125" bestFit="1" customWidth="1"/>
    <col min="3839" max="3839" width="9.1796875" bestFit="1" customWidth="1"/>
    <col min="3840" max="3840" width="6.453125" bestFit="1" customWidth="1"/>
    <col min="3841" max="3841" width="9.1796875" bestFit="1" customWidth="1"/>
    <col min="3842" max="3842" width="6.453125" bestFit="1" customWidth="1"/>
    <col min="3843" max="3843" width="9.1796875" bestFit="1" customWidth="1"/>
    <col min="3844" max="3844" width="6.453125" bestFit="1" customWidth="1"/>
    <col min="3845" max="3845" width="9.1796875" bestFit="1" customWidth="1"/>
    <col min="3846" max="3846" width="6.453125" bestFit="1" customWidth="1"/>
    <col min="3847" max="3848" width="4.6796875" bestFit="1" customWidth="1"/>
    <col min="3849" max="3849" width="9.1796875" bestFit="1" customWidth="1"/>
    <col min="3850" max="3850" width="6.453125" bestFit="1" customWidth="1"/>
    <col min="3851" max="3851" width="9.1796875" bestFit="1" customWidth="1"/>
    <col min="3852" max="3852" width="6.453125" bestFit="1" customWidth="1"/>
    <col min="3853" max="3853" width="5.6796875" bestFit="1" customWidth="1"/>
    <col min="3854" max="3854" width="9.1796875" bestFit="1" customWidth="1"/>
    <col min="3855" max="3855" width="6.453125" bestFit="1" customWidth="1"/>
    <col min="3856" max="3856" width="9.1796875" bestFit="1" customWidth="1"/>
    <col min="3857" max="3857" width="6.453125" bestFit="1" customWidth="1"/>
    <col min="3858" max="3859" width="5.6796875" bestFit="1" customWidth="1"/>
    <col min="3860" max="3860" width="9.1796875" bestFit="1" customWidth="1"/>
    <col min="3861" max="3861" width="6.453125" bestFit="1" customWidth="1"/>
    <col min="3862" max="3862" width="9.1796875" bestFit="1" customWidth="1"/>
    <col min="3863" max="3863" width="6.453125" bestFit="1" customWidth="1"/>
    <col min="3864" max="3865" width="4.6796875" bestFit="1" customWidth="1"/>
    <col min="3866" max="3866" width="9.1796875" bestFit="1" customWidth="1"/>
    <col min="3867" max="3867" width="6.453125" bestFit="1" customWidth="1"/>
    <col min="3868" max="3868" width="9.1796875" bestFit="1" customWidth="1"/>
    <col min="3869" max="3869" width="6.6796875" bestFit="1" customWidth="1"/>
    <col min="3870" max="3870" width="9.1796875" bestFit="1" customWidth="1"/>
    <col min="3871" max="3871" width="6.453125" bestFit="1" customWidth="1"/>
    <col min="3872" max="3872" width="9.1796875" bestFit="1" customWidth="1"/>
    <col min="3873" max="3873" width="6.453125" bestFit="1" customWidth="1"/>
    <col min="3874" max="3874" width="9.1796875" bestFit="1" customWidth="1"/>
    <col min="3875" max="3875" width="6.453125" bestFit="1" customWidth="1"/>
    <col min="3876" max="3876" width="9.1796875" bestFit="1" customWidth="1"/>
    <col min="3877" max="3877" width="6.453125" bestFit="1" customWidth="1"/>
    <col min="3878" max="3878" width="9.1796875" bestFit="1" customWidth="1"/>
    <col min="3879" max="3879" width="6.453125" bestFit="1" customWidth="1"/>
    <col min="3880" max="3880" width="9.1796875" bestFit="1" customWidth="1"/>
    <col min="3881" max="3881" width="6.453125" bestFit="1" customWidth="1"/>
    <col min="3882" max="3882" width="9.1796875" bestFit="1" customWidth="1"/>
    <col min="3883" max="3883" width="6.453125" bestFit="1" customWidth="1"/>
    <col min="3884" max="3884" width="9.1796875" bestFit="1" customWidth="1"/>
    <col min="3885" max="3885" width="6.453125" bestFit="1" customWidth="1"/>
    <col min="3886" max="3886" width="9.1796875" bestFit="1" customWidth="1"/>
    <col min="3887" max="3887" width="6.453125" bestFit="1" customWidth="1"/>
    <col min="3888" max="3888" width="9.1796875" bestFit="1" customWidth="1"/>
    <col min="3889" max="3889" width="6.453125" bestFit="1" customWidth="1"/>
    <col min="3890" max="3890" width="9.1796875" bestFit="1" customWidth="1"/>
    <col min="3891" max="3891" width="6.453125" bestFit="1" customWidth="1"/>
    <col min="3892" max="3892" width="9.1796875" bestFit="1" customWidth="1"/>
    <col min="3893" max="3893" width="6.453125" bestFit="1" customWidth="1"/>
    <col min="3894" max="3894" width="9.1796875" bestFit="1" customWidth="1"/>
    <col min="3895" max="3895" width="6.453125" bestFit="1" customWidth="1"/>
    <col min="3896" max="3896" width="9.1796875" bestFit="1" customWidth="1"/>
    <col min="3897" max="3897" width="6.453125" bestFit="1" customWidth="1"/>
    <col min="3898" max="3898" width="9.1796875" bestFit="1" customWidth="1"/>
    <col min="3899" max="3899" width="6.453125" bestFit="1" customWidth="1"/>
    <col min="3900" max="3900" width="9.1796875" bestFit="1" customWidth="1"/>
    <col min="3901" max="3901" width="6.453125" bestFit="1" customWidth="1"/>
    <col min="3902" max="3902" width="9.1796875" bestFit="1" customWidth="1"/>
    <col min="3903" max="3903" width="6.453125" bestFit="1" customWidth="1"/>
    <col min="3904" max="3904" width="9.1796875" bestFit="1" customWidth="1"/>
    <col min="3905" max="3905" width="6.453125" bestFit="1" customWidth="1"/>
    <col min="3906" max="3906" width="9.1796875" bestFit="1" customWidth="1"/>
    <col min="3907" max="3907" width="6.453125" bestFit="1" customWidth="1"/>
    <col min="3908" max="3908" width="9.1796875" bestFit="1" customWidth="1"/>
    <col min="3909" max="3909" width="6.453125" bestFit="1" customWidth="1"/>
    <col min="3910" max="3910" width="9.1796875" bestFit="1" customWidth="1"/>
    <col min="3911" max="3911" width="6.453125" bestFit="1" customWidth="1"/>
    <col min="3912" max="3912" width="9.1796875" bestFit="1" customWidth="1"/>
    <col min="3913" max="3913" width="6.453125" bestFit="1" customWidth="1"/>
    <col min="3914" max="3914" width="9.1796875" bestFit="1" customWidth="1"/>
    <col min="3915" max="3915" width="6.453125" bestFit="1" customWidth="1"/>
    <col min="3916" max="3916" width="9.1796875" bestFit="1" customWidth="1"/>
    <col min="3917" max="3917" width="6.453125" bestFit="1" customWidth="1"/>
    <col min="3918" max="3918" width="9.1796875" bestFit="1" customWidth="1"/>
    <col min="3919" max="3919" width="6.453125" bestFit="1" customWidth="1"/>
    <col min="3920" max="3920" width="9.1796875" bestFit="1" customWidth="1"/>
    <col min="3921" max="3921" width="6.453125" bestFit="1" customWidth="1"/>
    <col min="3922" max="3922" width="9.1796875" bestFit="1" customWidth="1"/>
    <col min="3923" max="3923" width="6.453125" bestFit="1" customWidth="1"/>
    <col min="3924" max="3924" width="9.1796875" bestFit="1" customWidth="1"/>
    <col min="3925" max="3925" width="6.453125" bestFit="1" customWidth="1"/>
    <col min="3926" max="3926" width="9.1796875" bestFit="1" customWidth="1"/>
    <col min="3927" max="3927" width="6.453125" bestFit="1" customWidth="1"/>
    <col min="3928" max="3928" width="9.1796875" bestFit="1" customWidth="1"/>
    <col min="3929" max="3929" width="6.453125" bestFit="1" customWidth="1"/>
    <col min="3930" max="3930" width="9.1796875" bestFit="1" customWidth="1"/>
    <col min="3931" max="3931" width="6.453125" bestFit="1" customWidth="1"/>
    <col min="3932" max="3932" width="9.1796875" bestFit="1" customWidth="1"/>
    <col min="3933" max="3933" width="6.453125" bestFit="1" customWidth="1"/>
    <col min="3934" max="3934" width="9.1796875" bestFit="1" customWidth="1"/>
    <col min="3935" max="3935" width="6.453125" bestFit="1" customWidth="1"/>
    <col min="3936" max="3936" width="9.1796875" bestFit="1" customWidth="1"/>
    <col min="3937" max="3937" width="6.453125" bestFit="1" customWidth="1"/>
    <col min="3938" max="3938" width="9.1796875" bestFit="1" customWidth="1"/>
    <col min="3939" max="3939" width="6.453125" bestFit="1" customWidth="1"/>
    <col min="3940" max="3940" width="9.1796875" bestFit="1" customWidth="1"/>
    <col min="3941" max="3941" width="6.453125" bestFit="1" customWidth="1"/>
    <col min="3942" max="3942" width="9.1796875" bestFit="1" customWidth="1"/>
    <col min="3943" max="3943" width="6.453125" bestFit="1" customWidth="1"/>
    <col min="3944" max="3944" width="9.1796875" bestFit="1" customWidth="1"/>
    <col min="3945" max="3945" width="6.453125" bestFit="1" customWidth="1"/>
    <col min="3946" max="3946" width="9.1796875" bestFit="1" customWidth="1"/>
    <col min="3947" max="3947" width="6.453125" bestFit="1" customWidth="1"/>
    <col min="3948" max="3948" width="9.1796875" bestFit="1" customWidth="1"/>
    <col min="3949" max="3949" width="6.453125" bestFit="1" customWidth="1"/>
    <col min="3950" max="3950" width="9.1796875" bestFit="1" customWidth="1"/>
    <col min="3951" max="3951" width="6.453125" bestFit="1" customWidth="1"/>
    <col min="3952" max="3952" width="9.1796875" bestFit="1" customWidth="1"/>
    <col min="3953" max="3953" width="6.453125" bestFit="1" customWidth="1"/>
    <col min="3954" max="3954" width="9.1796875" bestFit="1" customWidth="1"/>
    <col min="3955" max="3955" width="6.453125" bestFit="1" customWidth="1"/>
    <col min="3956" max="3956" width="9.1796875" bestFit="1" customWidth="1"/>
    <col min="3957" max="3957" width="6.453125" bestFit="1" customWidth="1"/>
    <col min="3958" max="3958" width="9.1796875" bestFit="1" customWidth="1"/>
    <col min="3959" max="3959" width="6.453125" bestFit="1" customWidth="1"/>
    <col min="3960" max="3960" width="9.1796875" bestFit="1" customWidth="1"/>
    <col min="3961" max="3961" width="6.453125" bestFit="1" customWidth="1"/>
    <col min="3962" max="3962" width="9.1796875" bestFit="1" customWidth="1"/>
    <col min="3963" max="3963" width="6.453125" bestFit="1" customWidth="1"/>
    <col min="3964" max="3964" width="3.6796875" bestFit="1" customWidth="1"/>
    <col min="3965" max="3965" width="9.1796875" bestFit="1" customWidth="1"/>
    <col min="3966" max="3966" width="6.453125" bestFit="1" customWidth="1"/>
    <col min="3967" max="3967" width="9.1796875" bestFit="1" customWidth="1"/>
    <col min="3968" max="3968" width="6.453125" bestFit="1" customWidth="1"/>
    <col min="3969" max="3969" width="4.6796875" bestFit="1" customWidth="1"/>
    <col min="3970" max="3970" width="9.1796875" bestFit="1" customWidth="1"/>
    <col min="3971" max="3971" width="6.453125" bestFit="1" customWidth="1"/>
    <col min="3972" max="3972" width="9.1796875" bestFit="1" customWidth="1"/>
    <col min="3973" max="3973" width="6.453125" bestFit="1" customWidth="1"/>
    <col min="3974" max="3974" width="9.1796875" bestFit="1" customWidth="1"/>
    <col min="3975" max="3975" width="6.453125" bestFit="1" customWidth="1"/>
    <col min="3976" max="3976" width="9.1796875" bestFit="1" customWidth="1"/>
    <col min="3977" max="3977" width="6.453125" bestFit="1" customWidth="1"/>
    <col min="3978" max="3978" width="9.1796875" bestFit="1" customWidth="1"/>
    <col min="3979" max="3979" width="7.6796875" bestFit="1" customWidth="1"/>
    <col min="3980" max="3980" width="9.1796875" bestFit="1" customWidth="1"/>
    <col min="3981" max="3981" width="6.453125" bestFit="1" customWidth="1"/>
    <col min="3982" max="3982" width="9.1796875" bestFit="1" customWidth="1"/>
    <col min="3983" max="3983" width="6.453125" bestFit="1" customWidth="1"/>
    <col min="3984" max="3984" width="9.1796875" bestFit="1" customWidth="1"/>
    <col min="3985" max="3985" width="6.453125" bestFit="1" customWidth="1"/>
    <col min="3986" max="3986" width="7.6796875" bestFit="1" customWidth="1"/>
    <col min="3987" max="3987" width="9.1796875" bestFit="1" customWidth="1"/>
    <col min="3988" max="3988" width="6.453125" bestFit="1" customWidth="1"/>
    <col min="3989" max="3989" width="6.6796875" bestFit="1" customWidth="1"/>
    <col min="3990" max="3990" width="9.1796875" bestFit="1" customWidth="1"/>
    <col min="3991" max="3991" width="6.453125" bestFit="1" customWidth="1"/>
    <col min="3992" max="3992" width="9.1796875" bestFit="1" customWidth="1"/>
    <col min="3993" max="3993" width="6.453125" bestFit="1" customWidth="1"/>
    <col min="3994" max="3994" width="9.1796875" bestFit="1" customWidth="1"/>
    <col min="3995" max="3995" width="6.453125" bestFit="1" customWidth="1"/>
    <col min="3996" max="3996" width="9.1796875" bestFit="1" customWidth="1"/>
    <col min="3997" max="3997" width="6.453125" bestFit="1" customWidth="1"/>
    <col min="3998" max="3998" width="9.1796875" bestFit="1" customWidth="1"/>
    <col min="3999" max="3999" width="6.6796875" bestFit="1" customWidth="1"/>
    <col min="4000" max="4000" width="9.1796875" bestFit="1" customWidth="1"/>
    <col min="4001" max="4001" width="6.453125" bestFit="1" customWidth="1"/>
    <col min="4002" max="4002" width="9.1796875" bestFit="1" customWidth="1"/>
    <col min="4003" max="4003" width="6.453125" bestFit="1" customWidth="1"/>
    <col min="4004" max="4004" width="9.1796875" bestFit="1" customWidth="1"/>
    <col min="4005" max="4005" width="6.453125" bestFit="1" customWidth="1"/>
    <col min="4006" max="4006" width="9.1796875" bestFit="1" customWidth="1"/>
    <col min="4007" max="4007" width="6.453125" bestFit="1" customWidth="1"/>
    <col min="4008" max="4008" width="9.1796875" bestFit="1" customWidth="1"/>
    <col min="4009" max="4009" width="6.453125" bestFit="1" customWidth="1"/>
    <col min="4010" max="4010" width="9.1796875" bestFit="1" customWidth="1"/>
    <col min="4011" max="4011" width="6.453125" bestFit="1" customWidth="1"/>
    <col min="4012" max="4012" width="9.1796875" bestFit="1" customWidth="1"/>
    <col min="4013" max="4013" width="6.453125" bestFit="1" customWidth="1"/>
    <col min="4014" max="4014" width="9.1796875" bestFit="1" customWidth="1"/>
    <col min="4015" max="4015" width="6.453125" bestFit="1" customWidth="1"/>
    <col min="4016" max="4016" width="9.1796875" bestFit="1" customWidth="1"/>
    <col min="4017" max="4017" width="6.453125" bestFit="1" customWidth="1"/>
    <col min="4018" max="4018" width="9.1796875" bestFit="1" customWidth="1"/>
    <col min="4019" max="4019" width="6.453125" bestFit="1" customWidth="1"/>
    <col min="4020" max="4020" width="5.6796875" bestFit="1" customWidth="1"/>
    <col min="4021" max="4021" width="9.1796875" bestFit="1" customWidth="1"/>
    <col min="4022" max="4022" width="6.453125" bestFit="1" customWidth="1"/>
    <col min="4023" max="4023" width="9.1796875" bestFit="1" customWidth="1"/>
    <col min="4024" max="4024" width="6.453125" bestFit="1" customWidth="1"/>
    <col min="4025" max="4025" width="9.1796875" bestFit="1" customWidth="1"/>
    <col min="4026" max="4026" width="6.453125" bestFit="1" customWidth="1"/>
    <col min="4027" max="4027" width="9.1796875" bestFit="1" customWidth="1"/>
    <col min="4028" max="4028" width="6.453125" bestFit="1" customWidth="1"/>
    <col min="4029" max="4029" width="9.1796875" bestFit="1" customWidth="1"/>
    <col min="4030" max="4030" width="6.453125" bestFit="1" customWidth="1"/>
    <col min="4031" max="4031" width="9.1796875" bestFit="1" customWidth="1"/>
    <col min="4032" max="4032" width="6.453125" bestFit="1" customWidth="1"/>
    <col min="4033" max="4033" width="9.1796875" bestFit="1" customWidth="1"/>
    <col min="4034" max="4034" width="6.453125" bestFit="1" customWidth="1"/>
    <col min="4035" max="4035" width="5.6796875" bestFit="1" customWidth="1"/>
    <col min="4036" max="4036" width="9.1796875" bestFit="1" customWidth="1"/>
    <col min="4037" max="4037" width="6.453125" bestFit="1" customWidth="1"/>
    <col min="4038" max="4038" width="9.1796875" bestFit="1" customWidth="1"/>
    <col min="4039" max="4039" width="6.453125" bestFit="1" customWidth="1"/>
    <col min="4040" max="4040" width="5.6796875" bestFit="1" customWidth="1"/>
    <col min="4041" max="4041" width="9.1796875" bestFit="1" customWidth="1"/>
    <col min="4042" max="4042" width="6.453125" bestFit="1" customWidth="1"/>
    <col min="4043" max="4043" width="9.1796875" bestFit="1" customWidth="1"/>
    <col min="4044" max="4044" width="6.453125" bestFit="1" customWidth="1"/>
    <col min="4045" max="4045" width="9.1796875" bestFit="1" customWidth="1"/>
    <col min="4046" max="4046" width="6.453125" bestFit="1" customWidth="1"/>
    <col min="4047" max="4047" width="9.1796875" bestFit="1" customWidth="1"/>
    <col min="4048" max="4048" width="6.453125" bestFit="1" customWidth="1"/>
    <col min="4049" max="4049" width="9.1796875" bestFit="1" customWidth="1"/>
    <col min="4050" max="4050" width="6.6796875" bestFit="1" customWidth="1"/>
    <col min="4051" max="4051" width="9.1796875" bestFit="1" customWidth="1"/>
    <col min="4052" max="4052" width="6.453125" bestFit="1" customWidth="1"/>
    <col min="4053" max="4053" width="9.1796875" bestFit="1" customWidth="1"/>
    <col min="4054" max="4054" width="6.453125" bestFit="1" customWidth="1"/>
    <col min="4055" max="4055" width="9.1796875" bestFit="1" customWidth="1"/>
    <col min="4056" max="4056" width="6.453125" bestFit="1" customWidth="1"/>
    <col min="4057" max="4057" width="9.1796875" bestFit="1" customWidth="1"/>
    <col min="4058" max="4058" width="6.453125" bestFit="1" customWidth="1"/>
    <col min="4059" max="4059" width="9.1796875" bestFit="1" customWidth="1"/>
    <col min="4060" max="4060" width="6.453125" bestFit="1" customWidth="1"/>
    <col min="4061" max="4061" width="9.1796875" bestFit="1" customWidth="1"/>
    <col min="4062" max="4062" width="6.453125" bestFit="1" customWidth="1"/>
    <col min="4063" max="4063" width="7.6796875" bestFit="1" customWidth="1"/>
    <col min="4064" max="4064" width="9.1796875" bestFit="1" customWidth="1"/>
    <col min="4065" max="4065" width="6.453125" bestFit="1" customWidth="1"/>
    <col min="4066" max="4066" width="9.1796875" bestFit="1" customWidth="1"/>
    <col min="4067" max="4067" width="6.453125" bestFit="1" customWidth="1"/>
    <col min="4068" max="4068" width="9.1796875" bestFit="1" customWidth="1"/>
    <col min="4069" max="4069" width="6.453125" bestFit="1" customWidth="1"/>
    <col min="4070" max="4070" width="9.1796875" bestFit="1" customWidth="1"/>
    <col min="4071" max="4071" width="6.453125" bestFit="1" customWidth="1"/>
    <col min="4072" max="4072" width="9.1796875" bestFit="1" customWidth="1"/>
    <col min="4073" max="4073" width="6.453125" bestFit="1" customWidth="1"/>
    <col min="4074" max="4074" width="9.1796875" bestFit="1" customWidth="1"/>
    <col min="4075" max="4075" width="6.6796875" bestFit="1" customWidth="1"/>
    <col min="4076" max="4076" width="9.1796875" bestFit="1" customWidth="1"/>
    <col min="4077" max="4077" width="6.453125" bestFit="1" customWidth="1"/>
    <col min="4078" max="4078" width="9.1796875" bestFit="1" customWidth="1"/>
    <col min="4079" max="4079" width="6.453125" bestFit="1" customWidth="1"/>
    <col min="4080" max="4080" width="9.1796875" bestFit="1" customWidth="1"/>
    <col min="4081" max="4081" width="6.453125" bestFit="1" customWidth="1"/>
    <col min="4082" max="4082" width="9.1796875" bestFit="1" customWidth="1"/>
    <col min="4083" max="4083" width="6.453125" bestFit="1" customWidth="1"/>
    <col min="4084" max="4084" width="9.1796875" bestFit="1" customWidth="1"/>
    <col min="4085" max="4085" width="6.453125" bestFit="1" customWidth="1"/>
    <col min="4086" max="4086" width="9.1796875" bestFit="1" customWidth="1"/>
    <col min="4087" max="4087" width="6.453125" bestFit="1" customWidth="1"/>
    <col min="4088" max="4088" width="9.1796875" bestFit="1" customWidth="1"/>
    <col min="4089" max="4089" width="6.453125" bestFit="1" customWidth="1"/>
    <col min="4090" max="4090" width="9.1796875" bestFit="1" customWidth="1"/>
    <col min="4091" max="4091" width="6.453125" bestFit="1" customWidth="1"/>
    <col min="4092" max="4092" width="9.1796875" bestFit="1" customWidth="1"/>
    <col min="4093" max="4093" width="6.453125" bestFit="1" customWidth="1"/>
    <col min="4094" max="4094" width="9.1796875" bestFit="1" customWidth="1"/>
    <col min="4095" max="4095" width="6.453125" bestFit="1" customWidth="1"/>
    <col min="4096" max="4096" width="9.1796875" bestFit="1" customWidth="1"/>
    <col min="4097" max="4097" width="6.453125" bestFit="1" customWidth="1"/>
    <col min="4098" max="4098" width="9.1796875" bestFit="1" customWidth="1"/>
    <col min="4099" max="4099" width="6.453125" bestFit="1" customWidth="1"/>
    <col min="4100" max="4100" width="9.1796875" bestFit="1" customWidth="1"/>
    <col min="4101" max="4101" width="6.453125" bestFit="1" customWidth="1"/>
    <col min="4102" max="4102" width="9.1796875" bestFit="1" customWidth="1"/>
    <col min="4103" max="4103" width="6.453125" bestFit="1" customWidth="1"/>
    <col min="4104" max="4104" width="5.6796875" bestFit="1" customWidth="1"/>
    <col min="4105" max="4105" width="9.1796875" bestFit="1" customWidth="1"/>
    <col min="4106" max="4106" width="6.453125" bestFit="1" customWidth="1"/>
    <col min="4107" max="4107" width="9.1796875" bestFit="1" customWidth="1"/>
    <col min="4108" max="4108" width="6.453125" bestFit="1" customWidth="1"/>
    <col min="4109" max="4109" width="9.1796875" bestFit="1" customWidth="1"/>
    <col min="4110" max="4110" width="6.453125" bestFit="1" customWidth="1"/>
    <col min="4111" max="4111" width="9.1796875" bestFit="1" customWidth="1"/>
    <col min="4112" max="4112" width="6.453125" bestFit="1" customWidth="1"/>
    <col min="4113" max="4113" width="9.1796875" bestFit="1" customWidth="1"/>
    <col min="4114" max="4114" width="6.453125" bestFit="1" customWidth="1"/>
    <col min="4115" max="4115" width="9.1796875" bestFit="1" customWidth="1"/>
    <col min="4116" max="4116" width="6.453125" bestFit="1" customWidth="1"/>
    <col min="4117" max="4117" width="9.1796875" bestFit="1" customWidth="1"/>
    <col min="4118" max="4118" width="6.453125" bestFit="1" customWidth="1"/>
    <col min="4119" max="4119" width="9.1796875" bestFit="1" customWidth="1"/>
    <col min="4120" max="4120" width="6.453125" bestFit="1" customWidth="1"/>
    <col min="4121" max="4121" width="9.1796875" bestFit="1" customWidth="1"/>
    <col min="4122" max="4122" width="6.453125" bestFit="1" customWidth="1"/>
    <col min="4123" max="4123" width="9.1796875" bestFit="1" customWidth="1"/>
    <col min="4124" max="4124" width="6.453125" bestFit="1" customWidth="1"/>
    <col min="4125" max="4125" width="9.1796875" bestFit="1" customWidth="1"/>
    <col min="4126" max="4126" width="6.453125" bestFit="1" customWidth="1"/>
    <col min="4127" max="4127" width="1.76953125" bestFit="1" customWidth="1"/>
    <col min="4128" max="4128" width="9.1796875" bestFit="1" customWidth="1"/>
    <col min="4129" max="4129" width="6.453125" bestFit="1" customWidth="1"/>
    <col min="4130" max="4130" width="9.1796875" bestFit="1" customWidth="1"/>
    <col min="4131" max="4131" width="6.453125" bestFit="1" customWidth="1"/>
    <col min="4132" max="4132" width="9.1796875" bestFit="1" customWidth="1"/>
    <col min="4133" max="4133" width="6.453125" bestFit="1" customWidth="1"/>
    <col min="4134" max="4134" width="9.1796875" bestFit="1" customWidth="1"/>
    <col min="4135" max="4135" width="6.453125" bestFit="1" customWidth="1"/>
    <col min="4136" max="4136" width="9.1796875" bestFit="1" customWidth="1"/>
    <col min="4137" max="4137" width="6.453125" bestFit="1" customWidth="1"/>
    <col min="4138" max="4138" width="9.1796875" bestFit="1" customWidth="1"/>
    <col min="4139" max="4139" width="6.453125" bestFit="1" customWidth="1"/>
    <col min="4140" max="4140" width="9.1796875" bestFit="1" customWidth="1"/>
    <col min="4141" max="4141" width="6.453125" bestFit="1" customWidth="1"/>
    <col min="4142" max="4142" width="9.1796875" bestFit="1" customWidth="1"/>
    <col min="4143" max="4143" width="6.453125" bestFit="1" customWidth="1"/>
    <col min="4144" max="4144" width="9.1796875" bestFit="1" customWidth="1"/>
    <col min="4145" max="4145" width="6.453125" bestFit="1" customWidth="1"/>
    <col min="4146" max="4146" width="9.1796875" bestFit="1" customWidth="1"/>
    <col min="4147" max="4147" width="6.453125" bestFit="1" customWidth="1"/>
    <col min="4148" max="4148" width="9.1796875" bestFit="1" customWidth="1"/>
    <col min="4149" max="4149" width="6.453125" bestFit="1" customWidth="1"/>
    <col min="4150" max="4150" width="9.1796875" bestFit="1" customWidth="1"/>
    <col min="4151" max="4151" width="6.453125" bestFit="1" customWidth="1"/>
    <col min="4152" max="4152" width="9.1796875" bestFit="1" customWidth="1"/>
    <col min="4153" max="4153" width="6.453125" bestFit="1" customWidth="1"/>
    <col min="4154" max="4154" width="9.1796875" bestFit="1" customWidth="1"/>
    <col min="4155" max="4155" width="6.453125" bestFit="1" customWidth="1"/>
    <col min="4156" max="4156" width="9.1796875" bestFit="1" customWidth="1"/>
    <col min="4157" max="4157" width="6.453125" bestFit="1" customWidth="1"/>
    <col min="4158" max="4158" width="9.1796875" bestFit="1" customWidth="1"/>
    <col min="4159" max="4159" width="6.453125" bestFit="1" customWidth="1"/>
    <col min="4160" max="4160" width="5.6796875" bestFit="1" customWidth="1"/>
    <col min="4161" max="4161" width="9.1796875" bestFit="1" customWidth="1"/>
    <col min="4162" max="4162" width="6.453125" bestFit="1" customWidth="1"/>
    <col min="4163" max="4163" width="9.1796875" bestFit="1" customWidth="1"/>
    <col min="4164" max="4164" width="6.453125" bestFit="1" customWidth="1"/>
    <col min="4165" max="4165" width="9.1796875" bestFit="1" customWidth="1"/>
    <col min="4166" max="4166" width="6.453125" bestFit="1" customWidth="1"/>
    <col min="4167" max="4167" width="9.1796875" bestFit="1" customWidth="1"/>
    <col min="4168" max="4168" width="6.453125" bestFit="1" customWidth="1"/>
    <col min="4169" max="4169" width="9.1796875" bestFit="1" customWidth="1"/>
    <col min="4170" max="4170" width="6.453125" bestFit="1" customWidth="1"/>
    <col min="4171" max="4171" width="9.1796875" bestFit="1" customWidth="1"/>
    <col min="4172" max="4172" width="6.453125" bestFit="1" customWidth="1"/>
    <col min="4173" max="4173" width="9.1796875" bestFit="1" customWidth="1"/>
    <col min="4174" max="4174" width="6.453125" bestFit="1" customWidth="1"/>
    <col min="4175" max="4175" width="9.1796875" bestFit="1" customWidth="1"/>
    <col min="4176" max="4176" width="6.453125" bestFit="1" customWidth="1"/>
    <col min="4177" max="4177" width="9.1796875" bestFit="1" customWidth="1"/>
    <col min="4178" max="4178" width="6.453125" bestFit="1" customWidth="1"/>
    <col min="4179" max="4179" width="9.1796875" bestFit="1" customWidth="1"/>
    <col min="4180" max="4180" width="6.453125" bestFit="1" customWidth="1"/>
    <col min="4181" max="4181" width="9.1796875" bestFit="1" customWidth="1"/>
    <col min="4182" max="4182" width="6.453125" bestFit="1" customWidth="1"/>
    <col min="4183" max="4183" width="9.1796875" bestFit="1" customWidth="1"/>
    <col min="4184" max="4184" width="6.453125" bestFit="1" customWidth="1"/>
    <col min="4185" max="4185" width="9.1796875" bestFit="1" customWidth="1"/>
    <col min="4186" max="4186" width="6.453125" bestFit="1" customWidth="1"/>
    <col min="4187" max="4187" width="5.6796875" bestFit="1" customWidth="1"/>
    <col min="4188" max="4188" width="9.1796875" bestFit="1" customWidth="1"/>
    <col min="4189" max="4189" width="6.453125" bestFit="1" customWidth="1"/>
    <col min="4190" max="4190" width="9.1796875" bestFit="1" customWidth="1"/>
    <col min="4191" max="4191" width="6.453125" bestFit="1" customWidth="1"/>
    <col min="4192" max="4192" width="9.1796875" bestFit="1" customWidth="1"/>
    <col min="4193" max="4193" width="6.453125" bestFit="1" customWidth="1"/>
    <col min="4194" max="4194" width="9.1796875" bestFit="1" customWidth="1"/>
    <col min="4195" max="4195" width="6.453125" bestFit="1" customWidth="1"/>
    <col min="4196" max="4196" width="9.1796875" bestFit="1" customWidth="1"/>
    <col min="4197" max="4197" width="6.453125" bestFit="1" customWidth="1"/>
    <col min="4198" max="4198" width="9.1796875" bestFit="1" customWidth="1"/>
    <col min="4199" max="4199" width="6.453125" bestFit="1" customWidth="1"/>
    <col min="4200" max="4200" width="9.1796875" bestFit="1" customWidth="1"/>
    <col min="4201" max="4201" width="6.453125" bestFit="1" customWidth="1"/>
    <col min="4202" max="4202" width="9.1796875" bestFit="1" customWidth="1"/>
    <col min="4203" max="4203" width="6.453125" bestFit="1" customWidth="1"/>
    <col min="4204" max="4204" width="9.1796875" bestFit="1" customWidth="1"/>
    <col min="4205" max="4205" width="6.453125" bestFit="1" customWidth="1"/>
    <col min="4206" max="4206" width="9.1796875" bestFit="1" customWidth="1"/>
    <col min="4207" max="4207" width="6.453125" bestFit="1" customWidth="1"/>
    <col min="4208" max="4208" width="9.1796875" bestFit="1" customWidth="1"/>
    <col min="4209" max="4209" width="6.453125" bestFit="1" customWidth="1"/>
    <col min="4210" max="4210" width="9.1796875" bestFit="1" customWidth="1"/>
    <col min="4211" max="4211" width="6.453125" bestFit="1" customWidth="1"/>
    <col min="4212" max="4212" width="9.1796875" bestFit="1" customWidth="1"/>
    <col min="4213" max="4213" width="6.453125" bestFit="1" customWidth="1"/>
    <col min="4214" max="4214" width="9.1796875" bestFit="1" customWidth="1"/>
    <col min="4215" max="4215" width="6.453125" bestFit="1" customWidth="1"/>
    <col min="4216" max="4216" width="9.1796875" bestFit="1" customWidth="1"/>
    <col min="4217" max="4217" width="6.453125" bestFit="1" customWidth="1"/>
    <col min="4218" max="4218" width="1.76953125" bestFit="1" customWidth="1"/>
    <col min="4219" max="4219" width="9.1796875" bestFit="1" customWidth="1"/>
    <col min="4220" max="4220" width="6.453125" bestFit="1" customWidth="1"/>
    <col min="4221" max="4221" width="9.1796875" bestFit="1" customWidth="1"/>
    <col min="4222" max="4222" width="6.453125" bestFit="1" customWidth="1"/>
    <col min="4223" max="4223" width="9.1796875" bestFit="1" customWidth="1"/>
    <col min="4224" max="4224" width="6.453125" bestFit="1" customWidth="1"/>
    <col min="4225" max="4225" width="9.1796875" bestFit="1" customWidth="1"/>
    <col min="4226" max="4226" width="7.6796875" bestFit="1" customWidth="1"/>
    <col min="4227" max="4227" width="9.1796875" bestFit="1" customWidth="1"/>
    <col min="4228" max="4228" width="6.453125" bestFit="1" customWidth="1"/>
    <col min="4229" max="4229" width="9.1796875" bestFit="1" customWidth="1"/>
    <col min="4230" max="4230" width="6.453125" bestFit="1" customWidth="1"/>
    <col min="4231" max="4231" width="9.1796875" bestFit="1" customWidth="1"/>
    <col min="4232" max="4232" width="6.453125" bestFit="1" customWidth="1"/>
    <col min="4233" max="4233" width="9.1796875" bestFit="1" customWidth="1"/>
    <col min="4234" max="4234" width="6.453125" bestFit="1" customWidth="1"/>
    <col min="4235" max="4235" width="4.6796875" bestFit="1" customWidth="1"/>
    <col min="4236" max="4236" width="9.1796875" bestFit="1" customWidth="1"/>
    <col min="4237" max="4237" width="6.453125" bestFit="1" customWidth="1"/>
    <col min="4238" max="4238" width="9.1796875" bestFit="1" customWidth="1"/>
    <col min="4239" max="4239" width="6.453125" bestFit="1" customWidth="1"/>
    <col min="4240" max="4240" width="9.1796875" bestFit="1" customWidth="1"/>
    <col min="4241" max="4241" width="6.453125" bestFit="1" customWidth="1"/>
    <col min="4242" max="4242" width="9.1796875" bestFit="1" customWidth="1"/>
    <col min="4243" max="4243" width="6.453125" bestFit="1" customWidth="1"/>
    <col min="4244" max="4244" width="9.1796875" bestFit="1" customWidth="1"/>
    <col min="4245" max="4245" width="6.453125" bestFit="1" customWidth="1"/>
    <col min="4246" max="4246" width="9.1796875" bestFit="1" customWidth="1"/>
    <col min="4247" max="4247" width="6.453125" bestFit="1" customWidth="1"/>
    <col min="4248" max="4248" width="9.1796875" bestFit="1" customWidth="1"/>
    <col min="4249" max="4249" width="6.453125" bestFit="1" customWidth="1"/>
    <col min="4250" max="4250" width="9.1796875" bestFit="1" customWidth="1"/>
    <col min="4251" max="4251" width="6.453125" bestFit="1" customWidth="1"/>
    <col min="4252" max="4252" width="9.1796875" bestFit="1" customWidth="1"/>
    <col min="4253" max="4253" width="6.453125" bestFit="1" customWidth="1"/>
    <col min="4254" max="4254" width="9.1796875" bestFit="1" customWidth="1"/>
    <col min="4255" max="4255" width="6.453125" bestFit="1" customWidth="1"/>
    <col min="4256" max="4256" width="9.1796875" bestFit="1" customWidth="1"/>
    <col min="4257" max="4257" width="6.453125" bestFit="1" customWidth="1"/>
    <col min="4258" max="4258" width="9.1796875" bestFit="1" customWidth="1"/>
    <col min="4259" max="4259" width="6.453125" bestFit="1" customWidth="1"/>
    <col min="4260" max="4260" width="9.1796875" bestFit="1" customWidth="1"/>
    <col min="4261" max="4261" width="6.453125" bestFit="1" customWidth="1"/>
    <col min="4262" max="4262" width="9.1796875" bestFit="1" customWidth="1"/>
    <col min="4263" max="4263" width="6.453125" bestFit="1" customWidth="1"/>
    <col min="4264" max="4264" width="9.1796875" bestFit="1" customWidth="1"/>
    <col min="4265" max="4265" width="6.453125" bestFit="1" customWidth="1"/>
    <col min="4266" max="4266" width="9.1796875" bestFit="1" customWidth="1"/>
    <col min="4267" max="4267" width="6.453125" bestFit="1" customWidth="1"/>
    <col min="4268" max="4268" width="9.1796875" bestFit="1" customWidth="1"/>
    <col min="4269" max="4269" width="6.453125" bestFit="1" customWidth="1"/>
    <col min="4270" max="4270" width="9.1796875" bestFit="1" customWidth="1"/>
    <col min="4271" max="4271" width="6.453125" bestFit="1" customWidth="1"/>
    <col min="4272" max="4272" width="9.1796875" bestFit="1" customWidth="1"/>
    <col min="4273" max="4273" width="6.453125" bestFit="1" customWidth="1"/>
    <col min="4274" max="4274" width="9.1796875" bestFit="1" customWidth="1"/>
    <col min="4275" max="4275" width="6.453125" bestFit="1" customWidth="1"/>
    <col min="4276" max="4276" width="9.1796875" bestFit="1" customWidth="1"/>
    <col min="4277" max="4277" width="6.453125" bestFit="1" customWidth="1"/>
    <col min="4278" max="4278" width="9.1796875" bestFit="1" customWidth="1"/>
    <col min="4279" max="4279" width="6.453125" bestFit="1" customWidth="1"/>
    <col min="4280" max="4280" width="9.1796875" bestFit="1" customWidth="1"/>
    <col min="4281" max="4281" width="6.453125" bestFit="1" customWidth="1"/>
    <col min="4282" max="4282" width="9.1796875" bestFit="1" customWidth="1"/>
    <col min="4283" max="4283" width="6.453125" bestFit="1" customWidth="1"/>
    <col min="4284" max="4284" width="9.1796875" bestFit="1" customWidth="1"/>
    <col min="4285" max="4285" width="6.453125" bestFit="1" customWidth="1"/>
    <col min="4286" max="4286" width="9.1796875" bestFit="1" customWidth="1"/>
    <col min="4287" max="4287" width="6.453125" bestFit="1" customWidth="1"/>
    <col min="4288" max="4288" width="5.6796875" bestFit="1" customWidth="1"/>
    <col min="4289" max="4289" width="9.1796875" bestFit="1" customWidth="1"/>
    <col min="4290" max="4290" width="6.453125" bestFit="1" customWidth="1"/>
    <col min="4291" max="4291" width="9.1796875" bestFit="1" customWidth="1"/>
    <col min="4292" max="4292" width="6.453125" bestFit="1" customWidth="1"/>
    <col min="4293" max="4293" width="5.6796875" bestFit="1" customWidth="1"/>
    <col min="4294" max="4294" width="9.1796875" bestFit="1" customWidth="1"/>
    <col min="4295" max="4295" width="6.453125" bestFit="1" customWidth="1"/>
    <col min="4296" max="4296" width="9.1796875" bestFit="1" customWidth="1"/>
    <col min="4297" max="4297" width="6.453125" bestFit="1" customWidth="1"/>
    <col min="4298" max="4298" width="9.1796875" bestFit="1" customWidth="1"/>
    <col min="4299" max="4299" width="6.453125" bestFit="1" customWidth="1"/>
    <col min="4300" max="4300" width="9.1796875" bestFit="1" customWidth="1"/>
    <col min="4301" max="4301" width="6.453125" bestFit="1" customWidth="1"/>
    <col min="4302" max="4302" width="9.1796875" bestFit="1" customWidth="1"/>
    <col min="4303" max="4303" width="6.453125" bestFit="1" customWidth="1"/>
    <col min="4304" max="4304" width="9.1796875" bestFit="1" customWidth="1"/>
    <col min="4305" max="4305" width="6.453125" bestFit="1" customWidth="1"/>
    <col min="4306" max="4306" width="9.1796875" bestFit="1" customWidth="1"/>
    <col min="4307" max="4307" width="6.6796875" bestFit="1" customWidth="1"/>
    <col min="4308" max="4308" width="9.1796875" bestFit="1" customWidth="1"/>
    <col min="4309" max="4309" width="6.453125" bestFit="1" customWidth="1"/>
    <col min="4310" max="4310" width="9.1796875" bestFit="1" customWidth="1"/>
    <col min="4311" max="4311" width="6.453125" bestFit="1" customWidth="1"/>
    <col min="4312" max="4312" width="9.1796875" bestFit="1" customWidth="1"/>
    <col min="4313" max="4313" width="6.453125" bestFit="1" customWidth="1"/>
    <col min="4314" max="4314" width="9.1796875" bestFit="1" customWidth="1"/>
    <col min="4315" max="4315" width="6.453125" bestFit="1" customWidth="1"/>
    <col min="4316" max="4316" width="9.1796875" bestFit="1" customWidth="1"/>
    <col min="4317" max="4317" width="6.453125" bestFit="1" customWidth="1"/>
    <col min="4318" max="4318" width="9.1796875" bestFit="1" customWidth="1"/>
    <col min="4319" max="4319" width="6.453125" bestFit="1" customWidth="1"/>
    <col min="4320" max="4320" width="9.1796875" bestFit="1" customWidth="1"/>
    <col min="4321" max="4321" width="6.453125" bestFit="1" customWidth="1"/>
    <col min="4322" max="4322" width="9.1796875" bestFit="1" customWidth="1"/>
    <col min="4323" max="4323" width="6.453125" bestFit="1" customWidth="1"/>
    <col min="4324" max="4324" width="9.1796875" bestFit="1" customWidth="1"/>
    <col min="4325" max="4325" width="6.453125" bestFit="1" customWidth="1"/>
    <col min="4326" max="4326" width="9.1796875" bestFit="1" customWidth="1"/>
    <col min="4327" max="4327" width="6.453125" bestFit="1" customWidth="1"/>
    <col min="4328" max="4328" width="9.1796875" bestFit="1" customWidth="1"/>
    <col min="4329" max="4329" width="6.453125" bestFit="1" customWidth="1"/>
    <col min="4330" max="4330" width="9.1796875" bestFit="1" customWidth="1"/>
    <col min="4331" max="4331" width="6.453125" bestFit="1" customWidth="1"/>
    <col min="4332" max="4332" width="9.1796875" bestFit="1" customWidth="1"/>
    <col min="4333" max="4333" width="6.453125" bestFit="1" customWidth="1"/>
    <col min="4334" max="4334" width="9.1796875" bestFit="1" customWidth="1"/>
    <col min="4335" max="4335" width="6.453125" bestFit="1" customWidth="1"/>
    <col min="4336" max="4336" width="9.1796875" bestFit="1" customWidth="1"/>
    <col min="4337" max="4337" width="6.453125" bestFit="1" customWidth="1"/>
    <col min="4338" max="4338" width="9.1796875" bestFit="1" customWidth="1"/>
    <col min="4339" max="4339" width="6.453125" bestFit="1" customWidth="1"/>
    <col min="4340" max="4340" width="9.1796875" bestFit="1" customWidth="1"/>
    <col min="4341" max="4341" width="6.453125" bestFit="1" customWidth="1"/>
    <col min="4342" max="4342" width="4.6796875" bestFit="1" customWidth="1"/>
    <col min="4343" max="4343" width="9.1796875" bestFit="1" customWidth="1"/>
    <col min="4344" max="4344" width="6.453125" bestFit="1" customWidth="1"/>
    <col min="4345" max="4345" width="9.1796875" bestFit="1" customWidth="1"/>
    <col min="4346" max="4346" width="6.453125" bestFit="1" customWidth="1"/>
    <col min="4347" max="4347" width="9.1796875" bestFit="1" customWidth="1"/>
    <col min="4348" max="4348" width="6.453125" bestFit="1" customWidth="1"/>
    <col min="4349" max="4349" width="9.1796875" bestFit="1" customWidth="1"/>
    <col min="4350" max="4350" width="6.453125" bestFit="1" customWidth="1"/>
    <col min="4351" max="4351" width="9.1796875" bestFit="1" customWidth="1"/>
    <col min="4352" max="4352" width="6.453125" bestFit="1" customWidth="1"/>
    <col min="4353" max="4353" width="9.1796875" bestFit="1" customWidth="1"/>
    <col min="4354" max="4354" width="6.453125" bestFit="1" customWidth="1"/>
    <col min="4355" max="4355" width="9.1796875" bestFit="1" customWidth="1"/>
    <col min="4356" max="4356" width="6.453125" bestFit="1" customWidth="1"/>
    <col min="4357" max="4357" width="9.1796875" bestFit="1" customWidth="1"/>
    <col min="4358" max="4358" width="6.453125" bestFit="1" customWidth="1"/>
    <col min="4359" max="4359" width="9.1796875" bestFit="1" customWidth="1"/>
    <col min="4360" max="4360" width="6.453125" bestFit="1" customWidth="1"/>
    <col min="4361" max="4361" width="9.1796875" bestFit="1" customWidth="1"/>
    <col min="4362" max="4362" width="6.453125" bestFit="1" customWidth="1"/>
    <col min="4363" max="4363" width="9.1796875" bestFit="1" customWidth="1"/>
    <col min="4364" max="4364" width="6.453125" bestFit="1" customWidth="1"/>
    <col min="4365" max="4365" width="9.1796875" bestFit="1" customWidth="1"/>
    <col min="4366" max="4366" width="6.453125" bestFit="1" customWidth="1"/>
    <col min="4367" max="4367" width="9.1796875" bestFit="1" customWidth="1"/>
    <col min="4368" max="4368" width="6.453125" bestFit="1" customWidth="1"/>
    <col min="4369" max="4369" width="9.1796875" bestFit="1" customWidth="1"/>
    <col min="4370" max="4370" width="6.453125" bestFit="1" customWidth="1"/>
    <col min="4371" max="4371" width="9.1796875" bestFit="1" customWidth="1"/>
    <col min="4372" max="4372" width="6.453125" bestFit="1" customWidth="1"/>
    <col min="4373" max="4373" width="9.1796875" bestFit="1" customWidth="1"/>
    <col min="4374" max="4374" width="6.453125" bestFit="1" customWidth="1"/>
    <col min="4375" max="4375" width="9.1796875" bestFit="1" customWidth="1"/>
    <col min="4376" max="4376" width="6.453125" bestFit="1" customWidth="1"/>
    <col min="4377" max="4377" width="9.1796875" bestFit="1" customWidth="1"/>
    <col min="4378" max="4378" width="6.453125" bestFit="1" customWidth="1"/>
    <col min="4379" max="4379" width="9.1796875" bestFit="1" customWidth="1"/>
    <col min="4380" max="4380" width="6.453125" bestFit="1" customWidth="1"/>
    <col min="4381" max="4381" width="9.1796875" bestFit="1" customWidth="1"/>
    <col min="4382" max="4382" width="6.453125" bestFit="1" customWidth="1"/>
    <col min="4383" max="4383" width="9.1796875" bestFit="1" customWidth="1"/>
    <col min="4384" max="4384" width="6.453125" bestFit="1" customWidth="1"/>
    <col min="4385" max="4385" width="9.1796875" bestFit="1" customWidth="1"/>
    <col min="4386" max="4386" width="6.453125" bestFit="1" customWidth="1"/>
    <col min="4387" max="4387" width="9.1796875" bestFit="1" customWidth="1"/>
    <col min="4388" max="4388" width="6.453125" bestFit="1" customWidth="1"/>
    <col min="4389" max="4389" width="9.1796875" bestFit="1" customWidth="1"/>
    <col min="4390" max="4390" width="6.453125" bestFit="1" customWidth="1"/>
    <col min="4391" max="4391" width="9.1796875" bestFit="1" customWidth="1"/>
    <col min="4392" max="4392" width="6.453125" bestFit="1" customWidth="1"/>
    <col min="4393" max="4393" width="9.1796875" bestFit="1" customWidth="1"/>
    <col min="4394" max="4394" width="6.453125" bestFit="1" customWidth="1"/>
    <col min="4395" max="4395" width="9.1796875" bestFit="1" customWidth="1"/>
    <col min="4396" max="4396" width="6.453125" bestFit="1" customWidth="1"/>
    <col min="4397" max="4397" width="9.1796875" bestFit="1" customWidth="1"/>
    <col min="4398" max="4398" width="6.453125" bestFit="1" customWidth="1"/>
    <col min="4399" max="4399" width="9.1796875" bestFit="1" customWidth="1"/>
    <col min="4400" max="4400" width="6.453125" bestFit="1" customWidth="1"/>
    <col min="4401" max="4401" width="9.1796875" bestFit="1" customWidth="1"/>
    <col min="4402" max="4402" width="6.453125" bestFit="1" customWidth="1"/>
    <col min="4403" max="4403" width="9.1796875" bestFit="1" customWidth="1"/>
    <col min="4404" max="4404" width="6.453125" bestFit="1" customWidth="1"/>
    <col min="4405" max="4405" width="9.1796875" bestFit="1" customWidth="1"/>
    <col min="4406" max="4406" width="6.453125" bestFit="1" customWidth="1"/>
    <col min="4407" max="4407" width="9.1796875" bestFit="1" customWidth="1"/>
    <col min="4408" max="4408" width="6.453125" bestFit="1" customWidth="1"/>
    <col min="4409" max="4409" width="9.1796875" bestFit="1" customWidth="1"/>
    <col min="4410" max="4410" width="6.453125" bestFit="1" customWidth="1"/>
    <col min="4411" max="4411" width="9.1796875" bestFit="1" customWidth="1"/>
    <col min="4412" max="4412" width="6.453125" bestFit="1" customWidth="1"/>
    <col min="4413" max="4413" width="9.1796875" bestFit="1" customWidth="1"/>
    <col min="4414" max="4414" width="6.453125" bestFit="1" customWidth="1"/>
    <col min="4415" max="4415" width="9.1796875" bestFit="1" customWidth="1"/>
    <col min="4416" max="4416" width="6.6796875" bestFit="1" customWidth="1"/>
    <col min="4417" max="4417" width="9.1796875" bestFit="1" customWidth="1"/>
    <col min="4418" max="4418" width="6.6796875" bestFit="1" customWidth="1"/>
    <col min="4419" max="4419" width="9.1796875" bestFit="1" customWidth="1"/>
    <col min="4420" max="4420" width="6.453125" bestFit="1" customWidth="1"/>
    <col min="4421" max="4421" width="9.1796875" bestFit="1" customWidth="1"/>
    <col min="4422" max="4422" width="6.453125" bestFit="1" customWidth="1"/>
    <col min="4423" max="4423" width="9.1796875" bestFit="1" customWidth="1"/>
    <col min="4424" max="4424" width="6.453125" bestFit="1" customWidth="1"/>
    <col min="4425" max="4425" width="9.1796875" bestFit="1" customWidth="1"/>
    <col min="4426" max="4426" width="6.453125" bestFit="1" customWidth="1"/>
    <col min="4427" max="4427" width="5.6796875" bestFit="1" customWidth="1"/>
    <col min="4428" max="4428" width="9.1796875" bestFit="1" customWidth="1"/>
    <col min="4429" max="4429" width="6.453125" bestFit="1" customWidth="1"/>
    <col min="4430" max="4430" width="4.6796875" bestFit="1" customWidth="1"/>
    <col min="4431" max="4431" width="9.1796875" bestFit="1" customWidth="1"/>
    <col min="4432" max="4432" width="6.453125" bestFit="1" customWidth="1"/>
    <col min="4433" max="4433" width="9.1796875" bestFit="1" customWidth="1"/>
    <col min="4434" max="4434" width="6.453125" bestFit="1" customWidth="1"/>
    <col min="4435" max="4435" width="9.1796875" bestFit="1" customWidth="1"/>
    <col min="4436" max="4436" width="6.453125" bestFit="1" customWidth="1"/>
    <col min="4437" max="4437" width="9.1796875" bestFit="1" customWidth="1"/>
    <col min="4438" max="4438" width="6.453125" bestFit="1" customWidth="1"/>
    <col min="4439" max="4439" width="9.1796875" bestFit="1" customWidth="1"/>
    <col min="4440" max="4440" width="6.453125" bestFit="1" customWidth="1"/>
    <col min="4441" max="4441" width="9.1796875" bestFit="1" customWidth="1"/>
    <col min="4442" max="4442" width="6.453125" bestFit="1" customWidth="1"/>
    <col min="4443" max="4443" width="9.1796875" bestFit="1" customWidth="1"/>
    <col min="4444" max="4444" width="6.453125" bestFit="1" customWidth="1"/>
    <col min="4445" max="4445" width="6.6796875" bestFit="1" customWidth="1"/>
    <col min="4446" max="4446" width="9.1796875" bestFit="1" customWidth="1"/>
    <col min="4447" max="4447" width="6.453125" bestFit="1" customWidth="1"/>
    <col min="4448" max="4448" width="9.1796875" bestFit="1" customWidth="1"/>
    <col min="4449" max="4449" width="6.453125" bestFit="1" customWidth="1"/>
    <col min="4450" max="4450" width="9.1796875" bestFit="1" customWidth="1"/>
    <col min="4451" max="4451" width="6.453125" bestFit="1" customWidth="1"/>
    <col min="4452" max="4452" width="9.1796875" bestFit="1" customWidth="1"/>
    <col min="4453" max="4453" width="6.453125" bestFit="1" customWidth="1"/>
    <col min="4454" max="4454" width="9.1796875" bestFit="1" customWidth="1"/>
    <col min="4455" max="4455" width="6.453125" bestFit="1" customWidth="1"/>
    <col min="4456" max="4456" width="9.1796875" bestFit="1" customWidth="1"/>
    <col min="4457" max="4457" width="6.453125" bestFit="1" customWidth="1"/>
    <col min="4458" max="4458" width="9.1796875" bestFit="1" customWidth="1"/>
    <col min="4459" max="4459" width="6.453125" bestFit="1" customWidth="1"/>
    <col min="4460" max="4460" width="9.1796875" bestFit="1" customWidth="1"/>
    <col min="4461" max="4461" width="6.453125" bestFit="1" customWidth="1"/>
    <col min="4462" max="4462" width="9.1796875" bestFit="1" customWidth="1"/>
    <col min="4463" max="4463" width="6.453125" bestFit="1" customWidth="1"/>
    <col min="4464" max="4464" width="9.1796875" bestFit="1" customWidth="1"/>
    <col min="4465" max="4465" width="6.453125" bestFit="1" customWidth="1"/>
    <col min="4466" max="4466" width="9.1796875" bestFit="1" customWidth="1"/>
    <col min="4467" max="4467" width="6.453125" bestFit="1" customWidth="1"/>
    <col min="4468" max="4468" width="9.1796875" bestFit="1" customWidth="1"/>
    <col min="4469" max="4469" width="6.453125" bestFit="1" customWidth="1"/>
    <col min="4470" max="4470" width="3.6796875" bestFit="1" customWidth="1"/>
    <col min="4471" max="4471" width="9.1796875" bestFit="1" customWidth="1"/>
    <col min="4472" max="4472" width="6.453125" bestFit="1" customWidth="1"/>
    <col min="4473" max="4473" width="9.1796875" bestFit="1" customWidth="1"/>
    <col min="4474" max="4474" width="6.453125" bestFit="1" customWidth="1"/>
    <col min="4475" max="4475" width="9.1796875" bestFit="1" customWidth="1"/>
    <col min="4476" max="4476" width="6.453125" bestFit="1" customWidth="1"/>
    <col min="4477" max="4477" width="9.1796875" bestFit="1" customWidth="1"/>
    <col min="4478" max="4478" width="6.6796875" bestFit="1" customWidth="1"/>
    <col min="4479" max="4479" width="9.1796875" bestFit="1" customWidth="1"/>
    <col min="4480" max="4480" width="6.453125" bestFit="1" customWidth="1"/>
    <col min="4481" max="4481" width="9.1796875" bestFit="1" customWidth="1"/>
    <col min="4482" max="4482" width="6.453125" bestFit="1" customWidth="1"/>
    <col min="4483" max="4483" width="9.1796875" bestFit="1" customWidth="1"/>
    <col min="4484" max="4484" width="6.453125" bestFit="1" customWidth="1"/>
    <col min="4485" max="4485" width="9.1796875" bestFit="1" customWidth="1"/>
    <col min="4486" max="4486" width="6.453125" bestFit="1" customWidth="1"/>
    <col min="4487" max="4487" width="9.1796875" bestFit="1" customWidth="1"/>
    <col min="4488" max="4488" width="6.453125" bestFit="1" customWidth="1"/>
    <col min="4489" max="4489" width="6.6796875" bestFit="1" customWidth="1"/>
    <col min="4490" max="4490" width="9.1796875" bestFit="1" customWidth="1"/>
    <col min="4491" max="4491" width="6.453125" bestFit="1" customWidth="1"/>
    <col min="4492" max="4492" width="9.1796875" bestFit="1" customWidth="1"/>
    <col min="4493" max="4493" width="6.453125" bestFit="1" customWidth="1"/>
    <col min="4494" max="4494" width="9.1796875" bestFit="1" customWidth="1"/>
    <col min="4495" max="4495" width="6.453125" bestFit="1" customWidth="1"/>
    <col min="4496" max="4496" width="9.1796875" bestFit="1" customWidth="1"/>
    <col min="4497" max="4497" width="6.453125" bestFit="1" customWidth="1"/>
    <col min="4498" max="4498" width="9.1796875" bestFit="1" customWidth="1"/>
    <col min="4499" max="4499" width="6.453125" bestFit="1" customWidth="1"/>
    <col min="4500" max="4500" width="9.1796875" bestFit="1" customWidth="1"/>
    <col min="4501" max="4501" width="6.453125" bestFit="1" customWidth="1"/>
    <col min="4502" max="4502" width="9.1796875" bestFit="1" customWidth="1"/>
    <col min="4503" max="4503" width="6.453125" bestFit="1" customWidth="1"/>
    <col min="4504" max="4504" width="9.1796875" bestFit="1" customWidth="1"/>
    <col min="4505" max="4505" width="6.453125" bestFit="1" customWidth="1"/>
    <col min="4506" max="4506" width="9.1796875" bestFit="1" customWidth="1"/>
    <col min="4507" max="4507" width="6.453125" bestFit="1" customWidth="1"/>
    <col min="4508" max="4508" width="9.1796875" bestFit="1" customWidth="1"/>
    <col min="4509" max="4509" width="6.453125" bestFit="1" customWidth="1"/>
    <col min="4510" max="4510" width="9.1796875" bestFit="1" customWidth="1"/>
    <col min="4511" max="4511" width="6.453125" bestFit="1" customWidth="1"/>
    <col min="4512" max="4512" width="9.1796875" bestFit="1" customWidth="1"/>
    <col min="4513" max="4513" width="6.453125" bestFit="1" customWidth="1"/>
    <col min="4514" max="4514" width="9.1796875" bestFit="1" customWidth="1"/>
    <col min="4515" max="4515" width="6.453125" bestFit="1" customWidth="1"/>
    <col min="4516" max="4516" width="9.1796875" bestFit="1" customWidth="1"/>
    <col min="4517" max="4517" width="6.453125" bestFit="1" customWidth="1"/>
    <col min="4518" max="4518" width="9.1796875" bestFit="1" customWidth="1"/>
    <col min="4519" max="4519" width="6.453125" bestFit="1" customWidth="1"/>
    <col min="4520" max="4520" width="9.1796875" bestFit="1" customWidth="1"/>
    <col min="4521" max="4521" width="6.453125" bestFit="1" customWidth="1"/>
    <col min="4522" max="4522" width="9.1796875" bestFit="1" customWidth="1"/>
    <col min="4523" max="4523" width="6.453125" bestFit="1" customWidth="1"/>
    <col min="4524" max="4524" width="9.1796875" bestFit="1" customWidth="1"/>
    <col min="4525" max="4525" width="6.453125" bestFit="1" customWidth="1"/>
    <col min="4526" max="4526" width="9.1796875" bestFit="1" customWidth="1"/>
    <col min="4527" max="4527" width="6.453125" bestFit="1" customWidth="1"/>
    <col min="4528" max="4528" width="9.1796875" bestFit="1" customWidth="1"/>
    <col min="4529" max="4529" width="6.453125" bestFit="1" customWidth="1"/>
    <col min="4530" max="4530" width="9.1796875" bestFit="1" customWidth="1"/>
    <col min="4531" max="4531" width="6.453125" bestFit="1" customWidth="1"/>
    <col min="4532" max="4532" width="9.1796875" bestFit="1" customWidth="1"/>
    <col min="4533" max="4533" width="6.453125" bestFit="1" customWidth="1"/>
    <col min="4534" max="4534" width="9.1796875" bestFit="1" customWidth="1"/>
    <col min="4535" max="4535" width="6.453125" bestFit="1" customWidth="1"/>
    <col min="4536" max="4536" width="9.1796875" bestFit="1" customWidth="1"/>
    <col min="4537" max="4537" width="6.453125" bestFit="1" customWidth="1"/>
    <col min="4538" max="4538" width="9.1796875" bestFit="1" customWidth="1"/>
    <col min="4539" max="4539" width="6.6796875" bestFit="1" customWidth="1"/>
    <col min="4540" max="4540" width="9.1796875" bestFit="1" customWidth="1"/>
    <col min="4541" max="4541" width="6.453125" bestFit="1" customWidth="1"/>
    <col min="4542" max="4542" width="9.1796875" bestFit="1" customWidth="1"/>
    <col min="4543" max="4543" width="6.453125" bestFit="1" customWidth="1"/>
    <col min="4544" max="4544" width="9.1796875" bestFit="1" customWidth="1"/>
    <col min="4545" max="4545" width="6.453125" bestFit="1" customWidth="1"/>
    <col min="4546" max="4546" width="9.1796875" bestFit="1" customWidth="1"/>
    <col min="4547" max="4547" width="6.453125" bestFit="1" customWidth="1"/>
    <col min="4548" max="4548" width="9.1796875" bestFit="1" customWidth="1"/>
    <col min="4549" max="4549" width="6.453125" bestFit="1" customWidth="1"/>
    <col min="4550" max="4551" width="5.6796875" bestFit="1" customWidth="1"/>
    <col min="4552" max="4552" width="9.1796875" bestFit="1" customWidth="1"/>
    <col min="4553" max="4553" width="6.453125" bestFit="1" customWidth="1"/>
    <col min="4554" max="4554" width="9.1796875" bestFit="1" customWidth="1"/>
    <col min="4555" max="4555" width="6.453125" bestFit="1" customWidth="1"/>
    <col min="4556" max="4556" width="9.1796875" bestFit="1" customWidth="1"/>
    <col min="4557" max="4557" width="6.453125" bestFit="1" customWidth="1"/>
    <col min="4558" max="4558" width="9.1796875" bestFit="1" customWidth="1"/>
    <col min="4559" max="4559" width="6.453125" bestFit="1" customWidth="1"/>
    <col min="4560" max="4560" width="9.1796875" bestFit="1" customWidth="1"/>
    <col min="4561" max="4561" width="6.453125" bestFit="1" customWidth="1"/>
    <col min="4562" max="4562" width="9.1796875" bestFit="1" customWidth="1"/>
    <col min="4563" max="4563" width="6.453125" bestFit="1" customWidth="1"/>
    <col min="4564" max="4564" width="5.6796875" bestFit="1" customWidth="1"/>
    <col min="4565" max="4565" width="9.1796875" bestFit="1" customWidth="1"/>
    <col min="4566" max="4566" width="6.453125" bestFit="1" customWidth="1"/>
    <col min="4567" max="4567" width="9.1796875" bestFit="1" customWidth="1"/>
    <col min="4568" max="4568" width="6.453125" bestFit="1" customWidth="1"/>
    <col min="4569" max="4569" width="9.1796875" bestFit="1" customWidth="1"/>
    <col min="4570" max="4570" width="6.453125" bestFit="1" customWidth="1"/>
    <col min="4571" max="4571" width="9.1796875" bestFit="1" customWidth="1"/>
    <col min="4572" max="4572" width="6.453125" bestFit="1" customWidth="1"/>
    <col min="4573" max="4573" width="9.1796875" bestFit="1" customWidth="1"/>
    <col min="4574" max="4574" width="6.453125" bestFit="1" customWidth="1"/>
    <col min="4575" max="4575" width="9.1796875" bestFit="1" customWidth="1"/>
    <col min="4576" max="4576" width="6.453125" bestFit="1" customWidth="1"/>
    <col min="4577" max="4577" width="9.1796875" bestFit="1" customWidth="1"/>
    <col min="4578" max="4578" width="6.453125" bestFit="1" customWidth="1"/>
    <col min="4579" max="4579" width="9.1796875" bestFit="1" customWidth="1"/>
    <col min="4580" max="4580" width="6.453125" bestFit="1" customWidth="1"/>
    <col min="4581" max="4581" width="9.1796875" bestFit="1" customWidth="1"/>
    <col min="4582" max="4582" width="6.453125" bestFit="1" customWidth="1"/>
    <col min="4583" max="4583" width="9.1796875" bestFit="1" customWidth="1"/>
    <col min="4584" max="4584" width="6.453125" bestFit="1" customWidth="1"/>
    <col min="4585" max="4585" width="9.1796875" bestFit="1" customWidth="1"/>
    <col min="4586" max="4586" width="6.453125" bestFit="1" customWidth="1"/>
    <col min="4587" max="4587" width="9.1796875" bestFit="1" customWidth="1"/>
    <col min="4588" max="4588" width="6.453125" bestFit="1" customWidth="1"/>
    <col min="4589" max="4589" width="9.1796875" bestFit="1" customWidth="1"/>
    <col min="4590" max="4590" width="6.453125" bestFit="1" customWidth="1"/>
    <col min="4591" max="4591" width="5.6796875" bestFit="1" customWidth="1"/>
    <col min="4592" max="4592" width="9.1796875" bestFit="1" customWidth="1"/>
    <col min="4593" max="4593" width="6.453125" bestFit="1" customWidth="1"/>
    <col min="4594" max="4594" width="9.1796875" bestFit="1" customWidth="1"/>
    <col min="4595" max="4595" width="6.453125" bestFit="1" customWidth="1"/>
    <col min="4596" max="4596" width="9.1796875" bestFit="1" customWidth="1"/>
    <col min="4597" max="4597" width="6.453125" bestFit="1" customWidth="1"/>
    <col min="4598" max="4598" width="9.1796875" bestFit="1" customWidth="1"/>
    <col min="4599" max="4599" width="6.453125" bestFit="1" customWidth="1"/>
    <col min="4600" max="4600" width="9.1796875" bestFit="1" customWidth="1"/>
    <col min="4601" max="4601" width="6.453125" bestFit="1" customWidth="1"/>
    <col min="4602" max="4602" width="9.1796875" bestFit="1" customWidth="1"/>
    <col min="4603" max="4603" width="6.453125" bestFit="1" customWidth="1"/>
    <col min="4604" max="4604" width="9.1796875" bestFit="1" customWidth="1"/>
    <col min="4605" max="4605" width="6.453125" bestFit="1" customWidth="1"/>
    <col min="4606" max="4606" width="9.1796875" bestFit="1" customWidth="1"/>
    <col min="4607" max="4607" width="6.453125" bestFit="1" customWidth="1"/>
    <col min="4608" max="4608" width="9.1796875" bestFit="1" customWidth="1"/>
    <col min="4609" max="4609" width="6.453125" bestFit="1" customWidth="1"/>
    <col min="4610" max="4610" width="9.1796875" bestFit="1" customWidth="1"/>
    <col min="4611" max="4611" width="6.6796875" bestFit="1" customWidth="1"/>
    <col min="4612" max="4612" width="9.1796875" bestFit="1" customWidth="1"/>
    <col min="4613" max="4613" width="6.453125" bestFit="1" customWidth="1"/>
    <col min="4614" max="4614" width="9.1796875" bestFit="1" customWidth="1"/>
    <col min="4615" max="4615" width="6.453125" bestFit="1" customWidth="1"/>
    <col min="4616" max="4616" width="9.1796875" bestFit="1" customWidth="1"/>
    <col min="4617" max="4617" width="6.453125" bestFit="1" customWidth="1"/>
    <col min="4618" max="4618" width="9.1796875" bestFit="1" customWidth="1"/>
    <col min="4619" max="4619" width="6.453125" bestFit="1" customWidth="1"/>
    <col min="4620" max="4620" width="9.1796875" bestFit="1" customWidth="1"/>
    <col min="4621" max="4621" width="6.453125" bestFit="1" customWidth="1"/>
    <col min="4622" max="4622" width="9.1796875" bestFit="1" customWidth="1"/>
    <col min="4623" max="4623" width="6.453125" bestFit="1" customWidth="1"/>
    <col min="4624" max="4624" width="9.1796875" bestFit="1" customWidth="1"/>
    <col min="4625" max="4625" width="6.453125" bestFit="1" customWidth="1"/>
    <col min="4626" max="4626" width="9.1796875" bestFit="1" customWidth="1"/>
    <col min="4627" max="4627" width="6.453125" bestFit="1" customWidth="1"/>
    <col min="4628" max="4628" width="9.1796875" bestFit="1" customWidth="1"/>
    <col min="4629" max="4629" width="6.453125" bestFit="1" customWidth="1"/>
    <col min="4630" max="4630" width="5.6796875" bestFit="1" customWidth="1"/>
    <col min="4631" max="4631" width="9.1796875" bestFit="1" customWidth="1"/>
    <col min="4632" max="4632" width="6.453125" bestFit="1" customWidth="1"/>
    <col min="4633" max="4633" width="9.1796875" bestFit="1" customWidth="1"/>
    <col min="4634" max="4634" width="6.453125" bestFit="1" customWidth="1"/>
    <col min="4635" max="4635" width="9.1796875" bestFit="1" customWidth="1"/>
    <col min="4636" max="4636" width="7.6796875" bestFit="1" customWidth="1"/>
    <col min="4637" max="4637" width="9.1796875" bestFit="1" customWidth="1"/>
    <col min="4638" max="4638" width="6.453125" bestFit="1" customWidth="1"/>
    <col min="4639" max="4639" width="9.1796875" bestFit="1" customWidth="1"/>
    <col min="4640" max="4640" width="6.453125" bestFit="1" customWidth="1"/>
    <col min="4641" max="4641" width="9.1796875" bestFit="1" customWidth="1"/>
    <col min="4642" max="4642" width="6.453125" bestFit="1" customWidth="1"/>
    <col min="4643" max="4643" width="9.1796875" bestFit="1" customWidth="1"/>
    <col min="4644" max="4644" width="6.453125" bestFit="1" customWidth="1"/>
    <col min="4645" max="4645" width="9.1796875" bestFit="1" customWidth="1"/>
    <col min="4646" max="4646" width="6.453125" bestFit="1" customWidth="1"/>
    <col min="4647" max="4647" width="9.1796875" bestFit="1" customWidth="1"/>
    <col min="4648" max="4648" width="6.453125" bestFit="1" customWidth="1"/>
    <col min="4649" max="4649" width="9.1796875" bestFit="1" customWidth="1"/>
    <col min="4650" max="4650" width="6.453125" bestFit="1" customWidth="1"/>
    <col min="4651" max="4651" width="9.1796875" bestFit="1" customWidth="1"/>
    <col min="4652" max="4652" width="6.453125" bestFit="1" customWidth="1"/>
    <col min="4653" max="4653" width="9.1796875" bestFit="1" customWidth="1"/>
    <col min="4654" max="4654" width="6.453125" bestFit="1" customWidth="1"/>
    <col min="4655" max="4655" width="9.1796875" bestFit="1" customWidth="1"/>
    <col min="4656" max="4656" width="6.453125" bestFit="1" customWidth="1"/>
    <col min="4657" max="4657" width="9.1796875" bestFit="1" customWidth="1"/>
    <col min="4658" max="4658" width="6.453125" bestFit="1" customWidth="1"/>
    <col min="4659" max="4659" width="9.1796875" bestFit="1" customWidth="1"/>
    <col min="4660" max="4660" width="6.453125" bestFit="1" customWidth="1"/>
    <col min="4661" max="4661" width="9.1796875" bestFit="1" customWidth="1"/>
    <col min="4662" max="4662" width="6.453125" bestFit="1" customWidth="1"/>
    <col min="4663" max="4663" width="9.1796875" bestFit="1" customWidth="1"/>
    <col min="4664" max="4664" width="6.453125" bestFit="1" customWidth="1"/>
    <col min="4665" max="4665" width="9.1796875" bestFit="1" customWidth="1"/>
    <col min="4666" max="4666" width="6.453125" bestFit="1" customWidth="1"/>
    <col min="4667" max="4667" width="4.6796875" bestFit="1" customWidth="1"/>
    <col min="4668" max="4668" width="9.1796875" bestFit="1" customWidth="1"/>
    <col min="4669" max="4669" width="6.453125" bestFit="1" customWidth="1"/>
    <col min="4670" max="4670" width="9.1796875" bestFit="1" customWidth="1"/>
    <col min="4671" max="4671" width="6.453125" bestFit="1" customWidth="1"/>
    <col min="4672" max="4672" width="9.1796875" bestFit="1" customWidth="1"/>
    <col min="4673" max="4673" width="6.453125" bestFit="1" customWidth="1"/>
    <col min="4674" max="4674" width="9.1796875" bestFit="1" customWidth="1"/>
    <col min="4675" max="4675" width="6.453125" bestFit="1" customWidth="1"/>
    <col min="4676" max="4676" width="9.1796875" bestFit="1" customWidth="1"/>
    <col min="4677" max="4677" width="6.453125" bestFit="1" customWidth="1"/>
    <col min="4678" max="4678" width="9.1796875" bestFit="1" customWidth="1"/>
    <col min="4679" max="4679" width="6.453125" bestFit="1" customWidth="1"/>
    <col min="4680" max="4680" width="9.1796875" bestFit="1" customWidth="1"/>
    <col min="4681" max="4681" width="6.453125" bestFit="1" customWidth="1"/>
    <col min="4682" max="4682" width="6.6796875" bestFit="1" customWidth="1"/>
    <col min="4683" max="4683" width="9.1796875" bestFit="1" customWidth="1"/>
    <col min="4684" max="4684" width="6.453125" bestFit="1" customWidth="1"/>
    <col min="4685" max="4685" width="9.1796875" bestFit="1" customWidth="1"/>
    <col min="4686" max="4686" width="6.453125" bestFit="1" customWidth="1"/>
    <col min="4687" max="4687" width="9.1796875" bestFit="1" customWidth="1"/>
    <col min="4688" max="4688" width="6.453125" bestFit="1" customWidth="1"/>
    <col min="4689" max="4689" width="9.1796875" bestFit="1" customWidth="1"/>
    <col min="4690" max="4690" width="6.453125" bestFit="1" customWidth="1"/>
    <col min="4691" max="4691" width="9.1796875" bestFit="1" customWidth="1"/>
    <col min="4692" max="4692" width="6.453125" bestFit="1" customWidth="1"/>
    <col min="4693" max="4693" width="9.1796875" bestFit="1" customWidth="1"/>
    <col min="4694" max="4694" width="6.453125" bestFit="1" customWidth="1"/>
    <col min="4695" max="4695" width="9.1796875" bestFit="1" customWidth="1"/>
    <col min="4696" max="4696" width="6.453125" bestFit="1" customWidth="1"/>
    <col min="4697" max="4697" width="9.1796875" bestFit="1" customWidth="1"/>
    <col min="4698" max="4698" width="6.453125" bestFit="1" customWidth="1"/>
    <col min="4699" max="4699" width="9.1796875" bestFit="1" customWidth="1"/>
    <col min="4700" max="4700" width="6.453125" bestFit="1" customWidth="1"/>
    <col min="4701" max="4701" width="9.1796875" bestFit="1" customWidth="1"/>
    <col min="4702" max="4702" width="6.453125" bestFit="1" customWidth="1"/>
    <col min="4703" max="4703" width="9.1796875" bestFit="1" customWidth="1"/>
    <col min="4704" max="4704" width="6.6796875" bestFit="1" customWidth="1"/>
    <col min="4705" max="4705" width="9.1796875" bestFit="1" customWidth="1"/>
    <col min="4706" max="4706" width="6.453125" bestFit="1" customWidth="1"/>
    <col min="4707" max="4707" width="9.1796875" bestFit="1" customWidth="1"/>
    <col min="4708" max="4708" width="6.453125" bestFit="1" customWidth="1"/>
    <col min="4709" max="4709" width="9.1796875" bestFit="1" customWidth="1"/>
    <col min="4710" max="4710" width="6.453125" bestFit="1" customWidth="1"/>
    <col min="4711" max="4711" width="9.1796875" bestFit="1" customWidth="1"/>
    <col min="4712" max="4712" width="6.453125" bestFit="1" customWidth="1"/>
    <col min="4713" max="4713" width="7.6796875" bestFit="1" customWidth="1"/>
    <col min="4714" max="4714" width="9.1796875" bestFit="1" customWidth="1"/>
    <col min="4715" max="4715" width="6.453125" bestFit="1" customWidth="1"/>
    <col min="4716" max="4716" width="9.1796875" bestFit="1" customWidth="1"/>
    <col min="4717" max="4717" width="6.453125" bestFit="1" customWidth="1"/>
    <col min="4718" max="4718" width="9.1796875" bestFit="1" customWidth="1"/>
    <col min="4719" max="4719" width="6.453125" bestFit="1" customWidth="1"/>
    <col min="4720" max="4720" width="3.6796875" bestFit="1" customWidth="1"/>
    <col min="4721" max="4721" width="4.6796875" bestFit="1" customWidth="1"/>
    <col min="4722" max="4722" width="9.1796875" bestFit="1" customWidth="1"/>
    <col min="4723" max="4723" width="6.453125" bestFit="1" customWidth="1"/>
    <col min="4724" max="4724" width="9.1796875" bestFit="1" customWidth="1"/>
    <col min="4725" max="4725" width="6.453125" bestFit="1" customWidth="1"/>
    <col min="4726" max="4726" width="9.1796875" bestFit="1" customWidth="1"/>
    <col min="4727" max="4727" width="6.453125" bestFit="1" customWidth="1"/>
    <col min="4728" max="4728" width="9.1796875" bestFit="1" customWidth="1"/>
    <col min="4729" max="4729" width="6.453125" bestFit="1" customWidth="1"/>
    <col min="4730" max="4730" width="9.1796875" bestFit="1" customWidth="1"/>
    <col min="4731" max="4731" width="6.453125" bestFit="1" customWidth="1"/>
    <col min="4732" max="4732" width="9.1796875" bestFit="1" customWidth="1"/>
    <col min="4733" max="4733" width="6.453125" bestFit="1" customWidth="1"/>
    <col min="4734" max="4734" width="9.1796875" bestFit="1" customWidth="1"/>
    <col min="4735" max="4735" width="6.453125" bestFit="1" customWidth="1"/>
    <col min="4736" max="4736" width="6.6796875" bestFit="1" customWidth="1"/>
    <col min="4737" max="4737" width="9.1796875" bestFit="1" customWidth="1"/>
    <col min="4738" max="4738" width="6.453125" bestFit="1" customWidth="1"/>
    <col min="4739" max="4739" width="9.1796875" bestFit="1" customWidth="1"/>
    <col min="4740" max="4740" width="6.453125" bestFit="1" customWidth="1"/>
    <col min="4741" max="4741" width="9.1796875" bestFit="1" customWidth="1"/>
    <col min="4742" max="4742" width="6.453125" bestFit="1" customWidth="1"/>
    <col min="4743" max="4743" width="9.1796875" bestFit="1" customWidth="1"/>
    <col min="4744" max="4744" width="6.453125" bestFit="1" customWidth="1"/>
    <col min="4745" max="4745" width="9.1796875" bestFit="1" customWidth="1"/>
    <col min="4746" max="4746" width="6.453125" bestFit="1" customWidth="1"/>
    <col min="4747" max="4747" width="9.1796875" bestFit="1" customWidth="1"/>
    <col min="4748" max="4748" width="6.453125" bestFit="1" customWidth="1"/>
    <col min="4749" max="4749" width="9.1796875" bestFit="1" customWidth="1"/>
    <col min="4750" max="4750" width="6.453125" bestFit="1" customWidth="1"/>
    <col min="4751" max="4751" width="9.1796875" bestFit="1" customWidth="1"/>
    <col min="4752" max="4752" width="6.453125" bestFit="1" customWidth="1"/>
    <col min="4753" max="4753" width="9.1796875" bestFit="1" customWidth="1"/>
    <col min="4754" max="4754" width="6.453125" bestFit="1" customWidth="1"/>
    <col min="4755" max="4755" width="9.1796875" bestFit="1" customWidth="1"/>
    <col min="4756" max="4756" width="6.453125" bestFit="1" customWidth="1"/>
    <col min="4757" max="4757" width="9.1796875" bestFit="1" customWidth="1"/>
    <col min="4758" max="4758" width="6.453125" bestFit="1" customWidth="1"/>
    <col min="4759" max="4759" width="9.1796875" bestFit="1" customWidth="1"/>
    <col min="4760" max="4760" width="6.453125" bestFit="1" customWidth="1"/>
    <col min="4761" max="4761" width="9.1796875" bestFit="1" customWidth="1"/>
    <col min="4762" max="4762" width="6.453125" bestFit="1" customWidth="1"/>
    <col min="4763" max="4763" width="9.1796875" bestFit="1" customWidth="1"/>
    <col min="4764" max="4764" width="6.453125" bestFit="1" customWidth="1"/>
    <col min="4765" max="4765" width="9.1796875" bestFit="1" customWidth="1"/>
    <col min="4766" max="4766" width="6.453125" bestFit="1" customWidth="1"/>
    <col min="4767" max="4767" width="9.1796875" bestFit="1" customWidth="1"/>
    <col min="4768" max="4768" width="6.453125" bestFit="1" customWidth="1"/>
    <col min="4769" max="4769" width="9.1796875" bestFit="1" customWidth="1"/>
    <col min="4770" max="4770" width="6.453125" bestFit="1" customWidth="1"/>
    <col min="4771" max="4771" width="9.1796875" bestFit="1" customWidth="1"/>
    <col min="4772" max="4772" width="6.453125" bestFit="1" customWidth="1"/>
    <col min="4773" max="4773" width="9.1796875" bestFit="1" customWidth="1"/>
    <col min="4774" max="4774" width="6.453125" bestFit="1" customWidth="1"/>
    <col min="4775" max="4775" width="9.1796875" bestFit="1" customWidth="1"/>
    <col min="4776" max="4776" width="6.453125" bestFit="1" customWidth="1"/>
    <col min="4777" max="4777" width="9.1796875" bestFit="1" customWidth="1"/>
    <col min="4778" max="4778" width="6.453125" bestFit="1" customWidth="1"/>
    <col min="4779" max="4779" width="9.1796875" bestFit="1" customWidth="1"/>
    <col min="4780" max="4780" width="6.453125" bestFit="1" customWidth="1"/>
    <col min="4781" max="4781" width="5.6796875" bestFit="1" customWidth="1"/>
    <col min="4782" max="4782" width="9.1796875" bestFit="1" customWidth="1"/>
    <col min="4783" max="4783" width="6.453125" bestFit="1" customWidth="1"/>
    <col min="4784" max="4784" width="9.1796875" bestFit="1" customWidth="1"/>
    <col min="4785" max="4785" width="6.453125" bestFit="1" customWidth="1"/>
    <col min="4786" max="4786" width="9.1796875" bestFit="1" customWidth="1"/>
    <col min="4787" max="4787" width="6.453125" bestFit="1" customWidth="1"/>
    <col min="4788" max="4788" width="9.1796875" bestFit="1" customWidth="1"/>
    <col min="4789" max="4789" width="6.453125" bestFit="1" customWidth="1"/>
    <col min="4790" max="4790" width="9.1796875" bestFit="1" customWidth="1"/>
    <col min="4791" max="4791" width="6.453125" bestFit="1" customWidth="1"/>
    <col min="4792" max="4792" width="9.1796875" bestFit="1" customWidth="1"/>
    <col min="4793" max="4793" width="6.453125" bestFit="1" customWidth="1"/>
    <col min="4794" max="4794" width="9.1796875" bestFit="1" customWidth="1"/>
    <col min="4795" max="4795" width="6.453125" bestFit="1" customWidth="1"/>
    <col min="4796" max="4796" width="9.1796875" bestFit="1" customWidth="1"/>
    <col min="4797" max="4797" width="6.453125" bestFit="1" customWidth="1"/>
    <col min="4798" max="4798" width="9.1796875" bestFit="1" customWidth="1"/>
    <col min="4799" max="4799" width="6.453125" bestFit="1" customWidth="1"/>
    <col min="4800" max="4800" width="9.1796875" bestFit="1" customWidth="1"/>
    <col min="4801" max="4801" width="6.453125" bestFit="1" customWidth="1"/>
    <col min="4802" max="4802" width="9.1796875" bestFit="1" customWidth="1"/>
    <col min="4803" max="4803" width="6.453125" bestFit="1" customWidth="1"/>
    <col min="4804" max="4804" width="6.6796875" bestFit="1" customWidth="1"/>
    <col min="4805" max="4805" width="9.1796875" bestFit="1" customWidth="1"/>
    <col min="4806" max="4806" width="6.453125" bestFit="1" customWidth="1"/>
    <col min="4807" max="4807" width="9.1796875" bestFit="1" customWidth="1"/>
    <col min="4808" max="4808" width="6.453125" bestFit="1" customWidth="1"/>
    <col min="4809" max="4809" width="9.1796875" bestFit="1" customWidth="1"/>
    <col min="4810" max="4810" width="6.453125" bestFit="1" customWidth="1"/>
    <col min="4811" max="4811" width="9.1796875" bestFit="1" customWidth="1"/>
    <col min="4812" max="4812" width="6.453125" bestFit="1" customWidth="1"/>
    <col min="4813" max="4813" width="4.6796875" bestFit="1" customWidth="1"/>
    <col min="4814" max="4814" width="9.1796875" bestFit="1" customWidth="1"/>
    <col min="4815" max="4815" width="6.453125" bestFit="1" customWidth="1"/>
    <col min="4816" max="4816" width="9.1796875" bestFit="1" customWidth="1"/>
    <col min="4817" max="4817" width="6.453125" bestFit="1" customWidth="1"/>
    <col min="4818" max="4818" width="9.1796875" bestFit="1" customWidth="1"/>
    <col min="4819" max="4819" width="6.453125" bestFit="1" customWidth="1"/>
    <col min="4820" max="4820" width="9.1796875" bestFit="1" customWidth="1"/>
    <col min="4821" max="4821" width="6.453125" bestFit="1" customWidth="1"/>
    <col min="4822" max="4822" width="9.1796875" bestFit="1" customWidth="1"/>
    <col min="4823" max="4823" width="6.453125" bestFit="1" customWidth="1"/>
    <col min="4824" max="4824" width="9.1796875" bestFit="1" customWidth="1"/>
    <col min="4825" max="4825" width="6.453125" bestFit="1" customWidth="1"/>
    <col min="4826" max="4826" width="9.1796875" bestFit="1" customWidth="1"/>
    <col min="4827" max="4827" width="6.453125" bestFit="1" customWidth="1"/>
    <col min="4828" max="4828" width="5.6796875" bestFit="1" customWidth="1"/>
    <col min="4829" max="4829" width="9.1796875" bestFit="1" customWidth="1"/>
    <col min="4830" max="4830" width="6.453125" bestFit="1" customWidth="1"/>
    <col min="4831" max="4831" width="9.1796875" bestFit="1" customWidth="1"/>
    <col min="4832" max="4832" width="6.453125" bestFit="1" customWidth="1"/>
    <col min="4833" max="4834" width="3.6796875" bestFit="1" customWidth="1"/>
    <col min="4835" max="4835" width="9.1796875" bestFit="1" customWidth="1"/>
    <col min="4836" max="4836" width="6.453125" bestFit="1" customWidth="1"/>
    <col min="4837" max="4837" width="9.1796875" bestFit="1" customWidth="1"/>
    <col min="4838" max="4838" width="6.453125" bestFit="1" customWidth="1"/>
    <col min="4839" max="4839" width="9.1796875" bestFit="1" customWidth="1"/>
    <col min="4840" max="4840" width="6.453125" bestFit="1" customWidth="1"/>
    <col min="4841" max="4841" width="9.1796875" bestFit="1" customWidth="1"/>
    <col min="4842" max="4842" width="6.453125" bestFit="1" customWidth="1"/>
    <col min="4843" max="4843" width="9.1796875" bestFit="1" customWidth="1"/>
    <col min="4844" max="4844" width="6.453125" bestFit="1" customWidth="1"/>
    <col min="4845" max="4845" width="9.1796875" bestFit="1" customWidth="1"/>
    <col min="4846" max="4846" width="6.453125" bestFit="1" customWidth="1"/>
    <col min="4847" max="4847" width="9.1796875" bestFit="1" customWidth="1"/>
    <col min="4848" max="4848" width="6.453125" bestFit="1" customWidth="1"/>
    <col min="4849" max="4849" width="6.6796875" bestFit="1" customWidth="1"/>
    <col min="4850" max="4850" width="9.1796875" bestFit="1" customWidth="1"/>
    <col min="4851" max="4851" width="6.453125" bestFit="1" customWidth="1"/>
    <col min="4852" max="4852" width="9.1796875" bestFit="1" customWidth="1"/>
    <col min="4853" max="4853" width="6.453125" bestFit="1" customWidth="1"/>
    <col min="4854" max="4854" width="9.1796875" bestFit="1" customWidth="1"/>
    <col min="4855" max="4855" width="6.6796875" bestFit="1" customWidth="1"/>
    <col min="4856" max="4856" width="9.1796875" bestFit="1" customWidth="1"/>
    <col min="4857" max="4857" width="6.453125" bestFit="1" customWidth="1"/>
    <col min="4858" max="4858" width="9.1796875" bestFit="1" customWidth="1"/>
    <col min="4859" max="4859" width="6.453125" bestFit="1" customWidth="1"/>
    <col min="4860" max="4860" width="9.1796875" bestFit="1" customWidth="1"/>
    <col min="4861" max="4861" width="6.453125" bestFit="1" customWidth="1"/>
    <col min="4862" max="4862" width="9.1796875" bestFit="1" customWidth="1"/>
    <col min="4863" max="4863" width="6.453125" bestFit="1" customWidth="1"/>
    <col min="4864" max="4864" width="9.1796875" bestFit="1" customWidth="1"/>
    <col min="4865" max="4865" width="6.453125" bestFit="1" customWidth="1"/>
    <col min="4866" max="4866" width="9.1796875" bestFit="1" customWidth="1"/>
    <col min="4867" max="4867" width="6.453125" bestFit="1" customWidth="1"/>
    <col min="4868" max="4868" width="9.1796875" bestFit="1" customWidth="1"/>
    <col min="4869" max="4869" width="6.453125" bestFit="1" customWidth="1"/>
    <col min="4870" max="4870" width="9.1796875" bestFit="1" customWidth="1"/>
    <col min="4871" max="4871" width="6.453125" bestFit="1" customWidth="1"/>
    <col min="4872" max="4872" width="9.1796875" bestFit="1" customWidth="1"/>
    <col min="4873" max="4873" width="6.453125" bestFit="1" customWidth="1"/>
    <col min="4874" max="4874" width="9.1796875" bestFit="1" customWidth="1"/>
    <col min="4875" max="4875" width="6.453125" bestFit="1" customWidth="1"/>
    <col min="4876" max="4876" width="9.1796875" bestFit="1" customWidth="1"/>
    <col min="4877" max="4877" width="6.453125" bestFit="1" customWidth="1"/>
    <col min="4878" max="4878" width="9.1796875" bestFit="1" customWidth="1"/>
    <col min="4879" max="4879" width="6.453125" bestFit="1" customWidth="1"/>
    <col min="4880" max="4880" width="9.1796875" bestFit="1" customWidth="1"/>
    <col min="4881" max="4881" width="6.453125" bestFit="1" customWidth="1"/>
    <col min="4882" max="4882" width="9.1796875" bestFit="1" customWidth="1"/>
    <col min="4883" max="4883" width="6.453125" bestFit="1" customWidth="1"/>
    <col min="4884" max="4884" width="9.1796875" bestFit="1" customWidth="1"/>
    <col min="4885" max="4885" width="6.453125" bestFit="1" customWidth="1"/>
    <col min="4886" max="4886" width="9.1796875" bestFit="1" customWidth="1"/>
    <col min="4887" max="4887" width="6.453125" bestFit="1" customWidth="1"/>
    <col min="4888" max="4888" width="9.1796875" bestFit="1" customWidth="1"/>
    <col min="4889" max="4889" width="6.453125" bestFit="1" customWidth="1"/>
    <col min="4890" max="4890" width="9.1796875" bestFit="1" customWidth="1"/>
    <col min="4891" max="4891" width="6.453125" bestFit="1" customWidth="1"/>
    <col min="4892" max="4892" width="9.1796875" bestFit="1" customWidth="1"/>
    <col min="4893" max="4893" width="6.453125" bestFit="1" customWidth="1"/>
    <col min="4894" max="4894" width="9.1796875" bestFit="1" customWidth="1"/>
    <col min="4895" max="4895" width="6.453125" bestFit="1" customWidth="1"/>
    <col min="4896" max="4896" width="9.1796875" bestFit="1" customWidth="1"/>
    <col min="4897" max="4897" width="6.453125" bestFit="1" customWidth="1"/>
    <col min="4898" max="4898" width="9.1796875" bestFit="1" customWidth="1"/>
    <col min="4899" max="4899" width="6.453125" bestFit="1" customWidth="1"/>
    <col min="4900" max="4900" width="9.1796875" bestFit="1" customWidth="1"/>
    <col min="4901" max="4901" width="6.453125" bestFit="1" customWidth="1"/>
    <col min="4902" max="4902" width="9.1796875" bestFit="1" customWidth="1"/>
    <col min="4903" max="4903" width="6.453125" bestFit="1" customWidth="1"/>
    <col min="4904" max="4904" width="9.1796875" bestFit="1" customWidth="1"/>
    <col min="4905" max="4905" width="6.453125" bestFit="1" customWidth="1"/>
    <col min="4906" max="4906" width="9.1796875" bestFit="1" customWidth="1"/>
    <col min="4907" max="4907" width="6.453125" bestFit="1" customWidth="1"/>
    <col min="4908" max="4908" width="9.1796875" bestFit="1" customWidth="1"/>
    <col min="4909" max="4909" width="6.453125" bestFit="1" customWidth="1"/>
    <col min="4910" max="4910" width="9.1796875" bestFit="1" customWidth="1"/>
    <col min="4911" max="4911" width="6.453125" bestFit="1" customWidth="1"/>
    <col min="4912" max="4912" width="9.1796875" bestFit="1" customWidth="1"/>
    <col min="4913" max="4913" width="6.453125" bestFit="1" customWidth="1"/>
    <col min="4914" max="4914" width="9.1796875" bestFit="1" customWidth="1"/>
    <col min="4915" max="4915" width="6.453125" bestFit="1" customWidth="1"/>
    <col min="4916" max="4916" width="9.1796875" bestFit="1" customWidth="1"/>
    <col min="4917" max="4917" width="6.453125" bestFit="1" customWidth="1"/>
    <col min="4918" max="4918" width="9.1796875" bestFit="1" customWidth="1"/>
    <col min="4919" max="4919" width="6.453125" bestFit="1" customWidth="1"/>
    <col min="4920" max="4920" width="9.1796875" bestFit="1" customWidth="1"/>
    <col min="4921" max="4921" width="6.453125" bestFit="1" customWidth="1"/>
    <col min="4922" max="4922" width="9.1796875" bestFit="1" customWidth="1"/>
    <col min="4923" max="4923" width="6.453125" bestFit="1" customWidth="1"/>
    <col min="4924" max="4924" width="9.1796875" bestFit="1" customWidth="1"/>
    <col min="4925" max="4925" width="6.453125" bestFit="1" customWidth="1"/>
    <col min="4926" max="4926" width="9.1796875" bestFit="1" customWidth="1"/>
    <col min="4927" max="4927" width="6.453125" bestFit="1" customWidth="1"/>
    <col min="4928" max="4928" width="5.6796875" bestFit="1" customWidth="1"/>
    <col min="4929" max="4929" width="9.1796875" bestFit="1" customWidth="1"/>
    <col min="4930" max="4930" width="6.453125" bestFit="1" customWidth="1"/>
    <col min="4931" max="4931" width="9.1796875" bestFit="1" customWidth="1"/>
    <col min="4932" max="4932" width="6.453125" bestFit="1" customWidth="1"/>
    <col min="4933" max="4933" width="9.1796875" bestFit="1" customWidth="1"/>
    <col min="4934" max="4934" width="6.453125" bestFit="1" customWidth="1"/>
    <col min="4935" max="4935" width="9.1796875" bestFit="1" customWidth="1"/>
    <col min="4936" max="4937" width="6.6796875" bestFit="1" customWidth="1"/>
    <col min="4938" max="4938" width="9.1796875" bestFit="1" customWidth="1"/>
    <col min="4939" max="4939" width="6.453125" bestFit="1" customWidth="1"/>
    <col min="4940" max="4940" width="9.1796875" bestFit="1" customWidth="1"/>
    <col min="4941" max="4941" width="6.453125" bestFit="1" customWidth="1"/>
    <col min="4942" max="4942" width="9.1796875" bestFit="1" customWidth="1"/>
    <col min="4943" max="4943" width="6.453125" bestFit="1" customWidth="1"/>
    <col min="4944" max="4944" width="9.1796875" bestFit="1" customWidth="1"/>
    <col min="4945" max="4945" width="6.453125" bestFit="1" customWidth="1"/>
    <col min="4946" max="4946" width="9.1796875" bestFit="1" customWidth="1"/>
    <col min="4947" max="4947" width="6.453125" bestFit="1" customWidth="1"/>
    <col min="4948" max="4948" width="9.1796875" bestFit="1" customWidth="1"/>
    <col min="4949" max="4949" width="6.453125" bestFit="1" customWidth="1"/>
    <col min="4950" max="4950" width="9.1796875" bestFit="1" customWidth="1"/>
    <col min="4951" max="4951" width="6.453125" bestFit="1" customWidth="1"/>
    <col min="4952" max="4952" width="9.1796875" bestFit="1" customWidth="1"/>
    <col min="4953" max="4953" width="6.453125" bestFit="1" customWidth="1"/>
    <col min="4954" max="4954" width="9.1796875" bestFit="1" customWidth="1"/>
    <col min="4955" max="4955" width="6.453125" bestFit="1" customWidth="1"/>
    <col min="4956" max="4956" width="9.1796875" bestFit="1" customWidth="1"/>
    <col min="4957" max="4957" width="6.453125" bestFit="1" customWidth="1"/>
    <col min="4958" max="4958" width="9.1796875" bestFit="1" customWidth="1"/>
    <col min="4959" max="4959" width="6.453125" bestFit="1" customWidth="1"/>
    <col min="4960" max="4960" width="9.1796875" bestFit="1" customWidth="1"/>
    <col min="4961" max="4961" width="6.453125" bestFit="1" customWidth="1"/>
    <col min="4962" max="4962" width="9.1796875" bestFit="1" customWidth="1"/>
    <col min="4963" max="4963" width="6.453125" bestFit="1" customWidth="1"/>
    <col min="4964" max="4964" width="9.1796875" bestFit="1" customWidth="1"/>
    <col min="4965" max="4965" width="6.453125" bestFit="1" customWidth="1"/>
    <col min="4966" max="4966" width="9.1796875" bestFit="1" customWidth="1"/>
    <col min="4967" max="4967" width="6.453125" bestFit="1" customWidth="1"/>
    <col min="4968" max="4968" width="9.1796875" bestFit="1" customWidth="1"/>
    <col min="4969" max="4969" width="6.453125" bestFit="1" customWidth="1"/>
    <col min="4970" max="4970" width="9.1796875" bestFit="1" customWidth="1"/>
    <col min="4971" max="4971" width="6.453125" bestFit="1" customWidth="1"/>
    <col min="4972" max="4972" width="9.1796875" bestFit="1" customWidth="1"/>
    <col min="4973" max="4973" width="6.453125" bestFit="1" customWidth="1"/>
    <col min="4974" max="4974" width="9.1796875" bestFit="1" customWidth="1"/>
    <col min="4975" max="4975" width="6.453125" bestFit="1" customWidth="1"/>
    <col min="4976" max="4976" width="9.1796875" bestFit="1" customWidth="1"/>
    <col min="4977" max="4977" width="6.453125" bestFit="1" customWidth="1"/>
    <col min="4978" max="4978" width="9.1796875" bestFit="1" customWidth="1"/>
    <col min="4979" max="4979" width="6.453125" bestFit="1" customWidth="1"/>
    <col min="4980" max="4980" width="9.1796875" bestFit="1" customWidth="1"/>
    <col min="4981" max="4981" width="6.453125" bestFit="1" customWidth="1"/>
    <col min="4982" max="4982" width="9.1796875" bestFit="1" customWidth="1"/>
    <col min="4983" max="4983" width="6.453125" bestFit="1" customWidth="1"/>
    <col min="4984" max="4984" width="9.1796875" bestFit="1" customWidth="1"/>
    <col min="4985" max="4985" width="6.453125" bestFit="1" customWidth="1"/>
    <col min="4986" max="4986" width="9.1796875" bestFit="1" customWidth="1"/>
    <col min="4987" max="4987" width="6.453125" bestFit="1" customWidth="1"/>
    <col min="4988" max="4988" width="9.1796875" bestFit="1" customWidth="1"/>
    <col min="4989" max="4989" width="6.453125" bestFit="1" customWidth="1"/>
    <col min="4990" max="4990" width="9.1796875" bestFit="1" customWidth="1"/>
    <col min="4991" max="4991" width="6.453125" bestFit="1" customWidth="1"/>
    <col min="4992" max="4992" width="9.1796875" bestFit="1" customWidth="1"/>
    <col min="4993" max="4993" width="6.453125" bestFit="1" customWidth="1"/>
    <col min="4994" max="4994" width="9.1796875" bestFit="1" customWidth="1"/>
    <col min="4995" max="4995" width="6.453125" bestFit="1" customWidth="1"/>
    <col min="4996" max="4996" width="9.1796875" bestFit="1" customWidth="1"/>
    <col min="4997" max="4997" width="6.453125" bestFit="1" customWidth="1"/>
    <col min="4998" max="4998" width="9.1796875" bestFit="1" customWidth="1"/>
    <col min="4999" max="4999" width="6.453125" bestFit="1" customWidth="1"/>
    <col min="5000" max="5000" width="9.1796875" bestFit="1" customWidth="1"/>
    <col min="5001" max="5001" width="6.453125" bestFit="1" customWidth="1"/>
    <col min="5002" max="5002" width="4.6796875" bestFit="1" customWidth="1"/>
    <col min="5003" max="5003" width="9.1796875" bestFit="1" customWidth="1"/>
    <col min="5004" max="5004" width="6.453125" bestFit="1" customWidth="1"/>
    <col min="5005" max="5005" width="9.1796875" bestFit="1" customWidth="1"/>
    <col min="5006" max="5006" width="6.453125" bestFit="1" customWidth="1"/>
    <col min="5007" max="5007" width="9.1796875" bestFit="1" customWidth="1"/>
    <col min="5008" max="5008" width="6.453125" bestFit="1" customWidth="1"/>
    <col min="5009" max="5009" width="9.1796875" bestFit="1" customWidth="1"/>
    <col min="5010" max="5010" width="6.453125" bestFit="1" customWidth="1"/>
    <col min="5011" max="5011" width="9.1796875" bestFit="1" customWidth="1"/>
    <col min="5012" max="5012" width="6.453125" bestFit="1" customWidth="1"/>
    <col min="5013" max="5013" width="9.1796875" bestFit="1" customWidth="1"/>
    <col min="5014" max="5014" width="6.453125" bestFit="1" customWidth="1"/>
    <col min="5015" max="5015" width="9.1796875" bestFit="1" customWidth="1"/>
    <col min="5016" max="5016" width="6.453125" bestFit="1" customWidth="1"/>
    <col min="5017" max="5017" width="9.1796875" bestFit="1" customWidth="1"/>
    <col min="5018" max="5018" width="6.453125" bestFit="1" customWidth="1"/>
    <col min="5019" max="5019" width="9.1796875" bestFit="1" customWidth="1"/>
    <col min="5020" max="5020" width="6.453125" bestFit="1" customWidth="1"/>
    <col min="5021" max="5021" width="9.1796875" bestFit="1" customWidth="1"/>
    <col min="5022" max="5022" width="6.453125" bestFit="1" customWidth="1"/>
    <col min="5023" max="5023" width="9.1796875" bestFit="1" customWidth="1"/>
    <col min="5024" max="5024" width="6.453125" bestFit="1" customWidth="1"/>
    <col min="5025" max="5025" width="9.1796875" bestFit="1" customWidth="1"/>
    <col min="5026" max="5026" width="6.453125" bestFit="1" customWidth="1"/>
    <col min="5027" max="5027" width="9.1796875" bestFit="1" customWidth="1"/>
    <col min="5028" max="5028" width="6.453125" bestFit="1" customWidth="1"/>
    <col min="5029" max="5029" width="9.1796875" bestFit="1" customWidth="1"/>
    <col min="5030" max="5030" width="6.453125" bestFit="1" customWidth="1"/>
    <col min="5031" max="5031" width="9.1796875" bestFit="1" customWidth="1"/>
    <col min="5032" max="5032" width="6.453125" bestFit="1" customWidth="1"/>
    <col min="5033" max="5033" width="9.1796875" bestFit="1" customWidth="1"/>
    <col min="5034" max="5034" width="6.453125" bestFit="1" customWidth="1"/>
    <col min="5035" max="5035" width="9.1796875" bestFit="1" customWidth="1"/>
    <col min="5036" max="5036" width="6.453125" bestFit="1" customWidth="1"/>
    <col min="5037" max="5037" width="9.1796875" bestFit="1" customWidth="1"/>
    <col min="5038" max="5038" width="6.453125" bestFit="1" customWidth="1"/>
    <col min="5039" max="5039" width="9.1796875" bestFit="1" customWidth="1"/>
    <col min="5040" max="5040" width="6.453125" bestFit="1" customWidth="1"/>
    <col min="5041" max="5041" width="9.1796875" bestFit="1" customWidth="1"/>
    <col min="5042" max="5042" width="6.453125" bestFit="1" customWidth="1"/>
    <col min="5043" max="5043" width="9.1796875" bestFit="1" customWidth="1"/>
    <col min="5044" max="5044" width="6.453125" bestFit="1" customWidth="1"/>
    <col min="5045" max="5045" width="9.1796875" bestFit="1" customWidth="1"/>
    <col min="5046" max="5046" width="6.453125" bestFit="1" customWidth="1"/>
    <col min="5047" max="5047" width="9.1796875" bestFit="1" customWidth="1"/>
    <col min="5048" max="5048" width="6.453125" bestFit="1" customWidth="1"/>
    <col min="5049" max="5049" width="9.1796875" bestFit="1" customWidth="1"/>
    <col min="5050" max="5050" width="6.453125" bestFit="1" customWidth="1"/>
    <col min="5051" max="5051" width="9.1796875" bestFit="1" customWidth="1"/>
    <col min="5052" max="5052" width="6.453125" bestFit="1" customWidth="1"/>
    <col min="5053" max="5053" width="9.1796875" bestFit="1" customWidth="1"/>
    <col min="5054" max="5054" width="6.453125" bestFit="1" customWidth="1"/>
    <col min="5055" max="5055" width="9.1796875" bestFit="1" customWidth="1"/>
    <col min="5056" max="5056" width="6.453125" bestFit="1" customWidth="1"/>
    <col min="5057" max="5057" width="9.1796875" bestFit="1" customWidth="1"/>
    <col min="5058" max="5058" width="6.453125" bestFit="1" customWidth="1"/>
    <col min="5059" max="5059" width="9.1796875" bestFit="1" customWidth="1"/>
    <col min="5060" max="5060" width="6.453125" bestFit="1" customWidth="1"/>
    <col min="5061" max="5061" width="9.1796875" bestFit="1" customWidth="1"/>
    <col min="5062" max="5062" width="6.453125" bestFit="1" customWidth="1"/>
    <col min="5063" max="5063" width="9.1796875" bestFit="1" customWidth="1"/>
    <col min="5064" max="5064" width="6.6796875" bestFit="1" customWidth="1"/>
    <col min="5065" max="5065" width="9.1796875" bestFit="1" customWidth="1"/>
    <col min="5066" max="5066" width="6.453125" bestFit="1" customWidth="1"/>
    <col min="5067" max="5067" width="9.1796875" bestFit="1" customWidth="1"/>
    <col min="5068" max="5068" width="7.6796875" bestFit="1" customWidth="1"/>
    <col min="5069" max="5069" width="9.1796875" bestFit="1" customWidth="1"/>
    <col min="5070" max="5070" width="6.453125" bestFit="1" customWidth="1"/>
    <col min="5071" max="5071" width="9.1796875" bestFit="1" customWidth="1"/>
    <col min="5072" max="5072" width="6.453125" bestFit="1" customWidth="1"/>
    <col min="5073" max="5073" width="9.1796875" bestFit="1" customWidth="1"/>
    <col min="5074" max="5074" width="6.453125" bestFit="1" customWidth="1"/>
    <col min="5075" max="5075" width="9.1796875" bestFit="1" customWidth="1"/>
    <col min="5076" max="5076" width="6.453125" bestFit="1" customWidth="1"/>
    <col min="5077" max="5077" width="9.1796875" bestFit="1" customWidth="1"/>
    <col min="5078" max="5078" width="6.453125" bestFit="1" customWidth="1"/>
    <col min="5079" max="5079" width="9.1796875" bestFit="1" customWidth="1"/>
    <col min="5080" max="5080" width="6.453125" bestFit="1" customWidth="1"/>
    <col min="5081" max="5081" width="9.1796875" bestFit="1" customWidth="1"/>
    <col min="5082" max="5082" width="6.453125" bestFit="1" customWidth="1"/>
    <col min="5083" max="5083" width="9.1796875" bestFit="1" customWidth="1"/>
    <col min="5084" max="5084" width="6.453125" bestFit="1" customWidth="1"/>
    <col min="5085" max="5085" width="9.1796875" bestFit="1" customWidth="1"/>
    <col min="5086" max="5086" width="6.453125" bestFit="1" customWidth="1"/>
    <col min="5087" max="5087" width="9.1796875" bestFit="1" customWidth="1"/>
    <col min="5088" max="5088" width="6.453125" bestFit="1" customWidth="1"/>
    <col min="5089" max="5089" width="9.1796875" bestFit="1" customWidth="1"/>
    <col min="5090" max="5090" width="6.453125" bestFit="1" customWidth="1"/>
    <col min="5091" max="5091" width="9.1796875" bestFit="1" customWidth="1"/>
    <col min="5092" max="5092" width="6.453125" bestFit="1" customWidth="1"/>
    <col min="5093" max="5093" width="9.1796875" bestFit="1" customWidth="1"/>
    <col min="5094" max="5094" width="6.453125" bestFit="1" customWidth="1"/>
    <col min="5095" max="5095" width="9.1796875" bestFit="1" customWidth="1"/>
    <col min="5096" max="5096" width="6.453125" bestFit="1" customWidth="1"/>
    <col min="5097" max="5097" width="9.1796875" bestFit="1" customWidth="1"/>
    <col min="5098" max="5098" width="6.453125" bestFit="1" customWidth="1"/>
    <col min="5099" max="5099" width="9.1796875" bestFit="1" customWidth="1"/>
    <col min="5100" max="5100" width="6.453125" bestFit="1" customWidth="1"/>
    <col min="5101" max="5101" width="9.1796875" bestFit="1" customWidth="1"/>
    <col min="5102" max="5102" width="6.453125" bestFit="1" customWidth="1"/>
    <col min="5103" max="5103" width="9.1796875" bestFit="1" customWidth="1"/>
    <col min="5104" max="5104" width="6.453125" bestFit="1" customWidth="1"/>
    <col min="5105" max="5105" width="9.1796875" bestFit="1" customWidth="1"/>
    <col min="5106" max="5106" width="6.453125" bestFit="1" customWidth="1"/>
    <col min="5107" max="5107" width="9.1796875" bestFit="1" customWidth="1"/>
    <col min="5108" max="5108" width="6.453125" bestFit="1" customWidth="1"/>
    <col min="5109" max="5109" width="9.1796875" bestFit="1" customWidth="1"/>
    <col min="5110" max="5110" width="6.453125" bestFit="1" customWidth="1"/>
    <col min="5111" max="5111" width="9.1796875" bestFit="1" customWidth="1"/>
    <col min="5112" max="5112" width="6.453125" bestFit="1" customWidth="1"/>
    <col min="5113" max="5113" width="9.1796875" bestFit="1" customWidth="1"/>
    <col min="5114" max="5114" width="6.453125" bestFit="1" customWidth="1"/>
    <col min="5115" max="5115" width="9.1796875" bestFit="1" customWidth="1"/>
    <col min="5116" max="5116" width="6.453125" bestFit="1" customWidth="1"/>
    <col min="5117" max="5117" width="9.1796875" bestFit="1" customWidth="1"/>
    <col min="5118" max="5118" width="6.453125" bestFit="1" customWidth="1"/>
    <col min="5119" max="5119" width="9.1796875" bestFit="1" customWidth="1"/>
    <col min="5120" max="5120" width="6.453125" bestFit="1" customWidth="1"/>
    <col min="5121" max="5121" width="9.1796875" bestFit="1" customWidth="1"/>
    <col min="5122" max="5122" width="6.453125" bestFit="1" customWidth="1"/>
    <col min="5123" max="5123" width="9.1796875" bestFit="1" customWidth="1"/>
    <col min="5124" max="5124" width="6.453125" bestFit="1" customWidth="1"/>
    <col min="5125" max="5125" width="9.1796875" bestFit="1" customWidth="1"/>
    <col min="5126" max="5126" width="6.453125" bestFit="1" customWidth="1"/>
    <col min="5127" max="5127" width="9.1796875" bestFit="1" customWidth="1"/>
    <col min="5128" max="5128" width="6.453125" bestFit="1" customWidth="1"/>
    <col min="5129" max="5129" width="9.1796875" bestFit="1" customWidth="1"/>
    <col min="5130" max="5130" width="6.453125" bestFit="1" customWidth="1"/>
    <col min="5131" max="5131" width="9.1796875" bestFit="1" customWidth="1"/>
    <col min="5132" max="5132" width="6.453125" bestFit="1" customWidth="1"/>
    <col min="5133" max="5133" width="9.1796875" bestFit="1" customWidth="1"/>
    <col min="5134" max="5134" width="6.453125" bestFit="1" customWidth="1"/>
    <col min="5135" max="5135" width="9.1796875" bestFit="1" customWidth="1"/>
    <col min="5136" max="5136" width="6.453125" bestFit="1" customWidth="1"/>
    <col min="5137" max="5137" width="9.1796875" bestFit="1" customWidth="1"/>
    <col min="5138" max="5138" width="6.453125" bestFit="1" customWidth="1"/>
    <col min="5139" max="5139" width="9.1796875" bestFit="1" customWidth="1"/>
    <col min="5140" max="5140" width="6.453125" bestFit="1" customWidth="1"/>
    <col min="5141" max="5141" width="7.6796875" bestFit="1" customWidth="1"/>
    <col min="5142" max="5142" width="9.1796875" bestFit="1" customWidth="1"/>
    <col min="5143" max="5143" width="6.453125" bestFit="1" customWidth="1"/>
    <col min="5144" max="5144" width="3.6796875" bestFit="1" customWidth="1"/>
    <col min="5145" max="5145" width="9.1796875" bestFit="1" customWidth="1"/>
    <col min="5146" max="5146" width="6.453125" bestFit="1" customWidth="1"/>
    <col min="5147" max="5147" width="9.1796875" bestFit="1" customWidth="1"/>
    <col min="5148" max="5148" width="6.453125" bestFit="1" customWidth="1"/>
    <col min="5149" max="5149" width="9.1796875" bestFit="1" customWidth="1"/>
    <col min="5150" max="5150" width="6.453125" bestFit="1" customWidth="1"/>
    <col min="5151" max="5151" width="9.1796875" bestFit="1" customWidth="1"/>
    <col min="5152" max="5152" width="6.453125" bestFit="1" customWidth="1"/>
    <col min="5153" max="5153" width="9.1796875" bestFit="1" customWidth="1"/>
    <col min="5154" max="5154" width="6.453125" bestFit="1" customWidth="1"/>
    <col min="5155" max="5155" width="9.1796875" bestFit="1" customWidth="1"/>
    <col min="5156" max="5156" width="6.453125" bestFit="1" customWidth="1"/>
    <col min="5157" max="5157" width="9.1796875" bestFit="1" customWidth="1"/>
    <col min="5158" max="5158" width="6.453125" bestFit="1" customWidth="1"/>
    <col min="5159" max="5159" width="5.6796875" bestFit="1" customWidth="1"/>
    <col min="5160" max="5160" width="9.1796875" bestFit="1" customWidth="1"/>
    <col min="5161" max="5161" width="6.453125" bestFit="1" customWidth="1"/>
    <col min="5162" max="5162" width="9.1796875" bestFit="1" customWidth="1"/>
    <col min="5163" max="5163" width="6.453125" bestFit="1" customWidth="1"/>
    <col min="5164" max="5164" width="9.1796875" bestFit="1" customWidth="1"/>
    <col min="5165" max="5165" width="6.453125" bestFit="1" customWidth="1"/>
    <col min="5166" max="5166" width="9.1796875" bestFit="1" customWidth="1"/>
    <col min="5167" max="5167" width="6.453125" bestFit="1" customWidth="1"/>
    <col min="5168" max="5168" width="9.1796875" bestFit="1" customWidth="1"/>
    <col min="5169" max="5169" width="6.453125" bestFit="1" customWidth="1"/>
    <col min="5170" max="5170" width="9.1796875" bestFit="1" customWidth="1"/>
    <col min="5171" max="5171" width="6.453125" bestFit="1" customWidth="1"/>
    <col min="5172" max="5172" width="9.1796875" bestFit="1" customWidth="1"/>
    <col min="5173" max="5173" width="6.453125" bestFit="1" customWidth="1"/>
    <col min="5174" max="5174" width="9.1796875" bestFit="1" customWidth="1"/>
    <col min="5175" max="5175" width="6.453125" bestFit="1" customWidth="1"/>
    <col min="5176" max="5176" width="9.1796875" bestFit="1" customWidth="1"/>
    <col min="5177" max="5177" width="6.453125" bestFit="1" customWidth="1"/>
    <col min="5178" max="5178" width="9.1796875" bestFit="1" customWidth="1"/>
    <col min="5179" max="5179" width="6.453125" bestFit="1" customWidth="1"/>
    <col min="5180" max="5180" width="9.1796875" bestFit="1" customWidth="1"/>
    <col min="5181" max="5181" width="6.453125" bestFit="1" customWidth="1"/>
    <col min="5182" max="5182" width="9.1796875" bestFit="1" customWidth="1"/>
    <col min="5183" max="5183" width="6.453125" bestFit="1" customWidth="1"/>
    <col min="5184" max="5184" width="9.1796875" bestFit="1" customWidth="1"/>
    <col min="5185" max="5185" width="6.453125" bestFit="1" customWidth="1"/>
    <col min="5186" max="5186" width="9.1796875" bestFit="1" customWidth="1"/>
    <col min="5187" max="5187" width="6.453125" bestFit="1" customWidth="1"/>
    <col min="5188" max="5188" width="9.1796875" bestFit="1" customWidth="1"/>
    <col min="5189" max="5189" width="6.453125" bestFit="1" customWidth="1"/>
    <col min="5190" max="5190" width="9.1796875" bestFit="1" customWidth="1"/>
    <col min="5191" max="5191" width="6.453125" bestFit="1" customWidth="1"/>
    <col min="5192" max="5192" width="2.6796875" bestFit="1" customWidth="1"/>
    <col min="5193" max="5193" width="9.1796875" bestFit="1" customWidth="1"/>
    <col min="5194" max="5194" width="6.453125" bestFit="1" customWidth="1"/>
    <col min="5195" max="5195" width="9.1796875" bestFit="1" customWidth="1"/>
    <col min="5196" max="5196" width="6.453125" bestFit="1" customWidth="1"/>
    <col min="5197" max="5197" width="9.1796875" bestFit="1" customWidth="1"/>
    <col min="5198" max="5198" width="6.453125" bestFit="1" customWidth="1"/>
    <col min="5199" max="5199" width="9.1796875" bestFit="1" customWidth="1"/>
    <col min="5200" max="5200" width="6.453125" bestFit="1" customWidth="1"/>
    <col min="5201" max="5201" width="9.1796875" bestFit="1" customWidth="1"/>
    <col min="5202" max="5202" width="6.453125" bestFit="1" customWidth="1"/>
    <col min="5203" max="5203" width="9.1796875" bestFit="1" customWidth="1"/>
    <col min="5204" max="5204" width="6.453125" bestFit="1" customWidth="1"/>
    <col min="5205" max="5205" width="9.1796875" bestFit="1" customWidth="1"/>
    <col min="5206" max="5206" width="6.453125" bestFit="1" customWidth="1"/>
    <col min="5207" max="5207" width="9.1796875" bestFit="1" customWidth="1"/>
    <col min="5208" max="5208" width="6.453125" bestFit="1" customWidth="1"/>
    <col min="5209" max="5209" width="9.1796875" bestFit="1" customWidth="1"/>
    <col min="5210" max="5210" width="6.453125" bestFit="1" customWidth="1"/>
    <col min="5211" max="5211" width="9.1796875" bestFit="1" customWidth="1"/>
    <col min="5212" max="5212" width="6.453125" bestFit="1" customWidth="1"/>
    <col min="5213" max="5213" width="9.1796875" bestFit="1" customWidth="1"/>
    <col min="5214" max="5214" width="6.453125" bestFit="1" customWidth="1"/>
    <col min="5215" max="5215" width="9.1796875" bestFit="1" customWidth="1"/>
    <col min="5216" max="5216" width="6.453125" bestFit="1" customWidth="1"/>
    <col min="5217" max="5217" width="9.1796875" bestFit="1" customWidth="1"/>
    <col min="5218" max="5218" width="6.453125" bestFit="1" customWidth="1"/>
    <col min="5219" max="5219" width="9.1796875" bestFit="1" customWidth="1"/>
    <col min="5220" max="5220" width="6.453125" bestFit="1" customWidth="1"/>
    <col min="5221" max="5221" width="9.1796875" bestFit="1" customWidth="1"/>
    <col min="5222" max="5222" width="6.453125" bestFit="1" customWidth="1"/>
    <col min="5223" max="5223" width="9.1796875" bestFit="1" customWidth="1"/>
    <col min="5224" max="5224" width="6.453125" bestFit="1" customWidth="1"/>
    <col min="5225" max="5225" width="9.1796875" bestFit="1" customWidth="1"/>
    <col min="5226" max="5226" width="6.453125" bestFit="1" customWidth="1"/>
    <col min="5227" max="5227" width="9.1796875" bestFit="1" customWidth="1"/>
    <col min="5228" max="5228" width="6.453125" bestFit="1" customWidth="1"/>
    <col min="5229" max="5229" width="9.1796875" bestFit="1" customWidth="1"/>
    <col min="5230" max="5230" width="6.453125" bestFit="1" customWidth="1"/>
    <col min="5231" max="5231" width="9.1796875" bestFit="1" customWidth="1"/>
    <col min="5232" max="5232" width="6.453125" bestFit="1" customWidth="1"/>
    <col min="5233" max="5233" width="9.1796875" bestFit="1" customWidth="1"/>
    <col min="5234" max="5234" width="6.453125" bestFit="1" customWidth="1"/>
    <col min="5235" max="5235" width="9.1796875" bestFit="1" customWidth="1"/>
    <col min="5236" max="5236" width="6.6796875" bestFit="1" customWidth="1"/>
    <col min="5237" max="5237" width="9.1796875" bestFit="1" customWidth="1"/>
    <col min="5238" max="5238" width="6.453125" bestFit="1" customWidth="1"/>
    <col min="5239" max="5239" width="9.1796875" bestFit="1" customWidth="1"/>
    <col min="5240" max="5240" width="6.453125" bestFit="1" customWidth="1"/>
    <col min="5241" max="5241" width="9.1796875" bestFit="1" customWidth="1"/>
    <col min="5242" max="5242" width="6.453125" bestFit="1" customWidth="1"/>
    <col min="5243" max="5243" width="9.1796875" bestFit="1" customWidth="1"/>
    <col min="5244" max="5244" width="6.453125" bestFit="1" customWidth="1"/>
    <col min="5245" max="5245" width="4.6796875" bestFit="1" customWidth="1"/>
    <col min="5246" max="5246" width="9.1796875" bestFit="1" customWidth="1"/>
    <col min="5247" max="5247" width="6.453125" bestFit="1" customWidth="1"/>
    <col min="5248" max="5248" width="9.1796875" bestFit="1" customWidth="1"/>
    <col min="5249" max="5249" width="6.453125" bestFit="1" customWidth="1"/>
    <col min="5250" max="5250" width="9.1796875" bestFit="1" customWidth="1"/>
    <col min="5251" max="5251" width="6.453125" bestFit="1" customWidth="1"/>
    <col min="5252" max="5252" width="9.1796875" bestFit="1" customWidth="1"/>
    <col min="5253" max="5253" width="6.453125" bestFit="1" customWidth="1"/>
    <col min="5254" max="5254" width="9.1796875" bestFit="1" customWidth="1"/>
    <col min="5255" max="5255" width="6.453125" bestFit="1" customWidth="1"/>
    <col min="5256" max="5256" width="9.1796875" bestFit="1" customWidth="1"/>
    <col min="5257" max="5257" width="6.453125" bestFit="1" customWidth="1"/>
    <col min="5258" max="5258" width="9.1796875" bestFit="1" customWidth="1"/>
    <col min="5259" max="5259" width="6.453125" bestFit="1" customWidth="1"/>
    <col min="5260" max="5260" width="9.1796875" bestFit="1" customWidth="1"/>
    <col min="5261" max="5261" width="6.453125" bestFit="1" customWidth="1"/>
    <col min="5262" max="5262" width="9.1796875" bestFit="1" customWidth="1"/>
    <col min="5263" max="5263" width="6.453125" bestFit="1" customWidth="1"/>
    <col min="5264" max="5264" width="9.1796875" bestFit="1" customWidth="1"/>
    <col min="5265" max="5265" width="6.453125" bestFit="1" customWidth="1"/>
    <col min="5266" max="5266" width="9.1796875" bestFit="1" customWidth="1"/>
    <col min="5267" max="5267" width="6.453125" bestFit="1" customWidth="1"/>
    <col min="5268" max="5268" width="9.1796875" bestFit="1" customWidth="1"/>
    <col min="5269" max="5269" width="6.453125" bestFit="1" customWidth="1"/>
    <col min="5270" max="5270" width="9.1796875" bestFit="1" customWidth="1"/>
    <col min="5271" max="5271" width="6.453125" bestFit="1" customWidth="1"/>
    <col min="5272" max="5272" width="9.1796875" bestFit="1" customWidth="1"/>
    <col min="5273" max="5273" width="6.453125" bestFit="1" customWidth="1"/>
    <col min="5274" max="5274" width="9.1796875" bestFit="1" customWidth="1"/>
    <col min="5275" max="5275" width="6.453125" bestFit="1" customWidth="1"/>
    <col min="5276" max="5276" width="9.1796875" bestFit="1" customWidth="1"/>
    <col min="5277" max="5277" width="6.453125" bestFit="1" customWidth="1"/>
    <col min="5278" max="5278" width="9.1796875" bestFit="1" customWidth="1"/>
    <col min="5279" max="5279" width="6.453125" bestFit="1" customWidth="1"/>
    <col min="5280" max="5280" width="9.1796875" bestFit="1" customWidth="1"/>
    <col min="5281" max="5281" width="6.453125" bestFit="1" customWidth="1"/>
    <col min="5282" max="5282" width="9.1796875" bestFit="1" customWidth="1"/>
    <col min="5283" max="5283" width="6.453125" bestFit="1" customWidth="1"/>
    <col min="5284" max="5284" width="9.1796875" bestFit="1" customWidth="1"/>
    <col min="5285" max="5285" width="6.453125" bestFit="1" customWidth="1"/>
    <col min="5286" max="5286" width="9.1796875" bestFit="1" customWidth="1"/>
    <col min="5287" max="5287" width="6.453125" bestFit="1" customWidth="1"/>
    <col min="5288" max="5288" width="9.1796875" bestFit="1" customWidth="1"/>
    <col min="5289" max="5289" width="6.453125" bestFit="1" customWidth="1"/>
    <col min="5290" max="5290" width="9.1796875" bestFit="1" customWidth="1"/>
    <col min="5291" max="5291" width="6.453125" bestFit="1" customWidth="1"/>
    <col min="5292" max="5292" width="9.1796875" bestFit="1" customWidth="1"/>
    <col min="5293" max="5293" width="6.453125" bestFit="1" customWidth="1"/>
    <col min="5294" max="5294" width="9.1796875" bestFit="1" customWidth="1"/>
    <col min="5295" max="5295" width="6.453125" bestFit="1" customWidth="1"/>
    <col min="5296" max="5296" width="9.1796875" bestFit="1" customWidth="1"/>
    <col min="5297" max="5297" width="6.453125" bestFit="1" customWidth="1"/>
    <col min="5298" max="5298" width="9.1796875" bestFit="1" customWidth="1"/>
    <col min="5299" max="5299" width="6.453125" bestFit="1" customWidth="1"/>
    <col min="5300" max="5300" width="9.1796875" bestFit="1" customWidth="1"/>
    <col min="5301" max="5301" width="6.453125" bestFit="1" customWidth="1"/>
    <col min="5302" max="5302" width="9.1796875" bestFit="1" customWidth="1"/>
    <col min="5303" max="5303" width="6.453125" bestFit="1" customWidth="1"/>
    <col min="5304" max="5304" width="9.1796875" bestFit="1" customWidth="1"/>
    <col min="5305" max="5305" width="6.453125" bestFit="1" customWidth="1"/>
    <col min="5306" max="5306" width="9.1796875" bestFit="1" customWidth="1"/>
    <col min="5307" max="5307" width="6.453125" bestFit="1" customWidth="1"/>
    <col min="5308" max="5308" width="6.6796875" bestFit="1" customWidth="1"/>
    <col min="5309" max="5309" width="9.1796875" bestFit="1" customWidth="1"/>
    <col min="5310" max="5310" width="6.453125" bestFit="1" customWidth="1"/>
    <col min="5311" max="5311" width="9.1796875" bestFit="1" customWidth="1"/>
    <col min="5312" max="5312" width="6.453125" bestFit="1" customWidth="1"/>
    <col min="5313" max="5313" width="9.1796875" bestFit="1" customWidth="1"/>
    <col min="5314" max="5314" width="6.453125" bestFit="1" customWidth="1"/>
    <col min="5315" max="5315" width="9.1796875" bestFit="1" customWidth="1"/>
    <col min="5316" max="5316" width="6.453125" bestFit="1" customWidth="1"/>
    <col min="5317" max="5317" width="9.1796875" bestFit="1" customWidth="1"/>
    <col min="5318" max="5318" width="6.453125" bestFit="1" customWidth="1"/>
    <col min="5319" max="5319" width="9.1796875" bestFit="1" customWidth="1"/>
    <col min="5320" max="5320" width="6.453125" bestFit="1" customWidth="1"/>
    <col min="5321" max="5321" width="9.1796875" bestFit="1" customWidth="1"/>
    <col min="5322" max="5322" width="6.6796875" bestFit="1" customWidth="1"/>
    <col min="5323" max="5323" width="9.1796875" bestFit="1" customWidth="1"/>
    <col min="5324" max="5324" width="6.453125" bestFit="1" customWidth="1"/>
    <col min="5325" max="5325" width="9.1796875" bestFit="1" customWidth="1"/>
    <col min="5326" max="5326" width="6.6796875" bestFit="1" customWidth="1"/>
    <col min="5327" max="5327" width="9.1796875" bestFit="1" customWidth="1"/>
    <col min="5328" max="5328" width="6.453125" bestFit="1" customWidth="1"/>
    <col min="5329" max="5329" width="9.1796875" bestFit="1" customWidth="1"/>
    <col min="5330" max="5330" width="6.453125" bestFit="1" customWidth="1"/>
    <col min="5331" max="5331" width="9.1796875" bestFit="1" customWidth="1"/>
    <col min="5332" max="5332" width="6.453125" bestFit="1" customWidth="1"/>
    <col min="5333" max="5333" width="9.1796875" bestFit="1" customWidth="1"/>
    <col min="5334" max="5334" width="6.453125" bestFit="1" customWidth="1"/>
    <col min="5335" max="5335" width="9.1796875" bestFit="1" customWidth="1"/>
    <col min="5336" max="5336" width="6.453125" bestFit="1" customWidth="1"/>
    <col min="5337" max="5337" width="9.1796875" bestFit="1" customWidth="1"/>
    <col min="5338" max="5338" width="6.453125" bestFit="1" customWidth="1"/>
    <col min="5339" max="5339" width="9.1796875" bestFit="1" customWidth="1"/>
    <col min="5340" max="5340" width="6.453125" bestFit="1" customWidth="1"/>
    <col min="5341" max="5341" width="9.1796875" bestFit="1" customWidth="1"/>
    <col min="5342" max="5342" width="6.453125" bestFit="1" customWidth="1"/>
    <col min="5343" max="5343" width="9.1796875" bestFit="1" customWidth="1"/>
    <col min="5344" max="5344" width="6.453125" bestFit="1" customWidth="1"/>
    <col min="5345" max="5345" width="9.1796875" bestFit="1" customWidth="1"/>
    <col min="5346" max="5346" width="6.453125" bestFit="1" customWidth="1"/>
    <col min="5347" max="5347" width="9.1796875" bestFit="1" customWidth="1"/>
    <col min="5348" max="5348" width="6.453125" bestFit="1" customWidth="1"/>
    <col min="5349" max="5349" width="9.1796875" bestFit="1" customWidth="1"/>
    <col min="5350" max="5350" width="6.453125" bestFit="1" customWidth="1"/>
    <col min="5351" max="5351" width="9.1796875" bestFit="1" customWidth="1"/>
    <col min="5352" max="5352" width="6.453125" bestFit="1" customWidth="1"/>
    <col min="5353" max="5353" width="9.1796875" bestFit="1" customWidth="1"/>
    <col min="5354" max="5354" width="6.453125" bestFit="1" customWidth="1"/>
    <col min="5355" max="5355" width="9.1796875" bestFit="1" customWidth="1"/>
    <col min="5356" max="5356" width="6.453125" bestFit="1" customWidth="1"/>
    <col min="5357" max="5357" width="9.1796875" bestFit="1" customWidth="1"/>
    <col min="5358" max="5358" width="6.453125" bestFit="1" customWidth="1"/>
    <col min="5359" max="5359" width="9.1796875" bestFit="1" customWidth="1"/>
    <col min="5360" max="5360" width="6.453125" bestFit="1" customWidth="1"/>
    <col min="5361" max="5361" width="4.6796875" bestFit="1" customWidth="1"/>
    <col min="5362" max="5362" width="9.1796875" bestFit="1" customWidth="1"/>
    <col min="5363" max="5363" width="6.453125" bestFit="1" customWidth="1"/>
    <col min="5364" max="5364" width="9.1796875" bestFit="1" customWidth="1"/>
    <col min="5365" max="5365" width="6.453125" bestFit="1" customWidth="1"/>
    <col min="5366" max="5366" width="9.1796875" bestFit="1" customWidth="1"/>
    <col min="5367" max="5367" width="6.453125" bestFit="1" customWidth="1"/>
    <col min="5368" max="5368" width="9.1796875" bestFit="1" customWidth="1"/>
    <col min="5369" max="5369" width="6.453125" bestFit="1" customWidth="1"/>
    <col min="5370" max="5370" width="9.1796875" bestFit="1" customWidth="1"/>
    <col min="5371" max="5371" width="6.453125" bestFit="1" customWidth="1"/>
    <col min="5372" max="5372" width="9.1796875" bestFit="1" customWidth="1"/>
    <col min="5373" max="5373" width="6.453125" bestFit="1" customWidth="1"/>
    <col min="5374" max="5374" width="9.1796875" bestFit="1" customWidth="1"/>
    <col min="5375" max="5375" width="6.453125" bestFit="1" customWidth="1"/>
    <col min="5376" max="5376" width="9.1796875" bestFit="1" customWidth="1"/>
    <col min="5377" max="5377" width="6.453125" bestFit="1" customWidth="1"/>
    <col min="5378" max="5378" width="9.1796875" bestFit="1" customWidth="1"/>
    <col min="5379" max="5379" width="6.453125" bestFit="1" customWidth="1"/>
    <col min="5380" max="5380" width="9.1796875" bestFit="1" customWidth="1"/>
    <col min="5381" max="5381" width="6.453125" bestFit="1" customWidth="1"/>
    <col min="5382" max="5382" width="9.1796875" bestFit="1" customWidth="1"/>
    <col min="5383" max="5383" width="6.453125" bestFit="1" customWidth="1"/>
    <col min="5384" max="5384" width="9.1796875" bestFit="1" customWidth="1"/>
    <col min="5385" max="5385" width="6.453125" bestFit="1" customWidth="1"/>
    <col min="5386" max="5386" width="9.1796875" bestFit="1" customWidth="1"/>
    <col min="5387" max="5387" width="6.453125" bestFit="1" customWidth="1"/>
    <col min="5388" max="5388" width="9.1796875" bestFit="1" customWidth="1"/>
    <col min="5389" max="5389" width="6.453125" bestFit="1" customWidth="1"/>
    <col min="5390" max="5390" width="9.1796875" bestFit="1" customWidth="1"/>
    <col min="5391" max="5391" width="6.453125" bestFit="1" customWidth="1"/>
    <col min="5392" max="5392" width="4.6796875" bestFit="1" customWidth="1"/>
    <col min="5393" max="5393" width="9.1796875" bestFit="1" customWidth="1"/>
    <col min="5394" max="5394" width="6.453125" bestFit="1" customWidth="1"/>
    <col min="5395" max="5395" width="9.1796875" bestFit="1" customWidth="1"/>
    <col min="5396" max="5396" width="6.453125" bestFit="1" customWidth="1"/>
    <col min="5397" max="5397" width="9.1796875" bestFit="1" customWidth="1"/>
    <col min="5398" max="5398" width="6.453125" bestFit="1" customWidth="1"/>
    <col min="5399" max="5399" width="9.1796875" bestFit="1" customWidth="1"/>
    <col min="5400" max="5400" width="6.453125" bestFit="1" customWidth="1"/>
    <col min="5401" max="5401" width="9.1796875" bestFit="1" customWidth="1"/>
    <col min="5402" max="5402" width="6.453125" bestFit="1" customWidth="1"/>
    <col min="5403" max="5403" width="9.1796875" bestFit="1" customWidth="1"/>
    <col min="5404" max="5404" width="6.453125" bestFit="1" customWidth="1"/>
    <col min="5405" max="5405" width="9.1796875" bestFit="1" customWidth="1"/>
    <col min="5406" max="5406" width="6.453125" bestFit="1" customWidth="1"/>
    <col min="5407" max="5407" width="9.1796875" bestFit="1" customWidth="1"/>
    <col min="5408" max="5408" width="6.6796875" bestFit="1" customWidth="1"/>
    <col min="5409" max="5409" width="9.1796875" bestFit="1" customWidth="1"/>
    <col min="5410" max="5410" width="6.453125" bestFit="1" customWidth="1"/>
    <col min="5411" max="5411" width="9.1796875" bestFit="1" customWidth="1"/>
    <col min="5412" max="5412" width="6.453125" bestFit="1" customWidth="1"/>
    <col min="5413" max="5413" width="9.1796875" bestFit="1" customWidth="1"/>
    <col min="5414" max="5414" width="6.453125" bestFit="1" customWidth="1"/>
    <col min="5415" max="5415" width="9.1796875" bestFit="1" customWidth="1"/>
    <col min="5416" max="5416" width="6.453125" bestFit="1" customWidth="1"/>
    <col min="5417" max="5417" width="9.1796875" bestFit="1" customWidth="1"/>
    <col min="5418" max="5418" width="6.453125" bestFit="1" customWidth="1"/>
    <col min="5419" max="5419" width="9.1796875" bestFit="1" customWidth="1"/>
    <col min="5420" max="5420" width="6.453125" bestFit="1" customWidth="1"/>
    <col min="5421" max="5421" width="9.1796875" bestFit="1" customWidth="1"/>
    <col min="5422" max="5422" width="6.453125" bestFit="1" customWidth="1"/>
    <col min="5423" max="5423" width="9.1796875" bestFit="1" customWidth="1"/>
    <col min="5424" max="5424" width="6.453125" bestFit="1" customWidth="1"/>
    <col min="5425" max="5425" width="9.1796875" bestFit="1" customWidth="1"/>
    <col min="5426" max="5426" width="6.453125" bestFit="1" customWidth="1"/>
    <col min="5427" max="5427" width="9.1796875" bestFit="1" customWidth="1"/>
    <col min="5428" max="5428" width="6.453125" bestFit="1" customWidth="1"/>
    <col min="5429" max="5429" width="5.6796875" bestFit="1" customWidth="1"/>
    <col min="5430" max="5430" width="9.1796875" bestFit="1" customWidth="1"/>
    <col min="5431" max="5431" width="6.453125" bestFit="1" customWidth="1"/>
    <col min="5432" max="5432" width="9.1796875" bestFit="1" customWidth="1"/>
    <col min="5433" max="5433" width="6.453125" bestFit="1" customWidth="1"/>
    <col min="5434" max="5434" width="9.1796875" bestFit="1" customWidth="1"/>
    <col min="5435" max="5435" width="6.453125" bestFit="1" customWidth="1"/>
    <col min="5436" max="5436" width="9.1796875" bestFit="1" customWidth="1"/>
    <col min="5437" max="5437" width="6.453125" bestFit="1" customWidth="1"/>
    <col min="5438" max="5438" width="9.1796875" bestFit="1" customWidth="1"/>
    <col min="5439" max="5439" width="6.453125" bestFit="1" customWidth="1"/>
    <col min="5440" max="5440" width="9.1796875" bestFit="1" customWidth="1"/>
    <col min="5441" max="5441" width="6.453125" bestFit="1" customWidth="1"/>
    <col min="5442" max="5442" width="9.1796875" bestFit="1" customWidth="1"/>
    <col min="5443" max="5443" width="6.453125" bestFit="1" customWidth="1"/>
    <col min="5444" max="5444" width="9.1796875" bestFit="1" customWidth="1"/>
    <col min="5445" max="5445" width="6.453125" bestFit="1" customWidth="1"/>
    <col min="5446" max="5446" width="9.1796875" bestFit="1" customWidth="1"/>
    <col min="5447" max="5447" width="6.453125" bestFit="1" customWidth="1"/>
    <col min="5448" max="5448" width="9.1796875" bestFit="1" customWidth="1"/>
    <col min="5449" max="5449" width="6.453125" bestFit="1" customWidth="1"/>
    <col min="5450" max="5450" width="9.1796875" bestFit="1" customWidth="1"/>
    <col min="5451" max="5451" width="6.453125" bestFit="1" customWidth="1"/>
    <col min="5452" max="5452" width="9.1796875" bestFit="1" customWidth="1"/>
    <col min="5453" max="5453" width="6.453125" bestFit="1" customWidth="1"/>
    <col min="5454" max="5454" width="9.1796875" bestFit="1" customWidth="1"/>
    <col min="5455" max="5455" width="6.453125" bestFit="1" customWidth="1"/>
    <col min="5456" max="5456" width="9.1796875" bestFit="1" customWidth="1"/>
    <col min="5457" max="5457" width="6.453125" bestFit="1" customWidth="1"/>
    <col min="5458" max="5458" width="9.1796875" bestFit="1" customWidth="1"/>
    <col min="5459" max="5459" width="6.453125" bestFit="1" customWidth="1"/>
    <col min="5460" max="5460" width="6.6796875" bestFit="1" customWidth="1"/>
    <col min="5461" max="5461" width="9.1796875" bestFit="1" customWidth="1"/>
    <col min="5462" max="5462" width="6.453125" bestFit="1" customWidth="1"/>
    <col min="5463" max="5463" width="9.1796875" bestFit="1" customWidth="1"/>
    <col min="5464" max="5464" width="6.453125" bestFit="1" customWidth="1"/>
    <col min="5465" max="5465" width="9.1796875" bestFit="1" customWidth="1"/>
    <col min="5466" max="5466" width="6.453125" bestFit="1" customWidth="1"/>
    <col min="5467" max="5467" width="9.1796875" bestFit="1" customWidth="1"/>
    <col min="5468" max="5468" width="6.453125" bestFit="1" customWidth="1"/>
    <col min="5469" max="5469" width="9.1796875" bestFit="1" customWidth="1"/>
    <col min="5470" max="5470" width="6.453125" bestFit="1" customWidth="1"/>
    <col min="5471" max="5471" width="9.1796875" bestFit="1" customWidth="1"/>
    <col min="5472" max="5472" width="6.453125" bestFit="1" customWidth="1"/>
    <col min="5473" max="5473" width="9.1796875" bestFit="1" customWidth="1"/>
    <col min="5474" max="5474" width="6.453125" bestFit="1" customWidth="1"/>
    <col min="5475" max="5475" width="9.1796875" bestFit="1" customWidth="1"/>
    <col min="5476" max="5476" width="6.453125" bestFit="1" customWidth="1"/>
    <col min="5477" max="5477" width="9.1796875" bestFit="1" customWidth="1"/>
    <col min="5478" max="5478" width="6.453125" bestFit="1" customWidth="1"/>
    <col min="5479" max="5479" width="9.1796875" bestFit="1" customWidth="1"/>
    <col min="5480" max="5480" width="6.453125" bestFit="1" customWidth="1"/>
    <col min="5481" max="5481" width="9.1796875" bestFit="1" customWidth="1"/>
    <col min="5482" max="5482" width="6.453125" bestFit="1" customWidth="1"/>
    <col min="5483" max="5483" width="9.1796875" bestFit="1" customWidth="1"/>
    <col min="5484" max="5484" width="6.453125" bestFit="1" customWidth="1"/>
    <col min="5485" max="5485" width="9.1796875" bestFit="1" customWidth="1"/>
    <col min="5486" max="5486" width="6.453125" bestFit="1" customWidth="1"/>
    <col min="5487" max="5487" width="9.1796875" bestFit="1" customWidth="1"/>
    <col min="5488" max="5488" width="6.453125" bestFit="1" customWidth="1"/>
    <col min="5489" max="5489" width="9.1796875" bestFit="1" customWidth="1"/>
    <col min="5490" max="5490" width="6.453125" bestFit="1" customWidth="1"/>
    <col min="5491" max="5491" width="9.1796875" bestFit="1" customWidth="1"/>
    <col min="5492" max="5492" width="6.453125" bestFit="1" customWidth="1"/>
    <col min="5493" max="5493" width="9.1796875" bestFit="1" customWidth="1"/>
    <col min="5494" max="5494" width="6.6796875" bestFit="1" customWidth="1"/>
    <col min="5495" max="5495" width="9.1796875" bestFit="1" customWidth="1"/>
    <col min="5496" max="5496" width="6.453125" bestFit="1" customWidth="1"/>
    <col min="5497" max="5497" width="9.1796875" bestFit="1" customWidth="1"/>
    <col min="5498" max="5498" width="6.453125" bestFit="1" customWidth="1"/>
    <col min="5499" max="5499" width="5.6796875" bestFit="1" customWidth="1"/>
    <col min="5500" max="5500" width="9.1796875" bestFit="1" customWidth="1"/>
    <col min="5501" max="5501" width="6.6796875" bestFit="1" customWidth="1"/>
    <col min="5502" max="5502" width="9.1796875" bestFit="1" customWidth="1"/>
    <col min="5503" max="5503" width="6.453125" bestFit="1" customWidth="1"/>
    <col min="5504" max="5504" width="9.1796875" bestFit="1" customWidth="1"/>
    <col min="5505" max="5505" width="6.453125" bestFit="1" customWidth="1"/>
    <col min="5506" max="5506" width="9.1796875" bestFit="1" customWidth="1"/>
    <col min="5507" max="5507" width="6.453125" bestFit="1" customWidth="1"/>
    <col min="5508" max="5508" width="9.1796875" bestFit="1" customWidth="1"/>
    <col min="5509" max="5509" width="6.453125" bestFit="1" customWidth="1"/>
    <col min="5510" max="5510" width="9.1796875" bestFit="1" customWidth="1"/>
    <col min="5511" max="5511" width="6.453125" bestFit="1" customWidth="1"/>
    <col min="5512" max="5512" width="9.1796875" bestFit="1" customWidth="1"/>
    <col min="5513" max="5513" width="6.453125" bestFit="1" customWidth="1"/>
    <col min="5514" max="5514" width="4.6796875" bestFit="1" customWidth="1"/>
    <col min="5515" max="5515" width="9.1796875" bestFit="1" customWidth="1"/>
    <col min="5516" max="5516" width="6.453125" bestFit="1" customWidth="1"/>
    <col min="5517" max="5517" width="9.1796875" bestFit="1" customWidth="1"/>
    <col min="5518" max="5518" width="6.453125" bestFit="1" customWidth="1"/>
    <col min="5519" max="5519" width="9.1796875" bestFit="1" customWidth="1"/>
    <col min="5520" max="5520" width="6.6796875" bestFit="1" customWidth="1"/>
    <col min="5521" max="5521" width="9.1796875" bestFit="1" customWidth="1"/>
    <col min="5522" max="5522" width="6.453125" bestFit="1" customWidth="1"/>
    <col min="5523" max="5523" width="9.1796875" bestFit="1" customWidth="1"/>
    <col min="5524" max="5524" width="6.453125" bestFit="1" customWidth="1"/>
    <col min="5525" max="5525" width="9.1796875" bestFit="1" customWidth="1"/>
    <col min="5526" max="5526" width="6.453125" bestFit="1" customWidth="1"/>
    <col min="5527" max="5527" width="9.1796875" bestFit="1" customWidth="1"/>
    <col min="5528" max="5528" width="6.6796875" bestFit="1" customWidth="1"/>
    <col min="5529" max="5529" width="9.1796875" bestFit="1" customWidth="1"/>
    <col min="5530" max="5530" width="6.453125" bestFit="1" customWidth="1"/>
    <col min="5531" max="5531" width="9.1796875" bestFit="1" customWidth="1"/>
    <col min="5532" max="5532" width="6.453125" bestFit="1" customWidth="1"/>
    <col min="5533" max="5533" width="9.1796875" bestFit="1" customWidth="1"/>
    <col min="5534" max="5534" width="6.453125" bestFit="1" customWidth="1"/>
    <col min="5535" max="5535" width="9.1796875" bestFit="1" customWidth="1"/>
    <col min="5536" max="5536" width="6.453125" bestFit="1" customWidth="1"/>
    <col min="5537" max="5537" width="9.1796875" bestFit="1" customWidth="1"/>
    <col min="5538" max="5538" width="6.453125" bestFit="1" customWidth="1"/>
    <col min="5539" max="5539" width="9.1796875" bestFit="1" customWidth="1"/>
    <col min="5540" max="5540" width="6.453125" bestFit="1" customWidth="1"/>
    <col min="5541" max="5541" width="9.1796875" bestFit="1" customWidth="1"/>
    <col min="5542" max="5542" width="6.453125" bestFit="1" customWidth="1"/>
    <col min="5543" max="5543" width="9.1796875" bestFit="1" customWidth="1"/>
    <col min="5544" max="5544" width="6.453125" bestFit="1" customWidth="1"/>
    <col min="5545" max="5545" width="9.1796875" bestFit="1" customWidth="1"/>
    <col min="5546" max="5546" width="6.453125" bestFit="1" customWidth="1"/>
    <col min="5547" max="5547" width="9.1796875" bestFit="1" customWidth="1"/>
    <col min="5548" max="5548" width="6.453125" bestFit="1" customWidth="1"/>
    <col min="5549" max="5549" width="9.1796875" bestFit="1" customWidth="1"/>
    <col min="5550" max="5550" width="6.453125" bestFit="1" customWidth="1"/>
    <col min="5551" max="5551" width="9.1796875" bestFit="1" customWidth="1"/>
    <col min="5552" max="5552" width="6.6796875" bestFit="1" customWidth="1"/>
    <col min="5553" max="5553" width="9.1796875" bestFit="1" customWidth="1"/>
    <col min="5554" max="5554" width="6.453125" bestFit="1" customWidth="1"/>
    <col min="5555" max="5555" width="9.1796875" bestFit="1" customWidth="1"/>
    <col min="5556" max="5556" width="6.453125" bestFit="1" customWidth="1"/>
    <col min="5557" max="5557" width="9.1796875" bestFit="1" customWidth="1"/>
    <col min="5558" max="5558" width="6.453125" bestFit="1" customWidth="1"/>
    <col min="5559" max="5559" width="9.1796875" bestFit="1" customWidth="1"/>
    <col min="5560" max="5560" width="6.6796875" bestFit="1" customWidth="1"/>
    <col min="5561" max="5561" width="9.1796875" bestFit="1" customWidth="1"/>
    <col min="5562" max="5562" width="6.453125" bestFit="1" customWidth="1"/>
    <col min="5563" max="5563" width="9.1796875" bestFit="1" customWidth="1"/>
    <col min="5564" max="5564" width="6.453125" bestFit="1" customWidth="1"/>
    <col min="5565" max="5565" width="9.1796875" bestFit="1" customWidth="1"/>
    <col min="5566" max="5566" width="6.6796875" bestFit="1" customWidth="1"/>
    <col min="5567" max="5567" width="9.1796875" bestFit="1" customWidth="1"/>
    <col min="5568" max="5568" width="6.453125" bestFit="1" customWidth="1"/>
    <col min="5569" max="5569" width="9.1796875" bestFit="1" customWidth="1"/>
    <col min="5570" max="5570" width="6.453125" bestFit="1" customWidth="1"/>
    <col min="5571" max="5571" width="9.1796875" bestFit="1" customWidth="1"/>
    <col min="5572" max="5572" width="6.453125" bestFit="1" customWidth="1"/>
    <col min="5573" max="5573" width="9.1796875" bestFit="1" customWidth="1"/>
    <col min="5574" max="5574" width="6.453125" bestFit="1" customWidth="1"/>
    <col min="5575" max="5575" width="9.1796875" bestFit="1" customWidth="1"/>
    <col min="5576" max="5576" width="6.453125" bestFit="1" customWidth="1"/>
    <col min="5577" max="5577" width="9.1796875" bestFit="1" customWidth="1"/>
    <col min="5578" max="5578" width="6.453125" bestFit="1" customWidth="1"/>
    <col min="5579" max="5579" width="9.1796875" bestFit="1" customWidth="1"/>
    <col min="5580" max="5580" width="6.453125" bestFit="1" customWidth="1"/>
    <col min="5581" max="5581" width="9.1796875" bestFit="1" customWidth="1"/>
    <col min="5582" max="5582" width="6.453125" bestFit="1" customWidth="1"/>
    <col min="5583" max="5583" width="9.1796875" bestFit="1" customWidth="1"/>
    <col min="5584" max="5584" width="6.453125" bestFit="1" customWidth="1"/>
    <col min="5585" max="5585" width="9.1796875" bestFit="1" customWidth="1"/>
    <col min="5586" max="5586" width="6.453125" bestFit="1" customWidth="1"/>
    <col min="5587" max="5587" width="9.1796875" bestFit="1" customWidth="1"/>
    <col min="5588" max="5588" width="6.453125" bestFit="1" customWidth="1"/>
    <col min="5589" max="5589" width="9.1796875" bestFit="1" customWidth="1"/>
    <col min="5590" max="5590" width="6.453125" bestFit="1" customWidth="1"/>
    <col min="5591" max="5591" width="9.1796875" bestFit="1" customWidth="1"/>
    <col min="5592" max="5592" width="6.453125" bestFit="1" customWidth="1"/>
    <col min="5593" max="5593" width="9.1796875" bestFit="1" customWidth="1"/>
    <col min="5594" max="5594" width="6.453125" bestFit="1" customWidth="1"/>
    <col min="5595" max="5595" width="9.1796875" bestFit="1" customWidth="1"/>
    <col min="5596" max="5596" width="6.453125" bestFit="1" customWidth="1"/>
    <col min="5597" max="5597" width="5.6796875" bestFit="1" customWidth="1"/>
    <col min="5598" max="5598" width="9.1796875" bestFit="1" customWidth="1"/>
    <col min="5599" max="5599" width="6.453125" bestFit="1" customWidth="1"/>
    <col min="5600" max="5600" width="9.1796875" bestFit="1" customWidth="1"/>
    <col min="5601" max="5601" width="6.453125" bestFit="1" customWidth="1"/>
    <col min="5602" max="5602" width="9.1796875" bestFit="1" customWidth="1"/>
    <col min="5603" max="5603" width="6.453125" bestFit="1" customWidth="1"/>
    <col min="5604" max="5604" width="9.1796875" bestFit="1" customWidth="1"/>
    <col min="5605" max="5605" width="6.453125" bestFit="1" customWidth="1"/>
    <col min="5606" max="5606" width="9.1796875" bestFit="1" customWidth="1"/>
    <col min="5607" max="5607" width="6.453125" bestFit="1" customWidth="1"/>
    <col min="5608" max="5608" width="9.1796875" bestFit="1" customWidth="1"/>
    <col min="5609" max="5609" width="6.453125" bestFit="1" customWidth="1"/>
    <col min="5610" max="5610" width="9.1796875" bestFit="1" customWidth="1"/>
    <col min="5611" max="5611" width="6.453125" bestFit="1" customWidth="1"/>
    <col min="5612" max="5612" width="9.1796875" bestFit="1" customWidth="1"/>
    <col min="5613" max="5613" width="6.453125" bestFit="1" customWidth="1"/>
    <col min="5614" max="5614" width="9.1796875" bestFit="1" customWidth="1"/>
    <col min="5615" max="5615" width="6.453125" bestFit="1" customWidth="1"/>
    <col min="5616" max="5616" width="9.1796875" bestFit="1" customWidth="1"/>
    <col min="5617" max="5617" width="6.453125" bestFit="1" customWidth="1"/>
    <col min="5618" max="5618" width="9.1796875" bestFit="1" customWidth="1"/>
    <col min="5619" max="5619" width="6.453125" bestFit="1" customWidth="1"/>
    <col min="5620" max="5620" width="9.1796875" bestFit="1" customWidth="1"/>
    <col min="5621" max="5621" width="6.453125" bestFit="1" customWidth="1"/>
    <col min="5622" max="5622" width="9.1796875" bestFit="1" customWidth="1"/>
    <col min="5623" max="5623" width="6.453125" bestFit="1" customWidth="1"/>
    <col min="5624" max="5624" width="6.6796875" bestFit="1" customWidth="1"/>
    <col min="5625" max="5625" width="9.1796875" bestFit="1" customWidth="1"/>
    <col min="5626" max="5626" width="6.453125" bestFit="1" customWidth="1"/>
    <col min="5627" max="5627" width="9.1796875" bestFit="1" customWidth="1"/>
    <col min="5628" max="5628" width="6.453125" bestFit="1" customWidth="1"/>
    <col min="5629" max="5629" width="9.1796875" bestFit="1" customWidth="1"/>
    <col min="5630" max="5630" width="6.453125" bestFit="1" customWidth="1"/>
    <col min="5631" max="5631" width="9.1796875" bestFit="1" customWidth="1"/>
    <col min="5632" max="5632" width="6.453125" bestFit="1" customWidth="1"/>
    <col min="5633" max="5633" width="9.1796875" bestFit="1" customWidth="1"/>
    <col min="5634" max="5634" width="6.453125" bestFit="1" customWidth="1"/>
    <col min="5635" max="5635" width="9.1796875" bestFit="1" customWidth="1"/>
    <col min="5636" max="5636" width="6.453125" bestFit="1" customWidth="1"/>
    <col min="5637" max="5637" width="9.1796875" bestFit="1" customWidth="1"/>
    <col min="5638" max="5638" width="6.453125" bestFit="1" customWidth="1"/>
    <col min="5639" max="5639" width="9.1796875" bestFit="1" customWidth="1"/>
    <col min="5640" max="5640" width="6.453125" bestFit="1" customWidth="1"/>
    <col min="5641" max="5641" width="9.1796875" bestFit="1" customWidth="1"/>
    <col min="5642" max="5642" width="6.453125" bestFit="1" customWidth="1"/>
    <col min="5643" max="5643" width="9.1796875" bestFit="1" customWidth="1"/>
    <col min="5644" max="5644" width="6.453125" bestFit="1" customWidth="1"/>
    <col min="5645" max="5645" width="9.1796875" bestFit="1" customWidth="1"/>
    <col min="5646" max="5646" width="6.453125" bestFit="1" customWidth="1"/>
    <col min="5647" max="5647" width="9.1796875" bestFit="1" customWidth="1"/>
    <col min="5648" max="5648" width="6.453125" bestFit="1" customWidth="1"/>
    <col min="5649" max="5649" width="9.1796875" bestFit="1" customWidth="1"/>
    <col min="5650" max="5650" width="7.453125" bestFit="1" customWidth="1"/>
    <col min="5651" max="5651" width="10.1796875" bestFit="1" customWidth="1"/>
    <col min="5652" max="5652" width="7.453125" bestFit="1" customWidth="1"/>
    <col min="5653" max="5653" width="10.1796875" bestFit="1" customWidth="1"/>
    <col min="5654" max="5654" width="7.453125" bestFit="1" customWidth="1"/>
    <col min="5655" max="5655" width="10.1796875" bestFit="1" customWidth="1"/>
    <col min="5656" max="5656" width="7.453125" bestFit="1" customWidth="1"/>
    <col min="5657" max="5657" width="10.1796875" bestFit="1" customWidth="1"/>
    <col min="5658" max="5658" width="7.453125" bestFit="1" customWidth="1"/>
    <col min="5659" max="5659" width="10.1796875" bestFit="1" customWidth="1"/>
    <col min="5660" max="5660" width="7.453125" bestFit="1" customWidth="1"/>
    <col min="5661" max="5661" width="10.1796875" bestFit="1" customWidth="1"/>
    <col min="5662" max="5662" width="7.453125" bestFit="1" customWidth="1"/>
    <col min="5663" max="5663" width="10.1796875" bestFit="1" customWidth="1"/>
    <col min="5664" max="5664" width="7.453125" bestFit="1" customWidth="1"/>
    <col min="5665" max="5665" width="10.1796875" bestFit="1" customWidth="1"/>
    <col min="5666" max="5666" width="7.453125" bestFit="1" customWidth="1"/>
    <col min="5667" max="5667" width="10.1796875" bestFit="1" customWidth="1"/>
    <col min="5668" max="5668" width="7.453125" bestFit="1" customWidth="1"/>
    <col min="5669" max="5669" width="10.1796875" bestFit="1" customWidth="1"/>
    <col min="5670" max="5670" width="7.453125" bestFit="1" customWidth="1"/>
    <col min="5671" max="5671" width="5.6796875" bestFit="1" customWidth="1"/>
    <col min="5672" max="5672" width="10.1796875" bestFit="1" customWidth="1"/>
    <col min="5673" max="5673" width="7.453125" bestFit="1" customWidth="1"/>
    <col min="5674" max="5674" width="10.1796875" bestFit="1" customWidth="1"/>
    <col min="5675" max="5675" width="7.453125" bestFit="1" customWidth="1"/>
    <col min="5676" max="5676" width="10.1796875" bestFit="1" customWidth="1"/>
    <col min="5677" max="5677" width="7.453125" bestFit="1" customWidth="1"/>
    <col min="5678" max="5678" width="10.1796875" bestFit="1" customWidth="1"/>
    <col min="5679" max="5679" width="7.453125" bestFit="1" customWidth="1"/>
    <col min="5680" max="5680" width="10.1796875" bestFit="1" customWidth="1"/>
    <col min="5681" max="5681" width="7.453125" bestFit="1" customWidth="1"/>
    <col min="5682" max="5682" width="10.1796875" bestFit="1" customWidth="1"/>
    <col min="5683" max="5683" width="7.453125" bestFit="1" customWidth="1"/>
    <col min="5684" max="5684" width="10.1796875" bestFit="1" customWidth="1"/>
    <col min="5685" max="5685" width="7.453125" bestFit="1" customWidth="1"/>
    <col min="5686" max="5686" width="10.1796875" bestFit="1" customWidth="1"/>
    <col min="5687" max="5687" width="7.453125" bestFit="1" customWidth="1"/>
    <col min="5688" max="5688" width="10.1796875" bestFit="1" customWidth="1"/>
    <col min="5689" max="5689" width="7.453125" bestFit="1" customWidth="1"/>
    <col min="5690" max="5690" width="10.1796875" bestFit="1" customWidth="1"/>
    <col min="5691" max="5691" width="7.453125" bestFit="1" customWidth="1"/>
    <col min="5692" max="5692" width="5.6796875" bestFit="1" customWidth="1"/>
    <col min="5693" max="5693" width="10.1796875" bestFit="1" customWidth="1"/>
    <col min="5694" max="5694" width="7.453125" bestFit="1" customWidth="1"/>
    <col min="5695" max="5695" width="3.6796875" bestFit="1" customWidth="1"/>
    <col min="5696" max="5696" width="10.1796875" bestFit="1" customWidth="1"/>
    <col min="5697" max="5697" width="7.453125" bestFit="1" customWidth="1"/>
    <col min="5698" max="5698" width="10.1796875" bestFit="1" customWidth="1"/>
    <col min="5699" max="5699" width="7.453125" bestFit="1" customWidth="1"/>
    <col min="5700" max="5700" width="10.1796875" bestFit="1" customWidth="1"/>
    <col min="5701" max="5701" width="7.453125" bestFit="1" customWidth="1"/>
    <col min="5702" max="5702" width="10.1796875" bestFit="1" customWidth="1"/>
    <col min="5703" max="5703" width="7.453125" bestFit="1" customWidth="1"/>
    <col min="5704" max="5704" width="10.1796875" bestFit="1" customWidth="1"/>
    <col min="5705" max="5705" width="7.453125" bestFit="1" customWidth="1"/>
    <col min="5706" max="5706" width="10.1796875" bestFit="1" customWidth="1"/>
    <col min="5707" max="5707" width="7.453125" bestFit="1" customWidth="1"/>
    <col min="5708" max="5708" width="10.1796875" bestFit="1" customWidth="1"/>
    <col min="5709" max="5709" width="7.453125" bestFit="1" customWidth="1"/>
    <col min="5710" max="5710" width="10.1796875" bestFit="1" customWidth="1"/>
    <col min="5711" max="5711" width="7.453125" bestFit="1" customWidth="1"/>
    <col min="5712" max="5712" width="10.1796875" bestFit="1" customWidth="1"/>
    <col min="5713" max="5713" width="7.453125" bestFit="1" customWidth="1"/>
    <col min="5714" max="5714" width="10.1796875" bestFit="1" customWidth="1"/>
    <col min="5715" max="5715" width="7.453125" bestFit="1" customWidth="1"/>
    <col min="5716" max="5716" width="10.1796875" bestFit="1" customWidth="1"/>
    <col min="5717" max="5717" width="7.453125" bestFit="1" customWidth="1"/>
    <col min="5718" max="5718" width="10.1796875" bestFit="1" customWidth="1"/>
    <col min="5719" max="5719" width="7.453125" bestFit="1" customWidth="1"/>
    <col min="5720" max="5720" width="10.1796875" bestFit="1" customWidth="1"/>
    <col min="5721" max="5721" width="7.453125" bestFit="1" customWidth="1"/>
    <col min="5722" max="5722" width="10.1796875" bestFit="1" customWidth="1"/>
    <col min="5723" max="5723" width="7.453125" bestFit="1" customWidth="1"/>
    <col min="5724" max="5724" width="10.1796875" bestFit="1" customWidth="1"/>
    <col min="5725" max="5725" width="7.453125" bestFit="1" customWidth="1"/>
    <col min="5726" max="5726" width="10.1796875" bestFit="1" customWidth="1"/>
    <col min="5727" max="5727" width="7.6796875" bestFit="1" customWidth="1"/>
    <col min="5728" max="5728" width="10.1796875" bestFit="1" customWidth="1"/>
    <col min="5729" max="5729" width="7.453125" bestFit="1" customWidth="1"/>
    <col min="5730" max="5730" width="10.1796875" bestFit="1" customWidth="1"/>
    <col min="5731" max="5731" width="7.453125" bestFit="1" customWidth="1"/>
    <col min="5732" max="5732" width="10.1796875" bestFit="1" customWidth="1"/>
    <col min="5733" max="5733" width="7.453125" bestFit="1" customWidth="1"/>
    <col min="5734" max="5734" width="10.1796875" bestFit="1" customWidth="1"/>
    <col min="5735" max="5735" width="7.453125" bestFit="1" customWidth="1"/>
    <col min="5736" max="5736" width="10.1796875" bestFit="1" customWidth="1"/>
    <col min="5737" max="5737" width="7.453125" bestFit="1" customWidth="1"/>
    <col min="5738" max="5738" width="10.1796875" bestFit="1" customWidth="1"/>
    <col min="5739" max="5739" width="7.453125" bestFit="1" customWidth="1"/>
    <col min="5740" max="5740" width="10.1796875" bestFit="1" customWidth="1"/>
    <col min="5741" max="5741" width="7.453125" bestFit="1" customWidth="1"/>
    <col min="5742" max="5742" width="10.1796875" bestFit="1" customWidth="1"/>
    <col min="5743" max="5743" width="7.453125" bestFit="1" customWidth="1"/>
    <col min="5744" max="5744" width="10.1796875" bestFit="1" customWidth="1"/>
    <col min="5745" max="5745" width="7.453125" bestFit="1" customWidth="1"/>
    <col min="5746" max="5746" width="10.1796875" bestFit="1" customWidth="1"/>
    <col min="5747" max="5747" width="7.453125" bestFit="1" customWidth="1"/>
    <col min="5748" max="5748" width="5.6796875" bestFit="1" customWidth="1"/>
    <col min="5749" max="5749" width="10.1796875" bestFit="1" customWidth="1"/>
    <col min="5750" max="5750" width="7.453125" bestFit="1" customWidth="1"/>
    <col min="5751" max="5751" width="10.1796875" bestFit="1" customWidth="1"/>
    <col min="5752" max="5752" width="7.453125" bestFit="1" customWidth="1"/>
    <col min="5753" max="5753" width="10.1796875" bestFit="1" customWidth="1"/>
    <col min="5754" max="5754" width="7.453125" bestFit="1" customWidth="1"/>
    <col min="5755" max="5755" width="10.1796875" bestFit="1" customWidth="1"/>
    <col min="5756" max="5756" width="7.453125" bestFit="1" customWidth="1"/>
    <col min="5757" max="5757" width="10.1796875" bestFit="1" customWidth="1"/>
    <col min="5758" max="5758" width="7.453125" bestFit="1" customWidth="1"/>
    <col min="5759" max="5759" width="10.1796875" bestFit="1" customWidth="1"/>
    <col min="5760" max="5760" width="7.453125" bestFit="1" customWidth="1"/>
    <col min="5761" max="5761" width="10.1796875" bestFit="1" customWidth="1"/>
    <col min="5762" max="5762" width="7.453125" bestFit="1" customWidth="1"/>
    <col min="5763" max="5763" width="10.1796875" bestFit="1" customWidth="1"/>
    <col min="5764" max="5764" width="7.453125" bestFit="1" customWidth="1"/>
    <col min="5765" max="5765" width="10.1796875" bestFit="1" customWidth="1"/>
    <col min="5766" max="5766" width="7.453125" bestFit="1" customWidth="1"/>
    <col min="5767" max="5767" width="10.1796875" bestFit="1" customWidth="1"/>
    <col min="5768" max="5768" width="7.453125" bestFit="1" customWidth="1"/>
    <col min="5769" max="5769" width="10.1796875" bestFit="1" customWidth="1"/>
    <col min="5770" max="5770" width="7.453125" bestFit="1" customWidth="1"/>
    <col min="5771" max="5771" width="10.1796875" bestFit="1" customWidth="1"/>
    <col min="5772" max="5772" width="7.453125" bestFit="1" customWidth="1"/>
    <col min="5773" max="5773" width="10.1796875" bestFit="1" customWidth="1"/>
    <col min="5774" max="5774" width="7.453125" bestFit="1" customWidth="1"/>
    <col min="5775" max="5775" width="10.1796875" bestFit="1" customWidth="1"/>
    <col min="5776" max="5776" width="7.453125" bestFit="1" customWidth="1"/>
    <col min="5777" max="5777" width="10.1796875" bestFit="1" customWidth="1"/>
    <col min="5778" max="5778" width="7.453125" bestFit="1" customWidth="1"/>
    <col min="5779" max="5779" width="10.1796875" bestFit="1" customWidth="1"/>
    <col min="5780" max="5780" width="7.453125" bestFit="1" customWidth="1"/>
    <col min="5781" max="5781" width="10.1796875" bestFit="1" customWidth="1"/>
    <col min="5782" max="5782" width="7.453125" bestFit="1" customWidth="1"/>
    <col min="5783" max="5783" width="10.1796875" bestFit="1" customWidth="1"/>
    <col min="5784" max="5784" width="7.453125" bestFit="1" customWidth="1"/>
    <col min="5785" max="5785" width="10.1796875" bestFit="1" customWidth="1"/>
    <col min="5786" max="5786" width="7.453125" bestFit="1" customWidth="1"/>
    <col min="5787" max="5787" width="10.1796875" bestFit="1" customWidth="1"/>
    <col min="5788" max="5788" width="7.453125" bestFit="1" customWidth="1"/>
    <col min="5789" max="5789" width="10.1796875" bestFit="1" customWidth="1"/>
    <col min="5790" max="5790" width="7.453125" bestFit="1" customWidth="1"/>
    <col min="5791" max="5791" width="10.1796875" bestFit="1" customWidth="1"/>
    <col min="5792" max="5792" width="7.453125" bestFit="1" customWidth="1"/>
    <col min="5793" max="5793" width="10.1796875" bestFit="1" customWidth="1"/>
    <col min="5794" max="5794" width="7.453125" bestFit="1" customWidth="1"/>
    <col min="5795" max="5795" width="10.1796875" bestFit="1" customWidth="1"/>
    <col min="5796" max="5796" width="7.453125" bestFit="1" customWidth="1"/>
    <col min="5797" max="5797" width="4.6796875" bestFit="1" customWidth="1"/>
    <col min="5798" max="5798" width="10.1796875" bestFit="1" customWidth="1"/>
    <col min="5799" max="5799" width="7.453125" bestFit="1" customWidth="1"/>
    <col min="5800" max="5800" width="10.1796875" bestFit="1" customWidth="1"/>
    <col min="5801" max="5801" width="7.453125" bestFit="1" customWidth="1"/>
    <col min="5802" max="5802" width="10.1796875" bestFit="1" customWidth="1"/>
    <col min="5803" max="5803" width="7.453125" bestFit="1" customWidth="1"/>
    <col min="5804" max="5804" width="10.1796875" bestFit="1" customWidth="1"/>
    <col min="5805" max="5805" width="7.453125" bestFit="1" customWidth="1"/>
    <col min="5806" max="5806" width="10.1796875" bestFit="1" customWidth="1"/>
    <col min="5807" max="5807" width="7.453125" bestFit="1" customWidth="1"/>
    <col min="5808" max="5808" width="10.1796875" bestFit="1" customWidth="1"/>
    <col min="5809" max="5809" width="7.453125" bestFit="1" customWidth="1"/>
    <col min="5810" max="5810" width="10.1796875" bestFit="1" customWidth="1"/>
    <col min="5811" max="5811" width="7.453125" bestFit="1" customWidth="1"/>
    <col min="5812" max="5812" width="10.1796875" bestFit="1" customWidth="1"/>
    <col min="5813" max="5813" width="7.453125" bestFit="1" customWidth="1"/>
    <col min="5814" max="5814" width="10.1796875" bestFit="1" customWidth="1"/>
    <col min="5815" max="5815" width="7.453125" bestFit="1" customWidth="1"/>
    <col min="5816" max="5816" width="10.1796875" bestFit="1" customWidth="1"/>
    <col min="5817" max="5817" width="7.453125" bestFit="1" customWidth="1"/>
    <col min="5818" max="5818" width="10.1796875" bestFit="1" customWidth="1"/>
    <col min="5819" max="5819" width="7.453125" bestFit="1" customWidth="1"/>
    <col min="5820" max="5820" width="10.1796875" bestFit="1" customWidth="1"/>
    <col min="5821" max="5821" width="7.453125" bestFit="1" customWidth="1"/>
    <col min="5822" max="5822" width="10.1796875" bestFit="1" customWidth="1"/>
    <col min="5823" max="5823" width="7.453125" bestFit="1" customWidth="1"/>
    <col min="5824" max="5824" width="10.1796875" bestFit="1" customWidth="1"/>
    <col min="5825" max="5825" width="7.453125" bestFit="1" customWidth="1"/>
    <col min="5826" max="5826" width="10.1796875" bestFit="1" customWidth="1"/>
    <col min="5827" max="5827" width="7.453125" bestFit="1" customWidth="1"/>
    <col min="5828" max="5828" width="10.1796875" bestFit="1" customWidth="1"/>
    <col min="5829" max="5829" width="7.453125" bestFit="1" customWidth="1"/>
    <col min="5830" max="5830" width="10.1796875" bestFit="1" customWidth="1"/>
    <col min="5831" max="5831" width="7.453125" bestFit="1" customWidth="1"/>
    <col min="5832" max="5832" width="10.1796875" bestFit="1" customWidth="1"/>
    <col min="5833" max="5833" width="7.453125" bestFit="1" customWidth="1"/>
    <col min="5834" max="5834" width="10.1796875" bestFit="1" customWidth="1"/>
    <col min="5835" max="5835" width="7.453125" bestFit="1" customWidth="1"/>
    <col min="5836" max="5836" width="10.1796875" bestFit="1" customWidth="1"/>
    <col min="5837" max="5837" width="7.453125" bestFit="1" customWidth="1"/>
    <col min="5838" max="5838" width="10.1796875" bestFit="1" customWidth="1"/>
    <col min="5839" max="5839" width="7.453125" bestFit="1" customWidth="1"/>
    <col min="5840" max="5840" width="10.1796875" bestFit="1" customWidth="1"/>
    <col min="5841" max="5841" width="7.453125" bestFit="1" customWidth="1"/>
    <col min="5842" max="5842" width="10.1796875" bestFit="1" customWidth="1"/>
    <col min="5843" max="5843" width="7.453125" bestFit="1" customWidth="1"/>
    <col min="5844" max="5844" width="10.1796875" bestFit="1" customWidth="1"/>
    <col min="5845" max="5845" width="7.453125" bestFit="1" customWidth="1"/>
    <col min="5846" max="5846" width="10.1796875" bestFit="1" customWidth="1"/>
    <col min="5847" max="5847" width="7.453125" bestFit="1" customWidth="1"/>
    <col min="5848" max="5848" width="10.1796875" bestFit="1" customWidth="1"/>
    <col min="5849" max="5849" width="7.453125" bestFit="1" customWidth="1"/>
    <col min="5850" max="5850" width="10.1796875" bestFit="1" customWidth="1"/>
    <col min="5851" max="5851" width="7.453125" bestFit="1" customWidth="1"/>
    <col min="5852" max="5852" width="10.1796875" bestFit="1" customWidth="1"/>
    <col min="5853" max="5853" width="7.453125" bestFit="1" customWidth="1"/>
    <col min="5854" max="5854" width="10.1796875" bestFit="1" customWidth="1"/>
    <col min="5855" max="5855" width="7.453125" bestFit="1" customWidth="1"/>
    <col min="5856" max="5856" width="3.6796875" bestFit="1" customWidth="1"/>
    <col min="5857" max="5857" width="10.1796875" bestFit="1" customWidth="1"/>
    <col min="5858" max="5858" width="7.6796875" bestFit="1" customWidth="1"/>
    <col min="5859" max="5859" width="10.1796875" bestFit="1" customWidth="1"/>
    <col min="5860" max="5860" width="7.453125" bestFit="1" customWidth="1"/>
    <col min="5861" max="5861" width="10.1796875" bestFit="1" customWidth="1"/>
    <col min="5862" max="5862" width="7.453125" bestFit="1" customWidth="1"/>
    <col min="5863" max="5863" width="10.1796875" bestFit="1" customWidth="1"/>
    <col min="5864" max="5864" width="7.453125" bestFit="1" customWidth="1"/>
    <col min="5865" max="5865" width="10.1796875" bestFit="1" customWidth="1"/>
    <col min="5866" max="5866" width="7.453125" bestFit="1" customWidth="1"/>
    <col min="5867" max="5867" width="10.1796875" bestFit="1" customWidth="1"/>
    <col min="5868" max="5868" width="7.453125" bestFit="1" customWidth="1"/>
    <col min="5869" max="5869" width="10.1796875" bestFit="1" customWidth="1"/>
    <col min="5870" max="5870" width="7.453125" bestFit="1" customWidth="1"/>
    <col min="5871" max="5871" width="10.1796875" bestFit="1" customWidth="1"/>
    <col min="5872" max="5872" width="7.453125" bestFit="1" customWidth="1"/>
    <col min="5873" max="5873" width="10.1796875" bestFit="1" customWidth="1"/>
    <col min="5874" max="5874" width="7.453125" bestFit="1" customWidth="1"/>
    <col min="5875" max="5875" width="10.1796875" bestFit="1" customWidth="1"/>
    <col min="5876" max="5876" width="7.453125" bestFit="1" customWidth="1"/>
    <col min="5877" max="5877" width="10.1796875" bestFit="1" customWidth="1"/>
    <col min="5878" max="5878" width="7.453125" bestFit="1" customWidth="1"/>
    <col min="5879" max="5879" width="10.1796875" bestFit="1" customWidth="1"/>
    <col min="5880" max="5880" width="7.453125" bestFit="1" customWidth="1"/>
    <col min="5881" max="5881" width="10.1796875" bestFit="1" customWidth="1"/>
    <col min="5882" max="5882" width="7.453125" bestFit="1" customWidth="1"/>
    <col min="5883" max="5883" width="10.1796875" bestFit="1" customWidth="1"/>
    <col min="5884" max="5884" width="7.453125" bestFit="1" customWidth="1"/>
    <col min="5885" max="5885" width="10.1796875" bestFit="1" customWidth="1"/>
    <col min="5886" max="5886" width="7.453125" bestFit="1" customWidth="1"/>
    <col min="5887" max="5887" width="10.1796875" bestFit="1" customWidth="1"/>
    <col min="5888" max="5888" width="7.453125" bestFit="1" customWidth="1"/>
    <col min="5889" max="5889" width="10.1796875" bestFit="1" customWidth="1"/>
    <col min="5890" max="5890" width="7.453125" bestFit="1" customWidth="1"/>
    <col min="5891" max="5891" width="10.1796875" bestFit="1" customWidth="1"/>
    <col min="5892" max="5892" width="7.453125" bestFit="1" customWidth="1"/>
    <col min="5893" max="5893" width="10.1796875" bestFit="1" customWidth="1"/>
    <col min="5894" max="5894" width="7.453125" bestFit="1" customWidth="1"/>
    <col min="5895" max="5895" width="10.1796875" bestFit="1" customWidth="1"/>
    <col min="5896" max="5896" width="7.453125" bestFit="1" customWidth="1"/>
    <col min="5897" max="5897" width="10.1796875" bestFit="1" customWidth="1"/>
    <col min="5898" max="5898" width="7.453125" bestFit="1" customWidth="1"/>
    <col min="5899" max="5899" width="10.1796875" bestFit="1" customWidth="1"/>
    <col min="5900" max="5900" width="7.453125" bestFit="1" customWidth="1"/>
    <col min="5901" max="5901" width="10.1796875" bestFit="1" customWidth="1"/>
    <col min="5902" max="5902" width="7.453125" bestFit="1" customWidth="1"/>
    <col min="5903" max="5903" width="10.1796875" bestFit="1" customWidth="1"/>
    <col min="5904" max="5904" width="7.453125" bestFit="1" customWidth="1"/>
    <col min="5905" max="5905" width="10.1796875" bestFit="1" customWidth="1"/>
    <col min="5906" max="5906" width="7.453125" bestFit="1" customWidth="1"/>
    <col min="5907" max="5907" width="10.1796875" bestFit="1" customWidth="1"/>
    <col min="5908" max="5908" width="7.453125" bestFit="1" customWidth="1"/>
    <col min="5909" max="5909" width="10.1796875" bestFit="1" customWidth="1"/>
    <col min="5910" max="5910" width="7.453125" bestFit="1" customWidth="1"/>
    <col min="5911" max="5911" width="10.1796875" bestFit="1" customWidth="1"/>
    <col min="5912" max="5912" width="7.453125" bestFit="1" customWidth="1"/>
    <col min="5913" max="5913" width="10.1796875" bestFit="1" customWidth="1"/>
    <col min="5914" max="5914" width="7.453125" bestFit="1" customWidth="1"/>
    <col min="5915" max="5915" width="10.1796875" bestFit="1" customWidth="1"/>
    <col min="5916" max="5916" width="7.453125" bestFit="1" customWidth="1"/>
    <col min="5917" max="5917" width="10.1796875" bestFit="1" customWidth="1"/>
    <col min="5918" max="5918" width="7.453125" bestFit="1" customWidth="1"/>
    <col min="5919" max="5919" width="10.1796875" bestFit="1" customWidth="1"/>
    <col min="5920" max="5920" width="7.453125" bestFit="1" customWidth="1"/>
    <col min="5921" max="5921" width="10.1796875" bestFit="1" customWidth="1"/>
    <col min="5922" max="5922" width="7.453125" bestFit="1" customWidth="1"/>
    <col min="5923" max="5923" width="10.1796875" bestFit="1" customWidth="1"/>
    <col min="5924" max="5924" width="7.453125" bestFit="1" customWidth="1"/>
    <col min="5925" max="5925" width="10.1796875" bestFit="1" customWidth="1"/>
    <col min="5926" max="5926" width="7.453125" bestFit="1" customWidth="1"/>
    <col min="5927" max="5927" width="10.1796875" bestFit="1" customWidth="1"/>
    <col min="5928" max="5928" width="7.453125" bestFit="1" customWidth="1"/>
    <col min="5929" max="5929" width="10.1796875" bestFit="1" customWidth="1"/>
    <col min="5930" max="5930" width="7.453125" bestFit="1" customWidth="1"/>
    <col min="5931" max="5931" width="10.1796875" bestFit="1" customWidth="1"/>
    <col min="5932" max="5932" width="7.453125" bestFit="1" customWidth="1"/>
    <col min="5933" max="5933" width="10.1796875" bestFit="1" customWidth="1"/>
    <col min="5934" max="5934" width="7.453125" bestFit="1" customWidth="1"/>
    <col min="5935" max="5935" width="10.1796875" bestFit="1" customWidth="1"/>
    <col min="5936" max="5936" width="7.453125" bestFit="1" customWidth="1"/>
    <col min="5937" max="5937" width="10.1796875" bestFit="1" customWidth="1"/>
    <col min="5938" max="5938" width="7.453125" bestFit="1" customWidth="1"/>
    <col min="5939" max="5939" width="10.1796875" bestFit="1" customWidth="1"/>
    <col min="5940" max="5940" width="7.453125" bestFit="1" customWidth="1"/>
    <col min="5941" max="5941" width="10.1796875" bestFit="1" customWidth="1"/>
    <col min="5942" max="5942" width="7.453125" bestFit="1" customWidth="1"/>
    <col min="5943" max="5943" width="10.1796875" bestFit="1" customWidth="1"/>
    <col min="5944" max="5944" width="7.453125" bestFit="1" customWidth="1"/>
    <col min="5945" max="5945" width="10.1796875" bestFit="1" customWidth="1"/>
    <col min="5946" max="5946" width="7.453125" bestFit="1" customWidth="1"/>
    <col min="5947" max="5947" width="10.1796875" bestFit="1" customWidth="1"/>
    <col min="5948" max="5948" width="7.453125" bestFit="1" customWidth="1"/>
    <col min="5949" max="5949" width="10.1796875" bestFit="1" customWidth="1"/>
    <col min="5950" max="5950" width="7.453125" bestFit="1" customWidth="1"/>
    <col min="5951" max="5951" width="10.1796875" bestFit="1" customWidth="1"/>
    <col min="5952" max="5952" width="7.453125" bestFit="1" customWidth="1"/>
    <col min="5953" max="5953" width="10.1796875" bestFit="1" customWidth="1"/>
    <col min="5954" max="5954" width="7.453125" bestFit="1" customWidth="1"/>
    <col min="5955" max="5955" width="10.1796875" bestFit="1" customWidth="1"/>
    <col min="5956" max="5956" width="7.453125" bestFit="1" customWidth="1"/>
    <col min="5957" max="5957" width="10.1796875" bestFit="1" customWidth="1"/>
    <col min="5958" max="5958" width="7.453125" bestFit="1" customWidth="1"/>
    <col min="5959" max="5959" width="10.1796875" bestFit="1" customWidth="1"/>
    <col min="5960" max="5960" width="7.453125" bestFit="1" customWidth="1"/>
    <col min="5961" max="5961" width="10.1796875" bestFit="1" customWidth="1"/>
    <col min="5962" max="5962" width="7.453125" bestFit="1" customWidth="1"/>
    <col min="5963" max="5963" width="10.1796875" bestFit="1" customWidth="1"/>
    <col min="5964" max="5964" width="7.453125" bestFit="1" customWidth="1"/>
    <col min="5965" max="5965" width="10.1796875" bestFit="1" customWidth="1"/>
    <col min="5966" max="5966" width="7.453125" bestFit="1" customWidth="1"/>
    <col min="5967" max="5967" width="10.1796875" bestFit="1" customWidth="1"/>
    <col min="5968" max="5968" width="7.453125" bestFit="1" customWidth="1"/>
    <col min="5969" max="5969" width="10.1796875" bestFit="1" customWidth="1"/>
    <col min="5970" max="5970" width="7.453125" bestFit="1" customWidth="1"/>
    <col min="5971" max="5971" width="10.1796875" bestFit="1" customWidth="1"/>
    <col min="5972" max="5972" width="7.453125" bestFit="1" customWidth="1"/>
    <col min="5973" max="5973" width="10.1796875" bestFit="1" customWidth="1"/>
    <col min="5974" max="5974" width="7.453125" bestFit="1" customWidth="1"/>
    <col min="5975" max="5975" width="10.1796875" bestFit="1" customWidth="1"/>
    <col min="5976" max="5976" width="7.453125" bestFit="1" customWidth="1"/>
    <col min="5977" max="5977" width="10.1796875" bestFit="1" customWidth="1"/>
    <col min="5978" max="5978" width="7.453125" bestFit="1" customWidth="1"/>
    <col min="5979" max="5979" width="10.1796875" bestFit="1" customWidth="1"/>
    <col min="5980" max="5980" width="7.453125" bestFit="1" customWidth="1"/>
    <col min="5981" max="5981" width="10.1796875" bestFit="1" customWidth="1"/>
    <col min="5982" max="5982" width="7.453125" bestFit="1" customWidth="1"/>
    <col min="5983" max="5983" width="10.1796875" bestFit="1" customWidth="1"/>
    <col min="5984" max="5984" width="7.453125" bestFit="1" customWidth="1"/>
    <col min="5985" max="5985" width="10.1796875" bestFit="1" customWidth="1"/>
    <col min="5986" max="5986" width="7.453125" bestFit="1" customWidth="1"/>
    <col min="5987" max="5987" width="10.1796875" bestFit="1" customWidth="1"/>
    <col min="5988" max="5988" width="7.453125" bestFit="1" customWidth="1"/>
    <col min="5989" max="5989" width="10.1796875" bestFit="1" customWidth="1"/>
    <col min="5990" max="5990" width="7.453125" bestFit="1" customWidth="1"/>
    <col min="5991" max="5991" width="10.1796875" bestFit="1" customWidth="1"/>
    <col min="5992" max="5992" width="7.453125" bestFit="1" customWidth="1"/>
    <col min="5993" max="5993" width="10.1796875" bestFit="1" customWidth="1"/>
    <col min="5994" max="5994" width="7.453125" bestFit="1" customWidth="1"/>
    <col min="5995" max="5995" width="10.1796875" bestFit="1" customWidth="1"/>
    <col min="5996" max="5996" width="7.453125" bestFit="1" customWidth="1"/>
    <col min="5997" max="5997" width="10.1796875" bestFit="1" customWidth="1"/>
    <col min="5998" max="5998" width="7.453125" bestFit="1" customWidth="1"/>
    <col min="5999" max="5999" width="10.1796875" bestFit="1" customWidth="1"/>
    <col min="6000" max="6000" width="7.453125" bestFit="1" customWidth="1"/>
    <col min="6001" max="6001" width="10.1796875" bestFit="1" customWidth="1"/>
    <col min="6002" max="6002" width="7.453125" bestFit="1" customWidth="1"/>
    <col min="6003" max="6003" width="10.1796875" bestFit="1" customWidth="1"/>
    <col min="6004" max="6004" width="7.453125" bestFit="1" customWidth="1"/>
    <col min="6005" max="6005" width="10.1796875" bestFit="1" customWidth="1"/>
    <col min="6006" max="6006" width="7.453125" bestFit="1" customWidth="1"/>
    <col min="6007" max="6007" width="10.1796875" bestFit="1" customWidth="1"/>
    <col min="6008" max="6008" width="7.453125" bestFit="1" customWidth="1"/>
    <col min="6009" max="6009" width="10.1796875" bestFit="1" customWidth="1"/>
    <col min="6010" max="6010" width="7.453125" bestFit="1" customWidth="1"/>
    <col min="6011" max="6011" width="10.1796875" bestFit="1" customWidth="1"/>
    <col min="6012" max="6012" width="7.453125" bestFit="1" customWidth="1"/>
    <col min="6013" max="6013" width="10.1796875" bestFit="1" customWidth="1"/>
    <col min="6014" max="6014" width="7.453125" bestFit="1" customWidth="1"/>
    <col min="6015" max="6015" width="10.1796875" bestFit="1" customWidth="1"/>
    <col min="6016" max="6016" width="7.453125" bestFit="1" customWidth="1"/>
    <col min="6017" max="6017" width="10.1796875" bestFit="1" customWidth="1"/>
    <col min="6018" max="6018" width="7.453125" bestFit="1" customWidth="1"/>
    <col min="6019" max="6019" width="10.1796875" bestFit="1" customWidth="1"/>
    <col min="6020" max="6020" width="7.453125" bestFit="1" customWidth="1"/>
    <col min="6021" max="6021" width="10.1796875" bestFit="1" customWidth="1"/>
    <col min="6022" max="6022" width="7.453125" bestFit="1" customWidth="1"/>
    <col min="6023" max="6023" width="10.1796875" bestFit="1" customWidth="1"/>
    <col min="6024" max="6024" width="7.453125" bestFit="1" customWidth="1"/>
    <col min="6025" max="6025" width="10.1796875" bestFit="1" customWidth="1"/>
    <col min="6026" max="6026" width="7.453125" bestFit="1" customWidth="1"/>
    <col min="6027" max="6027" width="10.1796875" bestFit="1" customWidth="1"/>
    <col min="6028" max="6028" width="7.453125" bestFit="1" customWidth="1"/>
    <col min="6029" max="6029" width="10.1796875" bestFit="1" customWidth="1"/>
    <col min="6030" max="6030" width="7.453125" bestFit="1" customWidth="1"/>
    <col min="6031" max="6031" width="10.1796875" bestFit="1" customWidth="1"/>
    <col min="6032" max="6032" width="7.453125" bestFit="1" customWidth="1"/>
    <col min="6033" max="6033" width="10.1796875" bestFit="1" customWidth="1"/>
    <col min="6034" max="6034" width="7.453125" bestFit="1" customWidth="1"/>
    <col min="6035" max="6035" width="10.1796875" bestFit="1" customWidth="1"/>
    <col min="6036" max="6036" width="7.453125" bestFit="1" customWidth="1"/>
    <col min="6037" max="6037" width="10.1796875" bestFit="1" customWidth="1"/>
    <col min="6038" max="6038" width="7.453125" bestFit="1" customWidth="1"/>
    <col min="6039" max="6039" width="10.1796875" bestFit="1" customWidth="1"/>
    <col min="6040" max="6040" width="7.453125" bestFit="1" customWidth="1"/>
    <col min="6041" max="6041" width="10.1796875" bestFit="1" customWidth="1"/>
    <col min="6042" max="6042" width="7.453125" bestFit="1" customWidth="1"/>
    <col min="6043" max="6043" width="10.1796875" bestFit="1" customWidth="1"/>
    <col min="6044" max="6044" width="7.453125" bestFit="1" customWidth="1"/>
    <col min="6045" max="6045" width="10.1796875" bestFit="1" customWidth="1"/>
    <col min="6046" max="6046" width="7.453125" bestFit="1" customWidth="1"/>
    <col min="6047" max="6047" width="10.1796875" bestFit="1" customWidth="1"/>
    <col min="6048" max="6048" width="7.453125" bestFit="1" customWidth="1"/>
    <col min="6049" max="6049" width="10.1796875" bestFit="1" customWidth="1"/>
    <col min="6050" max="6050" width="7.453125" bestFit="1" customWidth="1"/>
    <col min="6051" max="6051" width="10.1796875" bestFit="1" customWidth="1"/>
    <col min="6052" max="6052" width="7.453125" bestFit="1" customWidth="1"/>
    <col min="6053" max="6053" width="10.1796875" bestFit="1" customWidth="1"/>
    <col min="6054" max="6054" width="7.453125" bestFit="1" customWidth="1"/>
    <col min="6055" max="6055" width="5.6796875" bestFit="1" customWidth="1"/>
    <col min="6056" max="6056" width="10.1796875" bestFit="1" customWidth="1"/>
    <col min="6057" max="6057" width="7.453125" bestFit="1" customWidth="1"/>
    <col min="6058" max="6058" width="10.1796875" bestFit="1" customWidth="1"/>
    <col min="6059" max="6059" width="7.453125" bestFit="1" customWidth="1"/>
    <col min="6060" max="6060" width="10.1796875" bestFit="1" customWidth="1"/>
    <col min="6061" max="6061" width="7.453125" bestFit="1" customWidth="1"/>
    <col min="6062" max="6062" width="10.1796875" bestFit="1" customWidth="1"/>
    <col min="6063" max="6063" width="7.453125" bestFit="1" customWidth="1"/>
    <col min="6064" max="6064" width="10.1796875" bestFit="1" customWidth="1"/>
    <col min="6065" max="6065" width="7.453125" bestFit="1" customWidth="1"/>
    <col min="6066" max="6066" width="10.1796875" bestFit="1" customWidth="1"/>
    <col min="6067" max="6067" width="7.453125" bestFit="1" customWidth="1"/>
    <col min="6068" max="6068" width="10.1796875" bestFit="1" customWidth="1"/>
    <col min="6069" max="6069" width="7.453125" bestFit="1" customWidth="1"/>
    <col min="6070" max="6070" width="10.1796875" bestFit="1" customWidth="1"/>
    <col min="6071" max="6071" width="7.453125" bestFit="1" customWidth="1"/>
    <col min="6072" max="6072" width="10.1796875" bestFit="1" customWidth="1"/>
    <col min="6073" max="6073" width="7.453125" bestFit="1" customWidth="1"/>
    <col min="6074" max="6074" width="10.1796875" bestFit="1" customWidth="1"/>
    <col min="6075" max="6075" width="7.453125" bestFit="1" customWidth="1"/>
    <col min="6076" max="6076" width="10.1796875" bestFit="1" customWidth="1"/>
    <col min="6077" max="6077" width="7.453125" bestFit="1" customWidth="1"/>
    <col min="6078" max="6078" width="10.1796875" bestFit="1" customWidth="1"/>
    <col min="6079" max="6079" width="7.453125" bestFit="1" customWidth="1"/>
    <col min="6080" max="6080" width="10.1796875" bestFit="1" customWidth="1"/>
    <col min="6081" max="6081" width="7.453125" bestFit="1" customWidth="1"/>
    <col min="6082" max="6082" width="10.1796875" bestFit="1" customWidth="1"/>
    <col min="6083" max="6083" width="7.453125" bestFit="1" customWidth="1"/>
    <col min="6084" max="6084" width="10.1796875" bestFit="1" customWidth="1"/>
    <col min="6085" max="6085" width="7.453125" bestFit="1" customWidth="1"/>
    <col min="6086" max="6086" width="10.1796875" bestFit="1" customWidth="1"/>
    <col min="6087" max="6087" width="7.453125" bestFit="1" customWidth="1"/>
    <col min="6088" max="6088" width="10.1796875" bestFit="1" customWidth="1"/>
    <col min="6089" max="6089" width="7.453125" bestFit="1" customWidth="1"/>
    <col min="6090" max="6090" width="10.1796875" bestFit="1" customWidth="1"/>
    <col min="6091" max="6091" width="7.453125" bestFit="1" customWidth="1"/>
    <col min="6092" max="6092" width="10.1796875" bestFit="1" customWidth="1"/>
    <col min="6093" max="6093" width="7.453125" bestFit="1" customWidth="1"/>
    <col min="6094" max="6094" width="10.1796875" bestFit="1" customWidth="1"/>
    <col min="6095" max="6095" width="7.453125" bestFit="1" customWidth="1"/>
    <col min="6096" max="6096" width="10.1796875" bestFit="1" customWidth="1"/>
    <col min="6097" max="6097" width="7.453125" bestFit="1" customWidth="1"/>
    <col min="6098" max="6098" width="10.1796875" bestFit="1" customWidth="1"/>
    <col min="6099" max="6099" width="7.453125" bestFit="1" customWidth="1"/>
    <col min="6100" max="6100" width="10.1796875" bestFit="1" customWidth="1"/>
    <col min="6101" max="6101" width="7.453125" bestFit="1" customWidth="1"/>
    <col min="6102" max="6102" width="10.1796875" bestFit="1" customWidth="1"/>
    <col min="6103" max="6103" width="7.453125" bestFit="1" customWidth="1"/>
    <col min="6104" max="6104" width="10.1796875" bestFit="1" customWidth="1"/>
    <col min="6105" max="6105" width="7.453125" bestFit="1" customWidth="1"/>
    <col min="6106" max="6106" width="10.1796875" bestFit="1" customWidth="1"/>
    <col min="6107" max="6107" width="7.453125" bestFit="1" customWidth="1"/>
    <col min="6108" max="6108" width="10.1796875" bestFit="1" customWidth="1"/>
    <col min="6109" max="6109" width="7.453125" bestFit="1" customWidth="1"/>
    <col min="6110" max="6110" width="10.1796875" bestFit="1" customWidth="1"/>
    <col min="6111" max="6111" width="7.453125" bestFit="1" customWidth="1"/>
    <col min="6112" max="6112" width="10.1796875" bestFit="1" customWidth="1"/>
    <col min="6113" max="6113" width="7.453125" bestFit="1" customWidth="1"/>
    <col min="6114" max="6114" width="10.1796875" bestFit="1" customWidth="1"/>
    <col min="6115" max="6115" width="7.453125" bestFit="1" customWidth="1"/>
    <col min="6116" max="6116" width="10.1796875" bestFit="1" customWidth="1"/>
    <col min="6117" max="6117" width="7.453125" bestFit="1" customWidth="1"/>
    <col min="6118" max="6118" width="10.1796875" bestFit="1" customWidth="1"/>
    <col min="6119" max="6119" width="7.453125" bestFit="1" customWidth="1"/>
    <col min="6120" max="6120" width="10.1796875" bestFit="1" customWidth="1"/>
    <col min="6121" max="6121" width="7.453125" bestFit="1" customWidth="1"/>
    <col min="6122" max="6122" width="10.1796875" bestFit="1" customWidth="1"/>
    <col min="6123" max="6123" width="7.453125" bestFit="1" customWidth="1"/>
    <col min="6124" max="6124" width="10.1796875" bestFit="1" customWidth="1"/>
    <col min="6125" max="6125" width="7.453125" bestFit="1" customWidth="1"/>
    <col min="6126" max="6126" width="10.1796875" bestFit="1" customWidth="1"/>
    <col min="6127" max="6127" width="7.453125" bestFit="1" customWidth="1"/>
    <col min="6128" max="6128" width="10.1796875" bestFit="1" customWidth="1"/>
    <col min="6129" max="6129" width="7.453125" bestFit="1" customWidth="1"/>
    <col min="6130" max="6130" width="10.1796875" bestFit="1" customWidth="1"/>
    <col min="6131" max="6131" width="7.453125" bestFit="1" customWidth="1"/>
    <col min="6132" max="6132" width="10.1796875" bestFit="1" customWidth="1"/>
    <col min="6133" max="6133" width="7.453125" bestFit="1" customWidth="1"/>
    <col min="6134" max="6134" width="10.1796875" bestFit="1" customWidth="1"/>
    <col min="6135" max="6135" width="7.453125" bestFit="1" customWidth="1"/>
    <col min="6136" max="6136" width="5.6796875" bestFit="1" customWidth="1"/>
    <col min="6137" max="6137" width="10.1796875" bestFit="1" customWidth="1"/>
    <col min="6138" max="6138" width="7.453125" bestFit="1" customWidth="1"/>
    <col min="6139" max="6139" width="10.1796875" bestFit="1" customWidth="1"/>
    <col min="6140" max="6140" width="7.453125" bestFit="1" customWidth="1"/>
    <col min="6141" max="6141" width="10.1796875" bestFit="1" customWidth="1"/>
    <col min="6142" max="6142" width="7.453125" bestFit="1" customWidth="1"/>
    <col min="6143" max="6143" width="10.1796875" bestFit="1" customWidth="1"/>
    <col min="6144" max="6144" width="7.453125" bestFit="1" customWidth="1"/>
    <col min="6145" max="6145" width="10.1796875" bestFit="1" customWidth="1"/>
    <col min="6146" max="6146" width="7.453125" bestFit="1" customWidth="1"/>
    <col min="6147" max="6147" width="10.1796875" bestFit="1" customWidth="1"/>
    <col min="6148" max="6148" width="7.453125" bestFit="1" customWidth="1"/>
    <col min="6149" max="6149" width="10.1796875" bestFit="1" customWidth="1"/>
    <col min="6150" max="6150" width="7.453125" bestFit="1" customWidth="1"/>
    <col min="6151" max="6151" width="10.1796875" bestFit="1" customWidth="1"/>
    <col min="6152" max="6152" width="7.453125" bestFit="1" customWidth="1"/>
    <col min="6153" max="6153" width="10.1796875" bestFit="1" customWidth="1"/>
    <col min="6154" max="6154" width="7.453125" bestFit="1" customWidth="1"/>
    <col min="6155" max="6155" width="10.1796875" bestFit="1" customWidth="1"/>
    <col min="6156" max="6156" width="7.453125" bestFit="1" customWidth="1"/>
    <col min="6157" max="6157" width="10.1796875" bestFit="1" customWidth="1"/>
    <col min="6158" max="6158" width="7.453125" bestFit="1" customWidth="1"/>
    <col min="6159" max="6159" width="10.1796875" bestFit="1" customWidth="1"/>
    <col min="6160" max="6160" width="7.453125" bestFit="1" customWidth="1"/>
    <col min="6161" max="6161" width="10.1796875" bestFit="1" customWidth="1"/>
    <col min="6162" max="6162" width="7.453125" bestFit="1" customWidth="1"/>
    <col min="6163" max="6163" width="10.1796875" bestFit="1" customWidth="1"/>
    <col min="6164" max="6164" width="7.453125" bestFit="1" customWidth="1"/>
    <col min="6165" max="6165" width="10.1796875" bestFit="1" customWidth="1"/>
    <col min="6166" max="6166" width="7.453125" bestFit="1" customWidth="1"/>
    <col min="6167" max="6167" width="10.1796875" bestFit="1" customWidth="1"/>
    <col min="6168" max="6168" width="7.453125" bestFit="1" customWidth="1"/>
    <col min="6169" max="6169" width="10.1796875" bestFit="1" customWidth="1"/>
    <col min="6170" max="6170" width="7.453125" bestFit="1" customWidth="1"/>
    <col min="6171" max="6171" width="10.1796875" bestFit="1" customWidth="1"/>
    <col min="6172" max="6172" width="7.453125" bestFit="1" customWidth="1"/>
    <col min="6173" max="6173" width="10.1796875" bestFit="1" customWidth="1"/>
    <col min="6174" max="6174" width="7.453125" bestFit="1" customWidth="1"/>
    <col min="6175" max="6175" width="10.1796875" bestFit="1" customWidth="1"/>
    <col min="6176" max="6176" width="7.453125" bestFit="1" customWidth="1"/>
    <col min="6177" max="6177" width="10.1796875" bestFit="1" customWidth="1"/>
    <col min="6178" max="6178" width="7.453125" bestFit="1" customWidth="1"/>
    <col min="6179" max="6179" width="10.1796875" bestFit="1" customWidth="1"/>
    <col min="6180" max="6180" width="7.453125" bestFit="1" customWidth="1"/>
    <col min="6181" max="6181" width="10.1796875" bestFit="1" customWidth="1"/>
    <col min="6182" max="6182" width="7.453125" bestFit="1" customWidth="1"/>
    <col min="6183" max="6183" width="10.1796875" bestFit="1" customWidth="1"/>
    <col min="6184" max="6184" width="7.453125" bestFit="1" customWidth="1"/>
    <col min="6185" max="6185" width="10.1796875" bestFit="1" customWidth="1"/>
    <col min="6186" max="6186" width="7.453125" bestFit="1" customWidth="1"/>
    <col min="6187" max="6187" width="10.1796875" bestFit="1" customWidth="1"/>
    <col min="6188" max="6188" width="7.453125" bestFit="1" customWidth="1"/>
    <col min="6189" max="6189" width="10.1796875" bestFit="1" customWidth="1"/>
    <col min="6190" max="6190" width="7.453125" bestFit="1" customWidth="1"/>
    <col min="6191" max="6191" width="10.1796875" bestFit="1" customWidth="1"/>
    <col min="6192" max="6192" width="7.453125" bestFit="1" customWidth="1"/>
    <col min="6193" max="6193" width="10.1796875" bestFit="1" customWidth="1"/>
    <col min="6194" max="6194" width="7.453125" bestFit="1" customWidth="1"/>
    <col min="6195" max="6195" width="10.1796875" bestFit="1" customWidth="1"/>
    <col min="6196" max="6196" width="7.453125" bestFit="1" customWidth="1"/>
    <col min="6197" max="6197" width="10.1796875" bestFit="1" customWidth="1"/>
    <col min="6198" max="6198" width="7.453125" bestFit="1" customWidth="1"/>
    <col min="6199" max="6199" width="10.1796875" bestFit="1" customWidth="1"/>
    <col min="6200" max="6200" width="7.453125" bestFit="1" customWidth="1"/>
    <col min="6201" max="6201" width="10.1796875" bestFit="1" customWidth="1"/>
    <col min="6202" max="6202" width="7.453125" bestFit="1" customWidth="1"/>
    <col min="6203" max="6203" width="10.1796875" bestFit="1" customWidth="1"/>
    <col min="6204" max="6204" width="7.453125" bestFit="1" customWidth="1"/>
    <col min="6205" max="6205" width="10.1796875" bestFit="1" customWidth="1"/>
    <col min="6206" max="6206" width="7.453125" bestFit="1" customWidth="1"/>
    <col min="6207" max="6207" width="10.1796875" bestFit="1" customWidth="1"/>
    <col min="6208" max="6208" width="7.453125" bestFit="1" customWidth="1"/>
    <col min="6209" max="6209" width="10.1796875" bestFit="1" customWidth="1"/>
    <col min="6210" max="6210" width="7.453125" bestFit="1" customWidth="1"/>
    <col min="6211" max="6211" width="10.1796875" bestFit="1" customWidth="1"/>
    <col min="6212" max="6212" width="7.453125" bestFit="1" customWidth="1"/>
    <col min="6213" max="6213" width="10.1796875" bestFit="1" customWidth="1"/>
    <col min="6214" max="6214" width="7.453125" bestFit="1" customWidth="1"/>
    <col min="6215" max="6215" width="10.1796875" bestFit="1" customWidth="1"/>
    <col min="6216" max="6216" width="7.453125" bestFit="1" customWidth="1"/>
    <col min="6217" max="6217" width="10.1796875" bestFit="1" customWidth="1"/>
    <col min="6218" max="6218" width="7.453125" bestFit="1" customWidth="1"/>
    <col min="6219" max="6219" width="10.1796875" bestFit="1" customWidth="1"/>
    <col min="6220" max="6220" width="7.453125" bestFit="1" customWidth="1"/>
    <col min="6221" max="6221" width="10.1796875" bestFit="1" customWidth="1"/>
    <col min="6222" max="6222" width="7.453125" bestFit="1" customWidth="1"/>
    <col min="6223" max="6223" width="10.1796875" bestFit="1" customWidth="1"/>
    <col min="6224" max="6224" width="7.453125" bestFit="1" customWidth="1"/>
    <col min="6225" max="6225" width="10.1796875" bestFit="1" customWidth="1"/>
    <col min="6226" max="6226" width="7.453125" bestFit="1" customWidth="1"/>
    <col min="6227" max="6227" width="10.1796875" bestFit="1" customWidth="1"/>
    <col min="6228" max="6228" width="7.453125" bestFit="1" customWidth="1"/>
    <col min="6229" max="6229" width="10.1796875" bestFit="1" customWidth="1"/>
    <col min="6230" max="6230" width="7.453125" bestFit="1" customWidth="1"/>
    <col min="6231" max="6231" width="10.1796875" bestFit="1" customWidth="1"/>
    <col min="6232" max="6232" width="7.453125" bestFit="1" customWidth="1"/>
    <col min="6233" max="6233" width="10.1796875" bestFit="1" customWidth="1"/>
    <col min="6234" max="6234" width="7.453125" bestFit="1" customWidth="1"/>
    <col min="6235" max="6235" width="10.1796875" bestFit="1" customWidth="1"/>
    <col min="6236" max="6236" width="7.453125" bestFit="1" customWidth="1"/>
    <col min="6237" max="6237" width="10.1796875" bestFit="1" customWidth="1"/>
    <col min="6238" max="6238" width="7.453125" bestFit="1" customWidth="1"/>
    <col min="6239" max="6239" width="10.1796875" bestFit="1" customWidth="1"/>
    <col min="6240" max="6240" width="7.453125" bestFit="1" customWidth="1"/>
    <col min="6241" max="6241" width="10.1796875" bestFit="1" customWidth="1"/>
    <col min="6242" max="6242" width="7.453125" bestFit="1" customWidth="1"/>
    <col min="6243" max="6243" width="10.1796875" bestFit="1" customWidth="1"/>
    <col min="6244" max="6244" width="7.453125" bestFit="1" customWidth="1"/>
    <col min="6245" max="6245" width="10.1796875" bestFit="1" customWidth="1"/>
    <col min="6246" max="6246" width="7.453125" bestFit="1" customWidth="1"/>
    <col min="6247" max="6247" width="10.1796875" bestFit="1" customWidth="1"/>
    <col min="6248" max="6248" width="7.453125" bestFit="1" customWidth="1"/>
    <col min="6249" max="6249" width="10.1796875" bestFit="1" customWidth="1"/>
    <col min="6250" max="6250" width="7.453125" bestFit="1" customWidth="1"/>
    <col min="6251" max="6251" width="10.1796875" bestFit="1" customWidth="1"/>
    <col min="6252" max="6252" width="7.453125" bestFit="1" customWidth="1"/>
    <col min="6253" max="6253" width="10.1796875" bestFit="1" customWidth="1"/>
    <col min="6254" max="6254" width="7.453125" bestFit="1" customWidth="1"/>
    <col min="6255" max="6255" width="4.6796875" bestFit="1" customWidth="1"/>
    <col min="6256" max="6256" width="10.1796875" bestFit="1" customWidth="1"/>
    <col min="6257" max="6257" width="7.453125" bestFit="1" customWidth="1"/>
    <col min="6258" max="6258" width="10.1796875" bestFit="1" customWidth="1"/>
    <col min="6259" max="6259" width="7.453125" bestFit="1" customWidth="1"/>
    <col min="6260" max="6260" width="10.1796875" bestFit="1" customWidth="1"/>
    <col min="6261" max="6261" width="7.453125" bestFit="1" customWidth="1"/>
    <col min="6262" max="6262" width="10.1796875" bestFit="1" customWidth="1"/>
    <col min="6263" max="6263" width="7.453125" bestFit="1" customWidth="1"/>
    <col min="6264" max="6264" width="10.1796875" bestFit="1" customWidth="1"/>
    <col min="6265" max="6265" width="7.453125" bestFit="1" customWidth="1"/>
    <col min="6266" max="6266" width="10.1796875" bestFit="1" customWidth="1"/>
    <col min="6267" max="6267" width="7.453125" bestFit="1" customWidth="1"/>
    <col min="6268" max="6268" width="10.1796875" bestFit="1" customWidth="1"/>
    <col min="6269" max="6269" width="7.453125" bestFit="1" customWidth="1"/>
    <col min="6270" max="6270" width="10.1796875" bestFit="1" customWidth="1"/>
    <col min="6271" max="6271" width="7.453125" bestFit="1" customWidth="1"/>
    <col min="6272" max="6272" width="10.1796875" bestFit="1" customWidth="1"/>
    <col min="6273" max="6273" width="7.453125" bestFit="1" customWidth="1"/>
    <col min="6274" max="6274" width="10.1796875" bestFit="1" customWidth="1"/>
    <col min="6275" max="6275" width="7.453125" bestFit="1" customWidth="1"/>
    <col min="6276" max="6276" width="10.1796875" bestFit="1" customWidth="1"/>
    <col min="6277" max="6277" width="7.453125" bestFit="1" customWidth="1"/>
    <col min="6278" max="6278" width="10.1796875" bestFit="1" customWidth="1"/>
    <col min="6279" max="6279" width="7.453125" bestFit="1" customWidth="1"/>
    <col min="6280" max="6280" width="10.1796875" bestFit="1" customWidth="1"/>
    <col min="6281" max="6281" width="7.453125" bestFit="1" customWidth="1"/>
    <col min="6282" max="6282" width="10.1796875" bestFit="1" customWidth="1"/>
    <col min="6283" max="6283" width="7.453125" bestFit="1" customWidth="1"/>
    <col min="6284" max="6284" width="10.1796875" bestFit="1" customWidth="1"/>
    <col min="6285" max="6285" width="7.453125" bestFit="1" customWidth="1"/>
    <col min="6286" max="6286" width="10.1796875" bestFit="1" customWidth="1"/>
    <col min="6287" max="6287" width="7.453125" bestFit="1" customWidth="1"/>
    <col min="6288" max="6288" width="10.1796875" bestFit="1" customWidth="1"/>
    <col min="6289" max="6289" width="7.453125" bestFit="1" customWidth="1"/>
    <col min="6290" max="6290" width="10.1796875" bestFit="1" customWidth="1"/>
    <col min="6291" max="6291" width="7.453125" bestFit="1" customWidth="1"/>
    <col min="6292" max="6292" width="5.6796875" bestFit="1" customWidth="1"/>
    <col min="6293" max="6293" width="10.1796875" bestFit="1" customWidth="1"/>
    <col min="6294" max="6294" width="7.453125" bestFit="1" customWidth="1"/>
    <col min="6295" max="6295" width="10.1796875" bestFit="1" customWidth="1"/>
    <col min="6296" max="6296" width="7.453125" bestFit="1" customWidth="1"/>
    <col min="6297" max="6297" width="10.1796875" bestFit="1" customWidth="1"/>
    <col min="6298" max="6298" width="7.453125" bestFit="1" customWidth="1"/>
    <col min="6299" max="6299" width="5.6796875" bestFit="1" customWidth="1"/>
    <col min="6300" max="6300" width="10.1796875" bestFit="1" customWidth="1"/>
    <col min="6301" max="6301" width="7.453125" bestFit="1" customWidth="1"/>
    <col min="6302" max="6302" width="10.1796875" bestFit="1" customWidth="1"/>
    <col min="6303" max="6303" width="7.453125" bestFit="1" customWidth="1"/>
    <col min="6304" max="6304" width="10.1796875" bestFit="1" customWidth="1"/>
    <col min="6305" max="6305" width="7.453125" bestFit="1" customWidth="1"/>
    <col min="6306" max="6306" width="10.1796875" bestFit="1" customWidth="1"/>
    <col min="6307" max="6307" width="7.453125" bestFit="1" customWidth="1"/>
    <col min="6308" max="6308" width="10.1796875" bestFit="1" customWidth="1"/>
    <col min="6309" max="6309" width="7.6796875" bestFit="1" customWidth="1"/>
    <col min="6310" max="6310" width="10.1796875" bestFit="1" customWidth="1"/>
    <col min="6311" max="6311" width="7.453125" bestFit="1" customWidth="1"/>
    <col min="6312" max="6312" width="10.1796875" bestFit="1" customWidth="1"/>
    <col min="6313" max="6313" width="7.453125" bestFit="1" customWidth="1"/>
    <col min="6314" max="6314" width="10.1796875" bestFit="1" customWidth="1"/>
    <col min="6315" max="6315" width="7.453125" bestFit="1" customWidth="1"/>
    <col min="6316" max="6316" width="10.1796875" bestFit="1" customWidth="1"/>
    <col min="6317" max="6317" width="7.453125" bestFit="1" customWidth="1"/>
    <col min="6318" max="6318" width="10.1796875" bestFit="1" customWidth="1"/>
    <col min="6319" max="6319" width="7.453125" bestFit="1" customWidth="1"/>
    <col min="6320" max="6320" width="10.1796875" bestFit="1" customWidth="1"/>
    <col min="6321" max="6321" width="7.453125" bestFit="1" customWidth="1"/>
    <col min="6322" max="6322" width="10.1796875" bestFit="1" customWidth="1"/>
    <col min="6323" max="6323" width="7.453125" bestFit="1" customWidth="1"/>
    <col min="6324" max="6324" width="10.1796875" bestFit="1" customWidth="1"/>
    <col min="6325" max="6325" width="7.453125" bestFit="1" customWidth="1"/>
    <col min="6326" max="6326" width="10.1796875" bestFit="1" customWidth="1"/>
    <col min="6327" max="6327" width="7.453125" bestFit="1" customWidth="1"/>
    <col min="6328" max="6328" width="10.1796875" bestFit="1" customWidth="1"/>
    <col min="6329" max="6329" width="8.6796875" bestFit="1" customWidth="1"/>
    <col min="6330" max="6330" width="10.1796875" bestFit="1" customWidth="1"/>
    <col min="6331" max="6331" width="7.453125" bestFit="1" customWidth="1"/>
    <col min="6332" max="6332" width="10.1796875" bestFit="1" customWidth="1"/>
    <col min="6333" max="6333" width="7.453125" bestFit="1" customWidth="1"/>
    <col min="6334" max="6334" width="10.1796875" bestFit="1" customWidth="1"/>
    <col min="6335" max="6335" width="7.453125" bestFit="1" customWidth="1"/>
    <col min="6336" max="6336" width="10.1796875" bestFit="1" customWidth="1"/>
    <col min="6337" max="6337" width="7.453125" bestFit="1" customWidth="1"/>
    <col min="6338" max="6338" width="10.1796875" bestFit="1" customWidth="1"/>
    <col min="6339" max="6339" width="7.453125" bestFit="1" customWidth="1"/>
    <col min="6340" max="6340" width="10.1796875" bestFit="1" customWidth="1"/>
    <col min="6341" max="6341" width="7.453125" bestFit="1" customWidth="1"/>
    <col min="6342" max="6342" width="10.1796875" bestFit="1" customWidth="1"/>
    <col min="6343" max="6343" width="7.453125" bestFit="1" customWidth="1"/>
    <col min="6344" max="6344" width="10.1796875" bestFit="1" customWidth="1"/>
    <col min="6345" max="6345" width="7.453125" bestFit="1" customWidth="1"/>
    <col min="6346" max="6346" width="10.1796875" bestFit="1" customWidth="1"/>
    <col min="6347" max="6347" width="7.453125" bestFit="1" customWidth="1"/>
    <col min="6348" max="6348" width="10.1796875" bestFit="1" customWidth="1"/>
    <col min="6349" max="6349" width="7.453125" bestFit="1" customWidth="1"/>
    <col min="6350" max="6350" width="10.1796875" bestFit="1" customWidth="1"/>
    <col min="6351" max="6351" width="7.453125" bestFit="1" customWidth="1"/>
    <col min="6352" max="6352" width="10.1796875" bestFit="1" customWidth="1"/>
    <col min="6353" max="6353" width="7.453125" bestFit="1" customWidth="1"/>
    <col min="6354" max="6354" width="10.1796875" bestFit="1" customWidth="1"/>
    <col min="6355" max="6355" width="7.453125" bestFit="1" customWidth="1"/>
    <col min="6356" max="6356" width="10.1796875" bestFit="1" customWidth="1"/>
    <col min="6357" max="6357" width="7.453125" bestFit="1" customWidth="1"/>
    <col min="6358" max="6358" width="10.1796875" bestFit="1" customWidth="1"/>
    <col min="6359" max="6359" width="7.453125" bestFit="1" customWidth="1"/>
    <col min="6360" max="6360" width="10.1796875" bestFit="1" customWidth="1"/>
    <col min="6361" max="6361" width="7.453125" bestFit="1" customWidth="1"/>
    <col min="6362" max="6362" width="10.1796875" bestFit="1" customWidth="1"/>
    <col min="6363" max="6363" width="7.453125" bestFit="1" customWidth="1"/>
    <col min="6364" max="6364" width="10.1796875" bestFit="1" customWidth="1"/>
    <col min="6365" max="6365" width="7.453125" bestFit="1" customWidth="1"/>
    <col min="6366" max="6366" width="10.1796875" bestFit="1" customWidth="1"/>
    <col min="6367" max="6367" width="7.453125" bestFit="1" customWidth="1"/>
    <col min="6368" max="6368" width="10.1796875" bestFit="1" customWidth="1"/>
    <col min="6369" max="6369" width="7.453125" bestFit="1" customWidth="1"/>
    <col min="6370" max="6370" width="10.1796875" bestFit="1" customWidth="1"/>
    <col min="6371" max="6371" width="7.453125" bestFit="1" customWidth="1"/>
    <col min="6372" max="6372" width="10.1796875" bestFit="1" customWidth="1"/>
    <col min="6373" max="6373" width="7.453125" bestFit="1" customWidth="1"/>
    <col min="6374" max="6374" width="10.1796875" bestFit="1" customWidth="1"/>
    <col min="6375" max="6375" width="7.453125" bestFit="1" customWidth="1"/>
    <col min="6376" max="6376" width="10.1796875" bestFit="1" customWidth="1"/>
    <col min="6377" max="6377" width="7.453125" bestFit="1" customWidth="1"/>
    <col min="6378" max="6378" width="10.1796875" bestFit="1" customWidth="1"/>
    <col min="6379" max="6379" width="7.453125" bestFit="1" customWidth="1"/>
    <col min="6380" max="6380" width="10.1796875" bestFit="1" customWidth="1"/>
    <col min="6381" max="6381" width="7.453125" bestFit="1" customWidth="1"/>
    <col min="6382" max="6382" width="10.1796875" bestFit="1" customWidth="1"/>
    <col min="6383" max="6383" width="7.453125" bestFit="1" customWidth="1"/>
    <col min="6384" max="6384" width="10.1796875" bestFit="1" customWidth="1"/>
    <col min="6385" max="6385" width="7.453125" bestFit="1" customWidth="1"/>
    <col min="6386" max="6386" width="10.1796875" bestFit="1" customWidth="1"/>
    <col min="6387" max="6387" width="7.453125" bestFit="1" customWidth="1"/>
    <col min="6388" max="6388" width="10.1796875" bestFit="1" customWidth="1"/>
    <col min="6389" max="6389" width="7.453125" bestFit="1" customWidth="1"/>
    <col min="6390" max="6390" width="10.1796875" bestFit="1" customWidth="1"/>
    <col min="6391" max="6391" width="7.453125" bestFit="1" customWidth="1"/>
    <col min="6392" max="6392" width="10.1796875" bestFit="1" customWidth="1"/>
    <col min="6393" max="6393" width="7.453125" bestFit="1" customWidth="1"/>
    <col min="6394" max="6394" width="10.1796875" bestFit="1" customWidth="1"/>
    <col min="6395" max="6395" width="7.453125" bestFit="1" customWidth="1"/>
    <col min="6396" max="6396" width="10.1796875" bestFit="1" customWidth="1"/>
    <col min="6397" max="6397" width="7.453125" bestFit="1" customWidth="1"/>
    <col min="6398" max="6398" width="10.1796875" bestFit="1" customWidth="1"/>
    <col min="6399" max="6399" width="7.453125" bestFit="1" customWidth="1"/>
    <col min="6400" max="6400" width="10.1796875" bestFit="1" customWidth="1"/>
    <col min="6401" max="6401" width="7.453125" bestFit="1" customWidth="1"/>
    <col min="6402" max="6402" width="10.1796875" bestFit="1" customWidth="1"/>
    <col min="6403" max="6403" width="7.453125" bestFit="1" customWidth="1"/>
    <col min="6404" max="6404" width="10.1796875" bestFit="1" customWidth="1"/>
    <col min="6405" max="6405" width="7.453125" bestFit="1" customWidth="1"/>
    <col min="6406" max="6406" width="10.1796875" bestFit="1" customWidth="1"/>
    <col min="6407" max="6407" width="7.453125" bestFit="1" customWidth="1"/>
    <col min="6408" max="6408" width="10.1796875" bestFit="1" customWidth="1"/>
    <col min="6409" max="6409" width="7.453125" bestFit="1" customWidth="1"/>
    <col min="6410" max="6410" width="10.1796875" bestFit="1" customWidth="1"/>
    <col min="6411" max="6411" width="7.453125" bestFit="1" customWidth="1"/>
    <col min="6412" max="6412" width="10.1796875" bestFit="1" customWidth="1"/>
    <col min="6413" max="6413" width="7.453125" bestFit="1" customWidth="1"/>
    <col min="6414" max="6414" width="10.1796875" bestFit="1" customWidth="1"/>
    <col min="6415" max="6415" width="7.453125" bestFit="1" customWidth="1"/>
    <col min="6416" max="6416" width="10.1796875" bestFit="1" customWidth="1"/>
    <col min="6417" max="6417" width="7.453125" bestFit="1" customWidth="1"/>
    <col min="6418" max="6418" width="10.1796875" bestFit="1" customWidth="1"/>
    <col min="6419" max="6419" width="7.453125" bestFit="1" customWidth="1"/>
    <col min="6420" max="6420" width="4.6796875" bestFit="1" customWidth="1"/>
    <col min="6421" max="6421" width="10.1796875" bestFit="1" customWidth="1"/>
    <col min="6422" max="6422" width="7.453125" bestFit="1" customWidth="1"/>
    <col min="6423" max="6423" width="10.1796875" bestFit="1" customWidth="1"/>
    <col min="6424" max="6424" width="7.453125" bestFit="1" customWidth="1"/>
    <col min="6425" max="6425" width="10.1796875" bestFit="1" customWidth="1"/>
    <col min="6426" max="6426" width="7.453125" bestFit="1" customWidth="1"/>
    <col min="6427" max="6427" width="10.1796875" bestFit="1" customWidth="1"/>
    <col min="6428" max="6428" width="7.453125" bestFit="1" customWidth="1"/>
    <col min="6429" max="6429" width="10.1796875" bestFit="1" customWidth="1"/>
    <col min="6430" max="6430" width="7.453125" bestFit="1" customWidth="1"/>
    <col min="6431" max="6431" width="10.1796875" bestFit="1" customWidth="1"/>
    <col min="6432" max="6432" width="7.453125" bestFit="1" customWidth="1"/>
    <col min="6433" max="6433" width="10.1796875" bestFit="1" customWidth="1"/>
    <col min="6434" max="6434" width="7.453125" bestFit="1" customWidth="1"/>
    <col min="6435" max="6435" width="10.1796875" bestFit="1" customWidth="1"/>
    <col min="6436" max="6436" width="7.453125" bestFit="1" customWidth="1"/>
    <col min="6437" max="6437" width="10.1796875" bestFit="1" customWidth="1"/>
    <col min="6438" max="6438" width="7.453125" bestFit="1" customWidth="1"/>
    <col min="6439" max="6439" width="10.1796875" bestFit="1" customWidth="1"/>
    <col min="6440" max="6440" width="7.453125" bestFit="1" customWidth="1"/>
    <col min="6441" max="6441" width="10.1796875" bestFit="1" customWidth="1"/>
    <col min="6442" max="6442" width="7.453125" bestFit="1" customWidth="1"/>
    <col min="6443" max="6443" width="10.1796875" bestFit="1" customWidth="1"/>
    <col min="6444" max="6444" width="7.453125" bestFit="1" customWidth="1"/>
    <col min="6445" max="6445" width="10.1796875" bestFit="1" customWidth="1"/>
    <col min="6446" max="6446" width="7.453125" bestFit="1" customWidth="1"/>
    <col min="6447" max="6447" width="10.1796875" bestFit="1" customWidth="1"/>
    <col min="6448" max="6448" width="7.453125" bestFit="1" customWidth="1"/>
    <col min="6449" max="6449" width="10.1796875" bestFit="1" customWidth="1"/>
    <col min="6450" max="6450" width="7.453125" bestFit="1" customWidth="1"/>
    <col min="6451" max="6451" width="10.1796875" bestFit="1" customWidth="1"/>
    <col min="6452" max="6452" width="7.453125" bestFit="1" customWidth="1"/>
    <col min="6453" max="6453" width="10.1796875" bestFit="1" customWidth="1"/>
    <col min="6454" max="6454" width="7.453125" bestFit="1" customWidth="1"/>
    <col min="6455" max="6455" width="10.1796875" bestFit="1" customWidth="1"/>
    <col min="6456" max="6456" width="7.453125" bestFit="1" customWidth="1"/>
    <col min="6457" max="6457" width="10.1796875" bestFit="1" customWidth="1"/>
    <col min="6458" max="6458" width="7.453125" bestFit="1" customWidth="1"/>
    <col min="6459" max="6459" width="10.1796875" bestFit="1" customWidth="1"/>
    <col min="6460" max="6460" width="7.453125" bestFit="1" customWidth="1"/>
    <col min="6461" max="6461" width="10.1796875" bestFit="1" customWidth="1"/>
    <col min="6462" max="6462" width="7.453125" bestFit="1" customWidth="1"/>
    <col min="6463" max="6463" width="10.1796875" bestFit="1" customWidth="1"/>
    <col min="6464" max="6464" width="7.453125" bestFit="1" customWidth="1"/>
    <col min="6465" max="6465" width="10.1796875" bestFit="1" customWidth="1"/>
    <col min="6466" max="6466" width="7.453125" bestFit="1" customWidth="1"/>
    <col min="6467" max="6467" width="10.1796875" bestFit="1" customWidth="1"/>
    <col min="6468" max="6468" width="7.453125" bestFit="1" customWidth="1"/>
    <col min="6469" max="6469" width="10.1796875" bestFit="1" customWidth="1"/>
    <col min="6470" max="6470" width="7.453125" bestFit="1" customWidth="1"/>
    <col min="6471" max="6471" width="10.1796875" bestFit="1" customWidth="1"/>
    <col min="6472" max="6472" width="7.453125" bestFit="1" customWidth="1"/>
    <col min="6473" max="6473" width="10.1796875" bestFit="1" customWidth="1"/>
    <col min="6474" max="6474" width="7.453125" bestFit="1" customWidth="1"/>
    <col min="6475" max="6475" width="10.1796875" bestFit="1" customWidth="1"/>
    <col min="6476" max="6476" width="7.453125" bestFit="1" customWidth="1"/>
    <col min="6477" max="6477" width="10.1796875" bestFit="1" customWidth="1"/>
    <col min="6478" max="6478" width="7.453125" bestFit="1" customWidth="1"/>
    <col min="6479" max="6479" width="10.1796875" bestFit="1" customWidth="1"/>
    <col min="6480" max="6480" width="7.453125" bestFit="1" customWidth="1"/>
    <col min="6481" max="6481" width="10.1796875" bestFit="1" customWidth="1"/>
    <col min="6482" max="6482" width="7.453125" bestFit="1" customWidth="1"/>
    <col min="6483" max="6483" width="10.1796875" bestFit="1" customWidth="1"/>
    <col min="6484" max="6484" width="7.453125" bestFit="1" customWidth="1"/>
    <col min="6485" max="6485" width="10.1796875" bestFit="1" customWidth="1"/>
    <col min="6486" max="6486" width="7.453125" bestFit="1" customWidth="1"/>
    <col min="6487" max="6487" width="10.1796875" bestFit="1" customWidth="1"/>
    <col min="6488" max="6488" width="7.453125" bestFit="1" customWidth="1"/>
    <col min="6489" max="6489" width="10.1796875" bestFit="1" customWidth="1"/>
    <col min="6490" max="6490" width="7.453125" bestFit="1" customWidth="1"/>
    <col min="6491" max="6491" width="10.1796875" bestFit="1" customWidth="1"/>
    <col min="6492" max="6492" width="7.453125" bestFit="1" customWidth="1"/>
    <col min="6493" max="6493" width="10.1796875" bestFit="1" customWidth="1"/>
    <col min="6494" max="6494" width="7.453125" bestFit="1" customWidth="1"/>
    <col min="6495" max="6495" width="10.1796875" bestFit="1" customWidth="1"/>
    <col min="6496" max="6496" width="7.453125" bestFit="1" customWidth="1"/>
    <col min="6497" max="6497" width="10.1796875" bestFit="1" customWidth="1"/>
    <col min="6498" max="6498" width="7.453125" bestFit="1" customWidth="1"/>
    <col min="6499" max="6499" width="10.1796875" bestFit="1" customWidth="1"/>
    <col min="6500" max="6500" width="7.453125" bestFit="1" customWidth="1"/>
    <col min="6501" max="6501" width="10.1796875" bestFit="1" customWidth="1"/>
    <col min="6502" max="6502" width="7.453125" bestFit="1" customWidth="1"/>
    <col min="6503" max="6503" width="6.6796875" bestFit="1" customWidth="1"/>
    <col min="6504" max="6504" width="10.1796875" bestFit="1" customWidth="1"/>
    <col min="6505" max="6505" width="7.453125" bestFit="1" customWidth="1"/>
    <col min="6506" max="6506" width="10.1796875" bestFit="1" customWidth="1"/>
    <col min="6507" max="6507" width="7.453125" bestFit="1" customWidth="1"/>
    <col min="6508" max="6508" width="10.1796875" bestFit="1" customWidth="1"/>
    <col min="6509" max="6509" width="7.453125" bestFit="1" customWidth="1"/>
    <col min="6510" max="6510" width="10.1796875" bestFit="1" customWidth="1"/>
    <col min="6511" max="6511" width="7.453125" bestFit="1" customWidth="1"/>
    <col min="6512" max="6512" width="10.1796875" bestFit="1" customWidth="1"/>
    <col min="6513" max="6513" width="7.453125" bestFit="1" customWidth="1"/>
    <col min="6514" max="6514" width="10.1796875" bestFit="1" customWidth="1"/>
    <col min="6515" max="6515" width="7.453125" bestFit="1" customWidth="1"/>
    <col min="6516" max="6516" width="10.1796875" bestFit="1" customWidth="1"/>
    <col min="6517" max="6517" width="7.453125" bestFit="1" customWidth="1"/>
    <col min="6518" max="6518" width="10.1796875" bestFit="1" customWidth="1"/>
    <col min="6519" max="6519" width="7.453125" bestFit="1" customWidth="1"/>
    <col min="6520" max="6520" width="10.1796875" bestFit="1" customWidth="1"/>
    <col min="6521" max="6521" width="7.453125" bestFit="1" customWidth="1"/>
    <col min="6522" max="6522" width="10.1796875" bestFit="1" customWidth="1"/>
    <col min="6523" max="6523" width="7.453125" bestFit="1" customWidth="1"/>
    <col min="6524" max="6524" width="10.1796875" bestFit="1" customWidth="1"/>
    <col min="6525" max="6525" width="7.453125" bestFit="1" customWidth="1"/>
    <col min="6526" max="6526" width="5.6796875" bestFit="1" customWidth="1"/>
    <col min="6527" max="6527" width="10.1796875" bestFit="1" customWidth="1"/>
    <col min="6528" max="6528" width="7.453125" bestFit="1" customWidth="1"/>
    <col min="6529" max="6529" width="10.1796875" bestFit="1" customWidth="1"/>
    <col min="6530" max="6530" width="7.453125" bestFit="1" customWidth="1"/>
    <col min="6531" max="6531" width="10.1796875" bestFit="1" customWidth="1"/>
    <col min="6532" max="6532" width="7.453125" bestFit="1" customWidth="1"/>
    <col min="6533" max="6533" width="10.1796875" bestFit="1" customWidth="1"/>
    <col min="6534" max="6534" width="7.453125" bestFit="1" customWidth="1"/>
    <col min="6535" max="6535" width="10.1796875" bestFit="1" customWidth="1"/>
    <col min="6536" max="6536" width="7.453125" bestFit="1" customWidth="1"/>
    <col min="6537" max="6537" width="10.1796875" bestFit="1" customWidth="1"/>
    <col min="6538" max="6538" width="7.453125" bestFit="1" customWidth="1"/>
    <col min="6539" max="6539" width="10.1796875" bestFit="1" customWidth="1"/>
    <col min="6540" max="6540" width="7.453125" bestFit="1" customWidth="1"/>
    <col min="6541" max="6541" width="10.1796875" bestFit="1" customWidth="1"/>
    <col min="6542" max="6542" width="7.453125" bestFit="1" customWidth="1"/>
    <col min="6543" max="6543" width="10.1796875" bestFit="1" customWidth="1"/>
    <col min="6544" max="6544" width="7.453125" bestFit="1" customWidth="1"/>
    <col min="6545" max="6545" width="10.1796875" bestFit="1" customWidth="1"/>
    <col min="6546" max="6546" width="7.453125" bestFit="1" customWidth="1"/>
    <col min="6547" max="6547" width="10.1796875" bestFit="1" customWidth="1"/>
    <col min="6548" max="6548" width="7.453125" bestFit="1" customWidth="1"/>
    <col min="6549" max="6549" width="10.1796875" bestFit="1" customWidth="1"/>
    <col min="6550" max="6550" width="7.453125" bestFit="1" customWidth="1"/>
    <col min="6551" max="6551" width="10.1796875" bestFit="1" customWidth="1"/>
    <col min="6552" max="6552" width="7.453125" bestFit="1" customWidth="1"/>
    <col min="6553" max="6553" width="10.1796875" bestFit="1" customWidth="1"/>
    <col min="6554" max="6554" width="7.453125" bestFit="1" customWidth="1"/>
    <col min="6555" max="6555" width="10.1796875" bestFit="1" customWidth="1"/>
    <col min="6556" max="6556" width="7.453125" bestFit="1" customWidth="1"/>
    <col min="6557" max="6557" width="10.1796875" bestFit="1" customWidth="1"/>
    <col min="6558" max="6558" width="7.453125" bestFit="1" customWidth="1"/>
    <col min="6559" max="6559" width="10.1796875" bestFit="1" customWidth="1"/>
    <col min="6560" max="6560" width="7.453125" bestFit="1" customWidth="1"/>
    <col min="6561" max="6561" width="10.1796875" bestFit="1" customWidth="1"/>
    <col min="6562" max="6562" width="7.453125" bestFit="1" customWidth="1"/>
    <col min="6563" max="6563" width="10.1796875" bestFit="1" customWidth="1"/>
    <col min="6564" max="6564" width="7.453125" bestFit="1" customWidth="1"/>
    <col min="6565" max="6565" width="10.1796875" bestFit="1" customWidth="1"/>
    <col min="6566" max="6566" width="7.453125" bestFit="1" customWidth="1"/>
    <col min="6567" max="6567" width="10.1796875" bestFit="1" customWidth="1"/>
    <col min="6568" max="6568" width="7.453125" bestFit="1" customWidth="1"/>
    <col min="6569" max="6569" width="10.1796875" bestFit="1" customWidth="1"/>
    <col min="6570" max="6570" width="7.453125" bestFit="1" customWidth="1"/>
    <col min="6571" max="6571" width="10.1796875" bestFit="1" customWidth="1"/>
    <col min="6572" max="6572" width="7.453125" bestFit="1" customWidth="1"/>
    <col min="6573" max="6573" width="10.1796875" bestFit="1" customWidth="1"/>
    <col min="6574" max="6574" width="7.453125" bestFit="1" customWidth="1"/>
    <col min="6575" max="6575" width="10.1796875" bestFit="1" customWidth="1"/>
    <col min="6576" max="6576" width="7.453125" bestFit="1" customWidth="1"/>
    <col min="6577" max="6577" width="10.1796875" bestFit="1" customWidth="1"/>
    <col min="6578" max="6578" width="7.453125" bestFit="1" customWidth="1"/>
    <col min="6579" max="6579" width="10.1796875" bestFit="1" customWidth="1"/>
    <col min="6580" max="6580" width="7.453125" bestFit="1" customWidth="1"/>
    <col min="6581" max="6581" width="10.1796875" bestFit="1" customWidth="1"/>
    <col min="6582" max="6582" width="7.453125" bestFit="1" customWidth="1"/>
    <col min="6583" max="6583" width="10.1796875" bestFit="1" customWidth="1"/>
    <col min="6584" max="6584" width="7.453125" bestFit="1" customWidth="1"/>
    <col min="6585" max="6585" width="10.1796875" bestFit="1" customWidth="1"/>
    <col min="6586" max="6586" width="7.453125" bestFit="1" customWidth="1"/>
    <col min="6587" max="6587" width="10.1796875" bestFit="1" customWidth="1"/>
    <col min="6588" max="6588" width="7.453125" bestFit="1" customWidth="1"/>
    <col min="6589" max="6589" width="10.1796875" bestFit="1" customWidth="1"/>
    <col min="6590" max="6590" width="7.453125" bestFit="1" customWidth="1"/>
    <col min="6591" max="6591" width="10.1796875" bestFit="1" customWidth="1"/>
    <col min="6592" max="6592" width="7.453125" bestFit="1" customWidth="1"/>
    <col min="6593" max="6593" width="10.1796875" bestFit="1" customWidth="1"/>
    <col min="6594" max="6594" width="7.453125" bestFit="1" customWidth="1"/>
    <col min="6595" max="6595" width="10.1796875" bestFit="1" customWidth="1"/>
    <col min="6596" max="6596" width="7.453125" bestFit="1" customWidth="1"/>
    <col min="6597" max="6597" width="10.1796875" bestFit="1" customWidth="1"/>
    <col min="6598" max="6598" width="7.453125" bestFit="1" customWidth="1"/>
    <col min="6599" max="6599" width="10.1796875" bestFit="1" customWidth="1"/>
    <col min="6600" max="6600" width="7.453125" bestFit="1" customWidth="1"/>
    <col min="6601" max="6601" width="10.1796875" bestFit="1" customWidth="1"/>
    <col min="6602" max="6602" width="7.453125" bestFit="1" customWidth="1"/>
    <col min="6603" max="6603" width="10.1796875" bestFit="1" customWidth="1"/>
    <col min="6604" max="6604" width="7.453125" bestFit="1" customWidth="1"/>
    <col min="6605" max="6605" width="10.1796875" bestFit="1" customWidth="1"/>
    <col min="6606" max="6606" width="7.453125" bestFit="1" customWidth="1"/>
    <col min="6607" max="6607" width="10.1796875" bestFit="1" customWidth="1"/>
    <col min="6608" max="6608" width="7.453125" bestFit="1" customWidth="1"/>
    <col min="6609" max="6609" width="10.1796875" bestFit="1" customWidth="1"/>
    <col min="6610" max="6610" width="7.453125" bestFit="1" customWidth="1"/>
    <col min="6611" max="6611" width="10.1796875" bestFit="1" customWidth="1"/>
    <col min="6612" max="6612" width="7.453125" bestFit="1" customWidth="1"/>
    <col min="6613" max="6613" width="10.1796875" bestFit="1" customWidth="1"/>
    <col min="6614" max="6614" width="7.453125" bestFit="1" customWidth="1"/>
    <col min="6615" max="6615" width="10.1796875" bestFit="1" customWidth="1"/>
    <col min="6616" max="6616" width="7.453125" bestFit="1" customWidth="1"/>
    <col min="6617" max="6617" width="10.1796875" bestFit="1" customWidth="1"/>
    <col min="6618" max="6618" width="7.453125" bestFit="1" customWidth="1"/>
    <col min="6619" max="6619" width="10.1796875" bestFit="1" customWidth="1"/>
    <col min="6620" max="6620" width="7.453125" bestFit="1" customWidth="1"/>
    <col min="6621" max="6621" width="10.1796875" bestFit="1" customWidth="1"/>
    <col min="6622" max="6622" width="7.453125" bestFit="1" customWidth="1"/>
    <col min="6623" max="6623" width="10.1796875" bestFit="1" customWidth="1"/>
    <col min="6624" max="6624" width="7.453125" bestFit="1" customWidth="1"/>
    <col min="6625" max="6625" width="10.1796875" bestFit="1" customWidth="1"/>
    <col min="6626" max="6626" width="7.453125" bestFit="1" customWidth="1"/>
    <col min="6627" max="6627" width="10.1796875" bestFit="1" customWidth="1"/>
    <col min="6628" max="6628" width="7.453125" bestFit="1" customWidth="1"/>
    <col min="6629" max="6629" width="10.1796875" bestFit="1" customWidth="1"/>
    <col min="6630" max="6630" width="7.453125" bestFit="1" customWidth="1"/>
    <col min="6631" max="6631" width="10.1796875" bestFit="1" customWidth="1"/>
    <col min="6632" max="6632" width="7.453125" bestFit="1" customWidth="1"/>
    <col min="6633" max="6633" width="10.1796875" bestFit="1" customWidth="1"/>
    <col min="6634" max="6634" width="7.453125" bestFit="1" customWidth="1"/>
    <col min="6635" max="6635" width="10.1796875" bestFit="1" customWidth="1"/>
    <col min="6636" max="6636" width="7.453125" bestFit="1" customWidth="1"/>
    <col min="6637" max="6637" width="10.1796875" bestFit="1" customWidth="1"/>
    <col min="6638" max="6638" width="7.453125" bestFit="1" customWidth="1"/>
    <col min="6639" max="6639" width="10.1796875" bestFit="1" customWidth="1"/>
    <col min="6640" max="6640" width="7.453125" bestFit="1" customWidth="1"/>
    <col min="6641" max="6641" width="10.1796875" bestFit="1" customWidth="1"/>
    <col min="6642" max="6642" width="7.453125" bestFit="1" customWidth="1"/>
    <col min="6643" max="6643" width="10.1796875" bestFit="1" customWidth="1"/>
    <col min="6644" max="6644" width="7.453125" bestFit="1" customWidth="1"/>
    <col min="6645" max="6645" width="10.1796875" bestFit="1" customWidth="1"/>
    <col min="6646" max="6646" width="7.453125" bestFit="1" customWidth="1"/>
    <col min="6647" max="6647" width="10.1796875" bestFit="1" customWidth="1"/>
    <col min="6648" max="6648" width="7.453125" bestFit="1" customWidth="1"/>
    <col min="6649" max="6649" width="10.1796875" bestFit="1" customWidth="1"/>
    <col min="6650" max="6650" width="7.453125" bestFit="1" customWidth="1"/>
    <col min="6651" max="6651" width="10.1796875" bestFit="1" customWidth="1"/>
    <col min="6652" max="6652" width="7.453125" bestFit="1" customWidth="1"/>
    <col min="6653" max="6653" width="10.1796875" bestFit="1" customWidth="1"/>
    <col min="6654" max="6654" width="7.453125" bestFit="1" customWidth="1"/>
    <col min="6655" max="6655" width="10.1796875" bestFit="1" customWidth="1"/>
    <col min="6656" max="6656" width="7.453125" bestFit="1" customWidth="1"/>
    <col min="6657" max="6657" width="10.1796875" bestFit="1" customWidth="1"/>
    <col min="6658" max="6658" width="7.453125" bestFit="1" customWidth="1"/>
    <col min="6659" max="6659" width="10.1796875" bestFit="1" customWidth="1"/>
    <col min="6660" max="6660" width="7.453125" bestFit="1" customWidth="1"/>
    <col min="6661" max="6661" width="10.1796875" bestFit="1" customWidth="1"/>
    <col min="6662" max="6662" width="7.453125" bestFit="1" customWidth="1"/>
    <col min="6663" max="6663" width="10.1796875" bestFit="1" customWidth="1"/>
    <col min="6664" max="6664" width="7.453125" bestFit="1" customWidth="1"/>
    <col min="6665" max="6665" width="10.1796875" bestFit="1" customWidth="1"/>
    <col min="6666" max="6666" width="7.453125" bestFit="1" customWidth="1"/>
    <col min="6667" max="6667" width="10.1796875" bestFit="1" customWidth="1"/>
    <col min="6668" max="6668" width="7.453125" bestFit="1" customWidth="1"/>
    <col min="6669" max="6669" width="10.1796875" bestFit="1" customWidth="1"/>
    <col min="6670" max="6670" width="7.453125" bestFit="1" customWidth="1"/>
    <col min="6671" max="6671" width="10.1796875" bestFit="1" customWidth="1"/>
    <col min="6672" max="6672" width="7.453125" bestFit="1" customWidth="1"/>
    <col min="6673" max="6673" width="10.1796875" bestFit="1" customWidth="1"/>
    <col min="6674" max="6674" width="7.453125" bestFit="1" customWidth="1"/>
    <col min="6675" max="6675" width="10.1796875" bestFit="1" customWidth="1"/>
    <col min="6676" max="6676" width="7.453125" bestFit="1" customWidth="1"/>
    <col min="6677" max="6677" width="10.1796875" bestFit="1" customWidth="1"/>
    <col min="6678" max="6678" width="7.453125" bestFit="1" customWidth="1"/>
    <col min="6679" max="6679" width="10.1796875" bestFit="1" customWidth="1"/>
    <col min="6680" max="6680" width="7.453125" bestFit="1" customWidth="1"/>
    <col min="6681" max="6681" width="10.1796875" bestFit="1" customWidth="1"/>
    <col min="6682" max="6682" width="7.453125" bestFit="1" customWidth="1"/>
    <col min="6683" max="6683" width="10.1796875" bestFit="1" customWidth="1"/>
    <col min="6684" max="6684" width="7.453125" bestFit="1" customWidth="1"/>
    <col min="6685" max="6685" width="10.1796875" bestFit="1" customWidth="1"/>
    <col min="6686" max="6686" width="7.453125" bestFit="1" customWidth="1"/>
    <col min="6687" max="6687" width="10.1796875" bestFit="1" customWidth="1"/>
    <col min="6688" max="6688" width="7.453125" bestFit="1" customWidth="1"/>
    <col min="6689" max="6689" width="10.1796875" bestFit="1" customWidth="1"/>
    <col min="6690" max="6690" width="7.453125" bestFit="1" customWidth="1"/>
    <col min="6691" max="6691" width="10.1796875" bestFit="1" customWidth="1"/>
    <col min="6692" max="6692" width="7.453125" bestFit="1" customWidth="1"/>
    <col min="6693" max="6693" width="10.1796875" bestFit="1" customWidth="1"/>
    <col min="6694" max="6694" width="7.453125" bestFit="1" customWidth="1"/>
    <col min="6695" max="6695" width="10.1796875" bestFit="1" customWidth="1"/>
    <col min="6696" max="6696" width="7.453125" bestFit="1" customWidth="1"/>
    <col min="6697" max="6697" width="10.1796875" bestFit="1" customWidth="1"/>
    <col min="6698" max="6698" width="7.6796875" bestFit="1" customWidth="1"/>
    <col min="6699" max="6699" width="10.1796875" bestFit="1" customWidth="1"/>
    <col min="6700" max="6700" width="7.453125" bestFit="1" customWidth="1"/>
    <col min="6701" max="6701" width="10.1796875" bestFit="1" customWidth="1"/>
    <col min="6702" max="6702" width="7.453125" bestFit="1" customWidth="1"/>
    <col min="6703" max="6703" width="10.1796875" bestFit="1" customWidth="1"/>
    <col min="6704" max="6704" width="7.453125" bestFit="1" customWidth="1"/>
    <col min="6705" max="6705" width="10.1796875" bestFit="1" customWidth="1"/>
    <col min="6706" max="6706" width="7.453125" bestFit="1" customWidth="1"/>
    <col min="6707" max="6707" width="10.1796875" bestFit="1" customWidth="1"/>
    <col min="6708" max="6708" width="7.453125" bestFit="1" customWidth="1"/>
    <col min="6709" max="6709" width="10.1796875" bestFit="1" customWidth="1"/>
    <col min="6710" max="6710" width="7.453125" bestFit="1" customWidth="1"/>
    <col min="6711" max="6711" width="10.1796875" bestFit="1" customWidth="1"/>
    <col min="6712" max="6712" width="7.453125" bestFit="1" customWidth="1"/>
    <col min="6713" max="6713" width="10.1796875" bestFit="1" customWidth="1"/>
    <col min="6714" max="6714" width="7.453125" bestFit="1" customWidth="1"/>
    <col min="6715" max="6715" width="10.1796875" bestFit="1" customWidth="1"/>
    <col min="6716" max="6716" width="7.453125" bestFit="1" customWidth="1"/>
    <col min="6717" max="6717" width="10.1796875" bestFit="1" customWidth="1"/>
    <col min="6718" max="6718" width="7.453125" bestFit="1" customWidth="1"/>
    <col min="6719" max="6719" width="10.1796875" bestFit="1" customWidth="1"/>
    <col min="6720" max="6720" width="7.453125" bestFit="1" customWidth="1"/>
    <col min="6721" max="6721" width="10.1796875" bestFit="1" customWidth="1"/>
    <col min="6722" max="6722" width="7.453125" bestFit="1" customWidth="1"/>
    <col min="6723" max="6723" width="10.1796875" bestFit="1" customWidth="1"/>
    <col min="6724" max="6724" width="7.453125" bestFit="1" customWidth="1"/>
    <col min="6725" max="6725" width="10.1796875" bestFit="1" customWidth="1"/>
    <col min="6726" max="6726" width="7.453125" bestFit="1" customWidth="1"/>
    <col min="6727" max="6727" width="10.1796875" bestFit="1" customWidth="1"/>
    <col min="6728" max="6728" width="7.453125" bestFit="1" customWidth="1"/>
    <col min="6729" max="6729" width="10.1796875" bestFit="1" customWidth="1"/>
    <col min="6730" max="6730" width="7.453125" bestFit="1" customWidth="1"/>
    <col min="6731" max="6731" width="10.1796875" bestFit="1" customWidth="1"/>
    <col min="6732" max="6732" width="7.453125" bestFit="1" customWidth="1"/>
    <col min="6733" max="6733" width="10.1796875" bestFit="1" customWidth="1"/>
    <col min="6734" max="6734" width="7.453125" bestFit="1" customWidth="1"/>
    <col min="6735" max="6735" width="10.1796875" bestFit="1" customWidth="1"/>
    <col min="6736" max="6736" width="7.453125" bestFit="1" customWidth="1"/>
    <col min="6737" max="6737" width="10.1796875" bestFit="1" customWidth="1"/>
    <col min="6738" max="6738" width="7.453125" bestFit="1" customWidth="1"/>
    <col min="6739" max="6739" width="10.1796875" bestFit="1" customWidth="1"/>
    <col min="6740" max="6740" width="7.453125" bestFit="1" customWidth="1"/>
    <col min="6741" max="6741" width="10.1796875" bestFit="1" customWidth="1"/>
    <col min="6742" max="6742" width="7.453125" bestFit="1" customWidth="1"/>
    <col min="6743" max="6743" width="10.1796875" bestFit="1" customWidth="1"/>
    <col min="6744" max="6744" width="7.453125" bestFit="1" customWidth="1"/>
    <col min="6745" max="6745" width="10.1796875" bestFit="1" customWidth="1"/>
    <col min="6746" max="6746" width="7.453125" bestFit="1" customWidth="1"/>
    <col min="6747" max="6747" width="10.1796875" bestFit="1" customWidth="1"/>
    <col min="6748" max="6748" width="7.453125" bestFit="1" customWidth="1"/>
    <col min="6749" max="6749" width="10.1796875" bestFit="1" customWidth="1"/>
    <col min="6750" max="6750" width="7.453125" bestFit="1" customWidth="1"/>
    <col min="6751" max="6751" width="10.1796875" bestFit="1" customWidth="1"/>
    <col min="6752" max="6752" width="7.453125" bestFit="1" customWidth="1"/>
    <col min="6753" max="6753" width="10.1796875" bestFit="1" customWidth="1"/>
    <col min="6754" max="6754" width="7.453125" bestFit="1" customWidth="1"/>
    <col min="6755" max="6755" width="10.1796875" bestFit="1" customWidth="1"/>
    <col min="6756" max="6756" width="7.453125" bestFit="1" customWidth="1"/>
    <col min="6757" max="6757" width="10.1796875" bestFit="1" customWidth="1"/>
    <col min="6758" max="6758" width="7.453125" bestFit="1" customWidth="1"/>
    <col min="6759" max="6759" width="10.1796875" bestFit="1" customWidth="1"/>
    <col min="6760" max="6760" width="7.453125" bestFit="1" customWidth="1"/>
    <col min="6761" max="6761" width="10.1796875" bestFit="1" customWidth="1"/>
    <col min="6762" max="6762" width="7.453125" bestFit="1" customWidth="1"/>
    <col min="6763" max="6763" width="10.1796875" bestFit="1" customWidth="1"/>
    <col min="6764" max="6764" width="7.453125" bestFit="1" customWidth="1"/>
    <col min="6765" max="6765" width="10.1796875" bestFit="1" customWidth="1"/>
    <col min="6766" max="6766" width="7.453125" bestFit="1" customWidth="1"/>
    <col min="6767" max="6767" width="10.1796875" bestFit="1" customWidth="1"/>
    <col min="6768" max="6768" width="7.453125" bestFit="1" customWidth="1"/>
    <col min="6769" max="6769" width="10.1796875" bestFit="1" customWidth="1"/>
    <col min="6770" max="6770" width="7.453125" bestFit="1" customWidth="1"/>
    <col min="6771" max="6771" width="10.1796875" bestFit="1" customWidth="1"/>
    <col min="6772" max="6772" width="7.453125" bestFit="1" customWidth="1"/>
    <col min="6773" max="6773" width="10.1796875" bestFit="1" customWidth="1"/>
    <col min="6774" max="6774" width="7.453125" bestFit="1" customWidth="1"/>
    <col min="6775" max="6775" width="10.1796875" bestFit="1" customWidth="1"/>
    <col min="6776" max="6776" width="7.453125" bestFit="1" customWidth="1"/>
    <col min="6777" max="6777" width="10.1796875" bestFit="1" customWidth="1"/>
    <col min="6778" max="6778" width="7.453125" bestFit="1" customWidth="1"/>
    <col min="6779" max="6779" width="10.1796875" bestFit="1" customWidth="1"/>
    <col min="6780" max="6780" width="7.453125" bestFit="1" customWidth="1"/>
    <col min="6781" max="6781" width="10.1796875" bestFit="1" customWidth="1"/>
    <col min="6782" max="6782" width="7.453125" bestFit="1" customWidth="1"/>
    <col min="6783" max="6783" width="10.1796875" bestFit="1" customWidth="1"/>
    <col min="6784" max="6784" width="7.453125" bestFit="1" customWidth="1"/>
    <col min="6785" max="6785" width="10.1796875" bestFit="1" customWidth="1"/>
    <col min="6786" max="6786" width="7.453125" bestFit="1" customWidth="1"/>
    <col min="6787" max="6787" width="10.1796875" bestFit="1" customWidth="1"/>
    <col min="6788" max="6788" width="7.453125" bestFit="1" customWidth="1"/>
    <col min="6789" max="6789" width="10.1796875" bestFit="1" customWidth="1"/>
    <col min="6790" max="6790" width="7.453125" bestFit="1" customWidth="1"/>
    <col min="6791" max="6791" width="10.1796875" bestFit="1" customWidth="1"/>
    <col min="6792" max="6792" width="7.453125" bestFit="1" customWidth="1"/>
    <col min="6793" max="6793" width="10.1796875" bestFit="1" customWidth="1"/>
    <col min="6794" max="6794" width="7.453125" bestFit="1" customWidth="1"/>
    <col min="6795" max="6795" width="10.1796875" bestFit="1" customWidth="1"/>
    <col min="6796" max="6796" width="7.453125" bestFit="1" customWidth="1"/>
    <col min="6797" max="6797" width="10.1796875" bestFit="1" customWidth="1"/>
    <col min="6798" max="6798" width="7.453125" bestFit="1" customWidth="1"/>
    <col min="6799" max="6799" width="10.1796875" bestFit="1" customWidth="1"/>
    <col min="6800" max="6800" width="7.453125" bestFit="1" customWidth="1"/>
    <col min="6801" max="6801" width="10.1796875" bestFit="1" customWidth="1"/>
    <col min="6802" max="6802" width="7.453125" bestFit="1" customWidth="1"/>
    <col min="6803" max="6803" width="10.1796875" bestFit="1" customWidth="1"/>
    <col min="6804" max="6804" width="7.453125" bestFit="1" customWidth="1"/>
    <col min="6805" max="6805" width="10.1796875" bestFit="1" customWidth="1"/>
    <col min="6806" max="6806" width="7.453125" bestFit="1" customWidth="1"/>
    <col min="6807" max="6807" width="10.1796875" bestFit="1" customWidth="1"/>
    <col min="6808" max="6808" width="7.453125" bestFit="1" customWidth="1"/>
    <col min="6809" max="6809" width="10.1796875" bestFit="1" customWidth="1"/>
    <col min="6810" max="6810" width="7.453125" bestFit="1" customWidth="1"/>
    <col min="6811" max="6811" width="10.1796875" bestFit="1" customWidth="1"/>
    <col min="6812" max="6812" width="7.453125" bestFit="1" customWidth="1"/>
    <col min="6813" max="6813" width="10.1796875" bestFit="1" customWidth="1"/>
    <col min="6814" max="6814" width="7.453125" bestFit="1" customWidth="1"/>
    <col min="6815" max="6815" width="10.1796875" bestFit="1" customWidth="1"/>
    <col min="6816" max="6816" width="7.453125" bestFit="1" customWidth="1"/>
    <col min="6817" max="6817" width="10.1796875" bestFit="1" customWidth="1"/>
    <col min="6818" max="6818" width="7.453125" bestFit="1" customWidth="1"/>
    <col min="6819" max="6819" width="10.1796875" bestFit="1" customWidth="1"/>
    <col min="6820" max="6820" width="7.453125" bestFit="1" customWidth="1"/>
    <col min="6821" max="6821" width="10.1796875" bestFit="1" customWidth="1"/>
    <col min="6822" max="6822" width="7.453125" bestFit="1" customWidth="1"/>
    <col min="6823" max="6823" width="10.1796875" bestFit="1" customWidth="1"/>
    <col min="6824" max="6824" width="7.453125" bestFit="1" customWidth="1"/>
    <col min="6825" max="6825" width="10.1796875" bestFit="1" customWidth="1"/>
    <col min="6826" max="6826" width="7.453125" bestFit="1" customWidth="1"/>
    <col min="6827" max="6827" width="10.1796875" bestFit="1" customWidth="1"/>
    <col min="6828" max="6828" width="7.453125" bestFit="1" customWidth="1"/>
    <col min="6829" max="6829" width="10.1796875" bestFit="1" customWidth="1"/>
    <col min="6830" max="6830" width="7.6796875" bestFit="1" customWidth="1"/>
    <col min="6831" max="6831" width="10.1796875" bestFit="1" customWidth="1"/>
    <col min="6832" max="6832" width="7.453125" bestFit="1" customWidth="1"/>
    <col min="6833" max="6833" width="10.1796875" bestFit="1" customWidth="1"/>
    <col min="6834" max="6834" width="7.453125" bestFit="1" customWidth="1"/>
    <col min="6835" max="6835" width="10.1796875" bestFit="1" customWidth="1"/>
    <col min="6836" max="6836" width="7.453125" bestFit="1" customWidth="1"/>
    <col min="6837" max="6837" width="10.1796875" bestFit="1" customWidth="1"/>
    <col min="6838" max="6838" width="7.453125" bestFit="1" customWidth="1"/>
    <col min="6839" max="6839" width="10.1796875" bestFit="1" customWidth="1"/>
    <col min="6840" max="6840" width="7.453125" bestFit="1" customWidth="1"/>
    <col min="6841" max="6841" width="10.1796875" bestFit="1" customWidth="1"/>
    <col min="6842" max="6842" width="7.453125" bestFit="1" customWidth="1"/>
    <col min="6843" max="6843" width="10.1796875" bestFit="1" customWidth="1"/>
    <col min="6844" max="6844" width="7.453125" bestFit="1" customWidth="1"/>
    <col min="6845" max="6845" width="10.1796875" bestFit="1" customWidth="1"/>
    <col min="6846" max="6846" width="7.453125" bestFit="1" customWidth="1"/>
    <col min="6847" max="6847" width="10.1796875" bestFit="1" customWidth="1"/>
    <col min="6848" max="6848" width="7.453125" bestFit="1" customWidth="1"/>
    <col min="6849" max="6849" width="10.1796875" bestFit="1" customWidth="1"/>
    <col min="6850" max="6850" width="7.453125" bestFit="1" customWidth="1"/>
    <col min="6851" max="6851" width="10.1796875" bestFit="1" customWidth="1"/>
    <col min="6852" max="6852" width="7.453125" bestFit="1" customWidth="1"/>
    <col min="6853" max="6853" width="10.1796875" bestFit="1" customWidth="1"/>
    <col min="6854" max="6854" width="7.453125" bestFit="1" customWidth="1"/>
    <col min="6855" max="6855" width="10.1796875" bestFit="1" customWidth="1"/>
    <col min="6856" max="6856" width="7.453125" bestFit="1" customWidth="1"/>
    <col min="6857" max="6857" width="10.1796875" bestFit="1" customWidth="1"/>
    <col min="6858" max="6858" width="7.453125" bestFit="1" customWidth="1"/>
    <col min="6859" max="6859" width="10.1796875" bestFit="1" customWidth="1"/>
    <col min="6860" max="6860" width="7.453125" bestFit="1" customWidth="1"/>
    <col min="6861" max="6861" width="10.1796875" bestFit="1" customWidth="1"/>
    <col min="6862" max="6862" width="7.453125" bestFit="1" customWidth="1"/>
    <col min="6863" max="6863" width="10.1796875" bestFit="1" customWidth="1"/>
    <col min="6864" max="6864" width="7.453125" bestFit="1" customWidth="1"/>
    <col min="6865" max="6865" width="10.1796875" bestFit="1" customWidth="1"/>
    <col min="6866" max="6866" width="7.453125" bestFit="1" customWidth="1"/>
    <col min="6867" max="6867" width="10.1796875" bestFit="1" customWidth="1"/>
    <col min="6868" max="6868" width="7.453125" bestFit="1" customWidth="1"/>
    <col min="6869" max="6869" width="10.1796875" bestFit="1" customWidth="1"/>
    <col min="6870" max="6870" width="7.453125" bestFit="1" customWidth="1"/>
    <col min="6871" max="6871" width="10.1796875" bestFit="1" customWidth="1"/>
    <col min="6872" max="6872" width="7.453125" bestFit="1" customWidth="1"/>
    <col min="6873" max="6873" width="10.1796875" bestFit="1" customWidth="1"/>
    <col min="6874" max="6874" width="7.453125" bestFit="1" customWidth="1"/>
    <col min="6875" max="6875" width="10.1796875" bestFit="1" customWidth="1"/>
    <col min="6876" max="6876" width="7.453125" bestFit="1" customWidth="1"/>
    <col min="6877" max="6877" width="10.1796875" bestFit="1" customWidth="1"/>
    <col min="6878" max="6878" width="7.453125" bestFit="1" customWidth="1"/>
    <col min="6879" max="6879" width="10.1796875" bestFit="1" customWidth="1"/>
    <col min="6880" max="6880" width="7.453125" bestFit="1" customWidth="1"/>
    <col min="6881" max="6881" width="10.1796875" bestFit="1" customWidth="1"/>
    <col min="6882" max="6882" width="7.453125" bestFit="1" customWidth="1"/>
    <col min="6883" max="6883" width="10.1796875" bestFit="1" customWidth="1"/>
    <col min="6884" max="6884" width="7.453125" bestFit="1" customWidth="1"/>
    <col min="6885" max="6885" width="10.1796875" bestFit="1" customWidth="1"/>
    <col min="6886" max="6886" width="7.453125" bestFit="1" customWidth="1"/>
    <col min="6887" max="6887" width="10.1796875" bestFit="1" customWidth="1"/>
    <col min="6888" max="6888" width="7.453125" bestFit="1" customWidth="1"/>
    <col min="6889" max="6889" width="10.1796875" bestFit="1" customWidth="1"/>
    <col min="6890" max="6890" width="7.453125" bestFit="1" customWidth="1"/>
    <col min="6891" max="6891" width="10.1796875" bestFit="1" customWidth="1"/>
    <col min="6892" max="6892" width="7.453125" bestFit="1" customWidth="1"/>
    <col min="6893" max="6893" width="10.1796875" bestFit="1" customWidth="1"/>
    <col min="6894" max="6894" width="7.453125" bestFit="1" customWidth="1"/>
    <col min="6895" max="6895" width="10.1796875" bestFit="1" customWidth="1"/>
    <col min="6896" max="6896" width="7.453125" bestFit="1" customWidth="1"/>
    <col min="6897" max="6897" width="10.1796875" bestFit="1" customWidth="1"/>
    <col min="6898" max="6898" width="7.453125" bestFit="1" customWidth="1"/>
    <col min="6899" max="6899" width="10.1796875" bestFit="1" customWidth="1"/>
    <col min="6900" max="6900" width="7.453125" bestFit="1" customWidth="1"/>
    <col min="6901" max="6901" width="10.1796875" bestFit="1" customWidth="1"/>
    <col min="6902" max="6902" width="7.453125" bestFit="1" customWidth="1"/>
    <col min="6903" max="6903" width="10.1796875" bestFit="1" customWidth="1"/>
    <col min="6904" max="6904" width="7.453125" bestFit="1" customWidth="1"/>
    <col min="6905" max="6905" width="10.1796875" bestFit="1" customWidth="1"/>
    <col min="6906" max="6906" width="7.453125" bestFit="1" customWidth="1"/>
    <col min="6907" max="6907" width="10.1796875" bestFit="1" customWidth="1"/>
    <col min="6908" max="6908" width="7.453125" bestFit="1" customWidth="1"/>
    <col min="6909" max="6909" width="10.1796875" bestFit="1" customWidth="1"/>
    <col min="6910" max="6910" width="7.453125" bestFit="1" customWidth="1"/>
    <col min="6911" max="6911" width="10.1796875" bestFit="1" customWidth="1"/>
    <col min="6912" max="6912" width="7.453125" bestFit="1" customWidth="1"/>
    <col min="6913" max="6913" width="10.1796875" bestFit="1" customWidth="1"/>
    <col min="6914" max="6914" width="7.453125" bestFit="1" customWidth="1"/>
    <col min="6915" max="6915" width="10.1796875" bestFit="1" customWidth="1"/>
    <col min="6916" max="6916" width="7.453125" bestFit="1" customWidth="1"/>
    <col min="6917" max="6917" width="10.1796875" bestFit="1" customWidth="1"/>
    <col min="6918" max="6918" width="7.453125" bestFit="1" customWidth="1"/>
    <col min="6919" max="6919" width="10.1796875" bestFit="1" customWidth="1"/>
    <col min="6920" max="6920" width="7.453125" bestFit="1" customWidth="1"/>
    <col min="6921" max="6921" width="10.1796875" bestFit="1" customWidth="1"/>
    <col min="6922" max="6922" width="7.453125" bestFit="1" customWidth="1"/>
    <col min="6923" max="6923" width="10.1796875" bestFit="1" customWidth="1"/>
    <col min="6924" max="6924" width="7.453125" bestFit="1" customWidth="1"/>
    <col min="6925" max="6925" width="10.1796875" bestFit="1" customWidth="1"/>
    <col min="6926" max="6926" width="7.453125" bestFit="1" customWidth="1"/>
    <col min="6927" max="6927" width="10.1796875" bestFit="1" customWidth="1"/>
    <col min="6928" max="6928" width="7.453125" bestFit="1" customWidth="1"/>
    <col min="6929" max="6929" width="10.1796875" bestFit="1" customWidth="1"/>
    <col min="6930" max="6930" width="7.453125" bestFit="1" customWidth="1"/>
    <col min="6931" max="6931" width="10.1796875" bestFit="1" customWidth="1"/>
    <col min="6932" max="6932" width="7.453125" bestFit="1" customWidth="1"/>
    <col min="6933" max="6933" width="10.1796875" bestFit="1" customWidth="1"/>
    <col min="6934" max="6934" width="7.453125" bestFit="1" customWidth="1"/>
    <col min="6935" max="6935" width="10.1796875" bestFit="1" customWidth="1"/>
    <col min="6936" max="6936" width="7.453125" bestFit="1" customWidth="1"/>
    <col min="6937" max="6937" width="10.1796875" bestFit="1" customWidth="1"/>
    <col min="6938" max="6938" width="7.453125" bestFit="1" customWidth="1"/>
    <col min="6939" max="6939" width="10.1796875" bestFit="1" customWidth="1"/>
    <col min="6940" max="6940" width="7.453125" bestFit="1" customWidth="1"/>
    <col min="6941" max="6941" width="10.1796875" bestFit="1" customWidth="1"/>
    <col min="6942" max="6942" width="7.453125" bestFit="1" customWidth="1"/>
    <col min="6943" max="6943" width="10.1796875" bestFit="1" customWidth="1"/>
    <col min="6944" max="6944" width="7.453125" bestFit="1" customWidth="1"/>
    <col min="6945" max="6945" width="10.1796875" bestFit="1" customWidth="1"/>
    <col min="6946" max="6946" width="7.453125" bestFit="1" customWidth="1"/>
    <col min="6947" max="6947" width="10.1796875" bestFit="1" customWidth="1"/>
    <col min="6948" max="6948" width="7.453125" bestFit="1" customWidth="1"/>
    <col min="6949" max="6949" width="10.1796875" bestFit="1" customWidth="1"/>
    <col min="6950" max="6950" width="7.453125" bestFit="1" customWidth="1"/>
    <col min="6951" max="6951" width="10.1796875" bestFit="1" customWidth="1"/>
    <col min="6952" max="6952" width="7.453125" bestFit="1" customWidth="1"/>
    <col min="6953" max="6953" width="10.1796875" bestFit="1" customWidth="1"/>
    <col min="6954" max="6954" width="7.453125" bestFit="1" customWidth="1"/>
    <col min="6955" max="6955" width="10.1796875" bestFit="1" customWidth="1"/>
    <col min="6956" max="6956" width="7.453125" bestFit="1" customWidth="1"/>
    <col min="6957" max="6957" width="10.1796875" bestFit="1" customWidth="1"/>
    <col min="6958" max="6958" width="7.453125" bestFit="1" customWidth="1"/>
    <col min="6959" max="6959" width="10.1796875" bestFit="1" customWidth="1"/>
    <col min="6960" max="6960" width="7.453125" bestFit="1" customWidth="1"/>
    <col min="6961" max="6961" width="10.1796875" bestFit="1" customWidth="1"/>
    <col min="6962" max="6962" width="7.453125" bestFit="1" customWidth="1"/>
    <col min="6963" max="6963" width="10.1796875" bestFit="1" customWidth="1"/>
    <col min="6964" max="6964" width="7.453125" bestFit="1" customWidth="1"/>
    <col min="6965" max="6965" width="10.1796875" bestFit="1" customWidth="1"/>
    <col min="6966" max="6966" width="7.453125" bestFit="1" customWidth="1"/>
    <col min="6967" max="6967" width="10.1796875" bestFit="1" customWidth="1"/>
    <col min="6968" max="6968" width="7.453125" bestFit="1" customWidth="1"/>
    <col min="6969" max="6969" width="10.1796875" bestFit="1" customWidth="1"/>
    <col min="6970" max="6970" width="7.453125" bestFit="1" customWidth="1"/>
    <col min="6971" max="6971" width="10.1796875" bestFit="1" customWidth="1"/>
    <col min="6972" max="6972" width="7.453125" bestFit="1" customWidth="1"/>
    <col min="6973" max="6973" width="10.1796875" bestFit="1" customWidth="1"/>
    <col min="6974" max="6974" width="7.453125" bestFit="1" customWidth="1"/>
    <col min="6975" max="6975" width="10.1796875" bestFit="1" customWidth="1"/>
    <col min="6976" max="6976" width="7.453125" bestFit="1" customWidth="1"/>
    <col min="6977" max="6977" width="10.1796875" bestFit="1" customWidth="1"/>
    <col min="6978" max="6978" width="7.453125" bestFit="1" customWidth="1"/>
    <col min="6979" max="6979" width="10.1796875" bestFit="1" customWidth="1"/>
    <col min="6980" max="6980" width="7.453125" bestFit="1" customWidth="1"/>
    <col min="6981" max="6981" width="10.1796875" bestFit="1" customWidth="1"/>
    <col min="6982" max="6982" width="7.6796875" bestFit="1" customWidth="1"/>
    <col min="6983" max="6983" width="10.1796875" bestFit="1" customWidth="1"/>
    <col min="6984" max="6984" width="7.453125" bestFit="1" customWidth="1"/>
    <col min="6985" max="6985" width="10.1796875" bestFit="1" customWidth="1"/>
    <col min="6986" max="6986" width="7.453125" bestFit="1" customWidth="1"/>
    <col min="6987" max="6987" width="10.1796875" bestFit="1" customWidth="1"/>
    <col min="6988" max="6988" width="7.453125" bestFit="1" customWidth="1"/>
    <col min="6989" max="6989" width="10.1796875" bestFit="1" customWidth="1"/>
    <col min="6990" max="6990" width="7.453125" bestFit="1" customWidth="1"/>
    <col min="6991" max="6991" width="10.1796875" bestFit="1" customWidth="1"/>
    <col min="6992" max="6992" width="7.453125" bestFit="1" customWidth="1"/>
    <col min="6993" max="6993" width="10.1796875" bestFit="1" customWidth="1"/>
    <col min="6994" max="6994" width="7.453125" bestFit="1" customWidth="1"/>
    <col min="6995" max="6995" width="10.1796875" bestFit="1" customWidth="1"/>
    <col min="6996" max="6996" width="8.6796875" bestFit="1" customWidth="1"/>
    <col min="6997" max="6997" width="10.1796875" bestFit="1" customWidth="1"/>
    <col min="6998" max="6998" width="7.453125" bestFit="1" customWidth="1"/>
    <col min="6999" max="6999" width="10.1796875" bestFit="1" customWidth="1"/>
    <col min="7000" max="7000" width="7.453125" bestFit="1" customWidth="1"/>
    <col min="7001" max="7001" width="10.1796875" bestFit="1" customWidth="1"/>
    <col min="7002" max="7002" width="7.453125" bestFit="1" customWidth="1"/>
    <col min="7003" max="7003" width="10.1796875" bestFit="1" customWidth="1"/>
    <col min="7004" max="7004" width="7.453125" bestFit="1" customWidth="1"/>
    <col min="7005" max="7005" width="10.1796875" bestFit="1" customWidth="1"/>
    <col min="7006" max="7006" width="7.453125" bestFit="1" customWidth="1"/>
    <col min="7007" max="7007" width="10.1796875" bestFit="1" customWidth="1"/>
    <col min="7008" max="7008" width="7.453125" bestFit="1" customWidth="1"/>
    <col min="7009" max="7009" width="10.1796875" bestFit="1" customWidth="1"/>
    <col min="7010" max="7010" width="7.453125" bestFit="1" customWidth="1"/>
    <col min="7011" max="7011" width="10.1796875" bestFit="1" customWidth="1"/>
    <col min="7012" max="7012" width="7.453125" bestFit="1" customWidth="1"/>
    <col min="7013" max="7013" width="10.1796875" bestFit="1" customWidth="1"/>
    <col min="7014" max="7014" width="7.453125" bestFit="1" customWidth="1"/>
    <col min="7015" max="7015" width="10.1796875" bestFit="1" customWidth="1"/>
    <col min="7016" max="7016" width="7.453125" bestFit="1" customWidth="1"/>
    <col min="7017" max="7017" width="10.1796875" bestFit="1" customWidth="1"/>
    <col min="7018" max="7018" width="7.453125" bestFit="1" customWidth="1"/>
    <col min="7019" max="7019" width="10.1796875" bestFit="1" customWidth="1"/>
    <col min="7020" max="7020" width="7.453125" bestFit="1" customWidth="1"/>
    <col min="7021" max="7021" width="10.1796875" bestFit="1" customWidth="1"/>
    <col min="7022" max="7022" width="7.453125" bestFit="1" customWidth="1"/>
    <col min="7023" max="7023" width="10.1796875" bestFit="1" customWidth="1"/>
    <col min="7024" max="7024" width="7.453125" bestFit="1" customWidth="1"/>
    <col min="7025" max="7025" width="10.1796875" bestFit="1" customWidth="1"/>
    <col min="7026" max="7026" width="7.453125" bestFit="1" customWidth="1"/>
    <col min="7027" max="7027" width="10.1796875" bestFit="1" customWidth="1"/>
    <col min="7028" max="7028" width="7.453125" bestFit="1" customWidth="1"/>
    <col min="7029" max="7029" width="10.1796875" bestFit="1" customWidth="1"/>
    <col min="7030" max="7030" width="7.453125" bestFit="1" customWidth="1"/>
    <col min="7031" max="7031" width="10.1796875" bestFit="1" customWidth="1"/>
    <col min="7032" max="7032" width="7.453125" bestFit="1" customWidth="1"/>
    <col min="7033" max="7033" width="10.1796875" bestFit="1" customWidth="1"/>
    <col min="7034" max="7034" width="7.453125" bestFit="1" customWidth="1"/>
    <col min="7035" max="7035" width="10.1796875" bestFit="1" customWidth="1"/>
    <col min="7036" max="7036" width="7.453125" bestFit="1" customWidth="1"/>
    <col min="7037" max="7037" width="10.1796875" bestFit="1" customWidth="1"/>
    <col min="7038" max="7038" width="7.453125" bestFit="1" customWidth="1"/>
    <col min="7039" max="7039" width="10.1796875" bestFit="1" customWidth="1"/>
    <col min="7040" max="7040" width="7.453125" bestFit="1" customWidth="1"/>
    <col min="7041" max="7041" width="10.1796875" bestFit="1" customWidth="1"/>
    <col min="7042" max="7042" width="7.453125" bestFit="1" customWidth="1"/>
    <col min="7043" max="7043" width="10.1796875" bestFit="1" customWidth="1"/>
    <col min="7044" max="7044" width="7.453125" bestFit="1" customWidth="1"/>
    <col min="7045" max="7045" width="10.1796875" bestFit="1" customWidth="1"/>
    <col min="7046" max="7046" width="7.453125" bestFit="1" customWidth="1"/>
    <col min="7047" max="7047" width="10.1796875" bestFit="1" customWidth="1"/>
    <col min="7048" max="7048" width="7.453125" bestFit="1" customWidth="1"/>
    <col min="7049" max="7049" width="10.1796875" bestFit="1" customWidth="1"/>
    <col min="7050" max="7050" width="7.453125" bestFit="1" customWidth="1"/>
    <col min="7051" max="7051" width="10.1796875" bestFit="1" customWidth="1"/>
    <col min="7052" max="7052" width="7.453125" bestFit="1" customWidth="1"/>
    <col min="7053" max="7053" width="10.1796875" bestFit="1" customWidth="1"/>
    <col min="7054" max="7054" width="7.453125" bestFit="1" customWidth="1"/>
    <col min="7055" max="7055" width="10.1796875" bestFit="1" customWidth="1"/>
    <col min="7056" max="7056" width="7.453125" bestFit="1" customWidth="1"/>
    <col min="7057" max="7057" width="10.1796875" bestFit="1" customWidth="1"/>
    <col min="7058" max="7058" width="7.453125" bestFit="1" customWidth="1"/>
    <col min="7059" max="7059" width="10.1796875" bestFit="1" customWidth="1"/>
    <col min="7060" max="7060" width="7.453125" bestFit="1" customWidth="1"/>
    <col min="7061" max="7061" width="5.6796875" bestFit="1" customWidth="1"/>
    <col min="7062" max="7062" width="10.1796875" bestFit="1" customWidth="1"/>
    <col min="7063" max="7063" width="7.453125" bestFit="1" customWidth="1"/>
    <col min="7064" max="7064" width="10.1796875" bestFit="1" customWidth="1"/>
    <col min="7065" max="7065" width="7.453125" bestFit="1" customWidth="1"/>
    <col min="7066" max="7066" width="10.1796875" bestFit="1" customWidth="1"/>
    <col min="7067" max="7067" width="7.453125" bestFit="1" customWidth="1"/>
    <col min="7068" max="7068" width="10.1796875" bestFit="1" customWidth="1"/>
    <col min="7069" max="7069" width="7.453125" bestFit="1" customWidth="1"/>
    <col min="7070" max="7070" width="10.1796875" bestFit="1" customWidth="1"/>
    <col min="7071" max="7071" width="7.453125" bestFit="1" customWidth="1"/>
    <col min="7072" max="7072" width="10.1796875" bestFit="1" customWidth="1"/>
    <col min="7073" max="7073" width="7.453125" bestFit="1" customWidth="1"/>
    <col min="7074" max="7074" width="10.1796875" bestFit="1" customWidth="1"/>
    <col min="7075" max="7075" width="7.453125" bestFit="1" customWidth="1"/>
    <col min="7076" max="7076" width="10.1796875" bestFit="1" customWidth="1"/>
    <col min="7077" max="7077" width="7.453125" bestFit="1" customWidth="1"/>
    <col min="7078" max="7078" width="10.1796875" bestFit="1" customWidth="1"/>
    <col min="7079" max="7079" width="7.453125" bestFit="1" customWidth="1"/>
    <col min="7080" max="7080" width="10.1796875" bestFit="1" customWidth="1"/>
    <col min="7081" max="7081" width="7.453125" bestFit="1" customWidth="1"/>
    <col min="7082" max="7082" width="10.1796875" bestFit="1" customWidth="1"/>
    <col min="7083" max="7083" width="7.453125" bestFit="1" customWidth="1"/>
    <col min="7084" max="7084" width="10.1796875" bestFit="1" customWidth="1"/>
    <col min="7085" max="7085" width="7.453125" bestFit="1" customWidth="1"/>
    <col min="7086" max="7086" width="10.1796875" bestFit="1" customWidth="1"/>
    <col min="7087" max="7087" width="7.453125" bestFit="1" customWidth="1"/>
    <col min="7088" max="7088" width="10.1796875" bestFit="1" customWidth="1"/>
    <col min="7089" max="7089" width="7.453125" bestFit="1" customWidth="1"/>
    <col min="7090" max="7090" width="10.1796875" bestFit="1" customWidth="1"/>
    <col min="7091" max="7091" width="7.453125" bestFit="1" customWidth="1"/>
    <col min="7092" max="7092" width="10.1796875" bestFit="1" customWidth="1"/>
    <col min="7093" max="7093" width="7.453125" bestFit="1" customWidth="1"/>
    <col min="7094" max="7094" width="4.6796875" bestFit="1" customWidth="1"/>
    <col min="7095" max="7095" width="10.1796875" bestFit="1" customWidth="1"/>
    <col min="7096" max="7096" width="7.453125" bestFit="1" customWidth="1"/>
    <col min="7097" max="7097" width="10.1796875" bestFit="1" customWidth="1"/>
    <col min="7098" max="7098" width="7.453125" bestFit="1" customWidth="1"/>
    <col min="7099" max="7099" width="10.1796875" bestFit="1" customWidth="1"/>
    <col min="7100" max="7100" width="7.453125" bestFit="1" customWidth="1"/>
    <col min="7101" max="7101" width="10.1796875" bestFit="1" customWidth="1"/>
    <col min="7102" max="7102" width="7.453125" bestFit="1" customWidth="1"/>
    <col min="7103" max="7103" width="10.1796875" bestFit="1" customWidth="1"/>
    <col min="7104" max="7104" width="7.453125" bestFit="1" customWidth="1"/>
    <col min="7105" max="7105" width="10.1796875" bestFit="1" customWidth="1"/>
    <col min="7106" max="7106" width="7.453125" bestFit="1" customWidth="1"/>
    <col min="7107" max="7107" width="10.1796875" bestFit="1" customWidth="1"/>
    <col min="7108" max="7108" width="7.453125" bestFit="1" customWidth="1"/>
    <col min="7109" max="7109" width="10.1796875" bestFit="1" customWidth="1"/>
    <col min="7110" max="7110" width="7.453125" bestFit="1" customWidth="1"/>
    <col min="7111" max="7111" width="10.1796875" bestFit="1" customWidth="1"/>
    <col min="7112" max="7112" width="7.453125" bestFit="1" customWidth="1"/>
    <col min="7113" max="7113" width="10.1796875" bestFit="1" customWidth="1"/>
    <col min="7114" max="7114" width="7.453125" bestFit="1" customWidth="1"/>
    <col min="7115" max="7115" width="10.1796875" bestFit="1" customWidth="1"/>
    <col min="7116" max="7116" width="7.453125" bestFit="1" customWidth="1"/>
    <col min="7117" max="7117" width="10.1796875" bestFit="1" customWidth="1"/>
    <col min="7118" max="7118" width="7.453125" bestFit="1" customWidth="1"/>
    <col min="7119" max="7119" width="10.1796875" bestFit="1" customWidth="1"/>
    <col min="7120" max="7120" width="7.6796875" bestFit="1" customWidth="1"/>
    <col min="7121" max="7121" width="10.1796875" bestFit="1" customWidth="1"/>
    <col min="7122" max="7122" width="7.453125" bestFit="1" customWidth="1"/>
    <col min="7123" max="7123" width="10.1796875" bestFit="1" customWidth="1"/>
    <col min="7124" max="7124" width="7.453125" bestFit="1" customWidth="1"/>
    <col min="7125" max="7125" width="10.1796875" bestFit="1" customWidth="1"/>
    <col min="7126" max="7126" width="7.453125" bestFit="1" customWidth="1"/>
    <col min="7127" max="7127" width="10.1796875" bestFit="1" customWidth="1"/>
    <col min="7128" max="7128" width="7.453125" bestFit="1" customWidth="1"/>
    <col min="7129" max="7129" width="10.1796875" bestFit="1" customWidth="1"/>
    <col min="7130" max="7130" width="7.453125" bestFit="1" customWidth="1"/>
    <col min="7131" max="7131" width="10.1796875" bestFit="1" customWidth="1"/>
    <col min="7132" max="7132" width="7.453125" bestFit="1" customWidth="1"/>
    <col min="7133" max="7133" width="10.1796875" bestFit="1" customWidth="1"/>
    <col min="7134" max="7134" width="7.453125" bestFit="1" customWidth="1"/>
    <col min="7135" max="7135" width="10.1796875" bestFit="1" customWidth="1"/>
    <col min="7136" max="7136" width="7.453125" bestFit="1" customWidth="1"/>
    <col min="7137" max="7137" width="10.1796875" bestFit="1" customWidth="1"/>
    <col min="7138" max="7138" width="7.453125" bestFit="1" customWidth="1"/>
    <col min="7139" max="7139" width="10.1796875" bestFit="1" customWidth="1"/>
    <col min="7140" max="7140" width="7.453125" bestFit="1" customWidth="1"/>
    <col min="7141" max="7141" width="10.1796875" bestFit="1" customWidth="1"/>
    <col min="7142" max="7142" width="7.453125" bestFit="1" customWidth="1"/>
    <col min="7143" max="7143" width="10.1796875" bestFit="1" customWidth="1"/>
    <col min="7144" max="7144" width="7.453125" bestFit="1" customWidth="1"/>
    <col min="7145" max="7145" width="10.1796875" bestFit="1" customWidth="1"/>
    <col min="7146" max="7146" width="7.453125" bestFit="1" customWidth="1"/>
    <col min="7147" max="7147" width="10.1796875" bestFit="1" customWidth="1"/>
    <col min="7148" max="7148" width="7.453125" bestFit="1" customWidth="1"/>
    <col min="7149" max="7149" width="10.1796875" bestFit="1" customWidth="1"/>
    <col min="7150" max="7150" width="7.453125" bestFit="1" customWidth="1"/>
    <col min="7151" max="7151" width="10.1796875" bestFit="1" customWidth="1"/>
    <col min="7152" max="7152" width="7.453125" bestFit="1" customWidth="1"/>
    <col min="7153" max="7153" width="10.1796875" bestFit="1" customWidth="1"/>
    <col min="7154" max="7154" width="7.453125" bestFit="1" customWidth="1"/>
    <col min="7155" max="7155" width="10.1796875" bestFit="1" customWidth="1"/>
    <col min="7156" max="7156" width="7.453125" bestFit="1" customWidth="1"/>
    <col min="7157" max="7157" width="10.1796875" bestFit="1" customWidth="1"/>
    <col min="7158" max="7158" width="7.453125" bestFit="1" customWidth="1"/>
    <col min="7159" max="7159" width="10.1796875" bestFit="1" customWidth="1"/>
    <col min="7160" max="7160" width="7.453125" bestFit="1" customWidth="1"/>
    <col min="7161" max="7161" width="10.1796875" bestFit="1" customWidth="1"/>
    <col min="7162" max="7162" width="7.453125" bestFit="1" customWidth="1"/>
    <col min="7163" max="7163" width="10.1796875" bestFit="1" customWidth="1"/>
    <col min="7164" max="7164" width="7.453125" bestFit="1" customWidth="1"/>
    <col min="7165" max="7165" width="10.1796875" bestFit="1" customWidth="1"/>
    <col min="7166" max="7166" width="7.453125" bestFit="1" customWidth="1"/>
    <col min="7167" max="7167" width="10.1796875" bestFit="1" customWidth="1"/>
    <col min="7168" max="7168" width="7.453125" bestFit="1" customWidth="1"/>
    <col min="7169" max="7169" width="10.1796875" bestFit="1" customWidth="1"/>
    <col min="7170" max="7170" width="7.453125" bestFit="1" customWidth="1"/>
    <col min="7171" max="7171" width="10.1796875" bestFit="1" customWidth="1"/>
    <col min="7172" max="7172" width="7.453125" bestFit="1" customWidth="1"/>
    <col min="7173" max="7173" width="10.1796875" bestFit="1" customWidth="1"/>
    <col min="7174" max="7174" width="7.453125" bestFit="1" customWidth="1"/>
    <col min="7175" max="7175" width="10.1796875" bestFit="1" customWidth="1"/>
    <col min="7176" max="7176" width="7.453125" bestFit="1" customWidth="1"/>
    <col min="7177" max="7177" width="10.1796875" bestFit="1" customWidth="1"/>
    <col min="7178" max="7178" width="7.453125" bestFit="1" customWidth="1"/>
    <col min="7179" max="7179" width="4.6796875" bestFit="1" customWidth="1"/>
    <col min="7180" max="7180" width="10.1796875" bestFit="1" customWidth="1"/>
    <col min="7181" max="7181" width="7.453125" bestFit="1" customWidth="1"/>
    <col min="7182" max="7182" width="10.1796875" bestFit="1" customWidth="1"/>
    <col min="7183" max="7183" width="7.453125" bestFit="1" customWidth="1"/>
    <col min="7184" max="7184" width="10.1796875" bestFit="1" customWidth="1"/>
    <col min="7185" max="7185" width="7.453125" bestFit="1" customWidth="1"/>
    <col min="7186" max="7186" width="10.1796875" bestFit="1" customWidth="1"/>
    <col min="7187" max="7187" width="7.453125" bestFit="1" customWidth="1"/>
    <col min="7188" max="7188" width="10.1796875" bestFit="1" customWidth="1"/>
    <col min="7189" max="7189" width="7.453125" bestFit="1" customWidth="1"/>
    <col min="7190" max="7190" width="10.1796875" bestFit="1" customWidth="1"/>
    <col min="7191" max="7191" width="7.453125" bestFit="1" customWidth="1"/>
    <col min="7192" max="7192" width="10.1796875" bestFit="1" customWidth="1"/>
    <col min="7193" max="7193" width="7.453125" bestFit="1" customWidth="1"/>
    <col min="7194" max="7194" width="10.1796875" bestFit="1" customWidth="1"/>
    <col min="7195" max="7195" width="7.453125" bestFit="1" customWidth="1"/>
    <col min="7196" max="7196" width="10.1796875" bestFit="1" customWidth="1"/>
    <col min="7197" max="7197" width="7.453125" bestFit="1" customWidth="1"/>
    <col min="7198" max="7198" width="10.1796875" bestFit="1" customWidth="1"/>
    <col min="7199" max="7199" width="7.453125" bestFit="1" customWidth="1"/>
    <col min="7200" max="7200" width="10.1796875" bestFit="1" customWidth="1"/>
    <col min="7201" max="7201" width="7.453125" bestFit="1" customWidth="1"/>
    <col min="7202" max="7202" width="10.1796875" bestFit="1" customWidth="1"/>
    <col min="7203" max="7203" width="7.453125" bestFit="1" customWidth="1"/>
    <col min="7204" max="7204" width="10.1796875" bestFit="1" customWidth="1"/>
    <col min="7205" max="7205" width="7.453125" bestFit="1" customWidth="1"/>
    <col min="7206" max="7206" width="10.1796875" bestFit="1" customWidth="1"/>
    <col min="7207" max="7207" width="7.453125" bestFit="1" customWidth="1"/>
    <col min="7208" max="7208" width="10.1796875" bestFit="1" customWidth="1"/>
    <col min="7209" max="7209" width="7.453125" bestFit="1" customWidth="1"/>
    <col min="7210" max="7210" width="10.1796875" bestFit="1" customWidth="1"/>
    <col min="7211" max="7211" width="7.453125" bestFit="1" customWidth="1"/>
    <col min="7212" max="7212" width="10.1796875" bestFit="1" customWidth="1"/>
    <col min="7213" max="7213" width="7.453125" bestFit="1" customWidth="1"/>
    <col min="7214" max="7214" width="10.1796875" bestFit="1" customWidth="1"/>
    <col min="7215" max="7215" width="7.453125" bestFit="1" customWidth="1"/>
    <col min="7216" max="7216" width="10.1796875" bestFit="1" customWidth="1"/>
    <col min="7217" max="7217" width="7.453125" bestFit="1" customWidth="1"/>
    <col min="7218" max="7218" width="10.1796875" bestFit="1" customWidth="1"/>
    <col min="7219" max="7219" width="7.453125" bestFit="1" customWidth="1"/>
    <col min="7220" max="7220" width="10.1796875" bestFit="1" customWidth="1"/>
    <col min="7221" max="7221" width="7.453125" bestFit="1" customWidth="1"/>
    <col min="7222" max="7222" width="10.1796875" bestFit="1" customWidth="1"/>
    <col min="7223" max="7223" width="7.453125" bestFit="1" customWidth="1"/>
    <col min="7224" max="7224" width="10.1796875" bestFit="1" customWidth="1"/>
    <col min="7225" max="7225" width="7.453125" bestFit="1" customWidth="1"/>
    <col min="7226" max="7226" width="10.1796875" bestFit="1" customWidth="1"/>
    <col min="7227" max="7227" width="7.453125" bestFit="1" customWidth="1"/>
    <col min="7228" max="7228" width="10.1796875" bestFit="1" customWidth="1"/>
    <col min="7229" max="7229" width="7.453125" bestFit="1" customWidth="1"/>
    <col min="7230" max="7230" width="10.1796875" bestFit="1" customWidth="1"/>
    <col min="7231" max="7231" width="7.453125" bestFit="1" customWidth="1"/>
    <col min="7232" max="7232" width="10.1796875" bestFit="1" customWidth="1"/>
    <col min="7233" max="7233" width="7.453125" bestFit="1" customWidth="1"/>
    <col min="7234" max="7234" width="10.1796875" bestFit="1" customWidth="1"/>
    <col min="7235" max="7235" width="7.453125" bestFit="1" customWidth="1"/>
    <col min="7236" max="7236" width="10.1796875" bestFit="1" customWidth="1"/>
    <col min="7237" max="7237" width="7.453125" bestFit="1" customWidth="1"/>
    <col min="7238" max="7238" width="10.1796875" bestFit="1" customWidth="1"/>
    <col min="7239" max="7239" width="7.453125" bestFit="1" customWidth="1"/>
    <col min="7240" max="7240" width="10.1796875" bestFit="1" customWidth="1"/>
    <col min="7241" max="7241" width="7.453125" bestFit="1" customWidth="1"/>
    <col min="7242" max="7242" width="10.1796875" bestFit="1" customWidth="1"/>
    <col min="7243" max="7243" width="7.453125" bestFit="1" customWidth="1"/>
    <col min="7244" max="7244" width="10.1796875" bestFit="1" customWidth="1"/>
    <col min="7245" max="7245" width="7.453125" bestFit="1" customWidth="1"/>
    <col min="7246" max="7246" width="10.1796875" bestFit="1" customWidth="1"/>
    <col min="7247" max="7247" width="7.453125" bestFit="1" customWidth="1"/>
    <col min="7248" max="7248" width="10.1796875" bestFit="1" customWidth="1"/>
    <col min="7249" max="7249" width="7.453125" bestFit="1" customWidth="1"/>
    <col min="7250" max="7250" width="10.1796875" bestFit="1" customWidth="1"/>
    <col min="7251" max="7251" width="7.453125" bestFit="1" customWidth="1"/>
    <col min="7252" max="7252" width="10.1796875" bestFit="1" customWidth="1"/>
    <col min="7253" max="7253" width="7.453125" bestFit="1" customWidth="1"/>
    <col min="7254" max="7254" width="10.1796875" bestFit="1" customWidth="1"/>
    <col min="7255" max="7255" width="7.453125" bestFit="1" customWidth="1"/>
    <col min="7256" max="7256" width="10.1796875" bestFit="1" customWidth="1"/>
    <col min="7257" max="7257" width="7.453125" bestFit="1" customWidth="1"/>
    <col min="7258" max="7258" width="10.1796875" bestFit="1" customWidth="1"/>
    <col min="7259" max="7259" width="7.453125" bestFit="1" customWidth="1"/>
    <col min="7260" max="7260" width="10.1796875" bestFit="1" customWidth="1"/>
    <col min="7261" max="7261" width="7.453125" bestFit="1" customWidth="1"/>
    <col min="7262" max="7262" width="10.1796875" bestFit="1" customWidth="1"/>
    <col min="7263" max="7263" width="7.453125" bestFit="1" customWidth="1"/>
    <col min="7264" max="7264" width="10.1796875" bestFit="1" customWidth="1"/>
    <col min="7265" max="7265" width="7.453125" bestFit="1" customWidth="1"/>
    <col min="7266" max="7266" width="10.1796875" bestFit="1" customWidth="1"/>
    <col min="7267" max="7267" width="7.453125" bestFit="1" customWidth="1"/>
    <col min="7268" max="7268" width="10.1796875" bestFit="1" customWidth="1"/>
    <col min="7269" max="7269" width="7.453125" bestFit="1" customWidth="1"/>
    <col min="7270" max="7270" width="10.1796875" bestFit="1" customWidth="1"/>
    <col min="7271" max="7271" width="7.453125" bestFit="1" customWidth="1"/>
    <col min="7272" max="7272" width="10.1796875" bestFit="1" customWidth="1"/>
    <col min="7273" max="7273" width="7.453125" bestFit="1" customWidth="1"/>
    <col min="7274" max="7274" width="10.1796875" bestFit="1" customWidth="1"/>
    <col min="7275" max="7275" width="7.453125" bestFit="1" customWidth="1"/>
    <col min="7276" max="7276" width="10.1796875" bestFit="1" customWidth="1"/>
    <col min="7277" max="7277" width="7.453125" bestFit="1" customWidth="1"/>
    <col min="7278" max="7278" width="10.1796875" bestFit="1" customWidth="1"/>
    <col min="7279" max="7279" width="7.453125" bestFit="1" customWidth="1"/>
    <col min="7280" max="7280" width="10.1796875" bestFit="1" customWidth="1"/>
    <col min="7281" max="7281" width="7.453125" bestFit="1" customWidth="1"/>
    <col min="7282" max="7282" width="10.1796875" bestFit="1" customWidth="1"/>
    <col min="7283" max="7283" width="7.453125" bestFit="1" customWidth="1"/>
    <col min="7284" max="7284" width="10.1796875" bestFit="1" customWidth="1"/>
    <col min="7285" max="7285" width="7.453125" bestFit="1" customWidth="1"/>
    <col min="7286" max="7286" width="10.1796875" bestFit="1" customWidth="1"/>
    <col min="7287" max="7287" width="7.453125" bestFit="1" customWidth="1"/>
    <col min="7288" max="7288" width="10.1796875" bestFit="1" customWidth="1"/>
    <col min="7289" max="7289" width="7.453125" bestFit="1" customWidth="1"/>
    <col min="7290" max="7290" width="10.1796875" bestFit="1" customWidth="1"/>
    <col min="7291" max="7291" width="7.453125" bestFit="1" customWidth="1"/>
    <col min="7292" max="7292" width="10.1796875" bestFit="1" customWidth="1"/>
    <col min="7293" max="7293" width="7.453125" bestFit="1" customWidth="1"/>
    <col min="7294" max="7294" width="10.1796875" bestFit="1" customWidth="1"/>
    <col min="7295" max="7295" width="7.453125" bestFit="1" customWidth="1"/>
    <col min="7296" max="7296" width="10.1796875" bestFit="1" customWidth="1"/>
    <col min="7297" max="7297" width="7.453125" bestFit="1" customWidth="1"/>
    <col min="7298" max="7298" width="10.1796875" bestFit="1" customWidth="1"/>
    <col min="7299" max="7299" width="7.453125" bestFit="1" customWidth="1"/>
    <col min="7300" max="7300" width="10.1796875" bestFit="1" customWidth="1"/>
    <col min="7301" max="7301" width="7.453125" bestFit="1" customWidth="1"/>
    <col min="7302" max="7302" width="10.1796875" bestFit="1" customWidth="1"/>
    <col min="7303" max="7303" width="7.453125" bestFit="1" customWidth="1"/>
    <col min="7304" max="7304" width="10.1796875" bestFit="1" customWidth="1"/>
    <col min="7305" max="7305" width="7.453125" bestFit="1" customWidth="1"/>
    <col min="7306" max="7306" width="10.1796875" bestFit="1" customWidth="1"/>
    <col min="7307" max="7307" width="7.453125" bestFit="1" customWidth="1"/>
    <col min="7308" max="7308" width="10.1796875" bestFit="1" customWidth="1"/>
    <col min="7309" max="7309" width="7.453125" bestFit="1" customWidth="1"/>
    <col min="7310" max="7310" width="10.1796875" bestFit="1" customWidth="1"/>
    <col min="7311" max="7311" width="7.453125" bestFit="1" customWidth="1"/>
    <col min="7312" max="7312" width="10.1796875" bestFit="1" customWidth="1"/>
    <col min="7313" max="7313" width="7.453125" bestFit="1" customWidth="1"/>
    <col min="7314" max="7314" width="10.1796875" bestFit="1" customWidth="1"/>
    <col min="7315" max="7315" width="7.453125" bestFit="1" customWidth="1"/>
    <col min="7316" max="7316" width="10.1796875" bestFit="1" customWidth="1"/>
    <col min="7317" max="7317" width="7.453125" bestFit="1" customWidth="1"/>
    <col min="7318" max="7318" width="10.1796875" bestFit="1" customWidth="1"/>
    <col min="7319" max="7319" width="7.453125" bestFit="1" customWidth="1"/>
    <col min="7320" max="7320" width="10.1796875" bestFit="1" customWidth="1"/>
    <col min="7321" max="7321" width="7.453125" bestFit="1" customWidth="1"/>
    <col min="7322" max="7322" width="10.1796875" bestFit="1" customWidth="1"/>
    <col min="7323" max="7323" width="7.453125" bestFit="1" customWidth="1"/>
    <col min="7324" max="7324" width="10.1796875" bestFit="1" customWidth="1"/>
    <col min="7325" max="7325" width="7.453125" bestFit="1" customWidth="1"/>
    <col min="7326" max="7326" width="10.1796875" bestFit="1" customWidth="1"/>
    <col min="7327" max="7327" width="7.453125" bestFit="1" customWidth="1"/>
    <col min="7328" max="7328" width="10.1796875" bestFit="1" customWidth="1"/>
    <col min="7329" max="7329" width="7.453125" bestFit="1" customWidth="1"/>
    <col min="7330" max="7330" width="10.1796875" bestFit="1" customWidth="1"/>
    <col min="7331" max="7331" width="7.453125" bestFit="1" customWidth="1"/>
    <col min="7332" max="7332" width="10.1796875" bestFit="1" customWidth="1"/>
    <col min="7333" max="7333" width="7.453125" bestFit="1" customWidth="1"/>
    <col min="7334" max="7334" width="10.1796875" bestFit="1" customWidth="1"/>
    <col min="7335" max="7335" width="7.453125" bestFit="1" customWidth="1"/>
    <col min="7336" max="7336" width="10.1796875" bestFit="1" customWidth="1"/>
    <col min="7337" max="7337" width="7.453125" bestFit="1" customWidth="1"/>
    <col min="7338" max="7338" width="10.1796875" bestFit="1" customWidth="1"/>
    <col min="7339" max="7339" width="7.453125" bestFit="1" customWidth="1"/>
    <col min="7340" max="7340" width="10.1796875" bestFit="1" customWidth="1"/>
    <col min="7341" max="7341" width="7.453125" bestFit="1" customWidth="1"/>
    <col min="7342" max="7342" width="10.1796875" bestFit="1" customWidth="1"/>
    <col min="7343" max="7343" width="7.453125" bestFit="1" customWidth="1"/>
    <col min="7344" max="7344" width="10.1796875" bestFit="1" customWidth="1"/>
    <col min="7345" max="7345" width="7.453125" bestFit="1" customWidth="1"/>
    <col min="7346" max="7346" width="10.1796875" bestFit="1" customWidth="1"/>
    <col min="7347" max="7347" width="7.453125" bestFit="1" customWidth="1"/>
    <col min="7348" max="7348" width="10.1796875" bestFit="1" customWidth="1"/>
    <col min="7349" max="7349" width="7.453125" bestFit="1" customWidth="1"/>
    <col min="7350" max="7350" width="10.1796875" bestFit="1" customWidth="1"/>
    <col min="7351" max="7351" width="7.453125" bestFit="1" customWidth="1"/>
    <col min="7352" max="7352" width="10.1796875" bestFit="1" customWidth="1"/>
    <col min="7353" max="7353" width="7.453125" bestFit="1" customWidth="1"/>
    <col min="7354" max="7354" width="10.1796875" bestFit="1" customWidth="1"/>
    <col min="7355" max="7355" width="7.453125" bestFit="1" customWidth="1"/>
    <col min="7356" max="7356" width="10.1796875" bestFit="1" customWidth="1"/>
    <col min="7357" max="7357" width="7.453125" bestFit="1" customWidth="1"/>
    <col min="7358" max="7358" width="10.1796875" bestFit="1" customWidth="1"/>
    <col min="7359" max="7359" width="7.453125" bestFit="1" customWidth="1"/>
    <col min="7360" max="7360" width="10.1796875" bestFit="1" customWidth="1"/>
    <col min="7361" max="7361" width="7.453125" bestFit="1" customWidth="1"/>
    <col min="7362" max="7362" width="10.1796875" bestFit="1" customWidth="1"/>
    <col min="7363" max="7363" width="7.453125" bestFit="1" customWidth="1"/>
    <col min="7364" max="7364" width="10.1796875" bestFit="1" customWidth="1"/>
    <col min="7365" max="7365" width="7.453125" bestFit="1" customWidth="1"/>
    <col min="7366" max="7366" width="10.1796875" bestFit="1" customWidth="1"/>
    <col min="7367" max="7367" width="7.453125" bestFit="1" customWidth="1"/>
    <col min="7368" max="7368" width="10.1796875" bestFit="1" customWidth="1"/>
    <col min="7369" max="7369" width="7.453125" bestFit="1" customWidth="1"/>
    <col min="7370" max="7370" width="10.1796875" bestFit="1" customWidth="1"/>
    <col min="7371" max="7371" width="7.453125" bestFit="1" customWidth="1"/>
    <col min="7372" max="7372" width="10.1796875" bestFit="1" customWidth="1"/>
    <col min="7373" max="7373" width="7.453125" bestFit="1" customWidth="1"/>
    <col min="7374" max="7374" width="10.1796875" bestFit="1" customWidth="1"/>
    <col min="7375" max="7375" width="7.453125" bestFit="1" customWidth="1"/>
    <col min="7376" max="7376" width="10.1796875" bestFit="1" customWidth="1"/>
    <col min="7377" max="7377" width="7.453125" bestFit="1" customWidth="1"/>
    <col min="7378" max="7378" width="10.1796875" bestFit="1" customWidth="1"/>
    <col min="7379" max="7379" width="7.453125" bestFit="1" customWidth="1"/>
    <col min="7380" max="7380" width="10.1796875" bestFit="1" customWidth="1"/>
    <col min="7381" max="7381" width="7.453125" bestFit="1" customWidth="1"/>
    <col min="7382" max="7382" width="10.1796875" bestFit="1" customWidth="1"/>
    <col min="7383" max="7383" width="7.453125" bestFit="1" customWidth="1"/>
    <col min="7384" max="7384" width="10.1796875" bestFit="1" customWidth="1"/>
    <col min="7385" max="7385" width="7.453125" bestFit="1" customWidth="1"/>
    <col min="7386" max="7386" width="10.1796875" bestFit="1" customWidth="1"/>
    <col min="7387" max="7387" width="7.453125" bestFit="1" customWidth="1"/>
    <col min="7388" max="7388" width="10.1796875" bestFit="1" customWidth="1"/>
    <col min="7389" max="7389" width="7.453125" bestFit="1" customWidth="1"/>
    <col min="7390" max="7390" width="10.1796875" bestFit="1" customWidth="1"/>
    <col min="7391" max="7391" width="7.453125" bestFit="1" customWidth="1"/>
    <col min="7392" max="7392" width="10.1796875" bestFit="1" customWidth="1"/>
    <col min="7393" max="7393" width="7.453125" bestFit="1" customWidth="1"/>
    <col min="7394" max="7394" width="10.1796875" bestFit="1" customWidth="1"/>
    <col min="7395" max="7395" width="7.453125" bestFit="1" customWidth="1"/>
    <col min="7396" max="7396" width="10.1796875" bestFit="1" customWidth="1"/>
    <col min="7397" max="7397" width="7.453125" bestFit="1" customWidth="1"/>
    <col min="7398" max="7398" width="10.1796875" bestFit="1" customWidth="1"/>
    <col min="7399" max="7399" width="7.453125" bestFit="1" customWidth="1"/>
    <col min="7400" max="7400" width="10.1796875" bestFit="1" customWidth="1"/>
    <col min="7401" max="7401" width="7.453125" bestFit="1" customWidth="1"/>
    <col min="7402" max="7402" width="10.1796875" bestFit="1" customWidth="1"/>
    <col min="7403" max="7403" width="7.453125" bestFit="1" customWidth="1"/>
    <col min="7404" max="7404" width="10.1796875" bestFit="1" customWidth="1"/>
    <col min="7405" max="7405" width="7.453125" bestFit="1" customWidth="1"/>
    <col min="7406" max="7406" width="10.1796875" bestFit="1" customWidth="1"/>
    <col min="7407" max="7407" width="7.453125" bestFit="1" customWidth="1"/>
    <col min="7408" max="7408" width="10.1796875" bestFit="1" customWidth="1"/>
    <col min="7409" max="7409" width="7.453125" bestFit="1" customWidth="1"/>
    <col min="7410" max="7410" width="10.1796875" bestFit="1" customWidth="1"/>
    <col min="7411" max="7411" width="7.453125" bestFit="1" customWidth="1"/>
    <col min="7412" max="7412" width="10.1796875" bestFit="1" customWidth="1"/>
    <col min="7413" max="7413" width="7.453125" bestFit="1" customWidth="1"/>
    <col min="7414" max="7414" width="10.1796875" bestFit="1" customWidth="1"/>
    <col min="7415" max="7415" width="7.453125" bestFit="1" customWidth="1"/>
    <col min="7416" max="7416" width="10.1796875" bestFit="1" customWidth="1"/>
    <col min="7417" max="7417" width="7.453125" bestFit="1" customWidth="1"/>
    <col min="7418" max="7418" width="10.1796875" bestFit="1" customWidth="1"/>
    <col min="7419" max="7419" width="7.453125" bestFit="1" customWidth="1"/>
    <col min="7420" max="7420" width="10.1796875" bestFit="1" customWidth="1"/>
    <col min="7421" max="7421" width="7.453125" bestFit="1" customWidth="1"/>
    <col min="7422" max="7422" width="10.1796875" bestFit="1" customWidth="1"/>
    <col min="7423" max="7423" width="7.453125" bestFit="1" customWidth="1"/>
    <col min="7424" max="7424" width="10.1796875" bestFit="1" customWidth="1"/>
    <col min="7425" max="7425" width="7.453125" bestFit="1" customWidth="1"/>
    <col min="7426" max="7426" width="10.1796875" bestFit="1" customWidth="1"/>
    <col min="7427" max="7427" width="7.453125" bestFit="1" customWidth="1"/>
    <col min="7428" max="7428" width="10.1796875" bestFit="1" customWidth="1"/>
    <col min="7429" max="7429" width="7.453125" bestFit="1" customWidth="1"/>
    <col min="7430" max="7430" width="10.1796875" bestFit="1" customWidth="1"/>
    <col min="7431" max="7431" width="7.453125" bestFit="1" customWidth="1"/>
    <col min="7432" max="7432" width="10.1796875" bestFit="1" customWidth="1"/>
    <col min="7433" max="7433" width="7.453125" bestFit="1" customWidth="1"/>
    <col min="7434" max="7434" width="10.1796875" bestFit="1" customWidth="1"/>
    <col min="7435" max="7435" width="7.453125" bestFit="1" customWidth="1"/>
    <col min="7436" max="7436" width="6.6796875" bestFit="1" customWidth="1"/>
    <col min="7437" max="7437" width="10.1796875" bestFit="1" customWidth="1"/>
    <col min="7438" max="7438" width="7.453125" bestFit="1" customWidth="1"/>
    <col min="7439" max="7439" width="10.1796875" bestFit="1" customWidth="1"/>
    <col min="7440" max="7440" width="7.453125" bestFit="1" customWidth="1"/>
    <col min="7441" max="7441" width="10.1796875" bestFit="1" customWidth="1"/>
    <col min="7442" max="7442" width="7.453125" bestFit="1" customWidth="1"/>
    <col min="7443" max="7443" width="10.1796875" bestFit="1" customWidth="1"/>
    <col min="7444" max="7444" width="7.453125" bestFit="1" customWidth="1"/>
    <col min="7445" max="7445" width="10.1796875" bestFit="1" customWidth="1"/>
    <col min="7446" max="7446" width="7.453125" bestFit="1" customWidth="1"/>
    <col min="7447" max="7447" width="10.1796875" bestFit="1" customWidth="1"/>
    <col min="7448" max="7448" width="7.453125" bestFit="1" customWidth="1"/>
    <col min="7449" max="7449" width="6.6796875" bestFit="1" customWidth="1"/>
    <col min="7450" max="7450" width="10.1796875" bestFit="1" customWidth="1"/>
    <col min="7451" max="7451" width="7.453125" bestFit="1" customWidth="1"/>
    <col min="7452" max="7452" width="10.1796875" bestFit="1" customWidth="1"/>
    <col min="7453" max="7453" width="7.453125" bestFit="1" customWidth="1"/>
    <col min="7454" max="7454" width="10.1796875" bestFit="1" customWidth="1"/>
    <col min="7455" max="7455" width="7.453125" bestFit="1" customWidth="1"/>
    <col min="7456" max="7456" width="10.1796875" bestFit="1" customWidth="1"/>
    <col min="7457" max="7457" width="7.453125" bestFit="1" customWidth="1"/>
    <col min="7458" max="7458" width="10.1796875" bestFit="1" customWidth="1"/>
    <col min="7459" max="7459" width="7.453125" bestFit="1" customWidth="1"/>
    <col min="7460" max="7460" width="10.1796875" bestFit="1" customWidth="1"/>
    <col min="7461" max="7461" width="7.453125" bestFit="1" customWidth="1"/>
    <col min="7462" max="7462" width="10.1796875" bestFit="1" customWidth="1"/>
    <col min="7463" max="7463" width="7.453125" bestFit="1" customWidth="1"/>
    <col min="7464" max="7464" width="10.1796875" bestFit="1" customWidth="1"/>
    <col min="7465" max="7465" width="7.453125" bestFit="1" customWidth="1"/>
    <col min="7466" max="7466" width="10.1796875" bestFit="1" customWidth="1"/>
    <col min="7467" max="7467" width="7.453125" bestFit="1" customWidth="1"/>
    <col min="7468" max="7468" width="10.1796875" bestFit="1" customWidth="1"/>
    <col min="7469" max="7469" width="7.453125" bestFit="1" customWidth="1"/>
    <col min="7470" max="7470" width="10.1796875" bestFit="1" customWidth="1"/>
    <col min="7471" max="7471" width="7.453125" bestFit="1" customWidth="1"/>
    <col min="7472" max="7472" width="10.1796875" bestFit="1" customWidth="1"/>
    <col min="7473" max="7473" width="7.453125" bestFit="1" customWidth="1"/>
    <col min="7474" max="7474" width="10.1796875" bestFit="1" customWidth="1"/>
    <col min="7475" max="7475" width="7.453125" bestFit="1" customWidth="1"/>
    <col min="7476" max="7476" width="10.1796875" bestFit="1" customWidth="1"/>
    <col min="7477" max="7477" width="7.453125" bestFit="1" customWidth="1"/>
    <col min="7478" max="7478" width="10.1796875" bestFit="1" customWidth="1"/>
    <col min="7479" max="7479" width="7.453125" bestFit="1" customWidth="1"/>
    <col min="7480" max="7480" width="10.1796875" bestFit="1" customWidth="1"/>
    <col min="7481" max="7481" width="7.453125" bestFit="1" customWidth="1"/>
    <col min="7482" max="7482" width="10.1796875" bestFit="1" customWidth="1"/>
    <col min="7483" max="7483" width="7.453125" bestFit="1" customWidth="1"/>
    <col min="7484" max="7484" width="10.1796875" bestFit="1" customWidth="1"/>
    <col min="7485" max="7485" width="7.453125" bestFit="1" customWidth="1"/>
    <col min="7486" max="7486" width="10.1796875" bestFit="1" customWidth="1"/>
    <col min="7487" max="7487" width="7.453125" bestFit="1" customWidth="1"/>
    <col min="7488" max="7488" width="10.1796875" bestFit="1" customWidth="1"/>
    <col min="7489" max="7489" width="7.453125" bestFit="1" customWidth="1"/>
    <col min="7490" max="7490" width="10.1796875" bestFit="1" customWidth="1"/>
    <col min="7491" max="7491" width="7.453125" bestFit="1" customWidth="1"/>
    <col min="7492" max="7492" width="10.1796875" bestFit="1" customWidth="1"/>
    <col min="7493" max="7493" width="7.453125" bestFit="1" customWidth="1"/>
    <col min="7494" max="7494" width="10.1796875" bestFit="1" customWidth="1"/>
    <col min="7495" max="7495" width="7.453125" bestFit="1" customWidth="1"/>
    <col min="7496" max="7496" width="10.1796875" bestFit="1" customWidth="1"/>
    <col min="7497" max="7497" width="7.453125" bestFit="1" customWidth="1"/>
    <col min="7498" max="7498" width="10.1796875" bestFit="1" customWidth="1"/>
    <col min="7499" max="7499" width="7.453125" bestFit="1" customWidth="1"/>
    <col min="7500" max="7500" width="10.1796875" bestFit="1" customWidth="1"/>
    <col min="7501" max="7501" width="7.453125" bestFit="1" customWidth="1"/>
    <col min="7502" max="7502" width="10.1796875" bestFit="1" customWidth="1"/>
    <col min="7503" max="7503" width="7.453125" bestFit="1" customWidth="1"/>
    <col min="7504" max="7504" width="10.1796875" bestFit="1" customWidth="1"/>
    <col min="7505" max="7505" width="7.453125" bestFit="1" customWidth="1"/>
    <col min="7506" max="7506" width="10.1796875" bestFit="1" customWidth="1"/>
    <col min="7507" max="7507" width="7.453125" bestFit="1" customWidth="1"/>
    <col min="7508" max="7508" width="10.1796875" bestFit="1" customWidth="1"/>
    <col min="7509" max="7509" width="7.453125" bestFit="1" customWidth="1"/>
    <col min="7510" max="7510" width="10.1796875" bestFit="1" customWidth="1"/>
    <col min="7511" max="7511" width="7.453125" bestFit="1" customWidth="1"/>
    <col min="7512" max="7512" width="10.1796875" bestFit="1" customWidth="1"/>
    <col min="7513" max="7513" width="7.453125" bestFit="1" customWidth="1"/>
    <col min="7514" max="7514" width="10.1796875" bestFit="1" customWidth="1"/>
    <col min="7515" max="7515" width="7.453125" bestFit="1" customWidth="1"/>
    <col min="7516" max="7516" width="10.1796875" bestFit="1" customWidth="1"/>
    <col min="7517" max="7517" width="7.453125" bestFit="1" customWidth="1"/>
    <col min="7518" max="7518" width="10.1796875" bestFit="1" customWidth="1"/>
    <col min="7519" max="7519" width="7.453125" bestFit="1" customWidth="1"/>
    <col min="7520" max="7520" width="10.1796875" bestFit="1" customWidth="1"/>
    <col min="7521" max="7521" width="7.453125" bestFit="1" customWidth="1"/>
    <col min="7522" max="7522" width="10.1796875" bestFit="1" customWidth="1"/>
    <col min="7523" max="7523" width="7.453125" bestFit="1" customWidth="1"/>
    <col min="7524" max="7524" width="10.1796875" bestFit="1" customWidth="1"/>
    <col min="7525" max="7525" width="7.453125" bestFit="1" customWidth="1"/>
    <col min="7526" max="7526" width="10.1796875" bestFit="1" customWidth="1"/>
    <col min="7527" max="7527" width="7.453125" bestFit="1" customWidth="1"/>
    <col min="7528" max="7528" width="10.1796875" bestFit="1" customWidth="1"/>
    <col min="7529" max="7529" width="7.453125" bestFit="1" customWidth="1"/>
    <col min="7530" max="7530" width="10.1796875" bestFit="1" customWidth="1"/>
    <col min="7531" max="7531" width="7.453125" bestFit="1" customWidth="1"/>
    <col min="7532" max="7532" width="10.1796875" bestFit="1" customWidth="1"/>
    <col min="7533" max="7533" width="7.453125" bestFit="1" customWidth="1"/>
    <col min="7534" max="7534" width="10.1796875" bestFit="1" customWidth="1"/>
    <col min="7535" max="7535" width="7.453125" bestFit="1" customWidth="1"/>
    <col min="7536" max="7536" width="10.1796875" bestFit="1" customWidth="1"/>
    <col min="7537" max="7537" width="7.453125" bestFit="1" customWidth="1"/>
    <col min="7538" max="7538" width="10.1796875" bestFit="1" customWidth="1"/>
    <col min="7539" max="7539" width="7.453125" bestFit="1" customWidth="1"/>
    <col min="7540" max="7540" width="10.1796875" bestFit="1" customWidth="1"/>
    <col min="7541" max="7541" width="7.453125" bestFit="1" customWidth="1"/>
    <col min="7542" max="7542" width="10.1796875" bestFit="1" customWidth="1"/>
    <col min="7543" max="7543" width="7.453125" bestFit="1" customWidth="1"/>
    <col min="7544" max="7544" width="10.1796875" bestFit="1" customWidth="1"/>
    <col min="7545" max="7545" width="7.453125" bestFit="1" customWidth="1"/>
    <col min="7546" max="7546" width="10.1796875" bestFit="1" customWidth="1"/>
    <col min="7547" max="7547" width="7.453125" bestFit="1" customWidth="1"/>
    <col min="7548" max="7548" width="10.1796875" bestFit="1" customWidth="1"/>
    <col min="7549" max="7549" width="7.453125" bestFit="1" customWidth="1"/>
    <col min="7550" max="7550" width="10.1796875" bestFit="1" customWidth="1"/>
    <col min="7551" max="7551" width="7.453125" bestFit="1" customWidth="1"/>
    <col min="7552" max="7552" width="10.1796875" bestFit="1" customWidth="1"/>
    <col min="7553" max="7553" width="7.453125" bestFit="1" customWidth="1"/>
    <col min="7554" max="7554" width="10.1796875" bestFit="1" customWidth="1"/>
    <col min="7555" max="7555" width="7.453125" bestFit="1" customWidth="1"/>
    <col min="7556" max="7556" width="10.1796875" bestFit="1" customWidth="1"/>
    <col min="7557" max="7557" width="7.453125" bestFit="1" customWidth="1"/>
    <col min="7558" max="7558" width="10.1796875" bestFit="1" customWidth="1"/>
    <col min="7559" max="7559" width="7.453125" bestFit="1" customWidth="1"/>
    <col min="7560" max="7560" width="10.1796875" bestFit="1" customWidth="1"/>
    <col min="7561" max="7561" width="7.453125" bestFit="1" customWidth="1"/>
    <col min="7562" max="7562" width="10.1796875" bestFit="1" customWidth="1"/>
    <col min="7563" max="7563" width="7.453125" bestFit="1" customWidth="1"/>
    <col min="7564" max="7564" width="10.1796875" bestFit="1" customWidth="1"/>
    <col min="7565" max="7565" width="7.453125" bestFit="1" customWidth="1"/>
    <col min="7566" max="7566" width="10.1796875" bestFit="1" customWidth="1"/>
    <col min="7567" max="7567" width="7.453125" bestFit="1" customWidth="1"/>
    <col min="7568" max="7568" width="10.1796875" bestFit="1" customWidth="1"/>
    <col min="7569" max="7569" width="7.453125" bestFit="1" customWidth="1"/>
    <col min="7570" max="7570" width="10.1796875" bestFit="1" customWidth="1"/>
    <col min="7571" max="7571" width="7.453125" bestFit="1" customWidth="1"/>
    <col min="7572" max="7572" width="10.1796875" bestFit="1" customWidth="1"/>
    <col min="7573" max="7573" width="7.453125" bestFit="1" customWidth="1"/>
    <col min="7574" max="7574" width="10.1796875" bestFit="1" customWidth="1"/>
    <col min="7575" max="7575" width="7.453125" bestFit="1" customWidth="1"/>
    <col min="7576" max="7576" width="5.6796875" bestFit="1" customWidth="1"/>
    <col min="7577" max="7577" width="10.1796875" bestFit="1" customWidth="1"/>
    <col min="7578" max="7578" width="7.453125" bestFit="1" customWidth="1"/>
    <col min="7579" max="7579" width="10.1796875" bestFit="1" customWidth="1"/>
    <col min="7580" max="7580" width="7.453125" bestFit="1" customWidth="1"/>
    <col min="7581" max="7581" width="5.6796875" bestFit="1" customWidth="1"/>
    <col min="7582" max="7582" width="10.1796875" bestFit="1" customWidth="1"/>
    <col min="7583" max="7583" width="7.453125" bestFit="1" customWidth="1"/>
    <col min="7584" max="7584" width="10.1796875" bestFit="1" customWidth="1"/>
    <col min="7585" max="7585" width="7.453125" bestFit="1" customWidth="1"/>
    <col min="7586" max="7586" width="10.1796875" bestFit="1" customWidth="1"/>
    <col min="7587" max="7587" width="7.453125" bestFit="1" customWidth="1"/>
    <col min="7588" max="7588" width="10.1796875" bestFit="1" customWidth="1"/>
    <col min="7589" max="7589" width="7.453125" bestFit="1" customWidth="1"/>
    <col min="7590" max="7590" width="10.1796875" bestFit="1" customWidth="1"/>
    <col min="7591" max="7591" width="7.453125" bestFit="1" customWidth="1"/>
    <col min="7592" max="7592" width="10.1796875" bestFit="1" customWidth="1"/>
    <col min="7593" max="7593" width="7.453125" bestFit="1" customWidth="1"/>
    <col min="7594" max="7594" width="10.1796875" bestFit="1" customWidth="1"/>
    <col min="7595" max="7595" width="7.453125" bestFit="1" customWidth="1"/>
    <col min="7596" max="7596" width="10.1796875" bestFit="1" customWidth="1"/>
    <col min="7597" max="7597" width="7.453125" bestFit="1" customWidth="1"/>
    <col min="7598" max="7598" width="10.1796875" bestFit="1" customWidth="1"/>
    <col min="7599" max="7599" width="7.453125" bestFit="1" customWidth="1"/>
    <col min="7600" max="7600" width="10.1796875" bestFit="1" customWidth="1"/>
    <col min="7601" max="7601" width="7.453125" bestFit="1" customWidth="1"/>
    <col min="7602" max="7602" width="10.1796875" bestFit="1" customWidth="1"/>
    <col min="7603" max="7603" width="7.453125" bestFit="1" customWidth="1"/>
    <col min="7604" max="7604" width="10.1796875" bestFit="1" customWidth="1"/>
    <col min="7605" max="7605" width="7.453125" bestFit="1" customWidth="1"/>
    <col min="7606" max="7606" width="10.1796875" bestFit="1" customWidth="1"/>
    <col min="7607" max="7607" width="7.453125" bestFit="1" customWidth="1"/>
    <col min="7608" max="7608" width="10.1796875" bestFit="1" customWidth="1"/>
    <col min="7609" max="7609" width="7.453125" bestFit="1" customWidth="1"/>
    <col min="7610" max="7610" width="10.1796875" bestFit="1" customWidth="1"/>
    <col min="7611" max="7611" width="7.6796875" bestFit="1" customWidth="1"/>
    <col min="7612" max="7612" width="10.1796875" bestFit="1" customWidth="1"/>
    <col min="7613" max="7613" width="7.453125" bestFit="1" customWidth="1"/>
    <col min="7614" max="7614" width="10.1796875" bestFit="1" customWidth="1"/>
    <col min="7615" max="7615" width="7.453125" bestFit="1" customWidth="1"/>
    <col min="7616" max="7616" width="10.1796875" bestFit="1" customWidth="1"/>
    <col min="7617" max="7617" width="7.453125" bestFit="1" customWidth="1"/>
    <col min="7618" max="7618" width="10.1796875" bestFit="1" customWidth="1"/>
    <col min="7619" max="7619" width="7.453125" bestFit="1" customWidth="1"/>
    <col min="7620" max="7620" width="10.1796875" bestFit="1" customWidth="1"/>
    <col min="7621" max="7621" width="7.453125" bestFit="1" customWidth="1"/>
    <col min="7622" max="7622" width="10.1796875" bestFit="1" customWidth="1"/>
    <col min="7623" max="7623" width="7.453125" bestFit="1" customWidth="1"/>
    <col min="7624" max="7624" width="10.1796875" bestFit="1" customWidth="1"/>
    <col min="7625" max="7625" width="7.453125" bestFit="1" customWidth="1"/>
    <col min="7626" max="7626" width="10.1796875" bestFit="1" customWidth="1"/>
    <col min="7627" max="7627" width="7.453125" bestFit="1" customWidth="1"/>
    <col min="7628" max="7628" width="10.1796875" bestFit="1" customWidth="1"/>
    <col min="7629" max="7629" width="7.453125" bestFit="1" customWidth="1"/>
    <col min="7630" max="7630" width="10.1796875" bestFit="1" customWidth="1"/>
    <col min="7631" max="7631" width="7.453125" bestFit="1" customWidth="1"/>
    <col min="7632" max="7632" width="10.1796875" bestFit="1" customWidth="1"/>
    <col min="7633" max="7633" width="7.453125" bestFit="1" customWidth="1"/>
    <col min="7634" max="7634" width="10.1796875" bestFit="1" customWidth="1"/>
    <col min="7635" max="7635" width="7.453125" bestFit="1" customWidth="1"/>
    <col min="7636" max="7636" width="10.1796875" bestFit="1" customWidth="1"/>
    <col min="7637" max="7637" width="7.453125" bestFit="1" customWidth="1"/>
    <col min="7638" max="7638" width="10.1796875" bestFit="1" customWidth="1"/>
    <col min="7639" max="7639" width="7.453125" bestFit="1" customWidth="1"/>
    <col min="7640" max="7640" width="10.1796875" bestFit="1" customWidth="1"/>
    <col min="7641" max="7641" width="7.453125" bestFit="1" customWidth="1"/>
    <col min="7642" max="7642" width="10.1796875" bestFit="1" customWidth="1"/>
    <col min="7643" max="7643" width="7.453125" bestFit="1" customWidth="1"/>
    <col min="7644" max="7644" width="10.1796875" bestFit="1" customWidth="1"/>
    <col min="7645" max="7645" width="7.453125" bestFit="1" customWidth="1"/>
    <col min="7646" max="7646" width="10.1796875" bestFit="1" customWidth="1"/>
    <col min="7647" max="7647" width="7.453125" bestFit="1" customWidth="1"/>
    <col min="7648" max="7648" width="10.1796875" bestFit="1" customWidth="1"/>
    <col min="7649" max="7649" width="7.453125" bestFit="1" customWidth="1"/>
    <col min="7650" max="7650" width="10.1796875" bestFit="1" customWidth="1"/>
    <col min="7651" max="7651" width="7.453125" bestFit="1" customWidth="1"/>
    <col min="7652" max="7652" width="10.1796875" bestFit="1" customWidth="1"/>
    <col min="7653" max="7653" width="7.453125" bestFit="1" customWidth="1"/>
    <col min="7654" max="7654" width="10.1796875" bestFit="1" customWidth="1"/>
    <col min="7655" max="7655" width="7.453125" bestFit="1" customWidth="1"/>
    <col min="7656" max="7656" width="10.1796875" bestFit="1" customWidth="1"/>
    <col min="7657" max="7657" width="7.453125" bestFit="1" customWidth="1"/>
    <col min="7658" max="7658" width="10.1796875" bestFit="1" customWidth="1"/>
    <col min="7659" max="7659" width="7.453125" bestFit="1" customWidth="1"/>
    <col min="7660" max="7660" width="10.1796875" bestFit="1" customWidth="1"/>
    <col min="7661" max="7661" width="7.453125" bestFit="1" customWidth="1"/>
    <col min="7662" max="7662" width="10.1796875" bestFit="1" customWidth="1"/>
    <col min="7663" max="7663" width="7.6796875" bestFit="1" customWidth="1"/>
    <col min="7664" max="7664" width="10.1796875" bestFit="1" customWidth="1"/>
    <col min="7665" max="7665" width="7.453125" bestFit="1" customWidth="1"/>
    <col min="7666" max="7666" width="10.1796875" bestFit="1" customWidth="1"/>
    <col min="7667" max="7667" width="7.453125" bestFit="1" customWidth="1"/>
    <col min="7668" max="7668" width="10.1796875" bestFit="1" customWidth="1"/>
    <col min="7669" max="7669" width="7.453125" bestFit="1" customWidth="1"/>
    <col min="7670" max="7670" width="10.1796875" bestFit="1" customWidth="1"/>
    <col min="7671" max="7671" width="7.453125" bestFit="1" customWidth="1"/>
    <col min="7672" max="7672" width="10.1796875" bestFit="1" customWidth="1"/>
    <col min="7673" max="7673" width="7.453125" bestFit="1" customWidth="1"/>
    <col min="7674" max="7674" width="10.1796875" bestFit="1" customWidth="1"/>
    <col min="7675" max="7675" width="7.453125" bestFit="1" customWidth="1"/>
    <col min="7676" max="7676" width="10.1796875" bestFit="1" customWidth="1"/>
    <col min="7677" max="7677" width="7.453125" bestFit="1" customWidth="1"/>
    <col min="7678" max="7678" width="10.1796875" bestFit="1" customWidth="1"/>
    <col min="7679" max="7679" width="7.453125" bestFit="1" customWidth="1"/>
    <col min="7680" max="7680" width="10.1796875" bestFit="1" customWidth="1"/>
    <col min="7681" max="7681" width="7.453125" bestFit="1" customWidth="1"/>
    <col min="7682" max="7682" width="10.1796875" bestFit="1" customWidth="1"/>
    <col min="7683" max="7683" width="7.453125" bestFit="1" customWidth="1"/>
    <col min="7684" max="7684" width="10.1796875" bestFit="1" customWidth="1"/>
    <col min="7685" max="7685" width="7.453125" bestFit="1" customWidth="1"/>
    <col min="7686" max="7686" width="10.1796875" bestFit="1" customWidth="1"/>
    <col min="7687" max="7687" width="7.453125" bestFit="1" customWidth="1"/>
    <col min="7688" max="7688" width="10.1796875" bestFit="1" customWidth="1"/>
    <col min="7689" max="7689" width="7.453125" bestFit="1" customWidth="1"/>
    <col min="7690" max="7690" width="10.1796875" bestFit="1" customWidth="1"/>
    <col min="7691" max="7691" width="7.453125" bestFit="1" customWidth="1"/>
    <col min="7692" max="7692" width="10.1796875" bestFit="1" customWidth="1"/>
    <col min="7693" max="7693" width="7.453125" bestFit="1" customWidth="1"/>
    <col min="7694" max="7694" width="10.1796875" bestFit="1" customWidth="1"/>
    <col min="7695" max="7695" width="7.453125" bestFit="1" customWidth="1"/>
    <col min="7696" max="7696" width="10.1796875" bestFit="1" customWidth="1"/>
    <col min="7697" max="7697" width="7.453125" bestFit="1" customWidth="1"/>
    <col min="7698" max="7698" width="10.1796875" bestFit="1" customWidth="1"/>
    <col min="7699" max="7699" width="7.453125" bestFit="1" customWidth="1"/>
    <col min="7700" max="7700" width="10.1796875" bestFit="1" customWidth="1"/>
    <col min="7701" max="7701" width="7.453125" bestFit="1" customWidth="1"/>
    <col min="7702" max="7702" width="10.1796875" bestFit="1" customWidth="1"/>
    <col min="7703" max="7703" width="7.453125" bestFit="1" customWidth="1"/>
    <col min="7704" max="7704" width="10.1796875" bestFit="1" customWidth="1"/>
    <col min="7705" max="7705" width="7.453125" bestFit="1" customWidth="1"/>
    <col min="7706" max="7706" width="10.1796875" bestFit="1" customWidth="1"/>
    <col min="7707" max="7707" width="7.453125" bestFit="1" customWidth="1"/>
    <col min="7708" max="7708" width="10.1796875" bestFit="1" customWidth="1"/>
    <col min="7709" max="7709" width="7.453125" bestFit="1" customWidth="1"/>
    <col min="7710" max="7710" width="10.1796875" bestFit="1" customWidth="1"/>
    <col min="7711" max="7711" width="7.453125" bestFit="1" customWidth="1"/>
    <col min="7712" max="7712" width="10.1796875" bestFit="1" customWidth="1"/>
    <col min="7713" max="7713" width="7.453125" bestFit="1" customWidth="1"/>
    <col min="7714" max="7714" width="10.1796875" bestFit="1" customWidth="1"/>
    <col min="7715" max="7715" width="7.453125" bestFit="1" customWidth="1"/>
    <col min="7716" max="7716" width="10.1796875" bestFit="1" customWidth="1"/>
    <col min="7717" max="7717" width="7.453125" bestFit="1" customWidth="1"/>
    <col min="7718" max="7718" width="10.1796875" bestFit="1" customWidth="1"/>
    <col min="7719" max="7719" width="7.453125" bestFit="1" customWidth="1"/>
    <col min="7720" max="7720" width="10.1796875" bestFit="1" customWidth="1"/>
    <col min="7721" max="7721" width="7.453125" bestFit="1" customWidth="1"/>
    <col min="7722" max="7722" width="10.1796875" bestFit="1" customWidth="1"/>
    <col min="7723" max="7723" width="7.453125" bestFit="1" customWidth="1"/>
    <col min="7724" max="7724" width="10.1796875" bestFit="1" customWidth="1"/>
    <col min="7725" max="7725" width="7.6796875" bestFit="1" customWidth="1"/>
    <col min="7726" max="7726" width="10.1796875" bestFit="1" customWidth="1"/>
    <col min="7727" max="7727" width="7.453125" bestFit="1" customWidth="1"/>
    <col min="7728" max="7728" width="10.1796875" bestFit="1" customWidth="1"/>
    <col min="7729" max="7729" width="7.453125" bestFit="1" customWidth="1"/>
    <col min="7730" max="7730" width="10.1796875" bestFit="1" customWidth="1"/>
    <col min="7731" max="7731" width="7.453125" bestFit="1" customWidth="1"/>
    <col min="7732" max="7732" width="10.1796875" bestFit="1" customWidth="1"/>
    <col min="7733" max="7733" width="7.6796875" bestFit="1" customWidth="1"/>
    <col min="7734" max="7734" width="10.1796875" bestFit="1" customWidth="1"/>
    <col min="7735" max="7735" width="7.453125" bestFit="1" customWidth="1"/>
    <col min="7736" max="7736" width="10.1796875" bestFit="1" customWidth="1"/>
    <col min="7737" max="7737" width="7.453125" bestFit="1" customWidth="1"/>
    <col min="7738" max="7738" width="10.1796875" bestFit="1" customWidth="1"/>
    <col min="7739" max="7739" width="7.453125" bestFit="1" customWidth="1"/>
    <col min="7740" max="7740" width="10.1796875" bestFit="1" customWidth="1"/>
    <col min="7741" max="7741" width="7.453125" bestFit="1" customWidth="1"/>
    <col min="7742" max="7742" width="10.1796875" bestFit="1" customWidth="1"/>
    <col min="7743" max="7743" width="7.453125" bestFit="1" customWidth="1"/>
    <col min="7744" max="7744" width="10.1796875" bestFit="1" customWidth="1"/>
    <col min="7745" max="7745" width="7.453125" bestFit="1" customWidth="1"/>
    <col min="7746" max="7746" width="10.1796875" bestFit="1" customWidth="1"/>
    <col min="7747" max="7747" width="7.453125" bestFit="1" customWidth="1"/>
    <col min="7748" max="7748" width="10.1796875" bestFit="1" customWidth="1"/>
    <col min="7749" max="7749" width="7.453125" bestFit="1" customWidth="1"/>
    <col min="7750" max="7750" width="10.1796875" bestFit="1" customWidth="1"/>
    <col min="7751" max="7751" width="7.453125" bestFit="1" customWidth="1"/>
    <col min="7752" max="7752" width="10.1796875" bestFit="1" customWidth="1"/>
    <col min="7753" max="7753" width="7.453125" bestFit="1" customWidth="1"/>
    <col min="7754" max="7754" width="10.1796875" bestFit="1" customWidth="1"/>
    <col min="7755" max="7755" width="7.453125" bestFit="1" customWidth="1"/>
    <col min="7756" max="7756" width="10.1796875" bestFit="1" customWidth="1"/>
    <col min="7757" max="7757" width="7.453125" bestFit="1" customWidth="1"/>
    <col min="7758" max="7758" width="10.1796875" bestFit="1" customWidth="1"/>
    <col min="7759" max="7759" width="7.453125" bestFit="1" customWidth="1"/>
    <col min="7760" max="7760" width="10.1796875" bestFit="1" customWidth="1"/>
    <col min="7761" max="7761" width="7.453125" bestFit="1" customWidth="1"/>
    <col min="7762" max="7762" width="10.1796875" bestFit="1" customWidth="1"/>
    <col min="7763" max="7763" width="7.453125" bestFit="1" customWidth="1"/>
    <col min="7764" max="7764" width="10.1796875" bestFit="1" customWidth="1"/>
    <col min="7765" max="7765" width="7.453125" bestFit="1" customWidth="1"/>
    <col min="7766" max="7766" width="10.1796875" bestFit="1" customWidth="1"/>
    <col min="7767" max="7767" width="7.453125" bestFit="1" customWidth="1"/>
    <col min="7768" max="7768" width="10.1796875" bestFit="1" customWidth="1"/>
    <col min="7769" max="7769" width="7.453125" bestFit="1" customWidth="1"/>
    <col min="7770" max="7770" width="10.1796875" bestFit="1" customWidth="1"/>
    <col min="7771" max="7771" width="7.453125" bestFit="1" customWidth="1"/>
    <col min="7772" max="7772" width="10.1796875" bestFit="1" customWidth="1"/>
    <col min="7773" max="7773" width="7.453125" bestFit="1" customWidth="1"/>
    <col min="7774" max="7774" width="10.1796875" bestFit="1" customWidth="1"/>
    <col min="7775" max="7775" width="7.453125" bestFit="1" customWidth="1"/>
    <col min="7776" max="7776" width="10.1796875" bestFit="1" customWidth="1"/>
    <col min="7777" max="7777" width="7.453125" bestFit="1" customWidth="1"/>
    <col min="7778" max="7778" width="10.1796875" bestFit="1" customWidth="1"/>
    <col min="7779" max="7779" width="7.453125" bestFit="1" customWidth="1"/>
    <col min="7780" max="7780" width="10.1796875" bestFit="1" customWidth="1"/>
    <col min="7781" max="7781" width="7.453125" bestFit="1" customWidth="1"/>
    <col min="7782" max="7782" width="10.1796875" bestFit="1" customWidth="1"/>
    <col min="7783" max="7783" width="7.453125" bestFit="1" customWidth="1"/>
    <col min="7784" max="7784" width="10.1796875" bestFit="1" customWidth="1"/>
    <col min="7785" max="7785" width="7.453125" bestFit="1" customWidth="1"/>
    <col min="7786" max="7786" width="10.1796875" bestFit="1" customWidth="1"/>
    <col min="7787" max="7787" width="7.453125" bestFit="1" customWidth="1"/>
    <col min="7788" max="7788" width="10.1796875" bestFit="1" customWidth="1"/>
    <col min="7789" max="7789" width="7.453125" bestFit="1" customWidth="1"/>
    <col min="7790" max="7790" width="10.1796875" bestFit="1" customWidth="1"/>
    <col min="7791" max="7791" width="7.453125" bestFit="1" customWidth="1"/>
    <col min="7792" max="7792" width="10.1796875" bestFit="1" customWidth="1"/>
    <col min="7793" max="7793" width="7.453125" bestFit="1" customWidth="1"/>
    <col min="7794" max="7794" width="10.1796875" bestFit="1" customWidth="1"/>
    <col min="7795" max="7795" width="7.453125" bestFit="1" customWidth="1"/>
    <col min="7796" max="7796" width="10.1796875" bestFit="1" customWidth="1"/>
    <col min="7797" max="7797" width="7.453125" bestFit="1" customWidth="1"/>
    <col min="7798" max="7798" width="10.1796875" bestFit="1" customWidth="1"/>
    <col min="7799" max="7799" width="7.453125" bestFit="1" customWidth="1"/>
    <col min="7800" max="7800" width="10.1796875" bestFit="1" customWidth="1"/>
    <col min="7801" max="7801" width="7.453125" bestFit="1" customWidth="1"/>
    <col min="7802" max="7802" width="10.1796875" bestFit="1" customWidth="1"/>
    <col min="7803" max="7803" width="7.453125" bestFit="1" customWidth="1"/>
    <col min="7804" max="7804" width="10.1796875" bestFit="1" customWidth="1"/>
    <col min="7805" max="7805" width="7.453125" bestFit="1" customWidth="1"/>
    <col min="7806" max="7806" width="10.1796875" bestFit="1" customWidth="1"/>
    <col min="7807" max="7807" width="7.453125" bestFit="1" customWidth="1"/>
    <col min="7808" max="7808" width="10.1796875" bestFit="1" customWidth="1"/>
    <col min="7809" max="7809" width="7.453125" bestFit="1" customWidth="1"/>
    <col min="7810" max="7810" width="10.1796875" bestFit="1" customWidth="1"/>
    <col min="7811" max="7811" width="7.453125" bestFit="1" customWidth="1"/>
    <col min="7812" max="7812" width="10.1796875" bestFit="1" customWidth="1"/>
    <col min="7813" max="7813" width="7.453125" bestFit="1" customWidth="1"/>
    <col min="7814" max="7814" width="10.1796875" bestFit="1" customWidth="1"/>
    <col min="7815" max="7815" width="7.453125" bestFit="1" customWidth="1"/>
    <col min="7816" max="7816" width="10.1796875" bestFit="1" customWidth="1"/>
    <col min="7817" max="7817" width="7.453125" bestFit="1" customWidth="1"/>
    <col min="7818" max="7818" width="10.1796875" bestFit="1" customWidth="1"/>
    <col min="7819" max="7819" width="7.453125" bestFit="1" customWidth="1"/>
    <col min="7820" max="7820" width="10.1796875" bestFit="1" customWidth="1"/>
    <col min="7821" max="7821" width="7.453125" bestFit="1" customWidth="1"/>
    <col min="7822" max="7822" width="10.1796875" bestFit="1" customWidth="1"/>
    <col min="7823" max="7823" width="7.453125" bestFit="1" customWidth="1"/>
    <col min="7824" max="7824" width="10.1796875" bestFit="1" customWidth="1"/>
    <col min="7825" max="7825" width="7.453125" bestFit="1" customWidth="1"/>
    <col min="7826" max="7826" width="10.1796875" bestFit="1" customWidth="1"/>
    <col min="7827" max="7827" width="7.453125" bestFit="1" customWidth="1"/>
    <col min="7828" max="7828" width="10.1796875" bestFit="1" customWidth="1"/>
    <col min="7829" max="7829" width="7.453125" bestFit="1" customWidth="1"/>
    <col min="7830" max="7830" width="10.1796875" bestFit="1" customWidth="1"/>
    <col min="7831" max="7831" width="7.453125" bestFit="1" customWidth="1"/>
    <col min="7832" max="7832" width="10.1796875" bestFit="1" customWidth="1"/>
    <col min="7833" max="7833" width="7.453125" bestFit="1" customWidth="1"/>
    <col min="7834" max="7834" width="10.1796875" bestFit="1" customWidth="1"/>
    <col min="7835" max="7835" width="7.453125" bestFit="1" customWidth="1"/>
    <col min="7836" max="7836" width="10.1796875" bestFit="1" customWidth="1"/>
    <col min="7837" max="7837" width="7.453125" bestFit="1" customWidth="1"/>
    <col min="7838" max="7838" width="10.1796875" bestFit="1" customWidth="1"/>
    <col min="7839" max="7839" width="7.453125" bestFit="1" customWidth="1"/>
    <col min="7840" max="7840" width="7.6796875" bestFit="1" customWidth="1"/>
    <col min="7841" max="7841" width="10.1796875" bestFit="1" customWidth="1"/>
    <col min="7842" max="7842" width="7.453125" bestFit="1" customWidth="1"/>
    <col min="7843" max="7843" width="10.1796875" bestFit="1" customWidth="1"/>
    <col min="7844" max="7844" width="7.453125" bestFit="1" customWidth="1"/>
    <col min="7845" max="7845" width="10.1796875" bestFit="1" customWidth="1"/>
    <col min="7846" max="7846" width="7.453125" bestFit="1" customWidth="1"/>
    <col min="7847" max="7847" width="10.1796875" bestFit="1" customWidth="1"/>
    <col min="7848" max="7848" width="7.453125" bestFit="1" customWidth="1"/>
    <col min="7849" max="7849" width="10.1796875" bestFit="1" customWidth="1"/>
    <col min="7850" max="7850" width="7.453125" bestFit="1" customWidth="1"/>
    <col min="7851" max="7851" width="10.1796875" bestFit="1" customWidth="1"/>
    <col min="7852" max="7852" width="7.453125" bestFit="1" customWidth="1"/>
    <col min="7853" max="7853" width="10.1796875" bestFit="1" customWidth="1"/>
    <col min="7854" max="7854" width="7.453125" bestFit="1" customWidth="1"/>
    <col min="7855" max="7855" width="10.1796875" bestFit="1" customWidth="1"/>
    <col min="7856" max="7856" width="7.453125" bestFit="1" customWidth="1"/>
    <col min="7857" max="7857" width="10.1796875" bestFit="1" customWidth="1"/>
    <col min="7858" max="7858" width="7.453125" bestFit="1" customWidth="1"/>
    <col min="7859" max="7859" width="10.1796875" bestFit="1" customWidth="1"/>
    <col min="7860" max="7860" width="7.453125" bestFit="1" customWidth="1"/>
    <col min="7861" max="7861" width="10.1796875" bestFit="1" customWidth="1"/>
    <col min="7862" max="7862" width="7.453125" bestFit="1" customWidth="1"/>
    <col min="7863" max="7863" width="10.1796875" bestFit="1" customWidth="1"/>
    <col min="7864" max="7864" width="7.453125" bestFit="1" customWidth="1"/>
    <col min="7865" max="7865" width="10.1796875" bestFit="1" customWidth="1"/>
    <col min="7866" max="7866" width="7.453125" bestFit="1" customWidth="1"/>
    <col min="7867" max="7867" width="10.1796875" bestFit="1" customWidth="1"/>
    <col min="7868" max="7868" width="7.453125" bestFit="1" customWidth="1"/>
    <col min="7869" max="7869" width="10.1796875" bestFit="1" customWidth="1"/>
    <col min="7870" max="7870" width="7.453125" bestFit="1" customWidth="1"/>
    <col min="7871" max="7871" width="10.1796875" bestFit="1" customWidth="1"/>
    <col min="7872" max="7872" width="7.453125" bestFit="1" customWidth="1"/>
    <col min="7873" max="7873" width="10.1796875" bestFit="1" customWidth="1"/>
    <col min="7874" max="7874" width="7.453125" bestFit="1" customWidth="1"/>
    <col min="7875" max="7875" width="10.1796875" bestFit="1" customWidth="1"/>
    <col min="7876" max="7876" width="7.453125" bestFit="1" customWidth="1"/>
    <col min="7877" max="7877" width="10.1796875" bestFit="1" customWidth="1"/>
    <col min="7878" max="7878" width="7.453125" bestFit="1" customWidth="1"/>
    <col min="7879" max="7879" width="10.1796875" bestFit="1" customWidth="1"/>
    <col min="7880" max="7880" width="7.453125" bestFit="1" customWidth="1"/>
    <col min="7881" max="7881" width="10.1796875" bestFit="1" customWidth="1"/>
    <col min="7882" max="7882" width="7.453125" bestFit="1" customWidth="1"/>
    <col min="7883" max="7883" width="10.1796875" bestFit="1" customWidth="1"/>
    <col min="7884" max="7884" width="7.453125" bestFit="1" customWidth="1"/>
    <col min="7885" max="7885" width="10.1796875" bestFit="1" customWidth="1"/>
    <col min="7886" max="7886" width="7.453125" bestFit="1" customWidth="1"/>
    <col min="7887" max="7887" width="10.1796875" bestFit="1" customWidth="1"/>
    <col min="7888" max="7888" width="7.453125" bestFit="1" customWidth="1"/>
    <col min="7889" max="7889" width="10.1796875" bestFit="1" customWidth="1"/>
    <col min="7890" max="7890" width="7.453125" bestFit="1" customWidth="1"/>
    <col min="7891" max="7891" width="10.1796875" bestFit="1" customWidth="1"/>
    <col min="7892" max="7892" width="7.453125" bestFit="1" customWidth="1"/>
    <col min="7893" max="7893" width="10.1796875" bestFit="1" customWidth="1"/>
    <col min="7894" max="7894" width="7.453125" bestFit="1" customWidth="1"/>
    <col min="7895" max="7895" width="10.1796875" bestFit="1" customWidth="1"/>
    <col min="7896" max="7896" width="7.453125" bestFit="1" customWidth="1"/>
    <col min="7897" max="7897" width="10.1796875" bestFit="1" customWidth="1"/>
    <col min="7898" max="7898" width="7.453125" bestFit="1" customWidth="1"/>
    <col min="7899" max="7899" width="10.1796875" bestFit="1" customWidth="1"/>
    <col min="7900" max="7900" width="7.453125" bestFit="1" customWidth="1"/>
    <col min="7901" max="7901" width="10.1796875" bestFit="1" customWidth="1"/>
    <col min="7902" max="7902" width="7.453125" bestFit="1" customWidth="1"/>
    <col min="7903" max="7903" width="10.1796875" bestFit="1" customWidth="1"/>
    <col min="7904" max="7904" width="7.453125" bestFit="1" customWidth="1"/>
    <col min="7905" max="7905" width="10.1796875" bestFit="1" customWidth="1"/>
    <col min="7906" max="7906" width="7.453125" bestFit="1" customWidth="1"/>
    <col min="7907" max="7907" width="10.1796875" bestFit="1" customWidth="1"/>
    <col min="7908" max="7908" width="7.453125" bestFit="1" customWidth="1"/>
    <col min="7909" max="7909" width="10.1796875" bestFit="1" customWidth="1"/>
    <col min="7910" max="7910" width="7.453125" bestFit="1" customWidth="1"/>
    <col min="7911" max="7911" width="10.1796875" bestFit="1" customWidth="1"/>
    <col min="7912" max="7912" width="7.453125" bestFit="1" customWidth="1"/>
    <col min="7913" max="7913" width="10.1796875" bestFit="1" customWidth="1"/>
    <col min="7914" max="7914" width="7.453125" bestFit="1" customWidth="1"/>
    <col min="7915" max="7915" width="10.1796875" bestFit="1" customWidth="1"/>
    <col min="7916" max="7916" width="7.453125" bestFit="1" customWidth="1"/>
    <col min="7917" max="7917" width="10.1796875" bestFit="1" customWidth="1"/>
    <col min="7918" max="7918" width="7.453125" bestFit="1" customWidth="1"/>
    <col min="7919" max="7919" width="10.1796875" bestFit="1" customWidth="1"/>
    <col min="7920" max="7920" width="7.453125" bestFit="1" customWidth="1"/>
    <col min="7921" max="7921" width="10.1796875" bestFit="1" customWidth="1"/>
    <col min="7922" max="7922" width="7.453125" bestFit="1" customWidth="1"/>
    <col min="7923" max="7923" width="10.1796875" bestFit="1" customWidth="1"/>
    <col min="7924" max="7924" width="7.453125" bestFit="1" customWidth="1"/>
    <col min="7925" max="7925" width="10.1796875" bestFit="1" customWidth="1"/>
    <col min="7926" max="7926" width="7.453125" bestFit="1" customWidth="1"/>
    <col min="7927" max="7927" width="10.1796875" bestFit="1" customWidth="1"/>
    <col min="7928" max="7928" width="7.453125" bestFit="1" customWidth="1"/>
    <col min="7929" max="7929" width="10.1796875" bestFit="1" customWidth="1"/>
    <col min="7930" max="7930" width="7.453125" bestFit="1" customWidth="1"/>
    <col min="7931" max="7931" width="10.1796875" bestFit="1" customWidth="1"/>
    <col min="7932" max="7932" width="7.453125" bestFit="1" customWidth="1"/>
    <col min="7933" max="7933" width="10.1796875" bestFit="1" customWidth="1"/>
    <col min="7934" max="7934" width="7.453125" bestFit="1" customWidth="1"/>
    <col min="7935" max="7935" width="10.1796875" bestFit="1" customWidth="1"/>
    <col min="7936" max="7936" width="7.453125" bestFit="1" customWidth="1"/>
    <col min="7937" max="7937" width="10.1796875" bestFit="1" customWidth="1"/>
    <col min="7938" max="7938" width="7.453125" bestFit="1" customWidth="1"/>
    <col min="7939" max="7939" width="10.1796875" bestFit="1" customWidth="1"/>
    <col min="7940" max="7940" width="7.453125" bestFit="1" customWidth="1"/>
    <col min="7941" max="7941" width="10.1796875" bestFit="1" customWidth="1"/>
    <col min="7942" max="7942" width="7.453125" bestFit="1" customWidth="1"/>
    <col min="7943" max="7943" width="10.1796875" bestFit="1" customWidth="1"/>
    <col min="7944" max="7944" width="7.453125" bestFit="1" customWidth="1"/>
    <col min="7945" max="7945" width="10.1796875" bestFit="1" customWidth="1"/>
    <col min="7946" max="7946" width="7.453125" bestFit="1" customWidth="1"/>
    <col min="7947" max="7947" width="10.1796875" bestFit="1" customWidth="1"/>
    <col min="7948" max="7948" width="7.453125" bestFit="1" customWidth="1"/>
    <col min="7949" max="7949" width="10.1796875" bestFit="1" customWidth="1"/>
    <col min="7950" max="7950" width="7.453125" bestFit="1" customWidth="1"/>
    <col min="7951" max="7951" width="10.1796875" bestFit="1" customWidth="1"/>
    <col min="7952" max="7952" width="7.453125" bestFit="1" customWidth="1"/>
    <col min="7953" max="7953" width="10.1796875" bestFit="1" customWidth="1"/>
    <col min="7954" max="7954" width="7.453125" bestFit="1" customWidth="1"/>
    <col min="7955" max="7955" width="10.1796875" bestFit="1" customWidth="1"/>
    <col min="7956" max="7956" width="7.453125" bestFit="1" customWidth="1"/>
    <col min="7957" max="7957" width="10.1796875" bestFit="1" customWidth="1"/>
    <col min="7958" max="7958" width="7.453125" bestFit="1" customWidth="1"/>
    <col min="7959" max="7959" width="10.1796875" bestFit="1" customWidth="1"/>
    <col min="7960" max="7960" width="7.453125" bestFit="1" customWidth="1"/>
    <col min="7961" max="7961" width="10.1796875" bestFit="1" customWidth="1"/>
    <col min="7962" max="7962" width="7.453125" bestFit="1" customWidth="1"/>
    <col min="7963" max="7963" width="10.1796875" bestFit="1" customWidth="1"/>
    <col min="7964" max="7964" width="7.453125" bestFit="1" customWidth="1"/>
    <col min="7965" max="7965" width="10.1796875" bestFit="1" customWidth="1"/>
    <col min="7966" max="7966" width="7.453125" bestFit="1" customWidth="1"/>
    <col min="7967" max="7967" width="10.1796875" bestFit="1" customWidth="1"/>
    <col min="7968" max="7968" width="7.453125" bestFit="1" customWidth="1"/>
    <col min="7969" max="7969" width="10.1796875" bestFit="1" customWidth="1"/>
    <col min="7970" max="7970" width="7.453125" bestFit="1" customWidth="1"/>
    <col min="7971" max="7971" width="10.1796875" bestFit="1" customWidth="1"/>
    <col min="7972" max="7972" width="7.453125" bestFit="1" customWidth="1"/>
    <col min="7973" max="7973" width="10.1796875" bestFit="1" customWidth="1"/>
    <col min="7974" max="7974" width="7.453125" bestFit="1" customWidth="1"/>
    <col min="7975" max="7975" width="10.1796875" bestFit="1" customWidth="1"/>
    <col min="7976" max="7976" width="7.453125" bestFit="1" customWidth="1"/>
    <col min="7977" max="7977" width="10.1796875" bestFit="1" customWidth="1"/>
    <col min="7978" max="7978" width="7.453125" bestFit="1" customWidth="1"/>
    <col min="7979" max="7979" width="10.1796875" bestFit="1" customWidth="1"/>
    <col min="7980" max="7980" width="7.453125" bestFit="1" customWidth="1"/>
    <col min="7981" max="7981" width="10.1796875" bestFit="1" customWidth="1"/>
    <col min="7982" max="7982" width="7.453125" bestFit="1" customWidth="1"/>
    <col min="7983" max="7983" width="10.1796875" bestFit="1" customWidth="1"/>
    <col min="7984" max="7984" width="7.453125" bestFit="1" customWidth="1"/>
    <col min="7985" max="7985" width="10.1796875" bestFit="1" customWidth="1"/>
    <col min="7986" max="7986" width="7.453125" bestFit="1" customWidth="1"/>
    <col min="7987" max="7987" width="10.1796875" bestFit="1" customWidth="1"/>
    <col min="7988" max="7988" width="7.453125" bestFit="1" customWidth="1"/>
    <col min="7989" max="7989" width="10.1796875" bestFit="1" customWidth="1"/>
    <col min="7990" max="7990" width="7.453125" bestFit="1" customWidth="1"/>
    <col min="7991" max="7991" width="10.1796875" bestFit="1" customWidth="1"/>
    <col min="7992" max="7992" width="7.453125" bestFit="1" customWidth="1"/>
    <col min="7993" max="7993" width="10.1796875" bestFit="1" customWidth="1"/>
    <col min="7994" max="7994" width="7.453125" bestFit="1" customWidth="1"/>
    <col min="7995" max="7995" width="10.1796875" bestFit="1" customWidth="1"/>
    <col min="7996" max="7996" width="7.453125" bestFit="1" customWidth="1"/>
    <col min="7997" max="7997" width="10.1796875" bestFit="1" customWidth="1"/>
    <col min="7998" max="7998" width="7.453125" bestFit="1" customWidth="1"/>
    <col min="7999" max="7999" width="10.1796875" bestFit="1" customWidth="1"/>
    <col min="8000" max="8000" width="7.453125" bestFit="1" customWidth="1"/>
    <col min="8001" max="8001" width="10.1796875" bestFit="1" customWidth="1"/>
    <col min="8002" max="8002" width="7.453125" bestFit="1" customWidth="1"/>
    <col min="8003" max="8003" width="10.1796875" bestFit="1" customWidth="1"/>
    <col min="8004" max="8004" width="7.453125" bestFit="1" customWidth="1"/>
    <col min="8005" max="8005" width="10.1796875" bestFit="1" customWidth="1"/>
    <col min="8006" max="8006" width="8.453125" bestFit="1" customWidth="1"/>
    <col min="8007" max="8007" width="11.1796875" bestFit="1" customWidth="1"/>
    <col min="8008" max="8008" width="8.453125" bestFit="1" customWidth="1"/>
    <col min="8009" max="8009" width="11.1796875" bestFit="1" customWidth="1"/>
    <col min="8010" max="8010" width="8.453125" bestFit="1" customWidth="1"/>
    <col min="8011" max="8011" width="11.1796875" bestFit="1" customWidth="1"/>
    <col min="8012" max="8012" width="8.453125" bestFit="1" customWidth="1"/>
    <col min="8013" max="8013" width="11.1796875" bestFit="1" customWidth="1"/>
    <col min="8014" max="8014" width="8.453125" bestFit="1" customWidth="1"/>
    <col min="8015" max="8015" width="11.1796875" bestFit="1" customWidth="1"/>
    <col min="8016" max="8016" width="8.453125" bestFit="1" customWidth="1"/>
    <col min="8017" max="8017" width="11.1796875" bestFit="1" customWidth="1"/>
    <col min="8018" max="8018" width="8.453125" bestFit="1" customWidth="1"/>
    <col min="8019" max="8019" width="11.1796875" bestFit="1" customWidth="1"/>
    <col min="8020" max="8020" width="8.453125" bestFit="1" customWidth="1"/>
    <col min="8021" max="8021" width="11.1796875" bestFit="1" customWidth="1"/>
    <col min="8022" max="8022" width="8.453125" bestFit="1" customWidth="1"/>
    <col min="8023" max="8023" width="11.1796875" bestFit="1" customWidth="1"/>
    <col min="8024" max="8024" width="8.453125" bestFit="1" customWidth="1"/>
    <col min="8025" max="8025" width="11.1796875" bestFit="1" customWidth="1"/>
    <col min="8026" max="8026" width="8.453125" bestFit="1" customWidth="1"/>
    <col min="8027" max="8027" width="11.1796875" bestFit="1" customWidth="1"/>
    <col min="8028" max="8028" width="8.453125" bestFit="1" customWidth="1"/>
    <col min="8029" max="8029" width="11.1796875" bestFit="1" customWidth="1"/>
    <col min="8030" max="8030" width="8.453125" bestFit="1" customWidth="1"/>
    <col min="8031" max="8031" width="11.1796875" bestFit="1" customWidth="1"/>
    <col min="8032" max="8032" width="8.453125" bestFit="1" customWidth="1"/>
    <col min="8033" max="8033" width="11.1796875" bestFit="1" customWidth="1"/>
    <col min="8034" max="8034" width="8.453125" bestFit="1" customWidth="1"/>
    <col min="8035" max="8035" width="11.1796875" bestFit="1" customWidth="1"/>
    <col min="8036" max="8036" width="8.453125" bestFit="1" customWidth="1"/>
    <col min="8037" max="8037" width="11.1796875" bestFit="1" customWidth="1"/>
    <col min="8038" max="8038" width="8.453125" bestFit="1" customWidth="1"/>
    <col min="8039" max="8039" width="11.1796875" bestFit="1" customWidth="1"/>
    <col min="8040" max="8040" width="8.453125" bestFit="1" customWidth="1"/>
    <col min="8041" max="8041" width="11.1796875" bestFit="1" customWidth="1"/>
    <col min="8042" max="8042" width="8.453125" bestFit="1" customWidth="1"/>
    <col min="8043" max="8043" width="11.1796875" bestFit="1" customWidth="1"/>
    <col min="8044" max="8044" width="8.453125" bestFit="1" customWidth="1"/>
    <col min="8045" max="8045" width="11.1796875" bestFit="1" customWidth="1"/>
    <col min="8046" max="8046" width="8.453125" bestFit="1" customWidth="1"/>
    <col min="8047" max="8047" width="11.1796875" bestFit="1" customWidth="1"/>
    <col min="8048" max="8048" width="8.453125" bestFit="1" customWidth="1"/>
    <col min="8049" max="8049" width="11.1796875" bestFit="1" customWidth="1"/>
    <col min="8050" max="8050" width="8.453125" bestFit="1" customWidth="1"/>
    <col min="8051" max="8051" width="11.1796875" bestFit="1" customWidth="1"/>
    <col min="8052" max="8052" width="8.453125" bestFit="1" customWidth="1"/>
    <col min="8053" max="8053" width="11.1796875" bestFit="1" customWidth="1"/>
    <col min="8054" max="8054" width="8.453125" bestFit="1" customWidth="1"/>
    <col min="8055" max="8055" width="11.1796875" bestFit="1" customWidth="1"/>
    <col min="8056" max="8056" width="8.453125" bestFit="1" customWidth="1"/>
    <col min="8057" max="8057" width="11.1796875" bestFit="1" customWidth="1"/>
    <col min="8058" max="8058" width="8.453125" bestFit="1" customWidth="1"/>
    <col min="8059" max="8059" width="11.1796875" bestFit="1" customWidth="1"/>
    <col min="8060" max="8060" width="8.453125" bestFit="1" customWidth="1"/>
    <col min="8061" max="8061" width="11.1796875" bestFit="1" customWidth="1"/>
    <col min="8062" max="8062" width="8.453125" bestFit="1" customWidth="1"/>
    <col min="8063" max="8063" width="11.1796875" bestFit="1" customWidth="1"/>
    <col min="8064" max="8064" width="8.453125" bestFit="1" customWidth="1"/>
    <col min="8065" max="8065" width="11.1796875" bestFit="1" customWidth="1"/>
    <col min="8066" max="8066" width="8.453125" bestFit="1" customWidth="1"/>
    <col min="8067" max="8067" width="11.1796875" bestFit="1" customWidth="1"/>
    <col min="8068" max="8068" width="8.453125" bestFit="1" customWidth="1"/>
    <col min="8069" max="8069" width="11.1796875" bestFit="1" customWidth="1"/>
    <col min="8070" max="8070" width="8.453125" bestFit="1" customWidth="1"/>
    <col min="8071" max="8071" width="11.1796875" bestFit="1" customWidth="1"/>
    <col min="8072" max="8072" width="8.453125" bestFit="1" customWidth="1"/>
    <col min="8073" max="8073" width="11.1796875" bestFit="1" customWidth="1"/>
    <col min="8074" max="8074" width="8.453125" bestFit="1" customWidth="1"/>
    <col min="8075" max="8075" width="11.1796875" bestFit="1" customWidth="1"/>
    <col min="8076" max="8076" width="8.453125" bestFit="1" customWidth="1"/>
    <col min="8077" max="8077" width="11.1796875" bestFit="1" customWidth="1"/>
    <col min="8078" max="8078" width="8.453125" bestFit="1" customWidth="1"/>
    <col min="8079" max="8079" width="11.1796875" bestFit="1" customWidth="1"/>
    <col min="8080" max="8080" width="8.453125" bestFit="1" customWidth="1"/>
    <col min="8081" max="8081" width="11.1796875" bestFit="1" customWidth="1"/>
    <col min="8082" max="8082" width="8.453125" bestFit="1" customWidth="1"/>
    <col min="8083" max="8083" width="5.6796875" bestFit="1" customWidth="1"/>
    <col min="8084" max="8084" width="11.1796875" bestFit="1" customWidth="1"/>
    <col min="8085" max="8085" width="8.453125" bestFit="1" customWidth="1"/>
    <col min="8086" max="8086" width="11.1796875" bestFit="1" customWidth="1"/>
    <col min="8087" max="8087" width="8.453125" bestFit="1" customWidth="1"/>
    <col min="8088" max="8088" width="11.1796875" bestFit="1" customWidth="1"/>
    <col min="8089" max="8089" width="8.453125" bestFit="1" customWidth="1"/>
    <col min="8090" max="8090" width="11.1796875" bestFit="1" customWidth="1"/>
    <col min="8091" max="8091" width="8.453125" bestFit="1" customWidth="1"/>
    <col min="8092" max="8092" width="11.1796875" bestFit="1" customWidth="1"/>
    <col min="8093" max="8093" width="8.453125" bestFit="1" customWidth="1"/>
    <col min="8094" max="8094" width="11.1796875" bestFit="1" customWidth="1"/>
    <col min="8095" max="8095" width="8.453125" bestFit="1" customWidth="1"/>
    <col min="8096" max="8096" width="11.1796875" bestFit="1" customWidth="1"/>
    <col min="8097" max="8097" width="8.453125" bestFit="1" customWidth="1"/>
    <col min="8098" max="8098" width="11.1796875" bestFit="1" customWidth="1"/>
    <col min="8099" max="8099" width="8.453125" bestFit="1" customWidth="1"/>
    <col min="8100" max="8100" width="11.1796875" bestFit="1" customWidth="1"/>
    <col min="8101" max="8101" width="8.453125" bestFit="1" customWidth="1"/>
    <col min="8102" max="8102" width="11.1796875" bestFit="1" customWidth="1"/>
    <col min="8103" max="8103" width="8.453125" bestFit="1" customWidth="1"/>
    <col min="8104" max="8104" width="11.1796875" bestFit="1" customWidth="1"/>
    <col min="8105" max="8105" width="8.453125" bestFit="1" customWidth="1"/>
    <col min="8106" max="8106" width="11.1796875" bestFit="1" customWidth="1"/>
    <col min="8107" max="8107" width="8.453125" bestFit="1" customWidth="1"/>
    <col min="8108" max="8108" width="11.1796875" bestFit="1" customWidth="1"/>
    <col min="8109" max="8109" width="8.453125" bestFit="1" customWidth="1"/>
    <col min="8110" max="8110" width="11.1796875" bestFit="1" customWidth="1"/>
    <col min="8111" max="8111" width="8.453125" bestFit="1" customWidth="1"/>
    <col min="8112" max="8112" width="5.6796875" bestFit="1" customWidth="1"/>
    <col min="8113" max="8113" width="11.1796875" bestFit="1" customWidth="1"/>
    <col min="8114" max="8114" width="8.453125" bestFit="1" customWidth="1"/>
    <col min="8115" max="8115" width="11.1796875" bestFit="1" customWidth="1"/>
    <col min="8116" max="8116" width="8.453125" bestFit="1" customWidth="1"/>
    <col min="8117" max="8117" width="11.1796875" bestFit="1" customWidth="1"/>
    <col min="8118" max="8118" width="8.453125" bestFit="1" customWidth="1"/>
    <col min="8119" max="8119" width="11.1796875" bestFit="1" customWidth="1"/>
    <col min="8120" max="8120" width="8.453125" bestFit="1" customWidth="1"/>
    <col min="8121" max="8121" width="11.1796875" bestFit="1" customWidth="1"/>
    <col min="8122" max="8122" width="8.453125" bestFit="1" customWidth="1"/>
    <col min="8123" max="8123" width="11.1796875" bestFit="1" customWidth="1"/>
    <col min="8124" max="8124" width="8.453125" bestFit="1" customWidth="1"/>
    <col min="8125" max="8125" width="11.1796875" bestFit="1" customWidth="1"/>
    <col min="8126" max="8126" width="8.453125" bestFit="1" customWidth="1"/>
    <col min="8127" max="8127" width="11.1796875" bestFit="1" customWidth="1"/>
    <col min="8128" max="8128" width="8.453125" bestFit="1" customWidth="1"/>
    <col min="8129" max="8129" width="11.1796875" bestFit="1" customWidth="1"/>
    <col min="8130" max="8130" width="8.453125" bestFit="1" customWidth="1"/>
    <col min="8131" max="8131" width="11.1796875" bestFit="1" customWidth="1"/>
    <col min="8132" max="8132" width="8.453125" bestFit="1" customWidth="1"/>
    <col min="8133" max="8133" width="11.1796875" bestFit="1" customWidth="1"/>
    <col min="8134" max="8134" width="8.453125" bestFit="1" customWidth="1"/>
    <col min="8135" max="8135" width="11.1796875" bestFit="1" customWidth="1"/>
    <col min="8136" max="8136" width="8.453125" bestFit="1" customWidth="1"/>
    <col min="8137" max="8137" width="11.1796875" bestFit="1" customWidth="1"/>
    <col min="8138" max="8138" width="8.453125" bestFit="1" customWidth="1"/>
    <col min="8139" max="8139" width="11.1796875" bestFit="1" customWidth="1"/>
    <col min="8140" max="8140" width="8.453125" bestFit="1" customWidth="1"/>
    <col min="8141" max="8141" width="11.1796875" bestFit="1" customWidth="1"/>
    <col min="8142" max="8142" width="8.453125" bestFit="1" customWidth="1"/>
    <col min="8143" max="8143" width="11.1796875" bestFit="1" customWidth="1"/>
    <col min="8144" max="8144" width="8.453125" bestFit="1" customWidth="1"/>
    <col min="8145" max="8145" width="11.1796875" bestFit="1" customWidth="1"/>
    <col min="8146" max="8146" width="8.453125" bestFit="1" customWidth="1"/>
    <col min="8147" max="8147" width="11.1796875" bestFit="1" customWidth="1"/>
    <col min="8148" max="8148" width="8.453125" bestFit="1" customWidth="1"/>
    <col min="8149" max="8149" width="11.1796875" bestFit="1" customWidth="1"/>
    <col min="8150" max="8150" width="8.453125" bestFit="1" customWidth="1"/>
    <col min="8151" max="8151" width="11.1796875" bestFit="1" customWidth="1"/>
    <col min="8152" max="8152" width="8.453125" bestFit="1" customWidth="1"/>
    <col min="8153" max="8153" width="11.1796875" bestFit="1" customWidth="1"/>
    <col min="8154" max="8154" width="8.453125" bestFit="1" customWidth="1"/>
    <col min="8155" max="8155" width="11.1796875" bestFit="1" customWidth="1"/>
    <col min="8156" max="8156" width="8.453125" bestFit="1" customWidth="1"/>
    <col min="8157" max="8157" width="11.1796875" bestFit="1" customWidth="1"/>
    <col min="8158" max="8158" width="8.453125" bestFit="1" customWidth="1"/>
    <col min="8159" max="8159" width="11.1796875" bestFit="1" customWidth="1"/>
    <col min="8160" max="8160" width="8.453125" bestFit="1" customWidth="1"/>
    <col min="8161" max="8161" width="11.1796875" bestFit="1" customWidth="1"/>
    <col min="8162" max="8162" width="8.453125" bestFit="1" customWidth="1"/>
    <col min="8163" max="8163" width="11.1796875" bestFit="1" customWidth="1"/>
    <col min="8164" max="8164" width="8.453125" bestFit="1" customWidth="1"/>
    <col min="8165" max="8165" width="11.1796875" bestFit="1" customWidth="1"/>
    <col min="8166" max="8166" width="8.453125" bestFit="1" customWidth="1"/>
    <col min="8167" max="8167" width="11.1796875" bestFit="1" customWidth="1"/>
    <col min="8168" max="8168" width="8.453125" bestFit="1" customWidth="1"/>
    <col min="8169" max="8169" width="11.1796875" bestFit="1" customWidth="1"/>
    <col min="8170" max="8170" width="8.453125" bestFit="1" customWidth="1"/>
    <col min="8171" max="8171" width="11.1796875" bestFit="1" customWidth="1"/>
    <col min="8172" max="8172" width="8.453125" bestFit="1" customWidth="1"/>
    <col min="8173" max="8173" width="11.1796875" bestFit="1" customWidth="1"/>
    <col min="8174" max="8174" width="8.453125" bestFit="1" customWidth="1"/>
    <col min="8175" max="8175" width="11.1796875" bestFit="1" customWidth="1"/>
    <col min="8176" max="8176" width="8.453125" bestFit="1" customWidth="1"/>
    <col min="8177" max="8177" width="11.1796875" bestFit="1" customWidth="1"/>
    <col min="8178" max="8178" width="8.453125" bestFit="1" customWidth="1"/>
    <col min="8179" max="8179" width="11.1796875" bestFit="1" customWidth="1"/>
    <col min="8180" max="8180" width="8.453125" bestFit="1" customWidth="1"/>
    <col min="8181" max="8181" width="11.1796875" bestFit="1" customWidth="1"/>
    <col min="8182" max="8182" width="8.453125" bestFit="1" customWidth="1"/>
    <col min="8183" max="8183" width="11.1796875" bestFit="1" customWidth="1"/>
    <col min="8184" max="8184" width="8.453125" bestFit="1" customWidth="1"/>
    <col min="8185" max="8185" width="11.1796875" bestFit="1" customWidth="1"/>
    <col min="8186" max="8186" width="8.453125" bestFit="1" customWidth="1"/>
    <col min="8187" max="8187" width="11.1796875" bestFit="1" customWidth="1"/>
    <col min="8188" max="8188" width="8.453125" bestFit="1" customWidth="1"/>
    <col min="8189" max="8189" width="11.1796875" bestFit="1" customWidth="1"/>
    <col min="8190" max="8190" width="8.453125" bestFit="1" customWidth="1"/>
    <col min="8191" max="8191" width="11.1796875" bestFit="1" customWidth="1"/>
    <col min="8192" max="8192" width="8.453125" bestFit="1" customWidth="1"/>
    <col min="8193" max="8193" width="11.1796875" bestFit="1" customWidth="1"/>
    <col min="8194" max="8194" width="8.453125" bestFit="1" customWidth="1"/>
    <col min="8195" max="8195" width="11.1796875" bestFit="1" customWidth="1"/>
    <col min="8196" max="8196" width="8.453125" bestFit="1" customWidth="1"/>
    <col min="8197" max="8197" width="11.1796875" bestFit="1" customWidth="1"/>
    <col min="8198" max="8198" width="8.453125" bestFit="1" customWidth="1"/>
    <col min="8199" max="8199" width="11.1796875" bestFit="1" customWidth="1"/>
    <col min="8200" max="8200" width="8.453125" bestFit="1" customWidth="1"/>
    <col min="8201" max="8201" width="11.1796875" bestFit="1" customWidth="1"/>
    <col min="8202" max="8202" width="8.453125" bestFit="1" customWidth="1"/>
    <col min="8203" max="8203" width="11.1796875" bestFit="1" customWidth="1"/>
    <col min="8204" max="8204" width="8.453125" bestFit="1" customWidth="1"/>
    <col min="8205" max="8205" width="11.1796875" bestFit="1" customWidth="1"/>
    <col min="8206" max="8206" width="8.453125" bestFit="1" customWidth="1"/>
    <col min="8207" max="8207" width="11.1796875" bestFit="1" customWidth="1"/>
    <col min="8208" max="8208" width="8.453125" bestFit="1" customWidth="1"/>
    <col min="8209" max="8209" width="11.1796875" bestFit="1" customWidth="1"/>
    <col min="8210" max="8210" width="8.453125" bestFit="1" customWidth="1"/>
    <col min="8211" max="8211" width="11.1796875" bestFit="1" customWidth="1"/>
    <col min="8212" max="8212" width="8.453125" bestFit="1" customWidth="1"/>
    <col min="8213" max="8213" width="11.1796875" bestFit="1" customWidth="1"/>
    <col min="8214" max="8214" width="8.453125" bestFit="1" customWidth="1"/>
    <col min="8215" max="8215" width="11.1796875" bestFit="1" customWidth="1"/>
    <col min="8216" max="8216" width="8.453125" bestFit="1" customWidth="1"/>
    <col min="8217" max="8217" width="11.1796875" bestFit="1" customWidth="1"/>
    <col min="8218" max="8218" width="8.453125" bestFit="1" customWidth="1"/>
    <col min="8219" max="8219" width="11.1796875" bestFit="1" customWidth="1"/>
    <col min="8220" max="8220" width="8.453125" bestFit="1" customWidth="1"/>
    <col min="8221" max="8221" width="11.1796875" bestFit="1" customWidth="1"/>
    <col min="8222" max="8222" width="8.453125" bestFit="1" customWidth="1"/>
    <col min="8223" max="8223" width="11.1796875" bestFit="1" customWidth="1"/>
    <col min="8224" max="8224" width="8.453125" bestFit="1" customWidth="1"/>
    <col min="8225" max="8225" width="11.1796875" bestFit="1" customWidth="1"/>
    <col min="8226" max="8226" width="8.453125" bestFit="1" customWidth="1"/>
    <col min="8227" max="8227" width="11.1796875" bestFit="1" customWidth="1"/>
    <col min="8228" max="8228" width="8.453125" bestFit="1" customWidth="1"/>
    <col min="8229" max="8229" width="11.1796875" bestFit="1" customWidth="1"/>
    <col min="8230" max="8230" width="8.453125" bestFit="1" customWidth="1"/>
    <col min="8231" max="8231" width="11.1796875" bestFit="1" customWidth="1"/>
    <col min="8232" max="8232" width="8.453125" bestFit="1" customWidth="1"/>
    <col min="8233" max="8233" width="11.1796875" bestFit="1" customWidth="1"/>
    <col min="8234" max="8234" width="8.453125" bestFit="1" customWidth="1"/>
    <col min="8235" max="8235" width="11.1796875" bestFit="1" customWidth="1"/>
    <col min="8236" max="8236" width="8.453125" bestFit="1" customWidth="1"/>
    <col min="8237" max="8237" width="11.1796875" bestFit="1" customWidth="1"/>
    <col min="8238" max="8238" width="8.453125" bestFit="1" customWidth="1"/>
    <col min="8239" max="8239" width="11.1796875" bestFit="1" customWidth="1"/>
    <col min="8240" max="8240" width="8.453125" bestFit="1" customWidth="1"/>
    <col min="8241" max="8241" width="11.1796875" bestFit="1" customWidth="1"/>
    <col min="8242" max="8242" width="8.453125" bestFit="1" customWidth="1"/>
    <col min="8243" max="8243" width="11.1796875" bestFit="1" customWidth="1"/>
    <col min="8244" max="8244" width="8.453125" bestFit="1" customWidth="1"/>
    <col min="8245" max="8245" width="11.1796875" bestFit="1" customWidth="1"/>
    <col min="8246" max="8246" width="8.453125" bestFit="1" customWidth="1"/>
    <col min="8247" max="8247" width="11.1796875" bestFit="1" customWidth="1"/>
    <col min="8248" max="8248" width="8.453125" bestFit="1" customWidth="1"/>
    <col min="8249" max="8249" width="11.1796875" bestFit="1" customWidth="1"/>
    <col min="8250" max="8250" width="8.453125" bestFit="1" customWidth="1"/>
    <col min="8251" max="8251" width="11.1796875" bestFit="1" customWidth="1"/>
    <col min="8252" max="8252" width="8.453125" bestFit="1" customWidth="1"/>
    <col min="8253" max="8253" width="11.1796875" bestFit="1" customWidth="1"/>
    <col min="8254" max="8254" width="8.453125" bestFit="1" customWidth="1"/>
    <col min="8255" max="8255" width="11.1796875" bestFit="1" customWidth="1"/>
    <col min="8256" max="8256" width="8.453125" bestFit="1" customWidth="1"/>
    <col min="8257" max="8257" width="11.1796875" bestFit="1" customWidth="1"/>
    <col min="8258" max="8258" width="8.453125" bestFit="1" customWidth="1"/>
    <col min="8259" max="8259" width="11.1796875" bestFit="1" customWidth="1"/>
    <col min="8260" max="8260" width="8.453125" bestFit="1" customWidth="1"/>
    <col min="8261" max="8261" width="11.1796875" bestFit="1" customWidth="1"/>
    <col min="8262" max="8262" width="8.453125" bestFit="1" customWidth="1"/>
    <col min="8263" max="8263" width="11.1796875" bestFit="1" customWidth="1"/>
    <col min="8264" max="8264" width="8.453125" bestFit="1" customWidth="1"/>
    <col min="8265" max="8265" width="11.1796875" bestFit="1" customWidth="1"/>
    <col min="8266" max="8266" width="8.453125" bestFit="1" customWidth="1"/>
    <col min="8267" max="8267" width="11.1796875" bestFit="1" customWidth="1"/>
    <col min="8268" max="8268" width="8.453125" bestFit="1" customWidth="1"/>
    <col min="8269" max="8269" width="11.1796875" bestFit="1" customWidth="1"/>
    <col min="8270" max="8270" width="8.453125" bestFit="1" customWidth="1"/>
    <col min="8271" max="8271" width="11.1796875" bestFit="1" customWidth="1"/>
    <col min="8272" max="8272" width="8.453125" bestFit="1" customWidth="1"/>
    <col min="8273" max="8273" width="11.1796875" bestFit="1" customWidth="1"/>
    <col min="8274" max="8274" width="8.453125" bestFit="1" customWidth="1"/>
    <col min="8275" max="8275" width="11.1796875" bestFit="1" customWidth="1"/>
    <col min="8276" max="8276" width="8.453125" bestFit="1" customWidth="1"/>
    <col min="8277" max="8277" width="11.1796875" bestFit="1" customWidth="1"/>
    <col min="8278" max="8278" width="8.453125" bestFit="1" customWidth="1"/>
    <col min="8279" max="8279" width="11.1796875" bestFit="1" customWidth="1"/>
    <col min="8280" max="8280" width="8.453125" bestFit="1" customWidth="1"/>
    <col min="8281" max="8281" width="11.1796875" bestFit="1" customWidth="1"/>
    <col min="8282" max="8282" width="8.453125" bestFit="1" customWidth="1"/>
    <col min="8283" max="8283" width="11.1796875" bestFit="1" customWidth="1"/>
    <col min="8284" max="8284" width="8.453125" bestFit="1" customWidth="1"/>
    <col min="8285" max="8285" width="11.1796875" bestFit="1" customWidth="1"/>
    <col min="8286" max="8286" width="8.453125" bestFit="1" customWidth="1"/>
    <col min="8287" max="8287" width="11.1796875" bestFit="1" customWidth="1"/>
    <col min="8288" max="8288" width="8.453125" bestFit="1" customWidth="1"/>
    <col min="8289" max="8289" width="11.1796875" bestFit="1" customWidth="1"/>
    <col min="8290" max="8290" width="8.453125" bestFit="1" customWidth="1"/>
    <col min="8291" max="8291" width="11.1796875" bestFit="1" customWidth="1"/>
    <col min="8292" max="8292" width="8.453125" bestFit="1" customWidth="1"/>
    <col min="8293" max="8293" width="11.1796875" bestFit="1" customWidth="1"/>
    <col min="8294" max="8294" width="8.453125" bestFit="1" customWidth="1"/>
    <col min="8295" max="8295" width="11.1796875" bestFit="1" customWidth="1"/>
    <col min="8296" max="8296" width="8.453125" bestFit="1" customWidth="1"/>
    <col min="8297" max="8297" width="11.1796875" bestFit="1" customWidth="1"/>
    <col min="8298" max="8298" width="8.453125" bestFit="1" customWidth="1"/>
    <col min="8299" max="8299" width="11.1796875" bestFit="1" customWidth="1"/>
    <col min="8300" max="8300" width="8.453125" bestFit="1" customWidth="1"/>
    <col min="8301" max="8301" width="11.1796875" bestFit="1" customWidth="1"/>
    <col min="8302" max="8302" width="8.453125" bestFit="1" customWidth="1"/>
    <col min="8303" max="8303" width="11.1796875" bestFit="1" customWidth="1"/>
    <col min="8304" max="8304" width="8.453125" bestFit="1" customWidth="1"/>
    <col min="8305" max="8305" width="11.1796875" bestFit="1" customWidth="1"/>
    <col min="8306" max="8306" width="8.453125" bestFit="1" customWidth="1"/>
    <col min="8307" max="8307" width="11.1796875" bestFit="1" customWidth="1"/>
    <col min="8308" max="8308" width="8.453125" bestFit="1" customWidth="1"/>
    <col min="8309" max="8309" width="11.1796875" bestFit="1" customWidth="1"/>
    <col min="8310" max="8310" width="8.453125" bestFit="1" customWidth="1"/>
    <col min="8311" max="8311" width="11.1796875" bestFit="1" customWidth="1"/>
    <col min="8312" max="8312" width="8.453125" bestFit="1" customWidth="1"/>
    <col min="8313" max="8313" width="11.1796875" bestFit="1" customWidth="1"/>
    <col min="8314" max="8314" width="8.453125" bestFit="1" customWidth="1"/>
    <col min="8315" max="8315" width="11.1796875" bestFit="1" customWidth="1"/>
    <col min="8316" max="8316" width="8.453125" bestFit="1" customWidth="1"/>
    <col min="8317" max="8317" width="11.1796875" bestFit="1" customWidth="1"/>
    <col min="8318" max="8318" width="8.453125" bestFit="1" customWidth="1"/>
    <col min="8319" max="8319" width="11.1796875" bestFit="1" customWidth="1"/>
    <col min="8320" max="8320" width="8.453125" bestFit="1" customWidth="1"/>
    <col min="8321" max="8321" width="11.1796875" bestFit="1" customWidth="1"/>
    <col min="8322" max="8322" width="8.453125" bestFit="1" customWidth="1"/>
    <col min="8323" max="8323" width="11.1796875" bestFit="1" customWidth="1"/>
    <col min="8324" max="8324" width="8.453125" bestFit="1" customWidth="1"/>
    <col min="8325" max="8325" width="11.1796875" bestFit="1" customWidth="1"/>
    <col min="8326" max="8326" width="8.453125" bestFit="1" customWidth="1"/>
    <col min="8327" max="8327" width="11.1796875" bestFit="1" customWidth="1"/>
    <col min="8328" max="8328" width="8.453125" bestFit="1" customWidth="1"/>
    <col min="8329" max="8329" width="11.1796875" bestFit="1" customWidth="1"/>
    <col min="8330" max="8330" width="8.453125" bestFit="1" customWidth="1"/>
    <col min="8331" max="8331" width="11.1796875" bestFit="1" customWidth="1"/>
    <col min="8332" max="8332" width="8.453125" bestFit="1" customWidth="1"/>
    <col min="8333" max="8333" width="11.1796875" bestFit="1" customWidth="1"/>
    <col min="8334" max="8334" width="8.453125" bestFit="1" customWidth="1"/>
    <col min="8335" max="8335" width="11.1796875" bestFit="1" customWidth="1"/>
    <col min="8336" max="8336" width="8.453125" bestFit="1" customWidth="1"/>
    <col min="8337" max="8337" width="11.1796875" bestFit="1" customWidth="1"/>
    <col min="8338" max="8338" width="8.453125" bestFit="1" customWidth="1"/>
    <col min="8339" max="8339" width="11.1796875" bestFit="1" customWidth="1"/>
    <col min="8340" max="8340" width="8.453125" bestFit="1" customWidth="1"/>
    <col min="8341" max="8341" width="11.1796875" bestFit="1" customWidth="1"/>
    <col min="8342" max="8342" width="8.453125" bestFit="1" customWidth="1"/>
    <col min="8343" max="8343" width="11.1796875" bestFit="1" customWidth="1"/>
    <col min="8344" max="8344" width="8.453125" bestFit="1" customWidth="1"/>
    <col min="8345" max="8345" width="11.1796875" bestFit="1" customWidth="1"/>
    <col min="8346" max="8346" width="8.453125" bestFit="1" customWidth="1"/>
    <col min="8347" max="8347" width="11.1796875" bestFit="1" customWidth="1"/>
    <col min="8348" max="8348" width="8.453125" bestFit="1" customWidth="1"/>
    <col min="8349" max="8349" width="11.1796875" bestFit="1" customWidth="1"/>
    <col min="8350" max="8350" width="8.453125" bestFit="1" customWidth="1"/>
    <col min="8351" max="8351" width="11.1796875" bestFit="1" customWidth="1"/>
    <col min="8352" max="8352" width="8.453125" bestFit="1" customWidth="1"/>
    <col min="8353" max="8353" width="11.1796875" bestFit="1" customWidth="1"/>
    <col min="8354" max="8354" width="8.453125" bestFit="1" customWidth="1"/>
    <col min="8355" max="8355" width="11.1796875" bestFit="1" customWidth="1"/>
    <col min="8356" max="8356" width="8.453125" bestFit="1" customWidth="1"/>
    <col min="8357" max="8357" width="11.1796875" bestFit="1" customWidth="1"/>
    <col min="8358" max="8358" width="8.453125" bestFit="1" customWidth="1"/>
    <col min="8359" max="8359" width="6.6796875" bestFit="1" customWidth="1"/>
    <col min="8360" max="8360" width="11.1796875" bestFit="1" customWidth="1"/>
    <col min="8361" max="8361" width="8.453125" bestFit="1" customWidth="1"/>
    <col min="8362" max="8362" width="11.1796875" bestFit="1" customWidth="1"/>
    <col min="8363" max="8363" width="8.453125" bestFit="1" customWidth="1"/>
    <col min="8364" max="8364" width="11.1796875" bestFit="1" customWidth="1"/>
    <col min="8365" max="8365" width="8.453125" bestFit="1" customWidth="1"/>
    <col min="8366" max="8366" width="11.1796875" bestFit="1" customWidth="1"/>
    <col min="8367" max="8367" width="8.453125" bestFit="1" customWidth="1"/>
    <col min="8368" max="8368" width="11.1796875" bestFit="1" customWidth="1"/>
    <col min="8369" max="8369" width="8.453125" bestFit="1" customWidth="1"/>
    <col min="8370" max="8370" width="11.1796875" bestFit="1" customWidth="1"/>
    <col min="8371" max="8371" width="8.453125" bestFit="1" customWidth="1"/>
    <col min="8372" max="8372" width="11.1796875" bestFit="1" customWidth="1"/>
    <col min="8373" max="8373" width="8.453125" bestFit="1" customWidth="1"/>
    <col min="8374" max="8374" width="11.1796875" bestFit="1" customWidth="1"/>
    <col min="8375" max="8375" width="8.453125" bestFit="1" customWidth="1"/>
    <col min="8376" max="8376" width="11.1796875" bestFit="1" customWidth="1"/>
    <col min="8377" max="8377" width="8.453125" bestFit="1" customWidth="1"/>
    <col min="8378" max="8378" width="11.1796875" bestFit="1" customWidth="1"/>
    <col min="8379" max="8379" width="8.453125" bestFit="1" customWidth="1"/>
    <col min="8380" max="8380" width="11.1796875" bestFit="1" customWidth="1"/>
    <col min="8381" max="8381" width="8.453125" bestFit="1" customWidth="1"/>
    <col min="8382" max="8382" width="11.1796875" bestFit="1" customWidth="1"/>
    <col min="8383" max="8383" width="8.453125" bestFit="1" customWidth="1"/>
    <col min="8384" max="8384" width="11.1796875" bestFit="1" customWidth="1"/>
    <col min="8385" max="8385" width="8.453125" bestFit="1" customWidth="1"/>
    <col min="8386" max="8386" width="11.1796875" bestFit="1" customWidth="1"/>
    <col min="8387" max="8387" width="8.453125" bestFit="1" customWidth="1"/>
    <col min="8388" max="8388" width="11.1796875" bestFit="1" customWidth="1"/>
    <col min="8389" max="8389" width="8.453125" bestFit="1" customWidth="1"/>
    <col min="8390" max="8390" width="11.1796875" bestFit="1" customWidth="1"/>
    <col min="8391" max="8391" width="8.453125" bestFit="1" customWidth="1"/>
    <col min="8392" max="8392" width="11.1796875" bestFit="1" customWidth="1"/>
    <col min="8393" max="8393" width="8.453125" bestFit="1" customWidth="1"/>
    <col min="8394" max="8394" width="11.1796875" bestFit="1" customWidth="1"/>
    <col min="8395" max="8395" width="8.453125" bestFit="1" customWidth="1"/>
    <col min="8396" max="8396" width="11.1796875" bestFit="1" customWidth="1"/>
    <col min="8397" max="8397" width="8.453125" bestFit="1" customWidth="1"/>
    <col min="8398" max="8398" width="11.1796875" bestFit="1" customWidth="1"/>
    <col min="8399" max="8399" width="8.453125" bestFit="1" customWidth="1"/>
    <col min="8400" max="8400" width="11.1796875" bestFit="1" customWidth="1"/>
    <col min="8401" max="8401" width="8.453125" bestFit="1" customWidth="1"/>
    <col min="8402" max="8402" width="11.1796875" bestFit="1" customWidth="1"/>
    <col min="8403" max="8403" width="8.453125" bestFit="1" customWidth="1"/>
    <col min="8404" max="8404" width="11.1796875" bestFit="1" customWidth="1"/>
    <col min="8405" max="8405" width="8.453125" bestFit="1" customWidth="1"/>
    <col min="8406" max="8406" width="11.1796875" bestFit="1" customWidth="1"/>
    <col min="8407" max="8407" width="8.453125" bestFit="1" customWidth="1"/>
    <col min="8408" max="8408" width="11.1796875" bestFit="1" customWidth="1"/>
    <col min="8409" max="8409" width="8.453125" bestFit="1" customWidth="1"/>
    <col min="8410" max="8410" width="11.1796875" bestFit="1" customWidth="1"/>
    <col min="8411" max="8411" width="8.453125" bestFit="1" customWidth="1"/>
    <col min="8412" max="8412" width="11.1796875" bestFit="1" customWidth="1"/>
    <col min="8413" max="8413" width="8.453125" bestFit="1" customWidth="1"/>
    <col min="8414" max="8414" width="11.1796875" bestFit="1" customWidth="1"/>
    <col min="8415" max="8415" width="8.453125" bestFit="1" customWidth="1"/>
    <col min="8416" max="8416" width="11.1796875" bestFit="1" customWidth="1"/>
    <col min="8417" max="8417" width="8.453125" bestFit="1" customWidth="1"/>
    <col min="8418" max="8418" width="11.1796875" bestFit="1" customWidth="1"/>
    <col min="8419" max="8419" width="8.453125" bestFit="1" customWidth="1"/>
    <col min="8420" max="8420" width="11.1796875" bestFit="1" customWidth="1"/>
    <col min="8421" max="8421" width="8.453125" bestFit="1" customWidth="1"/>
    <col min="8422" max="8422" width="11.1796875" bestFit="1" customWidth="1"/>
    <col min="8423" max="8423" width="8.453125" bestFit="1" customWidth="1"/>
    <col min="8424" max="8424" width="11.1796875" bestFit="1" customWidth="1"/>
    <col min="8425" max="8425" width="8.453125" bestFit="1" customWidth="1"/>
    <col min="8426" max="8426" width="11.1796875" bestFit="1" customWidth="1"/>
    <col min="8427" max="8427" width="8.453125" bestFit="1" customWidth="1"/>
    <col min="8428" max="8428" width="11.1796875" bestFit="1" customWidth="1"/>
    <col min="8429" max="8429" width="8.453125" bestFit="1" customWidth="1"/>
    <col min="8430" max="8430" width="11.1796875" bestFit="1" customWidth="1"/>
    <col min="8431" max="8431" width="8.453125" bestFit="1" customWidth="1"/>
    <col min="8432" max="8432" width="11.1796875" bestFit="1" customWidth="1"/>
    <col min="8433" max="8433" width="8.453125" bestFit="1" customWidth="1"/>
    <col min="8434" max="8434" width="11.1796875" bestFit="1" customWidth="1"/>
    <col min="8435" max="8435" width="8.453125" bestFit="1" customWidth="1"/>
    <col min="8436" max="8436" width="11.1796875" bestFit="1" customWidth="1"/>
    <col min="8437" max="8437" width="8.453125" bestFit="1" customWidth="1"/>
    <col min="8438" max="8438" width="11.1796875" bestFit="1" customWidth="1"/>
    <col min="8439" max="8439" width="8.453125" bestFit="1" customWidth="1"/>
    <col min="8440" max="8440" width="11.1796875" bestFit="1" customWidth="1"/>
    <col min="8441" max="8441" width="8.453125" bestFit="1" customWidth="1"/>
    <col min="8442" max="8442" width="11.1796875" bestFit="1" customWidth="1"/>
    <col min="8443" max="8443" width="8.453125" bestFit="1" customWidth="1"/>
    <col min="8444" max="8444" width="11.1796875" bestFit="1" customWidth="1"/>
    <col min="8445" max="8445" width="8.453125" bestFit="1" customWidth="1"/>
    <col min="8446" max="8446" width="11.1796875" bestFit="1" customWidth="1"/>
    <col min="8447" max="8447" width="8.453125" bestFit="1" customWidth="1"/>
    <col min="8448" max="8448" width="11.1796875" bestFit="1" customWidth="1"/>
    <col min="8449" max="8449" width="8.453125" bestFit="1" customWidth="1"/>
    <col min="8450" max="8450" width="11.1796875" bestFit="1" customWidth="1"/>
    <col min="8451" max="8451" width="8.453125" bestFit="1" customWidth="1"/>
    <col min="8452" max="8452" width="11.1796875" bestFit="1" customWidth="1"/>
    <col min="8453" max="8453" width="8.453125" bestFit="1" customWidth="1"/>
    <col min="8454" max="8454" width="11.1796875" bestFit="1" customWidth="1"/>
    <col min="8455" max="8455" width="8.453125" bestFit="1" customWidth="1"/>
    <col min="8456" max="8456" width="11.1796875" bestFit="1" customWidth="1"/>
    <col min="8457" max="8457" width="8.453125" bestFit="1" customWidth="1"/>
    <col min="8458" max="8458" width="11.1796875" bestFit="1" customWidth="1"/>
    <col min="8459" max="8459" width="8.453125" bestFit="1" customWidth="1"/>
    <col min="8460" max="8460" width="11.1796875" bestFit="1" customWidth="1"/>
    <col min="8461" max="8461" width="8.453125" bestFit="1" customWidth="1"/>
    <col min="8462" max="8462" width="11.1796875" bestFit="1" customWidth="1"/>
    <col min="8463" max="8463" width="8.453125" bestFit="1" customWidth="1"/>
    <col min="8464" max="8464" width="11.1796875" bestFit="1" customWidth="1"/>
    <col min="8465" max="8465" width="8.453125" bestFit="1" customWidth="1"/>
    <col min="8466" max="8466" width="11.1796875" bestFit="1" customWidth="1"/>
    <col min="8467" max="8467" width="8.453125" bestFit="1" customWidth="1"/>
    <col min="8468" max="8468" width="11.1796875" bestFit="1" customWidth="1"/>
    <col min="8469" max="8469" width="8.453125" bestFit="1" customWidth="1"/>
    <col min="8470" max="8470" width="11.1796875" bestFit="1" customWidth="1"/>
    <col min="8471" max="8471" width="8.453125" bestFit="1" customWidth="1"/>
    <col min="8472" max="8472" width="11.1796875" bestFit="1" customWidth="1"/>
    <col min="8473" max="8473" width="8.453125" bestFit="1" customWidth="1"/>
    <col min="8474" max="8474" width="11.1796875" bestFit="1" customWidth="1"/>
    <col min="8475" max="8475" width="8.453125" bestFit="1" customWidth="1"/>
    <col min="8476" max="8476" width="11.1796875" bestFit="1" customWidth="1"/>
    <col min="8477" max="8477" width="8.453125" bestFit="1" customWidth="1"/>
    <col min="8478" max="8478" width="11.1796875" bestFit="1" customWidth="1"/>
    <col min="8479" max="8479" width="8.453125" bestFit="1" customWidth="1"/>
    <col min="8480" max="8480" width="11.1796875" bestFit="1" customWidth="1"/>
    <col min="8481" max="8481" width="8.453125" bestFit="1" customWidth="1"/>
    <col min="8482" max="8482" width="11.1796875" bestFit="1" customWidth="1"/>
    <col min="8483" max="8483" width="8.453125" bestFit="1" customWidth="1"/>
    <col min="8484" max="8484" width="11.1796875" bestFit="1" customWidth="1"/>
    <col min="8485" max="8485" width="8.453125" bestFit="1" customWidth="1"/>
    <col min="8486" max="8486" width="11.1796875" bestFit="1" customWidth="1"/>
    <col min="8487" max="8487" width="8.453125" bestFit="1" customWidth="1"/>
    <col min="8488" max="8488" width="11.1796875" bestFit="1" customWidth="1"/>
    <col min="8489" max="8489" width="8.453125" bestFit="1" customWidth="1"/>
    <col min="8490" max="8490" width="11.1796875" bestFit="1" customWidth="1"/>
    <col min="8491" max="8491" width="8.453125" bestFit="1" customWidth="1"/>
    <col min="8492" max="8492" width="11.1796875" bestFit="1" customWidth="1"/>
    <col min="8493" max="8493" width="8.453125" bestFit="1" customWidth="1"/>
    <col min="8494" max="8494" width="11.1796875" bestFit="1" customWidth="1"/>
    <col min="8495" max="8495" width="8.453125" bestFit="1" customWidth="1"/>
    <col min="8496" max="8496" width="11.1796875" bestFit="1" customWidth="1"/>
    <col min="8497" max="8497" width="8.453125" bestFit="1" customWidth="1"/>
    <col min="8498" max="8498" width="11.1796875" bestFit="1" customWidth="1"/>
    <col min="8499" max="8499" width="8.453125" bestFit="1" customWidth="1"/>
    <col min="8500" max="8500" width="11.1796875" bestFit="1" customWidth="1"/>
    <col min="8501" max="8501" width="8.453125" bestFit="1" customWidth="1"/>
    <col min="8502" max="8502" width="11.1796875" bestFit="1" customWidth="1"/>
    <col min="8503" max="8503" width="8.453125" bestFit="1" customWidth="1"/>
    <col min="8504" max="8504" width="11.1796875" bestFit="1" customWidth="1"/>
    <col min="8505" max="8505" width="8.453125" bestFit="1" customWidth="1"/>
    <col min="8506" max="8506" width="11.1796875" bestFit="1" customWidth="1"/>
    <col min="8507" max="8507" width="8.453125" bestFit="1" customWidth="1"/>
    <col min="8508" max="8508" width="11.1796875" bestFit="1" customWidth="1"/>
    <col min="8509" max="8509" width="8.453125" bestFit="1" customWidth="1"/>
    <col min="8510" max="8510" width="11.1796875" bestFit="1" customWidth="1"/>
    <col min="8511" max="8511" width="8.453125" bestFit="1" customWidth="1"/>
    <col min="8512" max="8512" width="11.1796875" bestFit="1" customWidth="1"/>
    <col min="8513" max="8513" width="8.453125" bestFit="1" customWidth="1"/>
    <col min="8514" max="8514" width="11.1796875" bestFit="1" customWidth="1"/>
    <col min="8515" max="8515" width="8.453125" bestFit="1" customWidth="1"/>
    <col min="8516" max="8516" width="11.1796875" bestFit="1" customWidth="1"/>
    <col min="8517" max="8517" width="8.453125" bestFit="1" customWidth="1"/>
    <col min="8518" max="8518" width="11.1796875" bestFit="1" customWidth="1"/>
    <col min="8519" max="8519" width="8.453125" bestFit="1" customWidth="1"/>
    <col min="8520" max="8520" width="11.1796875" bestFit="1" customWidth="1"/>
    <col min="8521" max="8521" width="8.453125" bestFit="1" customWidth="1"/>
    <col min="8522" max="8522" width="11.1796875" bestFit="1" customWidth="1"/>
    <col min="8523" max="8523" width="8.453125" bestFit="1" customWidth="1"/>
    <col min="8524" max="8524" width="11.1796875" bestFit="1" customWidth="1"/>
    <col min="8525" max="8525" width="8.453125" bestFit="1" customWidth="1"/>
    <col min="8526" max="8526" width="11.1796875" bestFit="1" customWidth="1"/>
    <col min="8527" max="8527" width="8.453125" bestFit="1" customWidth="1"/>
    <col min="8528" max="8528" width="11.1796875" bestFit="1" customWidth="1"/>
    <col min="8529" max="8529" width="8.453125" bestFit="1" customWidth="1"/>
    <col min="8530" max="8530" width="11.1796875" bestFit="1" customWidth="1"/>
    <col min="8531" max="8531" width="8.453125" bestFit="1" customWidth="1"/>
    <col min="8532" max="8532" width="11.1796875" bestFit="1" customWidth="1"/>
    <col min="8533" max="8533" width="8.453125" bestFit="1" customWidth="1"/>
    <col min="8534" max="8534" width="11.1796875" bestFit="1" customWidth="1"/>
    <col min="8535" max="8535" width="8.453125" bestFit="1" customWidth="1"/>
    <col min="8536" max="8536" width="11.1796875" bestFit="1" customWidth="1"/>
    <col min="8537" max="8537" width="8.453125" bestFit="1" customWidth="1"/>
    <col min="8538" max="8538" width="11.1796875" bestFit="1" customWidth="1"/>
    <col min="8539" max="8539" width="8.453125" bestFit="1" customWidth="1"/>
    <col min="8540" max="8540" width="11.1796875" bestFit="1" customWidth="1"/>
    <col min="8541" max="8541" width="8.453125" bestFit="1" customWidth="1"/>
    <col min="8542" max="8542" width="11.1796875" bestFit="1" customWidth="1"/>
    <col min="8543" max="8543" width="8.453125" bestFit="1" customWidth="1"/>
    <col min="8544" max="8544" width="11.1796875" bestFit="1" customWidth="1"/>
    <col min="8545" max="8545" width="8.453125" bestFit="1" customWidth="1"/>
    <col min="8546" max="8546" width="11.1796875" bestFit="1" customWidth="1"/>
    <col min="8547" max="8547" width="8.453125" bestFit="1" customWidth="1"/>
    <col min="8548" max="8548" width="11.1796875" bestFit="1" customWidth="1"/>
    <col min="8549" max="8549" width="8.453125" bestFit="1" customWidth="1"/>
    <col min="8550" max="8550" width="11.1796875" bestFit="1" customWidth="1"/>
    <col min="8551" max="8551" width="8.453125" bestFit="1" customWidth="1"/>
    <col min="8552" max="8552" width="11.1796875" bestFit="1" customWidth="1"/>
    <col min="8553" max="8553" width="8.453125" bestFit="1" customWidth="1"/>
    <col min="8554" max="8554" width="11.1796875" bestFit="1" customWidth="1"/>
    <col min="8555" max="8555" width="8.453125" bestFit="1" customWidth="1"/>
    <col min="8556" max="8556" width="11.1796875" bestFit="1" customWidth="1"/>
    <col min="8557" max="8557" width="8.453125" bestFit="1" customWidth="1"/>
    <col min="8558" max="8558" width="11.1796875" bestFit="1" customWidth="1"/>
    <col min="8559" max="8559" width="8.453125" bestFit="1" customWidth="1"/>
    <col min="8560" max="8560" width="11.1796875" bestFit="1" customWidth="1"/>
    <col min="8561" max="8561" width="8.453125" bestFit="1" customWidth="1"/>
    <col min="8562" max="8562" width="11.1796875" bestFit="1" customWidth="1"/>
    <col min="8563" max="8563" width="8.453125" bestFit="1" customWidth="1"/>
    <col min="8564" max="8564" width="11.1796875" bestFit="1" customWidth="1"/>
    <col min="8565" max="8565" width="8.453125" bestFit="1" customWidth="1"/>
    <col min="8566" max="8566" width="11.1796875" bestFit="1" customWidth="1"/>
    <col min="8567" max="8567" width="8.453125" bestFit="1" customWidth="1"/>
    <col min="8568" max="8568" width="11.1796875" bestFit="1" customWidth="1"/>
    <col min="8569" max="8569" width="8.453125" bestFit="1" customWidth="1"/>
    <col min="8570" max="8570" width="11.1796875" bestFit="1" customWidth="1"/>
    <col min="8571" max="8571" width="8.453125" bestFit="1" customWidth="1"/>
    <col min="8572" max="8572" width="11.1796875" bestFit="1" customWidth="1"/>
    <col min="8573" max="8573" width="8.453125" bestFit="1" customWidth="1"/>
    <col min="8574" max="8574" width="11.1796875" bestFit="1" customWidth="1"/>
    <col min="8575" max="8575" width="8.453125" bestFit="1" customWidth="1"/>
    <col min="8576" max="8576" width="11.1796875" bestFit="1" customWidth="1"/>
    <col min="8577" max="8577" width="8.453125" bestFit="1" customWidth="1"/>
    <col min="8578" max="8578" width="11.1796875" bestFit="1" customWidth="1"/>
    <col min="8579" max="8579" width="8.453125" bestFit="1" customWidth="1"/>
    <col min="8580" max="8580" width="11.1796875" bestFit="1" customWidth="1"/>
    <col min="8581" max="8581" width="8.453125" bestFit="1" customWidth="1"/>
    <col min="8582" max="8582" width="11.1796875" bestFit="1" customWidth="1"/>
    <col min="8583" max="8583" width="8.453125" bestFit="1" customWidth="1"/>
    <col min="8584" max="8584" width="11.1796875" bestFit="1" customWidth="1"/>
    <col min="8585" max="8585" width="8.453125" bestFit="1" customWidth="1"/>
    <col min="8586" max="8586" width="11.1796875" bestFit="1" customWidth="1"/>
    <col min="8587" max="8587" width="8.453125" bestFit="1" customWidth="1"/>
    <col min="8588" max="8588" width="11.1796875" bestFit="1" customWidth="1"/>
    <col min="8589" max="8589" width="8.453125" bestFit="1" customWidth="1"/>
    <col min="8590" max="8590" width="11.1796875" bestFit="1" customWidth="1"/>
    <col min="8591" max="8591" width="8.453125" bestFit="1" customWidth="1"/>
    <col min="8592" max="8592" width="11.1796875" bestFit="1" customWidth="1"/>
    <col min="8593" max="8593" width="8.453125" bestFit="1" customWidth="1"/>
    <col min="8594" max="8594" width="11.1796875" bestFit="1" customWidth="1"/>
    <col min="8595" max="8595" width="8.453125" bestFit="1" customWidth="1"/>
    <col min="8596" max="8596" width="11.1796875" bestFit="1" customWidth="1"/>
    <col min="8597" max="8597" width="8.453125" bestFit="1" customWidth="1"/>
    <col min="8598" max="8598" width="11.1796875" bestFit="1" customWidth="1"/>
    <col min="8599" max="8599" width="8.453125" bestFit="1" customWidth="1"/>
    <col min="8600" max="8600" width="11.1796875" bestFit="1" customWidth="1"/>
    <col min="8601" max="8601" width="8.453125" bestFit="1" customWidth="1"/>
    <col min="8602" max="8602" width="11.1796875" bestFit="1" customWidth="1"/>
    <col min="8603" max="8603" width="8.453125" bestFit="1" customWidth="1"/>
    <col min="8604" max="8604" width="11.1796875" bestFit="1" customWidth="1"/>
    <col min="8605" max="8605" width="8.453125" bestFit="1" customWidth="1"/>
    <col min="8606" max="8606" width="11.1796875" bestFit="1" customWidth="1"/>
    <col min="8607" max="8607" width="8.453125" bestFit="1" customWidth="1"/>
    <col min="8608" max="8608" width="11.1796875" bestFit="1" customWidth="1"/>
    <col min="8609" max="8609" width="8.453125" bestFit="1" customWidth="1"/>
    <col min="8610" max="8610" width="11.1796875" bestFit="1" customWidth="1"/>
    <col min="8611" max="8611" width="8.453125" bestFit="1" customWidth="1"/>
    <col min="8612" max="8612" width="11.1796875" bestFit="1" customWidth="1"/>
    <col min="8613" max="8613" width="8.453125" bestFit="1" customWidth="1"/>
    <col min="8614" max="8614" width="5.6796875" bestFit="1" customWidth="1"/>
    <col min="8615" max="8615" width="11.1796875" bestFit="1" customWidth="1"/>
    <col min="8616" max="8616" width="8.453125" bestFit="1" customWidth="1"/>
    <col min="8617" max="8617" width="11.1796875" bestFit="1" customWidth="1"/>
    <col min="8618" max="8618" width="8.453125" bestFit="1" customWidth="1"/>
    <col min="8619" max="8619" width="11.1796875" bestFit="1" customWidth="1"/>
    <col min="8620" max="8620" width="8.453125" bestFit="1" customWidth="1"/>
    <col min="8621" max="8621" width="11.1796875" bestFit="1" customWidth="1"/>
    <col min="8622" max="8622" width="8.453125" bestFit="1" customWidth="1"/>
    <col min="8623" max="8623" width="11.1796875" bestFit="1" customWidth="1"/>
    <col min="8624" max="8624" width="8.453125" bestFit="1" customWidth="1"/>
    <col min="8625" max="8625" width="11.1796875" bestFit="1" customWidth="1"/>
    <col min="8626" max="8626" width="8.453125" bestFit="1" customWidth="1"/>
    <col min="8627" max="8627" width="11.1796875" bestFit="1" customWidth="1"/>
    <col min="8628" max="8628" width="8.453125" bestFit="1" customWidth="1"/>
    <col min="8629" max="8629" width="11.1796875" bestFit="1" customWidth="1"/>
    <col min="8630" max="8630" width="8.453125" bestFit="1" customWidth="1"/>
    <col min="8631" max="8631" width="11.1796875" bestFit="1" customWidth="1"/>
    <col min="8632" max="8632" width="8.453125" bestFit="1" customWidth="1"/>
    <col min="8633" max="8633" width="11.1796875" bestFit="1" customWidth="1"/>
    <col min="8634" max="8634" width="8.453125" bestFit="1" customWidth="1"/>
    <col min="8635" max="8635" width="11.1796875" bestFit="1" customWidth="1"/>
    <col min="8636" max="8636" width="8.453125" bestFit="1" customWidth="1"/>
    <col min="8637" max="8637" width="11.1796875" bestFit="1" customWidth="1"/>
    <col min="8638" max="8638" width="8.453125" bestFit="1" customWidth="1"/>
    <col min="8639" max="8639" width="11.1796875" bestFit="1" customWidth="1"/>
    <col min="8640" max="8640" width="8.453125" bestFit="1" customWidth="1"/>
    <col min="8641" max="8641" width="11.1796875" bestFit="1" customWidth="1"/>
    <col min="8642" max="8642" width="8.453125" bestFit="1" customWidth="1"/>
    <col min="8643" max="8643" width="11.1796875" bestFit="1" customWidth="1"/>
    <col min="8644" max="8644" width="8.453125" bestFit="1" customWidth="1"/>
    <col min="8645" max="8645" width="11.1796875" bestFit="1" customWidth="1"/>
    <col min="8646" max="8646" width="8.453125" bestFit="1" customWidth="1"/>
    <col min="8647" max="8647" width="11.1796875" bestFit="1" customWidth="1"/>
    <col min="8648" max="8648" width="8.453125" bestFit="1" customWidth="1"/>
    <col min="8649" max="8649" width="11.1796875" bestFit="1" customWidth="1"/>
    <col min="8650" max="8650" width="8.453125" bestFit="1" customWidth="1"/>
    <col min="8651" max="8651" width="11.1796875" bestFit="1" customWidth="1"/>
    <col min="8652" max="8652" width="8.453125" bestFit="1" customWidth="1"/>
    <col min="8653" max="8653" width="11.1796875" bestFit="1" customWidth="1"/>
    <col min="8654" max="8654" width="8.453125" bestFit="1" customWidth="1"/>
    <col min="8655" max="8655" width="11.1796875" bestFit="1" customWidth="1"/>
    <col min="8656" max="8656" width="8.453125" bestFit="1" customWidth="1"/>
    <col min="8657" max="8657" width="11.1796875" bestFit="1" customWidth="1"/>
    <col min="8658" max="8658" width="8.453125" bestFit="1" customWidth="1"/>
    <col min="8659" max="8659" width="11.1796875" bestFit="1" customWidth="1"/>
    <col min="8660" max="8660" width="8.453125" bestFit="1" customWidth="1"/>
    <col min="8661" max="8661" width="11.1796875" bestFit="1" customWidth="1"/>
    <col min="8662" max="8662" width="8.453125" bestFit="1" customWidth="1"/>
    <col min="8663" max="8663" width="11.1796875" bestFit="1" customWidth="1"/>
    <col min="8664" max="8664" width="8.453125" bestFit="1" customWidth="1"/>
    <col min="8665" max="8665" width="11.1796875" bestFit="1" customWidth="1"/>
    <col min="8666" max="8666" width="8.453125" bestFit="1" customWidth="1"/>
    <col min="8667" max="8667" width="11.1796875" bestFit="1" customWidth="1"/>
    <col min="8668" max="8668" width="8.453125" bestFit="1" customWidth="1"/>
    <col min="8669" max="8669" width="11.1796875" bestFit="1" customWidth="1"/>
    <col min="8670" max="8670" width="8.453125" bestFit="1" customWidth="1"/>
    <col min="8671" max="8671" width="11.1796875" bestFit="1" customWidth="1"/>
    <col min="8672" max="8672" width="8.453125" bestFit="1" customWidth="1"/>
    <col min="8673" max="8673" width="11.1796875" bestFit="1" customWidth="1"/>
    <col min="8674" max="8674" width="8.453125" bestFit="1" customWidth="1"/>
    <col min="8675" max="8675" width="11.1796875" bestFit="1" customWidth="1"/>
    <col min="8676" max="8676" width="8.453125" bestFit="1" customWidth="1"/>
    <col min="8677" max="8677" width="11.1796875" bestFit="1" customWidth="1"/>
    <col min="8678" max="8678" width="8.453125" bestFit="1" customWidth="1"/>
    <col min="8679" max="8679" width="11.1796875" bestFit="1" customWidth="1"/>
    <col min="8680" max="8680" width="8.453125" bestFit="1" customWidth="1"/>
    <col min="8681" max="8681" width="11.1796875" bestFit="1" customWidth="1"/>
    <col min="8682" max="8682" width="8.453125" bestFit="1" customWidth="1"/>
    <col min="8683" max="8683" width="11.1796875" bestFit="1" customWidth="1"/>
    <col min="8684" max="8684" width="8.453125" bestFit="1" customWidth="1"/>
    <col min="8685" max="8685" width="11.1796875" bestFit="1" customWidth="1"/>
    <col min="8686" max="8686" width="8.453125" bestFit="1" customWidth="1"/>
    <col min="8687" max="8687" width="11.1796875" bestFit="1" customWidth="1"/>
    <col min="8688" max="8688" width="8.453125" bestFit="1" customWidth="1"/>
    <col min="8689" max="8689" width="11.1796875" bestFit="1" customWidth="1"/>
    <col min="8690" max="8690" width="8.453125" bestFit="1" customWidth="1"/>
    <col min="8691" max="8691" width="11.1796875" bestFit="1" customWidth="1"/>
    <col min="8692" max="8692" width="8.453125" bestFit="1" customWidth="1"/>
    <col min="8693" max="8693" width="11.1796875" bestFit="1" customWidth="1"/>
    <col min="8694" max="8694" width="8.453125" bestFit="1" customWidth="1"/>
    <col min="8695" max="8695" width="11.1796875" bestFit="1" customWidth="1"/>
    <col min="8696" max="8696" width="8.453125" bestFit="1" customWidth="1"/>
    <col min="8697" max="8697" width="11.1796875" bestFit="1" customWidth="1"/>
    <col min="8698" max="8698" width="8.453125" bestFit="1" customWidth="1"/>
    <col min="8699" max="8699" width="11.1796875" bestFit="1" customWidth="1"/>
    <col min="8700" max="8700" width="8.453125" bestFit="1" customWidth="1"/>
    <col min="8701" max="8701" width="11.1796875" bestFit="1" customWidth="1"/>
    <col min="8702" max="8702" width="8.453125" bestFit="1" customWidth="1"/>
    <col min="8703" max="8703" width="11.1796875" bestFit="1" customWidth="1"/>
    <col min="8704" max="8704" width="8.453125" bestFit="1" customWidth="1"/>
    <col min="8705" max="8705" width="11.1796875" bestFit="1" customWidth="1"/>
    <col min="8706" max="8706" width="8.453125" bestFit="1" customWidth="1"/>
    <col min="8707" max="8707" width="11.1796875" bestFit="1" customWidth="1"/>
    <col min="8708" max="8708" width="8.453125" bestFit="1" customWidth="1"/>
    <col min="8709" max="8709" width="11.1796875" bestFit="1" customWidth="1"/>
    <col min="8710" max="8710" width="8.453125" bestFit="1" customWidth="1"/>
    <col min="8711" max="8711" width="11.1796875" bestFit="1" customWidth="1"/>
    <col min="8712" max="8712" width="8.453125" bestFit="1" customWidth="1"/>
    <col min="8713" max="8713" width="11.1796875" bestFit="1" customWidth="1"/>
    <col min="8714" max="8714" width="8.453125" bestFit="1" customWidth="1"/>
    <col min="8715" max="8715" width="11.1796875" bestFit="1" customWidth="1"/>
    <col min="8716" max="8716" width="8.453125" bestFit="1" customWidth="1"/>
    <col min="8717" max="8717" width="11.1796875" bestFit="1" customWidth="1"/>
    <col min="8718" max="8718" width="8.453125" bestFit="1" customWidth="1"/>
    <col min="8719" max="8719" width="11.1796875" bestFit="1" customWidth="1"/>
    <col min="8720" max="8720" width="8.453125" bestFit="1" customWidth="1"/>
    <col min="8721" max="8721" width="5.6796875" bestFit="1" customWidth="1"/>
    <col min="8722" max="8722" width="11.1796875" bestFit="1" customWidth="1"/>
    <col min="8723" max="8723" width="8.453125" bestFit="1" customWidth="1"/>
    <col min="8724" max="8724" width="11.1796875" bestFit="1" customWidth="1"/>
    <col min="8725" max="8725" width="8.453125" bestFit="1" customWidth="1"/>
    <col min="8726" max="8726" width="11.1796875" bestFit="1" customWidth="1"/>
    <col min="8727" max="8727" width="8.453125" bestFit="1" customWidth="1"/>
    <col min="8728" max="8728" width="11.1796875" bestFit="1" customWidth="1"/>
    <col min="8729" max="8729" width="8.453125" bestFit="1" customWidth="1"/>
    <col min="8730" max="8730" width="11.1796875" bestFit="1" customWidth="1"/>
    <col min="8731" max="8731" width="8.453125" bestFit="1" customWidth="1"/>
    <col min="8732" max="8732" width="11.1796875" bestFit="1" customWidth="1"/>
    <col min="8733" max="8733" width="8.453125" bestFit="1" customWidth="1"/>
    <col min="8734" max="8734" width="11.1796875" bestFit="1" customWidth="1"/>
    <col min="8735" max="8735" width="8.453125" bestFit="1" customWidth="1"/>
    <col min="8736" max="8736" width="11.1796875" bestFit="1" customWidth="1"/>
    <col min="8737" max="8737" width="8.453125" bestFit="1" customWidth="1"/>
    <col min="8738" max="8738" width="11.1796875" bestFit="1" customWidth="1"/>
    <col min="8739" max="8739" width="8.453125" bestFit="1" customWidth="1"/>
    <col min="8740" max="8740" width="11.1796875" bestFit="1" customWidth="1"/>
    <col min="8741" max="8741" width="8.453125" bestFit="1" customWidth="1"/>
    <col min="8742" max="8742" width="11.1796875" bestFit="1" customWidth="1"/>
    <col min="8743" max="8743" width="8.453125" bestFit="1" customWidth="1"/>
    <col min="8744" max="8744" width="11.1796875" bestFit="1" customWidth="1"/>
    <col min="8745" max="8745" width="8.453125" bestFit="1" customWidth="1"/>
    <col min="8746" max="8746" width="11.1796875" bestFit="1" customWidth="1"/>
    <col min="8747" max="8747" width="8.453125" bestFit="1" customWidth="1"/>
    <col min="8748" max="8748" width="11.1796875" bestFit="1" customWidth="1"/>
    <col min="8749" max="8749" width="8.453125" bestFit="1" customWidth="1"/>
    <col min="8750" max="8750" width="11.1796875" bestFit="1" customWidth="1"/>
    <col min="8751" max="8751" width="8.453125" bestFit="1" customWidth="1"/>
    <col min="8752" max="8752" width="11.1796875" bestFit="1" customWidth="1"/>
    <col min="8753" max="8753" width="8.453125" bestFit="1" customWidth="1"/>
    <col min="8754" max="8754" width="11.1796875" bestFit="1" customWidth="1"/>
    <col min="8755" max="8755" width="8.453125" bestFit="1" customWidth="1"/>
    <col min="8756" max="8756" width="11.1796875" bestFit="1" customWidth="1"/>
    <col min="8757" max="8757" width="8.453125" bestFit="1" customWidth="1"/>
    <col min="8758" max="8758" width="11.1796875" bestFit="1" customWidth="1"/>
    <col min="8759" max="8759" width="8.453125" bestFit="1" customWidth="1"/>
    <col min="8760" max="8760" width="11.1796875" bestFit="1" customWidth="1"/>
    <col min="8761" max="8761" width="8.453125" bestFit="1" customWidth="1"/>
    <col min="8762" max="8762" width="11.1796875" bestFit="1" customWidth="1"/>
    <col min="8763" max="8763" width="8.453125" bestFit="1" customWidth="1"/>
    <col min="8764" max="8764" width="11.1796875" bestFit="1" customWidth="1"/>
    <col min="8765" max="8765" width="8.453125" bestFit="1" customWidth="1"/>
    <col min="8766" max="8766" width="11.1796875" bestFit="1" customWidth="1"/>
    <col min="8767" max="8767" width="8.453125" bestFit="1" customWidth="1"/>
    <col min="8768" max="8768" width="11.1796875" bestFit="1" customWidth="1"/>
    <col min="8769" max="8769" width="8.453125" bestFit="1" customWidth="1"/>
    <col min="8770" max="8770" width="11.1796875" bestFit="1" customWidth="1"/>
    <col min="8771" max="8771" width="8.453125" bestFit="1" customWidth="1"/>
    <col min="8772" max="8772" width="11.1796875" bestFit="1" customWidth="1"/>
    <col min="8773" max="8773" width="8.453125" bestFit="1" customWidth="1"/>
    <col min="8774" max="8774" width="11.1796875" bestFit="1" customWidth="1"/>
    <col min="8775" max="8775" width="8.453125" bestFit="1" customWidth="1"/>
    <col min="8776" max="8776" width="11.1796875" bestFit="1" customWidth="1"/>
    <col min="8777" max="8777" width="8.453125" bestFit="1" customWidth="1"/>
    <col min="8778" max="8778" width="11.1796875" bestFit="1" customWidth="1"/>
    <col min="8779" max="8779" width="8.453125" bestFit="1" customWidth="1"/>
    <col min="8780" max="8780" width="11.1796875" bestFit="1" customWidth="1"/>
    <col min="8781" max="8781" width="8.453125" bestFit="1" customWidth="1"/>
    <col min="8782" max="8782" width="11.1796875" bestFit="1" customWidth="1"/>
    <col min="8783" max="8783" width="8.453125" bestFit="1" customWidth="1"/>
    <col min="8784" max="8784" width="11.1796875" bestFit="1" customWidth="1"/>
    <col min="8785" max="8785" width="8.453125" bestFit="1" customWidth="1"/>
    <col min="8786" max="8786" width="11.1796875" bestFit="1" customWidth="1"/>
    <col min="8787" max="8787" width="8.453125" bestFit="1" customWidth="1"/>
    <col min="8788" max="8788" width="11.1796875" bestFit="1" customWidth="1"/>
    <col min="8789" max="8789" width="8.453125" bestFit="1" customWidth="1"/>
    <col min="8790" max="8790" width="11.1796875" bestFit="1" customWidth="1"/>
    <col min="8791" max="8791" width="8.453125" bestFit="1" customWidth="1"/>
    <col min="8792" max="8792" width="11.1796875" bestFit="1" customWidth="1"/>
    <col min="8793" max="8793" width="8.453125" bestFit="1" customWidth="1"/>
    <col min="8794" max="8794" width="11.1796875" bestFit="1" customWidth="1"/>
    <col min="8795" max="8795" width="8.453125" bestFit="1" customWidth="1"/>
    <col min="8796" max="8796" width="11.1796875" bestFit="1" customWidth="1"/>
    <col min="8797" max="8797" width="8.453125" bestFit="1" customWidth="1"/>
    <col min="8798" max="8798" width="11.1796875" bestFit="1" customWidth="1"/>
    <col min="8799" max="8799" width="8.453125" bestFit="1" customWidth="1"/>
    <col min="8800" max="8800" width="11.1796875" bestFit="1" customWidth="1"/>
    <col min="8801" max="8801" width="8.453125" bestFit="1" customWidth="1"/>
    <col min="8802" max="8802" width="11.1796875" bestFit="1" customWidth="1"/>
    <col min="8803" max="8803" width="8.453125" bestFit="1" customWidth="1"/>
    <col min="8804" max="8804" width="11.1796875" bestFit="1" customWidth="1"/>
    <col min="8805" max="8805" width="8.453125" bestFit="1" customWidth="1"/>
    <col min="8806" max="8806" width="11.1796875" bestFit="1" customWidth="1"/>
    <col min="8807" max="8807" width="8.453125" bestFit="1" customWidth="1"/>
    <col min="8808" max="8808" width="11.1796875" bestFit="1" customWidth="1"/>
    <col min="8809" max="8809" width="8.453125" bestFit="1" customWidth="1"/>
    <col min="8810" max="8810" width="11.1796875" bestFit="1" customWidth="1"/>
    <col min="8811" max="8811" width="8.453125" bestFit="1" customWidth="1"/>
    <col min="8812" max="8812" width="11.1796875" bestFit="1" customWidth="1"/>
    <col min="8813" max="8813" width="8.453125" bestFit="1" customWidth="1"/>
    <col min="8814" max="8814" width="11.1796875" bestFit="1" customWidth="1"/>
    <col min="8815" max="8815" width="8.453125" bestFit="1" customWidth="1"/>
    <col min="8816" max="8816" width="11.1796875" bestFit="1" customWidth="1"/>
    <col min="8817" max="8817" width="8.453125" bestFit="1" customWidth="1"/>
    <col min="8818" max="8818" width="11.1796875" bestFit="1" customWidth="1"/>
    <col min="8819" max="8819" width="8.453125" bestFit="1" customWidth="1"/>
    <col min="8820" max="8820" width="11.1796875" bestFit="1" customWidth="1"/>
    <col min="8821" max="8821" width="8.453125" bestFit="1" customWidth="1"/>
    <col min="8822" max="8822" width="11.1796875" bestFit="1" customWidth="1"/>
    <col min="8823" max="8823" width="8.453125" bestFit="1" customWidth="1"/>
    <col min="8824" max="8824" width="11.1796875" bestFit="1" customWidth="1"/>
    <col min="8825" max="8825" width="8.453125" bestFit="1" customWidth="1"/>
    <col min="8826" max="8826" width="11.1796875" bestFit="1" customWidth="1"/>
    <col min="8827" max="8827" width="8.453125" bestFit="1" customWidth="1"/>
    <col min="8828" max="8828" width="11.1796875" bestFit="1" customWidth="1"/>
    <col min="8829" max="8829" width="8.453125" bestFit="1" customWidth="1"/>
    <col min="8830" max="8830" width="11.1796875" bestFit="1" customWidth="1"/>
    <col min="8831" max="8831" width="8.453125" bestFit="1" customWidth="1"/>
    <col min="8832" max="8832" width="11.1796875" bestFit="1" customWidth="1"/>
    <col min="8833" max="8833" width="8.453125" bestFit="1" customWidth="1"/>
    <col min="8834" max="8834" width="11.1796875" bestFit="1" customWidth="1"/>
    <col min="8835" max="8835" width="8.453125" bestFit="1" customWidth="1"/>
    <col min="8836" max="8836" width="11.1796875" bestFit="1" customWidth="1"/>
    <col min="8837" max="8837" width="8.453125" bestFit="1" customWidth="1"/>
    <col min="8838" max="8838" width="11.1796875" bestFit="1" customWidth="1"/>
    <col min="8839" max="8839" width="8.453125" bestFit="1" customWidth="1"/>
    <col min="8840" max="8840" width="11.1796875" bestFit="1" customWidth="1"/>
    <col min="8841" max="8841" width="8.453125" bestFit="1" customWidth="1"/>
    <col min="8842" max="8842" width="11.1796875" bestFit="1" customWidth="1"/>
    <col min="8843" max="8843" width="8.453125" bestFit="1" customWidth="1"/>
    <col min="8844" max="8844" width="11.1796875" bestFit="1" customWidth="1"/>
    <col min="8845" max="8845" width="8.453125" bestFit="1" customWidth="1"/>
    <col min="8846" max="8846" width="11.1796875" bestFit="1" customWidth="1"/>
    <col min="8847" max="8847" width="8.453125" bestFit="1" customWidth="1"/>
    <col min="8848" max="8848" width="11.1796875" bestFit="1" customWidth="1"/>
    <col min="8849" max="8849" width="8.453125" bestFit="1" customWidth="1"/>
    <col min="8850" max="8850" width="11.1796875" bestFit="1" customWidth="1"/>
    <col min="8851" max="8851" width="8.453125" bestFit="1" customWidth="1"/>
    <col min="8852" max="8852" width="11.1796875" bestFit="1" customWidth="1"/>
    <col min="8853" max="8853" width="8.453125" bestFit="1" customWidth="1"/>
    <col min="8854" max="8854" width="11.1796875" bestFit="1" customWidth="1"/>
    <col min="8855" max="8855" width="8.453125" bestFit="1" customWidth="1"/>
    <col min="8856" max="8856" width="11.1796875" bestFit="1" customWidth="1"/>
    <col min="8857" max="8857" width="8.453125" bestFit="1" customWidth="1"/>
    <col min="8858" max="8858" width="11.1796875" bestFit="1" customWidth="1"/>
    <col min="8859" max="8859" width="8.453125" bestFit="1" customWidth="1"/>
    <col min="8860" max="8860" width="11.1796875" bestFit="1" customWidth="1"/>
    <col min="8861" max="8861" width="8.453125" bestFit="1" customWidth="1"/>
    <col min="8862" max="8862" width="11.1796875" bestFit="1" customWidth="1"/>
    <col min="8863" max="8863" width="8.453125" bestFit="1" customWidth="1"/>
    <col min="8864" max="8864" width="11.1796875" bestFit="1" customWidth="1"/>
    <col min="8865" max="8865" width="8.453125" bestFit="1" customWidth="1"/>
    <col min="8866" max="8866" width="11.1796875" bestFit="1" customWidth="1"/>
    <col min="8867" max="8867" width="8.453125" bestFit="1" customWidth="1"/>
    <col min="8868" max="8868" width="11.1796875" bestFit="1" customWidth="1"/>
    <col min="8869" max="8869" width="8.453125" bestFit="1" customWidth="1"/>
    <col min="8870" max="8870" width="11.1796875" bestFit="1" customWidth="1"/>
    <col min="8871" max="8871" width="8.453125" bestFit="1" customWidth="1"/>
    <col min="8872" max="8872" width="11.1796875" bestFit="1" customWidth="1"/>
    <col min="8873" max="8873" width="8.453125" bestFit="1" customWidth="1"/>
    <col min="8874" max="8874" width="11.1796875" bestFit="1" customWidth="1"/>
    <col min="8875" max="8875" width="8.453125" bestFit="1" customWidth="1"/>
    <col min="8876" max="8876" width="11.1796875" bestFit="1" customWidth="1"/>
    <col min="8877" max="8877" width="8.453125" bestFit="1" customWidth="1"/>
    <col min="8878" max="8878" width="11.1796875" bestFit="1" customWidth="1"/>
    <col min="8879" max="8879" width="8.453125" bestFit="1" customWidth="1"/>
    <col min="8880" max="8880" width="11.1796875" bestFit="1" customWidth="1"/>
    <col min="8881" max="8881" width="8.453125" bestFit="1" customWidth="1"/>
    <col min="8882" max="8882" width="11.1796875" bestFit="1" customWidth="1"/>
    <col min="8883" max="8883" width="8.453125" bestFit="1" customWidth="1"/>
    <col min="8884" max="8884" width="11.1796875" bestFit="1" customWidth="1"/>
    <col min="8885" max="8885" width="8.453125" bestFit="1" customWidth="1"/>
    <col min="8886" max="8886" width="11.1796875" bestFit="1" customWidth="1"/>
    <col min="8887" max="8887" width="8.453125" bestFit="1" customWidth="1"/>
    <col min="8888" max="8888" width="11.1796875" bestFit="1" customWidth="1"/>
    <col min="8889" max="8889" width="8.453125" bestFit="1" customWidth="1"/>
    <col min="8890" max="8890" width="11.1796875" bestFit="1" customWidth="1"/>
    <col min="8891" max="8891" width="8.453125" bestFit="1" customWidth="1"/>
    <col min="8892" max="8892" width="11.1796875" bestFit="1" customWidth="1"/>
    <col min="8893" max="8893" width="8.453125" bestFit="1" customWidth="1"/>
    <col min="8894" max="8894" width="11.1796875" bestFit="1" customWidth="1"/>
    <col min="8895" max="8895" width="8.453125" bestFit="1" customWidth="1"/>
    <col min="8896" max="8896" width="11.1796875" bestFit="1" customWidth="1"/>
    <col min="8897" max="8897" width="8.453125" bestFit="1" customWidth="1"/>
    <col min="8898" max="8898" width="11.1796875" bestFit="1" customWidth="1"/>
    <col min="8899" max="8899" width="8.453125" bestFit="1" customWidth="1"/>
    <col min="8900" max="8900" width="11.1796875" bestFit="1" customWidth="1"/>
    <col min="8901" max="8901" width="8.453125" bestFit="1" customWidth="1"/>
    <col min="8902" max="8902" width="11.1796875" bestFit="1" customWidth="1"/>
    <col min="8903" max="8903" width="8.453125" bestFit="1" customWidth="1"/>
    <col min="8904" max="8904" width="11.1796875" bestFit="1" customWidth="1"/>
    <col min="8905" max="8905" width="8.453125" bestFit="1" customWidth="1"/>
    <col min="8906" max="8906" width="11.1796875" bestFit="1" customWidth="1"/>
    <col min="8907" max="8907" width="8.453125" bestFit="1" customWidth="1"/>
    <col min="8908" max="8908" width="11.1796875" bestFit="1" customWidth="1"/>
    <col min="8909" max="8909" width="8.453125" bestFit="1" customWidth="1"/>
    <col min="8910" max="8910" width="11.1796875" bestFit="1" customWidth="1"/>
    <col min="8911" max="8911" width="8.453125" bestFit="1" customWidth="1"/>
    <col min="8912" max="8912" width="11.1796875" bestFit="1" customWidth="1"/>
    <col min="8913" max="8913" width="8.453125" bestFit="1" customWidth="1"/>
    <col min="8914" max="8914" width="11.1796875" bestFit="1" customWidth="1"/>
    <col min="8915" max="8915" width="8.453125" bestFit="1" customWidth="1"/>
    <col min="8916" max="8916" width="11.1796875" bestFit="1" customWidth="1"/>
    <col min="8917" max="8917" width="8.453125" bestFit="1" customWidth="1"/>
    <col min="8918" max="8918" width="11.1796875" bestFit="1" customWidth="1"/>
    <col min="8919" max="8919" width="8.453125" bestFit="1" customWidth="1"/>
    <col min="8920" max="8920" width="11.1796875" bestFit="1" customWidth="1"/>
    <col min="8921" max="8921" width="8.453125" bestFit="1" customWidth="1"/>
    <col min="8922" max="8922" width="11.1796875" bestFit="1" customWidth="1"/>
    <col min="8923" max="8923" width="8.453125" bestFit="1" customWidth="1"/>
    <col min="8924" max="8924" width="11.1796875" bestFit="1" customWidth="1"/>
    <col min="8925" max="8925" width="8.453125" bestFit="1" customWidth="1"/>
    <col min="8926" max="8926" width="11.1796875" bestFit="1" customWidth="1"/>
    <col min="8927" max="8927" width="8.453125" bestFit="1" customWidth="1"/>
    <col min="8928" max="8928" width="11.1796875" bestFit="1" customWidth="1"/>
    <col min="8929" max="8929" width="8.453125" bestFit="1" customWidth="1"/>
    <col min="8930" max="8930" width="11.1796875" bestFit="1" customWidth="1"/>
    <col min="8931" max="8931" width="8.453125" bestFit="1" customWidth="1"/>
    <col min="8932" max="8932" width="11.1796875" bestFit="1" customWidth="1"/>
    <col min="8933" max="8933" width="8.453125" bestFit="1" customWidth="1"/>
    <col min="8934" max="8934" width="11.1796875" bestFit="1" customWidth="1"/>
    <col min="8935" max="8935" width="8.453125" bestFit="1" customWidth="1"/>
    <col min="8936" max="8936" width="11.1796875" bestFit="1" customWidth="1"/>
    <col min="8937" max="8937" width="8.453125" bestFit="1" customWidth="1"/>
    <col min="8938" max="8938" width="11.1796875" bestFit="1" customWidth="1"/>
    <col min="8939" max="8939" width="8.453125" bestFit="1" customWidth="1"/>
    <col min="8940" max="8940" width="11.1796875" bestFit="1" customWidth="1"/>
    <col min="8941" max="8941" width="8.453125" bestFit="1" customWidth="1"/>
    <col min="8942" max="8942" width="11.1796875" bestFit="1" customWidth="1"/>
    <col min="8943" max="8943" width="8.453125" bestFit="1" customWidth="1"/>
    <col min="8944" max="8944" width="11.1796875" bestFit="1" customWidth="1"/>
    <col min="8945" max="8945" width="8.453125" bestFit="1" customWidth="1"/>
    <col min="8946" max="8946" width="11.1796875" bestFit="1" customWidth="1"/>
    <col min="8947" max="8947" width="8.453125" bestFit="1" customWidth="1"/>
    <col min="8948" max="8948" width="11.1796875" bestFit="1" customWidth="1"/>
    <col min="8949" max="8949" width="8.453125" bestFit="1" customWidth="1"/>
    <col min="8950" max="8950" width="11.1796875" bestFit="1" customWidth="1"/>
    <col min="8951" max="8951" width="8.453125" bestFit="1" customWidth="1"/>
    <col min="8952" max="8952" width="11.1796875" bestFit="1" customWidth="1"/>
    <col min="8953" max="8953" width="8.453125" bestFit="1" customWidth="1"/>
    <col min="8954" max="8954" width="11.1796875" bestFit="1" customWidth="1"/>
    <col min="8955" max="8955" width="8.453125" bestFit="1" customWidth="1"/>
    <col min="8956" max="8956" width="11.1796875" bestFit="1" customWidth="1"/>
    <col min="8957" max="8957" width="8.453125" bestFit="1" customWidth="1"/>
    <col min="8958" max="8958" width="11.1796875" bestFit="1" customWidth="1"/>
    <col min="8959" max="8959" width="8.453125" bestFit="1" customWidth="1"/>
    <col min="8960" max="8960" width="11.1796875" bestFit="1" customWidth="1"/>
    <col min="8961" max="8961" width="8.453125" bestFit="1" customWidth="1"/>
    <col min="8962" max="8962" width="11.1796875" bestFit="1" customWidth="1"/>
    <col min="8963" max="8963" width="8.453125" bestFit="1" customWidth="1"/>
    <col min="8964" max="8964" width="11.1796875" bestFit="1" customWidth="1"/>
    <col min="8965" max="8965" width="8.453125" bestFit="1" customWidth="1"/>
    <col min="8966" max="8966" width="11.1796875" bestFit="1" customWidth="1"/>
    <col min="8967" max="8967" width="8.453125" bestFit="1" customWidth="1"/>
    <col min="8968" max="8968" width="11.1796875" bestFit="1" customWidth="1"/>
    <col min="8969" max="8969" width="8.453125" bestFit="1" customWidth="1"/>
    <col min="8970" max="8970" width="11.1796875" bestFit="1" customWidth="1"/>
    <col min="8971" max="8971" width="8.453125" bestFit="1" customWidth="1"/>
    <col min="8972" max="8972" width="11.1796875" bestFit="1" customWidth="1"/>
    <col min="8973" max="8973" width="8.453125" bestFit="1" customWidth="1"/>
    <col min="8974" max="8974" width="11.1796875" bestFit="1" customWidth="1"/>
    <col min="8975" max="8975" width="8.453125" bestFit="1" customWidth="1"/>
    <col min="8976" max="8976" width="11.1796875" bestFit="1" customWidth="1"/>
    <col min="8977" max="8977" width="8.453125" bestFit="1" customWidth="1"/>
    <col min="8978" max="8978" width="11.1796875" bestFit="1" customWidth="1"/>
    <col min="8979" max="8979" width="8.453125" bestFit="1" customWidth="1"/>
    <col min="8980" max="8980" width="11.1796875" bestFit="1" customWidth="1"/>
    <col min="8981" max="8981" width="8.453125" bestFit="1" customWidth="1"/>
    <col min="8982" max="8982" width="11.1796875" bestFit="1" customWidth="1"/>
    <col min="8983" max="8983" width="8.453125" bestFit="1" customWidth="1"/>
    <col min="8984" max="8984" width="11.1796875" bestFit="1" customWidth="1"/>
    <col min="8985" max="8985" width="8.453125" bestFit="1" customWidth="1"/>
    <col min="8986" max="8986" width="11.1796875" bestFit="1" customWidth="1"/>
    <col min="8987" max="8987" width="8.453125" bestFit="1" customWidth="1"/>
    <col min="8988" max="8988" width="11.1796875" bestFit="1" customWidth="1"/>
    <col min="8989" max="8989" width="8.453125" bestFit="1" customWidth="1"/>
    <col min="8990" max="8990" width="11.1796875" bestFit="1" customWidth="1"/>
    <col min="8991" max="8991" width="8.453125" bestFit="1" customWidth="1"/>
    <col min="8992" max="8992" width="11.1796875" bestFit="1" customWidth="1"/>
    <col min="8993" max="8993" width="8.453125" bestFit="1" customWidth="1"/>
    <col min="8994" max="8994" width="11.1796875" bestFit="1" customWidth="1"/>
    <col min="8995" max="8995" width="8.453125" bestFit="1" customWidth="1"/>
    <col min="8996" max="8996" width="11.1796875" bestFit="1" customWidth="1"/>
    <col min="8997" max="8997" width="8.453125" bestFit="1" customWidth="1"/>
    <col min="8998" max="8998" width="11.1796875" bestFit="1" customWidth="1"/>
    <col min="8999" max="8999" width="8.453125" bestFit="1" customWidth="1"/>
    <col min="9000" max="9000" width="11.1796875" bestFit="1" customWidth="1"/>
    <col min="9001" max="9001" width="8.453125" bestFit="1" customWidth="1"/>
    <col min="9002" max="9002" width="11.1796875" bestFit="1" customWidth="1"/>
    <col min="9003" max="9003" width="8.453125" bestFit="1" customWidth="1"/>
    <col min="9004" max="9004" width="11.1796875" bestFit="1" customWidth="1"/>
    <col min="9005" max="9005" width="8.453125" bestFit="1" customWidth="1"/>
    <col min="9006" max="9006" width="11.1796875" bestFit="1" customWidth="1"/>
    <col min="9007" max="9007" width="8.453125" bestFit="1" customWidth="1"/>
    <col min="9008" max="9008" width="11.1796875" bestFit="1" customWidth="1"/>
    <col min="9009" max="9009" width="8.453125" bestFit="1" customWidth="1"/>
    <col min="9010" max="9010" width="11.1796875" bestFit="1" customWidth="1"/>
    <col min="9011" max="9011" width="8.453125" bestFit="1" customWidth="1"/>
    <col min="9012" max="9012" width="11.1796875" bestFit="1" customWidth="1"/>
    <col min="9013" max="9013" width="8.453125" bestFit="1" customWidth="1"/>
    <col min="9014" max="9014" width="11.1796875" bestFit="1" customWidth="1"/>
    <col min="9015" max="9015" width="8.453125" bestFit="1" customWidth="1"/>
    <col min="9016" max="9016" width="11.1796875" bestFit="1" customWidth="1"/>
    <col min="9017" max="9017" width="8.453125" bestFit="1" customWidth="1"/>
    <col min="9018" max="9018" width="11.1796875" bestFit="1" customWidth="1"/>
    <col min="9019" max="9019" width="8.453125" bestFit="1" customWidth="1"/>
    <col min="9020" max="9020" width="11.1796875" bestFit="1" customWidth="1"/>
    <col min="9021" max="9021" width="8.453125" bestFit="1" customWidth="1"/>
    <col min="9022" max="9022" width="11.1796875" bestFit="1" customWidth="1"/>
    <col min="9023" max="9023" width="8.453125" bestFit="1" customWidth="1"/>
    <col min="9024" max="9024" width="11.1796875" bestFit="1" customWidth="1"/>
    <col min="9025" max="9025" width="8.453125" bestFit="1" customWidth="1"/>
    <col min="9026" max="9026" width="11.1796875" bestFit="1" customWidth="1"/>
    <col min="9027" max="9027" width="8.453125" bestFit="1" customWidth="1"/>
    <col min="9028" max="9028" width="11.1796875" bestFit="1" customWidth="1"/>
    <col min="9029" max="9029" width="8.453125" bestFit="1" customWidth="1"/>
    <col min="9030" max="9030" width="11.1796875" bestFit="1" customWidth="1"/>
    <col min="9031" max="9031" width="8.453125" bestFit="1" customWidth="1"/>
    <col min="9032" max="9032" width="11.1796875" bestFit="1" customWidth="1"/>
    <col min="9033" max="9033" width="8.453125" bestFit="1" customWidth="1"/>
    <col min="9034" max="9034" width="11.1796875" bestFit="1" customWidth="1"/>
    <col min="9035" max="9035" width="8.453125" bestFit="1" customWidth="1"/>
    <col min="9036" max="9036" width="11.1796875" bestFit="1" customWidth="1"/>
    <col min="9037" max="9037" width="8.453125" bestFit="1" customWidth="1"/>
    <col min="9038" max="9038" width="11.1796875" bestFit="1" customWidth="1"/>
    <col min="9039" max="9039" width="8.453125" bestFit="1" customWidth="1"/>
    <col min="9040" max="9040" width="11.1796875" bestFit="1" customWidth="1"/>
    <col min="9041" max="9041" width="8.453125" bestFit="1" customWidth="1"/>
    <col min="9042" max="9042" width="11.1796875" bestFit="1" customWidth="1"/>
    <col min="9043" max="9043" width="8.453125" bestFit="1" customWidth="1"/>
    <col min="9044" max="9044" width="11.1796875" bestFit="1" customWidth="1"/>
    <col min="9045" max="9045" width="8.453125" bestFit="1" customWidth="1"/>
    <col min="9046" max="9046" width="11.1796875" bestFit="1" customWidth="1"/>
    <col min="9047" max="9047" width="8.453125" bestFit="1" customWidth="1"/>
    <col min="9048" max="9048" width="11.1796875" bestFit="1" customWidth="1"/>
    <col min="9049" max="9049" width="8.453125" bestFit="1" customWidth="1"/>
    <col min="9050" max="9050" width="11.1796875" bestFit="1" customWidth="1"/>
    <col min="9051" max="9051" width="8.453125" bestFit="1" customWidth="1"/>
    <col min="9052" max="9052" width="11.1796875" bestFit="1" customWidth="1"/>
    <col min="9053" max="9053" width="8.453125" bestFit="1" customWidth="1"/>
    <col min="9054" max="9054" width="11.1796875" bestFit="1" customWidth="1"/>
    <col min="9055" max="9055" width="8.453125" bestFit="1" customWidth="1"/>
    <col min="9056" max="9056" width="11.1796875" bestFit="1" customWidth="1"/>
    <col min="9057" max="9057" width="8.453125" bestFit="1" customWidth="1"/>
    <col min="9058" max="9058" width="11.1796875" bestFit="1" customWidth="1"/>
    <col min="9059" max="9059" width="8.453125" bestFit="1" customWidth="1"/>
    <col min="9060" max="9060" width="11.1796875" bestFit="1" customWidth="1"/>
    <col min="9061" max="9061" width="8.453125" bestFit="1" customWidth="1"/>
    <col min="9062" max="9062" width="11.1796875" bestFit="1" customWidth="1"/>
    <col min="9063" max="9063" width="8.453125" bestFit="1" customWidth="1"/>
    <col min="9064" max="9064" width="11.1796875" bestFit="1" customWidth="1"/>
    <col min="9065" max="9065" width="8.453125" bestFit="1" customWidth="1"/>
    <col min="9066" max="9066" width="11.1796875" bestFit="1" customWidth="1"/>
    <col min="9067" max="9067" width="8.453125" bestFit="1" customWidth="1"/>
    <col min="9068" max="9068" width="11.1796875" bestFit="1" customWidth="1"/>
    <col min="9069" max="9069" width="8.453125" bestFit="1" customWidth="1"/>
    <col min="9070" max="9070" width="11.1796875" bestFit="1" customWidth="1"/>
    <col min="9071" max="9071" width="8.453125" bestFit="1" customWidth="1"/>
    <col min="9072" max="9072" width="11.1796875" bestFit="1" customWidth="1"/>
    <col min="9073" max="9073" width="8.453125" bestFit="1" customWidth="1"/>
    <col min="9074" max="9074" width="11.1796875" bestFit="1" customWidth="1"/>
    <col min="9075" max="9075" width="8.453125" bestFit="1" customWidth="1"/>
    <col min="9076" max="9076" width="11.1796875" bestFit="1" customWidth="1"/>
    <col min="9077" max="9077" width="8.453125" bestFit="1" customWidth="1"/>
    <col min="9078" max="9078" width="11.1796875" bestFit="1" customWidth="1"/>
    <col min="9079" max="9079" width="8.453125" bestFit="1" customWidth="1"/>
    <col min="9080" max="9080" width="11.1796875" bestFit="1" customWidth="1"/>
    <col min="9081" max="9081" width="8.453125" bestFit="1" customWidth="1"/>
    <col min="9082" max="9082" width="11.1796875" bestFit="1" customWidth="1"/>
    <col min="9083" max="9083" width="8.453125" bestFit="1" customWidth="1"/>
    <col min="9084" max="9084" width="11.1796875" bestFit="1" customWidth="1"/>
    <col min="9085" max="9085" width="8.453125" bestFit="1" customWidth="1"/>
    <col min="9086" max="9086" width="11.1796875" bestFit="1" customWidth="1"/>
    <col min="9087" max="9087" width="8.453125" bestFit="1" customWidth="1"/>
    <col min="9088" max="9088" width="11.1796875" bestFit="1" customWidth="1"/>
    <col min="9089" max="9089" width="8.453125" bestFit="1" customWidth="1"/>
    <col min="9090" max="9090" width="11.1796875" bestFit="1" customWidth="1"/>
    <col min="9091" max="9091" width="8.453125" bestFit="1" customWidth="1"/>
    <col min="9092" max="9092" width="11.1796875" bestFit="1" customWidth="1"/>
    <col min="9093" max="9093" width="8.453125" bestFit="1" customWidth="1"/>
    <col min="9094" max="9094" width="11.1796875" bestFit="1" customWidth="1"/>
    <col min="9095" max="9095" width="8.453125" bestFit="1" customWidth="1"/>
    <col min="9096" max="9096" width="11.1796875" bestFit="1" customWidth="1"/>
    <col min="9097" max="9097" width="8.453125" bestFit="1" customWidth="1"/>
    <col min="9098" max="9098" width="11.1796875" bestFit="1" customWidth="1"/>
    <col min="9099" max="9099" width="8.453125" bestFit="1" customWidth="1"/>
    <col min="9100" max="9100" width="11.1796875" bestFit="1" customWidth="1"/>
    <col min="9101" max="9101" width="8.453125" bestFit="1" customWidth="1"/>
    <col min="9102" max="9102" width="11.1796875" bestFit="1" customWidth="1"/>
    <col min="9103" max="9103" width="8.453125" bestFit="1" customWidth="1"/>
    <col min="9104" max="9104" width="11.1796875" bestFit="1" customWidth="1"/>
    <col min="9105" max="9105" width="8.453125" bestFit="1" customWidth="1"/>
    <col min="9106" max="9106" width="11.1796875" bestFit="1" customWidth="1"/>
    <col min="9107" max="9107" width="8.453125" bestFit="1" customWidth="1"/>
    <col min="9108" max="9108" width="11.1796875" bestFit="1" customWidth="1"/>
    <col min="9109" max="9109" width="8.453125" bestFit="1" customWidth="1"/>
    <col min="9110" max="9110" width="11.1796875" bestFit="1" customWidth="1"/>
    <col min="9111" max="9111" width="8.453125" bestFit="1" customWidth="1"/>
    <col min="9112" max="9112" width="11.1796875" bestFit="1" customWidth="1"/>
    <col min="9113" max="9113" width="8.453125" bestFit="1" customWidth="1"/>
    <col min="9114" max="9114" width="11.1796875" bestFit="1" customWidth="1"/>
    <col min="9115" max="9115" width="8.453125" bestFit="1" customWidth="1"/>
    <col min="9116" max="9116" width="11.1796875" bestFit="1" customWidth="1"/>
    <col min="9117" max="9117" width="8.453125" bestFit="1" customWidth="1"/>
    <col min="9118" max="9118" width="11.1796875" bestFit="1" customWidth="1"/>
    <col min="9119" max="9119" width="8.453125" bestFit="1" customWidth="1"/>
    <col min="9120" max="9120" width="11.1796875" bestFit="1" customWidth="1"/>
    <col min="9121" max="9121" width="8.453125" bestFit="1" customWidth="1"/>
    <col min="9122" max="9122" width="11.1796875" bestFit="1" customWidth="1"/>
    <col min="9123" max="9123" width="8.453125" bestFit="1" customWidth="1"/>
    <col min="9124" max="9124" width="11.1796875" bestFit="1" customWidth="1"/>
    <col min="9125" max="9125" width="8.453125" bestFit="1" customWidth="1"/>
    <col min="9126" max="9126" width="11.1796875" bestFit="1" customWidth="1"/>
    <col min="9127" max="9127" width="8.453125" bestFit="1" customWidth="1"/>
    <col min="9128" max="9128" width="11.1796875" bestFit="1" customWidth="1"/>
    <col min="9129" max="9129" width="8.453125" bestFit="1" customWidth="1"/>
    <col min="9130" max="9130" width="11.1796875" bestFit="1" customWidth="1"/>
    <col min="9131" max="9131" width="8.453125" bestFit="1" customWidth="1"/>
    <col min="9132" max="9132" width="11.1796875" bestFit="1" customWidth="1"/>
    <col min="9133" max="9133" width="8.453125" bestFit="1" customWidth="1"/>
    <col min="9134" max="9134" width="11.1796875" bestFit="1" customWidth="1"/>
    <col min="9135" max="9135" width="8.453125" bestFit="1" customWidth="1"/>
    <col min="9136" max="9136" width="11.1796875" bestFit="1" customWidth="1"/>
    <col min="9137" max="9137" width="8.453125" bestFit="1" customWidth="1"/>
    <col min="9138" max="9138" width="11.1796875" bestFit="1" customWidth="1"/>
    <col min="9139" max="9139" width="8.453125" bestFit="1" customWidth="1"/>
    <col min="9140" max="9140" width="11.1796875" bestFit="1" customWidth="1"/>
    <col min="9141" max="9141" width="8.453125" bestFit="1" customWidth="1"/>
    <col min="9142" max="9142" width="11.1796875" bestFit="1" customWidth="1"/>
    <col min="9143" max="9143" width="8.453125" bestFit="1" customWidth="1"/>
    <col min="9144" max="9144" width="11.1796875" bestFit="1" customWidth="1"/>
    <col min="9145" max="9145" width="8.453125" bestFit="1" customWidth="1"/>
    <col min="9146" max="9146" width="11.1796875" bestFit="1" customWidth="1"/>
    <col min="9147" max="9147" width="8.453125" bestFit="1" customWidth="1"/>
    <col min="9148" max="9148" width="11.1796875" bestFit="1" customWidth="1"/>
    <col min="9149" max="9149" width="8.453125" bestFit="1" customWidth="1"/>
    <col min="9150" max="9150" width="11.1796875" bestFit="1" customWidth="1"/>
    <col min="9151" max="9151" width="8.453125" bestFit="1" customWidth="1"/>
    <col min="9152" max="9152" width="11.1796875" bestFit="1" customWidth="1"/>
    <col min="9153" max="9153" width="8.453125" bestFit="1" customWidth="1"/>
    <col min="9154" max="9154" width="11.1796875" bestFit="1" customWidth="1"/>
    <col min="9155" max="9155" width="8.453125" bestFit="1" customWidth="1"/>
    <col min="9156" max="9156" width="11.1796875" bestFit="1" customWidth="1"/>
    <col min="9157" max="9157" width="8.453125" bestFit="1" customWidth="1"/>
    <col min="9158" max="9158" width="11.1796875" bestFit="1" customWidth="1"/>
    <col min="9159" max="9159" width="8.453125" bestFit="1" customWidth="1"/>
    <col min="9160" max="9160" width="11.1796875" bestFit="1" customWidth="1"/>
    <col min="9161" max="9161" width="8.453125" bestFit="1" customWidth="1"/>
    <col min="9162" max="9162" width="11.1796875" bestFit="1" customWidth="1"/>
    <col min="9163" max="9163" width="8.453125" bestFit="1" customWidth="1"/>
    <col min="9164" max="9164" width="11.1796875" bestFit="1" customWidth="1"/>
    <col min="9165" max="9165" width="8.453125" bestFit="1" customWidth="1"/>
    <col min="9166" max="9166" width="11.1796875" bestFit="1" customWidth="1"/>
    <col min="9167" max="9167" width="8.453125" bestFit="1" customWidth="1"/>
    <col min="9168" max="9168" width="11.1796875" bestFit="1" customWidth="1"/>
    <col min="9169" max="9169" width="8.453125" bestFit="1" customWidth="1"/>
    <col min="9170" max="9170" width="11.1796875" bestFit="1" customWidth="1"/>
    <col min="9171" max="9171" width="8.453125" bestFit="1" customWidth="1"/>
    <col min="9172" max="9172" width="11.1796875" bestFit="1" customWidth="1"/>
    <col min="9173" max="9173" width="8.453125" bestFit="1" customWidth="1"/>
    <col min="9174" max="9174" width="11.1796875" bestFit="1" customWidth="1"/>
    <col min="9175" max="9175" width="8.453125" bestFit="1" customWidth="1"/>
    <col min="9176" max="9176" width="11.1796875" bestFit="1" customWidth="1"/>
    <col min="9177" max="9177" width="8.453125" bestFit="1" customWidth="1"/>
    <col min="9178" max="9178" width="11.1796875" bestFit="1" customWidth="1"/>
    <col min="9179" max="9179" width="8.453125" bestFit="1" customWidth="1"/>
    <col min="9180" max="9180" width="11.1796875" bestFit="1" customWidth="1"/>
    <col min="9181" max="9181" width="8.453125" bestFit="1" customWidth="1"/>
    <col min="9182" max="9182" width="11.1796875" bestFit="1" customWidth="1"/>
    <col min="9183" max="9183" width="8.453125" bestFit="1" customWidth="1"/>
    <col min="9184" max="9184" width="11.1796875" bestFit="1" customWidth="1"/>
    <col min="9185" max="9185" width="8.453125" bestFit="1" customWidth="1"/>
    <col min="9186" max="9186" width="11.1796875" bestFit="1" customWidth="1"/>
    <col min="9187" max="9187" width="8.453125" bestFit="1" customWidth="1"/>
    <col min="9188" max="9188" width="11.1796875" bestFit="1" customWidth="1"/>
    <col min="9189" max="9189" width="8.453125" bestFit="1" customWidth="1"/>
    <col min="9190" max="9190" width="11.1796875" bestFit="1" customWidth="1"/>
    <col min="9191" max="9191" width="8.453125" bestFit="1" customWidth="1"/>
    <col min="9192" max="9192" width="11.1796875" bestFit="1" customWidth="1"/>
    <col min="9193" max="9193" width="8.453125" bestFit="1" customWidth="1"/>
    <col min="9194" max="9194" width="11.1796875" bestFit="1" customWidth="1"/>
    <col min="9195" max="9195" width="8.453125" bestFit="1" customWidth="1"/>
    <col min="9196" max="9196" width="11.1796875" bestFit="1" customWidth="1"/>
    <col min="9197" max="9197" width="8.453125" bestFit="1" customWidth="1"/>
    <col min="9198" max="9198" width="11.1796875" bestFit="1" customWidth="1"/>
    <col min="9199" max="9199" width="8.453125" bestFit="1" customWidth="1"/>
    <col min="9200" max="9200" width="11.1796875" bestFit="1" customWidth="1"/>
    <col min="9201" max="9201" width="8.453125" bestFit="1" customWidth="1"/>
    <col min="9202" max="9202" width="11.1796875" bestFit="1" customWidth="1"/>
    <col min="9203" max="9203" width="8.453125" bestFit="1" customWidth="1"/>
    <col min="9204" max="9204" width="11.1796875" bestFit="1" customWidth="1"/>
    <col min="9205" max="9205" width="8.453125" bestFit="1" customWidth="1"/>
    <col min="9206" max="9206" width="11.1796875" bestFit="1" customWidth="1"/>
    <col min="9207" max="9207" width="8.453125" bestFit="1" customWidth="1"/>
    <col min="9208" max="9208" width="11.1796875" bestFit="1" customWidth="1"/>
    <col min="9209" max="9209" width="8.453125" bestFit="1" customWidth="1"/>
    <col min="9210" max="9210" width="11.1796875" bestFit="1" customWidth="1"/>
    <col min="9211" max="9211" width="8.453125" bestFit="1" customWidth="1"/>
    <col min="9212" max="9212" width="11.1796875" bestFit="1" customWidth="1"/>
    <col min="9213" max="9213" width="8.453125" bestFit="1" customWidth="1"/>
    <col min="9214" max="9214" width="11.1796875" bestFit="1" customWidth="1"/>
    <col min="9215" max="9215" width="8.453125" bestFit="1" customWidth="1"/>
    <col min="9216" max="9216" width="11.1796875" bestFit="1" customWidth="1"/>
    <col min="9217" max="9217" width="8.453125" bestFit="1" customWidth="1"/>
    <col min="9218" max="9218" width="11.1796875" bestFit="1" customWidth="1"/>
    <col min="9219" max="9219" width="8.453125" bestFit="1" customWidth="1"/>
    <col min="9220" max="9220" width="11.1796875" bestFit="1" customWidth="1"/>
    <col min="9221" max="9221" width="8.453125" bestFit="1" customWidth="1"/>
    <col min="9222" max="9222" width="11.1796875" bestFit="1" customWidth="1"/>
    <col min="9223" max="9223" width="8.453125" bestFit="1" customWidth="1"/>
    <col min="9224" max="9224" width="11.1796875" bestFit="1" customWidth="1"/>
    <col min="9225" max="9225" width="8.453125" bestFit="1" customWidth="1"/>
    <col min="9226" max="9226" width="11.1796875" bestFit="1" customWidth="1"/>
    <col min="9227" max="9227" width="8.453125" bestFit="1" customWidth="1"/>
    <col min="9228" max="9228" width="11.1796875" bestFit="1" customWidth="1"/>
    <col min="9229" max="9229" width="8.453125" bestFit="1" customWidth="1"/>
    <col min="9230" max="9230" width="11.1796875" bestFit="1" customWidth="1"/>
    <col min="9231" max="9231" width="8.453125" bestFit="1" customWidth="1"/>
    <col min="9232" max="9232" width="11.1796875" bestFit="1" customWidth="1"/>
    <col min="9233" max="9233" width="8.453125" bestFit="1" customWidth="1"/>
    <col min="9234" max="9234" width="11.1796875" bestFit="1" customWidth="1"/>
    <col min="9235" max="9235" width="8.453125" bestFit="1" customWidth="1"/>
    <col min="9236" max="9236" width="11.1796875" bestFit="1" customWidth="1"/>
    <col min="9237" max="9237" width="8.453125" bestFit="1" customWidth="1"/>
    <col min="9238" max="9238" width="11.1796875" bestFit="1" customWidth="1"/>
    <col min="9239" max="9239" width="8.453125" bestFit="1" customWidth="1"/>
    <col min="9240" max="9240" width="11.1796875" bestFit="1" customWidth="1"/>
    <col min="9241" max="9241" width="8.453125" bestFit="1" customWidth="1"/>
    <col min="9242" max="9242" width="11.1796875" bestFit="1" customWidth="1"/>
    <col min="9243" max="9243" width="8.453125" bestFit="1" customWidth="1"/>
    <col min="9244" max="9244" width="11.1796875" bestFit="1" customWidth="1"/>
    <col min="9245" max="9245" width="8.453125" bestFit="1" customWidth="1"/>
    <col min="9246" max="9246" width="11.1796875" bestFit="1" customWidth="1"/>
    <col min="9247" max="9247" width="8.453125" bestFit="1" customWidth="1"/>
    <col min="9248" max="9248" width="11.1796875" bestFit="1" customWidth="1"/>
    <col min="9249" max="9249" width="8.453125" bestFit="1" customWidth="1"/>
    <col min="9250" max="9250" width="11.1796875" bestFit="1" customWidth="1"/>
    <col min="9251" max="9251" width="8.453125" bestFit="1" customWidth="1"/>
    <col min="9252" max="9252" width="11.1796875" bestFit="1" customWidth="1"/>
    <col min="9253" max="9253" width="8.453125" bestFit="1" customWidth="1"/>
    <col min="9254" max="9254" width="11.1796875" bestFit="1" customWidth="1"/>
    <col min="9255" max="9255" width="8.453125" bestFit="1" customWidth="1"/>
    <col min="9256" max="9256" width="11.1796875" bestFit="1" customWidth="1"/>
    <col min="9257" max="9257" width="8.453125" bestFit="1" customWidth="1"/>
    <col min="9258" max="9258" width="11.1796875" bestFit="1" customWidth="1"/>
    <col min="9259" max="9259" width="8.453125" bestFit="1" customWidth="1"/>
    <col min="9260" max="9260" width="11.1796875" bestFit="1" customWidth="1"/>
    <col min="9261" max="9261" width="8.453125" bestFit="1" customWidth="1"/>
    <col min="9262" max="9262" width="11.1796875" bestFit="1" customWidth="1"/>
    <col min="9263" max="9263" width="8.453125" bestFit="1" customWidth="1"/>
    <col min="9264" max="9264" width="11.1796875" bestFit="1" customWidth="1"/>
    <col min="9265" max="9265" width="8.453125" bestFit="1" customWidth="1"/>
    <col min="9266" max="9266" width="4.6796875" bestFit="1" customWidth="1"/>
    <col min="9267" max="9267" width="11.1796875" bestFit="1" customWidth="1"/>
    <col min="9268" max="9268" width="8.453125" bestFit="1" customWidth="1"/>
    <col min="9269" max="9269" width="11.1796875" bestFit="1" customWidth="1"/>
    <col min="9270" max="9270" width="8.453125" bestFit="1" customWidth="1"/>
    <col min="9271" max="9271" width="11.1796875" bestFit="1" customWidth="1"/>
    <col min="9272" max="9272" width="8.453125" bestFit="1" customWidth="1"/>
    <col min="9273" max="9273" width="11.1796875" bestFit="1" customWidth="1"/>
    <col min="9274" max="9274" width="8.453125" bestFit="1" customWidth="1"/>
    <col min="9275" max="9275" width="11.1796875" bestFit="1" customWidth="1"/>
    <col min="9276" max="9276" width="8.453125" bestFit="1" customWidth="1"/>
    <col min="9277" max="9277" width="11.1796875" bestFit="1" customWidth="1"/>
    <col min="9278" max="9278" width="8.453125" bestFit="1" customWidth="1"/>
    <col min="9279" max="9279" width="11.1796875" bestFit="1" customWidth="1"/>
    <col min="9280" max="9280" width="8.453125" bestFit="1" customWidth="1"/>
    <col min="9281" max="9281" width="11.1796875" bestFit="1" customWidth="1"/>
    <col min="9282" max="9282" width="8.453125" bestFit="1" customWidth="1"/>
    <col min="9283" max="9283" width="11.1796875" bestFit="1" customWidth="1"/>
    <col min="9284" max="9284" width="8.453125" bestFit="1" customWidth="1"/>
    <col min="9285" max="9285" width="11.1796875" bestFit="1" customWidth="1"/>
    <col min="9286" max="9286" width="8.453125" bestFit="1" customWidth="1"/>
    <col min="9287" max="9287" width="11.1796875" bestFit="1" customWidth="1"/>
    <col min="9288" max="9288" width="8.453125" bestFit="1" customWidth="1"/>
    <col min="9289" max="9289" width="11.1796875" bestFit="1" customWidth="1"/>
    <col min="9290" max="9290" width="8.453125" bestFit="1" customWidth="1"/>
    <col min="9291" max="9291" width="11.1796875" bestFit="1" customWidth="1"/>
    <col min="9292" max="9292" width="8.453125" bestFit="1" customWidth="1"/>
    <col min="9293" max="9293" width="11.1796875" bestFit="1" customWidth="1"/>
    <col min="9294" max="9294" width="8.453125" bestFit="1" customWidth="1"/>
    <col min="9295" max="9295" width="11.1796875" bestFit="1" customWidth="1"/>
    <col min="9296" max="9296" width="8.453125" bestFit="1" customWidth="1"/>
    <col min="9297" max="9297" width="11.1796875" bestFit="1" customWidth="1"/>
    <col min="9298" max="9298" width="8.453125" bestFit="1" customWidth="1"/>
    <col min="9299" max="9299" width="11.1796875" bestFit="1" customWidth="1"/>
    <col min="9300" max="9300" width="8.453125" bestFit="1" customWidth="1"/>
    <col min="9301" max="9301" width="11.1796875" bestFit="1" customWidth="1"/>
    <col min="9302" max="9302" width="8.453125" bestFit="1" customWidth="1"/>
    <col min="9303" max="9303" width="11.1796875" bestFit="1" customWidth="1"/>
    <col min="9304" max="9304" width="8.453125" bestFit="1" customWidth="1"/>
    <col min="9305" max="9305" width="11.1796875" bestFit="1" customWidth="1"/>
    <col min="9306" max="9306" width="8.453125" bestFit="1" customWidth="1"/>
    <col min="9307" max="9307" width="11.1796875" bestFit="1" customWidth="1"/>
    <col min="9308" max="9308" width="8.453125" bestFit="1" customWidth="1"/>
    <col min="9309" max="9309" width="11.1796875" bestFit="1" customWidth="1"/>
    <col min="9310" max="9310" width="8.453125" bestFit="1" customWidth="1"/>
    <col min="9311" max="9311" width="11.1796875" bestFit="1" customWidth="1"/>
    <col min="9312" max="9312" width="8.453125" bestFit="1" customWidth="1"/>
    <col min="9313" max="9313" width="11.1796875" bestFit="1" customWidth="1"/>
    <col min="9314" max="9314" width="8.453125" bestFit="1" customWidth="1"/>
    <col min="9315" max="9315" width="11.1796875" bestFit="1" customWidth="1"/>
    <col min="9316" max="9316" width="8.453125" bestFit="1" customWidth="1"/>
    <col min="9317" max="9317" width="11.1796875" bestFit="1" customWidth="1"/>
    <col min="9318" max="9318" width="8.453125" bestFit="1" customWidth="1"/>
    <col min="9319" max="9319" width="11.1796875" bestFit="1" customWidth="1"/>
    <col min="9320" max="9320" width="8.453125" bestFit="1" customWidth="1"/>
    <col min="9321" max="9321" width="11.1796875" bestFit="1" customWidth="1"/>
    <col min="9322" max="9322" width="8.453125" bestFit="1" customWidth="1"/>
    <col min="9323" max="9323" width="11.1796875" bestFit="1" customWidth="1"/>
    <col min="9324" max="9324" width="8.453125" bestFit="1" customWidth="1"/>
    <col min="9325" max="9325" width="11.1796875" bestFit="1" customWidth="1"/>
    <col min="9326" max="9326" width="8.453125" bestFit="1" customWidth="1"/>
    <col min="9327" max="9327" width="11.1796875" bestFit="1" customWidth="1"/>
    <col min="9328" max="9328" width="8.453125" bestFit="1" customWidth="1"/>
    <col min="9329" max="9329" width="11.1796875" bestFit="1" customWidth="1"/>
    <col min="9330" max="9330" width="8.453125" bestFit="1" customWidth="1"/>
    <col min="9331" max="9331" width="11.1796875" bestFit="1" customWidth="1"/>
    <col min="9332" max="9332" width="8.453125" bestFit="1" customWidth="1"/>
    <col min="9333" max="9333" width="11.1796875" bestFit="1" customWidth="1"/>
    <col min="9334" max="9334" width="8.453125" bestFit="1" customWidth="1"/>
    <col min="9335" max="9335" width="11.1796875" bestFit="1" customWidth="1"/>
    <col min="9336" max="9336" width="8.453125" bestFit="1" customWidth="1"/>
    <col min="9337" max="9337" width="11.1796875" bestFit="1" customWidth="1"/>
    <col min="9338" max="9338" width="8.453125" bestFit="1" customWidth="1"/>
    <col min="9339" max="9339" width="11.1796875" bestFit="1" customWidth="1"/>
    <col min="9340" max="9340" width="8.453125" bestFit="1" customWidth="1"/>
    <col min="9341" max="9341" width="11.1796875" bestFit="1" customWidth="1"/>
    <col min="9342" max="9342" width="8.453125" bestFit="1" customWidth="1"/>
    <col min="9343" max="9343" width="11.1796875" bestFit="1" customWidth="1"/>
    <col min="9344" max="9344" width="8.453125" bestFit="1" customWidth="1"/>
    <col min="9345" max="9345" width="11.1796875" bestFit="1" customWidth="1"/>
    <col min="9346" max="9346" width="8.453125" bestFit="1" customWidth="1"/>
    <col min="9347" max="9347" width="11.1796875" bestFit="1" customWidth="1"/>
    <col min="9348" max="9348" width="8.453125" bestFit="1" customWidth="1"/>
    <col min="9349" max="9349" width="11.1796875" bestFit="1" customWidth="1"/>
    <col min="9350" max="9350" width="8.453125" bestFit="1" customWidth="1"/>
    <col min="9351" max="9351" width="11.1796875" bestFit="1" customWidth="1"/>
    <col min="9352" max="9352" width="8.453125" bestFit="1" customWidth="1"/>
    <col min="9353" max="9353" width="11.1796875" bestFit="1" customWidth="1"/>
    <col min="9354" max="9354" width="8.453125" bestFit="1" customWidth="1"/>
    <col min="9355" max="9355" width="11.1796875" bestFit="1" customWidth="1"/>
    <col min="9356" max="9356" width="8.453125" bestFit="1" customWidth="1"/>
    <col min="9357" max="9357" width="11.1796875" bestFit="1" customWidth="1"/>
    <col min="9358" max="9358" width="8.453125" bestFit="1" customWidth="1"/>
    <col min="9359" max="9359" width="11.1796875" bestFit="1" customWidth="1"/>
    <col min="9360" max="9360" width="8.453125" bestFit="1" customWidth="1"/>
    <col min="9361" max="9361" width="11.1796875" bestFit="1" customWidth="1"/>
    <col min="9362" max="9362" width="8.453125" bestFit="1" customWidth="1"/>
    <col min="9363" max="9363" width="11.1796875" bestFit="1" customWidth="1"/>
    <col min="9364" max="9364" width="8.453125" bestFit="1" customWidth="1"/>
    <col min="9365" max="9365" width="11.1796875" bestFit="1" customWidth="1"/>
    <col min="9366" max="9366" width="8.453125" bestFit="1" customWidth="1"/>
    <col min="9367" max="9367" width="11.1796875" bestFit="1" customWidth="1"/>
    <col min="9368" max="9368" width="8.453125" bestFit="1" customWidth="1"/>
    <col min="9369" max="9369" width="11.1796875" bestFit="1" customWidth="1"/>
    <col min="9370" max="9370" width="8.453125" bestFit="1" customWidth="1"/>
    <col min="9371" max="9371" width="11.1796875" bestFit="1" customWidth="1"/>
    <col min="9372" max="9372" width="8.453125" bestFit="1" customWidth="1"/>
    <col min="9373" max="9373" width="11.1796875" bestFit="1" customWidth="1"/>
    <col min="9374" max="9374" width="8.453125" bestFit="1" customWidth="1"/>
    <col min="9375" max="9375" width="11.1796875" bestFit="1" customWidth="1"/>
    <col min="9376" max="9376" width="8.453125" bestFit="1" customWidth="1"/>
    <col min="9377" max="9377" width="11.1796875" bestFit="1" customWidth="1"/>
    <col min="9378" max="9378" width="8.453125" bestFit="1" customWidth="1"/>
    <col min="9379" max="9379" width="11.1796875" bestFit="1" customWidth="1"/>
    <col min="9380" max="9380" width="8.453125" bestFit="1" customWidth="1"/>
    <col min="9381" max="9381" width="11.1796875" bestFit="1" customWidth="1"/>
    <col min="9382" max="9382" width="8.453125" bestFit="1" customWidth="1"/>
    <col min="9383" max="9383" width="11.1796875" bestFit="1" customWidth="1"/>
    <col min="9384" max="9384" width="8.453125" bestFit="1" customWidth="1"/>
    <col min="9385" max="9385" width="11.1796875" bestFit="1" customWidth="1"/>
    <col min="9386" max="9386" width="8.453125" bestFit="1" customWidth="1"/>
    <col min="9387" max="9387" width="11.1796875" bestFit="1" customWidth="1"/>
    <col min="9388" max="9388" width="8.453125" bestFit="1" customWidth="1"/>
    <col min="9389" max="9389" width="11.1796875" bestFit="1" customWidth="1"/>
    <col min="9390" max="9390" width="8.453125" bestFit="1" customWidth="1"/>
    <col min="9391" max="9391" width="11.1796875" bestFit="1" customWidth="1"/>
    <col min="9392" max="9392" width="8.453125" bestFit="1" customWidth="1"/>
    <col min="9393" max="9393" width="11.1796875" bestFit="1" customWidth="1"/>
    <col min="9394" max="9394" width="8.453125" bestFit="1" customWidth="1"/>
    <col min="9395" max="9395" width="11.1796875" bestFit="1" customWidth="1"/>
    <col min="9396" max="9396" width="8.453125" bestFit="1" customWidth="1"/>
    <col min="9397" max="9397" width="11.1796875" bestFit="1" customWidth="1"/>
    <col min="9398" max="9398" width="8.453125" bestFit="1" customWidth="1"/>
    <col min="9399" max="9399" width="11.1796875" bestFit="1" customWidth="1"/>
    <col min="9400" max="9400" width="8.453125" bestFit="1" customWidth="1"/>
    <col min="9401" max="9401" width="11.1796875" bestFit="1" customWidth="1"/>
    <col min="9402" max="9402" width="8.453125" bestFit="1" customWidth="1"/>
    <col min="9403" max="9403" width="11.1796875" bestFit="1" customWidth="1"/>
    <col min="9404" max="9404" width="8.453125" bestFit="1" customWidth="1"/>
    <col min="9405" max="9405" width="11.1796875" bestFit="1" customWidth="1"/>
    <col min="9406" max="9406" width="8.453125" bestFit="1" customWidth="1"/>
    <col min="9407" max="9407" width="11.1796875" bestFit="1" customWidth="1"/>
    <col min="9408" max="9408" width="8.453125" bestFit="1" customWidth="1"/>
    <col min="9409" max="9409" width="11.1796875" bestFit="1" customWidth="1"/>
    <col min="9410" max="9410" width="8.453125" bestFit="1" customWidth="1"/>
    <col min="9411" max="9411" width="11.1796875" bestFit="1" customWidth="1"/>
    <col min="9412" max="9412" width="8.453125" bestFit="1" customWidth="1"/>
    <col min="9413" max="9413" width="11.1796875" bestFit="1" customWidth="1"/>
    <col min="9414" max="9414" width="8.453125" bestFit="1" customWidth="1"/>
    <col min="9415" max="9415" width="11.1796875" bestFit="1" customWidth="1"/>
    <col min="9416" max="9416" width="8.453125" bestFit="1" customWidth="1"/>
    <col min="9417" max="9417" width="11.1796875" bestFit="1" customWidth="1"/>
    <col min="9418" max="9418" width="8.453125" bestFit="1" customWidth="1"/>
    <col min="9419" max="9419" width="11.1796875" bestFit="1" customWidth="1"/>
    <col min="9420" max="9420" width="8.453125" bestFit="1" customWidth="1"/>
    <col min="9421" max="9421" width="11.1796875" bestFit="1" customWidth="1"/>
    <col min="9422" max="9422" width="8.453125" bestFit="1" customWidth="1"/>
    <col min="9423" max="9423" width="11.1796875" bestFit="1" customWidth="1"/>
    <col min="9424" max="9424" width="8.453125" bestFit="1" customWidth="1"/>
    <col min="9425" max="9425" width="11.1796875" bestFit="1" customWidth="1"/>
    <col min="9426" max="9426" width="8.453125" bestFit="1" customWidth="1"/>
    <col min="9427" max="9427" width="11.1796875" bestFit="1" customWidth="1"/>
    <col min="9428" max="9428" width="8.453125" bestFit="1" customWidth="1"/>
    <col min="9429" max="9429" width="11.1796875" bestFit="1" customWidth="1"/>
    <col min="9430" max="9430" width="8.453125" bestFit="1" customWidth="1"/>
    <col min="9431" max="9431" width="11.1796875" bestFit="1" customWidth="1"/>
    <col min="9432" max="9432" width="8.453125" bestFit="1" customWidth="1"/>
    <col min="9433" max="9433" width="11.1796875" bestFit="1" customWidth="1"/>
    <col min="9434" max="9434" width="8.453125" bestFit="1" customWidth="1"/>
    <col min="9435" max="9435" width="11.1796875" bestFit="1" customWidth="1"/>
    <col min="9436" max="9436" width="8.453125" bestFit="1" customWidth="1"/>
    <col min="9437" max="9437" width="11.1796875" bestFit="1" customWidth="1"/>
    <col min="9438" max="9438" width="8.453125" bestFit="1" customWidth="1"/>
    <col min="9439" max="9439" width="11.1796875" bestFit="1" customWidth="1"/>
    <col min="9440" max="9440" width="8.453125" bestFit="1" customWidth="1"/>
    <col min="9441" max="9441" width="11.1796875" bestFit="1" customWidth="1"/>
    <col min="9442" max="9442" width="8.453125" bestFit="1" customWidth="1"/>
    <col min="9443" max="9443" width="11.1796875" bestFit="1" customWidth="1"/>
    <col min="9444" max="9444" width="8.453125" bestFit="1" customWidth="1"/>
    <col min="9445" max="9445" width="11.1796875" bestFit="1" customWidth="1"/>
    <col min="9446" max="9446" width="8.453125" bestFit="1" customWidth="1"/>
    <col min="9447" max="9447" width="11.1796875" bestFit="1" customWidth="1"/>
    <col min="9448" max="9448" width="8.453125" bestFit="1" customWidth="1"/>
    <col min="9449" max="9449" width="11.1796875" bestFit="1" customWidth="1"/>
    <col min="9450" max="9450" width="8.453125" bestFit="1" customWidth="1"/>
    <col min="9451" max="9451" width="11.1796875" bestFit="1" customWidth="1"/>
    <col min="9452" max="9452" width="8.453125" bestFit="1" customWidth="1"/>
    <col min="9453" max="9453" width="11.1796875" bestFit="1" customWidth="1"/>
    <col min="9454" max="9454" width="8.453125" bestFit="1" customWidth="1"/>
    <col min="9455" max="9455" width="11.1796875" bestFit="1" customWidth="1"/>
    <col min="9456" max="9456" width="8.453125" bestFit="1" customWidth="1"/>
    <col min="9457" max="9457" width="11.1796875" bestFit="1" customWidth="1"/>
    <col min="9458" max="9458" width="8.453125" bestFit="1" customWidth="1"/>
    <col min="9459" max="9459" width="11.1796875" bestFit="1" customWidth="1"/>
    <col min="9460" max="9460" width="8.453125" bestFit="1" customWidth="1"/>
    <col min="9461" max="9461" width="11.1796875" bestFit="1" customWidth="1"/>
    <col min="9462" max="9462" width="8.453125" bestFit="1" customWidth="1"/>
    <col min="9463" max="9463" width="11.1796875" bestFit="1" customWidth="1"/>
    <col min="9464" max="9464" width="8.453125" bestFit="1" customWidth="1"/>
    <col min="9465" max="9465" width="11.1796875" bestFit="1" customWidth="1"/>
    <col min="9466" max="9466" width="8.453125" bestFit="1" customWidth="1"/>
    <col min="9467" max="9467" width="11.1796875" bestFit="1" customWidth="1"/>
    <col min="9468" max="9468" width="8.453125" bestFit="1" customWidth="1"/>
    <col min="9469" max="9469" width="11.1796875" bestFit="1" customWidth="1"/>
    <col min="9470" max="9470" width="8.453125" bestFit="1" customWidth="1"/>
    <col min="9471" max="9471" width="11.1796875" bestFit="1" customWidth="1"/>
    <col min="9472" max="9472" width="8.453125" bestFit="1" customWidth="1"/>
    <col min="9473" max="9473" width="11.1796875" bestFit="1" customWidth="1"/>
    <col min="9474" max="9474" width="8.453125" bestFit="1" customWidth="1"/>
    <col min="9475" max="9475" width="11.1796875" bestFit="1" customWidth="1"/>
    <col min="9476" max="9476" width="8.453125" bestFit="1" customWidth="1"/>
    <col min="9477" max="9477" width="11.1796875" bestFit="1" customWidth="1"/>
    <col min="9478" max="9478" width="8.453125" bestFit="1" customWidth="1"/>
    <col min="9479" max="9479" width="11.1796875" bestFit="1" customWidth="1"/>
    <col min="9480" max="9480" width="8.453125" bestFit="1" customWidth="1"/>
    <col min="9481" max="9481" width="11.1796875" bestFit="1" customWidth="1"/>
    <col min="9482" max="9482" width="8.453125" bestFit="1" customWidth="1"/>
    <col min="9483" max="9483" width="11.1796875" bestFit="1" customWidth="1"/>
    <col min="9484" max="9484" width="8.453125" bestFit="1" customWidth="1"/>
    <col min="9485" max="9485" width="11.1796875" bestFit="1" customWidth="1"/>
    <col min="9486" max="9486" width="8.453125" bestFit="1" customWidth="1"/>
    <col min="9487" max="9487" width="11.1796875" bestFit="1" customWidth="1"/>
    <col min="9488" max="9488" width="8.453125" bestFit="1" customWidth="1"/>
    <col min="9489" max="9489" width="11.1796875" bestFit="1" customWidth="1"/>
    <col min="9490" max="9490" width="8.453125" bestFit="1" customWidth="1"/>
    <col min="9491" max="9491" width="11.1796875" bestFit="1" customWidth="1"/>
    <col min="9492" max="9492" width="8.453125" bestFit="1" customWidth="1"/>
    <col min="9493" max="9493" width="11.1796875" bestFit="1" customWidth="1"/>
    <col min="9494" max="9494" width="8.453125" bestFit="1" customWidth="1"/>
    <col min="9495" max="9495" width="11.1796875" bestFit="1" customWidth="1"/>
    <col min="9496" max="9496" width="8.453125" bestFit="1" customWidth="1"/>
    <col min="9497" max="9497" width="11.1796875" bestFit="1" customWidth="1"/>
    <col min="9498" max="9498" width="8.453125" bestFit="1" customWidth="1"/>
    <col min="9499" max="9499" width="11.1796875" bestFit="1" customWidth="1"/>
    <col min="9500" max="9500" width="8.453125" bestFit="1" customWidth="1"/>
    <col min="9501" max="9501" width="11.1796875" bestFit="1" customWidth="1"/>
    <col min="9502" max="9502" width="8.453125" bestFit="1" customWidth="1"/>
    <col min="9503" max="9503" width="11.1796875" bestFit="1" customWidth="1"/>
    <col min="9504" max="9504" width="8.453125" bestFit="1" customWidth="1"/>
    <col min="9505" max="9505" width="11.1796875" bestFit="1" customWidth="1"/>
    <col min="9506" max="9506" width="8.453125" bestFit="1" customWidth="1"/>
    <col min="9507" max="9507" width="11.1796875" bestFit="1" customWidth="1"/>
    <col min="9508" max="9508" width="8.453125" bestFit="1" customWidth="1"/>
    <col min="9509" max="9509" width="11.1796875" bestFit="1" customWidth="1"/>
    <col min="9510" max="9510" width="8.453125" bestFit="1" customWidth="1"/>
    <col min="9511" max="9511" width="11.1796875" bestFit="1" customWidth="1"/>
    <col min="9512" max="9512" width="8.453125" bestFit="1" customWidth="1"/>
    <col min="9513" max="9513" width="11.1796875" bestFit="1" customWidth="1"/>
    <col min="9514" max="9514" width="8.453125" bestFit="1" customWidth="1"/>
    <col min="9515" max="9515" width="11.1796875" bestFit="1" customWidth="1"/>
    <col min="9516" max="9516" width="8.453125" bestFit="1" customWidth="1"/>
    <col min="9517" max="9517" width="11.1796875" bestFit="1" customWidth="1"/>
    <col min="9518" max="9518" width="8.453125" bestFit="1" customWidth="1"/>
    <col min="9519" max="9519" width="11.1796875" bestFit="1" customWidth="1"/>
    <col min="9520" max="9520" width="8.453125" bestFit="1" customWidth="1"/>
    <col min="9521" max="9521" width="11.1796875" bestFit="1" customWidth="1"/>
    <col min="9522" max="9522" width="8.453125" bestFit="1" customWidth="1"/>
    <col min="9523" max="9523" width="11.1796875" bestFit="1" customWidth="1"/>
    <col min="9524" max="9524" width="8.453125" bestFit="1" customWidth="1"/>
    <col min="9525" max="9525" width="11.1796875" bestFit="1" customWidth="1"/>
    <col min="9526" max="9526" width="8.453125" bestFit="1" customWidth="1"/>
    <col min="9527" max="9527" width="11.1796875" bestFit="1" customWidth="1"/>
    <col min="9528" max="9528" width="8.453125" bestFit="1" customWidth="1"/>
    <col min="9529" max="9529" width="11.1796875" bestFit="1" customWidth="1"/>
    <col min="9530" max="9530" width="8.453125" bestFit="1" customWidth="1"/>
    <col min="9531" max="9531" width="11.1796875" bestFit="1" customWidth="1"/>
    <col min="9532" max="9532" width="8.453125" bestFit="1" customWidth="1"/>
    <col min="9533" max="9533" width="11.1796875" bestFit="1" customWidth="1"/>
    <col min="9534" max="9534" width="8.453125" bestFit="1" customWidth="1"/>
    <col min="9535" max="9535" width="11.1796875" bestFit="1" customWidth="1"/>
    <col min="9536" max="9536" width="8.453125" bestFit="1" customWidth="1"/>
    <col min="9537" max="9537" width="11.1796875" bestFit="1" customWidth="1"/>
    <col min="9538" max="9538" width="8.453125" bestFit="1" customWidth="1"/>
    <col min="9539" max="9539" width="11.1796875" bestFit="1" customWidth="1"/>
    <col min="9540" max="9540" width="8.453125" bestFit="1" customWidth="1"/>
    <col min="9541" max="9541" width="11.1796875" bestFit="1" customWidth="1"/>
    <col min="9542" max="9542" width="8.453125" bestFit="1" customWidth="1"/>
    <col min="9543" max="9543" width="11.1796875" bestFit="1" customWidth="1"/>
    <col min="9544" max="9544" width="8.453125" bestFit="1" customWidth="1"/>
    <col min="9545" max="9545" width="11.1796875" bestFit="1" customWidth="1"/>
    <col min="9546" max="9546" width="8.453125" bestFit="1" customWidth="1"/>
    <col min="9547" max="9547" width="11.1796875" bestFit="1" customWidth="1"/>
    <col min="9548" max="9548" width="8.453125" bestFit="1" customWidth="1"/>
    <col min="9549" max="9549" width="11.1796875" bestFit="1" customWidth="1"/>
    <col min="9550" max="9550" width="8.453125" bestFit="1" customWidth="1"/>
    <col min="9551" max="9551" width="11.1796875" bestFit="1" customWidth="1"/>
    <col min="9552" max="9552" width="8.453125" bestFit="1" customWidth="1"/>
    <col min="9553" max="9553" width="11.1796875" bestFit="1" customWidth="1"/>
    <col min="9554" max="9554" width="8.453125" bestFit="1" customWidth="1"/>
    <col min="9555" max="9555" width="11.1796875" bestFit="1" customWidth="1"/>
    <col min="9556" max="9556" width="8.453125" bestFit="1" customWidth="1"/>
    <col min="9557" max="9557" width="11.1796875" bestFit="1" customWidth="1"/>
    <col min="9558" max="9558" width="8.453125" bestFit="1" customWidth="1"/>
    <col min="9559" max="9559" width="11.1796875" bestFit="1" customWidth="1"/>
    <col min="9560" max="9560" width="8.453125" bestFit="1" customWidth="1"/>
    <col min="9561" max="9561" width="11.1796875" bestFit="1" customWidth="1"/>
    <col min="9562" max="9562" width="8.453125" bestFit="1" customWidth="1"/>
    <col min="9563" max="9563" width="11.1796875" bestFit="1" customWidth="1"/>
    <col min="9564" max="9564" width="8.453125" bestFit="1" customWidth="1"/>
    <col min="9565" max="9565" width="11.1796875" bestFit="1" customWidth="1"/>
    <col min="9566" max="9566" width="8.453125" bestFit="1" customWidth="1"/>
    <col min="9567" max="9567" width="11.1796875" bestFit="1" customWidth="1"/>
    <col min="9568" max="9568" width="8.453125" bestFit="1" customWidth="1"/>
    <col min="9569" max="9569" width="11.1796875" bestFit="1" customWidth="1"/>
    <col min="9570" max="9570" width="8.453125" bestFit="1" customWidth="1"/>
    <col min="9571" max="9571" width="11.1796875" bestFit="1" customWidth="1"/>
    <col min="9572" max="9572" width="8.453125" bestFit="1" customWidth="1"/>
    <col min="9573" max="9573" width="11.1796875" bestFit="1" customWidth="1"/>
    <col min="9574" max="9574" width="8.453125" bestFit="1" customWidth="1"/>
    <col min="9575" max="9575" width="11.1796875" bestFit="1" customWidth="1"/>
    <col min="9576" max="9576" width="8.453125" bestFit="1" customWidth="1"/>
    <col min="9577" max="9577" width="11.1796875" bestFit="1" customWidth="1"/>
    <col min="9578" max="9578" width="8.453125" bestFit="1" customWidth="1"/>
    <col min="9579" max="9579" width="11.1796875" bestFit="1" customWidth="1"/>
    <col min="9580" max="9580" width="8.453125" bestFit="1" customWidth="1"/>
    <col min="9581" max="9581" width="11.1796875" bestFit="1" customWidth="1"/>
    <col min="9582" max="9582" width="8.453125" bestFit="1" customWidth="1"/>
    <col min="9583" max="9583" width="11.1796875" bestFit="1" customWidth="1"/>
    <col min="9584" max="9584" width="8.453125" bestFit="1" customWidth="1"/>
    <col min="9585" max="9585" width="11.1796875" bestFit="1" customWidth="1"/>
    <col min="9586" max="9586" width="8.453125" bestFit="1" customWidth="1"/>
    <col min="9587" max="9587" width="11.1796875" bestFit="1" customWidth="1"/>
    <col min="9588" max="9588" width="8.453125" bestFit="1" customWidth="1"/>
    <col min="9589" max="9589" width="11.1796875" bestFit="1" customWidth="1"/>
    <col min="9590" max="9590" width="8.453125" bestFit="1" customWidth="1"/>
    <col min="9591" max="9591" width="11.1796875" bestFit="1" customWidth="1"/>
    <col min="9592" max="9592" width="8.453125" bestFit="1" customWidth="1"/>
    <col min="9593" max="9593" width="11.1796875" bestFit="1" customWidth="1"/>
    <col min="9594" max="9594" width="8.453125" bestFit="1" customWidth="1"/>
    <col min="9595" max="9595" width="11.1796875" bestFit="1" customWidth="1"/>
    <col min="9596" max="9596" width="8.453125" bestFit="1" customWidth="1"/>
    <col min="9597" max="9597" width="11.1796875" bestFit="1" customWidth="1"/>
    <col min="9598" max="9598" width="8.453125" bestFit="1" customWidth="1"/>
    <col min="9599" max="9599" width="11.1796875" bestFit="1" customWidth="1"/>
    <col min="9600" max="9600" width="8.453125" bestFit="1" customWidth="1"/>
    <col min="9601" max="9601" width="11.1796875" bestFit="1" customWidth="1"/>
    <col min="9602" max="9602" width="8.453125" bestFit="1" customWidth="1"/>
    <col min="9603" max="9603" width="11.1796875" bestFit="1" customWidth="1"/>
    <col min="9604" max="9604" width="8.453125" bestFit="1" customWidth="1"/>
    <col min="9605" max="9605" width="11.1796875" bestFit="1" customWidth="1"/>
    <col min="9606" max="9606" width="8.453125" bestFit="1" customWidth="1"/>
    <col min="9607" max="9607" width="11.1796875" bestFit="1" customWidth="1"/>
    <col min="9608" max="9608" width="9.453125" bestFit="1" customWidth="1"/>
    <col min="9609" max="9609" width="12.1796875" bestFit="1" customWidth="1"/>
    <col min="9610" max="9610" width="9.453125" bestFit="1" customWidth="1"/>
    <col min="9611" max="9611" width="12.1796875" bestFit="1" customWidth="1"/>
    <col min="9612" max="9612" width="9.453125" bestFit="1" customWidth="1"/>
    <col min="9613" max="9613" width="12.1796875" bestFit="1" customWidth="1"/>
    <col min="9614" max="9614" width="9.453125" bestFit="1" customWidth="1"/>
    <col min="9615" max="9615" width="12.1796875" bestFit="1" customWidth="1"/>
    <col min="9616" max="9616" width="9.453125" bestFit="1" customWidth="1"/>
    <col min="9617" max="9617" width="12.1796875" bestFit="1" customWidth="1"/>
    <col min="9618" max="9618" width="9.453125" bestFit="1" customWidth="1"/>
    <col min="9619" max="9619" width="12.1796875" bestFit="1" customWidth="1"/>
    <col min="9620" max="9620" width="9.453125" bestFit="1" customWidth="1"/>
    <col min="9621" max="9621" width="12.1796875" bestFit="1" customWidth="1"/>
    <col min="9622" max="9622" width="9.453125" bestFit="1" customWidth="1"/>
    <col min="9623" max="9623" width="12.1796875" bestFit="1" customWidth="1"/>
    <col min="9624" max="9624" width="9.453125" bestFit="1" customWidth="1"/>
    <col min="9625" max="9625" width="12.1796875" bestFit="1" customWidth="1"/>
    <col min="9626" max="9626" width="9.453125" bestFit="1" customWidth="1"/>
    <col min="9627" max="9627" width="12.1796875" bestFit="1" customWidth="1"/>
    <col min="9628" max="9628" width="9.453125" bestFit="1" customWidth="1"/>
    <col min="9629" max="9629" width="12.1796875" bestFit="1" customWidth="1"/>
    <col min="9630" max="9630" width="9.453125" bestFit="1" customWidth="1"/>
    <col min="9631" max="9631" width="12.1796875" bestFit="1" customWidth="1"/>
    <col min="9632" max="9632" width="9.453125" bestFit="1" customWidth="1"/>
    <col min="9633" max="9633" width="12.1796875" bestFit="1" customWidth="1"/>
    <col min="9634" max="9634" width="9.453125" bestFit="1" customWidth="1"/>
    <col min="9635" max="9635" width="12.1796875" bestFit="1" customWidth="1"/>
    <col min="9636" max="9636" width="9.453125" bestFit="1" customWidth="1"/>
    <col min="9637" max="9637" width="12.1796875" bestFit="1" customWidth="1"/>
    <col min="9638" max="9638" width="9.453125" bestFit="1" customWidth="1"/>
    <col min="9639" max="9639" width="12.1796875" bestFit="1" customWidth="1"/>
    <col min="9640" max="9640" width="9.453125" bestFit="1" customWidth="1"/>
    <col min="9641" max="9641" width="12.1796875" bestFit="1" customWidth="1"/>
    <col min="9642" max="9642" width="9.453125" bestFit="1" customWidth="1"/>
    <col min="9643" max="9643" width="12.1796875" bestFit="1" customWidth="1"/>
    <col min="9644" max="9644" width="9.453125" bestFit="1" customWidth="1"/>
    <col min="9645" max="9645" width="12.1796875" bestFit="1" customWidth="1"/>
    <col min="9646" max="9646" width="9.453125" bestFit="1" customWidth="1"/>
    <col min="9647" max="9647" width="12.1796875" bestFit="1" customWidth="1"/>
    <col min="9648" max="9648" width="9.453125" bestFit="1" customWidth="1"/>
    <col min="9649" max="9649" width="12.1796875" bestFit="1" customWidth="1"/>
    <col min="9650" max="9650" width="9.453125" bestFit="1" customWidth="1"/>
    <col min="9651" max="9651" width="12.1796875" bestFit="1" customWidth="1"/>
    <col min="9652" max="9652" width="9.453125" bestFit="1" customWidth="1"/>
    <col min="9653" max="9653" width="12.1796875" bestFit="1" customWidth="1"/>
    <col min="9654" max="9654" width="9.453125" bestFit="1" customWidth="1"/>
    <col min="9655" max="9655" width="12.1796875" bestFit="1" customWidth="1"/>
    <col min="9656" max="9656" width="9.453125" bestFit="1" customWidth="1"/>
    <col min="9657" max="9657" width="12.1796875" bestFit="1" customWidth="1"/>
    <col min="9658" max="9658" width="9.453125" bestFit="1" customWidth="1"/>
    <col min="9659" max="9659" width="12.1796875" bestFit="1" customWidth="1"/>
    <col min="9660" max="9660" width="9.453125" bestFit="1" customWidth="1"/>
    <col min="9661" max="9661" width="12.1796875" bestFit="1" customWidth="1"/>
    <col min="9662" max="9662" width="9.453125" bestFit="1" customWidth="1"/>
    <col min="9663" max="9663" width="12.1796875" bestFit="1" customWidth="1"/>
    <col min="9664" max="9664" width="9.453125" bestFit="1" customWidth="1"/>
    <col min="9665" max="9665" width="12.1796875" bestFit="1" customWidth="1"/>
    <col min="9666" max="9666" width="9.453125" bestFit="1" customWidth="1"/>
    <col min="9667" max="9667" width="12.1796875" bestFit="1" customWidth="1"/>
    <col min="9668" max="9668" width="9.453125" bestFit="1" customWidth="1"/>
    <col min="9669" max="9669" width="12.1796875" bestFit="1" customWidth="1"/>
    <col min="9670" max="9670" width="9.453125" bestFit="1" customWidth="1"/>
    <col min="9671" max="9671" width="12.1796875" bestFit="1" customWidth="1"/>
    <col min="9672" max="9672" width="9.453125" bestFit="1" customWidth="1"/>
    <col min="9673" max="9673" width="12.1796875" bestFit="1" customWidth="1"/>
    <col min="9674" max="9674" width="9.453125" bestFit="1" customWidth="1"/>
    <col min="9675" max="9675" width="12.1796875" bestFit="1" customWidth="1"/>
    <col min="9676" max="9676" width="9.453125" bestFit="1" customWidth="1"/>
    <col min="9677" max="9677" width="12.1796875" bestFit="1" customWidth="1"/>
    <col min="9678" max="9678" width="9.453125" bestFit="1" customWidth="1"/>
    <col min="9679" max="9679" width="12.1796875" bestFit="1" customWidth="1"/>
    <col min="9680" max="9680" width="9.453125" bestFit="1" customWidth="1"/>
    <col min="9681" max="9681" width="12.1796875" bestFit="1" customWidth="1"/>
    <col min="9682" max="9682" width="9.453125" bestFit="1" customWidth="1"/>
    <col min="9683" max="9683" width="12.1796875" bestFit="1" customWidth="1"/>
    <col min="9684" max="9684" width="9.453125" bestFit="1" customWidth="1"/>
    <col min="9685" max="9685" width="12.1796875" bestFit="1" customWidth="1"/>
    <col min="9686" max="9686" width="9.453125" bestFit="1" customWidth="1"/>
    <col min="9687" max="9687" width="12.1796875" bestFit="1" customWidth="1"/>
    <col min="9688" max="9688" width="9.453125" bestFit="1" customWidth="1"/>
    <col min="9689" max="9689" width="12.1796875" bestFit="1" customWidth="1"/>
    <col min="9690" max="9690" width="9.453125" bestFit="1" customWidth="1"/>
    <col min="9691" max="9691" width="12.1796875" bestFit="1" customWidth="1"/>
    <col min="9692" max="9692" width="9.453125" bestFit="1" customWidth="1"/>
    <col min="9693" max="9693" width="12.1796875" bestFit="1" customWidth="1"/>
    <col min="9694" max="9694" width="9.453125" bestFit="1" customWidth="1"/>
    <col min="9695" max="9695" width="12.1796875" bestFit="1" customWidth="1"/>
    <col min="9696" max="9696" width="9.453125" bestFit="1" customWidth="1"/>
    <col min="9697" max="9697" width="12.1796875" bestFit="1" customWidth="1"/>
    <col min="9698" max="9698" width="9.453125" bestFit="1" customWidth="1"/>
    <col min="9699" max="9699" width="12.1796875" bestFit="1" customWidth="1"/>
    <col min="9700" max="9700" width="9.453125" bestFit="1" customWidth="1"/>
    <col min="9701" max="9701" width="12.1796875" bestFit="1" customWidth="1"/>
    <col min="9702" max="9702" width="9.453125" bestFit="1" customWidth="1"/>
    <col min="9703" max="9703" width="12.1796875" bestFit="1" customWidth="1"/>
    <col min="9704" max="9704" width="9.453125" bestFit="1" customWidth="1"/>
    <col min="9705" max="9705" width="12.1796875" bestFit="1" customWidth="1"/>
    <col min="9706" max="9706" width="9.453125" bestFit="1" customWidth="1"/>
    <col min="9707" max="9707" width="12.1796875" bestFit="1" customWidth="1"/>
    <col min="9708" max="9708" width="9.453125" bestFit="1" customWidth="1"/>
    <col min="9709" max="9709" width="12.1796875" bestFit="1" customWidth="1"/>
    <col min="9710" max="9710" width="9.453125" bestFit="1" customWidth="1"/>
    <col min="9711" max="9711" width="12.1796875" bestFit="1" customWidth="1"/>
    <col min="9712" max="9712" width="9.453125" bestFit="1" customWidth="1"/>
    <col min="9713" max="9713" width="12.1796875" bestFit="1" customWidth="1"/>
    <col min="9714" max="9714" width="9.453125" bestFit="1" customWidth="1"/>
    <col min="9715" max="9715" width="12.1796875" bestFit="1" customWidth="1"/>
    <col min="9716" max="9716" width="9.453125" bestFit="1" customWidth="1"/>
    <col min="9717" max="9717" width="12.1796875" bestFit="1" customWidth="1"/>
    <col min="9718" max="9718" width="9.453125" bestFit="1" customWidth="1"/>
    <col min="9719" max="9719" width="12.1796875" bestFit="1" customWidth="1"/>
    <col min="9720" max="9720" width="9.453125" bestFit="1" customWidth="1"/>
    <col min="9721" max="9721" width="12.1796875" bestFit="1" customWidth="1"/>
    <col min="9722" max="9722" width="9.453125" bestFit="1" customWidth="1"/>
    <col min="9723" max="9723" width="12.1796875" bestFit="1" customWidth="1"/>
    <col min="9724" max="9724" width="9.453125" bestFit="1" customWidth="1"/>
    <col min="9725" max="9725" width="12.1796875" bestFit="1" customWidth="1"/>
    <col min="9726" max="9726" width="9.453125" bestFit="1" customWidth="1"/>
    <col min="9727" max="9727" width="12.1796875" bestFit="1" customWidth="1"/>
    <col min="9728" max="9728" width="9.453125" bestFit="1" customWidth="1"/>
    <col min="9729" max="9729" width="12.1796875" bestFit="1" customWidth="1"/>
    <col min="9730" max="9730" width="9.453125" bestFit="1" customWidth="1"/>
    <col min="9731" max="9731" width="12.1796875" bestFit="1" customWidth="1"/>
    <col min="9732" max="9732" width="9.453125" bestFit="1" customWidth="1"/>
    <col min="9733" max="9733" width="12.1796875" bestFit="1" customWidth="1"/>
    <col min="9734" max="9734" width="9.453125" bestFit="1" customWidth="1"/>
    <col min="9735" max="9735" width="12.1796875" bestFit="1" customWidth="1"/>
    <col min="9736" max="9736" width="9.453125" bestFit="1" customWidth="1"/>
    <col min="9737" max="9737" width="12.1796875" bestFit="1" customWidth="1"/>
    <col min="9738" max="9738" width="9.453125" bestFit="1" customWidth="1"/>
    <col min="9739" max="9739" width="12.1796875" bestFit="1" customWidth="1"/>
    <col min="9740" max="9740" width="9.453125" bestFit="1" customWidth="1"/>
    <col min="9741" max="9741" width="12.1796875" bestFit="1" customWidth="1"/>
    <col min="9742" max="9742" width="9.453125" bestFit="1" customWidth="1"/>
    <col min="9743" max="9743" width="12.1796875" bestFit="1" customWidth="1"/>
    <col min="9744" max="9744" width="9.453125" bestFit="1" customWidth="1"/>
    <col min="9745" max="9745" width="12.1796875" bestFit="1" customWidth="1"/>
    <col min="9746" max="9746" width="9.453125" bestFit="1" customWidth="1"/>
    <col min="9747" max="9747" width="12.1796875" bestFit="1" customWidth="1"/>
    <col min="9748" max="9748" width="9.453125" bestFit="1" customWidth="1"/>
    <col min="9749" max="9749" width="12.1796875" bestFit="1" customWidth="1"/>
    <col min="9750" max="9750" width="9.453125" bestFit="1" customWidth="1"/>
    <col min="9751" max="9751" width="12.1796875" bestFit="1" customWidth="1"/>
    <col min="9752" max="9752" width="9.453125" bestFit="1" customWidth="1"/>
    <col min="9753" max="9753" width="12.1796875" bestFit="1" customWidth="1"/>
    <col min="9754" max="9754" width="9.453125" bestFit="1" customWidth="1"/>
    <col min="9755" max="9755" width="12.1796875" bestFit="1" customWidth="1"/>
    <col min="9756" max="9756" width="9.453125" bestFit="1" customWidth="1"/>
    <col min="9757" max="9757" width="12.1796875" bestFit="1" customWidth="1"/>
    <col min="9758" max="9758" width="9.453125" bestFit="1" customWidth="1"/>
    <col min="9759" max="9759" width="12.1796875" bestFit="1" customWidth="1"/>
    <col min="9760" max="9760" width="9.453125" bestFit="1" customWidth="1"/>
    <col min="9761" max="9761" width="12.1796875" bestFit="1" customWidth="1"/>
    <col min="9762" max="9762" width="9.453125" bestFit="1" customWidth="1"/>
    <col min="9763" max="9763" width="12.1796875" bestFit="1" customWidth="1"/>
    <col min="9764" max="9764" width="9.453125" bestFit="1" customWidth="1"/>
    <col min="9765" max="9765" width="12.1796875" bestFit="1" customWidth="1"/>
    <col min="9766" max="9766" width="9.453125" bestFit="1" customWidth="1"/>
    <col min="9767" max="9767" width="12.1796875" bestFit="1" customWidth="1"/>
    <col min="9768" max="9768" width="9.453125" bestFit="1" customWidth="1"/>
    <col min="9769" max="9769" width="12.1796875" bestFit="1" customWidth="1"/>
    <col min="9770" max="9770" width="9.453125" bestFit="1" customWidth="1"/>
    <col min="9771" max="9771" width="12.1796875" bestFit="1" customWidth="1"/>
    <col min="9772" max="9772" width="9.453125" bestFit="1" customWidth="1"/>
    <col min="9773" max="9773" width="12.1796875" bestFit="1" customWidth="1"/>
    <col min="9774" max="9774" width="9.453125" bestFit="1" customWidth="1"/>
    <col min="9775" max="9775" width="12.1796875" bestFit="1" customWidth="1"/>
    <col min="9776" max="9776" width="9.453125" bestFit="1" customWidth="1"/>
    <col min="9777" max="9777" width="12.1796875" bestFit="1" customWidth="1"/>
    <col min="9778" max="9778" width="9.453125" bestFit="1" customWidth="1"/>
    <col min="9779" max="9779" width="12.1796875" bestFit="1" customWidth="1"/>
    <col min="9780" max="9780" width="9.453125" bestFit="1" customWidth="1"/>
    <col min="9781" max="9781" width="12.1796875" bestFit="1" customWidth="1"/>
    <col min="9782" max="9782" width="9.453125" bestFit="1" customWidth="1"/>
    <col min="9783" max="9783" width="12.1796875" bestFit="1" customWidth="1"/>
    <col min="9784" max="9784" width="9.453125" bestFit="1" customWidth="1"/>
    <col min="9785" max="9785" width="12.1796875" bestFit="1" customWidth="1"/>
    <col min="9786" max="9786" width="9.453125" bestFit="1" customWidth="1"/>
    <col min="9787" max="9787" width="12.1796875" bestFit="1" customWidth="1"/>
    <col min="9788" max="9788" width="9.453125" bestFit="1" customWidth="1"/>
    <col min="9789" max="9789" width="12.1796875" bestFit="1" customWidth="1"/>
    <col min="9790" max="9790" width="9.453125" bestFit="1" customWidth="1"/>
    <col min="9791" max="9791" width="12.1796875" bestFit="1" customWidth="1"/>
    <col min="9792" max="9792" width="9.453125" bestFit="1" customWidth="1"/>
    <col min="9793" max="9793" width="12.1796875" bestFit="1" customWidth="1"/>
    <col min="9794" max="9794" width="9.453125" bestFit="1" customWidth="1"/>
    <col min="9795" max="9795" width="12.1796875" bestFit="1" customWidth="1"/>
    <col min="9796" max="9796" width="9.453125" bestFit="1" customWidth="1"/>
    <col min="9797" max="9797" width="12.1796875" bestFit="1" customWidth="1"/>
    <col min="9798" max="9798" width="9.453125" bestFit="1" customWidth="1"/>
    <col min="9799" max="9799" width="12.1796875" bestFit="1" customWidth="1"/>
    <col min="9800" max="9800" width="9.453125" bestFit="1" customWidth="1"/>
    <col min="9801" max="9801" width="12.1796875" bestFit="1" customWidth="1"/>
    <col min="9802" max="9802" width="9.453125" bestFit="1" customWidth="1"/>
    <col min="9803" max="9803" width="12.1796875" bestFit="1" customWidth="1"/>
    <col min="9804" max="9804" width="9.453125" bestFit="1" customWidth="1"/>
    <col min="9805" max="9805" width="12.1796875" bestFit="1" customWidth="1"/>
    <col min="9806" max="9806" width="9.453125" bestFit="1" customWidth="1"/>
    <col min="9807" max="9807" width="12.1796875" bestFit="1" customWidth="1"/>
    <col min="9808" max="9808" width="9.453125" bestFit="1" customWidth="1"/>
    <col min="9809" max="9809" width="12.1796875" bestFit="1" customWidth="1"/>
    <col min="9810" max="9810" width="9.453125" bestFit="1" customWidth="1"/>
    <col min="9811" max="9811" width="12.1796875" bestFit="1" customWidth="1"/>
    <col min="9812" max="9812" width="9.453125" bestFit="1" customWidth="1"/>
    <col min="9813" max="9813" width="12.1796875" bestFit="1" customWidth="1"/>
    <col min="9814" max="9814" width="9.453125" bestFit="1" customWidth="1"/>
    <col min="9815" max="9815" width="12.1796875" bestFit="1" customWidth="1"/>
    <col min="9816" max="9816" width="9.453125" bestFit="1" customWidth="1"/>
    <col min="9817" max="9817" width="12.1796875" bestFit="1" customWidth="1"/>
    <col min="9818" max="9818" width="9.453125" bestFit="1" customWidth="1"/>
    <col min="9819" max="9819" width="12.1796875" bestFit="1" customWidth="1"/>
    <col min="9820" max="9820" width="9.453125" bestFit="1" customWidth="1"/>
    <col min="9821" max="9821" width="12.1796875" bestFit="1" customWidth="1"/>
    <col min="9822" max="9822" width="9.453125" bestFit="1" customWidth="1"/>
    <col min="9823" max="9823" width="12.1796875" bestFit="1" customWidth="1"/>
    <col min="9824" max="9824" width="9.453125" bestFit="1" customWidth="1"/>
    <col min="9825" max="9825" width="12.1796875" bestFit="1" customWidth="1"/>
    <col min="9826" max="9826" width="9.453125" bestFit="1" customWidth="1"/>
    <col min="9827" max="9827" width="12.1796875" bestFit="1" customWidth="1"/>
    <col min="9828" max="9828" width="9.453125" bestFit="1" customWidth="1"/>
    <col min="9829" max="9829" width="12.1796875" bestFit="1" customWidth="1"/>
    <col min="9830" max="9830" width="9.453125" bestFit="1" customWidth="1"/>
    <col min="9831" max="9831" width="12.1796875" bestFit="1" customWidth="1"/>
    <col min="9832" max="9832" width="9.453125" bestFit="1" customWidth="1"/>
    <col min="9833" max="9833" width="12.1796875" bestFit="1" customWidth="1"/>
    <col min="9834" max="9834" width="9.453125" bestFit="1" customWidth="1"/>
    <col min="9835" max="9835" width="12.1796875" bestFit="1" customWidth="1"/>
    <col min="9836" max="9836" width="9.453125" bestFit="1" customWidth="1"/>
    <col min="9837" max="9837" width="12.1796875" bestFit="1" customWidth="1"/>
    <col min="9838" max="9838" width="9.453125" bestFit="1" customWidth="1"/>
    <col min="9839" max="9839" width="12.1796875" bestFit="1" customWidth="1"/>
    <col min="9840" max="9840" width="9.453125" bestFit="1" customWidth="1"/>
    <col min="9841" max="9841" width="12.1796875" bestFit="1" customWidth="1"/>
    <col min="9842" max="9842" width="9.453125" bestFit="1" customWidth="1"/>
    <col min="9843" max="9843" width="12.1796875" bestFit="1" customWidth="1"/>
    <col min="9844" max="9844" width="9.453125" bestFit="1" customWidth="1"/>
    <col min="9845" max="9845" width="12.1796875" bestFit="1" customWidth="1"/>
    <col min="9846" max="9846" width="9.453125" bestFit="1" customWidth="1"/>
    <col min="9847" max="9847" width="12.1796875" bestFit="1" customWidth="1"/>
    <col min="9848" max="9848" width="9.453125" bestFit="1" customWidth="1"/>
    <col min="9849" max="9849" width="12.1796875" bestFit="1" customWidth="1"/>
    <col min="9850" max="9850" width="9.453125" bestFit="1" customWidth="1"/>
    <col min="9851" max="9851" width="12.1796875" bestFit="1" customWidth="1"/>
    <col min="9852" max="9852" width="9.453125" bestFit="1" customWidth="1"/>
    <col min="9853" max="9853" width="12.1796875" bestFit="1" customWidth="1"/>
    <col min="9854" max="9854" width="9.453125" bestFit="1" customWidth="1"/>
    <col min="9855" max="9855" width="12.1796875" bestFit="1" customWidth="1"/>
    <col min="9856" max="9856" width="9.453125" bestFit="1" customWidth="1"/>
    <col min="9857" max="9857" width="12.1796875" bestFit="1" customWidth="1"/>
    <col min="9858" max="9858" width="9.453125" bestFit="1" customWidth="1"/>
    <col min="9859" max="9859" width="12.1796875" bestFit="1" customWidth="1"/>
    <col min="9860" max="9860" width="9.453125" bestFit="1" customWidth="1"/>
    <col min="9861" max="9861" width="12.1796875" bestFit="1" customWidth="1"/>
    <col min="9862" max="9862" width="9.453125" bestFit="1" customWidth="1"/>
    <col min="9863" max="9863" width="12.1796875" bestFit="1" customWidth="1"/>
    <col min="9864" max="9864" width="9.453125" bestFit="1" customWidth="1"/>
    <col min="9865" max="9865" width="12.1796875" bestFit="1" customWidth="1"/>
    <col min="9866" max="9866" width="9.453125" bestFit="1" customWidth="1"/>
    <col min="9867" max="9867" width="12.1796875" bestFit="1" customWidth="1"/>
    <col min="9868" max="9868" width="9.453125" bestFit="1" customWidth="1"/>
    <col min="9869" max="9869" width="12.1796875" bestFit="1" customWidth="1"/>
    <col min="9870" max="9870" width="9.453125" bestFit="1" customWidth="1"/>
    <col min="9871" max="9871" width="12.1796875" bestFit="1" customWidth="1"/>
    <col min="9872" max="9872" width="9.453125" bestFit="1" customWidth="1"/>
    <col min="9873" max="9873" width="12.1796875" bestFit="1" customWidth="1"/>
    <col min="9874" max="9874" width="9.453125" bestFit="1" customWidth="1"/>
    <col min="9875" max="9875" width="12.1796875" bestFit="1" customWidth="1"/>
    <col min="9876" max="9876" width="9.453125" bestFit="1" customWidth="1"/>
    <col min="9877" max="9877" width="12.1796875" bestFit="1" customWidth="1"/>
    <col min="9878" max="9878" width="9.453125" bestFit="1" customWidth="1"/>
    <col min="9879" max="9879" width="12.1796875" bestFit="1" customWidth="1"/>
    <col min="9880" max="9880" width="9.453125" bestFit="1" customWidth="1"/>
    <col min="9881" max="9881" width="12.1796875" bestFit="1" customWidth="1"/>
    <col min="9882" max="9882" width="9.453125" bestFit="1" customWidth="1"/>
    <col min="9883" max="9883" width="12.1796875" bestFit="1" customWidth="1"/>
    <col min="9884" max="9884" width="9.453125" bestFit="1" customWidth="1"/>
    <col min="9885" max="9885" width="12.1796875" bestFit="1" customWidth="1"/>
    <col min="9886" max="9886" width="9.453125" bestFit="1" customWidth="1"/>
    <col min="9887" max="9887" width="12.1796875" bestFit="1" customWidth="1"/>
    <col min="9888" max="9888" width="9.453125" bestFit="1" customWidth="1"/>
    <col min="9889" max="9889" width="12.1796875" bestFit="1" customWidth="1"/>
    <col min="9890" max="9890" width="9.453125" bestFit="1" customWidth="1"/>
    <col min="9891" max="9891" width="12.1796875" bestFit="1" customWidth="1"/>
    <col min="9892" max="9892" width="9.453125" bestFit="1" customWidth="1"/>
    <col min="9893" max="9893" width="12.1796875" bestFit="1" customWidth="1"/>
    <col min="9894" max="9894" width="9.453125" bestFit="1" customWidth="1"/>
    <col min="9895" max="9895" width="12.1796875" bestFit="1" customWidth="1"/>
    <col min="9896" max="9896" width="9.453125" bestFit="1" customWidth="1"/>
    <col min="9897" max="9897" width="12.1796875" bestFit="1" customWidth="1"/>
    <col min="9898" max="9898" width="9.453125" bestFit="1" customWidth="1"/>
    <col min="9899" max="9899" width="12.1796875" bestFit="1" customWidth="1"/>
    <col min="9900" max="9900" width="9.453125" bestFit="1" customWidth="1"/>
    <col min="9901" max="9901" width="12.1796875" bestFit="1" customWidth="1"/>
    <col min="9902" max="9902" width="9.453125" bestFit="1" customWidth="1"/>
    <col min="9903" max="9903" width="12.1796875" bestFit="1" customWidth="1"/>
    <col min="9904" max="9904" width="9.453125" bestFit="1" customWidth="1"/>
    <col min="9905" max="9905" width="12.1796875" bestFit="1" customWidth="1"/>
    <col min="9906" max="9906" width="9.453125" bestFit="1" customWidth="1"/>
    <col min="9907" max="9907" width="12.1796875" bestFit="1" customWidth="1"/>
    <col min="9908" max="9908" width="9.453125" bestFit="1" customWidth="1"/>
    <col min="9909" max="9909" width="12.1796875" bestFit="1" customWidth="1"/>
    <col min="9910" max="9910" width="9.453125" bestFit="1" customWidth="1"/>
    <col min="9911" max="9911" width="12.1796875" bestFit="1" customWidth="1"/>
    <col min="9912" max="9912" width="9.453125" bestFit="1" customWidth="1"/>
    <col min="9913" max="9913" width="12.1796875" bestFit="1" customWidth="1"/>
    <col min="9914" max="9914" width="9.453125" bestFit="1" customWidth="1"/>
    <col min="9915" max="9915" width="12.1796875" bestFit="1" customWidth="1"/>
    <col min="9916" max="9916" width="9.453125" bestFit="1" customWidth="1"/>
    <col min="9917" max="9917" width="12.1796875" bestFit="1" customWidth="1"/>
    <col min="9918" max="9918" width="9.453125" bestFit="1" customWidth="1"/>
    <col min="9919" max="9919" width="12.1796875" bestFit="1" customWidth="1"/>
    <col min="9920" max="9920" width="9.453125" bestFit="1" customWidth="1"/>
    <col min="9921" max="9921" width="12.1796875" bestFit="1" customWidth="1"/>
    <col min="9922" max="9922" width="9.453125" bestFit="1" customWidth="1"/>
    <col min="9923" max="9923" width="12.1796875" bestFit="1" customWidth="1"/>
    <col min="9924" max="9924" width="9.453125" bestFit="1" customWidth="1"/>
    <col min="9925" max="9925" width="12.1796875" bestFit="1" customWidth="1"/>
    <col min="9926" max="9926" width="9.453125" bestFit="1" customWidth="1"/>
    <col min="9927" max="9927" width="12.1796875" bestFit="1" customWidth="1"/>
    <col min="9928" max="9928" width="9.453125" bestFit="1" customWidth="1"/>
    <col min="9929" max="9929" width="12.1796875" bestFit="1" customWidth="1"/>
    <col min="9930" max="9930" width="9.453125" bestFit="1" customWidth="1"/>
    <col min="9931" max="9931" width="12.1796875" bestFit="1" customWidth="1"/>
    <col min="9932" max="9932" width="9.453125" bestFit="1" customWidth="1"/>
    <col min="9933" max="9933" width="12.1796875" bestFit="1" customWidth="1"/>
    <col min="9934" max="9934" width="9.453125" bestFit="1" customWidth="1"/>
    <col min="9935" max="9935" width="12.1796875" bestFit="1" customWidth="1"/>
    <col min="9936" max="9936" width="9.453125" bestFit="1" customWidth="1"/>
    <col min="9937" max="9937" width="12.1796875" bestFit="1" customWidth="1"/>
    <col min="9938" max="9938" width="9.453125" bestFit="1" customWidth="1"/>
    <col min="9939" max="9939" width="12.1796875" bestFit="1" customWidth="1"/>
    <col min="9940" max="9940" width="9.453125" bestFit="1" customWidth="1"/>
    <col min="9941" max="9941" width="12.1796875" bestFit="1" customWidth="1"/>
    <col min="9942" max="9942" width="9.453125" bestFit="1" customWidth="1"/>
    <col min="9943" max="9943" width="12.1796875" bestFit="1" customWidth="1"/>
    <col min="9944" max="9944" width="9.453125" bestFit="1" customWidth="1"/>
    <col min="9945" max="9945" width="12.1796875" bestFit="1" customWidth="1"/>
    <col min="9946" max="9946" width="9.453125" bestFit="1" customWidth="1"/>
    <col min="9947" max="9947" width="12.1796875" bestFit="1" customWidth="1"/>
    <col min="9948" max="9948" width="9.453125" bestFit="1" customWidth="1"/>
    <col min="9949" max="9949" width="12.1796875" bestFit="1" customWidth="1"/>
    <col min="9950" max="9950" width="9.453125" bestFit="1" customWidth="1"/>
    <col min="9951" max="9951" width="12.1796875" bestFit="1" customWidth="1"/>
    <col min="9952" max="9952" width="9.453125" bestFit="1" customWidth="1"/>
    <col min="9953" max="9953" width="12.1796875" bestFit="1" customWidth="1"/>
    <col min="9954" max="9954" width="9.453125" bestFit="1" customWidth="1"/>
    <col min="9955" max="9955" width="12.1796875" bestFit="1" customWidth="1"/>
    <col min="9956" max="9956" width="9.453125" bestFit="1" customWidth="1"/>
    <col min="9957" max="9957" width="12.1796875" bestFit="1" customWidth="1"/>
    <col min="9958" max="9958" width="9.453125" bestFit="1" customWidth="1"/>
    <col min="9959" max="9959" width="12.1796875" bestFit="1" customWidth="1"/>
    <col min="9960" max="9960" width="9.453125" bestFit="1" customWidth="1"/>
    <col min="9961" max="9961" width="12.1796875" bestFit="1" customWidth="1"/>
    <col min="9962" max="9962" width="9.453125" bestFit="1" customWidth="1"/>
    <col min="9963" max="9963" width="12.1796875" bestFit="1" customWidth="1"/>
    <col min="9964" max="9964" width="9.453125" bestFit="1" customWidth="1"/>
    <col min="9965" max="9965" width="12.1796875" bestFit="1" customWidth="1"/>
    <col min="9966" max="9966" width="9.453125" bestFit="1" customWidth="1"/>
    <col min="9967" max="9967" width="12.1796875" bestFit="1" customWidth="1"/>
    <col min="9968" max="9968" width="9.453125" bestFit="1" customWidth="1"/>
    <col min="9969" max="9969" width="12.1796875" bestFit="1" customWidth="1"/>
    <col min="9970" max="9970" width="9.453125" bestFit="1" customWidth="1"/>
    <col min="9971" max="9971" width="12.1796875" bestFit="1" customWidth="1"/>
    <col min="9972" max="9972" width="9.453125" bestFit="1" customWidth="1"/>
    <col min="9973" max="9973" width="12.1796875" bestFit="1" customWidth="1"/>
    <col min="9974" max="9974" width="9.453125" bestFit="1" customWidth="1"/>
    <col min="9975" max="9975" width="12.1796875" bestFit="1" customWidth="1"/>
    <col min="9976" max="9976" width="9.453125" bestFit="1" customWidth="1"/>
    <col min="9977" max="9977" width="12.1796875" bestFit="1" customWidth="1"/>
    <col min="9978" max="9978" width="9.453125" bestFit="1" customWidth="1"/>
    <col min="9979" max="9979" width="12.1796875" bestFit="1" customWidth="1"/>
    <col min="9980" max="9980" width="9.453125" bestFit="1" customWidth="1"/>
    <col min="9981" max="9981" width="12.1796875" bestFit="1" customWidth="1"/>
    <col min="9982" max="9982" width="9.453125" bestFit="1" customWidth="1"/>
    <col min="9983" max="9983" width="12.1796875" bestFit="1" customWidth="1"/>
    <col min="9984" max="9984" width="9.453125" bestFit="1" customWidth="1"/>
    <col min="9985" max="9985" width="12.1796875" bestFit="1" customWidth="1"/>
    <col min="9986" max="9986" width="9.453125" bestFit="1" customWidth="1"/>
    <col min="9987" max="9987" width="12.1796875" bestFit="1" customWidth="1"/>
    <col min="9988" max="9988" width="9.453125" bestFit="1" customWidth="1"/>
    <col min="9989" max="9989" width="12.1796875" bestFit="1" customWidth="1"/>
    <col min="9990" max="9990" width="9.453125" bestFit="1" customWidth="1"/>
    <col min="9991" max="9991" width="12.1796875" bestFit="1" customWidth="1"/>
    <col min="9992" max="9992" width="9.453125" bestFit="1" customWidth="1"/>
    <col min="9993" max="9993" width="12.1796875" bestFit="1" customWidth="1"/>
    <col min="9994" max="9994" width="9.453125" bestFit="1" customWidth="1"/>
    <col min="9995" max="9995" width="12.1796875" bestFit="1" customWidth="1"/>
    <col min="9996" max="9996" width="9.453125" bestFit="1" customWidth="1"/>
    <col min="9997" max="9997" width="12.1796875" bestFit="1" customWidth="1"/>
    <col min="9998" max="9998" width="9.453125" bestFit="1" customWidth="1"/>
    <col min="9999" max="9999" width="12.1796875" bestFit="1" customWidth="1"/>
    <col min="10000" max="10000" width="9.453125" bestFit="1" customWidth="1"/>
    <col min="10001" max="10001" width="12.1796875" bestFit="1" customWidth="1"/>
    <col min="10002" max="10002" width="9.453125" bestFit="1" customWidth="1"/>
    <col min="10003" max="10003" width="12.1796875" bestFit="1" customWidth="1"/>
    <col min="10004" max="10004" width="9.453125" bestFit="1" customWidth="1"/>
    <col min="10005" max="10005" width="12.1796875" bestFit="1" customWidth="1"/>
    <col min="10006" max="10006" width="9.453125" bestFit="1" customWidth="1"/>
    <col min="10007" max="10007" width="12.1796875" bestFit="1" customWidth="1"/>
    <col min="10008" max="10008" width="9.453125" bestFit="1" customWidth="1"/>
    <col min="10009" max="10009" width="12.1796875" bestFit="1" customWidth="1"/>
    <col min="10010" max="10010" width="9.453125" bestFit="1" customWidth="1"/>
    <col min="10011" max="10011" width="12.1796875" bestFit="1" customWidth="1"/>
    <col min="10012" max="10012" width="9.453125" bestFit="1" customWidth="1"/>
    <col min="10013" max="10013" width="12.1796875" bestFit="1" customWidth="1"/>
    <col min="10014" max="10014" width="9.453125" bestFit="1" customWidth="1"/>
    <col min="10015" max="10015" width="12.1796875" bestFit="1" customWidth="1"/>
    <col min="10016" max="10016" width="9.453125" bestFit="1" customWidth="1"/>
    <col min="10017" max="10017" width="12.1796875" bestFit="1" customWidth="1"/>
    <col min="10018" max="10018" width="9.453125" bestFit="1" customWidth="1"/>
    <col min="10019" max="10019" width="12.1796875" bestFit="1" customWidth="1"/>
    <col min="10020" max="10020" width="9.453125" bestFit="1" customWidth="1"/>
    <col min="10021" max="10021" width="12.1796875" bestFit="1" customWidth="1"/>
    <col min="10022" max="10022" width="9.453125" bestFit="1" customWidth="1"/>
    <col min="10023" max="10023" width="12.1796875" bestFit="1" customWidth="1"/>
    <col min="10024" max="10024" width="9.453125" bestFit="1" customWidth="1"/>
    <col min="10025" max="10025" width="12.1796875" bestFit="1" customWidth="1"/>
    <col min="10026" max="10026" width="9.453125" bestFit="1" customWidth="1"/>
    <col min="10027" max="10027" width="12.1796875" bestFit="1" customWidth="1"/>
    <col min="10028" max="10028" width="9.453125" bestFit="1" customWidth="1"/>
    <col min="10029" max="10029" width="12.1796875" bestFit="1" customWidth="1"/>
    <col min="10030" max="10030" width="9.453125" bestFit="1" customWidth="1"/>
    <col min="10031" max="10031" width="12.1796875" bestFit="1" customWidth="1"/>
    <col min="10032" max="10032" width="9.453125" bestFit="1" customWidth="1"/>
    <col min="10033" max="10033" width="12.1796875" bestFit="1" customWidth="1"/>
    <col min="10034" max="10034" width="9.453125" bestFit="1" customWidth="1"/>
    <col min="10035" max="10035" width="12.1796875" bestFit="1" customWidth="1"/>
    <col min="10036" max="10036" width="9.453125" bestFit="1" customWidth="1"/>
    <col min="10037" max="10037" width="12.1796875" bestFit="1" customWidth="1"/>
    <col min="10038" max="10038" width="9.453125" bestFit="1" customWidth="1"/>
    <col min="10039" max="10039" width="12.1796875" bestFit="1" customWidth="1"/>
    <col min="10040" max="10040" width="9.453125" bestFit="1" customWidth="1"/>
    <col min="10041" max="10041" width="12.1796875" bestFit="1" customWidth="1"/>
    <col min="10042" max="10042" width="9.453125" bestFit="1" customWidth="1"/>
    <col min="10043" max="10043" width="12.1796875" bestFit="1" customWidth="1"/>
    <col min="10044" max="10044" width="9.453125" bestFit="1" customWidth="1"/>
    <col min="10045" max="10045" width="12.1796875" bestFit="1" customWidth="1"/>
    <col min="10046" max="10046" width="9.453125" bestFit="1" customWidth="1"/>
    <col min="10047" max="10047" width="12.1796875" bestFit="1" customWidth="1"/>
    <col min="10048" max="10048" width="9.453125" bestFit="1" customWidth="1"/>
    <col min="10049" max="10049" width="12.1796875" bestFit="1" customWidth="1"/>
    <col min="10050" max="10050" width="9.453125" bestFit="1" customWidth="1"/>
    <col min="10051" max="10051" width="12.1796875" bestFit="1" customWidth="1"/>
    <col min="10052" max="10052" width="9.453125" bestFit="1" customWidth="1"/>
    <col min="10053" max="10053" width="12.1796875" bestFit="1" customWidth="1"/>
    <col min="10054" max="10054" width="9.453125" bestFit="1" customWidth="1"/>
    <col min="10055" max="10055" width="12.1796875" bestFit="1" customWidth="1"/>
    <col min="10056" max="10056" width="9.453125" bestFit="1" customWidth="1"/>
    <col min="10057" max="10057" width="12.1796875" bestFit="1" customWidth="1"/>
    <col min="10058" max="10058" width="9.453125" bestFit="1" customWidth="1"/>
    <col min="10059" max="10059" width="12.1796875" bestFit="1" customWidth="1"/>
    <col min="10060" max="10060" width="9.453125" bestFit="1" customWidth="1"/>
    <col min="10061" max="10061" width="12.1796875" bestFit="1" customWidth="1"/>
    <col min="10062" max="10062" width="9.453125" bestFit="1" customWidth="1"/>
    <col min="10063" max="10063" width="12.1796875" bestFit="1" customWidth="1"/>
    <col min="10064" max="10064" width="9.453125" bestFit="1" customWidth="1"/>
    <col min="10065" max="10065" width="12.1796875" bestFit="1" customWidth="1"/>
    <col min="10066" max="10066" width="9.453125" bestFit="1" customWidth="1"/>
    <col min="10067" max="10067" width="12.1796875" bestFit="1" customWidth="1"/>
    <col min="10068" max="10068" width="9.453125" bestFit="1" customWidth="1"/>
    <col min="10069" max="10069" width="12.1796875" bestFit="1" customWidth="1"/>
    <col min="10070" max="10070" width="9.453125" bestFit="1" customWidth="1"/>
    <col min="10071" max="10071" width="12.1796875" bestFit="1" customWidth="1"/>
    <col min="10072" max="10072" width="9.453125" bestFit="1" customWidth="1"/>
    <col min="10073" max="10073" width="12.1796875" bestFit="1" customWidth="1"/>
    <col min="10074" max="10074" width="9.453125" bestFit="1" customWidth="1"/>
    <col min="10075" max="10075" width="12.1796875" bestFit="1" customWidth="1"/>
    <col min="10076" max="10076" width="9.453125" bestFit="1" customWidth="1"/>
    <col min="10077" max="10077" width="12.1796875" bestFit="1" customWidth="1"/>
    <col min="10078" max="10078" width="9.453125" bestFit="1" customWidth="1"/>
    <col min="10079" max="10079" width="12.1796875" bestFit="1" customWidth="1"/>
    <col min="10080" max="10080" width="9.453125" bestFit="1" customWidth="1"/>
    <col min="10081" max="10081" width="12.1796875" bestFit="1" customWidth="1"/>
    <col min="10082" max="10082" width="9.453125" bestFit="1" customWidth="1"/>
    <col min="10083" max="10083" width="12.1796875" bestFit="1" customWidth="1"/>
    <col min="10084" max="10084" width="10.453125" bestFit="1" customWidth="1"/>
    <col min="10085" max="10085" width="13.26953125" bestFit="1" customWidth="1"/>
    <col min="10086" max="10086" width="10.453125" bestFit="1" customWidth="1"/>
    <col min="10087" max="10087" width="13.26953125" bestFit="1" customWidth="1"/>
    <col min="10088" max="10088" width="10.453125" bestFit="1" customWidth="1"/>
    <col min="10089" max="10089" width="13.26953125" bestFit="1" customWidth="1"/>
    <col min="10090" max="10090" width="10.453125" bestFit="1" customWidth="1"/>
    <col min="10091" max="10091" width="13.26953125" bestFit="1" customWidth="1"/>
    <col min="10092" max="10092" width="10.453125" bestFit="1" customWidth="1"/>
    <col min="10093" max="10093" width="13.26953125" bestFit="1" customWidth="1"/>
    <col min="10094" max="10094" width="10.453125" bestFit="1" customWidth="1"/>
    <col min="10095" max="10095" width="13.26953125" bestFit="1" customWidth="1"/>
    <col min="10096" max="10096" width="10.453125" bestFit="1" customWidth="1"/>
    <col min="10097" max="10097" width="13.26953125" bestFit="1" customWidth="1"/>
    <col min="10098" max="10098" width="10.453125" bestFit="1" customWidth="1"/>
    <col min="10099" max="10099" width="13.26953125" bestFit="1" customWidth="1"/>
    <col min="10100" max="10100" width="10.453125" bestFit="1" customWidth="1"/>
    <col min="10101" max="10101" width="13.26953125" bestFit="1" customWidth="1"/>
    <col min="10102" max="10102" width="10.453125" bestFit="1" customWidth="1"/>
    <col min="10103" max="10103" width="13.26953125" bestFit="1" customWidth="1"/>
    <col min="10104" max="10104" width="10.453125" bestFit="1" customWidth="1"/>
    <col min="10105" max="10105" width="13.26953125" bestFit="1" customWidth="1"/>
    <col min="10106" max="10106" width="8.1796875" bestFit="1" customWidth="1"/>
    <col min="10107" max="10107" width="11.08984375" bestFit="1" customWidth="1"/>
    <col min="10108" max="10108" width="10.31640625" bestFit="1" customWidth="1"/>
  </cols>
  <sheetData>
    <row r="1" spans="1:24" x14ac:dyDescent="0.75">
      <c r="A1" s="2" t="s">
        <v>147</v>
      </c>
      <c r="B1" s="2" t="s">
        <v>361</v>
      </c>
      <c r="C1" s="2" t="s">
        <v>362</v>
      </c>
      <c r="D1" s="2" t="s">
        <v>363</v>
      </c>
      <c r="E1" s="2" t="s">
        <v>364</v>
      </c>
      <c r="F1" s="2" t="s">
        <v>150</v>
      </c>
      <c r="G1" s="2" t="s">
        <v>365</v>
      </c>
      <c r="H1" s="2" t="s">
        <v>148</v>
      </c>
      <c r="I1" s="2" t="s">
        <v>149</v>
      </c>
      <c r="J1" s="2" t="s">
        <v>366</v>
      </c>
      <c r="M1" s="10" t="s">
        <v>533</v>
      </c>
      <c r="N1" s="8" t="s">
        <v>539</v>
      </c>
      <c r="O1" s="8" t="s">
        <v>536</v>
      </c>
      <c r="P1" s="8" t="s">
        <v>537</v>
      </c>
      <c r="Q1" s="8" t="s">
        <v>538</v>
      </c>
    </row>
    <row r="2" spans="1:24" x14ac:dyDescent="0.75">
      <c r="A2" t="s">
        <v>163</v>
      </c>
      <c r="B2">
        <v>2359</v>
      </c>
      <c r="C2" t="s">
        <v>272</v>
      </c>
      <c r="D2">
        <v>2211</v>
      </c>
      <c r="E2" t="s">
        <v>367</v>
      </c>
      <c r="F2" s="4">
        <v>302147</v>
      </c>
      <c r="G2" s="4">
        <v>0</v>
      </c>
      <c r="H2" s="4">
        <v>0</v>
      </c>
      <c r="I2" s="4">
        <v>0</v>
      </c>
      <c r="J2" s="4">
        <v>302147</v>
      </c>
      <c r="M2" s="11" t="s">
        <v>403</v>
      </c>
      <c r="N2" s="8">
        <v>346606911</v>
      </c>
      <c r="O2" s="8">
        <v>85681121</v>
      </c>
      <c r="P2" s="8">
        <v>117656258</v>
      </c>
      <c r="Q2" s="8">
        <v>143269532</v>
      </c>
      <c r="X2">
        <v>129867382</v>
      </c>
    </row>
    <row r="3" spans="1:24" x14ac:dyDescent="0.75">
      <c r="A3" t="s">
        <v>163</v>
      </c>
      <c r="B3">
        <v>2359</v>
      </c>
      <c r="C3" t="s">
        <v>272</v>
      </c>
      <c r="D3">
        <v>2330</v>
      </c>
      <c r="E3" t="s">
        <v>368</v>
      </c>
      <c r="F3" s="4">
        <v>286536</v>
      </c>
      <c r="G3" s="4">
        <v>0</v>
      </c>
      <c r="H3" s="4">
        <v>0</v>
      </c>
      <c r="I3" s="4">
        <v>0</v>
      </c>
      <c r="J3" s="4">
        <v>286536</v>
      </c>
      <c r="M3" s="11" t="s">
        <v>368</v>
      </c>
      <c r="N3" s="8">
        <v>201828192</v>
      </c>
      <c r="O3" s="8">
        <v>101808311</v>
      </c>
      <c r="P3" s="8">
        <v>51737193</v>
      </c>
      <c r="Q3" s="8">
        <v>48282688</v>
      </c>
      <c r="X3">
        <v>99715495</v>
      </c>
    </row>
    <row r="4" spans="1:24" x14ac:dyDescent="0.75">
      <c r="A4" t="s">
        <v>163</v>
      </c>
      <c r="B4">
        <v>2359</v>
      </c>
      <c r="C4" t="s">
        <v>272</v>
      </c>
      <c r="D4">
        <v>3220</v>
      </c>
      <c r="E4" t="s">
        <v>370</v>
      </c>
      <c r="F4" s="4">
        <v>35847</v>
      </c>
      <c r="G4" s="4">
        <v>0</v>
      </c>
      <c r="H4" s="4">
        <v>0</v>
      </c>
      <c r="I4" s="4">
        <v>0</v>
      </c>
      <c r="J4" s="4">
        <v>35847</v>
      </c>
      <c r="M4" s="11" t="s">
        <v>367</v>
      </c>
      <c r="N4" s="8">
        <v>166991322</v>
      </c>
      <c r="O4" s="8">
        <v>100096175</v>
      </c>
      <c r="P4" s="8">
        <v>31679109</v>
      </c>
      <c r="Q4" s="8">
        <v>35216038</v>
      </c>
      <c r="X4" s="7">
        <f>X2-X3</f>
        <v>30151887</v>
      </c>
    </row>
    <row r="5" spans="1:24" x14ac:dyDescent="0.75">
      <c r="A5" t="s">
        <v>163</v>
      </c>
      <c r="B5">
        <v>2359</v>
      </c>
      <c r="C5" t="s">
        <v>272</v>
      </c>
      <c r="D5">
        <v>2340</v>
      </c>
      <c r="E5" t="s">
        <v>369</v>
      </c>
      <c r="F5" s="4">
        <v>693</v>
      </c>
      <c r="G5" s="4">
        <v>0</v>
      </c>
      <c r="H5" s="4">
        <v>0</v>
      </c>
      <c r="I5" s="4">
        <v>0</v>
      </c>
      <c r="J5" s="4">
        <v>693</v>
      </c>
      <c r="M5" s="12" t="s">
        <v>392</v>
      </c>
      <c r="N5" s="13">
        <v>129867382</v>
      </c>
      <c r="O5" s="13">
        <v>71014256</v>
      </c>
      <c r="P5" s="13">
        <v>431637</v>
      </c>
      <c r="Q5" s="13">
        <v>58421489</v>
      </c>
    </row>
    <row r="6" spans="1:24" x14ac:dyDescent="0.75">
      <c r="A6" t="s">
        <v>163</v>
      </c>
      <c r="B6">
        <v>2359</v>
      </c>
      <c r="C6" t="s">
        <v>272</v>
      </c>
      <c r="D6">
        <v>7110</v>
      </c>
      <c r="E6" t="s">
        <v>371</v>
      </c>
      <c r="F6" s="4">
        <v>200</v>
      </c>
      <c r="G6" s="4">
        <v>0</v>
      </c>
      <c r="H6" s="4">
        <v>0</v>
      </c>
      <c r="I6" s="4">
        <v>0</v>
      </c>
      <c r="J6" s="4">
        <v>200</v>
      </c>
      <c r="M6" s="12" t="s">
        <v>397</v>
      </c>
      <c r="N6" s="13">
        <v>126569887</v>
      </c>
      <c r="O6" s="13">
        <v>53516342</v>
      </c>
      <c r="P6" s="13">
        <v>4829034</v>
      </c>
      <c r="Q6" s="13">
        <v>68224511</v>
      </c>
    </row>
    <row r="7" spans="1:24" x14ac:dyDescent="0.75">
      <c r="A7" t="s">
        <v>160</v>
      </c>
      <c r="B7">
        <v>3712</v>
      </c>
      <c r="C7" t="s">
        <v>356</v>
      </c>
      <c r="D7">
        <v>4335</v>
      </c>
      <c r="E7" t="s">
        <v>372</v>
      </c>
      <c r="F7" s="4">
        <v>200</v>
      </c>
      <c r="G7" s="4">
        <v>0</v>
      </c>
      <c r="H7" s="4">
        <v>0</v>
      </c>
      <c r="I7" s="4">
        <v>0</v>
      </c>
      <c r="J7" s="4">
        <v>200</v>
      </c>
      <c r="M7" s="11" t="s">
        <v>431</v>
      </c>
      <c r="N7" s="8">
        <v>105868766</v>
      </c>
      <c r="O7" s="8">
        <v>2241464</v>
      </c>
      <c r="P7" s="8">
        <v>2390953</v>
      </c>
      <c r="Q7" s="8">
        <v>101236349</v>
      </c>
    </row>
    <row r="8" spans="1:24" x14ac:dyDescent="0.75">
      <c r="A8" t="s">
        <v>160</v>
      </c>
      <c r="B8">
        <v>3612</v>
      </c>
      <c r="C8" t="s">
        <v>301</v>
      </c>
      <c r="D8">
        <v>4323</v>
      </c>
      <c r="E8" t="s">
        <v>373</v>
      </c>
      <c r="F8" s="4">
        <v>203967</v>
      </c>
      <c r="G8" s="4">
        <v>0</v>
      </c>
      <c r="H8" s="4">
        <v>0</v>
      </c>
      <c r="I8" s="4">
        <v>0</v>
      </c>
      <c r="J8" s="4">
        <v>203967</v>
      </c>
      <c r="M8" s="11" t="s">
        <v>399</v>
      </c>
      <c r="N8" s="8">
        <v>100244896</v>
      </c>
      <c r="O8" s="8">
        <v>80834709</v>
      </c>
      <c r="P8" s="8">
        <v>5742949</v>
      </c>
      <c r="Q8" s="8">
        <v>13667238</v>
      </c>
    </row>
    <row r="9" spans="1:24" x14ac:dyDescent="0.75">
      <c r="A9" t="s">
        <v>151</v>
      </c>
      <c r="B9">
        <v>505</v>
      </c>
      <c r="C9" t="s">
        <v>136</v>
      </c>
      <c r="D9">
        <v>2211</v>
      </c>
      <c r="E9" t="s">
        <v>367</v>
      </c>
      <c r="F9" s="4">
        <v>2041975</v>
      </c>
      <c r="G9" s="4">
        <v>0</v>
      </c>
      <c r="H9" s="4">
        <v>0</v>
      </c>
      <c r="I9" s="4">
        <v>0</v>
      </c>
      <c r="J9" s="4">
        <v>2041975</v>
      </c>
      <c r="M9" s="12" t="s">
        <v>393</v>
      </c>
      <c r="N9" s="13">
        <v>97458462</v>
      </c>
      <c r="O9" s="13">
        <v>47523162</v>
      </c>
      <c r="P9" s="13">
        <v>539296</v>
      </c>
      <c r="Q9" s="13">
        <v>49396004</v>
      </c>
    </row>
    <row r="10" spans="1:24" x14ac:dyDescent="0.75">
      <c r="A10" t="s">
        <v>151</v>
      </c>
      <c r="B10">
        <v>505</v>
      </c>
      <c r="C10" t="s">
        <v>136</v>
      </c>
      <c r="D10">
        <v>2330</v>
      </c>
      <c r="E10" t="s">
        <v>368</v>
      </c>
      <c r="F10" s="4">
        <v>912744</v>
      </c>
      <c r="G10" s="4">
        <v>0</v>
      </c>
      <c r="H10" s="4">
        <v>0</v>
      </c>
      <c r="I10" s="4">
        <v>0</v>
      </c>
      <c r="J10" s="4">
        <v>912744</v>
      </c>
      <c r="M10" s="11" t="s">
        <v>390</v>
      </c>
      <c r="N10" s="8">
        <v>76965644</v>
      </c>
      <c r="O10" s="8">
        <v>66044926</v>
      </c>
      <c r="P10" s="8">
        <v>10596936</v>
      </c>
      <c r="Q10" s="8">
        <v>323782</v>
      </c>
    </row>
    <row r="11" spans="1:24" x14ac:dyDescent="0.75">
      <c r="A11" t="s">
        <v>151</v>
      </c>
      <c r="B11">
        <v>505</v>
      </c>
      <c r="C11" t="s">
        <v>136</v>
      </c>
      <c r="D11">
        <v>3220</v>
      </c>
      <c r="E11" t="s">
        <v>370</v>
      </c>
      <c r="F11" s="4">
        <v>584375</v>
      </c>
      <c r="G11" s="4">
        <v>0</v>
      </c>
      <c r="H11" s="4">
        <v>0</v>
      </c>
      <c r="I11" s="4">
        <v>0</v>
      </c>
      <c r="J11" s="4">
        <v>584375</v>
      </c>
      <c r="M11" s="11" t="s">
        <v>369</v>
      </c>
      <c r="N11" s="8">
        <v>70418524</v>
      </c>
      <c r="O11" s="8">
        <v>53732247</v>
      </c>
      <c r="P11" s="8">
        <v>15087105</v>
      </c>
      <c r="Q11" s="8">
        <v>1599172</v>
      </c>
    </row>
    <row r="12" spans="1:24" x14ac:dyDescent="0.75">
      <c r="A12" t="s">
        <v>151</v>
      </c>
      <c r="B12">
        <v>505</v>
      </c>
      <c r="C12" t="s">
        <v>136</v>
      </c>
      <c r="D12">
        <v>2340</v>
      </c>
      <c r="E12" t="s">
        <v>369</v>
      </c>
      <c r="F12" s="4">
        <v>228142</v>
      </c>
      <c r="G12" s="4">
        <v>0</v>
      </c>
      <c r="H12" s="4">
        <v>0</v>
      </c>
      <c r="I12" s="4">
        <v>0</v>
      </c>
      <c r="J12" s="4">
        <v>228142</v>
      </c>
      <c r="M12" s="11" t="s">
        <v>398</v>
      </c>
      <c r="N12" s="8">
        <v>67305140</v>
      </c>
      <c r="O12" s="8">
        <v>54070440</v>
      </c>
      <c r="P12" s="8">
        <v>12799063</v>
      </c>
      <c r="Q12" s="8">
        <v>435637</v>
      </c>
    </row>
    <row r="13" spans="1:24" x14ac:dyDescent="0.75">
      <c r="A13" t="s">
        <v>151</v>
      </c>
      <c r="B13">
        <v>505</v>
      </c>
      <c r="C13" t="s">
        <v>136</v>
      </c>
      <c r="D13">
        <v>4783</v>
      </c>
      <c r="E13" t="s">
        <v>382</v>
      </c>
      <c r="F13" s="4">
        <v>0</v>
      </c>
      <c r="G13" s="4">
        <v>211264</v>
      </c>
      <c r="H13" s="4">
        <v>211264</v>
      </c>
      <c r="I13" s="4">
        <v>0</v>
      </c>
      <c r="J13" s="4">
        <v>211264</v>
      </c>
      <c r="M13" s="11" t="s">
        <v>388</v>
      </c>
      <c r="N13" s="8">
        <v>65666795</v>
      </c>
      <c r="O13" s="8">
        <v>17636454</v>
      </c>
      <c r="P13" s="8">
        <v>42012457</v>
      </c>
      <c r="Q13" s="8">
        <v>6017884</v>
      </c>
    </row>
    <row r="14" spans="1:24" x14ac:dyDescent="0.75">
      <c r="A14" t="s">
        <v>151</v>
      </c>
      <c r="B14">
        <v>505</v>
      </c>
      <c r="C14" t="s">
        <v>136</v>
      </c>
      <c r="D14">
        <v>4420</v>
      </c>
      <c r="E14" t="s">
        <v>381</v>
      </c>
      <c r="F14" s="4">
        <v>82966</v>
      </c>
      <c r="G14" s="4">
        <v>106511</v>
      </c>
      <c r="H14" s="4">
        <v>0</v>
      </c>
      <c r="I14" s="4">
        <v>106511</v>
      </c>
      <c r="J14" s="4">
        <v>189477</v>
      </c>
      <c r="M14" s="11" t="s">
        <v>377</v>
      </c>
      <c r="N14" s="8">
        <v>52359051</v>
      </c>
      <c r="O14" s="8">
        <v>15655571</v>
      </c>
      <c r="P14" s="8">
        <v>1810703</v>
      </c>
      <c r="Q14" s="8">
        <v>34892777</v>
      </c>
    </row>
    <row r="15" spans="1:24" x14ac:dyDescent="0.75">
      <c r="A15" t="s">
        <v>151</v>
      </c>
      <c r="B15">
        <v>505</v>
      </c>
      <c r="C15" t="s">
        <v>136</v>
      </c>
      <c r="D15">
        <v>2221</v>
      </c>
      <c r="E15" t="s">
        <v>374</v>
      </c>
      <c r="F15" s="4">
        <v>144746</v>
      </c>
      <c r="G15" s="4">
        <v>0</v>
      </c>
      <c r="H15" s="4">
        <v>0</v>
      </c>
      <c r="I15" s="4">
        <v>0</v>
      </c>
      <c r="J15" s="4">
        <v>144746</v>
      </c>
      <c r="M15" s="11" t="s">
        <v>401</v>
      </c>
      <c r="N15" s="8">
        <v>42806987</v>
      </c>
      <c r="O15" s="8">
        <v>21755618</v>
      </c>
      <c r="P15" s="8">
        <v>20837646</v>
      </c>
      <c r="Q15" s="8">
        <v>213723</v>
      </c>
    </row>
    <row r="16" spans="1:24" x14ac:dyDescent="0.75">
      <c r="A16" t="s">
        <v>151</v>
      </c>
      <c r="B16">
        <v>505</v>
      </c>
      <c r="C16" t="s">
        <v>136</v>
      </c>
      <c r="D16">
        <v>4225</v>
      </c>
      <c r="E16" t="s">
        <v>380</v>
      </c>
      <c r="F16" s="4">
        <v>0</v>
      </c>
      <c r="G16" s="4">
        <v>55134</v>
      </c>
      <c r="H16" s="4">
        <v>55134</v>
      </c>
      <c r="I16" s="4">
        <v>0</v>
      </c>
      <c r="J16" s="4">
        <v>55134</v>
      </c>
      <c r="M16" s="11" t="s">
        <v>375</v>
      </c>
      <c r="N16" s="8">
        <v>40359203</v>
      </c>
      <c r="O16" s="8">
        <v>20287007</v>
      </c>
      <c r="P16" s="8">
        <v>2228518</v>
      </c>
      <c r="Q16" s="8">
        <v>17843678</v>
      </c>
    </row>
    <row r="17" spans="1:17" x14ac:dyDescent="0.75">
      <c r="A17" t="s">
        <v>151</v>
      </c>
      <c r="B17">
        <v>505</v>
      </c>
      <c r="C17" t="s">
        <v>136</v>
      </c>
      <c r="D17">
        <v>2430</v>
      </c>
      <c r="E17" t="s">
        <v>376</v>
      </c>
      <c r="F17" s="4">
        <v>49045</v>
      </c>
      <c r="G17" s="4">
        <v>0</v>
      </c>
      <c r="H17" s="4">
        <v>0</v>
      </c>
      <c r="I17" s="4">
        <v>0</v>
      </c>
      <c r="J17" s="4">
        <v>49045</v>
      </c>
      <c r="M17" s="11" t="s">
        <v>374</v>
      </c>
      <c r="N17" s="8">
        <v>35670215</v>
      </c>
      <c r="O17" s="8">
        <v>19660480</v>
      </c>
      <c r="P17" s="8">
        <v>10674247</v>
      </c>
      <c r="Q17" s="8">
        <v>5335488</v>
      </c>
    </row>
    <row r="18" spans="1:17" x14ac:dyDescent="0.75">
      <c r="A18" t="s">
        <v>151</v>
      </c>
      <c r="B18">
        <v>505</v>
      </c>
      <c r="C18" t="s">
        <v>136</v>
      </c>
      <c r="D18">
        <v>4323</v>
      </c>
      <c r="E18" t="s">
        <v>373</v>
      </c>
      <c r="F18" s="4">
        <v>0</v>
      </c>
      <c r="G18" s="4">
        <v>43431</v>
      </c>
      <c r="H18" s="4">
        <v>43431</v>
      </c>
      <c r="I18" s="4">
        <v>0</v>
      </c>
      <c r="J18" s="4">
        <v>43431</v>
      </c>
      <c r="M18" s="11" t="s">
        <v>370</v>
      </c>
      <c r="N18" s="8">
        <v>35252147</v>
      </c>
      <c r="O18" s="8">
        <v>22722894</v>
      </c>
      <c r="P18" s="8">
        <v>3833242</v>
      </c>
      <c r="Q18" s="8">
        <v>8696011</v>
      </c>
    </row>
    <row r="19" spans="1:17" x14ac:dyDescent="0.75">
      <c r="A19" t="s">
        <v>151</v>
      </c>
      <c r="B19">
        <v>505</v>
      </c>
      <c r="C19" t="s">
        <v>136</v>
      </c>
      <c r="D19">
        <v>3276</v>
      </c>
      <c r="E19" t="s">
        <v>379</v>
      </c>
      <c r="F19" s="4">
        <v>0</v>
      </c>
      <c r="G19" s="4">
        <v>31408</v>
      </c>
      <c r="H19" s="4">
        <v>31408</v>
      </c>
      <c r="I19" s="4">
        <v>0</v>
      </c>
      <c r="J19" s="4">
        <v>31408</v>
      </c>
      <c r="M19" s="11" t="s">
        <v>391</v>
      </c>
      <c r="N19" s="8">
        <v>33487314</v>
      </c>
      <c r="O19" s="8">
        <v>12333599</v>
      </c>
      <c r="P19" s="8">
        <v>204631</v>
      </c>
      <c r="Q19" s="8">
        <v>20949084</v>
      </c>
    </row>
    <row r="20" spans="1:17" x14ac:dyDescent="0.75">
      <c r="A20" t="s">
        <v>151</v>
      </c>
      <c r="B20">
        <v>505</v>
      </c>
      <c r="C20" t="s">
        <v>136</v>
      </c>
      <c r="D20">
        <v>5320</v>
      </c>
      <c r="E20" t="s">
        <v>384</v>
      </c>
      <c r="F20" s="4">
        <v>0</v>
      </c>
      <c r="G20" s="4">
        <v>21997</v>
      </c>
      <c r="H20" s="4">
        <v>21997</v>
      </c>
      <c r="I20" s="4">
        <v>0</v>
      </c>
      <c r="J20" s="4">
        <v>21997</v>
      </c>
      <c r="M20" s="11" t="s">
        <v>396</v>
      </c>
      <c r="N20" s="8">
        <v>32461562</v>
      </c>
      <c r="O20" s="8">
        <v>9729548</v>
      </c>
      <c r="P20" s="8">
        <v>1595568</v>
      </c>
      <c r="Q20" s="8">
        <v>21136446</v>
      </c>
    </row>
    <row r="21" spans="1:17" x14ac:dyDescent="0.75">
      <c r="A21" t="s">
        <v>151</v>
      </c>
      <c r="B21">
        <v>505</v>
      </c>
      <c r="C21" t="s">
        <v>136</v>
      </c>
      <c r="D21">
        <v>4900</v>
      </c>
      <c r="E21" t="s">
        <v>383</v>
      </c>
      <c r="F21" s="4">
        <v>0</v>
      </c>
      <c r="G21" s="4">
        <v>19991</v>
      </c>
      <c r="H21" s="4">
        <v>19991</v>
      </c>
      <c r="I21" s="4">
        <v>0</v>
      </c>
      <c r="J21" s="4">
        <v>19991</v>
      </c>
      <c r="M21" s="11" t="s">
        <v>376</v>
      </c>
      <c r="N21" s="8">
        <v>28187304</v>
      </c>
      <c r="O21" s="8">
        <v>25240304</v>
      </c>
      <c r="P21" s="8">
        <v>756449</v>
      </c>
      <c r="Q21" s="8">
        <v>2190551</v>
      </c>
    </row>
    <row r="22" spans="1:17" x14ac:dyDescent="0.75">
      <c r="A22" t="s">
        <v>151</v>
      </c>
      <c r="B22">
        <v>505</v>
      </c>
      <c r="C22" t="s">
        <v>136</v>
      </c>
      <c r="D22">
        <v>2540</v>
      </c>
      <c r="E22" t="s">
        <v>377</v>
      </c>
      <c r="F22" s="4">
        <v>0</v>
      </c>
      <c r="G22" s="4">
        <v>13557</v>
      </c>
      <c r="H22" s="4">
        <v>13557</v>
      </c>
      <c r="I22" s="4">
        <v>0</v>
      </c>
      <c r="J22" s="4">
        <v>13557</v>
      </c>
      <c r="M22" s="11" t="s">
        <v>405</v>
      </c>
      <c r="N22" s="8">
        <v>26951398</v>
      </c>
      <c r="O22" s="8">
        <v>17712863</v>
      </c>
      <c r="P22" s="8">
        <v>8423757</v>
      </c>
      <c r="Q22" s="8">
        <v>814778</v>
      </c>
    </row>
    <row r="23" spans="1:17" x14ac:dyDescent="0.75">
      <c r="A23" t="s">
        <v>151</v>
      </c>
      <c r="B23">
        <v>505</v>
      </c>
      <c r="C23" t="s">
        <v>136</v>
      </c>
      <c r="D23">
        <v>5330</v>
      </c>
      <c r="E23" t="s">
        <v>385</v>
      </c>
      <c r="F23" s="4">
        <v>0</v>
      </c>
      <c r="G23" s="4">
        <v>12719</v>
      </c>
      <c r="H23" s="4">
        <v>12719</v>
      </c>
      <c r="I23" s="4">
        <v>0</v>
      </c>
      <c r="J23" s="4">
        <v>12719</v>
      </c>
      <c r="M23" s="11" t="s">
        <v>426</v>
      </c>
      <c r="N23" s="8">
        <v>24612403</v>
      </c>
      <c r="O23" s="8">
        <v>1831435</v>
      </c>
      <c r="P23" s="8">
        <v>16811446</v>
      </c>
      <c r="Q23" s="8">
        <v>5969522</v>
      </c>
    </row>
    <row r="24" spans="1:17" x14ac:dyDescent="0.75">
      <c r="A24" t="s">
        <v>151</v>
      </c>
      <c r="B24">
        <v>505</v>
      </c>
      <c r="C24" t="s">
        <v>136</v>
      </c>
      <c r="D24">
        <v>2429</v>
      </c>
      <c r="E24" t="s">
        <v>375</v>
      </c>
      <c r="F24" s="4">
        <v>5965</v>
      </c>
      <c r="G24" s="4">
        <v>0</v>
      </c>
      <c r="H24" s="4">
        <v>0</v>
      </c>
      <c r="I24" s="4">
        <v>0</v>
      </c>
      <c r="J24" s="4">
        <v>5965</v>
      </c>
      <c r="M24" s="11" t="s">
        <v>382</v>
      </c>
      <c r="N24" s="8">
        <v>22809416</v>
      </c>
      <c r="O24" s="8">
        <v>7637039</v>
      </c>
      <c r="P24" s="8">
        <v>14627411</v>
      </c>
      <c r="Q24" s="8">
        <v>544966</v>
      </c>
    </row>
    <row r="25" spans="1:17" x14ac:dyDescent="0.75">
      <c r="A25" t="s">
        <v>151</v>
      </c>
      <c r="B25">
        <v>505</v>
      </c>
      <c r="C25" t="s">
        <v>136</v>
      </c>
      <c r="D25">
        <v>9900</v>
      </c>
      <c r="E25" t="s">
        <v>389</v>
      </c>
      <c r="F25" s="4">
        <v>0</v>
      </c>
      <c r="G25" s="4">
        <v>5512</v>
      </c>
      <c r="H25" s="4">
        <v>5512</v>
      </c>
      <c r="I25" s="4">
        <v>0</v>
      </c>
      <c r="J25" s="4">
        <v>5512</v>
      </c>
      <c r="M25" s="11" t="s">
        <v>381</v>
      </c>
      <c r="N25" s="8">
        <v>21967684</v>
      </c>
      <c r="O25" s="8">
        <v>9033707</v>
      </c>
      <c r="P25" s="8">
        <v>1639532</v>
      </c>
      <c r="Q25" s="8">
        <v>11294445</v>
      </c>
    </row>
    <row r="26" spans="1:17" x14ac:dyDescent="0.75">
      <c r="A26" t="s">
        <v>151</v>
      </c>
      <c r="B26">
        <v>505</v>
      </c>
      <c r="C26" t="s">
        <v>136</v>
      </c>
      <c r="D26">
        <v>3219</v>
      </c>
      <c r="E26" t="s">
        <v>378</v>
      </c>
      <c r="F26" s="4">
        <v>0</v>
      </c>
      <c r="G26" s="4">
        <v>3555</v>
      </c>
      <c r="H26" s="4">
        <v>3555</v>
      </c>
      <c r="I26" s="4">
        <v>0</v>
      </c>
      <c r="J26" s="4">
        <v>3555</v>
      </c>
      <c r="M26" s="11" t="s">
        <v>371</v>
      </c>
      <c r="N26" s="8">
        <v>21352573</v>
      </c>
      <c r="O26" s="8">
        <v>2588035</v>
      </c>
      <c r="P26" s="8">
        <v>15311000</v>
      </c>
      <c r="Q26" s="8">
        <v>3453538</v>
      </c>
    </row>
    <row r="27" spans="1:17" x14ac:dyDescent="0.75">
      <c r="A27" t="s">
        <v>151</v>
      </c>
      <c r="B27">
        <v>505</v>
      </c>
      <c r="C27" t="s">
        <v>136</v>
      </c>
      <c r="D27">
        <v>5480</v>
      </c>
      <c r="E27" t="s">
        <v>386</v>
      </c>
      <c r="F27" s="4">
        <v>0</v>
      </c>
      <c r="G27" s="4">
        <v>1475</v>
      </c>
      <c r="H27" s="4">
        <v>1475</v>
      </c>
      <c r="I27" s="4">
        <v>0</v>
      </c>
      <c r="J27" s="4">
        <v>1475</v>
      </c>
      <c r="M27" s="11" t="s">
        <v>380</v>
      </c>
      <c r="N27" s="8">
        <v>20940819</v>
      </c>
      <c r="O27" s="8">
        <v>55400</v>
      </c>
      <c r="P27" s="8">
        <v>3406542</v>
      </c>
      <c r="Q27" s="8">
        <v>17478877</v>
      </c>
    </row>
    <row r="28" spans="1:17" x14ac:dyDescent="0.75">
      <c r="A28" t="s">
        <v>151</v>
      </c>
      <c r="B28">
        <v>505</v>
      </c>
      <c r="C28" t="s">
        <v>136</v>
      </c>
      <c r="D28">
        <v>7110</v>
      </c>
      <c r="E28" t="s">
        <v>371</v>
      </c>
      <c r="F28" s="4">
        <v>0</v>
      </c>
      <c r="G28" s="4">
        <v>1183</v>
      </c>
      <c r="H28" s="4">
        <v>1183</v>
      </c>
      <c r="I28" s="4">
        <v>0</v>
      </c>
      <c r="J28" s="4">
        <v>1183</v>
      </c>
      <c r="M28" s="11" t="s">
        <v>378</v>
      </c>
      <c r="N28" s="8">
        <v>20298995</v>
      </c>
      <c r="O28" s="8">
        <v>13056240</v>
      </c>
      <c r="P28" s="8">
        <v>1668864</v>
      </c>
      <c r="Q28" s="8">
        <v>5573891</v>
      </c>
    </row>
    <row r="29" spans="1:17" x14ac:dyDescent="0.75">
      <c r="A29" t="s">
        <v>151</v>
      </c>
      <c r="B29">
        <v>505</v>
      </c>
      <c r="C29" t="s">
        <v>136</v>
      </c>
      <c r="D29">
        <v>7900</v>
      </c>
      <c r="E29" t="s">
        <v>388</v>
      </c>
      <c r="F29" s="4">
        <v>0</v>
      </c>
      <c r="G29" s="4">
        <v>182</v>
      </c>
      <c r="H29" s="4">
        <v>182</v>
      </c>
      <c r="I29" s="4">
        <v>0</v>
      </c>
      <c r="J29" s="4">
        <v>182</v>
      </c>
      <c r="M29" s="11" t="s">
        <v>423</v>
      </c>
      <c r="N29" s="8">
        <v>20234106</v>
      </c>
      <c r="O29" s="8">
        <v>354714</v>
      </c>
      <c r="P29" s="8">
        <v>8030596</v>
      </c>
      <c r="Q29" s="8">
        <v>11848796</v>
      </c>
    </row>
    <row r="30" spans="1:17" x14ac:dyDescent="0.75">
      <c r="A30" t="s">
        <v>151</v>
      </c>
      <c r="B30">
        <v>505</v>
      </c>
      <c r="C30" t="s">
        <v>136</v>
      </c>
      <c r="D30">
        <v>7230</v>
      </c>
      <c r="E30" t="s">
        <v>387</v>
      </c>
      <c r="F30" s="4">
        <v>0</v>
      </c>
      <c r="G30" s="4">
        <v>11</v>
      </c>
      <c r="H30" s="4">
        <v>11</v>
      </c>
      <c r="I30" s="4">
        <v>0</v>
      </c>
      <c r="J30" s="4">
        <v>11</v>
      </c>
      <c r="M30" s="11" t="s">
        <v>503</v>
      </c>
      <c r="N30" s="8">
        <v>20162464</v>
      </c>
      <c r="O30" s="8">
        <v>93990</v>
      </c>
      <c r="P30" s="8">
        <v>17188433</v>
      </c>
      <c r="Q30" s="8">
        <v>2880041</v>
      </c>
    </row>
    <row r="31" spans="1:17" x14ac:dyDescent="0.75">
      <c r="A31" t="s">
        <v>163</v>
      </c>
      <c r="B31">
        <v>2308</v>
      </c>
      <c r="C31" t="s">
        <v>249</v>
      </c>
      <c r="D31">
        <v>6590</v>
      </c>
      <c r="E31" t="s">
        <v>394</v>
      </c>
      <c r="F31" s="4">
        <v>539822</v>
      </c>
      <c r="G31" s="4">
        <v>0</v>
      </c>
      <c r="H31" s="4">
        <v>0</v>
      </c>
      <c r="I31" s="4">
        <v>0</v>
      </c>
      <c r="J31" s="4">
        <v>539822</v>
      </c>
      <c r="M31" s="11" t="s">
        <v>427</v>
      </c>
      <c r="N31" s="8">
        <v>20082669</v>
      </c>
      <c r="O31" s="8">
        <v>92420</v>
      </c>
      <c r="P31" s="8">
        <v>16848964</v>
      </c>
      <c r="Q31" s="8">
        <v>3141285</v>
      </c>
    </row>
    <row r="32" spans="1:17" x14ac:dyDescent="0.75">
      <c r="A32" t="s">
        <v>163</v>
      </c>
      <c r="B32">
        <v>2308</v>
      </c>
      <c r="C32" t="s">
        <v>249</v>
      </c>
      <c r="D32">
        <v>2540</v>
      </c>
      <c r="E32" t="s">
        <v>377</v>
      </c>
      <c r="F32" s="4">
        <v>219718</v>
      </c>
      <c r="G32" s="4">
        <v>0</v>
      </c>
      <c r="H32" s="4">
        <v>0</v>
      </c>
      <c r="I32" s="4">
        <v>0</v>
      </c>
      <c r="J32" s="4">
        <v>219718</v>
      </c>
      <c r="M32" s="11" t="s">
        <v>416</v>
      </c>
      <c r="N32" s="8">
        <v>18957390</v>
      </c>
      <c r="O32" s="8">
        <v>8833722</v>
      </c>
      <c r="P32" s="8">
        <v>9103297</v>
      </c>
      <c r="Q32" s="8">
        <v>1020371</v>
      </c>
    </row>
    <row r="33" spans="1:17" x14ac:dyDescent="0.75">
      <c r="A33" t="s">
        <v>163</v>
      </c>
      <c r="B33">
        <v>2308</v>
      </c>
      <c r="C33" t="s">
        <v>249</v>
      </c>
      <c r="D33">
        <v>6653</v>
      </c>
      <c r="E33" t="s">
        <v>395</v>
      </c>
      <c r="F33" s="4">
        <v>201785</v>
      </c>
      <c r="G33" s="4">
        <v>0</v>
      </c>
      <c r="H33" s="4">
        <v>0</v>
      </c>
      <c r="I33" s="4">
        <v>0</v>
      </c>
      <c r="J33" s="4">
        <v>201785</v>
      </c>
      <c r="M33" s="11" t="s">
        <v>499</v>
      </c>
      <c r="N33" s="8">
        <v>18172071</v>
      </c>
      <c r="O33" s="8">
        <v>375890</v>
      </c>
      <c r="P33" s="8">
        <v>16450065</v>
      </c>
      <c r="Q33" s="8">
        <v>1346116</v>
      </c>
    </row>
    <row r="34" spans="1:17" x14ac:dyDescent="0.75">
      <c r="A34" t="s">
        <v>163</v>
      </c>
      <c r="B34">
        <v>2308</v>
      </c>
      <c r="C34" t="s">
        <v>249</v>
      </c>
      <c r="D34">
        <v>6344</v>
      </c>
      <c r="E34" t="s">
        <v>392</v>
      </c>
      <c r="F34" s="4">
        <v>95870</v>
      </c>
      <c r="G34" s="4">
        <v>0</v>
      </c>
      <c r="H34" s="4">
        <v>0</v>
      </c>
      <c r="I34" s="4">
        <v>0</v>
      </c>
      <c r="J34" s="4">
        <v>95870</v>
      </c>
      <c r="M34" s="11" t="s">
        <v>386</v>
      </c>
      <c r="N34" s="8">
        <v>16421611</v>
      </c>
      <c r="O34" s="8">
        <v>339148</v>
      </c>
      <c r="P34" s="8">
        <v>14631332</v>
      </c>
      <c r="Q34" s="8">
        <v>1451131</v>
      </c>
    </row>
    <row r="35" spans="1:17" x14ac:dyDescent="0.75">
      <c r="A35" t="s">
        <v>163</v>
      </c>
      <c r="B35">
        <v>2308</v>
      </c>
      <c r="C35" t="s">
        <v>249</v>
      </c>
      <c r="D35">
        <v>6522</v>
      </c>
      <c r="E35" t="s">
        <v>393</v>
      </c>
      <c r="F35" s="4">
        <v>71304</v>
      </c>
      <c r="G35" s="4">
        <v>0</v>
      </c>
      <c r="H35" s="4">
        <v>0</v>
      </c>
      <c r="I35" s="4">
        <v>0</v>
      </c>
      <c r="J35" s="4">
        <v>71304</v>
      </c>
      <c r="M35" s="11" t="s">
        <v>408</v>
      </c>
      <c r="N35" s="8">
        <v>15917244</v>
      </c>
      <c r="O35" s="8">
        <v>9211389</v>
      </c>
      <c r="P35" s="8">
        <v>4227287</v>
      </c>
      <c r="Q35" s="8">
        <v>2478568</v>
      </c>
    </row>
    <row r="36" spans="1:17" x14ac:dyDescent="0.75">
      <c r="A36" t="s">
        <v>163</v>
      </c>
      <c r="B36">
        <v>2308</v>
      </c>
      <c r="C36" t="s">
        <v>249</v>
      </c>
      <c r="D36">
        <v>6782</v>
      </c>
      <c r="E36" t="s">
        <v>396</v>
      </c>
      <c r="F36" s="4">
        <v>17777</v>
      </c>
      <c r="G36" s="4">
        <v>0</v>
      </c>
      <c r="H36" s="4">
        <v>0</v>
      </c>
      <c r="I36" s="4">
        <v>0</v>
      </c>
      <c r="J36" s="4">
        <v>17777</v>
      </c>
      <c r="M36" s="11" t="s">
        <v>507</v>
      </c>
      <c r="N36" s="8">
        <v>15704154</v>
      </c>
      <c r="O36" s="8">
        <v>15704154</v>
      </c>
      <c r="P36" s="8">
        <v>0</v>
      </c>
      <c r="Q36" s="8">
        <v>0</v>
      </c>
    </row>
    <row r="37" spans="1:17" x14ac:dyDescent="0.75">
      <c r="A37" t="s">
        <v>163</v>
      </c>
      <c r="B37">
        <v>2308</v>
      </c>
      <c r="C37" t="s">
        <v>249</v>
      </c>
      <c r="D37">
        <v>6241</v>
      </c>
      <c r="E37" t="s">
        <v>391</v>
      </c>
      <c r="F37" s="4">
        <v>13366</v>
      </c>
      <c r="G37" s="4">
        <v>0</v>
      </c>
      <c r="H37" s="4">
        <v>0</v>
      </c>
      <c r="I37" s="4">
        <v>0</v>
      </c>
      <c r="J37" s="4">
        <v>13366</v>
      </c>
      <c r="M37" s="11" t="s">
        <v>438</v>
      </c>
      <c r="N37" s="8">
        <v>14630003</v>
      </c>
      <c r="O37" s="8">
        <v>7356625</v>
      </c>
      <c r="P37" s="8">
        <v>1121964</v>
      </c>
      <c r="Q37" s="8">
        <v>6151414</v>
      </c>
    </row>
    <row r="38" spans="1:17" x14ac:dyDescent="0.75">
      <c r="A38" t="s">
        <v>163</v>
      </c>
      <c r="B38">
        <v>2308</v>
      </c>
      <c r="C38" t="s">
        <v>249</v>
      </c>
      <c r="D38">
        <v>4331</v>
      </c>
      <c r="E38" t="s">
        <v>390</v>
      </c>
      <c r="F38" s="4">
        <v>8971</v>
      </c>
      <c r="G38" s="4">
        <v>0</v>
      </c>
      <c r="H38" s="4">
        <v>0</v>
      </c>
      <c r="I38" s="4">
        <v>0</v>
      </c>
      <c r="J38" s="4">
        <v>8971</v>
      </c>
      <c r="M38" s="11" t="s">
        <v>415</v>
      </c>
      <c r="N38" s="8">
        <v>13967891</v>
      </c>
      <c r="O38" s="8">
        <v>140901</v>
      </c>
      <c r="P38" s="8">
        <v>13045524</v>
      </c>
      <c r="Q38" s="8">
        <v>781466</v>
      </c>
    </row>
    <row r="39" spans="1:17" x14ac:dyDescent="0.75">
      <c r="A39" t="s">
        <v>160</v>
      </c>
      <c r="B39">
        <v>3617</v>
      </c>
      <c r="C39" t="s">
        <v>223</v>
      </c>
      <c r="D39">
        <v>5220</v>
      </c>
      <c r="E39" t="s">
        <v>401</v>
      </c>
      <c r="F39" s="4">
        <v>1576385</v>
      </c>
      <c r="G39" s="4">
        <v>0</v>
      </c>
      <c r="H39" s="4">
        <v>0</v>
      </c>
      <c r="I39" s="4">
        <v>0</v>
      </c>
      <c r="J39" s="4">
        <v>1576385</v>
      </c>
      <c r="M39" s="11" t="s">
        <v>384</v>
      </c>
      <c r="N39" s="8">
        <v>13870259</v>
      </c>
      <c r="O39" s="8">
        <v>3599058</v>
      </c>
      <c r="P39" s="8">
        <v>10181362</v>
      </c>
      <c r="Q39" s="8">
        <v>89839</v>
      </c>
    </row>
    <row r="40" spans="1:17" x14ac:dyDescent="0.75">
      <c r="A40" t="s">
        <v>160</v>
      </c>
      <c r="B40">
        <v>3617</v>
      </c>
      <c r="C40" t="s">
        <v>223</v>
      </c>
      <c r="D40">
        <v>4860</v>
      </c>
      <c r="E40" t="s">
        <v>400</v>
      </c>
      <c r="F40" s="4">
        <v>379317</v>
      </c>
      <c r="G40" s="4">
        <v>0</v>
      </c>
      <c r="H40" s="4">
        <v>0</v>
      </c>
      <c r="I40" s="4">
        <v>0</v>
      </c>
      <c r="J40" s="4">
        <v>379317</v>
      </c>
      <c r="M40" s="11" t="s">
        <v>379</v>
      </c>
      <c r="N40" s="8">
        <v>12909537</v>
      </c>
      <c r="O40" s="8">
        <v>2101440</v>
      </c>
      <c r="P40" s="8">
        <v>3392351</v>
      </c>
      <c r="Q40" s="8">
        <v>7415746</v>
      </c>
    </row>
    <row r="41" spans="1:17" x14ac:dyDescent="0.75">
      <c r="A41" t="s">
        <v>160</v>
      </c>
      <c r="B41">
        <v>3617</v>
      </c>
      <c r="C41" t="s">
        <v>223</v>
      </c>
      <c r="D41">
        <v>2540</v>
      </c>
      <c r="E41" t="s">
        <v>377</v>
      </c>
      <c r="F41" s="4">
        <v>275348</v>
      </c>
      <c r="G41" s="4">
        <v>0</v>
      </c>
      <c r="H41" s="4">
        <v>0</v>
      </c>
      <c r="I41" s="4">
        <v>0</v>
      </c>
      <c r="J41" s="4">
        <v>275348</v>
      </c>
      <c r="M41" s="11" t="s">
        <v>404</v>
      </c>
      <c r="N41" s="8">
        <v>12452542</v>
      </c>
      <c r="O41" s="8">
        <v>8468584</v>
      </c>
      <c r="P41" s="8">
        <v>1730319</v>
      </c>
      <c r="Q41" s="8">
        <v>2253639</v>
      </c>
    </row>
    <row r="42" spans="1:17" x14ac:dyDescent="0.75">
      <c r="A42" t="s">
        <v>160</v>
      </c>
      <c r="B42">
        <v>3617</v>
      </c>
      <c r="C42" t="s">
        <v>223</v>
      </c>
      <c r="D42">
        <v>1100</v>
      </c>
      <c r="E42" t="s">
        <v>397</v>
      </c>
      <c r="F42" s="4">
        <v>54575</v>
      </c>
      <c r="G42" s="4">
        <v>0</v>
      </c>
      <c r="H42" s="4">
        <v>0</v>
      </c>
      <c r="I42" s="4">
        <v>0</v>
      </c>
      <c r="J42" s="4">
        <v>54575</v>
      </c>
      <c r="M42" s="11" t="s">
        <v>409</v>
      </c>
      <c r="N42" s="8">
        <v>11964977</v>
      </c>
      <c r="O42" s="8">
        <v>10449257</v>
      </c>
      <c r="P42" s="8">
        <v>1245571</v>
      </c>
      <c r="Q42" s="8">
        <v>270149</v>
      </c>
    </row>
    <row r="43" spans="1:17" x14ac:dyDescent="0.75">
      <c r="A43" t="s">
        <v>160</v>
      </c>
      <c r="B43">
        <v>3617</v>
      </c>
      <c r="C43" t="s">
        <v>223</v>
      </c>
      <c r="D43">
        <v>4322</v>
      </c>
      <c r="E43" t="s">
        <v>398</v>
      </c>
      <c r="F43" s="4">
        <v>35439</v>
      </c>
      <c r="G43" s="4">
        <v>0</v>
      </c>
      <c r="H43" s="4">
        <v>0</v>
      </c>
      <c r="I43" s="4">
        <v>0</v>
      </c>
      <c r="J43" s="4">
        <v>35439</v>
      </c>
      <c r="M43" s="11" t="s">
        <v>407</v>
      </c>
      <c r="N43" s="8">
        <v>11792167</v>
      </c>
      <c r="O43" s="8">
        <v>5494753</v>
      </c>
      <c r="P43" s="8">
        <v>2919163</v>
      </c>
      <c r="Q43" s="8">
        <v>3378251</v>
      </c>
    </row>
    <row r="44" spans="1:17" x14ac:dyDescent="0.75">
      <c r="A44" t="s">
        <v>160</v>
      </c>
      <c r="B44">
        <v>3617</v>
      </c>
      <c r="C44" t="s">
        <v>223</v>
      </c>
      <c r="D44">
        <v>4410</v>
      </c>
      <c r="E44" t="s">
        <v>399</v>
      </c>
      <c r="F44" s="4">
        <v>34206</v>
      </c>
      <c r="G44" s="4">
        <v>0</v>
      </c>
      <c r="H44" s="4">
        <v>0</v>
      </c>
      <c r="I44" s="4">
        <v>0</v>
      </c>
      <c r="J44" s="4">
        <v>34206</v>
      </c>
      <c r="M44" s="11" t="s">
        <v>385</v>
      </c>
      <c r="N44" s="8">
        <v>11665163</v>
      </c>
      <c r="O44" s="8">
        <v>4105526</v>
      </c>
      <c r="P44" s="8">
        <v>6362559</v>
      </c>
      <c r="Q44" s="8">
        <v>1197078</v>
      </c>
    </row>
    <row r="45" spans="1:17" x14ac:dyDescent="0.75">
      <c r="A45" t="s">
        <v>160</v>
      </c>
      <c r="B45">
        <v>3617</v>
      </c>
      <c r="C45" t="s">
        <v>223</v>
      </c>
      <c r="D45">
        <v>4323</v>
      </c>
      <c r="E45" t="s">
        <v>373</v>
      </c>
      <c r="F45" s="4">
        <v>5074</v>
      </c>
      <c r="G45" s="4">
        <v>0</v>
      </c>
      <c r="H45" s="4">
        <v>0</v>
      </c>
      <c r="I45" s="4">
        <v>0</v>
      </c>
      <c r="J45" s="4">
        <v>5074</v>
      </c>
      <c r="M45" s="11" t="s">
        <v>402</v>
      </c>
      <c r="N45" s="8">
        <v>11557023</v>
      </c>
      <c r="O45" s="8">
        <v>10480902</v>
      </c>
      <c r="P45" s="8">
        <v>98708</v>
      </c>
      <c r="Q45" s="8">
        <v>977413</v>
      </c>
    </row>
    <row r="46" spans="1:17" x14ac:dyDescent="0.75">
      <c r="A46" t="s">
        <v>163</v>
      </c>
      <c r="B46">
        <v>2309</v>
      </c>
      <c r="C46" t="s">
        <v>182</v>
      </c>
      <c r="D46">
        <v>2100</v>
      </c>
      <c r="E46" t="s">
        <v>403</v>
      </c>
      <c r="F46" s="4">
        <v>2301734</v>
      </c>
      <c r="G46" s="4">
        <v>0</v>
      </c>
      <c r="H46" s="4">
        <v>0</v>
      </c>
      <c r="I46" s="4">
        <v>0</v>
      </c>
      <c r="J46" s="4">
        <v>2301734</v>
      </c>
      <c r="M46" s="11" t="s">
        <v>394</v>
      </c>
      <c r="N46" s="8">
        <v>11215251</v>
      </c>
      <c r="O46" s="8">
        <v>9906674</v>
      </c>
      <c r="P46" s="8">
        <v>247094</v>
      </c>
      <c r="Q46" s="8">
        <v>1061483</v>
      </c>
    </row>
    <row r="47" spans="1:17" x14ac:dyDescent="0.75">
      <c r="A47" t="s">
        <v>163</v>
      </c>
      <c r="B47">
        <v>2309</v>
      </c>
      <c r="C47" t="s">
        <v>182</v>
      </c>
      <c r="D47">
        <v>2430</v>
      </c>
      <c r="E47" t="s">
        <v>376</v>
      </c>
      <c r="F47" s="4">
        <v>1116740</v>
      </c>
      <c r="G47" s="4">
        <v>0</v>
      </c>
      <c r="H47" s="4">
        <v>0</v>
      </c>
      <c r="I47" s="4">
        <v>0</v>
      </c>
      <c r="J47" s="4">
        <v>1116740</v>
      </c>
      <c r="M47" s="11" t="s">
        <v>433</v>
      </c>
      <c r="N47" s="8">
        <v>11112804</v>
      </c>
      <c r="O47" s="8">
        <v>5048947</v>
      </c>
      <c r="P47" s="8">
        <v>375927</v>
      </c>
      <c r="Q47" s="8">
        <v>5687930</v>
      </c>
    </row>
    <row r="48" spans="1:17" x14ac:dyDescent="0.75">
      <c r="A48" t="s">
        <v>163</v>
      </c>
      <c r="B48">
        <v>2309</v>
      </c>
      <c r="C48" t="s">
        <v>182</v>
      </c>
      <c r="D48">
        <v>2540</v>
      </c>
      <c r="E48" t="s">
        <v>377</v>
      </c>
      <c r="F48" s="4">
        <v>953410</v>
      </c>
      <c r="G48" s="4">
        <v>0</v>
      </c>
      <c r="H48" s="4">
        <v>0</v>
      </c>
      <c r="I48" s="4">
        <v>0</v>
      </c>
      <c r="J48" s="4">
        <v>953410</v>
      </c>
      <c r="M48" s="11" t="s">
        <v>420</v>
      </c>
      <c r="N48" s="8">
        <v>10919761</v>
      </c>
      <c r="O48" s="8">
        <v>2336109</v>
      </c>
      <c r="P48" s="8">
        <v>6511943</v>
      </c>
      <c r="Q48" s="8">
        <v>2071709</v>
      </c>
    </row>
    <row r="49" spans="1:17" x14ac:dyDescent="0.75">
      <c r="A49" t="s">
        <v>163</v>
      </c>
      <c r="B49">
        <v>2309</v>
      </c>
      <c r="C49" t="s">
        <v>182</v>
      </c>
      <c r="D49">
        <v>6590</v>
      </c>
      <c r="E49" t="s">
        <v>394</v>
      </c>
      <c r="F49" s="4">
        <v>932083</v>
      </c>
      <c r="G49" s="4">
        <v>0</v>
      </c>
      <c r="H49" s="4">
        <v>0</v>
      </c>
      <c r="I49" s="4">
        <v>0</v>
      </c>
      <c r="J49" s="4">
        <v>932083</v>
      </c>
      <c r="M49" s="11" t="s">
        <v>400</v>
      </c>
      <c r="N49" s="8">
        <v>10120834</v>
      </c>
      <c r="O49" s="8">
        <v>5027096</v>
      </c>
      <c r="P49" s="8">
        <v>5035598</v>
      </c>
      <c r="Q49" s="8">
        <v>58140</v>
      </c>
    </row>
    <row r="50" spans="1:17" x14ac:dyDescent="0.75">
      <c r="A50" t="s">
        <v>163</v>
      </c>
      <c r="B50">
        <v>2309</v>
      </c>
      <c r="C50" t="s">
        <v>182</v>
      </c>
      <c r="D50">
        <v>6782</v>
      </c>
      <c r="E50" t="s">
        <v>396</v>
      </c>
      <c r="F50" s="4">
        <v>477174</v>
      </c>
      <c r="G50" s="4">
        <v>0</v>
      </c>
      <c r="H50" s="4">
        <v>0</v>
      </c>
      <c r="I50" s="4">
        <v>0</v>
      </c>
      <c r="J50" s="4">
        <v>477174</v>
      </c>
      <c r="M50" s="11" t="s">
        <v>457</v>
      </c>
      <c r="N50" s="8">
        <v>9642556</v>
      </c>
      <c r="O50" s="8">
        <v>3279719</v>
      </c>
      <c r="P50" s="8">
        <v>6256065</v>
      </c>
      <c r="Q50" s="8">
        <v>106772</v>
      </c>
    </row>
    <row r="51" spans="1:17" x14ac:dyDescent="0.75">
      <c r="A51" t="s">
        <v>163</v>
      </c>
      <c r="B51">
        <v>2309</v>
      </c>
      <c r="C51" t="s">
        <v>182</v>
      </c>
      <c r="D51">
        <v>4420</v>
      </c>
      <c r="E51" t="s">
        <v>381</v>
      </c>
      <c r="F51" s="4">
        <v>264347</v>
      </c>
      <c r="G51" s="4">
        <v>0</v>
      </c>
      <c r="H51" s="4">
        <v>0</v>
      </c>
      <c r="I51" s="4">
        <v>0</v>
      </c>
      <c r="J51" s="4">
        <v>264347</v>
      </c>
      <c r="M51" s="11" t="s">
        <v>461</v>
      </c>
      <c r="N51" s="8">
        <v>8910660</v>
      </c>
      <c r="O51" s="8">
        <v>92448</v>
      </c>
      <c r="P51" s="8">
        <v>4106933</v>
      </c>
      <c r="Q51" s="8">
        <v>4711279</v>
      </c>
    </row>
    <row r="52" spans="1:17" x14ac:dyDescent="0.75">
      <c r="A52" t="s">
        <v>163</v>
      </c>
      <c r="B52">
        <v>2309</v>
      </c>
      <c r="C52" t="s">
        <v>182</v>
      </c>
      <c r="D52">
        <v>2340</v>
      </c>
      <c r="E52" t="s">
        <v>369</v>
      </c>
      <c r="F52" s="4">
        <v>226623</v>
      </c>
      <c r="G52" s="4">
        <v>0</v>
      </c>
      <c r="H52" s="4">
        <v>0</v>
      </c>
      <c r="I52" s="4">
        <v>0</v>
      </c>
      <c r="J52" s="4">
        <v>226623</v>
      </c>
      <c r="M52" s="11" t="s">
        <v>419</v>
      </c>
      <c r="N52" s="8">
        <v>8519115</v>
      </c>
      <c r="O52" s="8">
        <v>561261</v>
      </c>
      <c r="P52" s="8">
        <v>5226794</v>
      </c>
      <c r="Q52" s="8">
        <v>2731060</v>
      </c>
    </row>
    <row r="53" spans="1:17" x14ac:dyDescent="0.75">
      <c r="A53" t="s">
        <v>163</v>
      </c>
      <c r="B53">
        <v>2309</v>
      </c>
      <c r="C53" t="s">
        <v>182</v>
      </c>
      <c r="D53">
        <v>3110</v>
      </c>
      <c r="E53" t="s">
        <v>405</v>
      </c>
      <c r="F53" s="4">
        <v>222946</v>
      </c>
      <c r="G53" s="4">
        <v>0</v>
      </c>
      <c r="H53" s="4">
        <v>0</v>
      </c>
      <c r="I53" s="4">
        <v>0</v>
      </c>
      <c r="J53" s="4">
        <v>222946</v>
      </c>
      <c r="M53" s="11" t="s">
        <v>373</v>
      </c>
      <c r="N53" s="8">
        <v>8389394</v>
      </c>
      <c r="O53" s="8">
        <v>2439152</v>
      </c>
      <c r="P53" s="8">
        <v>5877920</v>
      </c>
      <c r="Q53" s="8">
        <v>72322</v>
      </c>
    </row>
    <row r="54" spans="1:17" x14ac:dyDescent="0.75">
      <c r="A54" t="s">
        <v>163</v>
      </c>
      <c r="B54">
        <v>2309</v>
      </c>
      <c r="C54" t="s">
        <v>182</v>
      </c>
      <c r="D54">
        <v>3130</v>
      </c>
      <c r="E54" t="s">
        <v>407</v>
      </c>
      <c r="F54" s="4">
        <v>220875</v>
      </c>
      <c r="G54" s="4">
        <v>0</v>
      </c>
      <c r="H54" s="4">
        <v>0</v>
      </c>
      <c r="I54" s="4">
        <v>0</v>
      </c>
      <c r="J54" s="4">
        <v>220875</v>
      </c>
      <c r="M54" s="11" t="s">
        <v>487</v>
      </c>
      <c r="N54" s="8">
        <v>8304993</v>
      </c>
      <c r="O54" s="8">
        <v>41975</v>
      </c>
      <c r="P54" s="8">
        <v>5613316</v>
      </c>
      <c r="Q54" s="8">
        <v>2649702</v>
      </c>
    </row>
    <row r="55" spans="1:17" x14ac:dyDescent="0.75">
      <c r="A55" t="s">
        <v>163</v>
      </c>
      <c r="B55">
        <v>2309</v>
      </c>
      <c r="C55" t="s">
        <v>182</v>
      </c>
      <c r="D55">
        <v>4783</v>
      </c>
      <c r="E55" t="s">
        <v>382</v>
      </c>
      <c r="F55" s="4">
        <v>195450</v>
      </c>
      <c r="G55" s="4">
        <v>0</v>
      </c>
      <c r="H55" s="4">
        <v>0</v>
      </c>
      <c r="I55" s="4">
        <v>0</v>
      </c>
      <c r="J55" s="4">
        <v>195450</v>
      </c>
      <c r="M55" s="11" t="s">
        <v>493</v>
      </c>
      <c r="N55" s="8">
        <v>7969807</v>
      </c>
      <c r="O55" s="8">
        <v>697082</v>
      </c>
      <c r="P55" s="8">
        <v>6018863</v>
      </c>
      <c r="Q55" s="8">
        <v>1253862</v>
      </c>
    </row>
    <row r="56" spans="1:17" x14ac:dyDescent="0.75">
      <c r="A56" t="s">
        <v>163</v>
      </c>
      <c r="B56">
        <v>2309</v>
      </c>
      <c r="C56" t="s">
        <v>182</v>
      </c>
      <c r="D56">
        <v>3190</v>
      </c>
      <c r="E56" t="s">
        <v>408</v>
      </c>
      <c r="F56" s="4">
        <v>184853</v>
      </c>
      <c r="G56" s="4">
        <v>0</v>
      </c>
      <c r="H56" s="4">
        <v>0</v>
      </c>
      <c r="I56" s="4">
        <v>0</v>
      </c>
      <c r="J56" s="4">
        <v>184853</v>
      </c>
      <c r="M56" s="11" t="s">
        <v>424</v>
      </c>
      <c r="N56" s="8">
        <v>7747423</v>
      </c>
      <c r="O56" s="8">
        <v>695486</v>
      </c>
      <c r="P56" s="8">
        <v>384252</v>
      </c>
      <c r="Q56" s="8">
        <v>6667685</v>
      </c>
    </row>
    <row r="57" spans="1:17" x14ac:dyDescent="0.75">
      <c r="A57" t="s">
        <v>163</v>
      </c>
      <c r="B57">
        <v>2309</v>
      </c>
      <c r="C57" t="s">
        <v>182</v>
      </c>
      <c r="D57">
        <v>6344</v>
      </c>
      <c r="E57" t="s">
        <v>392</v>
      </c>
      <c r="F57" s="4">
        <v>182490</v>
      </c>
      <c r="G57" s="4">
        <v>0</v>
      </c>
      <c r="H57" s="4">
        <v>0</v>
      </c>
      <c r="I57" s="4">
        <v>0</v>
      </c>
      <c r="J57" s="4">
        <v>182490</v>
      </c>
      <c r="M57" s="11" t="s">
        <v>450</v>
      </c>
      <c r="N57" s="8">
        <v>7729357</v>
      </c>
      <c r="O57" s="8">
        <v>17218</v>
      </c>
      <c r="P57" s="8">
        <v>153134</v>
      </c>
      <c r="Q57" s="8">
        <v>7559005</v>
      </c>
    </row>
    <row r="58" spans="1:17" x14ac:dyDescent="0.75">
      <c r="A58" t="s">
        <v>163</v>
      </c>
      <c r="B58">
        <v>2309</v>
      </c>
      <c r="C58" t="s">
        <v>182</v>
      </c>
      <c r="D58">
        <v>3212</v>
      </c>
      <c r="E58" t="s">
        <v>409</v>
      </c>
      <c r="F58" s="4">
        <v>134963</v>
      </c>
      <c r="G58" s="4">
        <v>0</v>
      </c>
      <c r="H58" s="4">
        <v>0</v>
      </c>
      <c r="I58" s="4">
        <v>0</v>
      </c>
      <c r="J58" s="4">
        <v>134963</v>
      </c>
      <c r="M58" s="11" t="s">
        <v>480</v>
      </c>
      <c r="N58" s="8">
        <v>7539916</v>
      </c>
      <c r="O58" s="8">
        <v>334823</v>
      </c>
      <c r="P58" s="8">
        <v>1195656</v>
      </c>
      <c r="Q58" s="8">
        <v>6009437</v>
      </c>
    </row>
    <row r="59" spans="1:17" x14ac:dyDescent="0.75">
      <c r="A59" t="s">
        <v>163</v>
      </c>
      <c r="B59">
        <v>2309</v>
      </c>
      <c r="C59" t="s">
        <v>182</v>
      </c>
      <c r="D59">
        <v>5330</v>
      </c>
      <c r="E59" t="s">
        <v>385</v>
      </c>
      <c r="F59" s="4">
        <v>103728</v>
      </c>
      <c r="G59" s="4">
        <v>0</v>
      </c>
      <c r="H59" s="4">
        <v>0</v>
      </c>
      <c r="I59" s="4">
        <v>0</v>
      </c>
      <c r="J59" s="4">
        <v>103728</v>
      </c>
      <c r="M59" s="11" t="s">
        <v>448</v>
      </c>
      <c r="N59" s="8">
        <v>7389010</v>
      </c>
      <c r="O59" s="8">
        <v>2677117</v>
      </c>
      <c r="P59" s="8">
        <v>1778282</v>
      </c>
      <c r="Q59" s="8">
        <v>2933611</v>
      </c>
    </row>
    <row r="60" spans="1:17" x14ac:dyDescent="0.75">
      <c r="A60" t="s">
        <v>163</v>
      </c>
      <c r="B60">
        <v>2309</v>
      </c>
      <c r="C60" t="s">
        <v>182</v>
      </c>
      <c r="D60">
        <v>2350</v>
      </c>
      <c r="E60" t="s">
        <v>404</v>
      </c>
      <c r="F60" s="4">
        <v>100288</v>
      </c>
      <c r="G60" s="4">
        <v>0</v>
      </c>
      <c r="H60" s="4">
        <v>0</v>
      </c>
      <c r="I60" s="4">
        <v>0</v>
      </c>
      <c r="J60" s="4">
        <v>100288</v>
      </c>
      <c r="M60" s="11" t="s">
        <v>383</v>
      </c>
      <c r="N60" s="8">
        <v>7358966</v>
      </c>
      <c r="O60" s="8">
        <v>2458167</v>
      </c>
      <c r="P60" s="8">
        <v>4279792</v>
      </c>
      <c r="Q60" s="8">
        <v>621007</v>
      </c>
    </row>
    <row r="61" spans="1:17" x14ac:dyDescent="0.75">
      <c r="A61" t="s">
        <v>163</v>
      </c>
      <c r="B61">
        <v>2309</v>
      </c>
      <c r="C61" t="s">
        <v>182</v>
      </c>
      <c r="D61">
        <v>6241</v>
      </c>
      <c r="E61" t="s">
        <v>391</v>
      </c>
      <c r="F61" s="4">
        <v>97740</v>
      </c>
      <c r="G61" s="4">
        <v>0</v>
      </c>
      <c r="H61" s="4">
        <v>0</v>
      </c>
      <c r="I61" s="4">
        <v>0</v>
      </c>
      <c r="J61" s="4">
        <v>97740</v>
      </c>
      <c r="M61" s="11" t="s">
        <v>475</v>
      </c>
      <c r="N61" s="8">
        <v>7175294</v>
      </c>
      <c r="O61" s="8">
        <v>400740</v>
      </c>
      <c r="P61" s="8">
        <v>800</v>
      </c>
      <c r="Q61" s="8">
        <v>6773754</v>
      </c>
    </row>
    <row r="62" spans="1:17" x14ac:dyDescent="0.75">
      <c r="A62" t="s">
        <v>163</v>
      </c>
      <c r="B62">
        <v>2309</v>
      </c>
      <c r="C62" t="s">
        <v>182</v>
      </c>
      <c r="D62">
        <v>2330</v>
      </c>
      <c r="E62" t="s">
        <v>368</v>
      </c>
      <c r="F62" s="4">
        <v>93034</v>
      </c>
      <c r="G62" s="4">
        <v>0</v>
      </c>
      <c r="H62" s="4">
        <v>0</v>
      </c>
      <c r="I62" s="4">
        <v>0</v>
      </c>
      <c r="J62" s="4">
        <v>93034</v>
      </c>
      <c r="M62" s="11" t="s">
        <v>451</v>
      </c>
      <c r="N62" s="8">
        <v>7171074</v>
      </c>
      <c r="O62" s="8">
        <v>609938</v>
      </c>
      <c r="P62" s="8">
        <v>4153457</v>
      </c>
      <c r="Q62" s="8">
        <v>2407679</v>
      </c>
    </row>
    <row r="63" spans="1:17" x14ac:dyDescent="0.75">
      <c r="A63" t="s">
        <v>163</v>
      </c>
      <c r="B63">
        <v>2309</v>
      </c>
      <c r="C63" t="s">
        <v>182</v>
      </c>
      <c r="D63">
        <v>4322</v>
      </c>
      <c r="E63" t="s">
        <v>398</v>
      </c>
      <c r="F63" s="4">
        <v>77007</v>
      </c>
      <c r="G63" s="4">
        <v>0</v>
      </c>
      <c r="H63" s="4">
        <v>0</v>
      </c>
      <c r="I63" s="4">
        <v>0</v>
      </c>
      <c r="J63" s="4">
        <v>77007</v>
      </c>
      <c r="M63" s="11" t="s">
        <v>395</v>
      </c>
      <c r="N63" s="8">
        <v>6839040</v>
      </c>
      <c r="O63" s="8">
        <v>1946564</v>
      </c>
      <c r="P63" s="8">
        <v>3885193</v>
      </c>
      <c r="Q63" s="8">
        <v>1007283</v>
      </c>
    </row>
    <row r="64" spans="1:17" x14ac:dyDescent="0.75">
      <c r="A64" t="s">
        <v>163</v>
      </c>
      <c r="B64">
        <v>2309</v>
      </c>
      <c r="C64" t="s">
        <v>182</v>
      </c>
      <c r="D64">
        <v>4860</v>
      </c>
      <c r="E64" t="s">
        <v>400</v>
      </c>
      <c r="F64" s="4">
        <v>74293</v>
      </c>
      <c r="G64" s="4">
        <v>0</v>
      </c>
      <c r="H64" s="4">
        <v>0</v>
      </c>
      <c r="I64" s="4">
        <v>0</v>
      </c>
      <c r="J64" s="4">
        <v>74293</v>
      </c>
      <c r="M64" s="11" t="s">
        <v>472</v>
      </c>
      <c r="N64" s="8">
        <v>6804126</v>
      </c>
      <c r="O64" s="8">
        <v>2999195</v>
      </c>
      <c r="P64" s="8">
        <v>1127262</v>
      </c>
      <c r="Q64" s="8">
        <v>2677669</v>
      </c>
    </row>
    <row r="65" spans="1:17" x14ac:dyDescent="0.75">
      <c r="A65" t="s">
        <v>163</v>
      </c>
      <c r="B65">
        <v>2309</v>
      </c>
      <c r="C65" t="s">
        <v>182</v>
      </c>
      <c r="D65">
        <v>3120</v>
      </c>
      <c r="E65" t="s">
        <v>406</v>
      </c>
      <c r="F65" s="4">
        <v>69283</v>
      </c>
      <c r="G65" s="4">
        <v>0</v>
      </c>
      <c r="H65" s="4">
        <v>0</v>
      </c>
      <c r="I65" s="4">
        <v>0</v>
      </c>
      <c r="J65" s="4">
        <v>69283</v>
      </c>
      <c r="M65" s="11" t="s">
        <v>434</v>
      </c>
      <c r="N65" s="8">
        <v>6390760</v>
      </c>
      <c r="O65" s="8">
        <v>2004858</v>
      </c>
      <c r="P65" s="8">
        <v>2027507</v>
      </c>
      <c r="Q65" s="8">
        <v>2358395</v>
      </c>
    </row>
    <row r="66" spans="1:17" x14ac:dyDescent="0.75">
      <c r="A66" t="s">
        <v>163</v>
      </c>
      <c r="B66">
        <v>2309</v>
      </c>
      <c r="C66" t="s">
        <v>182</v>
      </c>
      <c r="D66">
        <v>3276</v>
      </c>
      <c r="E66" t="s">
        <v>379</v>
      </c>
      <c r="F66" s="4">
        <v>51772</v>
      </c>
      <c r="G66" s="4">
        <v>0</v>
      </c>
      <c r="H66" s="4">
        <v>0</v>
      </c>
      <c r="I66" s="4">
        <v>0</v>
      </c>
      <c r="J66" s="4">
        <v>51772</v>
      </c>
      <c r="M66" s="11" t="s">
        <v>436</v>
      </c>
      <c r="N66" s="8">
        <v>6153326</v>
      </c>
      <c r="O66" s="8">
        <v>1820057</v>
      </c>
      <c r="P66" s="8">
        <v>1002092</v>
      </c>
      <c r="Q66" s="8">
        <v>3331177</v>
      </c>
    </row>
    <row r="67" spans="1:17" x14ac:dyDescent="0.75">
      <c r="A67" t="s">
        <v>163</v>
      </c>
      <c r="B67">
        <v>2309</v>
      </c>
      <c r="C67" t="s">
        <v>182</v>
      </c>
      <c r="D67">
        <v>6889</v>
      </c>
      <c r="E67" t="s">
        <v>420</v>
      </c>
      <c r="F67" s="4">
        <v>45691</v>
      </c>
      <c r="G67" s="4">
        <v>0</v>
      </c>
      <c r="H67" s="4">
        <v>0</v>
      </c>
      <c r="I67" s="4">
        <v>0</v>
      </c>
      <c r="J67" s="4">
        <v>45691</v>
      </c>
      <c r="M67" s="11" t="s">
        <v>486</v>
      </c>
      <c r="N67" s="8">
        <v>6017078</v>
      </c>
      <c r="O67" s="8">
        <v>18918</v>
      </c>
      <c r="P67" s="8">
        <v>5960126</v>
      </c>
      <c r="Q67" s="8">
        <v>38034</v>
      </c>
    </row>
    <row r="68" spans="1:17" x14ac:dyDescent="0.75">
      <c r="A68" t="s">
        <v>163</v>
      </c>
      <c r="B68">
        <v>2309</v>
      </c>
      <c r="C68" t="s">
        <v>182</v>
      </c>
      <c r="D68">
        <v>6522</v>
      </c>
      <c r="E68" t="s">
        <v>393</v>
      </c>
      <c r="F68" s="4">
        <v>38230</v>
      </c>
      <c r="G68" s="4">
        <v>0</v>
      </c>
      <c r="H68" s="4">
        <v>0</v>
      </c>
      <c r="I68" s="4">
        <v>0</v>
      </c>
      <c r="J68" s="4">
        <v>38230</v>
      </c>
      <c r="M68" s="11" t="s">
        <v>421</v>
      </c>
      <c r="N68" s="8">
        <v>5540019</v>
      </c>
      <c r="O68" s="8">
        <v>2876410</v>
      </c>
      <c r="P68" s="8">
        <v>48752</v>
      </c>
      <c r="Q68" s="8">
        <v>2614857</v>
      </c>
    </row>
    <row r="69" spans="1:17" x14ac:dyDescent="0.75">
      <c r="A69" t="s">
        <v>163</v>
      </c>
      <c r="B69">
        <v>2309</v>
      </c>
      <c r="C69" t="s">
        <v>182</v>
      </c>
      <c r="D69">
        <v>1200</v>
      </c>
      <c r="E69" t="s">
        <v>402</v>
      </c>
      <c r="F69" s="4">
        <v>35319</v>
      </c>
      <c r="G69" s="4">
        <v>0</v>
      </c>
      <c r="H69" s="4">
        <v>0</v>
      </c>
      <c r="I69" s="4">
        <v>0</v>
      </c>
      <c r="J69" s="4">
        <v>35319</v>
      </c>
      <c r="M69" s="11" t="s">
        <v>469</v>
      </c>
      <c r="N69" s="8">
        <v>5333830</v>
      </c>
      <c r="O69" s="8">
        <v>76006</v>
      </c>
      <c r="P69" s="8">
        <v>5033401</v>
      </c>
      <c r="Q69" s="8">
        <v>224423</v>
      </c>
    </row>
    <row r="70" spans="1:17" x14ac:dyDescent="0.75">
      <c r="A70" t="s">
        <v>163</v>
      </c>
      <c r="B70">
        <v>2309</v>
      </c>
      <c r="C70" t="s">
        <v>182</v>
      </c>
      <c r="D70">
        <v>2211</v>
      </c>
      <c r="E70" t="s">
        <v>367</v>
      </c>
      <c r="F70" s="4">
        <v>32844</v>
      </c>
      <c r="G70" s="4">
        <v>0</v>
      </c>
      <c r="H70" s="4">
        <v>0</v>
      </c>
      <c r="I70" s="4">
        <v>0</v>
      </c>
      <c r="J70" s="4">
        <v>32844</v>
      </c>
      <c r="M70" s="11" t="s">
        <v>414</v>
      </c>
      <c r="N70" s="8">
        <v>5297403</v>
      </c>
      <c r="O70" s="8">
        <v>1349295</v>
      </c>
      <c r="P70" s="8">
        <v>1281061</v>
      </c>
      <c r="Q70" s="8">
        <v>2667047</v>
      </c>
    </row>
    <row r="71" spans="1:17" x14ac:dyDescent="0.75">
      <c r="A71" t="s">
        <v>163</v>
      </c>
      <c r="B71">
        <v>2309</v>
      </c>
      <c r="C71" t="s">
        <v>182</v>
      </c>
      <c r="D71">
        <v>2429</v>
      </c>
      <c r="E71" t="s">
        <v>375</v>
      </c>
      <c r="F71" s="4">
        <v>26836</v>
      </c>
      <c r="G71" s="4">
        <v>0</v>
      </c>
      <c r="H71" s="4">
        <v>0</v>
      </c>
      <c r="I71" s="4">
        <v>0</v>
      </c>
      <c r="J71" s="4">
        <v>26836</v>
      </c>
      <c r="M71" s="11" t="s">
        <v>488</v>
      </c>
      <c r="N71" s="8">
        <v>5203388</v>
      </c>
      <c r="O71" s="8">
        <v>26368</v>
      </c>
      <c r="P71" s="8">
        <v>4620380</v>
      </c>
      <c r="Q71" s="8">
        <v>556640</v>
      </c>
    </row>
    <row r="72" spans="1:17" x14ac:dyDescent="0.75">
      <c r="A72" t="s">
        <v>163</v>
      </c>
      <c r="B72">
        <v>2309</v>
      </c>
      <c r="C72" t="s">
        <v>182</v>
      </c>
      <c r="D72">
        <v>5390</v>
      </c>
      <c r="E72" t="s">
        <v>418</v>
      </c>
      <c r="F72" s="4">
        <v>25835</v>
      </c>
      <c r="G72" s="4">
        <v>0</v>
      </c>
      <c r="H72" s="4">
        <v>0</v>
      </c>
      <c r="I72" s="4">
        <v>0</v>
      </c>
      <c r="J72" s="4">
        <v>25835</v>
      </c>
      <c r="M72" s="11" t="s">
        <v>479</v>
      </c>
      <c r="N72" s="8">
        <v>5106839</v>
      </c>
      <c r="O72" s="8">
        <v>63076</v>
      </c>
      <c r="P72" s="8">
        <v>47001</v>
      </c>
      <c r="Q72" s="8">
        <v>4996762</v>
      </c>
    </row>
    <row r="73" spans="1:17" x14ac:dyDescent="0.75">
      <c r="A73" t="s">
        <v>163</v>
      </c>
      <c r="B73">
        <v>2309</v>
      </c>
      <c r="C73" t="s">
        <v>182</v>
      </c>
      <c r="D73">
        <v>4782</v>
      </c>
      <c r="E73" t="s">
        <v>414</v>
      </c>
      <c r="F73" s="4">
        <v>21749</v>
      </c>
      <c r="G73" s="4">
        <v>0</v>
      </c>
      <c r="H73" s="4">
        <v>0</v>
      </c>
      <c r="I73" s="4">
        <v>0</v>
      </c>
      <c r="J73" s="4">
        <v>21749</v>
      </c>
      <c r="M73" s="11" t="s">
        <v>468</v>
      </c>
      <c r="N73" s="8">
        <v>5064655</v>
      </c>
      <c r="O73" s="8">
        <v>378090</v>
      </c>
      <c r="P73" s="8">
        <v>4404463</v>
      </c>
      <c r="Q73" s="8">
        <v>282102</v>
      </c>
    </row>
    <row r="74" spans="1:17" x14ac:dyDescent="0.75">
      <c r="A74" t="s">
        <v>163</v>
      </c>
      <c r="B74">
        <v>2309</v>
      </c>
      <c r="C74" t="s">
        <v>182</v>
      </c>
      <c r="D74">
        <v>4331</v>
      </c>
      <c r="E74" t="s">
        <v>390</v>
      </c>
      <c r="F74" s="4">
        <v>21689</v>
      </c>
      <c r="G74" s="4">
        <v>0</v>
      </c>
      <c r="H74" s="4">
        <v>0</v>
      </c>
      <c r="I74" s="4">
        <v>0</v>
      </c>
      <c r="J74" s="4">
        <v>21689</v>
      </c>
      <c r="M74" s="11" t="s">
        <v>465</v>
      </c>
      <c r="N74" s="8">
        <v>5046367</v>
      </c>
      <c r="O74" s="8">
        <v>1314402</v>
      </c>
      <c r="P74" s="8">
        <v>3513607</v>
      </c>
      <c r="Q74" s="8">
        <v>218358</v>
      </c>
    </row>
    <row r="75" spans="1:17" x14ac:dyDescent="0.75">
      <c r="A75" t="s">
        <v>163</v>
      </c>
      <c r="B75">
        <v>2309</v>
      </c>
      <c r="C75" t="s">
        <v>182</v>
      </c>
      <c r="D75">
        <v>3273</v>
      </c>
      <c r="E75" t="s">
        <v>411</v>
      </c>
      <c r="F75" s="4">
        <v>20604</v>
      </c>
      <c r="G75" s="4">
        <v>0</v>
      </c>
      <c r="H75" s="4">
        <v>0</v>
      </c>
      <c r="I75" s="4">
        <v>0</v>
      </c>
      <c r="J75" s="4">
        <v>20604</v>
      </c>
      <c r="M75" s="11" t="s">
        <v>412</v>
      </c>
      <c r="N75" s="8">
        <v>4897514</v>
      </c>
      <c r="O75" s="8">
        <v>1754058</v>
      </c>
      <c r="P75" s="8">
        <v>2016025</v>
      </c>
      <c r="Q75" s="8">
        <v>1127431</v>
      </c>
    </row>
    <row r="76" spans="1:17" x14ac:dyDescent="0.75">
      <c r="A76" t="s">
        <v>163</v>
      </c>
      <c r="B76">
        <v>2309</v>
      </c>
      <c r="C76" t="s">
        <v>182</v>
      </c>
      <c r="D76">
        <v>5220</v>
      </c>
      <c r="E76" t="s">
        <v>401</v>
      </c>
      <c r="F76" s="4">
        <v>15100</v>
      </c>
      <c r="G76" s="4">
        <v>0</v>
      </c>
      <c r="H76" s="4">
        <v>0</v>
      </c>
      <c r="I76" s="4">
        <v>0</v>
      </c>
      <c r="J76" s="4">
        <v>15100</v>
      </c>
      <c r="M76" s="11" t="s">
        <v>411</v>
      </c>
      <c r="N76" s="8">
        <v>4781758</v>
      </c>
      <c r="O76" s="8">
        <v>2996718</v>
      </c>
      <c r="P76" s="8">
        <v>1485191</v>
      </c>
      <c r="Q76" s="8">
        <v>299849</v>
      </c>
    </row>
    <row r="77" spans="1:17" x14ac:dyDescent="0.75">
      <c r="A77" t="s">
        <v>163</v>
      </c>
      <c r="B77">
        <v>2309</v>
      </c>
      <c r="C77" t="s">
        <v>182</v>
      </c>
      <c r="D77">
        <v>4323</v>
      </c>
      <c r="E77" t="s">
        <v>373</v>
      </c>
      <c r="F77" s="4">
        <v>8952</v>
      </c>
      <c r="G77" s="4">
        <v>0</v>
      </c>
      <c r="H77" s="4">
        <v>0</v>
      </c>
      <c r="I77" s="4">
        <v>0</v>
      </c>
      <c r="J77" s="4">
        <v>8952</v>
      </c>
      <c r="M77" s="11" t="s">
        <v>389</v>
      </c>
      <c r="N77" s="8">
        <v>4734192</v>
      </c>
      <c r="O77" s="8">
        <v>17496</v>
      </c>
      <c r="P77" s="8">
        <v>2823474</v>
      </c>
      <c r="Q77" s="8">
        <v>1893222</v>
      </c>
    </row>
    <row r="78" spans="1:17" x14ac:dyDescent="0.75">
      <c r="A78" t="s">
        <v>163</v>
      </c>
      <c r="B78">
        <v>2309</v>
      </c>
      <c r="C78" t="s">
        <v>182</v>
      </c>
      <c r="D78">
        <v>3219</v>
      </c>
      <c r="E78" t="s">
        <v>378</v>
      </c>
      <c r="F78" s="4">
        <v>6898</v>
      </c>
      <c r="G78" s="4">
        <v>0</v>
      </c>
      <c r="H78" s="4">
        <v>0</v>
      </c>
      <c r="I78" s="4">
        <v>0</v>
      </c>
      <c r="J78" s="4">
        <v>6898</v>
      </c>
      <c r="M78" s="11" t="s">
        <v>459</v>
      </c>
      <c r="N78" s="8">
        <v>4675340</v>
      </c>
      <c r="O78" s="8">
        <v>22232</v>
      </c>
      <c r="P78" s="8">
        <v>252388</v>
      </c>
      <c r="Q78" s="8">
        <v>4400720</v>
      </c>
    </row>
    <row r="79" spans="1:17" x14ac:dyDescent="0.75">
      <c r="A79" t="s">
        <v>163</v>
      </c>
      <c r="B79">
        <v>2309</v>
      </c>
      <c r="C79" t="s">
        <v>182</v>
      </c>
      <c r="D79">
        <v>3275</v>
      </c>
      <c r="E79" t="s">
        <v>412</v>
      </c>
      <c r="F79" s="4">
        <v>5576</v>
      </c>
      <c r="G79" s="4">
        <v>0</v>
      </c>
      <c r="H79" s="4">
        <v>0</v>
      </c>
      <c r="I79" s="4">
        <v>0</v>
      </c>
      <c r="J79" s="4">
        <v>5576</v>
      </c>
      <c r="M79" s="11" t="s">
        <v>466</v>
      </c>
      <c r="N79" s="8">
        <v>4566028</v>
      </c>
      <c r="O79" s="8">
        <v>353019</v>
      </c>
      <c r="P79" s="8">
        <v>4101572</v>
      </c>
      <c r="Q79" s="8">
        <v>111437</v>
      </c>
    </row>
    <row r="80" spans="1:17" x14ac:dyDescent="0.75">
      <c r="A80" t="s">
        <v>163</v>
      </c>
      <c r="B80">
        <v>2309</v>
      </c>
      <c r="C80" t="s">
        <v>182</v>
      </c>
      <c r="D80">
        <v>5315</v>
      </c>
      <c r="E80" t="s">
        <v>417</v>
      </c>
      <c r="F80" s="4">
        <v>4211</v>
      </c>
      <c r="G80" s="4">
        <v>0</v>
      </c>
      <c r="H80" s="4">
        <v>0</v>
      </c>
      <c r="I80" s="4">
        <v>0</v>
      </c>
      <c r="J80" s="4">
        <v>4211</v>
      </c>
      <c r="M80" s="11" t="s">
        <v>432</v>
      </c>
      <c r="N80" s="8">
        <v>4541986</v>
      </c>
      <c r="O80" s="8">
        <v>3585387</v>
      </c>
      <c r="P80" s="8">
        <v>889541</v>
      </c>
      <c r="Q80" s="8">
        <v>67058</v>
      </c>
    </row>
    <row r="81" spans="1:17" x14ac:dyDescent="0.75">
      <c r="A81" t="s">
        <v>163</v>
      </c>
      <c r="B81">
        <v>2309</v>
      </c>
      <c r="C81" t="s">
        <v>182</v>
      </c>
      <c r="D81">
        <v>4410</v>
      </c>
      <c r="E81" t="s">
        <v>399</v>
      </c>
      <c r="F81" s="4">
        <v>3731</v>
      </c>
      <c r="G81" s="4">
        <v>0</v>
      </c>
      <c r="H81" s="4">
        <v>0</v>
      </c>
      <c r="I81" s="4">
        <v>0</v>
      </c>
      <c r="J81" s="4">
        <v>3731</v>
      </c>
      <c r="M81" s="11" t="s">
        <v>410</v>
      </c>
      <c r="N81" s="8">
        <v>3778694</v>
      </c>
      <c r="O81" s="8">
        <v>1118392</v>
      </c>
      <c r="P81" s="8">
        <v>1119344</v>
      </c>
      <c r="Q81" s="8">
        <v>1540958</v>
      </c>
    </row>
    <row r="82" spans="1:17" x14ac:dyDescent="0.75">
      <c r="A82" t="s">
        <v>163</v>
      </c>
      <c r="B82">
        <v>2309</v>
      </c>
      <c r="C82" t="s">
        <v>182</v>
      </c>
      <c r="D82">
        <v>5290</v>
      </c>
      <c r="E82" t="s">
        <v>415</v>
      </c>
      <c r="F82" s="4">
        <v>3156</v>
      </c>
      <c r="G82" s="4">
        <v>0</v>
      </c>
      <c r="H82" s="4">
        <v>0</v>
      </c>
      <c r="I82" s="4">
        <v>0</v>
      </c>
      <c r="J82" s="4">
        <v>3156</v>
      </c>
      <c r="M82" s="11" t="s">
        <v>462</v>
      </c>
      <c r="N82" s="8">
        <v>3775644</v>
      </c>
      <c r="O82" s="8">
        <v>1310467</v>
      </c>
      <c r="P82" s="8">
        <v>2041592</v>
      </c>
      <c r="Q82" s="8">
        <v>423585</v>
      </c>
    </row>
    <row r="83" spans="1:17" x14ac:dyDescent="0.75">
      <c r="A83" t="s">
        <v>163</v>
      </c>
      <c r="B83">
        <v>2309</v>
      </c>
      <c r="C83" t="s">
        <v>182</v>
      </c>
      <c r="D83">
        <v>6654</v>
      </c>
      <c r="E83" t="s">
        <v>419</v>
      </c>
      <c r="F83" s="4">
        <v>2877</v>
      </c>
      <c r="G83" s="4">
        <v>0</v>
      </c>
      <c r="H83" s="4">
        <v>0</v>
      </c>
      <c r="I83" s="4">
        <v>0</v>
      </c>
      <c r="J83" s="4">
        <v>2877</v>
      </c>
      <c r="M83" s="11" t="s">
        <v>464</v>
      </c>
      <c r="N83" s="8">
        <v>3671423</v>
      </c>
      <c r="O83" s="8">
        <v>19500</v>
      </c>
      <c r="P83" s="8">
        <v>3344269</v>
      </c>
      <c r="Q83" s="8">
        <v>307654</v>
      </c>
    </row>
    <row r="84" spans="1:17" x14ac:dyDescent="0.75">
      <c r="A84" t="s">
        <v>163</v>
      </c>
      <c r="B84">
        <v>2309</v>
      </c>
      <c r="C84" t="s">
        <v>182</v>
      </c>
      <c r="D84">
        <v>1100</v>
      </c>
      <c r="E84" t="s">
        <v>397</v>
      </c>
      <c r="F84" s="4">
        <v>1841</v>
      </c>
      <c r="G84" s="4">
        <v>0</v>
      </c>
      <c r="H84" s="4">
        <v>0</v>
      </c>
      <c r="I84" s="4">
        <v>0</v>
      </c>
      <c r="J84" s="4">
        <v>1841</v>
      </c>
      <c r="M84" s="11" t="s">
        <v>428</v>
      </c>
      <c r="N84" s="8">
        <v>3669324</v>
      </c>
      <c r="O84" s="8">
        <v>1901545</v>
      </c>
      <c r="P84" s="8">
        <v>1255911</v>
      </c>
      <c r="Q84" s="8">
        <v>511868</v>
      </c>
    </row>
    <row r="85" spans="1:17" x14ac:dyDescent="0.75">
      <c r="A85" t="s">
        <v>163</v>
      </c>
      <c r="B85">
        <v>2309</v>
      </c>
      <c r="C85" t="s">
        <v>182</v>
      </c>
      <c r="D85">
        <v>3292</v>
      </c>
      <c r="E85" t="s">
        <v>413</v>
      </c>
      <c r="F85" s="4">
        <v>1688</v>
      </c>
      <c r="G85" s="4">
        <v>0</v>
      </c>
      <c r="H85" s="4">
        <v>0</v>
      </c>
      <c r="I85" s="4">
        <v>0</v>
      </c>
      <c r="J85" s="4">
        <v>1688</v>
      </c>
      <c r="M85" s="11" t="s">
        <v>478</v>
      </c>
      <c r="N85" s="8">
        <v>3508429</v>
      </c>
      <c r="O85" s="8">
        <v>453109</v>
      </c>
      <c r="P85" s="8">
        <v>2108202</v>
      </c>
      <c r="Q85" s="8">
        <v>947118</v>
      </c>
    </row>
    <row r="86" spans="1:17" x14ac:dyDescent="0.75">
      <c r="A86" t="s">
        <v>163</v>
      </c>
      <c r="B86">
        <v>2309</v>
      </c>
      <c r="C86" t="s">
        <v>182</v>
      </c>
      <c r="D86">
        <v>5320</v>
      </c>
      <c r="E86" t="s">
        <v>384</v>
      </c>
      <c r="F86" s="4">
        <v>1648</v>
      </c>
      <c r="G86" s="4">
        <v>0</v>
      </c>
      <c r="H86" s="4">
        <v>0</v>
      </c>
      <c r="I86" s="4">
        <v>0</v>
      </c>
      <c r="J86" s="4">
        <v>1648</v>
      </c>
      <c r="M86" s="11" t="s">
        <v>443</v>
      </c>
      <c r="N86" s="8">
        <v>3418137</v>
      </c>
      <c r="O86" s="8">
        <v>24316</v>
      </c>
      <c r="P86" s="8">
        <v>2149844</v>
      </c>
      <c r="Q86" s="8">
        <v>1243977</v>
      </c>
    </row>
    <row r="87" spans="1:17" x14ac:dyDescent="0.75">
      <c r="A87" t="s">
        <v>163</v>
      </c>
      <c r="B87">
        <v>2309</v>
      </c>
      <c r="C87" t="s">
        <v>182</v>
      </c>
      <c r="D87">
        <v>5480</v>
      </c>
      <c r="E87" t="s">
        <v>386</v>
      </c>
      <c r="F87" s="4">
        <v>1558</v>
      </c>
      <c r="G87" s="4">
        <v>0</v>
      </c>
      <c r="H87" s="4">
        <v>0</v>
      </c>
      <c r="I87" s="4">
        <v>0</v>
      </c>
      <c r="J87" s="4">
        <v>1558</v>
      </c>
      <c r="M87" s="11" t="s">
        <v>489</v>
      </c>
      <c r="N87" s="8">
        <v>3405770</v>
      </c>
      <c r="O87" s="8">
        <v>2701032</v>
      </c>
      <c r="P87" s="8">
        <v>672756</v>
      </c>
      <c r="Q87" s="8">
        <v>31982</v>
      </c>
    </row>
    <row r="88" spans="1:17" x14ac:dyDescent="0.75">
      <c r="A88" t="s">
        <v>163</v>
      </c>
      <c r="B88">
        <v>2309</v>
      </c>
      <c r="C88" t="s">
        <v>182</v>
      </c>
      <c r="D88">
        <v>5312</v>
      </c>
      <c r="E88" t="s">
        <v>416</v>
      </c>
      <c r="F88" s="4">
        <v>1474</v>
      </c>
      <c r="G88" s="4">
        <v>0</v>
      </c>
      <c r="H88" s="4">
        <v>0</v>
      </c>
      <c r="I88" s="4">
        <v>0</v>
      </c>
      <c r="J88" s="4">
        <v>1474</v>
      </c>
      <c r="M88" s="11" t="s">
        <v>496</v>
      </c>
      <c r="N88" s="8">
        <v>3392218</v>
      </c>
      <c r="O88" s="8">
        <v>0</v>
      </c>
      <c r="P88" s="8">
        <v>359660</v>
      </c>
      <c r="Q88" s="8">
        <v>3032558</v>
      </c>
    </row>
    <row r="89" spans="1:17" x14ac:dyDescent="0.75">
      <c r="A89" t="s">
        <v>163</v>
      </c>
      <c r="B89">
        <v>2309</v>
      </c>
      <c r="C89" t="s">
        <v>182</v>
      </c>
      <c r="D89">
        <v>3240</v>
      </c>
      <c r="E89" t="s">
        <v>410</v>
      </c>
      <c r="F89" s="4">
        <v>1323</v>
      </c>
      <c r="G89" s="4">
        <v>0</v>
      </c>
      <c r="H89" s="4">
        <v>0</v>
      </c>
      <c r="I89" s="4">
        <v>0</v>
      </c>
      <c r="J89" s="4">
        <v>1323</v>
      </c>
      <c r="M89" s="11" t="s">
        <v>502</v>
      </c>
      <c r="N89" s="8">
        <v>3314563</v>
      </c>
      <c r="O89" s="8">
        <v>1031002</v>
      </c>
      <c r="P89" s="8">
        <v>2078544</v>
      </c>
      <c r="Q89" s="8">
        <v>205017</v>
      </c>
    </row>
    <row r="90" spans="1:17" x14ac:dyDescent="0.75">
      <c r="A90" t="s">
        <v>163</v>
      </c>
      <c r="B90">
        <v>2360</v>
      </c>
      <c r="C90" t="s">
        <v>270</v>
      </c>
      <c r="D90">
        <v>4161</v>
      </c>
      <c r="E90" t="s">
        <v>421</v>
      </c>
      <c r="F90" s="4">
        <v>479612</v>
      </c>
      <c r="G90" s="4">
        <v>0</v>
      </c>
      <c r="H90" s="4">
        <v>0</v>
      </c>
      <c r="I90" s="4">
        <v>0</v>
      </c>
      <c r="J90" s="4">
        <v>479612</v>
      </c>
      <c r="M90" s="11" t="s">
        <v>417</v>
      </c>
      <c r="N90" s="8">
        <v>3258819</v>
      </c>
      <c r="O90" s="8">
        <v>1695185</v>
      </c>
      <c r="P90" s="8">
        <v>1541525</v>
      </c>
      <c r="Q90" s="8">
        <v>22109</v>
      </c>
    </row>
    <row r="91" spans="1:17" x14ac:dyDescent="0.75">
      <c r="A91" t="s">
        <v>163</v>
      </c>
      <c r="B91">
        <v>2360</v>
      </c>
      <c r="C91" t="s">
        <v>270</v>
      </c>
      <c r="D91">
        <v>1200</v>
      </c>
      <c r="E91" t="s">
        <v>402</v>
      </c>
      <c r="F91" s="4">
        <v>72169</v>
      </c>
      <c r="G91" s="4">
        <v>0</v>
      </c>
      <c r="H91" s="4">
        <v>0</v>
      </c>
      <c r="I91" s="4">
        <v>0</v>
      </c>
      <c r="J91" s="4">
        <v>72169</v>
      </c>
      <c r="M91" s="11" t="s">
        <v>504</v>
      </c>
      <c r="N91" s="8">
        <v>2893291</v>
      </c>
      <c r="O91" s="8">
        <v>2096585</v>
      </c>
      <c r="P91" s="8">
        <v>755298</v>
      </c>
      <c r="Q91" s="8">
        <v>41408</v>
      </c>
    </row>
    <row r="92" spans="1:17" x14ac:dyDescent="0.75">
      <c r="A92" t="s">
        <v>163</v>
      </c>
      <c r="B92">
        <v>2360</v>
      </c>
      <c r="C92" t="s">
        <v>270</v>
      </c>
      <c r="D92">
        <v>4331</v>
      </c>
      <c r="E92" t="s">
        <v>390</v>
      </c>
      <c r="F92" s="4">
        <v>53800</v>
      </c>
      <c r="G92" s="4">
        <v>0</v>
      </c>
      <c r="H92" s="4">
        <v>0</v>
      </c>
      <c r="I92" s="4">
        <v>0</v>
      </c>
      <c r="J92" s="4">
        <v>53800</v>
      </c>
      <c r="M92" s="11" t="s">
        <v>470</v>
      </c>
      <c r="N92" s="8">
        <v>2607710</v>
      </c>
      <c r="O92" s="8">
        <v>700490</v>
      </c>
      <c r="P92" s="8">
        <v>1093031</v>
      </c>
      <c r="Q92" s="8">
        <v>814189</v>
      </c>
    </row>
    <row r="93" spans="1:17" x14ac:dyDescent="0.75">
      <c r="A93" t="s">
        <v>163</v>
      </c>
      <c r="B93">
        <v>2360</v>
      </c>
      <c r="C93" t="s">
        <v>270</v>
      </c>
      <c r="D93">
        <v>4783</v>
      </c>
      <c r="E93" t="s">
        <v>382</v>
      </c>
      <c r="F93" s="4">
        <v>36700</v>
      </c>
      <c r="G93" s="4">
        <v>0</v>
      </c>
      <c r="H93" s="4">
        <v>0</v>
      </c>
      <c r="I93" s="4">
        <v>0</v>
      </c>
      <c r="J93" s="4">
        <v>36700</v>
      </c>
      <c r="M93" s="11" t="s">
        <v>454</v>
      </c>
      <c r="N93" s="8">
        <v>2495991</v>
      </c>
      <c r="O93" s="8">
        <v>11502</v>
      </c>
      <c r="P93" s="8">
        <v>2484468</v>
      </c>
      <c r="Q93" s="8">
        <v>21</v>
      </c>
    </row>
    <row r="94" spans="1:17" x14ac:dyDescent="0.75">
      <c r="A94" t="s">
        <v>163</v>
      </c>
      <c r="B94">
        <v>2360</v>
      </c>
      <c r="C94" t="s">
        <v>270</v>
      </c>
      <c r="D94">
        <v>1100</v>
      </c>
      <c r="E94" t="s">
        <v>397</v>
      </c>
      <c r="F94" s="4">
        <v>6500</v>
      </c>
      <c r="G94" s="4">
        <v>0</v>
      </c>
      <c r="H94" s="4">
        <v>0</v>
      </c>
      <c r="I94" s="4">
        <v>0</v>
      </c>
      <c r="J94" s="4">
        <v>6500</v>
      </c>
      <c r="M94" s="11" t="s">
        <v>482</v>
      </c>
      <c r="N94" s="8">
        <v>2442015</v>
      </c>
      <c r="O94" s="8">
        <v>95814</v>
      </c>
      <c r="P94" s="8">
        <v>607514</v>
      </c>
      <c r="Q94" s="8">
        <v>1738687</v>
      </c>
    </row>
    <row r="95" spans="1:17" x14ac:dyDescent="0.75">
      <c r="A95" t="s">
        <v>163</v>
      </c>
      <c r="B95">
        <v>2360</v>
      </c>
      <c r="C95" t="s">
        <v>270</v>
      </c>
      <c r="D95">
        <v>4860</v>
      </c>
      <c r="E95" t="s">
        <v>400</v>
      </c>
      <c r="F95" s="4">
        <v>1700</v>
      </c>
      <c r="G95" s="4">
        <v>0</v>
      </c>
      <c r="H95" s="4">
        <v>0</v>
      </c>
      <c r="I95" s="4">
        <v>0</v>
      </c>
      <c r="J95" s="4">
        <v>1700</v>
      </c>
      <c r="M95" s="11" t="s">
        <v>446</v>
      </c>
      <c r="N95" s="8">
        <v>2293105</v>
      </c>
      <c r="O95" s="8">
        <v>1469381</v>
      </c>
      <c r="P95" s="8">
        <v>171391</v>
      </c>
      <c r="Q95" s="8">
        <v>652333</v>
      </c>
    </row>
    <row r="96" spans="1:17" x14ac:dyDescent="0.75">
      <c r="A96" t="s">
        <v>163</v>
      </c>
      <c r="B96">
        <v>2360</v>
      </c>
      <c r="C96" t="s">
        <v>270</v>
      </c>
      <c r="D96">
        <v>3275</v>
      </c>
      <c r="E96" t="s">
        <v>412</v>
      </c>
      <c r="F96" s="4">
        <v>1600</v>
      </c>
      <c r="G96" s="4">
        <v>0</v>
      </c>
      <c r="H96" s="4">
        <v>0</v>
      </c>
      <c r="I96" s="4">
        <v>0</v>
      </c>
      <c r="J96" s="4">
        <v>1600</v>
      </c>
      <c r="M96" s="11" t="s">
        <v>505</v>
      </c>
      <c r="N96" s="8">
        <v>2196321</v>
      </c>
      <c r="O96" s="8">
        <v>2196321</v>
      </c>
      <c r="P96" s="8">
        <v>0</v>
      </c>
      <c r="Q96" s="8">
        <v>0</v>
      </c>
    </row>
    <row r="97" spans="1:17" x14ac:dyDescent="0.75">
      <c r="A97" t="s">
        <v>163</v>
      </c>
      <c r="B97">
        <v>2360</v>
      </c>
      <c r="C97" t="s">
        <v>270</v>
      </c>
      <c r="D97">
        <v>2540</v>
      </c>
      <c r="E97" t="s">
        <v>377</v>
      </c>
      <c r="F97" s="4">
        <v>1523</v>
      </c>
      <c r="G97" s="4">
        <v>0</v>
      </c>
      <c r="H97" s="4">
        <v>0</v>
      </c>
      <c r="I97" s="4">
        <v>0</v>
      </c>
      <c r="J97" s="4">
        <v>1523</v>
      </c>
      <c r="M97" s="11" t="s">
        <v>406</v>
      </c>
      <c r="N97" s="8">
        <v>1995889</v>
      </c>
      <c r="O97" s="8">
        <v>1994374</v>
      </c>
      <c r="P97" s="8">
        <v>905</v>
      </c>
      <c r="Q97" s="8">
        <v>610</v>
      </c>
    </row>
    <row r="98" spans="1:17" x14ac:dyDescent="0.75">
      <c r="A98" t="s">
        <v>151</v>
      </c>
      <c r="B98">
        <v>4730</v>
      </c>
      <c r="C98" t="s">
        <v>176</v>
      </c>
      <c r="D98">
        <v>2100</v>
      </c>
      <c r="E98" t="s">
        <v>403</v>
      </c>
      <c r="F98" s="4">
        <v>4016460</v>
      </c>
      <c r="G98" s="4">
        <v>1658557</v>
      </c>
      <c r="H98" s="4">
        <v>1658557</v>
      </c>
      <c r="I98" s="4">
        <v>0</v>
      </c>
      <c r="J98" s="4">
        <v>5675017</v>
      </c>
      <c r="M98" s="11" t="s">
        <v>494</v>
      </c>
      <c r="N98" s="8">
        <v>1853287</v>
      </c>
      <c r="O98" s="8">
        <v>16243</v>
      </c>
      <c r="P98" s="8">
        <v>1545707</v>
      </c>
      <c r="Q98" s="8">
        <v>291337</v>
      </c>
    </row>
    <row r="99" spans="1:17" x14ac:dyDescent="0.75">
      <c r="A99" t="s">
        <v>151</v>
      </c>
      <c r="B99">
        <v>4730</v>
      </c>
      <c r="C99" t="s">
        <v>176</v>
      </c>
      <c r="D99">
        <v>2211</v>
      </c>
      <c r="E99" t="s">
        <v>367</v>
      </c>
      <c r="F99" s="4">
        <v>826757</v>
      </c>
      <c r="G99" s="4">
        <v>358616</v>
      </c>
      <c r="H99" s="4">
        <v>0</v>
      </c>
      <c r="I99" s="4">
        <v>358616</v>
      </c>
      <c r="J99" s="4">
        <v>1185373</v>
      </c>
      <c r="M99" s="11" t="s">
        <v>491</v>
      </c>
      <c r="N99" s="8">
        <v>1850893</v>
      </c>
      <c r="O99" s="8">
        <v>9440</v>
      </c>
      <c r="P99" s="8">
        <v>1792428</v>
      </c>
      <c r="Q99" s="8">
        <v>49025</v>
      </c>
    </row>
    <row r="100" spans="1:17" x14ac:dyDescent="0.75">
      <c r="A100" t="s">
        <v>151</v>
      </c>
      <c r="B100">
        <v>4730</v>
      </c>
      <c r="C100" t="s">
        <v>176</v>
      </c>
      <c r="D100">
        <v>2330</v>
      </c>
      <c r="E100" t="s">
        <v>368</v>
      </c>
      <c r="F100" s="4">
        <v>876406</v>
      </c>
      <c r="G100" s="4">
        <v>144649</v>
      </c>
      <c r="H100" s="4">
        <v>73344</v>
      </c>
      <c r="I100" s="4">
        <v>71305</v>
      </c>
      <c r="J100" s="4">
        <v>1021055</v>
      </c>
      <c r="M100" s="11" t="s">
        <v>437</v>
      </c>
      <c r="N100" s="8">
        <v>1756807</v>
      </c>
      <c r="O100" s="8">
        <v>1706945</v>
      </c>
      <c r="P100" s="8">
        <v>6892</v>
      </c>
      <c r="Q100" s="8">
        <v>42970</v>
      </c>
    </row>
    <row r="101" spans="1:17" x14ac:dyDescent="0.75">
      <c r="A101" t="s">
        <v>151</v>
      </c>
      <c r="B101">
        <v>4730</v>
      </c>
      <c r="C101" t="s">
        <v>176</v>
      </c>
      <c r="D101">
        <v>2340</v>
      </c>
      <c r="E101" t="s">
        <v>369</v>
      </c>
      <c r="F101" s="4">
        <v>902877</v>
      </c>
      <c r="G101" s="4">
        <v>7672</v>
      </c>
      <c r="H101" s="4">
        <v>7672</v>
      </c>
      <c r="I101" s="4">
        <v>0</v>
      </c>
      <c r="J101" s="4">
        <v>910549</v>
      </c>
      <c r="M101" s="11" t="s">
        <v>425</v>
      </c>
      <c r="N101" s="8">
        <v>1690572</v>
      </c>
      <c r="O101" s="8">
        <v>0</v>
      </c>
      <c r="P101" s="8">
        <v>743172</v>
      </c>
      <c r="Q101" s="8">
        <v>947400</v>
      </c>
    </row>
    <row r="102" spans="1:17" x14ac:dyDescent="0.75">
      <c r="A102" t="s">
        <v>151</v>
      </c>
      <c r="B102">
        <v>4730</v>
      </c>
      <c r="C102" t="s">
        <v>176</v>
      </c>
      <c r="D102">
        <v>2221</v>
      </c>
      <c r="E102" t="s">
        <v>374</v>
      </c>
      <c r="F102" s="4">
        <v>272086</v>
      </c>
      <c r="G102" s="4">
        <v>0</v>
      </c>
      <c r="H102" s="4">
        <v>0</v>
      </c>
      <c r="I102" s="4">
        <v>0</v>
      </c>
      <c r="J102" s="4">
        <v>272086</v>
      </c>
      <c r="M102" s="11" t="s">
        <v>372</v>
      </c>
      <c r="N102" s="8">
        <v>1662947</v>
      </c>
      <c r="O102" s="8">
        <v>1662947</v>
      </c>
      <c r="P102" s="8">
        <v>0</v>
      </c>
      <c r="Q102" s="8">
        <v>0</v>
      </c>
    </row>
    <row r="103" spans="1:17" x14ac:dyDescent="0.75">
      <c r="A103" t="s">
        <v>151</v>
      </c>
      <c r="B103">
        <v>4730</v>
      </c>
      <c r="C103" t="s">
        <v>176</v>
      </c>
      <c r="D103">
        <v>2540</v>
      </c>
      <c r="E103" t="s">
        <v>377</v>
      </c>
      <c r="F103" s="4">
        <v>0</v>
      </c>
      <c r="G103" s="4">
        <v>209545</v>
      </c>
      <c r="H103" s="4">
        <v>0</v>
      </c>
      <c r="I103" s="4">
        <v>209545</v>
      </c>
      <c r="J103" s="4">
        <v>209545</v>
      </c>
      <c r="M103" s="11" t="s">
        <v>413</v>
      </c>
      <c r="N103" s="8">
        <v>1518906</v>
      </c>
      <c r="O103" s="8">
        <v>5706</v>
      </c>
      <c r="P103" s="8">
        <v>1127579</v>
      </c>
      <c r="Q103" s="8">
        <v>385621</v>
      </c>
    </row>
    <row r="104" spans="1:17" x14ac:dyDescent="0.75">
      <c r="A104" t="s">
        <v>151</v>
      </c>
      <c r="B104">
        <v>4730</v>
      </c>
      <c r="C104" t="s">
        <v>176</v>
      </c>
      <c r="D104">
        <v>4170</v>
      </c>
      <c r="E104" t="s">
        <v>424</v>
      </c>
      <c r="F104" s="4">
        <v>117120</v>
      </c>
      <c r="G104" s="4">
        <v>19643</v>
      </c>
      <c r="H104" s="4">
        <v>19643</v>
      </c>
      <c r="I104" s="4">
        <v>0</v>
      </c>
      <c r="J104" s="4">
        <v>136763</v>
      </c>
      <c r="M104" s="11" t="s">
        <v>490</v>
      </c>
      <c r="N104" s="8">
        <v>1488180</v>
      </c>
      <c r="O104" s="8">
        <v>460286</v>
      </c>
      <c r="P104" s="8">
        <v>998905</v>
      </c>
      <c r="Q104" s="8">
        <v>28989</v>
      </c>
    </row>
    <row r="105" spans="1:17" x14ac:dyDescent="0.75">
      <c r="A105" t="s">
        <v>151</v>
      </c>
      <c r="B105">
        <v>4730</v>
      </c>
      <c r="C105" t="s">
        <v>176</v>
      </c>
      <c r="D105">
        <v>2429</v>
      </c>
      <c r="E105" t="s">
        <v>375</v>
      </c>
      <c r="F105" s="4">
        <v>7298</v>
      </c>
      <c r="G105" s="4">
        <v>77805</v>
      </c>
      <c r="H105" s="4">
        <v>0</v>
      </c>
      <c r="I105" s="4">
        <v>77805</v>
      </c>
      <c r="J105" s="4">
        <v>85103</v>
      </c>
      <c r="M105" s="11" t="s">
        <v>435</v>
      </c>
      <c r="N105" s="8">
        <v>1390137</v>
      </c>
      <c r="O105" s="8">
        <v>50860</v>
      </c>
      <c r="P105" s="8">
        <v>763079</v>
      </c>
      <c r="Q105" s="8">
        <v>576198</v>
      </c>
    </row>
    <row r="106" spans="1:17" x14ac:dyDescent="0.75">
      <c r="A106" t="s">
        <v>151</v>
      </c>
      <c r="B106">
        <v>4730</v>
      </c>
      <c r="C106" t="s">
        <v>176</v>
      </c>
      <c r="D106">
        <v>2350</v>
      </c>
      <c r="E106" t="s">
        <v>404</v>
      </c>
      <c r="F106" s="4">
        <v>45716</v>
      </c>
      <c r="G106" s="4">
        <v>0</v>
      </c>
      <c r="H106" s="4">
        <v>0</v>
      </c>
      <c r="I106" s="4">
        <v>0</v>
      </c>
      <c r="J106" s="4">
        <v>45716</v>
      </c>
      <c r="M106" s="11" t="s">
        <v>471</v>
      </c>
      <c r="N106" s="8">
        <v>1376609</v>
      </c>
      <c r="O106" s="8">
        <v>21435</v>
      </c>
      <c r="P106" s="8">
        <v>1283791</v>
      </c>
      <c r="Q106" s="8">
        <v>71383</v>
      </c>
    </row>
    <row r="107" spans="1:17" x14ac:dyDescent="0.75">
      <c r="A107" t="s">
        <v>151</v>
      </c>
      <c r="B107">
        <v>4730</v>
      </c>
      <c r="C107" t="s">
        <v>176</v>
      </c>
      <c r="D107">
        <v>4741</v>
      </c>
      <c r="E107" t="s">
        <v>425</v>
      </c>
      <c r="F107" s="4">
        <v>0</v>
      </c>
      <c r="G107" s="4">
        <v>41578</v>
      </c>
      <c r="H107" s="4">
        <v>0</v>
      </c>
      <c r="I107" s="4">
        <v>41578</v>
      </c>
      <c r="J107" s="4">
        <v>41578</v>
      </c>
      <c r="M107" s="11" t="s">
        <v>467</v>
      </c>
      <c r="N107" s="8">
        <v>1369724</v>
      </c>
      <c r="O107" s="8">
        <v>92</v>
      </c>
      <c r="P107" s="8">
        <v>1141391</v>
      </c>
      <c r="Q107" s="8">
        <v>228241</v>
      </c>
    </row>
    <row r="108" spans="1:17" x14ac:dyDescent="0.75">
      <c r="A108" t="s">
        <v>151</v>
      </c>
      <c r="B108">
        <v>4730</v>
      </c>
      <c r="C108" t="s">
        <v>176</v>
      </c>
      <c r="D108">
        <v>3286</v>
      </c>
      <c r="E108" t="s">
        <v>423</v>
      </c>
      <c r="F108" s="4">
        <v>0</v>
      </c>
      <c r="G108" s="4">
        <v>11568</v>
      </c>
      <c r="H108" s="4">
        <v>0</v>
      </c>
      <c r="I108" s="4">
        <v>11568</v>
      </c>
      <c r="J108" s="4">
        <v>11568</v>
      </c>
      <c r="M108" s="11" t="s">
        <v>485</v>
      </c>
      <c r="N108" s="8">
        <v>1316255</v>
      </c>
      <c r="O108" s="8">
        <v>61459</v>
      </c>
      <c r="P108" s="8">
        <v>192348</v>
      </c>
      <c r="Q108" s="8">
        <v>1062448</v>
      </c>
    </row>
    <row r="109" spans="1:17" x14ac:dyDescent="0.75">
      <c r="A109" t="s">
        <v>151</v>
      </c>
      <c r="B109">
        <v>4730</v>
      </c>
      <c r="C109" t="s">
        <v>176</v>
      </c>
      <c r="D109">
        <v>7900</v>
      </c>
      <c r="E109" t="s">
        <v>388</v>
      </c>
      <c r="F109" s="4">
        <v>0</v>
      </c>
      <c r="G109" s="4">
        <v>8387</v>
      </c>
      <c r="H109" s="4">
        <v>0</v>
      </c>
      <c r="I109" s="4">
        <v>8387</v>
      </c>
      <c r="J109" s="4">
        <v>8387</v>
      </c>
      <c r="M109" s="11" t="s">
        <v>458</v>
      </c>
      <c r="N109" s="8">
        <v>1258864</v>
      </c>
      <c r="O109" s="8">
        <v>691353</v>
      </c>
      <c r="P109" s="8">
        <v>567355</v>
      </c>
      <c r="Q109" s="8">
        <v>156</v>
      </c>
    </row>
    <row r="110" spans="1:17" x14ac:dyDescent="0.75">
      <c r="A110" t="s">
        <v>151</v>
      </c>
      <c r="B110">
        <v>4730</v>
      </c>
      <c r="C110" t="s">
        <v>176</v>
      </c>
      <c r="D110">
        <v>3279</v>
      </c>
      <c r="E110" t="s">
        <v>422</v>
      </c>
      <c r="F110" s="4">
        <v>0</v>
      </c>
      <c r="G110" s="4">
        <v>4410</v>
      </c>
      <c r="H110" s="4">
        <v>0</v>
      </c>
      <c r="I110" s="4">
        <v>4410</v>
      </c>
      <c r="J110" s="4">
        <v>4410</v>
      </c>
      <c r="M110" s="11" t="s">
        <v>418</v>
      </c>
      <c r="N110" s="8">
        <v>1255199</v>
      </c>
      <c r="O110" s="8">
        <v>782502</v>
      </c>
      <c r="P110" s="8">
        <v>459400</v>
      </c>
      <c r="Q110" s="8">
        <v>13297</v>
      </c>
    </row>
    <row r="111" spans="1:17" x14ac:dyDescent="0.75">
      <c r="A111" t="s">
        <v>151</v>
      </c>
      <c r="B111">
        <v>4730</v>
      </c>
      <c r="C111" t="s">
        <v>176</v>
      </c>
      <c r="D111">
        <v>6654</v>
      </c>
      <c r="E111" t="s">
        <v>419</v>
      </c>
      <c r="F111" s="4">
        <v>0</v>
      </c>
      <c r="G111" s="4">
        <v>3326</v>
      </c>
      <c r="H111" s="4">
        <v>0</v>
      </c>
      <c r="I111" s="4">
        <v>3326</v>
      </c>
      <c r="J111" s="4">
        <v>3326</v>
      </c>
      <c r="M111" s="11" t="s">
        <v>509</v>
      </c>
      <c r="N111" s="8">
        <v>1245524</v>
      </c>
      <c r="O111" s="8">
        <v>1245524</v>
      </c>
      <c r="P111" s="8">
        <v>0</v>
      </c>
      <c r="Q111" s="8">
        <v>0</v>
      </c>
    </row>
    <row r="112" spans="1:17" x14ac:dyDescent="0.75">
      <c r="A112" t="s">
        <v>151</v>
      </c>
      <c r="B112">
        <v>4730</v>
      </c>
      <c r="C112" t="s">
        <v>176</v>
      </c>
      <c r="D112">
        <v>6522</v>
      </c>
      <c r="E112" t="s">
        <v>393</v>
      </c>
      <c r="F112" s="4">
        <v>0</v>
      </c>
      <c r="G112" s="4">
        <v>1653</v>
      </c>
      <c r="H112" s="4">
        <v>0</v>
      </c>
      <c r="I112" s="4">
        <v>1653</v>
      </c>
      <c r="J112" s="4">
        <v>1653</v>
      </c>
      <c r="M112" s="11" t="s">
        <v>442</v>
      </c>
      <c r="N112" s="8">
        <v>1182662</v>
      </c>
      <c r="O112" s="8">
        <v>131552</v>
      </c>
      <c r="P112" s="8">
        <v>825645</v>
      </c>
      <c r="Q112" s="8">
        <v>225465</v>
      </c>
    </row>
    <row r="113" spans="1:17" x14ac:dyDescent="0.75">
      <c r="A113" t="s">
        <v>151</v>
      </c>
      <c r="B113">
        <v>4730</v>
      </c>
      <c r="C113" t="s">
        <v>176</v>
      </c>
      <c r="D113">
        <v>5480</v>
      </c>
      <c r="E113" t="s">
        <v>386</v>
      </c>
      <c r="F113" s="4">
        <v>0</v>
      </c>
      <c r="G113" s="4">
        <v>129</v>
      </c>
      <c r="H113" s="4">
        <v>0</v>
      </c>
      <c r="I113" s="4">
        <v>129</v>
      </c>
      <c r="J113" s="4">
        <v>129</v>
      </c>
      <c r="M113" s="11" t="s">
        <v>429</v>
      </c>
      <c r="N113" s="8">
        <v>1148669</v>
      </c>
      <c r="O113" s="8">
        <v>64064</v>
      </c>
      <c r="P113" s="8">
        <v>1005657</v>
      </c>
      <c r="Q113" s="8">
        <v>78948</v>
      </c>
    </row>
    <row r="114" spans="1:17" x14ac:dyDescent="0.75">
      <c r="A114" t="s">
        <v>151</v>
      </c>
      <c r="B114">
        <v>4730</v>
      </c>
      <c r="C114" t="s">
        <v>176</v>
      </c>
      <c r="D114">
        <v>7110</v>
      </c>
      <c r="E114" t="s">
        <v>371</v>
      </c>
      <c r="F114" s="4">
        <v>40</v>
      </c>
      <c r="G114" s="4">
        <v>1</v>
      </c>
      <c r="H114" s="4">
        <v>1</v>
      </c>
      <c r="I114" s="4">
        <v>0</v>
      </c>
      <c r="J114" s="4">
        <v>41</v>
      </c>
      <c r="M114" s="11" t="s">
        <v>449</v>
      </c>
      <c r="N114" s="8">
        <v>1071646</v>
      </c>
      <c r="O114" s="8">
        <v>7076</v>
      </c>
      <c r="P114" s="8">
        <v>1061409</v>
      </c>
      <c r="Q114" s="8">
        <v>3161</v>
      </c>
    </row>
    <row r="115" spans="1:17" x14ac:dyDescent="0.75">
      <c r="A115" t="s">
        <v>151</v>
      </c>
      <c r="B115">
        <v>4730</v>
      </c>
      <c r="C115" t="s">
        <v>176</v>
      </c>
      <c r="D115">
        <v>7210</v>
      </c>
      <c r="E115" t="s">
        <v>426</v>
      </c>
      <c r="F115" s="4">
        <v>40</v>
      </c>
      <c r="G115" s="4">
        <v>0</v>
      </c>
      <c r="H115" s="4">
        <v>0</v>
      </c>
      <c r="I115" s="4">
        <v>0</v>
      </c>
      <c r="J115" s="4">
        <v>40</v>
      </c>
      <c r="M115" s="11" t="s">
        <v>463</v>
      </c>
      <c r="N115" s="8">
        <v>985021</v>
      </c>
      <c r="O115" s="8">
        <v>969107</v>
      </c>
      <c r="P115" s="8">
        <v>14112</v>
      </c>
      <c r="Q115" s="8">
        <v>1802</v>
      </c>
    </row>
    <row r="116" spans="1:17" x14ac:dyDescent="0.75">
      <c r="A116" t="s">
        <v>151</v>
      </c>
      <c r="B116">
        <v>4730</v>
      </c>
      <c r="C116" t="s">
        <v>176</v>
      </c>
      <c r="D116">
        <v>7500</v>
      </c>
      <c r="E116" t="s">
        <v>427</v>
      </c>
      <c r="F116" s="4">
        <v>0</v>
      </c>
      <c r="G116" s="4">
        <v>12</v>
      </c>
      <c r="H116" s="4">
        <v>12</v>
      </c>
      <c r="I116" s="4">
        <v>0</v>
      </c>
      <c r="J116" s="4">
        <v>12</v>
      </c>
      <c r="M116" s="11" t="s">
        <v>453</v>
      </c>
      <c r="N116" s="8">
        <v>931827</v>
      </c>
      <c r="O116" s="8">
        <v>212315</v>
      </c>
      <c r="P116" s="8">
        <v>694561</v>
      </c>
      <c r="Q116" s="8">
        <v>24951</v>
      </c>
    </row>
    <row r="117" spans="1:17" x14ac:dyDescent="0.75">
      <c r="A117" t="s">
        <v>151</v>
      </c>
      <c r="B117">
        <v>2412</v>
      </c>
      <c r="C117" t="s">
        <v>313</v>
      </c>
      <c r="D117">
        <v>4410</v>
      </c>
      <c r="E117" t="s">
        <v>399</v>
      </c>
      <c r="F117" s="4">
        <v>20988</v>
      </c>
      <c r="G117" s="4">
        <v>0</v>
      </c>
      <c r="H117" s="4">
        <v>0</v>
      </c>
      <c r="I117" s="4">
        <v>0</v>
      </c>
      <c r="J117" s="4">
        <v>20988</v>
      </c>
      <c r="M117" s="11" t="s">
        <v>440</v>
      </c>
      <c r="N117" s="8">
        <v>912056</v>
      </c>
      <c r="O117" s="8">
        <v>18927</v>
      </c>
      <c r="P117" s="8">
        <v>479556</v>
      </c>
      <c r="Q117" s="8">
        <v>413573</v>
      </c>
    </row>
    <row r="118" spans="1:17" x14ac:dyDescent="0.75">
      <c r="A118" t="s">
        <v>151</v>
      </c>
      <c r="B118">
        <v>2412</v>
      </c>
      <c r="C118" t="s">
        <v>313</v>
      </c>
      <c r="D118">
        <v>2340</v>
      </c>
      <c r="E118" t="s">
        <v>369</v>
      </c>
      <c r="F118" s="4">
        <v>19214</v>
      </c>
      <c r="G118" s="4">
        <v>0</v>
      </c>
      <c r="H118" s="4">
        <v>0</v>
      </c>
      <c r="I118" s="4">
        <v>0</v>
      </c>
      <c r="J118" s="4">
        <v>19214</v>
      </c>
      <c r="M118" s="11" t="s">
        <v>492</v>
      </c>
      <c r="N118" s="8">
        <v>902598</v>
      </c>
      <c r="O118" s="8">
        <v>0</v>
      </c>
      <c r="P118" s="8">
        <v>887337</v>
      </c>
      <c r="Q118" s="8">
        <v>15261</v>
      </c>
    </row>
    <row r="119" spans="1:17" x14ac:dyDescent="0.75">
      <c r="A119" t="s">
        <v>151</v>
      </c>
      <c r="B119">
        <v>2412</v>
      </c>
      <c r="C119" t="s">
        <v>313</v>
      </c>
      <c r="D119">
        <v>2330</v>
      </c>
      <c r="E119" t="s">
        <v>368</v>
      </c>
      <c r="F119" s="4">
        <v>16701</v>
      </c>
      <c r="G119" s="4">
        <v>0</v>
      </c>
      <c r="H119" s="4">
        <v>0</v>
      </c>
      <c r="I119" s="4">
        <v>0</v>
      </c>
      <c r="J119" s="4">
        <v>16701</v>
      </c>
      <c r="M119" s="11" t="s">
        <v>483</v>
      </c>
      <c r="N119" s="8">
        <v>733227</v>
      </c>
      <c r="O119" s="8">
        <v>15518</v>
      </c>
      <c r="P119" s="8">
        <v>688457</v>
      </c>
      <c r="Q119" s="8">
        <v>29252</v>
      </c>
    </row>
    <row r="120" spans="1:17" x14ac:dyDescent="0.75">
      <c r="A120" t="s">
        <v>151</v>
      </c>
      <c r="B120">
        <v>2412</v>
      </c>
      <c r="C120" t="s">
        <v>313</v>
      </c>
      <c r="D120">
        <v>2100</v>
      </c>
      <c r="E120" t="s">
        <v>403</v>
      </c>
      <c r="F120" s="4">
        <v>13912</v>
      </c>
      <c r="G120" s="4">
        <v>0</v>
      </c>
      <c r="H120" s="4">
        <v>0</v>
      </c>
      <c r="I120" s="4">
        <v>0</v>
      </c>
      <c r="J120" s="4">
        <v>13912</v>
      </c>
      <c r="M120" s="11" t="s">
        <v>422</v>
      </c>
      <c r="N120" s="8">
        <v>720228</v>
      </c>
      <c r="O120" s="8">
        <v>57005</v>
      </c>
      <c r="P120" s="8">
        <v>489893</v>
      </c>
      <c r="Q120" s="8">
        <v>173330</v>
      </c>
    </row>
    <row r="121" spans="1:17" x14ac:dyDescent="0.75">
      <c r="A121" t="s">
        <v>151</v>
      </c>
      <c r="B121">
        <v>2412</v>
      </c>
      <c r="C121" t="s">
        <v>313</v>
      </c>
      <c r="D121">
        <v>7110</v>
      </c>
      <c r="E121" t="s">
        <v>371</v>
      </c>
      <c r="F121" s="4">
        <v>4378</v>
      </c>
      <c r="G121" s="4">
        <v>0</v>
      </c>
      <c r="H121" s="4">
        <v>0</v>
      </c>
      <c r="I121" s="4">
        <v>0</v>
      </c>
      <c r="J121" s="4">
        <v>4378</v>
      </c>
      <c r="M121" s="11" t="s">
        <v>495</v>
      </c>
      <c r="N121" s="8">
        <v>669692</v>
      </c>
      <c r="O121" s="8">
        <v>20763</v>
      </c>
      <c r="P121" s="8">
        <v>424322</v>
      </c>
      <c r="Q121" s="8">
        <v>224607</v>
      </c>
    </row>
    <row r="122" spans="1:17" x14ac:dyDescent="0.75">
      <c r="A122" t="s">
        <v>151</v>
      </c>
      <c r="B122">
        <v>2412</v>
      </c>
      <c r="C122" t="s">
        <v>313</v>
      </c>
      <c r="D122">
        <v>5330</v>
      </c>
      <c r="E122" t="s">
        <v>385</v>
      </c>
      <c r="F122" s="4">
        <v>2972</v>
      </c>
      <c r="G122" s="4">
        <v>0</v>
      </c>
      <c r="H122" s="4">
        <v>0</v>
      </c>
      <c r="I122" s="4">
        <v>0</v>
      </c>
      <c r="J122" s="4">
        <v>2972</v>
      </c>
      <c r="M122" s="11" t="s">
        <v>506</v>
      </c>
      <c r="N122" s="8">
        <v>621573</v>
      </c>
      <c r="O122" s="8">
        <v>621573</v>
      </c>
      <c r="P122" s="8">
        <v>0</v>
      </c>
      <c r="Q122" s="8">
        <v>0</v>
      </c>
    </row>
    <row r="123" spans="1:17" x14ac:dyDescent="0.75">
      <c r="A123" t="s">
        <v>151</v>
      </c>
      <c r="B123">
        <v>2412</v>
      </c>
      <c r="C123" t="s">
        <v>313</v>
      </c>
      <c r="D123">
        <v>7900</v>
      </c>
      <c r="E123" t="s">
        <v>388</v>
      </c>
      <c r="F123" s="4">
        <v>649</v>
      </c>
      <c r="G123" s="4">
        <v>0</v>
      </c>
      <c r="H123" s="4">
        <v>0</v>
      </c>
      <c r="I123" s="4">
        <v>0</v>
      </c>
      <c r="J123" s="4">
        <v>649</v>
      </c>
      <c r="M123" s="11" t="s">
        <v>498</v>
      </c>
      <c r="N123" s="8">
        <v>563547</v>
      </c>
      <c r="O123" s="8">
        <v>109449</v>
      </c>
      <c r="P123" s="8">
        <v>240263</v>
      </c>
      <c r="Q123" s="8">
        <v>213835</v>
      </c>
    </row>
    <row r="124" spans="1:17" x14ac:dyDescent="0.75">
      <c r="A124" t="s">
        <v>151</v>
      </c>
      <c r="B124">
        <v>2444</v>
      </c>
      <c r="C124" t="s">
        <v>317</v>
      </c>
      <c r="D124">
        <v>2330</v>
      </c>
      <c r="E124" t="s">
        <v>368</v>
      </c>
      <c r="F124" s="4">
        <v>64666</v>
      </c>
      <c r="G124" s="4">
        <v>0</v>
      </c>
      <c r="H124" s="4">
        <v>0</v>
      </c>
      <c r="I124" s="4">
        <v>0</v>
      </c>
      <c r="J124" s="4">
        <v>64666</v>
      </c>
      <c r="M124" s="11" t="s">
        <v>444</v>
      </c>
      <c r="N124" s="8">
        <v>531529</v>
      </c>
      <c r="O124" s="8">
        <v>7068</v>
      </c>
      <c r="P124" s="8">
        <v>375665</v>
      </c>
      <c r="Q124" s="8">
        <v>148796</v>
      </c>
    </row>
    <row r="125" spans="1:17" x14ac:dyDescent="0.75">
      <c r="A125" t="s">
        <v>160</v>
      </c>
      <c r="B125">
        <v>3219</v>
      </c>
      <c r="C125" t="s">
        <v>240</v>
      </c>
      <c r="D125">
        <v>4322</v>
      </c>
      <c r="E125" t="s">
        <v>398</v>
      </c>
      <c r="F125" s="4">
        <v>732136</v>
      </c>
      <c r="G125" s="4">
        <v>0</v>
      </c>
      <c r="H125" s="4">
        <v>0</v>
      </c>
      <c r="I125" s="4">
        <v>0</v>
      </c>
      <c r="J125" s="4">
        <v>732136</v>
      </c>
      <c r="M125" s="11" t="s">
        <v>430</v>
      </c>
      <c r="N125" s="8">
        <v>529850</v>
      </c>
      <c r="O125" s="8">
        <v>91532</v>
      </c>
      <c r="P125" s="8">
        <v>371348</v>
      </c>
      <c r="Q125" s="8">
        <v>66970</v>
      </c>
    </row>
    <row r="126" spans="1:17" x14ac:dyDescent="0.75">
      <c r="A126" t="s">
        <v>160</v>
      </c>
      <c r="B126">
        <v>3219</v>
      </c>
      <c r="C126" t="s">
        <v>240</v>
      </c>
      <c r="D126">
        <v>4783</v>
      </c>
      <c r="E126" t="s">
        <v>382</v>
      </c>
      <c r="F126" s="4">
        <v>52550</v>
      </c>
      <c r="G126" s="4">
        <v>180234</v>
      </c>
      <c r="H126" s="4">
        <v>160392</v>
      </c>
      <c r="I126" s="4">
        <v>19842</v>
      </c>
      <c r="J126" s="4">
        <v>232784</v>
      </c>
      <c r="M126" s="11" t="s">
        <v>447</v>
      </c>
      <c r="N126" s="8">
        <v>508200</v>
      </c>
      <c r="O126" s="8">
        <v>0</v>
      </c>
      <c r="P126" s="8">
        <v>47439</v>
      </c>
      <c r="Q126" s="8">
        <v>460761</v>
      </c>
    </row>
    <row r="127" spans="1:17" x14ac:dyDescent="0.75">
      <c r="A127" t="s">
        <v>160</v>
      </c>
      <c r="B127">
        <v>3219</v>
      </c>
      <c r="C127" t="s">
        <v>240</v>
      </c>
      <c r="D127">
        <v>4410</v>
      </c>
      <c r="E127" t="s">
        <v>399</v>
      </c>
      <c r="F127" s="4">
        <v>174318</v>
      </c>
      <c r="G127" s="4">
        <v>0</v>
      </c>
      <c r="H127" s="4">
        <v>0</v>
      </c>
      <c r="I127" s="4">
        <v>0</v>
      </c>
      <c r="J127" s="4">
        <v>174318</v>
      </c>
      <c r="M127" s="11" t="s">
        <v>452</v>
      </c>
      <c r="N127" s="8">
        <v>458478</v>
      </c>
      <c r="O127" s="8">
        <v>2232</v>
      </c>
      <c r="P127" s="8">
        <v>371865</v>
      </c>
      <c r="Q127" s="8">
        <v>84381</v>
      </c>
    </row>
    <row r="128" spans="1:17" x14ac:dyDescent="0.75">
      <c r="A128" t="s">
        <v>160</v>
      </c>
      <c r="B128">
        <v>3219</v>
      </c>
      <c r="C128" t="s">
        <v>240</v>
      </c>
      <c r="D128">
        <v>4331</v>
      </c>
      <c r="E128" t="s">
        <v>390</v>
      </c>
      <c r="F128" s="4">
        <v>110701</v>
      </c>
      <c r="G128" s="4">
        <v>39986</v>
      </c>
      <c r="H128" s="4">
        <v>39986</v>
      </c>
      <c r="I128" s="4">
        <v>0</v>
      </c>
      <c r="J128" s="4">
        <v>150687</v>
      </c>
      <c r="M128" s="11" t="s">
        <v>473</v>
      </c>
      <c r="N128" s="8">
        <v>443377</v>
      </c>
      <c r="O128" s="8">
        <v>218438</v>
      </c>
      <c r="P128" s="8">
        <v>159517</v>
      </c>
      <c r="Q128" s="8">
        <v>65422</v>
      </c>
    </row>
    <row r="129" spans="1:17" x14ac:dyDescent="0.75">
      <c r="A129" t="s">
        <v>160</v>
      </c>
      <c r="B129">
        <v>3219</v>
      </c>
      <c r="C129" t="s">
        <v>240</v>
      </c>
      <c r="D129">
        <v>1100</v>
      </c>
      <c r="E129" t="s">
        <v>397</v>
      </c>
      <c r="F129" s="4">
        <v>48727</v>
      </c>
      <c r="G129" s="4">
        <v>47000</v>
      </c>
      <c r="H129" s="4">
        <v>0</v>
      </c>
      <c r="I129" s="4">
        <v>47000</v>
      </c>
      <c r="J129" s="4">
        <v>95727</v>
      </c>
      <c r="M129" s="11" t="s">
        <v>481</v>
      </c>
      <c r="N129" s="8">
        <v>344948</v>
      </c>
      <c r="O129" s="8">
        <v>15166</v>
      </c>
      <c r="P129" s="8">
        <v>153209</v>
      </c>
      <c r="Q129" s="8">
        <v>176573</v>
      </c>
    </row>
    <row r="130" spans="1:17" x14ac:dyDescent="0.75">
      <c r="A130" t="s">
        <v>160</v>
      </c>
      <c r="B130">
        <v>3219</v>
      </c>
      <c r="C130" t="s">
        <v>240</v>
      </c>
      <c r="D130">
        <v>5429</v>
      </c>
      <c r="E130" t="s">
        <v>429</v>
      </c>
      <c r="F130" s="4">
        <v>0</v>
      </c>
      <c r="G130" s="4">
        <v>91021</v>
      </c>
      <c r="H130" s="4">
        <v>91021</v>
      </c>
      <c r="I130" s="4">
        <v>0</v>
      </c>
      <c r="J130" s="4">
        <v>91021</v>
      </c>
      <c r="M130" s="11" t="s">
        <v>484</v>
      </c>
      <c r="N130" s="8">
        <v>343694</v>
      </c>
      <c r="O130" s="8">
        <v>20849</v>
      </c>
      <c r="P130" s="8">
        <v>154112</v>
      </c>
      <c r="Q130" s="8">
        <v>168733</v>
      </c>
    </row>
    <row r="131" spans="1:17" x14ac:dyDescent="0.75">
      <c r="A131" t="s">
        <v>160</v>
      </c>
      <c r="B131">
        <v>3219</v>
      </c>
      <c r="C131" t="s">
        <v>240</v>
      </c>
      <c r="D131">
        <v>4690</v>
      </c>
      <c r="E131" t="s">
        <v>428</v>
      </c>
      <c r="F131" s="4">
        <v>0</v>
      </c>
      <c r="G131" s="4">
        <v>47747</v>
      </c>
      <c r="H131" s="4">
        <v>47747</v>
      </c>
      <c r="I131" s="4">
        <v>0</v>
      </c>
      <c r="J131" s="4">
        <v>47747</v>
      </c>
      <c r="M131" s="11" t="s">
        <v>445</v>
      </c>
      <c r="N131" s="8">
        <v>339710</v>
      </c>
      <c r="O131" s="8">
        <v>19071</v>
      </c>
      <c r="P131" s="8">
        <v>275833</v>
      </c>
      <c r="Q131" s="8">
        <v>44806</v>
      </c>
    </row>
    <row r="132" spans="1:17" x14ac:dyDescent="0.75">
      <c r="A132" t="s">
        <v>160</v>
      </c>
      <c r="B132">
        <v>3219</v>
      </c>
      <c r="C132" t="s">
        <v>240</v>
      </c>
      <c r="D132">
        <v>4860</v>
      </c>
      <c r="E132" t="s">
        <v>400</v>
      </c>
      <c r="F132" s="4">
        <v>0</v>
      </c>
      <c r="G132" s="4">
        <v>46421</v>
      </c>
      <c r="H132" s="4">
        <v>46421</v>
      </c>
      <c r="I132" s="4">
        <v>0</v>
      </c>
      <c r="J132" s="4">
        <v>46421</v>
      </c>
      <c r="M132" s="11" t="s">
        <v>456</v>
      </c>
      <c r="N132" s="8">
        <v>332049</v>
      </c>
      <c r="O132" s="8">
        <v>62848</v>
      </c>
      <c r="P132" s="8">
        <v>18008</v>
      </c>
      <c r="Q132" s="8">
        <v>251193</v>
      </c>
    </row>
    <row r="133" spans="1:17" x14ac:dyDescent="0.75">
      <c r="A133" t="s">
        <v>160</v>
      </c>
      <c r="B133">
        <v>3219</v>
      </c>
      <c r="C133" t="s">
        <v>240</v>
      </c>
      <c r="D133">
        <v>5315</v>
      </c>
      <c r="E133" t="s">
        <v>417</v>
      </c>
      <c r="F133" s="4">
        <v>0</v>
      </c>
      <c r="G133" s="4">
        <v>16535</v>
      </c>
      <c r="H133" s="4">
        <v>16535</v>
      </c>
      <c r="I133" s="4">
        <v>0</v>
      </c>
      <c r="J133" s="4">
        <v>16535</v>
      </c>
      <c r="M133" s="11" t="s">
        <v>497</v>
      </c>
      <c r="N133" s="8">
        <v>257491</v>
      </c>
      <c r="O133" s="8">
        <v>0</v>
      </c>
      <c r="P133" s="8">
        <v>254929</v>
      </c>
      <c r="Q133" s="8">
        <v>2562</v>
      </c>
    </row>
    <row r="134" spans="1:17" x14ac:dyDescent="0.75">
      <c r="A134" t="s">
        <v>160</v>
      </c>
      <c r="B134">
        <v>3219</v>
      </c>
      <c r="C134" t="s">
        <v>240</v>
      </c>
      <c r="D134">
        <v>3130</v>
      </c>
      <c r="E134" t="s">
        <v>407</v>
      </c>
      <c r="F134" s="4">
        <v>0</v>
      </c>
      <c r="G134" s="4">
        <v>8267</v>
      </c>
      <c r="H134" s="4">
        <v>8267</v>
      </c>
      <c r="I134" s="4">
        <v>0</v>
      </c>
      <c r="J134" s="4">
        <v>8267</v>
      </c>
      <c r="M134" s="11" t="s">
        <v>476</v>
      </c>
      <c r="N134" s="8">
        <v>246683</v>
      </c>
      <c r="O134" s="8">
        <v>156</v>
      </c>
      <c r="P134" s="8">
        <v>17441</v>
      </c>
      <c r="Q134" s="8">
        <v>229086</v>
      </c>
    </row>
    <row r="135" spans="1:17" x14ac:dyDescent="0.75">
      <c r="A135" t="s">
        <v>160</v>
      </c>
      <c r="B135">
        <v>3219</v>
      </c>
      <c r="C135" t="s">
        <v>240</v>
      </c>
      <c r="D135">
        <v>3276</v>
      </c>
      <c r="E135" t="s">
        <v>379</v>
      </c>
      <c r="F135" s="4">
        <v>0</v>
      </c>
      <c r="G135" s="4">
        <v>8001</v>
      </c>
      <c r="H135" s="4">
        <v>8001</v>
      </c>
      <c r="I135" s="4">
        <v>0</v>
      </c>
      <c r="J135" s="4">
        <v>8001</v>
      </c>
      <c r="M135" s="11" t="s">
        <v>387</v>
      </c>
      <c r="N135" s="8">
        <v>239155</v>
      </c>
      <c r="O135" s="8">
        <v>20365</v>
      </c>
      <c r="P135" s="8">
        <v>178044</v>
      </c>
      <c r="Q135" s="8">
        <v>40746</v>
      </c>
    </row>
    <row r="136" spans="1:17" x14ac:dyDescent="0.75">
      <c r="A136" t="s">
        <v>151</v>
      </c>
      <c r="B136">
        <v>700</v>
      </c>
      <c r="C136" t="s">
        <v>24</v>
      </c>
      <c r="D136">
        <v>1100</v>
      </c>
      <c r="E136" t="s">
        <v>397</v>
      </c>
      <c r="F136" s="4">
        <v>373858</v>
      </c>
      <c r="G136" s="4">
        <v>15871058</v>
      </c>
      <c r="H136" s="4">
        <v>225</v>
      </c>
      <c r="I136" s="4">
        <v>15870833</v>
      </c>
      <c r="J136" s="4">
        <v>16244916</v>
      </c>
      <c r="M136" s="11" t="s">
        <v>474</v>
      </c>
      <c r="N136" s="8">
        <v>219365</v>
      </c>
      <c r="O136" s="8">
        <v>40</v>
      </c>
      <c r="P136" s="8">
        <v>208546</v>
      </c>
      <c r="Q136" s="8">
        <v>10779</v>
      </c>
    </row>
    <row r="137" spans="1:17" x14ac:dyDescent="0.75">
      <c r="A137" t="s">
        <v>151</v>
      </c>
      <c r="B137">
        <v>700</v>
      </c>
      <c r="C137" t="s">
        <v>24</v>
      </c>
      <c r="D137">
        <v>7210</v>
      </c>
      <c r="E137" t="s">
        <v>426</v>
      </c>
      <c r="F137" s="4">
        <v>0</v>
      </c>
      <c r="G137" s="4">
        <v>1659226</v>
      </c>
      <c r="H137" s="4">
        <v>1183667</v>
      </c>
      <c r="I137" s="4">
        <v>475559</v>
      </c>
      <c r="J137" s="4">
        <v>1659226</v>
      </c>
      <c r="M137" s="11" t="s">
        <v>441</v>
      </c>
      <c r="N137" s="8">
        <v>212749</v>
      </c>
      <c r="O137" s="8">
        <v>0</v>
      </c>
      <c r="P137" s="8">
        <v>140120</v>
      </c>
      <c r="Q137" s="8">
        <v>72629</v>
      </c>
    </row>
    <row r="138" spans="1:17" x14ac:dyDescent="0.75">
      <c r="A138" t="s">
        <v>151</v>
      </c>
      <c r="B138">
        <v>700</v>
      </c>
      <c r="C138" t="s">
        <v>24</v>
      </c>
      <c r="D138">
        <v>7900</v>
      </c>
      <c r="E138" t="s">
        <v>388</v>
      </c>
      <c r="F138" s="4">
        <v>558330</v>
      </c>
      <c r="G138" s="4">
        <v>840224</v>
      </c>
      <c r="H138" s="4">
        <v>740397</v>
      </c>
      <c r="I138" s="4">
        <v>99827</v>
      </c>
      <c r="J138" s="4">
        <v>1398554</v>
      </c>
      <c r="M138" s="11" t="s">
        <v>501</v>
      </c>
      <c r="N138" s="8">
        <v>202103</v>
      </c>
      <c r="O138" s="8">
        <v>0</v>
      </c>
      <c r="P138" s="8">
        <v>179002</v>
      </c>
      <c r="Q138" s="8">
        <v>23101</v>
      </c>
    </row>
    <row r="139" spans="1:17" x14ac:dyDescent="0.75">
      <c r="A139" t="s">
        <v>151</v>
      </c>
      <c r="B139">
        <v>700</v>
      </c>
      <c r="C139" t="s">
        <v>24</v>
      </c>
      <c r="D139">
        <v>4783</v>
      </c>
      <c r="E139" t="s">
        <v>382</v>
      </c>
      <c r="F139" s="4">
        <v>0</v>
      </c>
      <c r="G139" s="4">
        <v>1249803</v>
      </c>
      <c r="H139" s="4">
        <v>1246768</v>
      </c>
      <c r="I139" s="4">
        <v>3035</v>
      </c>
      <c r="J139" s="4">
        <v>1249803</v>
      </c>
      <c r="M139" s="11" t="s">
        <v>477</v>
      </c>
      <c r="N139" s="8">
        <v>184381</v>
      </c>
      <c r="O139" s="8">
        <v>250</v>
      </c>
      <c r="P139" s="8">
        <v>122648</v>
      </c>
      <c r="Q139" s="8">
        <v>61483</v>
      </c>
    </row>
    <row r="140" spans="1:17" x14ac:dyDescent="0.75">
      <c r="A140" t="s">
        <v>151</v>
      </c>
      <c r="B140">
        <v>700</v>
      </c>
      <c r="C140" t="s">
        <v>24</v>
      </c>
      <c r="D140">
        <v>4225</v>
      </c>
      <c r="E140" t="s">
        <v>380</v>
      </c>
      <c r="F140" s="4">
        <v>0</v>
      </c>
      <c r="G140" s="4">
        <v>1140533</v>
      </c>
      <c r="H140" s="4">
        <v>312294</v>
      </c>
      <c r="I140" s="4">
        <v>828239</v>
      </c>
      <c r="J140" s="4">
        <v>1140533</v>
      </c>
      <c r="M140" s="11" t="s">
        <v>500</v>
      </c>
      <c r="N140" s="8">
        <v>152575</v>
      </c>
      <c r="O140" s="8">
        <v>2996</v>
      </c>
      <c r="P140" s="8">
        <v>71055</v>
      </c>
      <c r="Q140" s="8">
        <v>78524</v>
      </c>
    </row>
    <row r="141" spans="1:17" x14ac:dyDescent="0.75">
      <c r="A141" t="s">
        <v>151</v>
      </c>
      <c r="B141">
        <v>700</v>
      </c>
      <c r="C141" t="s">
        <v>24</v>
      </c>
      <c r="D141">
        <v>4860</v>
      </c>
      <c r="E141" t="s">
        <v>400</v>
      </c>
      <c r="F141" s="4">
        <v>410296</v>
      </c>
      <c r="G141" s="4">
        <v>603286</v>
      </c>
      <c r="H141" s="4">
        <v>603234</v>
      </c>
      <c r="I141" s="4">
        <v>52</v>
      </c>
      <c r="J141" s="4">
        <v>1013582</v>
      </c>
      <c r="M141" s="11" t="s">
        <v>460</v>
      </c>
      <c r="N141" s="8">
        <v>125316</v>
      </c>
      <c r="O141" s="8">
        <v>2364</v>
      </c>
      <c r="P141" s="8">
        <v>85190</v>
      </c>
      <c r="Q141" s="8">
        <v>37762</v>
      </c>
    </row>
    <row r="142" spans="1:17" x14ac:dyDescent="0.75">
      <c r="A142" t="s">
        <v>151</v>
      </c>
      <c r="B142">
        <v>700</v>
      </c>
      <c r="C142" t="s">
        <v>24</v>
      </c>
      <c r="D142">
        <v>7110</v>
      </c>
      <c r="E142" t="s">
        <v>371</v>
      </c>
      <c r="F142" s="4">
        <v>1466</v>
      </c>
      <c r="G142" s="4">
        <v>950123</v>
      </c>
      <c r="H142" s="4">
        <v>715316</v>
      </c>
      <c r="I142" s="4">
        <v>234807</v>
      </c>
      <c r="J142" s="4">
        <v>951589</v>
      </c>
      <c r="M142" s="11" t="s">
        <v>439</v>
      </c>
      <c r="N142" s="8">
        <v>72429</v>
      </c>
      <c r="O142" s="8">
        <v>0</v>
      </c>
      <c r="P142" s="8">
        <v>20018</v>
      </c>
      <c r="Q142" s="8">
        <v>52411</v>
      </c>
    </row>
    <row r="143" spans="1:17" x14ac:dyDescent="0.75">
      <c r="A143" t="s">
        <v>151</v>
      </c>
      <c r="B143">
        <v>700</v>
      </c>
      <c r="C143" t="s">
        <v>24</v>
      </c>
      <c r="D143">
        <v>4323</v>
      </c>
      <c r="E143" t="s">
        <v>373</v>
      </c>
      <c r="F143" s="4">
        <v>0</v>
      </c>
      <c r="G143" s="4">
        <v>835611</v>
      </c>
      <c r="H143" s="4">
        <v>835523</v>
      </c>
      <c r="I143" s="4">
        <v>88</v>
      </c>
      <c r="J143" s="4">
        <v>835611</v>
      </c>
      <c r="M143" s="11" t="s">
        <v>455</v>
      </c>
      <c r="N143" s="8">
        <v>11382</v>
      </c>
      <c r="O143" s="8">
        <v>4856</v>
      </c>
      <c r="P143" s="8">
        <v>5620</v>
      </c>
      <c r="Q143" s="8">
        <v>906</v>
      </c>
    </row>
    <row r="144" spans="1:17" x14ac:dyDescent="0.75">
      <c r="A144" t="s">
        <v>151</v>
      </c>
      <c r="B144">
        <v>700</v>
      </c>
      <c r="C144" t="s">
        <v>24</v>
      </c>
      <c r="D144">
        <v>5120</v>
      </c>
      <c r="E144" t="s">
        <v>461</v>
      </c>
      <c r="F144" s="4">
        <v>0</v>
      </c>
      <c r="G144" s="4">
        <v>808429</v>
      </c>
      <c r="H144" s="4">
        <v>776912</v>
      </c>
      <c r="I144" s="4">
        <v>31517</v>
      </c>
      <c r="J144" s="4">
        <v>808429</v>
      </c>
      <c r="M144" s="11" t="s">
        <v>508</v>
      </c>
      <c r="N144" s="8">
        <v>9849</v>
      </c>
      <c r="O144" s="8">
        <v>0</v>
      </c>
      <c r="P144" s="8">
        <v>4024</v>
      </c>
      <c r="Q144" s="8">
        <v>5825</v>
      </c>
    </row>
    <row r="145" spans="1:17" x14ac:dyDescent="0.75">
      <c r="A145" t="s">
        <v>151</v>
      </c>
      <c r="B145">
        <v>700</v>
      </c>
      <c r="C145" t="s">
        <v>24</v>
      </c>
      <c r="D145">
        <v>4331</v>
      </c>
      <c r="E145" t="s">
        <v>390</v>
      </c>
      <c r="F145" s="4">
        <v>720498</v>
      </c>
      <c r="G145" s="4">
        <v>3100</v>
      </c>
      <c r="H145" s="4">
        <v>1818</v>
      </c>
      <c r="I145" s="4">
        <v>1282</v>
      </c>
      <c r="J145" s="4">
        <v>723598</v>
      </c>
      <c r="M145" s="11" t="s">
        <v>534</v>
      </c>
    </row>
    <row r="146" spans="1:17" x14ac:dyDescent="0.75">
      <c r="A146" t="s">
        <v>151</v>
      </c>
      <c r="B146">
        <v>700</v>
      </c>
      <c r="C146" t="s">
        <v>24</v>
      </c>
      <c r="D146">
        <v>5540</v>
      </c>
      <c r="E146" t="s">
        <v>469</v>
      </c>
      <c r="F146" s="4">
        <v>0</v>
      </c>
      <c r="G146" s="4">
        <v>697307</v>
      </c>
      <c r="H146" s="4">
        <v>694403</v>
      </c>
      <c r="I146" s="4">
        <v>2904</v>
      </c>
      <c r="J146" s="4">
        <v>697307</v>
      </c>
      <c r="M146" s="11" t="s">
        <v>535</v>
      </c>
      <c r="N146" s="8">
        <v>2609339433</v>
      </c>
      <c r="O146" s="8">
        <v>1109157308</v>
      </c>
      <c r="P146" s="8">
        <v>670075049</v>
      </c>
      <c r="Q146" s="8">
        <v>830107076</v>
      </c>
    </row>
    <row r="147" spans="1:17" x14ac:dyDescent="0.75">
      <c r="A147" t="s">
        <v>151</v>
      </c>
      <c r="B147">
        <v>700</v>
      </c>
      <c r="C147" t="s">
        <v>24</v>
      </c>
      <c r="D147">
        <v>2211</v>
      </c>
      <c r="E147" t="s">
        <v>367</v>
      </c>
      <c r="F147" s="4">
        <v>502872</v>
      </c>
      <c r="G147" s="4">
        <v>133345</v>
      </c>
      <c r="H147" s="4">
        <v>133286</v>
      </c>
      <c r="I147" s="4">
        <v>59</v>
      </c>
      <c r="J147" s="4">
        <v>636217</v>
      </c>
    </row>
    <row r="148" spans="1:17" x14ac:dyDescent="0.75">
      <c r="A148" t="s">
        <v>151</v>
      </c>
      <c r="B148">
        <v>700</v>
      </c>
      <c r="C148" t="s">
        <v>24</v>
      </c>
      <c r="D148">
        <v>4189</v>
      </c>
      <c r="E148" t="s">
        <v>451</v>
      </c>
      <c r="F148" s="4">
        <v>0</v>
      </c>
      <c r="G148" s="4">
        <v>541423</v>
      </c>
      <c r="H148" s="4">
        <v>415521</v>
      </c>
      <c r="I148" s="4">
        <v>125902</v>
      </c>
      <c r="J148" s="4">
        <v>541423</v>
      </c>
    </row>
    <row r="149" spans="1:17" x14ac:dyDescent="0.75">
      <c r="A149" t="s">
        <v>151</v>
      </c>
      <c r="B149">
        <v>700</v>
      </c>
      <c r="C149" t="s">
        <v>24</v>
      </c>
      <c r="D149">
        <v>4420</v>
      </c>
      <c r="E149" t="s">
        <v>381</v>
      </c>
      <c r="F149" s="4">
        <v>242084</v>
      </c>
      <c r="G149" s="4">
        <v>289266</v>
      </c>
      <c r="H149" s="4">
        <v>1110</v>
      </c>
      <c r="I149" s="4">
        <v>288156</v>
      </c>
      <c r="J149" s="4">
        <v>531350</v>
      </c>
    </row>
    <row r="150" spans="1:17" x14ac:dyDescent="0.75">
      <c r="A150" t="s">
        <v>151</v>
      </c>
      <c r="B150">
        <v>700</v>
      </c>
      <c r="C150" t="s">
        <v>24</v>
      </c>
      <c r="D150">
        <v>5422</v>
      </c>
      <c r="E150" t="s">
        <v>468</v>
      </c>
      <c r="F150" s="4">
        <v>0</v>
      </c>
      <c r="G150" s="4">
        <v>480761</v>
      </c>
      <c r="H150" s="4">
        <v>469547</v>
      </c>
      <c r="I150" s="4">
        <v>11214</v>
      </c>
      <c r="J150" s="4">
        <v>480761</v>
      </c>
    </row>
    <row r="151" spans="1:17" x14ac:dyDescent="0.75">
      <c r="A151" t="s">
        <v>151</v>
      </c>
      <c r="B151">
        <v>700</v>
      </c>
      <c r="C151" t="s">
        <v>24</v>
      </c>
      <c r="D151">
        <v>5290</v>
      </c>
      <c r="E151" t="s">
        <v>415</v>
      </c>
      <c r="F151" s="4">
        <v>0</v>
      </c>
      <c r="G151" s="4">
        <v>442232</v>
      </c>
      <c r="H151" s="4">
        <v>396813</v>
      </c>
      <c r="I151" s="4">
        <v>45419</v>
      </c>
      <c r="J151" s="4">
        <v>442232</v>
      </c>
    </row>
    <row r="152" spans="1:17" x14ac:dyDescent="0.75">
      <c r="A152" t="s">
        <v>151</v>
      </c>
      <c r="B152">
        <v>700</v>
      </c>
      <c r="C152" t="s">
        <v>24</v>
      </c>
      <c r="D152">
        <v>4650</v>
      </c>
      <c r="E152" t="s">
        <v>457</v>
      </c>
      <c r="F152" s="4">
        <v>0</v>
      </c>
      <c r="G152" s="4">
        <v>388506</v>
      </c>
      <c r="H152" s="4">
        <v>386360</v>
      </c>
      <c r="I152" s="4">
        <v>2146</v>
      </c>
      <c r="J152" s="4">
        <v>388506</v>
      </c>
    </row>
    <row r="153" spans="1:17" x14ac:dyDescent="0.75">
      <c r="A153" t="s">
        <v>151</v>
      </c>
      <c r="B153">
        <v>700</v>
      </c>
      <c r="C153" t="s">
        <v>24</v>
      </c>
      <c r="D153">
        <v>3110</v>
      </c>
      <c r="E153" t="s">
        <v>405</v>
      </c>
      <c r="F153" s="4">
        <v>88359</v>
      </c>
      <c r="G153" s="4">
        <v>293172</v>
      </c>
      <c r="H153" s="4">
        <v>292785</v>
      </c>
      <c r="I153" s="4">
        <v>387</v>
      </c>
      <c r="J153" s="4">
        <v>381531</v>
      </c>
    </row>
    <row r="154" spans="1:17" x14ac:dyDescent="0.75">
      <c r="A154" t="s">
        <v>151</v>
      </c>
      <c r="B154">
        <v>700</v>
      </c>
      <c r="C154" t="s">
        <v>24</v>
      </c>
      <c r="D154">
        <v>5429</v>
      </c>
      <c r="E154" t="s">
        <v>429</v>
      </c>
      <c r="F154" s="4">
        <v>0</v>
      </c>
      <c r="G154" s="4">
        <v>358329</v>
      </c>
      <c r="H154" s="4">
        <v>352770</v>
      </c>
      <c r="I154" s="4">
        <v>5559</v>
      </c>
      <c r="J154" s="4">
        <v>358329</v>
      </c>
    </row>
    <row r="155" spans="1:17" x14ac:dyDescent="0.75">
      <c r="A155" t="s">
        <v>151</v>
      </c>
      <c r="B155">
        <v>700</v>
      </c>
      <c r="C155" t="s">
        <v>24</v>
      </c>
      <c r="D155">
        <v>7600</v>
      </c>
      <c r="E155" t="s">
        <v>503</v>
      </c>
      <c r="F155" s="4">
        <v>0</v>
      </c>
      <c r="G155" s="4">
        <v>343232</v>
      </c>
      <c r="H155" s="4">
        <v>294299</v>
      </c>
      <c r="I155" s="4">
        <v>48933</v>
      </c>
      <c r="J155" s="4">
        <v>343232</v>
      </c>
    </row>
    <row r="156" spans="1:17" x14ac:dyDescent="0.75">
      <c r="A156" t="s">
        <v>151</v>
      </c>
      <c r="B156">
        <v>700</v>
      </c>
      <c r="C156" t="s">
        <v>24</v>
      </c>
      <c r="D156">
        <v>6889</v>
      </c>
      <c r="E156" t="s">
        <v>420</v>
      </c>
      <c r="F156" s="4">
        <v>0</v>
      </c>
      <c r="G156" s="4">
        <v>309886</v>
      </c>
      <c r="H156" s="4">
        <v>287849</v>
      </c>
      <c r="I156" s="4">
        <v>22037</v>
      </c>
      <c r="J156" s="4">
        <v>309886</v>
      </c>
    </row>
    <row r="157" spans="1:17" x14ac:dyDescent="0.75">
      <c r="A157" t="s">
        <v>151</v>
      </c>
      <c r="B157">
        <v>700</v>
      </c>
      <c r="C157" t="s">
        <v>24</v>
      </c>
      <c r="D157">
        <v>2340</v>
      </c>
      <c r="E157" t="s">
        <v>369</v>
      </c>
      <c r="F157" s="4">
        <v>303012</v>
      </c>
      <c r="G157" s="4">
        <v>0</v>
      </c>
      <c r="H157" s="4">
        <v>0</v>
      </c>
      <c r="I157" s="4">
        <v>0</v>
      </c>
      <c r="J157" s="4">
        <v>303012</v>
      </c>
    </row>
    <row r="158" spans="1:17" x14ac:dyDescent="0.75">
      <c r="A158" t="s">
        <v>151</v>
      </c>
      <c r="B158">
        <v>700</v>
      </c>
      <c r="C158" t="s">
        <v>24</v>
      </c>
      <c r="D158">
        <v>5480</v>
      </c>
      <c r="E158" t="s">
        <v>386</v>
      </c>
      <c r="F158" s="4">
        <v>0</v>
      </c>
      <c r="G158" s="4">
        <v>291678</v>
      </c>
      <c r="H158" s="4">
        <v>250128</v>
      </c>
      <c r="I158" s="4">
        <v>41550</v>
      </c>
      <c r="J158" s="4">
        <v>291678</v>
      </c>
    </row>
    <row r="159" spans="1:17" x14ac:dyDescent="0.75">
      <c r="A159" t="s">
        <v>151</v>
      </c>
      <c r="B159">
        <v>700</v>
      </c>
      <c r="C159" t="s">
        <v>24</v>
      </c>
      <c r="D159">
        <v>2350</v>
      </c>
      <c r="E159" t="s">
        <v>404</v>
      </c>
      <c r="F159" s="4">
        <v>273391</v>
      </c>
      <c r="G159" s="4">
        <v>1462</v>
      </c>
      <c r="H159" s="4">
        <v>36</v>
      </c>
      <c r="I159" s="4">
        <v>1426</v>
      </c>
      <c r="J159" s="4">
        <v>274853</v>
      </c>
    </row>
    <row r="160" spans="1:17" x14ac:dyDescent="0.75">
      <c r="A160" t="s">
        <v>151</v>
      </c>
      <c r="B160">
        <v>700</v>
      </c>
      <c r="C160" t="s">
        <v>24</v>
      </c>
      <c r="D160">
        <v>2330</v>
      </c>
      <c r="E160" t="s">
        <v>368</v>
      </c>
      <c r="F160" s="4">
        <v>168683</v>
      </c>
      <c r="G160" s="4">
        <v>97498</v>
      </c>
      <c r="H160" s="4">
        <v>41794</v>
      </c>
      <c r="I160" s="4">
        <v>55704</v>
      </c>
      <c r="J160" s="4">
        <v>266181</v>
      </c>
    </row>
    <row r="161" spans="1:10" x14ac:dyDescent="0.75">
      <c r="A161" t="s">
        <v>151</v>
      </c>
      <c r="B161">
        <v>700</v>
      </c>
      <c r="C161" t="s">
        <v>24</v>
      </c>
      <c r="D161">
        <v>5330</v>
      </c>
      <c r="E161" t="s">
        <v>385</v>
      </c>
      <c r="F161" s="4">
        <v>0</v>
      </c>
      <c r="G161" s="4">
        <v>233461</v>
      </c>
      <c r="H161" s="4">
        <v>207842</v>
      </c>
      <c r="I161" s="4">
        <v>25619</v>
      </c>
      <c r="J161" s="4">
        <v>233461</v>
      </c>
    </row>
    <row r="162" spans="1:10" x14ac:dyDescent="0.75">
      <c r="A162" t="s">
        <v>151</v>
      </c>
      <c r="B162">
        <v>700</v>
      </c>
      <c r="C162" t="s">
        <v>24</v>
      </c>
      <c r="D162">
        <v>6522</v>
      </c>
      <c r="E162" t="s">
        <v>393</v>
      </c>
      <c r="F162" s="4">
        <v>40987</v>
      </c>
      <c r="G162" s="4">
        <v>170058</v>
      </c>
      <c r="H162" s="4">
        <v>49374</v>
      </c>
      <c r="I162" s="4">
        <v>120684</v>
      </c>
      <c r="J162" s="4">
        <v>211045</v>
      </c>
    </row>
    <row r="163" spans="1:10" x14ac:dyDescent="0.75">
      <c r="A163" t="s">
        <v>151</v>
      </c>
      <c r="B163">
        <v>700</v>
      </c>
      <c r="C163" t="s">
        <v>24</v>
      </c>
      <c r="D163">
        <v>3220</v>
      </c>
      <c r="E163" t="s">
        <v>370</v>
      </c>
      <c r="F163" s="4">
        <v>204406</v>
      </c>
      <c r="G163" s="4">
        <v>3250</v>
      </c>
      <c r="H163" s="4">
        <v>2361</v>
      </c>
      <c r="I163" s="4">
        <v>889</v>
      </c>
      <c r="J163" s="4">
        <v>207656</v>
      </c>
    </row>
    <row r="164" spans="1:10" x14ac:dyDescent="0.75">
      <c r="A164" t="s">
        <v>151</v>
      </c>
      <c r="B164">
        <v>700</v>
      </c>
      <c r="C164" t="s">
        <v>24</v>
      </c>
      <c r="D164">
        <v>6861</v>
      </c>
      <c r="E164" t="s">
        <v>489</v>
      </c>
      <c r="F164" s="4">
        <v>190128</v>
      </c>
      <c r="G164" s="4">
        <v>3317</v>
      </c>
      <c r="H164" s="4">
        <v>2164</v>
      </c>
      <c r="I164" s="4">
        <v>1153</v>
      </c>
      <c r="J164" s="4">
        <v>193445</v>
      </c>
    </row>
    <row r="165" spans="1:10" x14ac:dyDescent="0.75">
      <c r="A165" t="s">
        <v>151</v>
      </c>
      <c r="B165">
        <v>700</v>
      </c>
      <c r="C165" t="s">
        <v>24</v>
      </c>
      <c r="D165">
        <v>6782</v>
      </c>
      <c r="E165" t="s">
        <v>396</v>
      </c>
      <c r="F165" s="4">
        <v>0</v>
      </c>
      <c r="G165" s="4">
        <v>184943</v>
      </c>
      <c r="H165" s="4">
        <v>158015</v>
      </c>
      <c r="I165" s="4">
        <v>26928</v>
      </c>
      <c r="J165" s="4">
        <v>184943</v>
      </c>
    </row>
    <row r="166" spans="1:10" x14ac:dyDescent="0.75">
      <c r="A166" t="s">
        <v>151</v>
      </c>
      <c r="B166">
        <v>700</v>
      </c>
      <c r="C166" t="s">
        <v>24</v>
      </c>
      <c r="D166">
        <v>4680</v>
      </c>
      <c r="E166" t="s">
        <v>459</v>
      </c>
      <c r="F166" s="4">
        <v>0</v>
      </c>
      <c r="G166" s="4">
        <v>183850</v>
      </c>
      <c r="H166" s="4">
        <v>4168</v>
      </c>
      <c r="I166" s="4">
        <v>179682</v>
      </c>
      <c r="J166" s="4">
        <v>183850</v>
      </c>
    </row>
    <row r="167" spans="1:10" x14ac:dyDescent="0.75">
      <c r="A167" t="s">
        <v>151</v>
      </c>
      <c r="B167">
        <v>700</v>
      </c>
      <c r="C167" t="s">
        <v>24</v>
      </c>
      <c r="D167">
        <v>7120</v>
      </c>
      <c r="E167" t="s">
        <v>499</v>
      </c>
      <c r="F167" s="4">
        <v>0</v>
      </c>
      <c r="G167" s="4">
        <v>180867</v>
      </c>
      <c r="H167" s="4">
        <v>148861</v>
      </c>
      <c r="I167" s="4">
        <v>32006</v>
      </c>
      <c r="J167" s="4">
        <v>180867</v>
      </c>
    </row>
    <row r="168" spans="1:10" x14ac:dyDescent="0.75">
      <c r="A168" t="s">
        <v>151</v>
      </c>
      <c r="B168">
        <v>700</v>
      </c>
      <c r="C168" t="s">
        <v>24</v>
      </c>
      <c r="D168">
        <v>7500</v>
      </c>
      <c r="E168" t="s">
        <v>427</v>
      </c>
      <c r="F168" s="4">
        <v>0</v>
      </c>
      <c r="G168" s="4">
        <v>175782</v>
      </c>
      <c r="H168" s="4">
        <v>103229</v>
      </c>
      <c r="I168" s="4">
        <v>72553</v>
      </c>
      <c r="J168" s="4">
        <v>175782</v>
      </c>
    </row>
    <row r="169" spans="1:10" x14ac:dyDescent="0.75">
      <c r="A169" t="s">
        <v>151</v>
      </c>
      <c r="B169">
        <v>700</v>
      </c>
      <c r="C169" t="s">
        <v>24</v>
      </c>
      <c r="D169">
        <v>6885</v>
      </c>
      <c r="E169" t="s">
        <v>493</v>
      </c>
      <c r="F169" s="4">
        <v>0</v>
      </c>
      <c r="G169" s="4">
        <v>174408</v>
      </c>
      <c r="H169" s="4">
        <v>171291</v>
      </c>
      <c r="I169" s="4">
        <v>3117</v>
      </c>
      <c r="J169" s="4">
        <v>174408</v>
      </c>
    </row>
    <row r="170" spans="1:10" x14ac:dyDescent="0.75">
      <c r="A170" t="s">
        <v>151</v>
      </c>
      <c r="B170">
        <v>700</v>
      </c>
      <c r="C170" t="s">
        <v>24</v>
      </c>
      <c r="D170">
        <v>2221</v>
      </c>
      <c r="E170" t="s">
        <v>374</v>
      </c>
      <c r="F170" s="4">
        <v>165617</v>
      </c>
      <c r="G170" s="4">
        <v>0</v>
      </c>
      <c r="H170" s="4">
        <v>0</v>
      </c>
      <c r="I170" s="4">
        <v>0</v>
      </c>
      <c r="J170" s="4">
        <v>165617</v>
      </c>
    </row>
    <row r="171" spans="1:10" x14ac:dyDescent="0.75">
      <c r="A171" t="s">
        <v>151</v>
      </c>
      <c r="B171">
        <v>700</v>
      </c>
      <c r="C171" t="s">
        <v>24</v>
      </c>
      <c r="D171">
        <v>3276</v>
      </c>
      <c r="E171" t="s">
        <v>379</v>
      </c>
      <c r="F171" s="4">
        <v>66228</v>
      </c>
      <c r="G171" s="4">
        <v>95693</v>
      </c>
      <c r="H171" s="4">
        <v>92410</v>
      </c>
      <c r="I171" s="4">
        <v>3283</v>
      </c>
      <c r="J171" s="4">
        <v>161921</v>
      </c>
    </row>
    <row r="172" spans="1:10" x14ac:dyDescent="0.75">
      <c r="A172" t="s">
        <v>151</v>
      </c>
      <c r="B172">
        <v>700</v>
      </c>
      <c r="C172" t="s">
        <v>24</v>
      </c>
      <c r="D172">
        <v>9900</v>
      </c>
      <c r="E172" t="s">
        <v>389</v>
      </c>
      <c r="F172" s="4">
        <v>0</v>
      </c>
      <c r="G172" s="4">
        <v>149010</v>
      </c>
      <c r="H172" s="4">
        <v>86847</v>
      </c>
      <c r="I172" s="4">
        <v>62163</v>
      </c>
      <c r="J172" s="4">
        <v>149010</v>
      </c>
    </row>
    <row r="173" spans="1:10" x14ac:dyDescent="0.75">
      <c r="A173" t="s">
        <v>151</v>
      </c>
      <c r="B173">
        <v>700</v>
      </c>
      <c r="C173" t="s">
        <v>24</v>
      </c>
      <c r="D173">
        <v>2430</v>
      </c>
      <c r="E173" t="s">
        <v>376</v>
      </c>
      <c r="F173" s="4">
        <v>105539</v>
      </c>
      <c r="G173" s="4">
        <v>36460</v>
      </c>
      <c r="H173" s="4">
        <v>7280</v>
      </c>
      <c r="I173" s="4">
        <v>29180</v>
      </c>
      <c r="J173" s="4">
        <v>141999</v>
      </c>
    </row>
    <row r="174" spans="1:10" x14ac:dyDescent="0.75">
      <c r="A174" t="s">
        <v>151</v>
      </c>
      <c r="B174">
        <v>700</v>
      </c>
      <c r="C174" t="s">
        <v>24</v>
      </c>
      <c r="D174">
        <v>6654</v>
      </c>
      <c r="E174" t="s">
        <v>419</v>
      </c>
      <c r="F174" s="4">
        <v>0</v>
      </c>
      <c r="G174" s="4">
        <v>135173</v>
      </c>
      <c r="H174" s="4">
        <v>122853</v>
      </c>
      <c r="I174" s="4">
        <v>12320</v>
      </c>
      <c r="J174" s="4">
        <v>135173</v>
      </c>
    </row>
    <row r="175" spans="1:10" x14ac:dyDescent="0.75">
      <c r="A175" t="s">
        <v>151</v>
      </c>
      <c r="B175">
        <v>700</v>
      </c>
      <c r="C175" t="s">
        <v>24</v>
      </c>
      <c r="D175">
        <v>4170</v>
      </c>
      <c r="E175" t="s">
        <v>424</v>
      </c>
      <c r="F175" s="4">
        <v>0</v>
      </c>
      <c r="G175" s="4">
        <v>124301</v>
      </c>
      <c r="H175" s="4">
        <v>782</v>
      </c>
      <c r="I175" s="4">
        <v>123519</v>
      </c>
      <c r="J175" s="4">
        <v>124301</v>
      </c>
    </row>
    <row r="176" spans="1:10" x14ac:dyDescent="0.75">
      <c r="A176" t="s">
        <v>151</v>
      </c>
      <c r="B176">
        <v>700</v>
      </c>
      <c r="C176" t="s">
        <v>24</v>
      </c>
      <c r="D176">
        <v>5315</v>
      </c>
      <c r="E176" t="s">
        <v>417</v>
      </c>
      <c r="F176" s="4">
        <v>0</v>
      </c>
      <c r="G176" s="4">
        <v>118891</v>
      </c>
      <c r="H176" s="4">
        <v>117113</v>
      </c>
      <c r="I176" s="4">
        <v>1778</v>
      </c>
      <c r="J176" s="4">
        <v>118891</v>
      </c>
    </row>
    <row r="177" spans="1:10" x14ac:dyDescent="0.75">
      <c r="A177" t="s">
        <v>151</v>
      </c>
      <c r="B177">
        <v>700</v>
      </c>
      <c r="C177" t="s">
        <v>24</v>
      </c>
      <c r="D177">
        <v>6344</v>
      </c>
      <c r="E177" t="s">
        <v>392</v>
      </c>
      <c r="F177" s="4">
        <v>0</v>
      </c>
      <c r="G177" s="4">
        <v>118375</v>
      </c>
      <c r="H177" s="4">
        <v>115829</v>
      </c>
      <c r="I177" s="4">
        <v>2546</v>
      </c>
      <c r="J177" s="4">
        <v>118375</v>
      </c>
    </row>
    <row r="178" spans="1:10" x14ac:dyDescent="0.75">
      <c r="A178" t="s">
        <v>151</v>
      </c>
      <c r="B178">
        <v>700</v>
      </c>
      <c r="C178" t="s">
        <v>24</v>
      </c>
      <c r="D178">
        <v>6871</v>
      </c>
      <c r="E178" t="s">
        <v>491</v>
      </c>
      <c r="F178" s="4">
        <v>0</v>
      </c>
      <c r="G178" s="4">
        <v>117003</v>
      </c>
      <c r="H178" s="4">
        <v>113954</v>
      </c>
      <c r="I178" s="4">
        <v>3049</v>
      </c>
      <c r="J178" s="4">
        <v>117003</v>
      </c>
    </row>
    <row r="179" spans="1:10" x14ac:dyDescent="0.75">
      <c r="A179" t="s">
        <v>151</v>
      </c>
      <c r="B179">
        <v>700</v>
      </c>
      <c r="C179" t="s">
        <v>24</v>
      </c>
      <c r="D179">
        <v>2540</v>
      </c>
      <c r="E179" t="s">
        <v>377</v>
      </c>
      <c r="F179" s="4">
        <v>0</v>
      </c>
      <c r="G179" s="4">
        <v>110933</v>
      </c>
      <c r="H179" s="4">
        <v>110006</v>
      </c>
      <c r="I179" s="4">
        <v>927</v>
      </c>
      <c r="J179" s="4">
        <v>110933</v>
      </c>
    </row>
    <row r="180" spans="1:10" x14ac:dyDescent="0.75">
      <c r="A180" t="s">
        <v>151</v>
      </c>
      <c r="B180">
        <v>700</v>
      </c>
      <c r="C180" t="s">
        <v>24</v>
      </c>
      <c r="D180">
        <v>6590</v>
      </c>
      <c r="E180" t="s">
        <v>394</v>
      </c>
      <c r="F180" s="4">
        <v>0</v>
      </c>
      <c r="G180" s="4">
        <v>110788</v>
      </c>
      <c r="H180" s="4">
        <v>41585</v>
      </c>
      <c r="I180" s="4">
        <v>69203</v>
      </c>
      <c r="J180" s="4">
        <v>110788</v>
      </c>
    </row>
    <row r="181" spans="1:10" x14ac:dyDescent="0.75">
      <c r="A181" t="s">
        <v>151</v>
      </c>
      <c r="B181">
        <v>700</v>
      </c>
      <c r="C181" t="s">
        <v>24</v>
      </c>
      <c r="D181">
        <v>3275</v>
      </c>
      <c r="E181" t="s">
        <v>412</v>
      </c>
      <c r="F181" s="4">
        <v>0</v>
      </c>
      <c r="G181" s="4">
        <v>109847</v>
      </c>
      <c r="H181" s="4">
        <v>85841</v>
      </c>
      <c r="I181" s="4">
        <v>24006</v>
      </c>
      <c r="J181" s="4">
        <v>109847</v>
      </c>
    </row>
    <row r="182" spans="1:10" x14ac:dyDescent="0.75">
      <c r="A182" t="s">
        <v>151</v>
      </c>
      <c r="B182">
        <v>700</v>
      </c>
      <c r="C182" t="s">
        <v>24</v>
      </c>
      <c r="D182">
        <v>6858</v>
      </c>
      <c r="E182" t="s">
        <v>488</v>
      </c>
      <c r="F182" s="4">
        <v>0</v>
      </c>
      <c r="G182" s="4">
        <v>104922</v>
      </c>
      <c r="H182" s="4">
        <v>102581</v>
      </c>
      <c r="I182" s="4">
        <v>2341</v>
      </c>
      <c r="J182" s="4">
        <v>104922</v>
      </c>
    </row>
    <row r="183" spans="1:10" x14ac:dyDescent="0.75">
      <c r="A183" t="s">
        <v>151</v>
      </c>
      <c r="B183">
        <v>700</v>
      </c>
      <c r="C183" t="s">
        <v>24</v>
      </c>
      <c r="D183">
        <v>6865</v>
      </c>
      <c r="E183" t="s">
        <v>490</v>
      </c>
      <c r="F183" s="4">
        <v>0</v>
      </c>
      <c r="G183" s="4">
        <v>103084</v>
      </c>
      <c r="H183" s="4">
        <v>103084</v>
      </c>
      <c r="I183" s="4">
        <v>0</v>
      </c>
      <c r="J183" s="4">
        <v>103084</v>
      </c>
    </row>
    <row r="184" spans="1:10" x14ac:dyDescent="0.75">
      <c r="A184" t="s">
        <v>151</v>
      </c>
      <c r="B184">
        <v>700</v>
      </c>
      <c r="C184" t="s">
        <v>24</v>
      </c>
      <c r="D184">
        <v>3286</v>
      </c>
      <c r="E184" t="s">
        <v>423</v>
      </c>
      <c r="F184" s="4">
        <v>0</v>
      </c>
      <c r="G184" s="4">
        <v>100735</v>
      </c>
      <c r="H184" s="4">
        <v>78504</v>
      </c>
      <c r="I184" s="4">
        <v>22231</v>
      </c>
      <c r="J184" s="4">
        <v>100735</v>
      </c>
    </row>
    <row r="185" spans="1:10" x14ac:dyDescent="0.75">
      <c r="A185" t="s">
        <v>151</v>
      </c>
      <c r="B185">
        <v>700</v>
      </c>
      <c r="C185" t="s">
        <v>24</v>
      </c>
      <c r="D185">
        <v>6811</v>
      </c>
      <c r="E185" t="s">
        <v>480</v>
      </c>
      <c r="F185" s="4">
        <v>0</v>
      </c>
      <c r="G185" s="4">
        <v>96244</v>
      </c>
      <c r="H185" s="4">
        <v>10896</v>
      </c>
      <c r="I185" s="4">
        <v>85348</v>
      </c>
      <c r="J185" s="4">
        <v>96244</v>
      </c>
    </row>
    <row r="186" spans="1:10" x14ac:dyDescent="0.75">
      <c r="A186" t="s">
        <v>151</v>
      </c>
      <c r="B186">
        <v>700</v>
      </c>
      <c r="C186" t="s">
        <v>24</v>
      </c>
      <c r="D186">
        <v>4782</v>
      </c>
      <c r="E186" t="s">
        <v>414</v>
      </c>
      <c r="F186" s="4">
        <v>0</v>
      </c>
      <c r="G186" s="4">
        <v>89021</v>
      </c>
      <c r="H186" s="4">
        <v>85349</v>
      </c>
      <c r="I186" s="4">
        <v>3672</v>
      </c>
      <c r="J186" s="4">
        <v>89021</v>
      </c>
    </row>
    <row r="187" spans="1:10" x14ac:dyDescent="0.75">
      <c r="A187" t="s">
        <v>151</v>
      </c>
      <c r="B187">
        <v>700</v>
      </c>
      <c r="C187" t="s">
        <v>24</v>
      </c>
      <c r="D187">
        <v>3219</v>
      </c>
      <c r="E187" t="s">
        <v>378</v>
      </c>
      <c r="F187" s="4">
        <v>0</v>
      </c>
      <c r="G187" s="4">
        <v>81102</v>
      </c>
      <c r="H187" s="4">
        <v>79386</v>
      </c>
      <c r="I187" s="4">
        <v>1716</v>
      </c>
      <c r="J187" s="4">
        <v>81102</v>
      </c>
    </row>
    <row r="188" spans="1:10" x14ac:dyDescent="0.75">
      <c r="A188" t="s">
        <v>151</v>
      </c>
      <c r="B188">
        <v>700</v>
      </c>
      <c r="C188" t="s">
        <v>24</v>
      </c>
      <c r="D188">
        <v>7400</v>
      </c>
      <c r="E188" t="s">
        <v>502</v>
      </c>
      <c r="F188" s="4">
        <v>0</v>
      </c>
      <c r="G188" s="4">
        <v>80982</v>
      </c>
      <c r="H188" s="4">
        <v>79187</v>
      </c>
      <c r="I188" s="4">
        <v>1795</v>
      </c>
      <c r="J188" s="4">
        <v>80982</v>
      </c>
    </row>
    <row r="189" spans="1:10" x14ac:dyDescent="0.75">
      <c r="A189" t="s">
        <v>151</v>
      </c>
      <c r="B189">
        <v>700</v>
      </c>
      <c r="C189" t="s">
        <v>24</v>
      </c>
      <c r="D189">
        <v>6747</v>
      </c>
      <c r="E189" t="s">
        <v>478</v>
      </c>
      <c r="F189" s="4">
        <v>0</v>
      </c>
      <c r="G189" s="4">
        <v>73839</v>
      </c>
      <c r="H189" s="4">
        <v>47256</v>
      </c>
      <c r="I189" s="4">
        <v>26583</v>
      </c>
      <c r="J189" s="4">
        <v>73839</v>
      </c>
    </row>
    <row r="190" spans="1:10" x14ac:dyDescent="0.75">
      <c r="A190" t="s">
        <v>151</v>
      </c>
      <c r="B190">
        <v>700</v>
      </c>
      <c r="C190" t="s">
        <v>24</v>
      </c>
      <c r="D190">
        <v>4900</v>
      </c>
      <c r="E190" t="s">
        <v>383</v>
      </c>
      <c r="F190" s="4">
        <v>0</v>
      </c>
      <c r="G190" s="4">
        <v>70467</v>
      </c>
      <c r="H190" s="4">
        <v>69848</v>
      </c>
      <c r="I190" s="4">
        <v>619</v>
      </c>
      <c r="J190" s="4">
        <v>70467</v>
      </c>
    </row>
    <row r="191" spans="1:10" x14ac:dyDescent="0.75">
      <c r="A191" t="s">
        <v>151</v>
      </c>
      <c r="B191">
        <v>700</v>
      </c>
      <c r="C191" t="s">
        <v>24</v>
      </c>
      <c r="D191">
        <v>6653</v>
      </c>
      <c r="E191" t="s">
        <v>395</v>
      </c>
      <c r="F191" s="4">
        <v>0</v>
      </c>
      <c r="G191" s="4">
        <v>69659</v>
      </c>
      <c r="H191" s="4">
        <v>69237</v>
      </c>
      <c r="I191" s="4">
        <v>422</v>
      </c>
      <c r="J191" s="4">
        <v>69659</v>
      </c>
    </row>
    <row r="192" spans="1:10" x14ac:dyDescent="0.75">
      <c r="A192" t="s">
        <v>151</v>
      </c>
      <c r="B192">
        <v>700</v>
      </c>
      <c r="C192" t="s">
        <v>24</v>
      </c>
      <c r="D192">
        <v>3299</v>
      </c>
      <c r="E192" t="s">
        <v>448</v>
      </c>
      <c r="F192" s="4">
        <v>0</v>
      </c>
      <c r="G192" s="4">
        <v>60318</v>
      </c>
      <c r="H192" s="4">
        <v>16016</v>
      </c>
      <c r="I192" s="4">
        <v>44302</v>
      </c>
      <c r="J192" s="4">
        <v>60318</v>
      </c>
    </row>
    <row r="193" spans="1:10" x14ac:dyDescent="0.75">
      <c r="A193" t="s">
        <v>151</v>
      </c>
      <c r="B193">
        <v>700</v>
      </c>
      <c r="C193" t="s">
        <v>24</v>
      </c>
      <c r="D193">
        <v>3230</v>
      </c>
      <c r="E193" t="s">
        <v>434</v>
      </c>
      <c r="F193" s="4">
        <v>0</v>
      </c>
      <c r="G193" s="4">
        <v>59874</v>
      </c>
      <c r="H193" s="4">
        <v>58970</v>
      </c>
      <c r="I193" s="4">
        <v>904</v>
      </c>
      <c r="J193" s="4">
        <v>59874</v>
      </c>
    </row>
    <row r="194" spans="1:10" x14ac:dyDescent="0.75">
      <c r="A194" t="s">
        <v>151</v>
      </c>
      <c r="B194">
        <v>700</v>
      </c>
      <c r="C194" t="s">
        <v>24</v>
      </c>
      <c r="D194">
        <v>5370</v>
      </c>
      <c r="E194" t="s">
        <v>466</v>
      </c>
      <c r="F194" s="4">
        <v>165</v>
      </c>
      <c r="G194" s="4">
        <v>58710</v>
      </c>
      <c r="H194" s="4">
        <v>56878</v>
      </c>
      <c r="I194" s="4">
        <v>1832</v>
      </c>
      <c r="J194" s="4">
        <v>58875</v>
      </c>
    </row>
    <row r="195" spans="1:10" x14ac:dyDescent="0.75">
      <c r="A195" t="s">
        <v>151</v>
      </c>
      <c r="B195">
        <v>700</v>
      </c>
      <c r="C195" t="s">
        <v>24</v>
      </c>
      <c r="D195">
        <v>6134</v>
      </c>
      <c r="E195" t="s">
        <v>470</v>
      </c>
      <c r="F195" s="4">
        <v>0</v>
      </c>
      <c r="G195" s="4">
        <v>49064</v>
      </c>
      <c r="H195" s="4">
        <v>46672</v>
      </c>
      <c r="I195" s="4">
        <v>2392</v>
      </c>
      <c r="J195" s="4">
        <v>49064</v>
      </c>
    </row>
    <row r="196" spans="1:10" x14ac:dyDescent="0.75">
      <c r="A196" t="s">
        <v>151</v>
      </c>
      <c r="B196">
        <v>700</v>
      </c>
      <c r="C196" t="s">
        <v>24</v>
      </c>
      <c r="D196">
        <v>5190</v>
      </c>
      <c r="E196" t="s">
        <v>462</v>
      </c>
      <c r="F196" s="4">
        <v>0</v>
      </c>
      <c r="G196" s="4">
        <v>47855</v>
      </c>
      <c r="H196" s="4">
        <v>42904</v>
      </c>
      <c r="I196" s="4">
        <v>4951</v>
      </c>
      <c r="J196" s="4">
        <v>47855</v>
      </c>
    </row>
    <row r="197" spans="1:10" x14ac:dyDescent="0.75">
      <c r="A197" t="s">
        <v>151</v>
      </c>
      <c r="B197">
        <v>700</v>
      </c>
      <c r="C197" t="s">
        <v>24</v>
      </c>
      <c r="D197">
        <v>6822</v>
      </c>
      <c r="E197" t="s">
        <v>482</v>
      </c>
      <c r="F197" s="4">
        <v>0</v>
      </c>
      <c r="G197" s="4">
        <v>42965</v>
      </c>
      <c r="H197" s="4">
        <v>10728</v>
      </c>
      <c r="I197" s="4">
        <v>32237</v>
      </c>
      <c r="J197" s="4">
        <v>42965</v>
      </c>
    </row>
    <row r="198" spans="1:10" x14ac:dyDescent="0.75">
      <c r="A198" t="s">
        <v>151</v>
      </c>
      <c r="B198">
        <v>700</v>
      </c>
      <c r="C198" t="s">
        <v>24</v>
      </c>
      <c r="D198">
        <v>6442</v>
      </c>
      <c r="E198" t="s">
        <v>472</v>
      </c>
      <c r="F198" s="4">
        <v>0</v>
      </c>
      <c r="G198" s="4">
        <v>42393</v>
      </c>
      <c r="H198" s="4">
        <v>41705</v>
      </c>
      <c r="I198" s="4">
        <v>688</v>
      </c>
      <c r="J198" s="4">
        <v>42393</v>
      </c>
    </row>
    <row r="199" spans="1:10" x14ac:dyDescent="0.75">
      <c r="A199" t="s">
        <v>151</v>
      </c>
      <c r="B199">
        <v>700</v>
      </c>
      <c r="C199" t="s">
        <v>24</v>
      </c>
      <c r="D199">
        <v>3274</v>
      </c>
      <c r="E199" t="s">
        <v>438</v>
      </c>
      <c r="F199" s="4">
        <v>32612</v>
      </c>
      <c r="G199" s="4">
        <v>6482</v>
      </c>
      <c r="H199" s="4">
        <v>6200</v>
      </c>
      <c r="I199" s="4">
        <v>282</v>
      </c>
      <c r="J199" s="4">
        <v>39094</v>
      </c>
    </row>
    <row r="200" spans="1:10" x14ac:dyDescent="0.75">
      <c r="A200" t="s">
        <v>151</v>
      </c>
      <c r="B200">
        <v>700</v>
      </c>
      <c r="C200" t="s">
        <v>24</v>
      </c>
      <c r="D200">
        <v>3285</v>
      </c>
      <c r="E200" t="s">
        <v>443</v>
      </c>
      <c r="F200" s="4">
        <v>0</v>
      </c>
      <c r="G200" s="4">
        <v>38571</v>
      </c>
      <c r="H200" s="4">
        <v>21086</v>
      </c>
      <c r="I200" s="4">
        <v>17485</v>
      </c>
      <c r="J200" s="4">
        <v>38571</v>
      </c>
    </row>
    <row r="201" spans="1:10" x14ac:dyDescent="0.75">
      <c r="A201" t="s">
        <v>151</v>
      </c>
      <c r="B201">
        <v>700</v>
      </c>
      <c r="C201" t="s">
        <v>24</v>
      </c>
      <c r="D201">
        <v>5421</v>
      </c>
      <c r="E201" t="s">
        <v>467</v>
      </c>
      <c r="F201" s="4">
        <v>0</v>
      </c>
      <c r="G201" s="4">
        <v>38209</v>
      </c>
      <c r="H201" s="4">
        <v>28630</v>
      </c>
      <c r="I201" s="4">
        <v>9579</v>
      </c>
      <c r="J201" s="4">
        <v>38209</v>
      </c>
    </row>
    <row r="202" spans="1:10" x14ac:dyDescent="0.75">
      <c r="A202" t="s">
        <v>151</v>
      </c>
      <c r="B202">
        <v>700</v>
      </c>
      <c r="C202" t="s">
        <v>24</v>
      </c>
      <c r="D202">
        <v>5240</v>
      </c>
      <c r="E202" t="s">
        <v>464</v>
      </c>
      <c r="F202" s="4">
        <v>0</v>
      </c>
      <c r="G202" s="4">
        <v>37244</v>
      </c>
      <c r="H202" s="4">
        <v>29722</v>
      </c>
      <c r="I202" s="4">
        <v>7522</v>
      </c>
      <c r="J202" s="4">
        <v>37244</v>
      </c>
    </row>
    <row r="203" spans="1:10" x14ac:dyDescent="0.75">
      <c r="A203" t="s">
        <v>151</v>
      </c>
      <c r="B203">
        <v>700</v>
      </c>
      <c r="C203" t="s">
        <v>24</v>
      </c>
      <c r="D203">
        <v>4670</v>
      </c>
      <c r="E203" t="s">
        <v>458</v>
      </c>
      <c r="F203" s="4">
        <v>0</v>
      </c>
      <c r="G203" s="4">
        <v>35968</v>
      </c>
      <c r="H203" s="4">
        <v>35884</v>
      </c>
      <c r="I203" s="4">
        <v>84</v>
      </c>
      <c r="J203" s="4">
        <v>35968</v>
      </c>
    </row>
    <row r="204" spans="1:10" x14ac:dyDescent="0.75">
      <c r="A204" t="s">
        <v>151</v>
      </c>
      <c r="B204">
        <v>700</v>
      </c>
      <c r="C204" t="s">
        <v>24</v>
      </c>
      <c r="D204">
        <v>4690</v>
      </c>
      <c r="E204" t="s">
        <v>428</v>
      </c>
      <c r="F204" s="4">
        <v>0</v>
      </c>
      <c r="G204" s="4">
        <v>34528</v>
      </c>
      <c r="H204" s="4">
        <v>15010</v>
      </c>
      <c r="I204" s="4">
        <v>19518</v>
      </c>
      <c r="J204" s="4">
        <v>34528</v>
      </c>
    </row>
    <row r="205" spans="1:10" x14ac:dyDescent="0.75">
      <c r="A205" t="s">
        <v>151</v>
      </c>
      <c r="B205">
        <v>700</v>
      </c>
      <c r="C205" t="s">
        <v>24</v>
      </c>
      <c r="D205">
        <v>3282</v>
      </c>
      <c r="E205" t="s">
        <v>440</v>
      </c>
      <c r="F205" s="4">
        <v>0</v>
      </c>
      <c r="G205" s="4">
        <v>25224</v>
      </c>
      <c r="H205" s="4">
        <v>16497</v>
      </c>
      <c r="I205" s="4">
        <v>8727</v>
      </c>
      <c r="J205" s="4">
        <v>25224</v>
      </c>
    </row>
    <row r="206" spans="1:10" x14ac:dyDescent="0.75">
      <c r="A206" t="s">
        <v>151</v>
      </c>
      <c r="B206">
        <v>700</v>
      </c>
      <c r="C206" t="s">
        <v>24</v>
      </c>
      <c r="D206">
        <v>6835</v>
      </c>
      <c r="E206" t="s">
        <v>483</v>
      </c>
      <c r="F206" s="4">
        <v>0</v>
      </c>
      <c r="G206" s="4">
        <v>24918</v>
      </c>
      <c r="H206" s="4">
        <v>24872</v>
      </c>
      <c r="I206" s="4">
        <v>46</v>
      </c>
      <c r="J206" s="4">
        <v>24918</v>
      </c>
    </row>
    <row r="207" spans="1:10" x14ac:dyDescent="0.75">
      <c r="A207" t="s">
        <v>151</v>
      </c>
      <c r="B207">
        <v>700</v>
      </c>
      <c r="C207" t="s">
        <v>24</v>
      </c>
      <c r="D207">
        <v>6891</v>
      </c>
      <c r="E207" t="s">
        <v>495</v>
      </c>
      <c r="F207" s="4">
        <v>0</v>
      </c>
      <c r="G207" s="4">
        <v>18255</v>
      </c>
      <c r="H207" s="4">
        <v>17858</v>
      </c>
      <c r="I207" s="4">
        <v>397</v>
      </c>
      <c r="J207" s="4">
        <v>18255</v>
      </c>
    </row>
    <row r="208" spans="1:10" x14ac:dyDescent="0.75">
      <c r="A208" t="s">
        <v>151</v>
      </c>
      <c r="B208">
        <v>700</v>
      </c>
      <c r="C208" t="s">
        <v>24</v>
      </c>
      <c r="D208">
        <v>5360</v>
      </c>
      <c r="E208" t="s">
        <v>465</v>
      </c>
      <c r="F208" s="4">
        <v>0</v>
      </c>
      <c r="G208" s="4">
        <v>18100</v>
      </c>
      <c r="H208" s="4">
        <v>17321</v>
      </c>
      <c r="I208" s="4">
        <v>779</v>
      </c>
      <c r="J208" s="4">
        <v>18100</v>
      </c>
    </row>
    <row r="209" spans="1:10" x14ac:dyDescent="0.75">
      <c r="A209" t="s">
        <v>151</v>
      </c>
      <c r="B209">
        <v>700</v>
      </c>
      <c r="C209" t="s">
        <v>24</v>
      </c>
      <c r="D209">
        <v>3130</v>
      </c>
      <c r="E209" t="s">
        <v>407</v>
      </c>
      <c r="F209" s="4">
        <v>0</v>
      </c>
      <c r="G209" s="4">
        <v>16946</v>
      </c>
      <c r="H209" s="4">
        <v>16946</v>
      </c>
      <c r="I209" s="4">
        <v>0</v>
      </c>
      <c r="J209" s="4">
        <v>16946</v>
      </c>
    </row>
    <row r="210" spans="1:10" x14ac:dyDescent="0.75">
      <c r="A210" t="s">
        <v>151</v>
      </c>
      <c r="B210">
        <v>700</v>
      </c>
      <c r="C210" t="s">
        <v>24</v>
      </c>
      <c r="D210">
        <v>6136</v>
      </c>
      <c r="E210" t="s">
        <v>471</v>
      </c>
      <c r="F210" s="4">
        <v>0</v>
      </c>
      <c r="G210" s="4">
        <v>16480</v>
      </c>
      <c r="H210" s="4">
        <v>16303</v>
      </c>
      <c r="I210" s="4">
        <v>177</v>
      </c>
      <c r="J210" s="4">
        <v>16480</v>
      </c>
    </row>
    <row r="211" spans="1:10" x14ac:dyDescent="0.75">
      <c r="A211" t="s">
        <v>151</v>
      </c>
      <c r="B211">
        <v>700</v>
      </c>
      <c r="C211" t="s">
        <v>24</v>
      </c>
      <c r="D211">
        <v>5220</v>
      </c>
      <c r="E211" t="s">
        <v>401</v>
      </c>
      <c r="F211" s="4">
        <v>8215</v>
      </c>
      <c r="G211" s="4">
        <v>7803</v>
      </c>
      <c r="H211" s="4">
        <v>7780</v>
      </c>
      <c r="I211" s="4">
        <v>23</v>
      </c>
      <c r="J211" s="4">
        <v>16018</v>
      </c>
    </row>
    <row r="212" spans="1:10" x14ac:dyDescent="0.75">
      <c r="A212" t="s">
        <v>151</v>
      </c>
      <c r="B212">
        <v>700</v>
      </c>
      <c r="C212" t="s">
        <v>24</v>
      </c>
      <c r="D212">
        <v>3292</v>
      </c>
      <c r="E212" t="s">
        <v>413</v>
      </c>
      <c r="F212" s="4">
        <v>0</v>
      </c>
      <c r="G212" s="4">
        <v>15620</v>
      </c>
      <c r="H212" s="4">
        <v>9820</v>
      </c>
      <c r="I212" s="4">
        <v>5800</v>
      </c>
      <c r="J212" s="4">
        <v>15620</v>
      </c>
    </row>
    <row r="213" spans="1:10" x14ac:dyDescent="0.75">
      <c r="A213" t="s">
        <v>151</v>
      </c>
      <c r="B213">
        <v>700</v>
      </c>
      <c r="C213" t="s">
        <v>24</v>
      </c>
      <c r="D213">
        <v>3190</v>
      </c>
      <c r="E213" t="s">
        <v>408</v>
      </c>
      <c r="F213" s="4">
        <v>0</v>
      </c>
      <c r="G213" s="4">
        <v>15300</v>
      </c>
      <c r="H213" s="4">
        <v>13176</v>
      </c>
      <c r="I213" s="4">
        <v>2124</v>
      </c>
      <c r="J213" s="4">
        <v>15300</v>
      </c>
    </row>
    <row r="214" spans="1:10" x14ac:dyDescent="0.75">
      <c r="A214" t="s">
        <v>151</v>
      </c>
      <c r="B214">
        <v>700</v>
      </c>
      <c r="C214" t="s">
        <v>24</v>
      </c>
      <c r="D214">
        <v>4310</v>
      </c>
      <c r="E214" t="s">
        <v>453</v>
      </c>
      <c r="F214" s="4">
        <v>0</v>
      </c>
      <c r="G214" s="4">
        <v>15007</v>
      </c>
      <c r="H214" s="4">
        <v>14740</v>
      </c>
      <c r="I214" s="4">
        <v>267</v>
      </c>
      <c r="J214" s="4">
        <v>15007</v>
      </c>
    </row>
    <row r="215" spans="1:10" x14ac:dyDescent="0.75">
      <c r="A215" t="s">
        <v>151</v>
      </c>
      <c r="B215">
        <v>700</v>
      </c>
      <c r="C215" t="s">
        <v>24</v>
      </c>
      <c r="D215">
        <v>3284</v>
      </c>
      <c r="E215" t="s">
        <v>442</v>
      </c>
      <c r="F215" s="4">
        <v>0</v>
      </c>
      <c r="G215" s="4">
        <v>14876</v>
      </c>
      <c r="H215" s="4">
        <v>6640</v>
      </c>
      <c r="I215" s="4">
        <v>8236</v>
      </c>
      <c r="J215" s="4">
        <v>14876</v>
      </c>
    </row>
    <row r="216" spans="1:10" x14ac:dyDescent="0.75">
      <c r="A216" t="s">
        <v>151</v>
      </c>
      <c r="B216">
        <v>700</v>
      </c>
      <c r="C216" t="s">
        <v>24</v>
      </c>
      <c r="D216">
        <v>2410</v>
      </c>
      <c r="E216" t="s">
        <v>430</v>
      </c>
      <c r="F216" s="4">
        <v>0</v>
      </c>
      <c r="G216" s="4">
        <v>14391</v>
      </c>
      <c r="H216" s="4">
        <v>9826</v>
      </c>
      <c r="I216" s="4">
        <v>4565</v>
      </c>
      <c r="J216" s="4">
        <v>14391</v>
      </c>
    </row>
    <row r="217" spans="1:10" x14ac:dyDescent="0.75">
      <c r="A217" t="s">
        <v>151</v>
      </c>
      <c r="B217">
        <v>700</v>
      </c>
      <c r="C217" t="s">
        <v>24</v>
      </c>
      <c r="D217">
        <v>3240</v>
      </c>
      <c r="E217" t="s">
        <v>410</v>
      </c>
      <c r="F217" s="4">
        <v>0</v>
      </c>
      <c r="G217" s="4">
        <v>14077</v>
      </c>
      <c r="H217" s="4">
        <v>4597</v>
      </c>
      <c r="I217" s="4">
        <v>9480</v>
      </c>
      <c r="J217" s="4">
        <v>14077</v>
      </c>
    </row>
    <row r="218" spans="1:10" x14ac:dyDescent="0.75">
      <c r="A218" t="s">
        <v>151</v>
      </c>
      <c r="B218">
        <v>700</v>
      </c>
      <c r="C218" t="s">
        <v>24</v>
      </c>
      <c r="D218">
        <v>2429</v>
      </c>
      <c r="E218" t="s">
        <v>375</v>
      </c>
      <c r="F218" s="4">
        <v>12528</v>
      </c>
      <c r="G218" s="4">
        <v>179</v>
      </c>
      <c r="H218" s="4">
        <v>0</v>
      </c>
      <c r="I218" s="4">
        <v>179</v>
      </c>
      <c r="J218" s="4">
        <v>12707</v>
      </c>
    </row>
    <row r="219" spans="1:10" x14ac:dyDescent="0.75">
      <c r="A219" t="s">
        <v>151</v>
      </c>
      <c r="B219">
        <v>700</v>
      </c>
      <c r="C219" t="s">
        <v>24</v>
      </c>
      <c r="D219">
        <v>4190</v>
      </c>
      <c r="E219" t="s">
        <v>452</v>
      </c>
      <c r="F219" s="4">
        <v>0</v>
      </c>
      <c r="G219" s="4">
        <v>11195</v>
      </c>
      <c r="H219" s="4">
        <v>10879</v>
      </c>
      <c r="I219" s="4">
        <v>316</v>
      </c>
      <c r="J219" s="4">
        <v>11195</v>
      </c>
    </row>
    <row r="220" spans="1:10" x14ac:dyDescent="0.75">
      <c r="A220" t="s">
        <v>151</v>
      </c>
      <c r="B220">
        <v>700</v>
      </c>
      <c r="C220" t="s">
        <v>24</v>
      </c>
      <c r="D220">
        <v>5390</v>
      </c>
      <c r="E220" t="s">
        <v>418</v>
      </c>
      <c r="F220" s="4">
        <v>0</v>
      </c>
      <c r="G220" s="4">
        <v>11160</v>
      </c>
      <c r="H220" s="4">
        <v>10756</v>
      </c>
      <c r="I220" s="4">
        <v>404</v>
      </c>
      <c r="J220" s="4">
        <v>11160</v>
      </c>
    </row>
    <row r="221" spans="1:10" x14ac:dyDescent="0.75">
      <c r="A221" t="s">
        <v>151</v>
      </c>
      <c r="B221">
        <v>700</v>
      </c>
      <c r="C221" t="s">
        <v>24</v>
      </c>
      <c r="D221">
        <v>3279</v>
      </c>
      <c r="E221" t="s">
        <v>422</v>
      </c>
      <c r="F221" s="4">
        <v>0</v>
      </c>
      <c r="G221" s="4">
        <v>10279</v>
      </c>
      <c r="H221" s="4">
        <v>9910</v>
      </c>
      <c r="I221" s="4">
        <v>369</v>
      </c>
      <c r="J221" s="4">
        <v>10279</v>
      </c>
    </row>
    <row r="222" spans="1:10" x14ac:dyDescent="0.75">
      <c r="A222" t="s">
        <v>151</v>
      </c>
      <c r="B222">
        <v>700</v>
      </c>
      <c r="C222" t="s">
        <v>24</v>
      </c>
      <c r="D222">
        <v>6872</v>
      </c>
      <c r="E222" t="s">
        <v>492</v>
      </c>
      <c r="F222" s="4">
        <v>0</v>
      </c>
      <c r="G222" s="4">
        <v>9665</v>
      </c>
      <c r="H222" s="4">
        <v>8635</v>
      </c>
      <c r="I222" s="4">
        <v>1030</v>
      </c>
      <c r="J222" s="4">
        <v>9665</v>
      </c>
    </row>
    <row r="223" spans="1:10" x14ac:dyDescent="0.75">
      <c r="A223" t="s">
        <v>151</v>
      </c>
      <c r="B223">
        <v>700</v>
      </c>
      <c r="C223" t="s">
        <v>24</v>
      </c>
      <c r="D223">
        <v>4150</v>
      </c>
      <c r="E223" t="s">
        <v>450</v>
      </c>
      <c r="F223" s="4">
        <v>0</v>
      </c>
      <c r="G223" s="4">
        <v>8645</v>
      </c>
      <c r="H223" s="4">
        <v>8159</v>
      </c>
      <c r="I223" s="4">
        <v>486</v>
      </c>
      <c r="J223" s="4">
        <v>8645</v>
      </c>
    </row>
    <row r="224" spans="1:10" x14ac:dyDescent="0.75">
      <c r="A224" t="s">
        <v>151</v>
      </c>
      <c r="B224">
        <v>700</v>
      </c>
      <c r="C224" t="s">
        <v>24</v>
      </c>
      <c r="D224">
        <v>5312</v>
      </c>
      <c r="E224" t="s">
        <v>416</v>
      </c>
      <c r="F224" s="4">
        <v>0</v>
      </c>
      <c r="G224" s="4">
        <v>8375</v>
      </c>
      <c r="H224" s="4">
        <v>7265</v>
      </c>
      <c r="I224" s="4">
        <v>1110</v>
      </c>
      <c r="J224" s="4">
        <v>8375</v>
      </c>
    </row>
    <row r="225" spans="1:10" x14ac:dyDescent="0.75">
      <c r="A225" t="s">
        <v>151</v>
      </c>
      <c r="B225">
        <v>700</v>
      </c>
      <c r="C225" t="s">
        <v>24</v>
      </c>
      <c r="D225">
        <v>2990</v>
      </c>
      <c r="E225" t="s">
        <v>432</v>
      </c>
      <c r="F225" s="4">
        <v>0</v>
      </c>
      <c r="G225" s="4">
        <v>7674</v>
      </c>
      <c r="H225" s="4">
        <v>0</v>
      </c>
      <c r="I225" s="4">
        <v>7674</v>
      </c>
      <c r="J225" s="4">
        <v>7674</v>
      </c>
    </row>
    <row r="226" spans="1:10" x14ac:dyDescent="0.75">
      <c r="A226" t="s">
        <v>151</v>
      </c>
      <c r="B226">
        <v>700</v>
      </c>
      <c r="C226" t="s">
        <v>24</v>
      </c>
      <c r="D226">
        <v>7220</v>
      </c>
      <c r="E226" t="s">
        <v>500</v>
      </c>
      <c r="F226" s="4">
        <v>0</v>
      </c>
      <c r="G226" s="4">
        <v>7503</v>
      </c>
      <c r="H226" s="4">
        <v>698</v>
      </c>
      <c r="I226" s="4">
        <v>6805</v>
      </c>
      <c r="J226" s="4">
        <v>7503</v>
      </c>
    </row>
    <row r="227" spans="1:10" x14ac:dyDescent="0.75">
      <c r="A227" t="s">
        <v>151</v>
      </c>
      <c r="B227">
        <v>700</v>
      </c>
      <c r="C227" t="s">
        <v>24</v>
      </c>
      <c r="D227">
        <v>5320</v>
      </c>
      <c r="E227" t="s">
        <v>384</v>
      </c>
      <c r="F227" s="4">
        <v>0</v>
      </c>
      <c r="G227" s="4">
        <v>7442</v>
      </c>
      <c r="H227" s="4">
        <v>7241</v>
      </c>
      <c r="I227" s="4">
        <v>201</v>
      </c>
      <c r="J227" s="4">
        <v>7442</v>
      </c>
    </row>
    <row r="228" spans="1:10" x14ac:dyDescent="0.75">
      <c r="A228" t="s">
        <v>151</v>
      </c>
      <c r="B228">
        <v>700</v>
      </c>
      <c r="C228" t="s">
        <v>24</v>
      </c>
      <c r="D228">
        <v>6857</v>
      </c>
      <c r="E228" t="s">
        <v>487</v>
      </c>
      <c r="F228" s="4">
        <v>0</v>
      </c>
      <c r="G228" s="4">
        <v>7139</v>
      </c>
      <c r="H228" s="4">
        <v>5822</v>
      </c>
      <c r="I228" s="4">
        <v>1317</v>
      </c>
      <c r="J228" s="4">
        <v>7139</v>
      </c>
    </row>
    <row r="229" spans="1:10" x14ac:dyDescent="0.75">
      <c r="A229" t="s">
        <v>151</v>
      </c>
      <c r="B229">
        <v>700</v>
      </c>
      <c r="C229" t="s">
        <v>24</v>
      </c>
      <c r="D229">
        <v>4110</v>
      </c>
      <c r="E229" t="s">
        <v>449</v>
      </c>
      <c r="F229" s="4">
        <v>0</v>
      </c>
      <c r="G229" s="4">
        <v>6842</v>
      </c>
      <c r="H229" s="4">
        <v>6685</v>
      </c>
      <c r="I229" s="4">
        <v>157</v>
      </c>
      <c r="J229" s="4">
        <v>6842</v>
      </c>
    </row>
    <row r="230" spans="1:10" x14ac:dyDescent="0.75">
      <c r="A230" t="s">
        <v>151</v>
      </c>
      <c r="B230">
        <v>700</v>
      </c>
      <c r="C230" t="s">
        <v>24</v>
      </c>
      <c r="D230">
        <v>6839</v>
      </c>
      <c r="E230" t="s">
        <v>485</v>
      </c>
      <c r="F230" s="4">
        <v>0</v>
      </c>
      <c r="G230" s="4">
        <v>6771</v>
      </c>
      <c r="H230" s="4">
        <v>656</v>
      </c>
      <c r="I230" s="4">
        <v>6115</v>
      </c>
      <c r="J230" s="4">
        <v>6771</v>
      </c>
    </row>
    <row r="231" spans="1:10" x14ac:dyDescent="0.75">
      <c r="A231" t="s">
        <v>151</v>
      </c>
      <c r="B231">
        <v>700</v>
      </c>
      <c r="C231" t="s">
        <v>24</v>
      </c>
      <c r="D231">
        <v>3260</v>
      </c>
      <c r="E231" t="s">
        <v>436</v>
      </c>
      <c r="F231" s="4">
        <v>0</v>
      </c>
      <c r="G231" s="4">
        <v>6605</v>
      </c>
      <c r="H231" s="4">
        <v>3461</v>
      </c>
      <c r="I231" s="4">
        <v>3144</v>
      </c>
      <c r="J231" s="4">
        <v>6605</v>
      </c>
    </row>
    <row r="232" spans="1:10" x14ac:dyDescent="0.75">
      <c r="A232" t="s">
        <v>151</v>
      </c>
      <c r="B232">
        <v>700</v>
      </c>
      <c r="C232" t="s">
        <v>24</v>
      </c>
      <c r="D232">
        <v>3250</v>
      </c>
      <c r="E232" t="s">
        <v>435</v>
      </c>
      <c r="F232" s="4">
        <v>0</v>
      </c>
      <c r="G232" s="4">
        <v>5839</v>
      </c>
      <c r="H232" s="4">
        <v>4584</v>
      </c>
      <c r="I232" s="4">
        <v>1255</v>
      </c>
      <c r="J232" s="4">
        <v>5839</v>
      </c>
    </row>
    <row r="233" spans="1:10" x14ac:dyDescent="0.75">
      <c r="A233" t="s">
        <v>151</v>
      </c>
      <c r="B233">
        <v>700</v>
      </c>
      <c r="C233" t="s">
        <v>24</v>
      </c>
      <c r="D233">
        <v>6888</v>
      </c>
      <c r="E233" t="s">
        <v>494</v>
      </c>
      <c r="F233" s="4">
        <v>0</v>
      </c>
      <c r="G233" s="4">
        <v>5211</v>
      </c>
      <c r="H233" s="4">
        <v>4794</v>
      </c>
      <c r="I233" s="4">
        <v>417</v>
      </c>
      <c r="J233" s="4">
        <v>5211</v>
      </c>
    </row>
    <row r="234" spans="1:10" x14ac:dyDescent="0.75">
      <c r="A234" t="s">
        <v>151</v>
      </c>
      <c r="B234">
        <v>700</v>
      </c>
      <c r="C234" t="s">
        <v>24</v>
      </c>
      <c r="D234">
        <v>2640</v>
      </c>
      <c r="E234" t="s">
        <v>431</v>
      </c>
      <c r="F234" s="4">
        <v>0</v>
      </c>
      <c r="G234" s="4">
        <v>4941</v>
      </c>
      <c r="H234" s="4">
        <v>923</v>
      </c>
      <c r="I234" s="4">
        <v>4018</v>
      </c>
      <c r="J234" s="4">
        <v>4941</v>
      </c>
    </row>
    <row r="235" spans="1:10" x14ac:dyDescent="0.75">
      <c r="A235" t="s">
        <v>151</v>
      </c>
      <c r="B235">
        <v>700</v>
      </c>
      <c r="C235" t="s">
        <v>24</v>
      </c>
      <c r="D235">
        <v>3283</v>
      </c>
      <c r="E235" t="s">
        <v>441</v>
      </c>
      <c r="F235" s="4">
        <v>0</v>
      </c>
      <c r="G235" s="4">
        <v>4748</v>
      </c>
      <c r="H235" s="4">
        <v>3825</v>
      </c>
      <c r="I235" s="4">
        <v>923</v>
      </c>
      <c r="J235" s="4">
        <v>4748</v>
      </c>
    </row>
    <row r="236" spans="1:10" x14ac:dyDescent="0.75">
      <c r="A236" t="s">
        <v>151</v>
      </c>
      <c r="B236">
        <v>700</v>
      </c>
      <c r="C236" t="s">
        <v>24</v>
      </c>
      <c r="D236">
        <v>5110</v>
      </c>
      <c r="E236" t="s">
        <v>460</v>
      </c>
      <c r="F236" s="4">
        <v>0</v>
      </c>
      <c r="G236" s="4">
        <v>3936</v>
      </c>
      <c r="H236" s="4">
        <v>3755</v>
      </c>
      <c r="I236" s="4">
        <v>181</v>
      </c>
      <c r="J236" s="4">
        <v>3936</v>
      </c>
    </row>
    <row r="237" spans="1:10" x14ac:dyDescent="0.75">
      <c r="A237" t="s">
        <v>151</v>
      </c>
      <c r="B237">
        <v>700</v>
      </c>
      <c r="C237" t="s">
        <v>24</v>
      </c>
      <c r="D237">
        <v>6893</v>
      </c>
      <c r="E237" t="s">
        <v>496</v>
      </c>
      <c r="F237" s="4">
        <v>0</v>
      </c>
      <c r="G237" s="4">
        <v>3632</v>
      </c>
      <c r="H237" s="4">
        <v>2169</v>
      </c>
      <c r="I237" s="4">
        <v>1463</v>
      </c>
      <c r="J237" s="4">
        <v>3632</v>
      </c>
    </row>
    <row r="238" spans="1:10" x14ac:dyDescent="0.75">
      <c r="A238" t="s">
        <v>151</v>
      </c>
      <c r="B238">
        <v>700</v>
      </c>
      <c r="C238" t="s">
        <v>24</v>
      </c>
      <c r="D238">
        <v>6899</v>
      </c>
      <c r="E238" t="s">
        <v>498</v>
      </c>
      <c r="F238" s="4">
        <v>0</v>
      </c>
      <c r="G238" s="4">
        <v>3473</v>
      </c>
      <c r="H238" s="4">
        <v>2798</v>
      </c>
      <c r="I238" s="4">
        <v>675</v>
      </c>
      <c r="J238" s="4">
        <v>3473</v>
      </c>
    </row>
    <row r="239" spans="1:10" x14ac:dyDescent="0.75">
      <c r="A239" t="s">
        <v>151</v>
      </c>
      <c r="B239">
        <v>700</v>
      </c>
      <c r="C239" t="s">
        <v>24</v>
      </c>
      <c r="D239">
        <v>7230</v>
      </c>
      <c r="E239" t="s">
        <v>387</v>
      </c>
      <c r="F239" s="4">
        <v>0</v>
      </c>
      <c r="G239" s="4">
        <v>3407</v>
      </c>
      <c r="H239" s="4">
        <v>2902</v>
      </c>
      <c r="I239" s="4">
        <v>505</v>
      </c>
      <c r="J239" s="4">
        <v>3407</v>
      </c>
    </row>
    <row r="240" spans="1:10" x14ac:dyDescent="0.75">
      <c r="A240" t="s">
        <v>151</v>
      </c>
      <c r="B240">
        <v>700</v>
      </c>
      <c r="C240" t="s">
        <v>24</v>
      </c>
      <c r="D240">
        <v>7300</v>
      </c>
      <c r="E240" t="s">
        <v>501</v>
      </c>
      <c r="F240" s="4">
        <v>0</v>
      </c>
      <c r="G240" s="4">
        <v>2645</v>
      </c>
      <c r="H240" s="4">
        <v>2199</v>
      </c>
      <c r="I240" s="4">
        <v>446</v>
      </c>
      <c r="J240" s="4">
        <v>2645</v>
      </c>
    </row>
    <row r="241" spans="1:10" x14ac:dyDescent="0.75">
      <c r="A241" t="s">
        <v>151</v>
      </c>
      <c r="B241">
        <v>700</v>
      </c>
      <c r="C241" t="s">
        <v>24</v>
      </c>
      <c r="D241">
        <v>3297</v>
      </c>
      <c r="E241" t="s">
        <v>446</v>
      </c>
      <c r="F241" s="4">
        <v>0</v>
      </c>
      <c r="G241" s="4">
        <v>2619</v>
      </c>
      <c r="H241" s="4">
        <v>270</v>
      </c>
      <c r="I241" s="4">
        <v>2349</v>
      </c>
      <c r="J241" s="4">
        <v>2619</v>
      </c>
    </row>
    <row r="242" spans="1:10" x14ac:dyDescent="0.75">
      <c r="A242" t="s">
        <v>151</v>
      </c>
      <c r="B242">
        <v>700</v>
      </c>
      <c r="C242" t="s">
        <v>24</v>
      </c>
      <c r="D242">
        <v>3291</v>
      </c>
      <c r="E242" t="s">
        <v>444</v>
      </c>
      <c r="F242" s="4">
        <v>0</v>
      </c>
      <c r="G242" s="4">
        <v>2185</v>
      </c>
      <c r="H242" s="4">
        <v>1093</v>
      </c>
      <c r="I242" s="4">
        <v>1092</v>
      </c>
      <c r="J242" s="4">
        <v>2185</v>
      </c>
    </row>
    <row r="243" spans="1:10" x14ac:dyDescent="0.75">
      <c r="A243" t="s">
        <v>151</v>
      </c>
      <c r="B243">
        <v>700</v>
      </c>
      <c r="C243" t="s">
        <v>24</v>
      </c>
      <c r="D243">
        <v>6746</v>
      </c>
      <c r="E243" t="s">
        <v>477</v>
      </c>
      <c r="F243" s="4">
        <v>0</v>
      </c>
      <c r="G243" s="4">
        <v>2094</v>
      </c>
      <c r="H243" s="4">
        <v>1809</v>
      </c>
      <c r="I243" s="4">
        <v>285</v>
      </c>
      <c r="J243" s="4">
        <v>2094</v>
      </c>
    </row>
    <row r="244" spans="1:10" x14ac:dyDescent="0.75">
      <c r="A244" t="s">
        <v>151</v>
      </c>
      <c r="B244">
        <v>700</v>
      </c>
      <c r="C244" t="s">
        <v>24</v>
      </c>
      <c r="D244">
        <v>6817</v>
      </c>
      <c r="E244" t="s">
        <v>481</v>
      </c>
      <c r="F244" s="4">
        <v>0</v>
      </c>
      <c r="G244" s="4">
        <v>1335</v>
      </c>
      <c r="H244" s="4">
        <v>446</v>
      </c>
      <c r="I244" s="4">
        <v>889</v>
      </c>
      <c r="J244" s="4">
        <v>1335</v>
      </c>
    </row>
    <row r="245" spans="1:10" x14ac:dyDescent="0.75">
      <c r="A245" t="s">
        <v>151</v>
      </c>
      <c r="B245">
        <v>700</v>
      </c>
      <c r="C245" t="s">
        <v>24</v>
      </c>
      <c r="D245">
        <v>1200</v>
      </c>
      <c r="E245" t="s">
        <v>402</v>
      </c>
      <c r="F245" s="4">
        <v>0</v>
      </c>
      <c r="G245" s="4">
        <v>1331</v>
      </c>
      <c r="H245" s="4">
        <v>1243</v>
      </c>
      <c r="I245" s="4">
        <v>88</v>
      </c>
      <c r="J245" s="4">
        <v>1331</v>
      </c>
    </row>
    <row r="246" spans="1:10" x14ac:dyDescent="0.75">
      <c r="A246" t="s">
        <v>151</v>
      </c>
      <c r="B246">
        <v>700</v>
      </c>
      <c r="C246" t="s">
        <v>24</v>
      </c>
      <c r="D246">
        <v>6894</v>
      </c>
      <c r="E246" t="s">
        <v>497</v>
      </c>
      <c r="F246" s="4">
        <v>0</v>
      </c>
      <c r="G246" s="4">
        <v>1069</v>
      </c>
      <c r="H246" s="4">
        <v>1069</v>
      </c>
      <c r="I246" s="4">
        <v>0</v>
      </c>
      <c r="J246" s="4">
        <v>1069</v>
      </c>
    </row>
    <row r="247" spans="1:10" x14ac:dyDescent="0.75">
      <c r="A247" t="s">
        <v>151</v>
      </c>
      <c r="B247">
        <v>700</v>
      </c>
      <c r="C247" t="s">
        <v>24</v>
      </c>
      <c r="D247">
        <v>6521</v>
      </c>
      <c r="E247" t="s">
        <v>476</v>
      </c>
      <c r="F247" s="4">
        <v>0</v>
      </c>
      <c r="G247" s="4">
        <v>1012</v>
      </c>
      <c r="H247" s="4">
        <v>949</v>
      </c>
      <c r="I247" s="4">
        <v>63</v>
      </c>
      <c r="J247" s="4">
        <v>1012</v>
      </c>
    </row>
    <row r="248" spans="1:10" x14ac:dyDescent="0.75">
      <c r="A248" t="s">
        <v>151</v>
      </c>
      <c r="B248">
        <v>700</v>
      </c>
      <c r="C248" t="s">
        <v>24</v>
      </c>
      <c r="D248">
        <v>3293</v>
      </c>
      <c r="E248" t="s">
        <v>445</v>
      </c>
      <c r="F248" s="4">
        <v>501</v>
      </c>
      <c r="G248" s="4">
        <v>499</v>
      </c>
      <c r="H248" s="4">
        <v>338</v>
      </c>
      <c r="I248" s="4">
        <v>161</v>
      </c>
      <c r="J248" s="4">
        <v>1000</v>
      </c>
    </row>
    <row r="249" spans="1:10" x14ac:dyDescent="0.75">
      <c r="A249" t="s">
        <v>151</v>
      </c>
      <c r="B249">
        <v>700</v>
      </c>
      <c r="C249" t="s">
        <v>24</v>
      </c>
      <c r="D249">
        <v>3298</v>
      </c>
      <c r="E249" t="s">
        <v>447</v>
      </c>
      <c r="F249" s="4">
        <v>0</v>
      </c>
      <c r="G249" s="4">
        <v>898</v>
      </c>
      <c r="H249" s="4">
        <v>359</v>
      </c>
      <c r="I249" s="4">
        <v>539</v>
      </c>
      <c r="J249" s="4">
        <v>898</v>
      </c>
    </row>
    <row r="250" spans="1:10" x14ac:dyDescent="0.75">
      <c r="A250" t="s">
        <v>151</v>
      </c>
      <c r="B250">
        <v>700</v>
      </c>
      <c r="C250" t="s">
        <v>24</v>
      </c>
      <c r="D250">
        <v>3211</v>
      </c>
      <c r="E250" t="s">
        <v>433</v>
      </c>
      <c r="F250" s="4">
        <v>0</v>
      </c>
      <c r="G250" s="4">
        <v>718</v>
      </c>
      <c r="H250" s="4">
        <v>477</v>
      </c>
      <c r="I250" s="4">
        <v>241</v>
      </c>
      <c r="J250" s="4">
        <v>718</v>
      </c>
    </row>
    <row r="251" spans="1:10" x14ac:dyDescent="0.75">
      <c r="A251" t="s">
        <v>151</v>
      </c>
      <c r="B251">
        <v>700</v>
      </c>
      <c r="C251" t="s">
        <v>24</v>
      </c>
      <c r="D251">
        <v>4322</v>
      </c>
      <c r="E251" t="s">
        <v>398</v>
      </c>
      <c r="F251" s="4">
        <v>0</v>
      </c>
      <c r="G251" s="4">
        <v>552</v>
      </c>
      <c r="H251" s="4">
        <v>362</v>
      </c>
      <c r="I251" s="4">
        <v>190</v>
      </c>
      <c r="J251" s="4">
        <v>552</v>
      </c>
    </row>
    <row r="252" spans="1:10" x14ac:dyDescent="0.75">
      <c r="A252" t="s">
        <v>151</v>
      </c>
      <c r="B252">
        <v>700</v>
      </c>
      <c r="C252" t="s">
        <v>24</v>
      </c>
      <c r="D252">
        <v>4161</v>
      </c>
      <c r="E252" t="s">
        <v>421</v>
      </c>
      <c r="F252" s="4">
        <v>0</v>
      </c>
      <c r="G252" s="4">
        <v>502</v>
      </c>
      <c r="H252" s="4">
        <v>457</v>
      </c>
      <c r="I252" s="4">
        <v>45</v>
      </c>
      <c r="J252" s="4">
        <v>502</v>
      </c>
    </row>
    <row r="253" spans="1:10" x14ac:dyDescent="0.75">
      <c r="A253" t="s">
        <v>151</v>
      </c>
      <c r="B253">
        <v>700</v>
      </c>
      <c r="C253" t="s">
        <v>24</v>
      </c>
      <c r="D253">
        <v>3281</v>
      </c>
      <c r="E253" t="s">
        <v>439</v>
      </c>
      <c r="F253" s="4">
        <v>0</v>
      </c>
      <c r="G253" s="4">
        <v>437</v>
      </c>
      <c r="H253" s="4">
        <v>437</v>
      </c>
      <c r="I253" s="4">
        <v>0</v>
      </c>
      <c r="J253" s="4">
        <v>437</v>
      </c>
    </row>
    <row r="254" spans="1:10" x14ac:dyDescent="0.75">
      <c r="A254" t="s">
        <v>151</v>
      </c>
      <c r="B254">
        <v>700</v>
      </c>
      <c r="C254" t="s">
        <v>24</v>
      </c>
      <c r="D254">
        <v>4410</v>
      </c>
      <c r="E254" t="s">
        <v>399</v>
      </c>
      <c r="F254" s="4">
        <v>0</v>
      </c>
      <c r="G254" s="4">
        <v>384</v>
      </c>
      <c r="H254" s="4">
        <v>384</v>
      </c>
      <c r="I254" s="4">
        <v>0</v>
      </c>
      <c r="J254" s="4">
        <v>384</v>
      </c>
    </row>
    <row r="255" spans="1:10" x14ac:dyDescent="0.75">
      <c r="A255" t="s">
        <v>151</v>
      </c>
      <c r="B255">
        <v>700</v>
      </c>
      <c r="C255" t="s">
        <v>24</v>
      </c>
      <c r="D255">
        <v>6856</v>
      </c>
      <c r="E255" t="s">
        <v>486</v>
      </c>
      <c r="F255" s="4">
        <v>0</v>
      </c>
      <c r="G255" s="4">
        <v>370</v>
      </c>
      <c r="H255" s="4">
        <v>370</v>
      </c>
      <c r="I255" s="4">
        <v>0</v>
      </c>
      <c r="J255" s="4">
        <v>370</v>
      </c>
    </row>
    <row r="256" spans="1:10" x14ac:dyDescent="0.75">
      <c r="A256" t="s">
        <v>151</v>
      </c>
      <c r="B256">
        <v>700</v>
      </c>
      <c r="C256" t="s">
        <v>24</v>
      </c>
      <c r="D256">
        <v>4630</v>
      </c>
      <c r="E256" t="s">
        <v>456</v>
      </c>
      <c r="F256" s="4">
        <v>0</v>
      </c>
      <c r="G256" s="4">
        <v>269</v>
      </c>
      <c r="H256" s="4">
        <v>249</v>
      </c>
      <c r="I256" s="4">
        <v>20</v>
      </c>
      <c r="J256" s="4">
        <v>269</v>
      </c>
    </row>
    <row r="257" spans="1:10" x14ac:dyDescent="0.75">
      <c r="A257" t="s">
        <v>151</v>
      </c>
      <c r="B257">
        <v>700</v>
      </c>
      <c r="C257" t="s">
        <v>24</v>
      </c>
      <c r="D257">
        <v>6781</v>
      </c>
      <c r="E257" t="s">
        <v>479</v>
      </c>
      <c r="F257" s="4">
        <v>0</v>
      </c>
      <c r="G257" s="4">
        <v>187</v>
      </c>
      <c r="H257" s="4">
        <v>133</v>
      </c>
      <c r="I257" s="4">
        <v>54</v>
      </c>
      <c r="J257" s="4">
        <v>187</v>
      </c>
    </row>
    <row r="258" spans="1:10" x14ac:dyDescent="0.75">
      <c r="A258" t="s">
        <v>151</v>
      </c>
      <c r="B258">
        <v>700</v>
      </c>
      <c r="C258" t="s">
        <v>24</v>
      </c>
      <c r="D258">
        <v>4515</v>
      </c>
      <c r="E258" t="s">
        <v>455</v>
      </c>
      <c r="F258" s="4">
        <v>0</v>
      </c>
      <c r="G258" s="4">
        <v>145</v>
      </c>
      <c r="H258" s="4">
        <v>145</v>
      </c>
      <c r="I258" s="4">
        <v>0</v>
      </c>
      <c r="J258" s="4">
        <v>145</v>
      </c>
    </row>
    <row r="259" spans="1:10" x14ac:dyDescent="0.75">
      <c r="A259" t="s">
        <v>151</v>
      </c>
      <c r="B259">
        <v>700</v>
      </c>
      <c r="C259" t="s">
        <v>24</v>
      </c>
      <c r="D259">
        <v>3212</v>
      </c>
      <c r="E259" t="s">
        <v>409</v>
      </c>
      <c r="F259" s="4">
        <v>0</v>
      </c>
      <c r="G259" s="4">
        <v>131</v>
      </c>
      <c r="H259" s="4">
        <v>0</v>
      </c>
      <c r="I259" s="4">
        <v>131</v>
      </c>
      <c r="J259" s="4">
        <v>131</v>
      </c>
    </row>
    <row r="260" spans="1:10" x14ac:dyDescent="0.75">
      <c r="A260" t="s">
        <v>151</v>
      </c>
      <c r="B260">
        <v>700</v>
      </c>
      <c r="C260" t="s">
        <v>24</v>
      </c>
      <c r="D260">
        <v>5210</v>
      </c>
      <c r="E260" t="s">
        <v>463</v>
      </c>
      <c r="F260" s="4">
        <v>0</v>
      </c>
      <c r="G260" s="4">
        <v>106</v>
      </c>
      <c r="H260" s="4">
        <v>106</v>
      </c>
      <c r="I260" s="4">
        <v>0</v>
      </c>
      <c r="J260" s="4">
        <v>106</v>
      </c>
    </row>
    <row r="261" spans="1:10" x14ac:dyDescent="0.75">
      <c r="A261" t="s">
        <v>151</v>
      </c>
      <c r="B261">
        <v>700</v>
      </c>
      <c r="C261" t="s">
        <v>24</v>
      </c>
      <c r="D261">
        <v>6241</v>
      </c>
      <c r="E261" t="s">
        <v>391</v>
      </c>
      <c r="F261" s="4">
        <v>0</v>
      </c>
      <c r="G261" s="4">
        <v>99</v>
      </c>
      <c r="H261" s="4">
        <v>96</v>
      </c>
      <c r="I261" s="4">
        <v>3</v>
      </c>
      <c r="J261" s="4">
        <v>99</v>
      </c>
    </row>
    <row r="262" spans="1:10" x14ac:dyDescent="0.75">
      <c r="A262" t="s">
        <v>151</v>
      </c>
      <c r="B262">
        <v>700</v>
      </c>
      <c r="C262" t="s">
        <v>24</v>
      </c>
      <c r="D262">
        <v>2100</v>
      </c>
      <c r="E262" t="s">
        <v>403</v>
      </c>
      <c r="F262" s="4">
        <v>0</v>
      </c>
      <c r="G262" s="4">
        <v>87</v>
      </c>
      <c r="H262" s="4">
        <v>87</v>
      </c>
      <c r="I262" s="4">
        <v>0</v>
      </c>
      <c r="J262" s="4">
        <v>87</v>
      </c>
    </row>
    <row r="263" spans="1:10" x14ac:dyDescent="0.75">
      <c r="A263" t="s">
        <v>151</v>
      </c>
      <c r="B263">
        <v>700</v>
      </c>
      <c r="C263" t="s">
        <v>24</v>
      </c>
      <c r="D263">
        <v>4741</v>
      </c>
      <c r="E263" t="s">
        <v>425</v>
      </c>
      <c r="F263" s="4">
        <v>0</v>
      </c>
      <c r="G263" s="4">
        <v>84</v>
      </c>
      <c r="H263" s="4">
        <v>63</v>
      </c>
      <c r="I263" s="4">
        <v>21</v>
      </c>
      <c r="J263" s="4">
        <v>84</v>
      </c>
    </row>
    <row r="264" spans="1:10" x14ac:dyDescent="0.75">
      <c r="A264" t="s">
        <v>151</v>
      </c>
      <c r="B264">
        <v>700</v>
      </c>
      <c r="C264" t="s">
        <v>24</v>
      </c>
      <c r="D264">
        <v>6838</v>
      </c>
      <c r="E264" t="s">
        <v>484</v>
      </c>
      <c r="F264" s="4">
        <v>0</v>
      </c>
      <c r="G264" s="4">
        <v>74</v>
      </c>
      <c r="H264" s="4">
        <v>32</v>
      </c>
      <c r="I264" s="4">
        <v>42</v>
      </c>
      <c r="J264" s="4">
        <v>74</v>
      </c>
    </row>
    <row r="265" spans="1:10" x14ac:dyDescent="0.75">
      <c r="A265" t="s">
        <v>151</v>
      </c>
      <c r="B265">
        <v>700</v>
      </c>
      <c r="C265" t="s">
        <v>24</v>
      </c>
      <c r="D265">
        <v>6447</v>
      </c>
      <c r="E265" t="s">
        <v>475</v>
      </c>
      <c r="F265" s="4">
        <v>0</v>
      </c>
      <c r="G265" s="4">
        <v>51</v>
      </c>
      <c r="H265" s="4">
        <v>45</v>
      </c>
      <c r="I265" s="4">
        <v>6</v>
      </c>
      <c r="J265" s="4">
        <v>51</v>
      </c>
    </row>
    <row r="266" spans="1:10" x14ac:dyDescent="0.75">
      <c r="A266" t="s">
        <v>151</v>
      </c>
      <c r="B266">
        <v>700</v>
      </c>
      <c r="C266" t="s">
        <v>24</v>
      </c>
      <c r="D266">
        <v>3273</v>
      </c>
      <c r="E266" t="s">
        <v>411</v>
      </c>
      <c r="F266" s="4">
        <v>0</v>
      </c>
      <c r="G266" s="4">
        <v>37</v>
      </c>
      <c r="H266" s="4">
        <v>0</v>
      </c>
      <c r="I266" s="4">
        <v>37</v>
      </c>
      <c r="J266" s="4">
        <v>37</v>
      </c>
    </row>
    <row r="267" spans="1:10" x14ac:dyDescent="0.75">
      <c r="A267" t="s">
        <v>151</v>
      </c>
      <c r="B267">
        <v>700</v>
      </c>
      <c r="C267" t="s">
        <v>24</v>
      </c>
      <c r="D267">
        <v>3271</v>
      </c>
      <c r="E267" t="s">
        <v>437</v>
      </c>
      <c r="F267" s="4">
        <v>0</v>
      </c>
      <c r="G267" s="4">
        <v>36</v>
      </c>
      <c r="H267" s="4">
        <v>36</v>
      </c>
      <c r="I267" s="4">
        <v>0</v>
      </c>
      <c r="J267" s="4">
        <v>36</v>
      </c>
    </row>
    <row r="268" spans="1:10" x14ac:dyDescent="0.75">
      <c r="A268" t="s">
        <v>151</v>
      </c>
      <c r="B268">
        <v>700</v>
      </c>
      <c r="C268" t="s">
        <v>24</v>
      </c>
      <c r="D268">
        <v>4327</v>
      </c>
      <c r="E268" t="s">
        <v>454</v>
      </c>
      <c r="F268" s="4">
        <v>0</v>
      </c>
      <c r="G268" s="4">
        <v>21</v>
      </c>
      <c r="H268" s="4">
        <v>21</v>
      </c>
      <c r="I268" s="4">
        <v>0</v>
      </c>
      <c r="J268" s="4">
        <v>21</v>
      </c>
    </row>
    <row r="269" spans="1:10" x14ac:dyDescent="0.75">
      <c r="A269" t="s">
        <v>151</v>
      </c>
      <c r="B269">
        <v>700</v>
      </c>
      <c r="C269" t="s">
        <v>24</v>
      </c>
      <c r="D269">
        <v>6443</v>
      </c>
      <c r="E269" t="s">
        <v>473</v>
      </c>
      <c r="F269" s="4">
        <v>0</v>
      </c>
      <c r="G269" s="4">
        <v>17</v>
      </c>
      <c r="H269" s="4">
        <v>0</v>
      </c>
      <c r="I269" s="4">
        <v>17</v>
      </c>
      <c r="J269" s="4">
        <v>17</v>
      </c>
    </row>
    <row r="270" spans="1:10" x14ac:dyDescent="0.75">
      <c r="A270" t="s">
        <v>151</v>
      </c>
      <c r="B270">
        <v>700</v>
      </c>
      <c r="C270" t="s">
        <v>24</v>
      </c>
      <c r="D270">
        <v>6445</v>
      </c>
      <c r="E270" t="s">
        <v>474</v>
      </c>
      <c r="F270" s="4">
        <v>0</v>
      </c>
      <c r="G270" s="4">
        <v>16</v>
      </c>
      <c r="H270" s="4">
        <v>0</v>
      </c>
      <c r="I270" s="4">
        <v>16</v>
      </c>
      <c r="J270" s="4">
        <v>16</v>
      </c>
    </row>
    <row r="271" spans="1:10" x14ac:dyDescent="0.75">
      <c r="A271" t="s">
        <v>160</v>
      </c>
      <c r="B271">
        <v>3867</v>
      </c>
      <c r="C271" t="s">
        <v>334</v>
      </c>
      <c r="D271">
        <v>7900</v>
      </c>
      <c r="E271" t="s">
        <v>388</v>
      </c>
      <c r="F271" s="4">
        <v>13148</v>
      </c>
      <c r="G271" s="4">
        <v>0</v>
      </c>
      <c r="H271" s="4">
        <v>0</v>
      </c>
      <c r="I271" s="4">
        <v>0</v>
      </c>
      <c r="J271" s="4">
        <v>13148</v>
      </c>
    </row>
    <row r="272" spans="1:10" x14ac:dyDescent="0.75">
      <c r="A272" t="s">
        <v>160</v>
      </c>
      <c r="B272">
        <v>3867</v>
      </c>
      <c r="C272" t="s">
        <v>334</v>
      </c>
      <c r="D272">
        <v>2640</v>
      </c>
      <c r="E272" t="s">
        <v>431</v>
      </c>
      <c r="F272" s="4">
        <v>685</v>
      </c>
      <c r="G272" s="4">
        <v>0</v>
      </c>
      <c r="H272" s="4">
        <v>0</v>
      </c>
      <c r="I272" s="4">
        <v>0</v>
      </c>
      <c r="J272" s="4">
        <v>685</v>
      </c>
    </row>
    <row r="273" spans="1:10" x14ac:dyDescent="0.75">
      <c r="A273" t="s">
        <v>160</v>
      </c>
      <c r="B273">
        <v>3867</v>
      </c>
      <c r="C273" t="s">
        <v>334</v>
      </c>
      <c r="D273">
        <v>2211</v>
      </c>
      <c r="E273" t="s">
        <v>367</v>
      </c>
      <c r="F273" s="4">
        <v>358</v>
      </c>
      <c r="G273" s="4">
        <v>0</v>
      </c>
      <c r="H273" s="4">
        <v>0</v>
      </c>
      <c r="I273" s="4">
        <v>0</v>
      </c>
      <c r="J273" s="4">
        <v>358</v>
      </c>
    </row>
    <row r="274" spans="1:10" x14ac:dyDescent="0.75">
      <c r="A274" t="s">
        <v>160</v>
      </c>
      <c r="B274">
        <v>3867</v>
      </c>
      <c r="C274" t="s">
        <v>334</v>
      </c>
      <c r="D274">
        <v>2330</v>
      </c>
      <c r="E274" t="s">
        <v>368</v>
      </c>
      <c r="F274" s="4">
        <v>59</v>
      </c>
      <c r="G274" s="4">
        <v>0</v>
      </c>
      <c r="H274" s="4">
        <v>0</v>
      </c>
      <c r="I274" s="4">
        <v>0</v>
      </c>
      <c r="J274" s="4">
        <v>59</v>
      </c>
    </row>
    <row r="275" spans="1:10" x14ac:dyDescent="0.75">
      <c r="A275" t="s">
        <v>160</v>
      </c>
      <c r="B275">
        <v>3867</v>
      </c>
      <c r="C275" t="s">
        <v>334</v>
      </c>
      <c r="D275">
        <v>4331</v>
      </c>
      <c r="E275" t="s">
        <v>390</v>
      </c>
      <c r="F275" s="4">
        <v>30</v>
      </c>
      <c r="G275" s="4">
        <v>0</v>
      </c>
      <c r="H275" s="4">
        <v>0</v>
      </c>
      <c r="I275" s="4">
        <v>0</v>
      </c>
      <c r="J275" s="4">
        <v>30</v>
      </c>
    </row>
    <row r="276" spans="1:10" x14ac:dyDescent="0.75">
      <c r="A276" t="s">
        <v>160</v>
      </c>
      <c r="B276">
        <v>3867</v>
      </c>
      <c r="C276" t="s">
        <v>334</v>
      </c>
      <c r="D276">
        <v>4189</v>
      </c>
      <c r="E276" t="s">
        <v>451</v>
      </c>
      <c r="F276" s="4">
        <v>2</v>
      </c>
      <c r="G276" s="4">
        <v>0</v>
      </c>
      <c r="H276" s="4">
        <v>0</v>
      </c>
      <c r="I276" s="4">
        <v>0</v>
      </c>
      <c r="J276" s="4">
        <v>2</v>
      </c>
    </row>
    <row r="277" spans="1:10" x14ac:dyDescent="0.75">
      <c r="A277" t="s">
        <v>151</v>
      </c>
      <c r="B277">
        <v>2393</v>
      </c>
      <c r="C277" t="s">
        <v>116</v>
      </c>
      <c r="D277">
        <v>2100</v>
      </c>
      <c r="E277" t="s">
        <v>403</v>
      </c>
      <c r="F277" s="4">
        <v>3927368</v>
      </c>
      <c r="G277" s="4">
        <v>26009547</v>
      </c>
      <c r="H277" s="4">
        <v>12461220</v>
      </c>
      <c r="I277" s="4">
        <v>13548327</v>
      </c>
      <c r="J277" s="4">
        <v>29936915</v>
      </c>
    </row>
    <row r="278" spans="1:10" x14ac:dyDescent="0.75">
      <c r="A278" t="s">
        <v>151</v>
      </c>
      <c r="B278">
        <v>2393</v>
      </c>
      <c r="C278" t="s">
        <v>116</v>
      </c>
      <c r="D278">
        <v>2640</v>
      </c>
      <c r="E278" t="s">
        <v>431</v>
      </c>
      <c r="F278" s="4">
        <v>90401</v>
      </c>
      <c r="G278" s="4">
        <v>13594075</v>
      </c>
      <c r="H278" s="4">
        <v>0</v>
      </c>
      <c r="I278" s="4">
        <v>13594075</v>
      </c>
      <c r="J278" s="4">
        <v>13684476</v>
      </c>
    </row>
    <row r="279" spans="1:10" x14ac:dyDescent="0.75">
      <c r="A279" t="s">
        <v>151</v>
      </c>
      <c r="B279">
        <v>2393</v>
      </c>
      <c r="C279" t="s">
        <v>116</v>
      </c>
      <c r="D279">
        <v>2211</v>
      </c>
      <c r="E279" t="s">
        <v>367</v>
      </c>
      <c r="F279" s="4">
        <v>3181515</v>
      </c>
      <c r="G279" s="4">
        <v>4888319</v>
      </c>
      <c r="H279" s="4">
        <v>1703</v>
      </c>
      <c r="I279" s="4">
        <v>4886616</v>
      </c>
      <c r="J279" s="4">
        <v>8069834</v>
      </c>
    </row>
    <row r="280" spans="1:10" x14ac:dyDescent="0.75">
      <c r="A280" t="s">
        <v>151</v>
      </c>
      <c r="B280">
        <v>2393</v>
      </c>
      <c r="C280" t="s">
        <v>116</v>
      </c>
      <c r="D280">
        <v>2330</v>
      </c>
      <c r="E280" t="s">
        <v>368</v>
      </c>
      <c r="F280" s="4">
        <v>2225455</v>
      </c>
      <c r="G280" s="4">
        <v>4085699</v>
      </c>
      <c r="H280" s="4">
        <v>1634977</v>
      </c>
      <c r="I280" s="4">
        <v>2450722</v>
      </c>
      <c r="J280" s="4">
        <v>6311154</v>
      </c>
    </row>
    <row r="281" spans="1:10" x14ac:dyDescent="0.75">
      <c r="A281" t="s">
        <v>151</v>
      </c>
      <c r="B281">
        <v>2393</v>
      </c>
      <c r="C281" t="s">
        <v>116</v>
      </c>
      <c r="D281">
        <v>2429</v>
      </c>
      <c r="E281" t="s">
        <v>375</v>
      </c>
      <c r="F281" s="4">
        <v>1229927</v>
      </c>
      <c r="G281" s="4">
        <v>2632524</v>
      </c>
      <c r="H281" s="4">
        <v>0</v>
      </c>
      <c r="I281" s="4">
        <v>2632524</v>
      </c>
      <c r="J281" s="4">
        <v>3862451</v>
      </c>
    </row>
    <row r="282" spans="1:10" x14ac:dyDescent="0.75">
      <c r="A282" t="s">
        <v>151</v>
      </c>
      <c r="B282">
        <v>2393</v>
      </c>
      <c r="C282" t="s">
        <v>116</v>
      </c>
      <c r="D282">
        <v>2430</v>
      </c>
      <c r="E282" t="s">
        <v>376</v>
      </c>
      <c r="F282" s="4">
        <v>1869141</v>
      </c>
      <c r="G282" s="4">
        <v>0</v>
      </c>
      <c r="H282" s="4">
        <v>0</v>
      </c>
      <c r="I282" s="4">
        <v>0</v>
      </c>
      <c r="J282" s="4">
        <v>1869141</v>
      </c>
    </row>
    <row r="283" spans="1:10" x14ac:dyDescent="0.75">
      <c r="A283" t="s">
        <v>151</v>
      </c>
      <c r="B283">
        <v>2393</v>
      </c>
      <c r="C283" t="s">
        <v>116</v>
      </c>
      <c r="D283">
        <v>2340</v>
      </c>
      <c r="E283" t="s">
        <v>369</v>
      </c>
      <c r="F283" s="4">
        <v>1154316</v>
      </c>
      <c r="G283" s="4">
        <v>701489</v>
      </c>
      <c r="H283" s="4">
        <v>701489</v>
      </c>
      <c r="I283" s="4">
        <v>0</v>
      </c>
      <c r="J283" s="4">
        <v>1855805</v>
      </c>
    </row>
    <row r="284" spans="1:10" x14ac:dyDescent="0.75">
      <c r="A284" t="s">
        <v>151</v>
      </c>
      <c r="B284">
        <v>2393</v>
      </c>
      <c r="C284" t="s">
        <v>116</v>
      </c>
      <c r="D284">
        <v>3220</v>
      </c>
      <c r="E284" t="s">
        <v>370</v>
      </c>
      <c r="F284" s="4">
        <v>1084968</v>
      </c>
      <c r="G284" s="4">
        <v>520586</v>
      </c>
      <c r="H284" s="4">
        <v>5521</v>
      </c>
      <c r="I284" s="4">
        <v>515065</v>
      </c>
      <c r="J284" s="4">
        <v>1605554</v>
      </c>
    </row>
    <row r="285" spans="1:10" x14ac:dyDescent="0.75">
      <c r="A285" t="s">
        <v>151</v>
      </c>
      <c r="B285">
        <v>2393</v>
      </c>
      <c r="C285" t="s">
        <v>116</v>
      </c>
      <c r="D285">
        <v>2540</v>
      </c>
      <c r="E285" t="s">
        <v>377</v>
      </c>
      <c r="F285" s="4">
        <v>7267</v>
      </c>
      <c r="G285" s="4">
        <v>867832</v>
      </c>
      <c r="H285" s="4">
        <v>24113</v>
      </c>
      <c r="I285" s="4">
        <v>843719</v>
      </c>
      <c r="J285" s="4">
        <v>875099</v>
      </c>
    </row>
    <row r="286" spans="1:10" x14ac:dyDescent="0.75">
      <c r="A286" t="s">
        <v>151</v>
      </c>
      <c r="B286">
        <v>2393</v>
      </c>
      <c r="C286" t="s">
        <v>116</v>
      </c>
      <c r="D286">
        <v>3212</v>
      </c>
      <c r="E286" t="s">
        <v>409</v>
      </c>
      <c r="F286" s="4">
        <v>728228</v>
      </c>
      <c r="G286" s="4">
        <v>0</v>
      </c>
      <c r="H286" s="4">
        <v>0</v>
      </c>
      <c r="I286" s="4">
        <v>0</v>
      </c>
      <c r="J286" s="4">
        <v>728228</v>
      </c>
    </row>
    <row r="287" spans="1:10" x14ac:dyDescent="0.75">
      <c r="A287" t="s">
        <v>151</v>
      </c>
      <c r="B287">
        <v>2393</v>
      </c>
      <c r="C287" t="s">
        <v>116</v>
      </c>
      <c r="D287">
        <v>4322</v>
      </c>
      <c r="E287" t="s">
        <v>398</v>
      </c>
      <c r="F287" s="4">
        <v>32933</v>
      </c>
      <c r="G287" s="4">
        <v>685330</v>
      </c>
      <c r="H287" s="4">
        <v>685330</v>
      </c>
      <c r="I287" s="4">
        <v>0</v>
      </c>
      <c r="J287" s="4">
        <v>718263</v>
      </c>
    </row>
    <row r="288" spans="1:10" x14ac:dyDescent="0.75">
      <c r="A288" t="s">
        <v>151</v>
      </c>
      <c r="B288">
        <v>2393</v>
      </c>
      <c r="C288" t="s">
        <v>116</v>
      </c>
      <c r="D288">
        <v>3273</v>
      </c>
      <c r="E288" t="s">
        <v>411</v>
      </c>
      <c r="F288" s="4">
        <v>410430</v>
      </c>
      <c r="G288" s="4">
        <v>178212</v>
      </c>
      <c r="H288" s="4">
        <v>128713</v>
      </c>
      <c r="I288" s="4">
        <v>49499</v>
      </c>
      <c r="J288" s="4">
        <v>588642</v>
      </c>
    </row>
    <row r="289" spans="1:10" x14ac:dyDescent="0.75">
      <c r="A289" t="s">
        <v>151</v>
      </c>
      <c r="B289">
        <v>2393</v>
      </c>
      <c r="C289" t="s">
        <v>116</v>
      </c>
      <c r="D289">
        <v>2990</v>
      </c>
      <c r="E289" t="s">
        <v>432</v>
      </c>
      <c r="F289" s="4">
        <v>571518</v>
      </c>
      <c r="G289" s="4">
        <v>1131</v>
      </c>
      <c r="H289" s="4">
        <v>1131</v>
      </c>
      <c r="I289" s="4">
        <v>0</v>
      </c>
      <c r="J289" s="4">
        <v>572649</v>
      </c>
    </row>
    <row r="290" spans="1:10" x14ac:dyDescent="0.75">
      <c r="A290" t="s">
        <v>151</v>
      </c>
      <c r="B290">
        <v>2393</v>
      </c>
      <c r="C290" t="s">
        <v>116</v>
      </c>
      <c r="D290">
        <v>2350</v>
      </c>
      <c r="E290" t="s">
        <v>404</v>
      </c>
      <c r="F290" s="4">
        <v>451216</v>
      </c>
      <c r="G290" s="4">
        <v>106825</v>
      </c>
      <c r="H290" s="4">
        <v>0</v>
      </c>
      <c r="I290" s="4">
        <v>106825</v>
      </c>
      <c r="J290" s="4">
        <v>558041</v>
      </c>
    </row>
    <row r="291" spans="1:10" x14ac:dyDescent="0.75">
      <c r="A291" t="s">
        <v>151</v>
      </c>
      <c r="B291">
        <v>2393</v>
      </c>
      <c r="C291" t="s">
        <v>116</v>
      </c>
      <c r="D291">
        <v>3219</v>
      </c>
      <c r="E291" t="s">
        <v>378</v>
      </c>
      <c r="F291" s="4">
        <v>38728</v>
      </c>
      <c r="G291" s="4">
        <v>353892</v>
      </c>
      <c r="H291" s="4">
        <v>0</v>
      </c>
      <c r="I291" s="4">
        <v>353892</v>
      </c>
      <c r="J291" s="4">
        <v>392620</v>
      </c>
    </row>
    <row r="292" spans="1:10" x14ac:dyDescent="0.75">
      <c r="A292" t="s">
        <v>151</v>
      </c>
      <c r="B292">
        <v>2393</v>
      </c>
      <c r="C292" t="s">
        <v>116</v>
      </c>
      <c r="D292">
        <v>3260</v>
      </c>
      <c r="E292" t="s">
        <v>436</v>
      </c>
      <c r="F292" s="4">
        <v>62947</v>
      </c>
      <c r="G292" s="4">
        <v>316526</v>
      </c>
      <c r="H292" s="4">
        <v>0</v>
      </c>
      <c r="I292" s="4">
        <v>316526</v>
      </c>
      <c r="J292" s="4">
        <v>379473</v>
      </c>
    </row>
    <row r="293" spans="1:10" x14ac:dyDescent="0.75">
      <c r="A293" t="s">
        <v>151</v>
      </c>
      <c r="B293">
        <v>2393</v>
      </c>
      <c r="C293" t="s">
        <v>116</v>
      </c>
      <c r="D293">
        <v>2221</v>
      </c>
      <c r="E293" t="s">
        <v>374</v>
      </c>
      <c r="F293" s="4">
        <v>98068</v>
      </c>
      <c r="G293" s="4">
        <v>275134</v>
      </c>
      <c r="H293" s="4">
        <v>0</v>
      </c>
      <c r="I293" s="4">
        <v>275134</v>
      </c>
      <c r="J293" s="4">
        <v>373202</v>
      </c>
    </row>
    <row r="294" spans="1:10" x14ac:dyDescent="0.75">
      <c r="A294" t="s">
        <v>151</v>
      </c>
      <c r="B294">
        <v>2393</v>
      </c>
      <c r="C294" t="s">
        <v>116</v>
      </c>
      <c r="D294">
        <v>3297</v>
      </c>
      <c r="E294" t="s">
        <v>446</v>
      </c>
      <c r="F294" s="4">
        <v>327192</v>
      </c>
      <c r="G294" s="4">
        <v>0</v>
      </c>
      <c r="H294" s="4">
        <v>0</v>
      </c>
      <c r="I294" s="4">
        <v>0</v>
      </c>
      <c r="J294" s="4">
        <v>327192</v>
      </c>
    </row>
    <row r="295" spans="1:10" x14ac:dyDescent="0.75">
      <c r="A295" t="s">
        <v>151</v>
      </c>
      <c r="B295">
        <v>2393</v>
      </c>
      <c r="C295" t="s">
        <v>116</v>
      </c>
      <c r="D295">
        <v>3211</v>
      </c>
      <c r="E295" t="s">
        <v>433</v>
      </c>
      <c r="F295" s="4">
        <v>247356</v>
      </c>
      <c r="G295" s="4">
        <v>71476</v>
      </c>
      <c r="H295" s="4">
        <v>11949</v>
      </c>
      <c r="I295" s="4">
        <v>59527</v>
      </c>
      <c r="J295" s="4">
        <v>318832</v>
      </c>
    </row>
    <row r="296" spans="1:10" x14ac:dyDescent="0.75">
      <c r="A296" t="s">
        <v>151</v>
      </c>
      <c r="B296">
        <v>2393</v>
      </c>
      <c r="C296" t="s">
        <v>116</v>
      </c>
      <c r="D296">
        <v>4331</v>
      </c>
      <c r="E296" t="s">
        <v>390</v>
      </c>
      <c r="F296" s="4">
        <v>0</v>
      </c>
      <c r="G296" s="4">
        <v>241126</v>
      </c>
      <c r="H296" s="4">
        <v>241126</v>
      </c>
      <c r="I296" s="4">
        <v>0</v>
      </c>
      <c r="J296" s="4">
        <v>241126</v>
      </c>
    </row>
    <row r="297" spans="1:10" x14ac:dyDescent="0.75">
      <c r="A297" t="s">
        <v>151</v>
      </c>
      <c r="B297">
        <v>2393</v>
      </c>
      <c r="C297" t="s">
        <v>116</v>
      </c>
      <c r="D297">
        <v>3272</v>
      </c>
      <c r="E297" t="s">
        <v>504</v>
      </c>
      <c r="F297" s="4">
        <v>67000</v>
      </c>
      <c r="G297" s="4">
        <v>158524</v>
      </c>
      <c r="H297" s="4">
        <v>146003</v>
      </c>
      <c r="I297" s="4">
        <v>12521</v>
      </c>
      <c r="J297" s="4">
        <v>225524</v>
      </c>
    </row>
    <row r="298" spans="1:10" x14ac:dyDescent="0.75">
      <c r="A298" t="s">
        <v>151</v>
      </c>
      <c r="B298">
        <v>2393</v>
      </c>
      <c r="C298" t="s">
        <v>116</v>
      </c>
      <c r="D298">
        <v>4225</v>
      </c>
      <c r="E298" t="s">
        <v>380</v>
      </c>
      <c r="F298" s="4">
        <v>0</v>
      </c>
      <c r="G298" s="4">
        <v>205859</v>
      </c>
      <c r="H298" s="4">
        <v>205859</v>
      </c>
      <c r="I298" s="4">
        <v>0</v>
      </c>
      <c r="J298" s="4">
        <v>205859</v>
      </c>
    </row>
    <row r="299" spans="1:10" x14ac:dyDescent="0.75">
      <c r="A299" t="s">
        <v>151</v>
      </c>
      <c r="B299">
        <v>2393</v>
      </c>
      <c r="C299" t="s">
        <v>116</v>
      </c>
      <c r="D299">
        <v>4741</v>
      </c>
      <c r="E299" t="s">
        <v>425</v>
      </c>
      <c r="F299" s="4">
        <v>0</v>
      </c>
      <c r="G299" s="4">
        <v>193157</v>
      </c>
      <c r="H299" s="4">
        <v>0</v>
      </c>
      <c r="I299" s="4">
        <v>193157</v>
      </c>
      <c r="J299" s="4">
        <v>193157</v>
      </c>
    </row>
    <row r="300" spans="1:10" x14ac:dyDescent="0.75">
      <c r="A300" t="s">
        <v>151</v>
      </c>
      <c r="B300">
        <v>2393</v>
      </c>
      <c r="C300" t="s">
        <v>116</v>
      </c>
      <c r="D300">
        <v>3240</v>
      </c>
      <c r="E300" t="s">
        <v>410</v>
      </c>
      <c r="F300" s="4">
        <v>145897</v>
      </c>
      <c r="G300" s="4">
        <v>0</v>
      </c>
      <c r="H300" s="4">
        <v>0</v>
      </c>
      <c r="I300" s="4">
        <v>0</v>
      </c>
      <c r="J300" s="4">
        <v>145897</v>
      </c>
    </row>
    <row r="301" spans="1:10" x14ac:dyDescent="0.75">
      <c r="A301" t="s">
        <v>151</v>
      </c>
      <c r="B301">
        <v>2393</v>
      </c>
      <c r="C301" t="s">
        <v>116</v>
      </c>
      <c r="D301">
        <v>3274</v>
      </c>
      <c r="E301" t="s">
        <v>438</v>
      </c>
      <c r="F301" s="4">
        <v>126449</v>
      </c>
      <c r="G301" s="4">
        <v>0</v>
      </c>
      <c r="H301" s="4">
        <v>0</v>
      </c>
      <c r="I301" s="4">
        <v>0</v>
      </c>
      <c r="J301" s="4">
        <v>126449</v>
      </c>
    </row>
    <row r="302" spans="1:10" x14ac:dyDescent="0.75">
      <c r="A302" t="s">
        <v>151</v>
      </c>
      <c r="B302">
        <v>2393</v>
      </c>
      <c r="C302" t="s">
        <v>116</v>
      </c>
      <c r="D302">
        <v>3110</v>
      </c>
      <c r="E302" t="s">
        <v>405</v>
      </c>
      <c r="F302" s="4">
        <v>56372</v>
      </c>
      <c r="G302" s="4">
        <v>0</v>
      </c>
      <c r="H302" s="4">
        <v>0</v>
      </c>
      <c r="I302" s="4">
        <v>0</v>
      </c>
      <c r="J302" s="4">
        <v>56372</v>
      </c>
    </row>
    <row r="303" spans="1:10" x14ac:dyDescent="0.75">
      <c r="A303" t="s">
        <v>151</v>
      </c>
      <c r="B303">
        <v>2393</v>
      </c>
      <c r="C303" t="s">
        <v>116</v>
      </c>
      <c r="D303">
        <v>3271</v>
      </c>
      <c r="E303" t="s">
        <v>437</v>
      </c>
      <c r="F303" s="4">
        <v>48941</v>
      </c>
      <c r="G303" s="4">
        <v>0</v>
      </c>
      <c r="H303" s="4">
        <v>0</v>
      </c>
      <c r="I303" s="4">
        <v>0</v>
      </c>
      <c r="J303" s="4">
        <v>48941</v>
      </c>
    </row>
    <row r="304" spans="1:10" x14ac:dyDescent="0.75">
      <c r="A304" t="s">
        <v>151</v>
      </c>
      <c r="B304">
        <v>2393</v>
      </c>
      <c r="C304" t="s">
        <v>116</v>
      </c>
      <c r="D304">
        <v>9900</v>
      </c>
      <c r="E304" t="s">
        <v>389</v>
      </c>
      <c r="F304" s="4">
        <v>0</v>
      </c>
      <c r="G304" s="4">
        <v>38762</v>
      </c>
      <c r="H304" s="4">
        <v>5</v>
      </c>
      <c r="I304" s="4">
        <v>38757</v>
      </c>
      <c r="J304" s="4">
        <v>38762</v>
      </c>
    </row>
    <row r="305" spans="1:10" x14ac:dyDescent="0.75">
      <c r="A305" t="s">
        <v>151</v>
      </c>
      <c r="B305">
        <v>2393</v>
      </c>
      <c r="C305" t="s">
        <v>116</v>
      </c>
      <c r="D305">
        <v>7900</v>
      </c>
      <c r="E305" t="s">
        <v>388</v>
      </c>
      <c r="F305" s="4">
        <v>470</v>
      </c>
      <c r="G305" s="4">
        <v>37097</v>
      </c>
      <c r="H305" s="4">
        <v>33690</v>
      </c>
      <c r="I305" s="4">
        <v>3407</v>
      </c>
      <c r="J305" s="4">
        <v>37567</v>
      </c>
    </row>
    <row r="306" spans="1:10" x14ac:dyDescent="0.75">
      <c r="A306" t="s">
        <v>151</v>
      </c>
      <c r="B306">
        <v>2393</v>
      </c>
      <c r="C306" t="s">
        <v>116</v>
      </c>
      <c r="D306">
        <v>3276</v>
      </c>
      <c r="E306" t="s">
        <v>379</v>
      </c>
      <c r="F306" s="4">
        <v>14310</v>
      </c>
      <c r="G306" s="4">
        <v>20764</v>
      </c>
      <c r="H306" s="4">
        <v>0</v>
      </c>
      <c r="I306" s="4">
        <v>20764</v>
      </c>
      <c r="J306" s="4">
        <v>35074</v>
      </c>
    </row>
    <row r="307" spans="1:10" x14ac:dyDescent="0.75">
      <c r="A307" t="s">
        <v>151</v>
      </c>
      <c r="B307">
        <v>2393</v>
      </c>
      <c r="C307" t="s">
        <v>116</v>
      </c>
      <c r="D307">
        <v>7500</v>
      </c>
      <c r="E307" t="s">
        <v>427</v>
      </c>
      <c r="F307" s="4">
        <v>0</v>
      </c>
      <c r="G307" s="4">
        <v>33087</v>
      </c>
      <c r="H307" s="4">
        <v>18</v>
      </c>
      <c r="I307" s="4">
        <v>33069</v>
      </c>
      <c r="J307" s="4">
        <v>33087</v>
      </c>
    </row>
    <row r="308" spans="1:10" x14ac:dyDescent="0.75">
      <c r="A308" t="s">
        <v>151</v>
      </c>
      <c r="B308">
        <v>2393</v>
      </c>
      <c r="C308" t="s">
        <v>116</v>
      </c>
      <c r="D308">
        <v>7110</v>
      </c>
      <c r="E308" t="s">
        <v>371</v>
      </c>
      <c r="F308" s="4">
        <v>10215</v>
      </c>
      <c r="G308" s="4">
        <v>22709</v>
      </c>
      <c r="H308" s="4">
        <v>20240</v>
      </c>
      <c r="I308" s="4">
        <v>2469</v>
      </c>
      <c r="J308" s="4">
        <v>32924</v>
      </c>
    </row>
    <row r="309" spans="1:10" x14ac:dyDescent="0.75">
      <c r="A309" t="s">
        <v>151</v>
      </c>
      <c r="B309">
        <v>2393</v>
      </c>
      <c r="C309" t="s">
        <v>116</v>
      </c>
      <c r="D309">
        <v>5422</v>
      </c>
      <c r="E309" t="s">
        <v>468</v>
      </c>
      <c r="F309" s="4">
        <v>0</v>
      </c>
      <c r="G309" s="4">
        <v>27387</v>
      </c>
      <c r="H309" s="4">
        <v>27387</v>
      </c>
      <c r="I309" s="4">
        <v>0</v>
      </c>
      <c r="J309" s="4">
        <v>27387</v>
      </c>
    </row>
    <row r="310" spans="1:10" x14ac:dyDescent="0.75">
      <c r="A310" t="s">
        <v>151</v>
      </c>
      <c r="B310">
        <v>2393</v>
      </c>
      <c r="C310" t="s">
        <v>116</v>
      </c>
      <c r="D310">
        <v>3230</v>
      </c>
      <c r="E310" t="s">
        <v>434</v>
      </c>
      <c r="F310" s="4">
        <v>20190</v>
      </c>
      <c r="G310" s="4">
        <v>0</v>
      </c>
      <c r="H310" s="4">
        <v>0</v>
      </c>
      <c r="I310" s="4">
        <v>0</v>
      </c>
      <c r="J310" s="4">
        <v>20190</v>
      </c>
    </row>
    <row r="311" spans="1:10" x14ac:dyDescent="0.75">
      <c r="A311" t="s">
        <v>151</v>
      </c>
      <c r="B311">
        <v>2393</v>
      </c>
      <c r="C311" t="s">
        <v>116</v>
      </c>
      <c r="D311">
        <v>6653</v>
      </c>
      <c r="E311" t="s">
        <v>395</v>
      </c>
      <c r="F311" s="4">
        <v>0</v>
      </c>
      <c r="G311" s="4">
        <v>13230</v>
      </c>
      <c r="H311" s="4">
        <v>13230</v>
      </c>
      <c r="I311" s="4">
        <v>0</v>
      </c>
      <c r="J311" s="4">
        <v>13230</v>
      </c>
    </row>
    <row r="312" spans="1:10" x14ac:dyDescent="0.75">
      <c r="A312" t="s">
        <v>151</v>
      </c>
      <c r="B312">
        <v>2393</v>
      </c>
      <c r="C312" t="s">
        <v>116</v>
      </c>
      <c r="D312">
        <v>4900</v>
      </c>
      <c r="E312" t="s">
        <v>383</v>
      </c>
      <c r="F312" s="4">
        <v>0</v>
      </c>
      <c r="G312" s="4">
        <v>12071</v>
      </c>
      <c r="H312" s="4">
        <v>0</v>
      </c>
      <c r="I312" s="4">
        <v>12071</v>
      </c>
      <c r="J312" s="4">
        <v>12071</v>
      </c>
    </row>
    <row r="313" spans="1:10" x14ac:dyDescent="0.75">
      <c r="A313" t="s">
        <v>151</v>
      </c>
      <c r="B313">
        <v>2393</v>
      </c>
      <c r="C313" t="s">
        <v>116</v>
      </c>
      <c r="D313">
        <v>3286</v>
      </c>
      <c r="E313" t="s">
        <v>423</v>
      </c>
      <c r="F313" s="4">
        <v>0</v>
      </c>
      <c r="G313" s="4">
        <v>8929</v>
      </c>
      <c r="H313" s="4">
        <v>0</v>
      </c>
      <c r="I313" s="4">
        <v>8929</v>
      </c>
      <c r="J313" s="4">
        <v>8929</v>
      </c>
    </row>
    <row r="314" spans="1:10" x14ac:dyDescent="0.75">
      <c r="A314" t="s">
        <v>151</v>
      </c>
      <c r="B314">
        <v>2393</v>
      </c>
      <c r="C314" t="s">
        <v>116</v>
      </c>
      <c r="D314">
        <v>5370</v>
      </c>
      <c r="E314" t="s">
        <v>466</v>
      </c>
      <c r="F314" s="4">
        <v>7288</v>
      </c>
      <c r="G314" s="4">
        <v>0</v>
      </c>
      <c r="H314" s="4">
        <v>0</v>
      </c>
      <c r="I314" s="4">
        <v>0</v>
      </c>
      <c r="J314" s="4">
        <v>7288</v>
      </c>
    </row>
    <row r="315" spans="1:10" x14ac:dyDescent="0.75">
      <c r="A315" t="s">
        <v>151</v>
      </c>
      <c r="B315">
        <v>2393</v>
      </c>
      <c r="C315" t="s">
        <v>116</v>
      </c>
      <c r="D315">
        <v>7120</v>
      </c>
      <c r="E315" t="s">
        <v>499</v>
      </c>
      <c r="F315" s="4">
        <v>0</v>
      </c>
      <c r="G315" s="4">
        <v>4980</v>
      </c>
      <c r="H315" s="4">
        <v>4980</v>
      </c>
      <c r="I315" s="4">
        <v>0</v>
      </c>
      <c r="J315" s="4">
        <v>4980</v>
      </c>
    </row>
    <row r="316" spans="1:10" x14ac:dyDescent="0.75">
      <c r="A316" t="s">
        <v>151</v>
      </c>
      <c r="B316">
        <v>2393</v>
      </c>
      <c r="C316" t="s">
        <v>116</v>
      </c>
      <c r="D316">
        <v>7210</v>
      </c>
      <c r="E316" t="s">
        <v>426</v>
      </c>
      <c r="F316" s="4">
        <v>0</v>
      </c>
      <c r="G316" s="4">
        <v>4147</v>
      </c>
      <c r="H316" s="4">
        <v>4127</v>
      </c>
      <c r="I316" s="4">
        <v>20</v>
      </c>
      <c r="J316" s="4">
        <v>4147</v>
      </c>
    </row>
    <row r="317" spans="1:10" x14ac:dyDescent="0.75">
      <c r="A317" t="s">
        <v>151</v>
      </c>
      <c r="B317">
        <v>2393</v>
      </c>
      <c r="C317" t="s">
        <v>116</v>
      </c>
      <c r="D317">
        <v>7220</v>
      </c>
      <c r="E317" t="s">
        <v>500</v>
      </c>
      <c r="F317" s="4">
        <v>0</v>
      </c>
      <c r="G317" s="4">
        <v>3206</v>
      </c>
      <c r="H317" s="4">
        <v>74</v>
      </c>
      <c r="I317" s="4">
        <v>3132</v>
      </c>
      <c r="J317" s="4">
        <v>3206</v>
      </c>
    </row>
    <row r="318" spans="1:10" x14ac:dyDescent="0.75">
      <c r="A318" t="s">
        <v>151</v>
      </c>
      <c r="B318">
        <v>2393</v>
      </c>
      <c r="C318" t="s">
        <v>116</v>
      </c>
      <c r="D318">
        <v>5360</v>
      </c>
      <c r="E318" t="s">
        <v>465</v>
      </c>
      <c r="F318" s="4">
        <v>2819</v>
      </c>
      <c r="G318" s="4">
        <v>367</v>
      </c>
      <c r="H318" s="4">
        <v>367</v>
      </c>
      <c r="I318" s="4">
        <v>0</v>
      </c>
      <c r="J318" s="4">
        <v>3186</v>
      </c>
    </row>
    <row r="319" spans="1:10" x14ac:dyDescent="0.75">
      <c r="A319" t="s">
        <v>151</v>
      </c>
      <c r="B319">
        <v>2393</v>
      </c>
      <c r="C319" t="s">
        <v>116</v>
      </c>
      <c r="D319">
        <v>5480</v>
      </c>
      <c r="E319" t="s">
        <v>386</v>
      </c>
      <c r="F319" s="4">
        <v>0</v>
      </c>
      <c r="G319" s="4">
        <v>1413</v>
      </c>
      <c r="H319" s="4">
        <v>1413</v>
      </c>
      <c r="I319" s="4">
        <v>0</v>
      </c>
      <c r="J319" s="4">
        <v>1413</v>
      </c>
    </row>
    <row r="320" spans="1:10" x14ac:dyDescent="0.75">
      <c r="A320" t="s">
        <v>151</v>
      </c>
      <c r="B320">
        <v>2393</v>
      </c>
      <c r="C320" t="s">
        <v>116</v>
      </c>
      <c r="D320">
        <v>6811</v>
      </c>
      <c r="E320" t="s">
        <v>480</v>
      </c>
      <c r="F320" s="4">
        <v>0</v>
      </c>
      <c r="G320" s="4">
        <v>870</v>
      </c>
      <c r="H320" s="4">
        <v>870</v>
      </c>
      <c r="I320" s="4">
        <v>0</v>
      </c>
      <c r="J320" s="4">
        <v>870</v>
      </c>
    </row>
    <row r="321" spans="1:10" x14ac:dyDescent="0.75">
      <c r="A321" t="s">
        <v>151</v>
      </c>
      <c r="B321">
        <v>2393</v>
      </c>
      <c r="C321" t="s">
        <v>116</v>
      </c>
      <c r="D321">
        <v>7230</v>
      </c>
      <c r="E321" t="s">
        <v>387</v>
      </c>
      <c r="F321" s="4">
        <v>0</v>
      </c>
      <c r="G321" s="4">
        <v>111</v>
      </c>
      <c r="H321" s="4">
        <v>111</v>
      </c>
      <c r="I321" s="4">
        <v>0</v>
      </c>
      <c r="J321" s="4">
        <v>111</v>
      </c>
    </row>
    <row r="322" spans="1:10" x14ac:dyDescent="0.75">
      <c r="A322" t="s">
        <v>151</v>
      </c>
      <c r="B322">
        <v>2393</v>
      </c>
      <c r="C322" t="s">
        <v>116</v>
      </c>
      <c r="D322">
        <v>7600</v>
      </c>
      <c r="E322" t="s">
        <v>503</v>
      </c>
      <c r="F322" s="4">
        <v>0</v>
      </c>
      <c r="G322" s="4">
        <v>87</v>
      </c>
      <c r="H322" s="4">
        <v>0</v>
      </c>
      <c r="I322" s="4">
        <v>87</v>
      </c>
      <c r="J322" s="4">
        <v>87</v>
      </c>
    </row>
    <row r="323" spans="1:10" x14ac:dyDescent="0.75">
      <c r="A323" t="s">
        <v>151</v>
      </c>
      <c r="B323">
        <v>2393</v>
      </c>
      <c r="C323" t="s">
        <v>116</v>
      </c>
      <c r="D323">
        <v>6654</v>
      </c>
      <c r="E323" t="s">
        <v>419</v>
      </c>
      <c r="F323" s="4">
        <v>0</v>
      </c>
      <c r="G323" s="4">
        <v>65</v>
      </c>
      <c r="H323" s="4">
        <v>65</v>
      </c>
      <c r="I323" s="4">
        <v>0</v>
      </c>
      <c r="J323" s="4">
        <v>65</v>
      </c>
    </row>
    <row r="324" spans="1:10" x14ac:dyDescent="0.75">
      <c r="A324" t="s">
        <v>151</v>
      </c>
      <c r="B324">
        <v>2393</v>
      </c>
      <c r="C324" t="s">
        <v>116</v>
      </c>
      <c r="D324">
        <v>5190</v>
      </c>
      <c r="E324" t="s">
        <v>462</v>
      </c>
      <c r="F324" s="4">
        <v>0</v>
      </c>
      <c r="G324" s="4">
        <v>17</v>
      </c>
      <c r="H324" s="4">
        <v>17</v>
      </c>
      <c r="I324" s="4">
        <v>0</v>
      </c>
      <c r="J324" s="4">
        <v>17</v>
      </c>
    </row>
    <row r="325" spans="1:10" x14ac:dyDescent="0.75">
      <c r="A325" t="s">
        <v>151</v>
      </c>
      <c r="B325">
        <v>2393</v>
      </c>
      <c r="C325" t="s">
        <v>116</v>
      </c>
      <c r="D325">
        <v>3299</v>
      </c>
      <c r="E325" t="s">
        <v>448</v>
      </c>
      <c r="F325" s="4">
        <v>0</v>
      </c>
      <c r="G325" s="4">
        <v>1</v>
      </c>
      <c r="H325" s="4">
        <v>1</v>
      </c>
      <c r="I325" s="4">
        <v>0</v>
      </c>
      <c r="J325" s="4">
        <v>1</v>
      </c>
    </row>
    <row r="326" spans="1:10" x14ac:dyDescent="0.75">
      <c r="A326" t="s">
        <v>151</v>
      </c>
      <c r="B326">
        <v>4736</v>
      </c>
      <c r="C326" t="s">
        <v>92</v>
      </c>
      <c r="D326">
        <v>6134</v>
      </c>
      <c r="E326" t="s">
        <v>470</v>
      </c>
      <c r="F326" s="4">
        <v>8557</v>
      </c>
      <c r="G326" s="4">
        <v>16062</v>
      </c>
      <c r="H326" s="4">
        <v>146</v>
      </c>
      <c r="I326" s="4">
        <v>15916</v>
      </c>
      <c r="J326" s="4">
        <v>24619</v>
      </c>
    </row>
    <row r="327" spans="1:10" x14ac:dyDescent="0.75">
      <c r="A327" t="s">
        <v>151</v>
      </c>
      <c r="B327">
        <v>4736</v>
      </c>
      <c r="C327" t="s">
        <v>92</v>
      </c>
      <c r="D327">
        <v>7500</v>
      </c>
      <c r="E327" t="s">
        <v>427</v>
      </c>
      <c r="F327" s="4">
        <v>0</v>
      </c>
      <c r="G327" s="4">
        <v>5560</v>
      </c>
      <c r="H327" s="4">
        <v>5560</v>
      </c>
      <c r="I327" s="4">
        <v>0</v>
      </c>
      <c r="J327" s="4">
        <v>5560</v>
      </c>
    </row>
    <row r="328" spans="1:10" x14ac:dyDescent="0.75">
      <c r="A328" t="s">
        <v>151</v>
      </c>
      <c r="B328">
        <v>4736</v>
      </c>
      <c r="C328" t="s">
        <v>92</v>
      </c>
      <c r="D328">
        <v>4331</v>
      </c>
      <c r="E328" t="s">
        <v>390</v>
      </c>
      <c r="F328" s="4">
        <v>5445</v>
      </c>
      <c r="G328" s="4">
        <v>0</v>
      </c>
      <c r="H328" s="4">
        <v>0</v>
      </c>
      <c r="I328" s="4">
        <v>0</v>
      </c>
      <c r="J328" s="4">
        <v>5445</v>
      </c>
    </row>
    <row r="329" spans="1:10" x14ac:dyDescent="0.75">
      <c r="A329" t="s">
        <v>151</v>
      </c>
      <c r="B329">
        <v>4736</v>
      </c>
      <c r="C329" t="s">
        <v>92</v>
      </c>
      <c r="D329">
        <v>6811</v>
      </c>
      <c r="E329" t="s">
        <v>480</v>
      </c>
      <c r="F329" s="4">
        <v>0</v>
      </c>
      <c r="G329" s="4">
        <v>4494</v>
      </c>
      <c r="H329" s="4">
        <v>4494</v>
      </c>
      <c r="I329" s="4">
        <v>0</v>
      </c>
      <c r="J329" s="4">
        <v>4494</v>
      </c>
    </row>
    <row r="330" spans="1:10" x14ac:dyDescent="0.75">
      <c r="A330" t="s">
        <v>151</v>
      </c>
      <c r="B330">
        <v>4736</v>
      </c>
      <c r="C330" t="s">
        <v>92</v>
      </c>
      <c r="D330">
        <v>4322</v>
      </c>
      <c r="E330" t="s">
        <v>398</v>
      </c>
      <c r="F330" s="4">
        <v>0</v>
      </c>
      <c r="G330" s="4">
        <v>3858</v>
      </c>
      <c r="H330" s="4">
        <v>3858</v>
      </c>
      <c r="I330" s="4">
        <v>0</v>
      </c>
      <c r="J330" s="4">
        <v>3858</v>
      </c>
    </row>
    <row r="331" spans="1:10" x14ac:dyDescent="0.75">
      <c r="A331" t="s">
        <v>151</v>
      </c>
      <c r="B331">
        <v>4736</v>
      </c>
      <c r="C331" t="s">
        <v>92</v>
      </c>
      <c r="D331">
        <v>5290</v>
      </c>
      <c r="E331" t="s">
        <v>415</v>
      </c>
      <c r="F331" s="4">
        <v>0</v>
      </c>
      <c r="G331" s="4">
        <v>1326</v>
      </c>
      <c r="H331" s="4">
        <v>1326</v>
      </c>
      <c r="I331" s="4">
        <v>0</v>
      </c>
      <c r="J331" s="4">
        <v>1326</v>
      </c>
    </row>
    <row r="332" spans="1:10" x14ac:dyDescent="0.75">
      <c r="A332" t="s">
        <v>151</v>
      </c>
      <c r="B332">
        <v>4736</v>
      </c>
      <c r="C332" t="s">
        <v>92</v>
      </c>
      <c r="D332">
        <v>6857</v>
      </c>
      <c r="E332" t="s">
        <v>487</v>
      </c>
      <c r="F332" s="4">
        <v>0</v>
      </c>
      <c r="G332" s="4">
        <v>1104</v>
      </c>
      <c r="H332" s="4">
        <v>1104</v>
      </c>
      <c r="I332" s="4">
        <v>0</v>
      </c>
      <c r="J332" s="4">
        <v>1104</v>
      </c>
    </row>
    <row r="333" spans="1:10" x14ac:dyDescent="0.75">
      <c r="A333" t="s">
        <v>151</v>
      </c>
      <c r="B333">
        <v>4736</v>
      </c>
      <c r="C333" t="s">
        <v>92</v>
      </c>
      <c r="D333">
        <v>6871</v>
      </c>
      <c r="E333" t="s">
        <v>491</v>
      </c>
      <c r="F333" s="4">
        <v>0</v>
      </c>
      <c r="G333" s="4">
        <v>944</v>
      </c>
      <c r="H333" s="4">
        <v>944</v>
      </c>
      <c r="I333" s="4">
        <v>0</v>
      </c>
      <c r="J333" s="4">
        <v>944</v>
      </c>
    </row>
    <row r="334" spans="1:10" x14ac:dyDescent="0.75">
      <c r="A334" t="s">
        <v>151</v>
      </c>
      <c r="B334">
        <v>4736</v>
      </c>
      <c r="C334" t="s">
        <v>92</v>
      </c>
      <c r="D334">
        <v>6136</v>
      </c>
      <c r="E334" t="s">
        <v>471</v>
      </c>
      <c r="F334" s="4">
        <v>0</v>
      </c>
      <c r="G334" s="4">
        <v>913</v>
      </c>
      <c r="H334" s="4">
        <v>913</v>
      </c>
      <c r="I334" s="4">
        <v>0</v>
      </c>
      <c r="J334" s="4">
        <v>913</v>
      </c>
    </row>
    <row r="335" spans="1:10" x14ac:dyDescent="0.75">
      <c r="A335" t="s">
        <v>151</v>
      </c>
      <c r="B335">
        <v>4736</v>
      </c>
      <c r="C335" t="s">
        <v>92</v>
      </c>
      <c r="D335">
        <v>6858</v>
      </c>
      <c r="E335" t="s">
        <v>488</v>
      </c>
      <c r="F335" s="4">
        <v>0</v>
      </c>
      <c r="G335" s="4">
        <v>716</v>
      </c>
      <c r="H335" s="4">
        <v>716</v>
      </c>
      <c r="I335" s="4">
        <v>0</v>
      </c>
      <c r="J335" s="4">
        <v>716</v>
      </c>
    </row>
    <row r="336" spans="1:10" x14ac:dyDescent="0.75">
      <c r="A336" t="s">
        <v>151</v>
      </c>
      <c r="B336">
        <v>4736</v>
      </c>
      <c r="C336" t="s">
        <v>92</v>
      </c>
      <c r="D336">
        <v>7210</v>
      </c>
      <c r="E336" t="s">
        <v>426</v>
      </c>
      <c r="F336" s="4">
        <v>0</v>
      </c>
      <c r="G336" s="4">
        <v>626</v>
      </c>
      <c r="H336" s="4">
        <v>626</v>
      </c>
      <c r="I336" s="4">
        <v>0</v>
      </c>
      <c r="J336" s="4">
        <v>626</v>
      </c>
    </row>
    <row r="337" spans="1:10" x14ac:dyDescent="0.75">
      <c r="A337" t="s">
        <v>151</v>
      </c>
      <c r="B337">
        <v>4736</v>
      </c>
      <c r="C337" t="s">
        <v>92</v>
      </c>
      <c r="D337">
        <v>7900</v>
      </c>
      <c r="E337" t="s">
        <v>388</v>
      </c>
      <c r="F337" s="4">
        <v>0</v>
      </c>
      <c r="G337" s="4">
        <v>619</v>
      </c>
      <c r="H337" s="4">
        <v>619</v>
      </c>
      <c r="I337" s="4">
        <v>0</v>
      </c>
      <c r="J337" s="4">
        <v>619</v>
      </c>
    </row>
    <row r="338" spans="1:10" x14ac:dyDescent="0.75">
      <c r="A338" t="s">
        <v>151</v>
      </c>
      <c r="B338">
        <v>4736</v>
      </c>
      <c r="C338" t="s">
        <v>92</v>
      </c>
      <c r="D338">
        <v>5540</v>
      </c>
      <c r="E338" t="s">
        <v>469</v>
      </c>
      <c r="F338" s="4">
        <v>0</v>
      </c>
      <c r="G338" s="4">
        <v>617</v>
      </c>
      <c r="H338" s="4">
        <v>617</v>
      </c>
      <c r="I338" s="4">
        <v>0</v>
      </c>
      <c r="J338" s="4">
        <v>617</v>
      </c>
    </row>
    <row r="339" spans="1:10" x14ac:dyDescent="0.75">
      <c r="A339" t="s">
        <v>151</v>
      </c>
      <c r="B339">
        <v>4736</v>
      </c>
      <c r="C339" t="s">
        <v>92</v>
      </c>
      <c r="D339">
        <v>6654</v>
      </c>
      <c r="E339" t="s">
        <v>419</v>
      </c>
      <c r="F339" s="4">
        <v>0</v>
      </c>
      <c r="G339" s="4">
        <v>421</v>
      </c>
      <c r="H339" s="4">
        <v>421</v>
      </c>
      <c r="I339" s="4">
        <v>0</v>
      </c>
      <c r="J339" s="4">
        <v>421</v>
      </c>
    </row>
    <row r="340" spans="1:10" x14ac:dyDescent="0.75">
      <c r="A340" t="s">
        <v>151</v>
      </c>
      <c r="B340">
        <v>4736</v>
      </c>
      <c r="C340" t="s">
        <v>92</v>
      </c>
      <c r="D340">
        <v>7400</v>
      </c>
      <c r="E340" t="s">
        <v>502</v>
      </c>
      <c r="F340" s="4">
        <v>0</v>
      </c>
      <c r="G340" s="4">
        <v>406</v>
      </c>
      <c r="H340" s="4">
        <v>406</v>
      </c>
      <c r="I340" s="4">
        <v>0</v>
      </c>
      <c r="J340" s="4">
        <v>406</v>
      </c>
    </row>
    <row r="341" spans="1:10" x14ac:dyDescent="0.75">
      <c r="A341" t="s">
        <v>151</v>
      </c>
      <c r="B341">
        <v>4736</v>
      </c>
      <c r="C341" t="s">
        <v>92</v>
      </c>
      <c r="D341">
        <v>6885</v>
      </c>
      <c r="E341" t="s">
        <v>493</v>
      </c>
      <c r="F341" s="4">
        <v>0</v>
      </c>
      <c r="G341" s="4">
        <v>371</v>
      </c>
      <c r="H341" s="4">
        <v>371</v>
      </c>
      <c r="I341" s="4">
        <v>0</v>
      </c>
      <c r="J341" s="4">
        <v>371</v>
      </c>
    </row>
    <row r="342" spans="1:10" x14ac:dyDescent="0.75">
      <c r="A342" t="s">
        <v>151</v>
      </c>
      <c r="B342">
        <v>4736</v>
      </c>
      <c r="C342" t="s">
        <v>92</v>
      </c>
      <c r="D342">
        <v>6888</v>
      </c>
      <c r="E342" t="s">
        <v>494</v>
      </c>
      <c r="F342" s="4">
        <v>0</v>
      </c>
      <c r="G342" s="4">
        <v>317</v>
      </c>
      <c r="H342" s="4">
        <v>317</v>
      </c>
      <c r="I342" s="4">
        <v>0</v>
      </c>
      <c r="J342" s="4">
        <v>317</v>
      </c>
    </row>
    <row r="343" spans="1:10" x14ac:dyDescent="0.75">
      <c r="A343" t="s">
        <v>151</v>
      </c>
      <c r="B343">
        <v>4736</v>
      </c>
      <c r="C343" t="s">
        <v>92</v>
      </c>
      <c r="D343">
        <v>4225</v>
      </c>
      <c r="E343" t="s">
        <v>380</v>
      </c>
      <c r="F343" s="4">
        <v>0</v>
      </c>
      <c r="G343" s="4">
        <v>312</v>
      </c>
      <c r="H343" s="4">
        <v>312</v>
      </c>
      <c r="I343" s="4">
        <v>0</v>
      </c>
      <c r="J343" s="4">
        <v>312</v>
      </c>
    </row>
    <row r="344" spans="1:10" x14ac:dyDescent="0.75">
      <c r="A344" t="s">
        <v>151</v>
      </c>
      <c r="B344">
        <v>4736</v>
      </c>
      <c r="C344" t="s">
        <v>92</v>
      </c>
      <c r="D344">
        <v>6856</v>
      </c>
      <c r="E344" t="s">
        <v>486</v>
      </c>
      <c r="F344" s="4">
        <v>0</v>
      </c>
      <c r="G344" s="4">
        <v>296</v>
      </c>
      <c r="H344" s="4">
        <v>296</v>
      </c>
      <c r="I344" s="4">
        <v>0</v>
      </c>
      <c r="J344" s="4">
        <v>296</v>
      </c>
    </row>
    <row r="345" spans="1:10" x14ac:dyDescent="0.75">
      <c r="A345" t="s">
        <v>151</v>
      </c>
      <c r="B345">
        <v>4736</v>
      </c>
      <c r="C345" t="s">
        <v>92</v>
      </c>
      <c r="D345">
        <v>3275</v>
      </c>
      <c r="E345" t="s">
        <v>412</v>
      </c>
      <c r="F345" s="4">
        <v>0</v>
      </c>
      <c r="G345" s="4">
        <v>218</v>
      </c>
      <c r="H345" s="4">
        <v>218</v>
      </c>
      <c r="I345" s="4">
        <v>0</v>
      </c>
      <c r="J345" s="4">
        <v>218</v>
      </c>
    </row>
    <row r="346" spans="1:10" x14ac:dyDescent="0.75">
      <c r="A346" t="s">
        <v>151</v>
      </c>
      <c r="B346">
        <v>4736</v>
      </c>
      <c r="C346" t="s">
        <v>92</v>
      </c>
      <c r="D346">
        <v>4189</v>
      </c>
      <c r="E346" t="s">
        <v>451</v>
      </c>
      <c r="F346" s="4">
        <v>0</v>
      </c>
      <c r="G346" s="4">
        <v>212</v>
      </c>
      <c r="H346" s="4">
        <v>212</v>
      </c>
      <c r="I346" s="4">
        <v>0</v>
      </c>
      <c r="J346" s="4">
        <v>212</v>
      </c>
    </row>
    <row r="347" spans="1:10" x14ac:dyDescent="0.75">
      <c r="A347" t="s">
        <v>151</v>
      </c>
      <c r="B347">
        <v>4736</v>
      </c>
      <c r="C347" t="s">
        <v>92</v>
      </c>
      <c r="D347">
        <v>7110</v>
      </c>
      <c r="E347" t="s">
        <v>371</v>
      </c>
      <c r="F347" s="4">
        <v>0</v>
      </c>
      <c r="G347" s="4">
        <v>176</v>
      </c>
      <c r="H347" s="4">
        <v>176</v>
      </c>
      <c r="I347" s="4">
        <v>0</v>
      </c>
      <c r="J347" s="4">
        <v>176</v>
      </c>
    </row>
    <row r="348" spans="1:10" x14ac:dyDescent="0.75">
      <c r="A348" t="s">
        <v>151</v>
      </c>
      <c r="B348">
        <v>4736</v>
      </c>
      <c r="C348" t="s">
        <v>92</v>
      </c>
      <c r="D348">
        <v>5190</v>
      </c>
      <c r="E348" t="s">
        <v>462</v>
      </c>
      <c r="F348" s="4">
        <v>0</v>
      </c>
      <c r="G348" s="4">
        <v>145</v>
      </c>
      <c r="H348" s="4">
        <v>145</v>
      </c>
      <c r="I348" s="4">
        <v>0</v>
      </c>
      <c r="J348" s="4">
        <v>145</v>
      </c>
    </row>
    <row r="349" spans="1:10" x14ac:dyDescent="0.75">
      <c r="A349" t="s">
        <v>151</v>
      </c>
      <c r="B349">
        <v>4736</v>
      </c>
      <c r="C349" t="s">
        <v>92</v>
      </c>
      <c r="D349">
        <v>7600</v>
      </c>
      <c r="E349" t="s">
        <v>503</v>
      </c>
      <c r="F349" s="4">
        <v>0</v>
      </c>
      <c r="G349" s="4">
        <v>141</v>
      </c>
      <c r="H349" s="4">
        <v>141</v>
      </c>
      <c r="I349" s="4">
        <v>0</v>
      </c>
      <c r="J349" s="4">
        <v>141</v>
      </c>
    </row>
    <row r="350" spans="1:10" x14ac:dyDescent="0.75">
      <c r="A350" t="s">
        <v>151</v>
      </c>
      <c r="B350">
        <v>4736</v>
      </c>
      <c r="C350" t="s">
        <v>92</v>
      </c>
      <c r="D350">
        <v>3286</v>
      </c>
      <c r="E350" t="s">
        <v>423</v>
      </c>
      <c r="F350" s="4">
        <v>0</v>
      </c>
      <c r="G350" s="4">
        <v>61</v>
      </c>
      <c r="H350" s="4">
        <v>61</v>
      </c>
      <c r="I350" s="4">
        <v>0</v>
      </c>
      <c r="J350" s="4">
        <v>61</v>
      </c>
    </row>
    <row r="351" spans="1:10" x14ac:dyDescent="0.75">
      <c r="A351" t="s">
        <v>151</v>
      </c>
      <c r="B351">
        <v>4736</v>
      </c>
      <c r="C351" t="s">
        <v>92</v>
      </c>
      <c r="D351">
        <v>6653</v>
      </c>
      <c r="E351" t="s">
        <v>395</v>
      </c>
      <c r="F351" s="4">
        <v>0</v>
      </c>
      <c r="G351" s="4">
        <v>51</v>
      </c>
      <c r="H351" s="4">
        <v>51</v>
      </c>
      <c r="I351" s="4">
        <v>0</v>
      </c>
      <c r="J351" s="4">
        <v>51</v>
      </c>
    </row>
    <row r="352" spans="1:10" x14ac:dyDescent="0.75">
      <c r="A352" t="s">
        <v>151</v>
      </c>
      <c r="B352">
        <v>4736</v>
      </c>
      <c r="C352" t="s">
        <v>92</v>
      </c>
      <c r="D352">
        <v>6899</v>
      </c>
      <c r="E352" t="s">
        <v>498</v>
      </c>
      <c r="F352" s="4">
        <v>0</v>
      </c>
      <c r="G352" s="4">
        <v>32</v>
      </c>
      <c r="H352" s="4">
        <v>32</v>
      </c>
      <c r="I352" s="4">
        <v>0</v>
      </c>
      <c r="J352" s="4">
        <v>32</v>
      </c>
    </row>
    <row r="353" spans="1:10" x14ac:dyDescent="0.75">
      <c r="A353" t="s">
        <v>151</v>
      </c>
      <c r="B353">
        <v>4736</v>
      </c>
      <c r="C353" t="s">
        <v>92</v>
      </c>
      <c r="D353">
        <v>6835</v>
      </c>
      <c r="E353" t="s">
        <v>483</v>
      </c>
      <c r="F353" s="4">
        <v>0</v>
      </c>
      <c r="G353" s="4">
        <v>26</v>
      </c>
      <c r="H353" s="4">
        <v>0</v>
      </c>
      <c r="I353" s="4">
        <v>26</v>
      </c>
      <c r="J353" s="4">
        <v>26</v>
      </c>
    </row>
    <row r="354" spans="1:10" x14ac:dyDescent="0.75">
      <c r="A354" t="s">
        <v>151</v>
      </c>
      <c r="B354">
        <v>4736</v>
      </c>
      <c r="C354" t="s">
        <v>92</v>
      </c>
      <c r="D354">
        <v>9900</v>
      </c>
      <c r="E354" t="s">
        <v>389</v>
      </c>
      <c r="F354" s="4">
        <v>0</v>
      </c>
      <c r="G354" s="4">
        <v>26</v>
      </c>
      <c r="H354" s="4">
        <v>6</v>
      </c>
      <c r="I354" s="4">
        <v>20</v>
      </c>
      <c r="J354" s="4">
        <v>26</v>
      </c>
    </row>
    <row r="355" spans="1:10" x14ac:dyDescent="0.75">
      <c r="A355" t="s">
        <v>151</v>
      </c>
      <c r="B355">
        <v>4736</v>
      </c>
      <c r="C355" t="s">
        <v>92</v>
      </c>
      <c r="D355">
        <v>4310</v>
      </c>
      <c r="E355" t="s">
        <v>453</v>
      </c>
      <c r="F355" s="4">
        <v>0</v>
      </c>
      <c r="G355" s="4">
        <v>25</v>
      </c>
      <c r="H355" s="4">
        <v>25</v>
      </c>
      <c r="I355" s="4">
        <v>0</v>
      </c>
      <c r="J355" s="4">
        <v>25</v>
      </c>
    </row>
    <row r="356" spans="1:10" x14ac:dyDescent="0.75">
      <c r="A356" t="s">
        <v>151</v>
      </c>
      <c r="B356">
        <v>4736</v>
      </c>
      <c r="C356" t="s">
        <v>92</v>
      </c>
      <c r="D356">
        <v>3285</v>
      </c>
      <c r="E356" t="s">
        <v>443</v>
      </c>
      <c r="F356" s="4">
        <v>0</v>
      </c>
      <c r="G356" s="4">
        <v>23</v>
      </c>
      <c r="H356" s="4">
        <v>23</v>
      </c>
      <c r="I356" s="4">
        <v>0</v>
      </c>
      <c r="J356" s="4">
        <v>23</v>
      </c>
    </row>
    <row r="357" spans="1:10" x14ac:dyDescent="0.75">
      <c r="A357" t="s">
        <v>151</v>
      </c>
      <c r="B357">
        <v>4736</v>
      </c>
      <c r="C357" t="s">
        <v>92</v>
      </c>
      <c r="D357">
        <v>3292</v>
      </c>
      <c r="E357" t="s">
        <v>413</v>
      </c>
      <c r="F357" s="4">
        <v>0</v>
      </c>
      <c r="G357" s="4">
        <v>22</v>
      </c>
      <c r="H357" s="4">
        <v>22</v>
      </c>
      <c r="I357" s="4">
        <v>0</v>
      </c>
      <c r="J357" s="4">
        <v>22</v>
      </c>
    </row>
    <row r="358" spans="1:10" x14ac:dyDescent="0.75">
      <c r="A358" t="s">
        <v>151</v>
      </c>
      <c r="B358">
        <v>4736</v>
      </c>
      <c r="C358" t="s">
        <v>92</v>
      </c>
      <c r="D358">
        <v>5480</v>
      </c>
      <c r="E358" t="s">
        <v>386</v>
      </c>
      <c r="F358" s="4">
        <v>0</v>
      </c>
      <c r="G358" s="4">
        <v>21</v>
      </c>
      <c r="H358" s="4">
        <v>21</v>
      </c>
      <c r="I358" s="4">
        <v>0</v>
      </c>
      <c r="J358" s="4">
        <v>21</v>
      </c>
    </row>
    <row r="359" spans="1:10" x14ac:dyDescent="0.75">
      <c r="A359" t="s">
        <v>151</v>
      </c>
      <c r="B359">
        <v>4736</v>
      </c>
      <c r="C359" t="s">
        <v>92</v>
      </c>
      <c r="D359">
        <v>7120</v>
      </c>
      <c r="E359" t="s">
        <v>499</v>
      </c>
      <c r="F359" s="4">
        <v>0</v>
      </c>
      <c r="G359" s="4">
        <v>14</v>
      </c>
      <c r="H359" s="4">
        <v>14</v>
      </c>
      <c r="I359" s="4">
        <v>0</v>
      </c>
      <c r="J359" s="4">
        <v>14</v>
      </c>
    </row>
    <row r="360" spans="1:10" x14ac:dyDescent="0.75">
      <c r="A360" t="s">
        <v>151</v>
      </c>
      <c r="B360">
        <v>4736</v>
      </c>
      <c r="C360" t="s">
        <v>92</v>
      </c>
      <c r="D360">
        <v>6889</v>
      </c>
      <c r="E360" t="s">
        <v>420</v>
      </c>
      <c r="F360" s="4">
        <v>0</v>
      </c>
      <c r="G360" s="4">
        <v>12</v>
      </c>
      <c r="H360" s="4">
        <v>12</v>
      </c>
      <c r="I360" s="4">
        <v>0</v>
      </c>
      <c r="J360" s="4">
        <v>12</v>
      </c>
    </row>
    <row r="361" spans="1:10" x14ac:dyDescent="0.75">
      <c r="A361" t="s">
        <v>151</v>
      </c>
      <c r="B361">
        <v>4736</v>
      </c>
      <c r="C361" t="s">
        <v>92</v>
      </c>
      <c r="D361">
        <v>5240</v>
      </c>
      <c r="E361" t="s">
        <v>464</v>
      </c>
      <c r="F361" s="4">
        <v>0</v>
      </c>
      <c r="G361" s="4">
        <v>2</v>
      </c>
      <c r="H361" s="4">
        <v>2</v>
      </c>
      <c r="I361" s="4">
        <v>0</v>
      </c>
      <c r="J361" s="4">
        <v>2</v>
      </c>
    </row>
    <row r="362" spans="1:10" x14ac:dyDescent="0.75">
      <c r="A362" t="s">
        <v>151</v>
      </c>
      <c r="B362">
        <v>4904</v>
      </c>
      <c r="C362" t="s">
        <v>81</v>
      </c>
      <c r="D362">
        <v>7900</v>
      </c>
      <c r="E362" t="s">
        <v>388</v>
      </c>
      <c r="F362" s="4">
        <v>4951</v>
      </c>
      <c r="G362" s="4">
        <v>0</v>
      </c>
      <c r="H362" s="4">
        <v>0</v>
      </c>
      <c r="I362" s="4">
        <v>0</v>
      </c>
      <c r="J362" s="4">
        <v>4951</v>
      </c>
    </row>
    <row r="363" spans="1:10" x14ac:dyDescent="0.75">
      <c r="A363" t="s">
        <v>151</v>
      </c>
      <c r="B363">
        <v>4904</v>
      </c>
      <c r="C363" t="s">
        <v>81</v>
      </c>
      <c r="D363">
        <v>2211</v>
      </c>
      <c r="E363" t="s">
        <v>367</v>
      </c>
      <c r="F363" s="4">
        <v>4461</v>
      </c>
      <c r="G363" s="4">
        <v>0</v>
      </c>
      <c r="H363" s="4">
        <v>0</v>
      </c>
      <c r="I363" s="4">
        <v>0</v>
      </c>
      <c r="J363" s="4">
        <v>4461</v>
      </c>
    </row>
    <row r="364" spans="1:10" x14ac:dyDescent="0.75">
      <c r="A364" t="s">
        <v>151</v>
      </c>
      <c r="B364">
        <v>4904</v>
      </c>
      <c r="C364" t="s">
        <v>81</v>
      </c>
      <c r="D364">
        <v>2330</v>
      </c>
      <c r="E364" t="s">
        <v>368</v>
      </c>
      <c r="F364" s="4">
        <v>4438</v>
      </c>
      <c r="G364" s="4">
        <v>0</v>
      </c>
      <c r="H364" s="4">
        <v>0</v>
      </c>
      <c r="I364" s="4">
        <v>0</v>
      </c>
      <c r="J364" s="4">
        <v>4438</v>
      </c>
    </row>
    <row r="365" spans="1:10" x14ac:dyDescent="0.75">
      <c r="A365" t="s">
        <v>151</v>
      </c>
      <c r="B365">
        <v>4904</v>
      </c>
      <c r="C365" t="s">
        <v>81</v>
      </c>
      <c r="D365">
        <v>7400</v>
      </c>
      <c r="E365" t="s">
        <v>502</v>
      </c>
      <c r="F365" s="4">
        <v>3133</v>
      </c>
      <c r="G365" s="4">
        <v>0</v>
      </c>
      <c r="H365" s="4">
        <v>0</v>
      </c>
      <c r="I365" s="4">
        <v>0</v>
      </c>
      <c r="J365" s="4">
        <v>3133</v>
      </c>
    </row>
    <row r="366" spans="1:10" x14ac:dyDescent="0.75">
      <c r="A366" t="s">
        <v>151</v>
      </c>
      <c r="B366">
        <v>4904</v>
      </c>
      <c r="C366" t="s">
        <v>81</v>
      </c>
      <c r="D366">
        <v>2990</v>
      </c>
      <c r="E366" t="s">
        <v>432</v>
      </c>
      <c r="F366" s="4">
        <v>2347</v>
      </c>
      <c r="G366" s="4">
        <v>0</v>
      </c>
      <c r="H366" s="4">
        <v>0</v>
      </c>
      <c r="I366" s="4">
        <v>0</v>
      </c>
      <c r="J366" s="4">
        <v>2347</v>
      </c>
    </row>
    <row r="367" spans="1:10" x14ac:dyDescent="0.75">
      <c r="A367" t="s">
        <v>151</v>
      </c>
      <c r="B367">
        <v>4904</v>
      </c>
      <c r="C367" t="s">
        <v>81</v>
      </c>
      <c r="D367">
        <v>5360</v>
      </c>
      <c r="E367" t="s">
        <v>465</v>
      </c>
      <c r="F367" s="4">
        <v>1028</v>
      </c>
      <c r="G367" s="4">
        <v>0</v>
      </c>
      <c r="H367" s="4">
        <v>0</v>
      </c>
      <c r="I367" s="4">
        <v>0</v>
      </c>
      <c r="J367" s="4">
        <v>1028</v>
      </c>
    </row>
    <row r="368" spans="1:10" x14ac:dyDescent="0.75">
      <c r="A368" t="s">
        <v>151</v>
      </c>
      <c r="B368">
        <v>4904</v>
      </c>
      <c r="C368" t="s">
        <v>81</v>
      </c>
      <c r="D368">
        <v>7210</v>
      </c>
      <c r="E368" t="s">
        <v>426</v>
      </c>
      <c r="F368" s="4">
        <v>919</v>
      </c>
      <c r="G368" s="4">
        <v>0</v>
      </c>
      <c r="H368" s="4">
        <v>0</v>
      </c>
      <c r="I368" s="4">
        <v>0</v>
      </c>
      <c r="J368" s="4">
        <v>919</v>
      </c>
    </row>
    <row r="369" spans="1:10" x14ac:dyDescent="0.75">
      <c r="A369" t="s">
        <v>151</v>
      </c>
      <c r="B369">
        <v>4904</v>
      </c>
      <c r="C369" t="s">
        <v>81</v>
      </c>
      <c r="D369">
        <v>2221</v>
      </c>
      <c r="E369" t="s">
        <v>374</v>
      </c>
      <c r="F369" s="4">
        <v>889</v>
      </c>
      <c r="G369" s="4">
        <v>0</v>
      </c>
      <c r="H369" s="4">
        <v>0</v>
      </c>
      <c r="I369" s="4">
        <v>0</v>
      </c>
      <c r="J369" s="4">
        <v>889</v>
      </c>
    </row>
    <row r="370" spans="1:10" x14ac:dyDescent="0.75">
      <c r="A370" t="s">
        <v>151</v>
      </c>
      <c r="B370">
        <v>4904</v>
      </c>
      <c r="C370" t="s">
        <v>81</v>
      </c>
      <c r="D370">
        <v>7110</v>
      </c>
      <c r="E370" t="s">
        <v>371</v>
      </c>
      <c r="F370" s="4">
        <v>864</v>
      </c>
      <c r="G370" s="4">
        <v>0</v>
      </c>
      <c r="H370" s="4">
        <v>0</v>
      </c>
      <c r="I370" s="4">
        <v>0</v>
      </c>
      <c r="J370" s="4">
        <v>864</v>
      </c>
    </row>
    <row r="371" spans="1:10" x14ac:dyDescent="0.75">
      <c r="A371" t="s">
        <v>151</v>
      </c>
      <c r="B371">
        <v>4904</v>
      </c>
      <c r="C371" t="s">
        <v>81</v>
      </c>
      <c r="D371">
        <v>6887</v>
      </c>
      <c r="E371" t="s">
        <v>505</v>
      </c>
      <c r="F371" s="4">
        <v>801</v>
      </c>
      <c r="G371" s="4">
        <v>0</v>
      </c>
      <c r="H371" s="4">
        <v>0</v>
      </c>
      <c r="I371" s="4">
        <v>0</v>
      </c>
      <c r="J371" s="4">
        <v>801</v>
      </c>
    </row>
    <row r="372" spans="1:10" x14ac:dyDescent="0.75">
      <c r="A372" t="s">
        <v>151</v>
      </c>
      <c r="B372">
        <v>4904</v>
      </c>
      <c r="C372" t="s">
        <v>81</v>
      </c>
      <c r="D372">
        <v>4189</v>
      </c>
      <c r="E372" t="s">
        <v>451</v>
      </c>
      <c r="F372" s="4">
        <v>796</v>
      </c>
      <c r="G372" s="4">
        <v>0</v>
      </c>
      <c r="H372" s="4">
        <v>0</v>
      </c>
      <c r="I372" s="4">
        <v>0</v>
      </c>
      <c r="J372" s="4">
        <v>796</v>
      </c>
    </row>
    <row r="373" spans="1:10" x14ac:dyDescent="0.75">
      <c r="A373" t="s">
        <v>151</v>
      </c>
      <c r="B373">
        <v>4904</v>
      </c>
      <c r="C373" t="s">
        <v>81</v>
      </c>
      <c r="D373">
        <v>3220</v>
      </c>
      <c r="E373" t="s">
        <v>370</v>
      </c>
      <c r="F373" s="4">
        <v>711</v>
      </c>
      <c r="G373" s="4">
        <v>0</v>
      </c>
      <c r="H373" s="4">
        <v>0</v>
      </c>
      <c r="I373" s="4">
        <v>0</v>
      </c>
      <c r="J373" s="4">
        <v>711</v>
      </c>
    </row>
    <row r="374" spans="1:10" x14ac:dyDescent="0.75">
      <c r="A374" t="s">
        <v>151</v>
      </c>
      <c r="B374">
        <v>4904</v>
      </c>
      <c r="C374" t="s">
        <v>81</v>
      </c>
      <c r="D374">
        <v>5480</v>
      </c>
      <c r="E374" t="s">
        <v>386</v>
      </c>
      <c r="F374" s="4">
        <v>607</v>
      </c>
      <c r="G374" s="4">
        <v>0</v>
      </c>
      <c r="H374" s="4">
        <v>0</v>
      </c>
      <c r="I374" s="4">
        <v>0</v>
      </c>
      <c r="J374" s="4">
        <v>607</v>
      </c>
    </row>
    <row r="375" spans="1:10" x14ac:dyDescent="0.75">
      <c r="A375" t="s">
        <v>151</v>
      </c>
      <c r="B375">
        <v>4904</v>
      </c>
      <c r="C375" t="s">
        <v>81</v>
      </c>
      <c r="D375">
        <v>4783</v>
      </c>
      <c r="E375" t="s">
        <v>382</v>
      </c>
      <c r="F375" s="4">
        <v>300</v>
      </c>
      <c r="G375" s="4">
        <v>0</v>
      </c>
      <c r="H375" s="4">
        <v>0</v>
      </c>
      <c r="I375" s="4">
        <v>0</v>
      </c>
      <c r="J375" s="4">
        <v>300</v>
      </c>
    </row>
    <row r="376" spans="1:10" x14ac:dyDescent="0.75">
      <c r="A376" t="s">
        <v>151</v>
      </c>
      <c r="B376">
        <v>4904</v>
      </c>
      <c r="C376" t="s">
        <v>81</v>
      </c>
      <c r="D376">
        <v>4331</v>
      </c>
      <c r="E376" t="s">
        <v>390</v>
      </c>
      <c r="F376" s="4">
        <v>223</v>
      </c>
      <c r="G376" s="4">
        <v>0</v>
      </c>
      <c r="H376" s="4">
        <v>0</v>
      </c>
      <c r="I376" s="4">
        <v>0</v>
      </c>
      <c r="J376" s="4">
        <v>223</v>
      </c>
    </row>
    <row r="377" spans="1:10" x14ac:dyDescent="0.75">
      <c r="A377" t="s">
        <v>151</v>
      </c>
      <c r="B377">
        <v>4904</v>
      </c>
      <c r="C377" t="s">
        <v>81</v>
      </c>
      <c r="D377">
        <v>7230</v>
      </c>
      <c r="E377" t="s">
        <v>387</v>
      </c>
      <c r="F377" s="4">
        <v>78</v>
      </c>
      <c r="G377" s="4">
        <v>0</v>
      </c>
      <c r="H377" s="4">
        <v>0</v>
      </c>
      <c r="I377" s="4">
        <v>0</v>
      </c>
      <c r="J377" s="4">
        <v>78</v>
      </c>
    </row>
    <row r="378" spans="1:10" x14ac:dyDescent="0.75">
      <c r="A378" t="s">
        <v>151</v>
      </c>
      <c r="B378">
        <v>4904</v>
      </c>
      <c r="C378" t="s">
        <v>81</v>
      </c>
      <c r="D378">
        <v>5190</v>
      </c>
      <c r="E378" t="s">
        <v>462</v>
      </c>
      <c r="F378" s="4">
        <v>75</v>
      </c>
      <c r="G378" s="4">
        <v>0</v>
      </c>
      <c r="H378" s="4">
        <v>0</v>
      </c>
      <c r="I378" s="4">
        <v>0</v>
      </c>
      <c r="J378" s="4">
        <v>75</v>
      </c>
    </row>
    <row r="379" spans="1:10" x14ac:dyDescent="0.75">
      <c r="A379" t="s">
        <v>151</v>
      </c>
      <c r="B379">
        <v>4904</v>
      </c>
      <c r="C379" t="s">
        <v>81</v>
      </c>
      <c r="D379">
        <v>5370</v>
      </c>
      <c r="E379" t="s">
        <v>466</v>
      </c>
      <c r="F379" s="4">
        <v>75</v>
      </c>
      <c r="G379" s="4">
        <v>0</v>
      </c>
      <c r="H379" s="4">
        <v>0</v>
      </c>
      <c r="I379" s="4">
        <v>0</v>
      </c>
      <c r="J379" s="4">
        <v>75</v>
      </c>
    </row>
    <row r="380" spans="1:10" x14ac:dyDescent="0.75">
      <c r="A380" t="s">
        <v>151</v>
      </c>
      <c r="B380">
        <v>4904</v>
      </c>
      <c r="C380" t="s">
        <v>81</v>
      </c>
      <c r="D380">
        <v>6885</v>
      </c>
      <c r="E380" t="s">
        <v>493</v>
      </c>
      <c r="F380" s="4">
        <v>59</v>
      </c>
      <c r="G380" s="4">
        <v>0</v>
      </c>
      <c r="H380" s="4">
        <v>0</v>
      </c>
      <c r="I380" s="4">
        <v>0</v>
      </c>
      <c r="J380" s="4">
        <v>59</v>
      </c>
    </row>
    <row r="381" spans="1:10" x14ac:dyDescent="0.75">
      <c r="A381" t="s">
        <v>151</v>
      </c>
      <c r="B381">
        <v>4904</v>
      </c>
      <c r="C381" t="s">
        <v>81</v>
      </c>
      <c r="D381">
        <v>7500</v>
      </c>
      <c r="E381" t="s">
        <v>427</v>
      </c>
      <c r="F381" s="4">
        <v>45</v>
      </c>
      <c r="G381" s="4">
        <v>0</v>
      </c>
      <c r="H381" s="4">
        <v>0</v>
      </c>
      <c r="I381" s="4">
        <v>0</v>
      </c>
      <c r="J381" s="4">
        <v>45</v>
      </c>
    </row>
    <row r="382" spans="1:10" x14ac:dyDescent="0.75">
      <c r="A382" t="s">
        <v>151</v>
      </c>
      <c r="B382">
        <v>4904</v>
      </c>
      <c r="C382" t="s">
        <v>81</v>
      </c>
      <c r="D382">
        <v>6782</v>
      </c>
      <c r="E382" t="s">
        <v>396</v>
      </c>
      <c r="F382" s="4">
        <v>31</v>
      </c>
      <c r="G382" s="4">
        <v>0</v>
      </c>
      <c r="H382" s="4">
        <v>0</v>
      </c>
      <c r="I382" s="4">
        <v>0</v>
      </c>
      <c r="J382" s="4">
        <v>31</v>
      </c>
    </row>
    <row r="383" spans="1:10" x14ac:dyDescent="0.75">
      <c r="A383" t="s">
        <v>151</v>
      </c>
      <c r="B383">
        <v>4904</v>
      </c>
      <c r="C383" t="s">
        <v>81</v>
      </c>
      <c r="D383">
        <v>5540</v>
      </c>
      <c r="E383" t="s">
        <v>469</v>
      </c>
      <c r="F383" s="4">
        <v>27</v>
      </c>
      <c r="G383" s="4">
        <v>0</v>
      </c>
      <c r="H383" s="4">
        <v>0</v>
      </c>
      <c r="I383" s="4">
        <v>0</v>
      </c>
      <c r="J383" s="4">
        <v>27</v>
      </c>
    </row>
    <row r="384" spans="1:10" x14ac:dyDescent="0.75">
      <c r="A384" t="s">
        <v>151</v>
      </c>
      <c r="B384">
        <v>4904</v>
      </c>
      <c r="C384" t="s">
        <v>81</v>
      </c>
      <c r="D384">
        <v>5240</v>
      </c>
      <c r="E384" t="s">
        <v>464</v>
      </c>
      <c r="F384" s="4">
        <v>19</v>
      </c>
      <c r="G384" s="4">
        <v>0</v>
      </c>
      <c r="H384" s="4">
        <v>0</v>
      </c>
      <c r="I384" s="4">
        <v>0</v>
      </c>
      <c r="J384" s="4">
        <v>19</v>
      </c>
    </row>
    <row r="385" spans="1:10" x14ac:dyDescent="0.75">
      <c r="A385" t="s">
        <v>151</v>
      </c>
      <c r="B385">
        <v>4904</v>
      </c>
      <c r="C385" t="s">
        <v>81</v>
      </c>
      <c r="D385">
        <v>7120</v>
      </c>
      <c r="E385" t="s">
        <v>499</v>
      </c>
      <c r="F385" s="4">
        <v>16</v>
      </c>
      <c r="G385" s="4">
        <v>0</v>
      </c>
      <c r="H385" s="4">
        <v>0</v>
      </c>
      <c r="I385" s="4">
        <v>0</v>
      </c>
      <c r="J385" s="4">
        <v>16</v>
      </c>
    </row>
    <row r="386" spans="1:10" x14ac:dyDescent="0.75">
      <c r="A386" t="s">
        <v>151</v>
      </c>
      <c r="B386">
        <v>4904</v>
      </c>
      <c r="C386" t="s">
        <v>81</v>
      </c>
      <c r="D386">
        <v>3282</v>
      </c>
      <c r="E386" t="s">
        <v>440</v>
      </c>
      <c r="F386" s="4">
        <v>5</v>
      </c>
      <c r="G386" s="4">
        <v>0</v>
      </c>
      <c r="H386" s="4">
        <v>0</v>
      </c>
      <c r="I386" s="4">
        <v>0</v>
      </c>
      <c r="J386" s="4">
        <v>5</v>
      </c>
    </row>
    <row r="387" spans="1:10" x14ac:dyDescent="0.75">
      <c r="A387" t="s">
        <v>151</v>
      </c>
      <c r="B387">
        <v>4904</v>
      </c>
      <c r="C387" t="s">
        <v>81</v>
      </c>
      <c r="D387">
        <v>4420</v>
      </c>
      <c r="E387" t="s">
        <v>381</v>
      </c>
      <c r="F387" s="4">
        <v>5</v>
      </c>
      <c r="G387" s="4">
        <v>0</v>
      </c>
      <c r="H387" s="4">
        <v>0</v>
      </c>
      <c r="I387" s="4">
        <v>0</v>
      </c>
      <c r="J387" s="4">
        <v>5</v>
      </c>
    </row>
    <row r="388" spans="1:10" x14ac:dyDescent="0.75">
      <c r="A388" t="s">
        <v>151</v>
      </c>
      <c r="B388">
        <v>4904</v>
      </c>
      <c r="C388" t="s">
        <v>81</v>
      </c>
      <c r="D388">
        <v>5290</v>
      </c>
      <c r="E388" t="s">
        <v>415</v>
      </c>
      <c r="F388" s="4">
        <v>5</v>
      </c>
      <c r="G388" s="4">
        <v>0</v>
      </c>
      <c r="H388" s="4">
        <v>0</v>
      </c>
      <c r="I388" s="4">
        <v>0</v>
      </c>
      <c r="J388" s="4">
        <v>5</v>
      </c>
    </row>
    <row r="389" spans="1:10" x14ac:dyDescent="0.75">
      <c r="A389" t="s">
        <v>151</v>
      </c>
      <c r="B389">
        <v>1990</v>
      </c>
      <c r="C389" t="s">
        <v>278</v>
      </c>
      <c r="D389">
        <v>4322</v>
      </c>
      <c r="E389" t="s">
        <v>398</v>
      </c>
      <c r="F389" s="4">
        <v>265054</v>
      </c>
      <c r="G389" s="4">
        <v>0</v>
      </c>
      <c r="H389" s="4">
        <v>0</v>
      </c>
      <c r="I389" s="4">
        <v>0</v>
      </c>
      <c r="J389" s="4">
        <v>265054</v>
      </c>
    </row>
    <row r="390" spans="1:10" x14ac:dyDescent="0.75">
      <c r="A390" t="s">
        <v>151</v>
      </c>
      <c r="B390">
        <v>1990</v>
      </c>
      <c r="C390" t="s">
        <v>278</v>
      </c>
      <c r="D390">
        <v>4331</v>
      </c>
      <c r="E390" t="s">
        <v>390</v>
      </c>
      <c r="F390" s="4">
        <v>180048</v>
      </c>
      <c r="G390" s="4">
        <v>0</v>
      </c>
      <c r="H390" s="4">
        <v>0</v>
      </c>
      <c r="I390" s="4">
        <v>0</v>
      </c>
      <c r="J390" s="4">
        <v>180048</v>
      </c>
    </row>
    <row r="391" spans="1:10" x14ac:dyDescent="0.75">
      <c r="A391" t="s">
        <v>151</v>
      </c>
      <c r="B391">
        <v>1990</v>
      </c>
      <c r="C391" t="s">
        <v>278</v>
      </c>
      <c r="D391">
        <v>4335</v>
      </c>
      <c r="E391" t="s">
        <v>372</v>
      </c>
      <c r="F391" s="4">
        <v>65703</v>
      </c>
      <c r="G391" s="4">
        <v>0</v>
      </c>
      <c r="H391" s="4">
        <v>0</v>
      </c>
      <c r="I391" s="4">
        <v>0</v>
      </c>
      <c r="J391" s="4">
        <v>65703</v>
      </c>
    </row>
    <row r="392" spans="1:10" x14ac:dyDescent="0.75">
      <c r="A392" t="s">
        <v>151</v>
      </c>
      <c r="B392">
        <v>149</v>
      </c>
      <c r="C392" t="s">
        <v>42</v>
      </c>
      <c r="D392">
        <v>2211</v>
      </c>
      <c r="E392" t="s">
        <v>367</v>
      </c>
      <c r="F392" s="4">
        <v>1370344</v>
      </c>
      <c r="G392" s="4">
        <v>3214452</v>
      </c>
      <c r="H392" s="4">
        <v>3214452</v>
      </c>
      <c r="I392" s="4">
        <v>0</v>
      </c>
      <c r="J392" s="4">
        <v>4584796</v>
      </c>
    </row>
    <row r="393" spans="1:10" x14ac:dyDescent="0.75">
      <c r="A393" t="s">
        <v>151</v>
      </c>
      <c r="B393">
        <v>149</v>
      </c>
      <c r="C393" t="s">
        <v>42</v>
      </c>
      <c r="D393">
        <v>2330</v>
      </c>
      <c r="E393" t="s">
        <v>368</v>
      </c>
      <c r="F393" s="4">
        <v>391602</v>
      </c>
      <c r="G393" s="4">
        <v>2055930</v>
      </c>
      <c r="H393" s="4">
        <v>2055595</v>
      </c>
      <c r="I393" s="4">
        <v>335</v>
      </c>
      <c r="J393" s="4">
        <v>2447532</v>
      </c>
    </row>
    <row r="394" spans="1:10" x14ac:dyDescent="0.75">
      <c r="A394" t="s">
        <v>151</v>
      </c>
      <c r="B394">
        <v>149</v>
      </c>
      <c r="C394" t="s">
        <v>42</v>
      </c>
      <c r="D394">
        <v>2221</v>
      </c>
      <c r="E394" t="s">
        <v>374</v>
      </c>
      <c r="F394" s="4">
        <v>346014</v>
      </c>
      <c r="G394" s="4">
        <v>811487</v>
      </c>
      <c r="H394" s="4">
        <v>811487</v>
      </c>
      <c r="I394" s="4">
        <v>0</v>
      </c>
      <c r="J394" s="4">
        <v>1157501</v>
      </c>
    </row>
    <row r="395" spans="1:10" x14ac:dyDescent="0.75">
      <c r="A395" t="s">
        <v>151</v>
      </c>
      <c r="B395">
        <v>149</v>
      </c>
      <c r="C395" t="s">
        <v>42</v>
      </c>
      <c r="D395">
        <v>4783</v>
      </c>
      <c r="E395" t="s">
        <v>382</v>
      </c>
      <c r="F395" s="4">
        <v>0</v>
      </c>
      <c r="G395" s="4">
        <v>1030988</v>
      </c>
      <c r="H395" s="4">
        <v>1030988</v>
      </c>
      <c r="I395" s="4">
        <v>0</v>
      </c>
      <c r="J395" s="4">
        <v>1030988</v>
      </c>
    </row>
    <row r="396" spans="1:10" x14ac:dyDescent="0.75">
      <c r="A396" t="s">
        <v>151</v>
      </c>
      <c r="B396">
        <v>149</v>
      </c>
      <c r="C396" t="s">
        <v>42</v>
      </c>
      <c r="D396">
        <v>3220</v>
      </c>
      <c r="E396" t="s">
        <v>370</v>
      </c>
      <c r="F396" s="4">
        <v>645127</v>
      </c>
      <c r="G396" s="4">
        <v>1953</v>
      </c>
      <c r="H396" s="4">
        <v>1836</v>
      </c>
      <c r="I396" s="4">
        <v>117</v>
      </c>
      <c r="J396" s="4">
        <v>647080</v>
      </c>
    </row>
    <row r="397" spans="1:10" x14ac:dyDescent="0.75">
      <c r="A397" t="s">
        <v>151</v>
      </c>
      <c r="B397">
        <v>149</v>
      </c>
      <c r="C397" t="s">
        <v>42</v>
      </c>
      <c r="D397">
        <v>2640</v>
      </c>
      <c r="E397" t="s">
        <v>431</v>
      </c>
      <c r="F397" s="4">
        <v>0</v>
      </c>
      <c r="G397" s="4">
        <v>620118</v>
      </c>
      <c r="H397" s="4">
        <v>620118</v>
      </c>
      <c r="I397" s="4">
        <v>0</v>
      </c>
      <c r="J397" s="4">
        <v>620118</v>
      </c>
    </row>
    <row r="398" spans="1:10" x14ac:dyDescent="0.75">
      <c r="A398" t="s">
        <v>151</v>
      </c>
      <c r="B398">
        <v>149</v>
      </c>
      <c r="C398" t="s">
        <v>42</v>
      </c>
      <c r="D398">
        <v>4420</v>
      </c>
      <c r="E398" t="s">
        <v>381</v>
      </c>
      <c r="F398" s="4">
        <v>0</v>
      </c>
      <c r="G398" s="4">
        <v>601596</v>
      </c>
      <c r="H398" s="4">
        <v>21</v>
      </c>
      <c r="I398" s="4">
        <v>601575</v>
      </c>
      <c r="J398" s="4">
        <v>601596</v>
      </c>
    </row>
    <row r="399" spans="1:10" x14ac:dyDescent="0.75">
      <c r="A399" t="s">
        <v>151</v>
      </c>
      <c r="B399">
        <v>149</v>
      </c>
      <c r="C399" t="s">
        <v>42</v>
      </c>
      <c r="D399">
        <v>4225</v>
      </c>
      <c r="E399" t="s">
        <v>380</v>
      </c>
      <c r="F399" s="4">
        <v>0</v>
      </c>
      <c r="G399" s="4">
        <v>367265</v>
      </c>
      <c r="H399" s="4">
        <v>689</v>
      </c>
      <c r="I399" s="4">
        <v>366576</v>
      </c>
      <c r="J399" s="4">
        <v>367265</v>
      </c>
    </row>
    <row r="400" spans="1:10" x14ac:dyDescent="0.75">
      <c r="A400" t="s">
        <v>151</v>
      </c>
      <c r="B400">
        <v>149</v>
      </c>
      <c r="C400" t="s">
        <v>42</v>
      </c>
      <c r="D400">
        <v>2340</v>
      </c>
      <c r="E400" t="s">
        <v>369</v>
      </c>
      <c r="F400" s="4">
        <v>216168</v>
      </c>
      <c r="G400" s="4">
        <v>0</v>
      </c>
      <c r="H400" s="4">
        <v>0</v>
      </c>
      <c r="I400" s="4">
        <v>0</v>
      </c>
      <c r="J400" s="4">
        <v>216168</v>
      </c>
    </row>
    <row r="401" spans="1:10" x14ac:dyDescent="0.75">
      <c r="A401" t="s">
        <v>151</v>
      </c>
      <c r="B401">
        <v>149</v>
      </c>
      <c r="C401" t="s">
        <v>42</v>
      </c>
      <c r="D401">
        <v>6885</v>
      </c>
      <c r="E401" t="s">
        <v>493</v>
      </c>
      <c r="F401" s="4">
        <v>0</v>
      </c>
      <c r="G401" s="4">
        <v>132688</v>
      </c>
      <c r="H401" s="4">
        <v>132386</v>
      </c>
      <c r="I401" s="4">
        <v>302</v>
      </c>
      <c r="J401" s="4">
        <v>132688</v>
      </c>
    </row>
    <row r="402" spans="1:10" x14ac:dyDescent="0.75">
      <c r="A402" t="s">
        <v>151</v>
      </c>
      <c r="B402">
        <v>149</v>
      </c>
      <c r="C402" t="s">
        <v>42</v>
      </c>
      <c r="D402">
        <v>5220</v>
      </c>
      <c r="E402" t="s">
        <v>401</v>
      </c>
      <c r="F402" s="4">
        <v>103177</v>
      </c>
      <c r="G402" s="4">
        <v>32</v>
      </c>
      <c r="H402" s="4">
        <v>25</v>
      </c>
      <c r="I402" s="4">
        <v>7</v>
      </c>
      <c r="J402" s="4">
        <v>103209</v>
      </c>
    </row>
    <row r="403" spans="1:10" x14ac:dyDescent="0.75">
      <c r="A403" t="s">
        <v>151</v>
      </c>
      <c r="B403">
        <v>149</v>
      </c>
      <c r="C403" t="s">
        <v>42</v>
      </c>
      <c r="D403">
        <v>5290</v>
      </c>
      <c r="E403" t="s">
        <v>415</v>
      </c>
      <c r="F403" s="4">
        <v>0</v>
      </c>
      <c r="G403" s="4">
        <v>100692</v>
      </c>
      <c r="H403" s="4">
        <v>99558</v>
      </c>
      <c r="I403" s="4">
        <v>1134</v>
      </c>
      <c r="J403" s="4">
        <v>100692</v>
      </c>
    </row>
    <row r="404" spans="1:10" x14ac:dyDescent="0.75">
      <c r="A404" t="s">
        <v>151</v>
      </c>
      <c r="B404">
        <v>149</v>
      </c>
      <c r="C404" t="s">
        <v>42</v>
      </c>
      <c r="D404">
        <v>6653</v>
      </c>
      <c r="E404" t="s">
        <v>395</v>
      </c>
      <c r="F404" s="4">
        <v>0</v>
      </c>
      <c r="G404" s="4">
        <v>99925</v>
      </c>
      <c r="H404" s="4">
        <v>99280</v>
      </c>
      <c r="I404" s="4">
        <v>645</v>
      </c>
      <c r="J404" s="4">
        <v>99925</v>
      </c>
    </row>
    <row r="405" spans="1:10" x14ac:dyDescent="0.75">
      <c r="A405" t="s">
        <v>151</v>
      </c>
      <c r="B405">
        <v>149</v>
      </c>
      <c r="C405" t="s">
        <v>42</v>
      </c>
      <c r="D405">
        <v>7900</v>
      </c>
      <c r="E405" t="s">
        <v>388</v>
      </c>
      <c r="F405" s="4">
        <v>0</v>
      </c>
      <c r="G405" s="4">
        <v>94573</v>
      </c>
      <c r="H405" s="4">
        <v>81567</v>
      </c>
      <c r="I405" s="4">
        <v>13006</v>
      </c>
      <c r="J405" s="4">
        <v>94573</v>
      </c>
    </row>
    <row r="406" spans="1:10" x14ac:dyDescent="0.75">
      <c r="A406" t="s">
        <v>151</v>
      </c>
      <c r="B406">
        <v>149</v>
      </c>
      <c r="C406" t="s">
        <v>42</v>
      </c>
      <c r="D406">
        <v>7210</v>
      </c>
      <c r="E406" t="s">
        <v>426</v>
      </c>
      <c r="F406" s="4">
        <v>0</v>
      </c>
      <c r="G406" s="4">
        <v>83470</v>
      </c>
      <c r="H406" s="4">
        <v>77625</v>
      </c>
      <c r="I406" s="4">
        <v>5845</v>
      </c>
      <c r="J406" s="4">
        <v>83470</v>
      </c>
    </row>
    <row r="407" spans="1:10" x14ac:dyDescent="0.75">
      <c r="A407" t="s">
        <v>151</v>
      </c>
      <c r="B407">
        <v>149</v>
      </c>
      <c r="C407" t="s">
        <v>42</v>
      </c>
      <c r="D407">
        <v>7500</v>
      </c>
      <c r="E407" t="s">
        <v>427</v>
      </c>
      <c r="F407" s="4">
        <v>0</v>
      </c>
      <c r="G407" s="4">
        <v>81430</v>
      </c>
      <c r="H407" s="4">
        <v>57015</v>
      </c>
      <c r="I407" s="4">
        <v>24415</v>
      </c>
      <c r="J407" s="4">
        <v>81430</v>
      </c>
    </row>
    <row r="408" spans="1:10" x14ac:dyDescent="0.75">
      <c r="A408" t="s">
        <v>151</v>
      </c>
      <c r="B408">
        <v>149</v>
      </c>
      <c r="C408" t="s">
        <v>42</v>
      </c>
      <c r="D408">
        <v>4170</v>
      </c>
      <c r="E408" t="s">
        <v>424</v>
      </c>
      <c r="F408" s="4">
        <v>0</v>
      </c>
      <c r="G408" s="4">
        <v>67827</v>
      </c>
      <c r="H408" s="4">
        <v>102</v>
      </c>
      <c r="I408" s="4">
        <v>67725</v>
      </c>
      <c r="J408" s="4">
        <v>67827</v>
      </c>
    </row>
    <row r="409" spans="1:10" x14ac:dyDescent="0.75">
      <c r="A409" t="s">
        <v>151</v>
      </c>
      <c r="B409">
        <v>149</v>
      </c>
      <c r="C409" t="s">
        <v>42</v>
      </c>
      <c r="D409">
        <v>7600</v>
      </c>
      <c r="E409" t="s">
        <v>503</v>
      </c>
      <c r="F409" s="4">
        <v>0</v>
      </c>
      <c r="G409" s="4">
        <v>62525</v>
      </c>
      <c r="H409" s="4">
        <v>57988</v>
      </c>
      <c r="I409" s="4">
        <v>4537</v>
      </c>
      <c r="J409" s="4">
        <v>62525</v>
      </c>
    </row>
    <row r="410" spans="1:10" x14ac:dyDescent="0.75">
      <c r="A410" t="s">
        <v>151</v>
      </c>
      <c r="B410">
        <v>149</v>
      </c>
      <c r="C410" t="s">
        <v>42</v>
      </c>
      <c r="D410">
        <v>5120</v>
      </c>
      <c r="E410" t="s">
        <v>461</v>
      </c>
      <c r="F410" s="4">
        <v>0</v>
      </c>
      <c r="G410" s="4">
        <v>58024</v>
      </c>
      <c r="H410" s="4">
        <v>37309</v>
      </c>
      <c r="I410" s="4">
        <v>20715</v>
      </c>
      <c r="J410" s="4">
        <v>58024</v>
      </c>
    </row>
    <row r="411" spans="1:10" x14ac:dyDescent="0.75">
      <c r="A411" t="s">
        <v>151</v>
      </c>
      <c r="B411">
        <v>149</v>
      </c>
      <c r="C411" t="s">
        <v>42</v>
      </c>
      <c r="D411">
        <v>3286</v>
      </c>
      <c r="E411" t="s">
        <v>423</v>
      </c>
      <c r="F411" s="4">
        <v>0</v>
      </c>
      <c r="G411" s="4">
        <v>56241</v>
      </c>
      <c r="H411" s="4">
        <v>43625</v>
      </c>
      <c r="I411" s="4">
        <v>12616</v>
      </c>
      <c r="J411" s="4">
        <v>56241</v>
      </c>
    </row>
    <row r="412" spans="1:10" x14ac:dyDescent="0.75">
      <c r="A412" t="s">
        <v>151</v>
      </c>
      <c r="B412">
        <v>149</v>
      </c>
      <c r="C412" t="s">
        <v>42</v>
      </c>
      <c r="D412">
        <v>4900</v>
      </c>
      <c r="E412" t="s">
        <v>383</v>
      </c>
      <c r="F412" s="4">
        <v>0</v>
      </c>
      <c r="G412" s="4">
        <v>53128</v>
      </c>
      <c r="H412" s="4">
        <v>52272</v>
      </c>
      <c r="I412" s="4">
        <v>856</v>
      </c>
      <c r="J412" s="4">
        <v>53128</v>
      </c>
    </row>
    <row r="413" spans="1:10" x14ac:dyDescent="0.75">
      <c r="A413" t="s">
        <v>151</v>
      </c>
      <c r="B413">
        <v>149</v>
      </c>
      <c r="C413" t="s">
        <v>42</v>
      </c>
      <c r="D413">
        <v>4860</v>
      </c>
      <c r="E413" t="s">
        <v>400</v>
      </c>
      <c r="F413" s="4">
        <v>49575</v>
      </c>
      <c r="G413" s="4">
        <v>0</v>
      </c>
      <c r="H413" s="4">
        <v>0</v>
      </c>
      <c r="I413" s="4">
        <v>0</v>
      </c>
      <c r="J413" s="4">
        <v>49575</v>
      </c>
    </row>
    <row r="414" spans="1:10" x14ac:dyDescent="0.75">
      <c r="A414" t="s">
        <v>151</v>
      </c>
      <c r="B414">
        <v>149</v>
      </c>
      <c r="C414" t="s">
        <v>42</v>
      </c>
      <c r="D414">
        <v>5480</v>
      </c>
      <c r="E414" t="s">
        <v>386</v>
      </c>
      <c r="F414" s="4">
        <v>0</v>
      </c>
      <c r="G414" s="4">
        <v>46764</v>
      </c>
      <c r="H414" s="4">
        <v>43085</v>
      </c>
      <c r="I414" s="4">
        <v>3679</v>
      </c>
      <c r="J414" s="4">
        <v>46764</v>
      </c>
    </row>
    <row r="415" spans="1:10" x14ac:dyDescent="0.75">
      <c r="A415" t="s">
        <v>151</v>
      </c>
      <c r="B415">
        <v>149</v>
      </c>
      <c r="C415" t="s">
        <v>42</v>
      </c>
      <c r="D415">
        <v>4680</v>
      </c>
      <c r="E415" t="s">
        <v>459</v>
      </c>
      <c r="F415" s="4">
        <v>0</v>
      </c>
      <c r="G415" s="4">
        <v>46757</v>
      </c>
      <c r="H415" s="4">
        <v>21</v>
      </c>
      <c r="I415" s="4">
        <v>46736</v>
      </c>
      <c r="J415" s="4">
        <v>46757</v>
      </c>
    </row>
    <row r="416" spans="1:10" x14ac:dyDescent="0.75">
      <c r="A416" t="s">
        <v>151</v>
      </c>
      <c r="B416">
        <v>149</v>
      </c>
      <c r="C416" t="s">
        <v>42</v>
      </c>
      <c r="D416">
        <v>4189</v>
      </c>
      <c r="E416" t="s">
        <v>451</v>
      </c>
      <c r="F416" s="4">
        <v>0</v>
      </c>
      <c r="G416" s="4">
        <v>45254</v>
      </c>
      <c r="H416" s="4">
        <v>10824</v>
      </c>
      <c r="I416" s="4">
        <v>34430</v>
      </c>
      <c r="J416" s="4">
        <v>45254</v>
      </c>
    </row>
    <row r="417" spans="1:10" x14ac:dyDescent="0.75">
      <c r="A417" t="s">
        <v>151</v>
      </c>
      <c r="B417">
        <v>149</v>
      </c>
      <c r="C417" t="s">
        <v>42</v>
      </c>
      <c r="D417">
        <v>6134</v>
      </c>
      <c r="E417" t="s">
        <v>470</v>
      </c>
      <c r="F417" s="4">
        <v>0</v>
      </c>
      <c r="G417" s="4">
        <v>38400</v>
      </c>
      <c r="H417" s="4">
        <v>33236</v>
      </c>
      <c r="I417" s="4">
        <v>5164</v>
      </c>
      <c r="J417" s="4">
        <v>38400</v>
      </c>
    </row>
    <row r="418" spans="1:10" x14ac:dyDescent="0.75">
      <c r="A418" t="s">
        <v>151</v>
      </c>
      <c r="B418">
        <v>149</v>
      </c>
      <c r="C418" t="s">
        <v>42</v>
      </c>
      <c r="D418">
        <v>6747</v>
      </c>
      <c r="E418" t="s">
        <v>478</v>
      </c>
      <c r="F418" s="4">
        <v>0</v>
      </c>
      <c r="G418" s="4">
        <v>38397</v>
      </c>
      <c r="H418" s="4">
        <v>37661</v>
      </c>
      <c r="I418" s="4">
        <v>736</v>
      </c>
      <c r="J418" s="4">
        <v>38397</v>
      </c>
    </row>
    <row r="419" spans="1:10" x14ac:dyDescent="0.75">
      <c r="A419" t="s">
        <v>151</v>
      </c>
      <c r="B419">
        <v>149</v>
      </c>
      <c r="C419" t="s">
        <v>42</v>
      </c>
      <c r="D419">
        <v>6136</v>
      </c>
      <c r="E419" t="s">
        <v>471</v>
      </c>
      <c r="F419" s="4">
        <v>0</v>
      </c>
      <c r="G419" s="4">
        <v>34385</v>
      </c>
      <c r="H419" s="4">
        <v>19187</v>
      </c>
      <c r="I419" s="4">
        <v>15198</v>
      </c>
      <c r="J419" s="4">
        <v>34385</v>
      </c>
    </row>
    <row r="420" spans="1:10" x14ac:dyDescent="0.75">
      <c r="A420" t="s">
        <v>151</v>
      </c>
      <c r="B420">
        <v>149</v>
      </c>
      <c r="C420" t="s">
        <v>42</v>
      </c>
      <c r="D420">
        <v>7110</v>
      </c>
      <c r="E420" t="s">
        <v>371</v>
      </c>
      <c r="F420" s="4">
        <v>0</v>
      </c>
      <c r="G420" s="4">
        <v>34110</v>
      </c>
      <c r="H420" s="4">
        <v>30402</v>
      </c>
      <c r="I420" s="4">
        <v>3708</v>
      </c>
      <c r="J420" s="4">
        <v>34110</v>
      </c>
    </row>
    <row r="421" spans="1:10" x14ac:dyDescent="0.75">
      <c r="A421" t="s">
        <v>151</v>
      </c>
      <c r="B421">
        <v>149</v>
      </c>
      <c r="C421" t="s">
        <v>42</v>
      </c>
      <c r="D421">
        <v>7120</v>
      </c>
      <c r="E421" t="s">
        <v>499</v>
      </c>
      <c r="F421" s="4">
        <v>0</v>
      </c>
      <c r="G421" s="4">
        <v>33070</v>
      </c>
      <c r="H421" s="4">
        <v>28754</v>
      </c>
      <c r="I421" s="4">
        <v>4316</v>
      </c>
      <c r="J421" s="4">
        <v>33070</v>
      </c>
    </row>
    <row r="422" spans="1:10" x14ac:dyDescent="0.75">
      <c r="A422" t="s">
        <v>151</v>
      </c>
      <c r="B422">
        <v>149</v>
      </c>
      <c r="C422" t="s">
        <v>42</v>
      </c>
      <c r="D422">
        <v>6654</v>
      </c>
      <c r="E422" t="s">
        <v>419</v>
      </c>
      <c r="F422" s="4">
        <v>0</v>
      </c>
      <c r="G422" s="4">
        <v>18931</v>
      </c>
      <c r="H422" s="4">
        <v>18556</v>
      </c>
      <c r="I422" s="4">
        <v>375</v>
      </c>
      <c r="J422" s="4">
        <v>18931</v>
      </c>
    </row>
    <row r="423" spans="1:10" x14ac:dyDescent="0.75">
      <c r="A423" t="s">
        <v>151</v>
      </c>
      <c r="B423">
        <v>149</v>
      </c>
      <c r="C423" t="s">
        <v>42</v>
      </c>
      <c r="D423">
        <v>6889</v>
      </c>
      <c r="E423" t="s">
        <v>420</v>
      </c>
      <c r="F423" s="4">
        <v>0</v>
      </c>
      <c r="G423" s="4">
        <v>17580</v>
      </c>
      <c r="H423" s="4">
        <v>14211</v>
      </c>
      <c r="I423" s="4">
        <v>3369</v>
      </c>
      <c r="J423" s="4">
        <v>17580</v>
      </c>
    </row>
    <row r="424" spans="1:10" x14ac:dyDescent="0.75">
      <c r="A424" t="s">
        <v>151</v>
      </c>
      <c r="B424">
        <v>149</v>
      </c>
      <c r="C424" t="s">
        <v>42</v>
      </c>
      <c r="D424">
        <v>5240</v>
      </c>
      <c r="E424" t="s">
        <v>464</v>
      </c>
      <c r="F424" s="4">
        <v>0</v>
      </c>
      <c r="G424" s="4">
        <v>17171</v>
      </c>
      <c r="H424" s="4">
        <v>16032</v>
      </c>
      <c r="I424" s="4">
        <v>1139</v>
      </c>
      <c r="J424" s="4">
        <v>17171</v>
      </c>
    </row>
    <row r="425" spans="1:10" x14ac:dyDescent="0.75">
      <c r="A425" t="s">
        <v>151</v>
      </c>
      <c r="B425">
        <v>149</v>
      </c>
      <c r="C425" t="s">
        <v>42</v>
      </c>
      <c r="D425">
        <v>9900</v>
      </c>
      <c r="E425" t="s">
        <v>389</v>
      </c>
      <c r="F425" s="4">
        <v>0</v>
      </c>
      <c r="G425" s="4">
        <v>15374</v>
      </c>
      <c r="H425" s="4">
        <v>6590</v>
      </c>
      <c r="I425" s="4">
        <v>8784</v>
      </c>
      <c r="J425" s="4">
        <v>15374</v>
      </c>
    </row>
    <row r="426" spans="1:10" x14ac:dyDescent="0.75">
      <c r="A426" t="s">
        <v>151</v>
      </c>
      <c r="B426">
        <v>149</v>
      </c>
      <c r="C426" t="s">
        <v>42</v>
      </c>
      <c r="D426">
        <v>3299</v>
      </c>
      <c r="E426" t="s">
        <v>448</v>
      </c>
      <c r="F426" s="4">
        <v>0</v>
      </c>
      <c r="G426" s="4">
        <v>14555</v>
      </c>
      <c r="H426" s="4">
        <v>13080</v>
      </c>
      <c r="I426" s="4">
        <v>1475</v>
      </c>
      <c r="J426" s="4">
        <v>14555</v>
      </c>
    </row>
    <row r="427" spans="1:10" x14ac:dyDescent="0.75">
      <c r="A427" t="s">
        <v>151</v>
      </c>
      <c r="B427">
        <v>149</v>
      </c>
      <c r="C427" t="s">
        <v>42</v>
      </c>
      <c r="D427">
        <v>6839</v>
      </c>
      <c r="E427" t="s">
        <v>485</v>
      </c>
      <c r="F427" s="4">
        <v>0</v>
      </c>
      <c r="G427" s="4">
        <v>13637</v>
      </c>
      <c r="H427" s="4">
        <v>767</v>
      </c>
      <c r="I427" s="4">
        <v>12870</v>
      </c>
      <c r="J427" s="4">
        <v>13637</v>
      </c>
    </row>
    <row r="428" spans="1:10" x14ac:dyDescent="0.75">
      <c r="A428" t="s">
        <v>151</v>
      </c>
      <c r="B428">
        <v>149</v>
      </c>
      <c r="C428" t="s">
        <v>42</v>
      </c>
      <c r="D428">
        <v>5422</v>
      </c>
      <c r="E428" t="s">
        <v>468</v>
      </c>
      <c r="F428" s="4">
        <v>0</v>
      </c>
      <c r="G428" s="4">
        <v>12647</v>
      </c>
      <c r="H428" s="4">
        <v>11613</v>
      </c>
      <c r="I428" s="4">
        <v>1034</v>
      </c>
      <c r="J428" s="4">
        <v>12647</v>
      </c>
    </row>
    <row r="429" spans="1:10" x14ac:dyDescent="0.75">
      <c r="A429" t="s">
        <v>151</v>
      </c>
      <c r="B429">
        <v>149</v>
      </c>
      <c r="C429" t="s">
        <v>42</v>
      </c>
      <c r="D429">
        <v>5540</v>
      </c>
      <c r="E429" t="s">
        <v>469</v>
      </c>
      <c r="F429" s="4">
        <v>0</v>
      </c>
      <c r="G429" s="4">
        <v>12546</v>
      </c>
      <c r="H429" s="4">
        <v>11931</v>
      </c>
      <c r="I429" s="4">
        <v>615</v>
      </c>
      <c r="J429" s="4">
        <v>12546</v>
      </c>
    </row>
    <row r="430" spans="1:10" x14ac:dyDescent="0.75">
      <c r="A430" t="s">
        <v>151</v>
      </c>
      <c r="B430">
        <v>149</v>
      </c>
      <c r="C430" t="s">
        <v>42</v>
      </c>
      <c r="D430">
        <v>4310</v>
      </c>
      <c r="E430" t="s">
        <v>453</v>
      </c>
      <c r="F430" s="4">
        <v>0</v>
      </c>
      <c r="G430" s="4">
        <v>12231</v>
      </c>
      <c r="H430" s="4">
        <v>12155</v>
      </c>
      <c r="I430" s="4">
        <v>76</v>
      </c>
      <c r="J430" s="4">
        <v>12231</v>
      </c>
    </row>
    <row r="431" spans="1:10" x14ac:dyDescent="0.75">
      <c r="A431" t="s">
        <v>151</v>
      </c>
      <c r="B431">
        <v>149</v>
      </c>
      <c r="C431" t="s">
        <v>42</v>
      </c>
      <c r="D431">
        <v>2429</v>
      </c>
      <c r="E431" t="s">
        <v>375</v>
      </c>
      <c r="F431" s="4">
        <v>10835</v>
      </c>
      <c r="G431" s="4">
        <v>0</v>
      </c>
      <c r="H431" s="4">
        <v>0</v>
      </c>
      <c r="I431" s="4">
        <v>0</v>
      </c>
      <c r="J431" s="4">
        <v>10835</v>
      </c>
    </row>
    <row r="432" spans="1:10" x14ac:dyDescent="0.75">
      <c r="A432" t="s">
        <v>151</v>
      </c>
      <c r="B432">
        <v>149</v>
      </c>
      <c r="C432" t="s">
        <v>42</v>
      </c>
      <c r="D432">
        <v>7400</v>
      </c>
      <c r="E432" t="s">
        <v>502</v>
      </c>
      <c r="F432" s="4">
        <v>0</v>
      </c>
      <c r="G432" s="4">
        <v>9264</v>
      </c>
      <c r="H432" s="4">
        <v>8558</v>
      </c>
      <c r="I432" s="4">
        <v>706</v>
      </c>
      <c r="J432" s="4">
        <v>9264</v>
      </c>
    </row>
    <row r="433" spans="1:10" x14ac:dyDescent="0.75">
      <c r="A433" t="s">
        <v>151</v>
      </c>
      <c r="B433">
        <v>149</v>
      </c>
      <c r="C433" t="s">
        <v>42</v>
      </c>
      <c r="D433">
        <v>5190</v>
      </c>
      <c r="E433" t="s">
        <v>462</v>
      </c>
      <c r="F433" s="4">
        <v>0</v>
      </c>
      <c r="G433" s="4">
        <v>8458</v>
      </c>
      <c r="H433" s="4">
        <v>8036</v>
      </c>
      <c r="I433" s="4">
        <v>422</v>
      </c>
      <c r="J433" s="4">
        <v>8458</v>
      </c>
    </row>
    <row r="434" spans="1:10" x14ac:dyDescent="0.75">
      <c r="A434" t="s">
        <v>151</v>
      </c>
      <c r="B434">
        <v>149</v>
      </c>
      <c r="C434" t="s">
        <v>42</v>
      </c>
      <c r="D434">
        <v>6835</v>
      </c>
      <c r="E434" t="s">
        <v>483</v>
      </c>
      <c r="F434" s="4">
        <v>0</v>
      </c>
      <c r="G434" s="4">
        <v>8183</v>
      </c>
      <c r="H434" s="4">
        <v>7920</v>
      </c>
      <c r="I434" s="4">
        <v>263</v>
      </c>
      <c r="J434" s="4">
        <v>8183</v>
      </c>
    </row>
    <row r="435" spans="1:10" x14ac:dyDescent="0.75">
      <c r="A435" t="s">
        <v>151</v>
      </c>
      <c r="B435">
        <v>149</v>
      </c>
      <c r="C435" t="s">
        <v>42</v>
      </c>
      <c r="D435">
        <v>6822</v>
      </c>
      <c r="E435" t="s">
        <v>482</v>
      </c>
      <c r="F435" s="4">
        <v>0</v>
      </c>
      <c r="G435" s="4">
        <v>7888</v>
      </c>
      <c r="H435" s="4">
        <v>1909</v>
      </c>
      <c r="I435" s="4">
        <v>5979</v>
      </c>
      <c r="J435" s="4">
        <v>7888</v>
      </c>
    </row>
    <row r="436" spans="1:10" x14ac:dyDescent="0.75">
      <c r="A436" t="s">
        <v>151</v>
      </c>
      <c r="B436">
        <v>149</v>
      </c>
      <c r="C436" t="s">
        <v>42</v>
      </c>
      <c r="D436">
        <v>5421</v>
      </c>
      <c r="E436" t="s">
        <v>467</v>
      </c>
      <c r="F436" s="4">
        <v>0</v>
      </c>
      <c r="G436" s="4">
        <v>7413</v>
      </c>
      <c r="H436" s="4">
        <v>6536</v>
      </c>
      <c r="I436" s="4">
        <v>877</v>
      </c>
      <c r="J436" s="4">
        <v>7413</v>
      </c>
    </row>
    <row r="437" spans="1:10" x14ac:dyDescent="0.75">
      <c r="A437" t="s">
        <v>151</v>
      </c>
      <c r="B437">
        <v>149</v>
      </c>
      <c r="C437" t="s">
        <v>42</v>
      </c>
      <c r="D437">
        <v>6858</v>
      </c>
      <c r="E437" t="s">
        <v>488</v>
      </c>
      <c r="F437" s="4">
        <v>0</v>
      </c>
      <c r="G437" s="4">
        <v>6905</v>
      </c>
      <c r="H437" s="4">
        <v>5688</v>
      </c>
      <c r="I437" s="4">
        <v>1217</v>
      </c>
      <c r="J437" s="4">
        <v>6905</v>
      </c>
    </row>
    <row r="438" spans="1:10" x14ac:dyDescent="0.75">
      <c r="A438" t="s">
        <v>151</v>
      </c>
      <c r="B438">
        <v>149</v>
      </c>
      <c r="C438" t="s">
        <v>42</v>
      </c>
      <c r="D438">
        <v>3276</v>
      </c>
      <c r="E438" t="s">
        <v>379</v>
      </c>
      <c r="F438" s="4">
        <v>0</v>
      </c>
      <c r="G438" s="4">
        <v>5270</v>
      </c>
      <c r="H438" s="4">
        <v>4326</v>
      </c>
      <c r="I438" s="4">
        <v>944</v>
      </c>
      <c r="J438" s="4">
        <v>5270</v>
      </c>
    </row>
    <row r="439" spans="1:10" x14ac:dyDescent="0.75">
      <c r="A439" t="s">
        <v>151</v>
      </c>
      <c r="B439">
        <v>149</v>
      </c>
      <c r="C439" t="s">
        <v>42</v>
      </c>
      <c r="D439">
        <v>3292</v>
      </c>
      <c r="E439" t="s">
        <v>413</v>
      </c>
      <c r="F439" s="4">
        <v>0</v>
      </c>
      <c r="G439" s="4">
        <v>4999</v>
      </c>
      <c r="H439" s="4">
        <v>4396</v>
      </c>
      <c r="I439" s="4">
        <v>603</v>
      </c>
      <c r="J439" s="4">
        <v>4999</v>
      </c>
    </row>
    <row r="440" spans="1:10" x14ac:dyDescent="0.75">
      <c r="A440" t="s">
        <v>151</v>
      </c>
      <c r="B440">
        <v>149</v>
      </c>
      <c r="C440" t="s">
        <v>42</v>
      </c>
      <c r="D440">
        <v>3285</v>
      </c>
      <c r="E440" t="s">
        <v>443</v>
      </c>
      <c r="F440" s="4">
        <v>0</v>
      </c>
      <c r="G440" s="4">
        <v>4963</v>
      </c>
      <c r="H440" s="4">
        <v>4046</v>
      </c>
      <c r="I440" s="4">
        <v>917</v>
      </c>
      <c r="J440" s="4">
        <v>4963</v>
      </c>
    </row>
    <row r="441" spans="1:10" x14ac:dyDescent="0.75">
      <c r="A441" t="s">
        <v>151</v>
      </c>
      <c r="B441">
        <v>149</v>
      </c>
      <c r="C441" t="s">
        <v>42</v>
      </c>
      <c r="D441">
        <v>3275</v>
      </c>
      <c r="E441" t="s">
        <v>412</v>
      </c>
      <c r="F441" s="4">
        <v>0</v>
      </c>
      <c r="G441" s="4">
        <v>4531</v>
      </c>
      <c r="H441" s="4">
        <v>3149</v>
      </c>
      <c r="I441" s="4">
        <v>1382</v>
      </c>
      <c r="J441" s="4">
        <v>4531</v>
      </c>
    </row>
    <row r="442" spans="1:10" x14ac:dyDescent="0.75">
      <c r="A442" t="s">
        <v>151</v>
      </c>
      <c r="B442">
        <v>149</v>
      </c>
      <c r="C442" t="s">
        <v>42</v>
      </c>
      <c r="D442">
        <v>4331</v>
      </c>
      <c r="E442" t="s">
        <v>390</v>
      </c>
      <c r="F442" s="4">
        <v>0</v>
      </c>
      <c r="G442" s="4">
        <v>3706</v>
      </c>
      <c r="H442" s="4">
        <v>224</v>
      </c>
      <c r="I442" s="4">
        <v>3482</v>
      </c>
      <c r="J442" s="4">
        <v>3706</v>
      </c>
    </row>
    <row r="443" spans="1:10" x14ac:dyDescent="0.75">
      <c r="A443" t="s">
        <v>151</v>
      </c>
      <c r="B443">
        <v>149</v>
      </c>
      <c r="C443" t="s">
        <v>42</v>
      </c>
      <c r="D443">
        <v>3282</v>
      </c>
      <c r="E443" t="s">
        <v>440</v>
      </c>
      <c r="F443" s="4">
        <v>0</v>
      </c>
      <c r="G443" s="4">
        <v>3660</v>
      </c>
      <c r="H443" s="4">
        <v>2418</v>
      </c>
      <c r="I443" s="4">
        <v>1242</v>
      </c>
      <c r="J443" s="4">
        <v>3660</v>
      </c>
    </row>
    <row r="444" spans="1:10" x14ac:dyDescent="0.75">
      <c r="A444" t="s">
        <v>151</v>
      </c>
      <c r="B444">
        <v>149</v>
      </c>
      <c r="C444" t="s">
        <v>42</v>
      </c>
      <c r="D444">
        <v>3230</v>
      </c>
      <c r="E444" t="s">
        <v>434</v>
      </c>
      <c r="F444" s="4">
        <v>0</v>
      </c>
      <c r="G444" s="4">
        <v>3610</v>
      </c>
      <c r="H444" s="4">
        <v>3577</v>
      </c>
      <c r="I444" s="4">
        <v>33</v>
      </c>
      <c r="J444" s="4">
        <v>3610</v>
      </c>
    </row>
    <row r="445" spans="1:10" x14ac:dyDescent="0.75">
      <c r="A445" t="s">
        <v>151</v>
      </c>
      <c r="B445">
        <v>149</v>
      </c>
      <c r="C445" t="s">
        <v>42</v>
      </c>
      <c r="D445">
        <v>6782</v>
      </c>
      <c r="E445" t="s">
        <v>396</v>
      </c>
      <c r="F445" s="4">
        <v>0</v>
      </c>
      <c r="G445" s="4">
        <v>3553</v>
      </c>
      <c r="H445" s="4">
        <v>3231</v>
      </c>
      <c r="I445" s="4">
        <v>322</v>
      </c>
      <c r="J445" s="4">
        <v>3553</v>
      </c>
    </row>
    <row r="446" spans="1:10" x14ac:dyDescent="0.75">
      <c r="A446" t="s">
        <v>151</v>
      </c>
      <c r="B446">
        <v>149</v>
      </c>
      <c r="C446" t="s">
        <v>42</v>
      </c>
      <c r="D446">
        <v>5360</v>
      </c>
      <c r="E446" t="s">
        <v>465</v>
      </c>
      <c r="F446" s="4">
        <v>0</v>
      </c>
      <c r="G446" s="4">
        <v>3463</v>
      </c>
      <c r="H446" s="4">
        <v>3309</v>
      </c>
      <c r="I446" s="4">
        <v>154</v>
      </c>
      <c r="J446" s="4">
        <v>3463</v>
      </c>
    </row>
    <row r="447" spans="1:10" x14ac:dyDescent="0.75">
      <c r="A447" t="s">
        <v>151</v>
      </c>
      <c r="B447">
        <v>149</v>
      </c>
      <c r="C447" t="s">
        <v>42</v>
      </c>
      <c r="D447">
        <v>5370</v>
      </c>
      <c r="E447" t="s">
        <v>466</v>
      </c>
      <c r="F447" s="4">
        <v>0</v>
      </c>
      <c r="G447" s="4">
        <v>2966</v>
      </c>
      <c r="H447" s="4">
        <v>2808</v>
      </c>
      <c r="I447" s="4">
        <v>158</v>
      </c>
      <c r="J447" s="4">
        <v>2966</v>
      </c>
    </row>
    <row r="448" spans="1:10" x14ac:dyDescent="0.75">
      <c r="A448" t="s">
        <v>151</v>
      </c>
      <c r="B448">
        <v>149</v>
      </c>
      <c r="C448" t="s">
        <v>42</v>
      </c>
      <c r="D448">
        <v>4190</v>
      </c>
      <c r="E448" t="s">
        <v>452</v>
      </c>
      <c r="F448" s="4">
        <v>0</v>
      </c>
      <c r="G448" s="4">
        <v>2938</v>
      </c>
      <c r="H448" s="4">
        <v>2867</v>
      </c>
      <c r="I448" s="4">
        <v>71</v>
      </c>
      <c r="J448" s="4">
        <v>2938</v>
      </c>
    </row>
    <row r="449" spans="1:10" x14ac:dyDescent="0.75">
      <c r="A449" t="s">
        <v>151</v>
      </c>
      <c r="B449">
        <v>149</v>
      </c>
      <c r="C449" t="s">
        <v>42</v>
      </c>
      <c r="D449">
        <v>5429</v>
      </c>
      <c r="E449" t="s">
        <v>429</v>
      </c>
      <c r="F449" s="4">
        <v>0</v>
      </c>
      <c r="G449" s="4">
        <v>2696</v>
      </c>
      <c r="H449" s="4">
        <v>2221</v>
      </c>
      <c r="I449" s="4">
        <v>475</v>
      </c>
      <c r="J449" s="4">
        <v>2696</v>
      </c>
    </row>
    <row r="450" spans="1:10" x14ac:dyDescent="0.75">
      <c r="A450" t="s">
        <v>151</v>
      </c>
      <c r="B450">
        <v>149</v>
      </c>
      <c r="C450" t="s">
        <v>42</v>
      </c>
      <c r="D450">
        <v>6888</v>
      </c>
      <c r="E450" t="s">
        <v>494</v>
      </c>
      <c r="F450" s="4">
        <v>0</v>
      </c>
      <c r="G450" s="4">
        <v>2540</v>
      </c>
      <c r="H450" s="4">
        <v>2540</v>
      </c>
      <c r="I450" s="4">
        <v>0</v>
      </c>
      <c r="J450" s="4">
        <v>2540</v>
      </c>
    </row>
    <row r="451" spans="1:10" x14ac:dyDescent="0.75">
      <c r="A451" t="s">
        <v>151</v>
      </c>
      <c r="B451">
        <v>149</v>
      </c>
      <c r="C451" t="s">
        <v>42</v>
      </c>
      <c r="D451">
        <v>5330</v>
      </c>
      <c r="E451" t="s">
        <v>385</v>
      </c>
      <c r="F451" s="4">
        <v>0</v>
      </c>
      <c r="G451" s="4">
        <v>2139</v>
      </c>
      <c r="H451" s="4">
        <v>1588</v>
      </c>
      <c r="I451" s="4">
        <v>551</v>
      </c>
      <c r="J451" s="4">
        <v>2139</v>
      </c>
    </row>
    <row r="452" spans="1:10" x14ac:dyDescent="0.75">
      <c r="A452" t="s">
        <v>151</v>
      </c>
      <c r="B452">
        <v>149</v>
      </c>
      <c r="C452" t="s">
        <v>42</v>
      </c>
      <c r="D452">
        <v>3283</v>
      </c>
      <c r="E452" t="s">
        <v>441</v>
      </c>
      <c r="F452" s="4">
        <v>0</v>
      </c>
      <c r="G452" s="4">
        <v>2102</v>
      </c>
      <c r="H452" s="4">
        <v>625</v>
      </c>
      <c r="I452" s="4">
        <v>1477</v>
      </c>
      <c r="J452" s="4">
        <v>2102</v>
      </c>
    </row>
    <row r="453" spans="1:10" x14ac:dyDescent="0.75">
      <c r="A453" t="s">
        <v>151</v>
      </c>
      <c r="B453">
        <v>149</v>
      </c>
      <c r="C453" t="s">
        <v>42</v>
      </c>
      <c r="D453">
        <v>6442</v>
      </c>
      <c r="E453" t="s">
        <v>472</v>
      </c>
      <c r="F453" s="4">
        <v>0</v>
      </c>
      <c r="G453" s="4">
        <v>1961</v>
      </c>
      <c r="H453" s="4">
        <v>1938</v>
      </c>
      <c r="I453" s="4">
        <v>23</v>
      </c>
      <c r="J453" s="4">
        <v>1961</v>
      </c>
    </row>
    <row r="454" spans="1:10" x14ac:dyDescent="0.75">
      <c r="A454" t="s">
        <v>151</v>
      </c>
      <c r="B454">
        <v>149</v>
      </c>
      <c r="C454" t="s">
        <v>42</v>
      </c>
      <c r="D454">
        <v>2410</v>
      </c>
      <c r="E454" t="s">
        <v>430</v>
      </c>
      <c r="F454" s="4">
        <v>0</v>
      </c>
      <c r="G454" s="4">
        <v>1941</v>
      </c>
      <c r="H454" s="4">
        <v>1873</v>
      </c>
      <c r="I454" s="4">
        <v>68</v>
      </c>
      <c r="J454" s="4">
        <v>1941</v>
      </c>
    </row>
    <row r="455" spans="1:10" x14ac:dyDescent="0.75">
      <c r="A455" t="s">
        <v>151</v>
      </c>
      <c r="B455">
        <v>149</v>
      </c>
      <c r="C455" t="s">
        <v>42</v>
      </c>
      <c r="D455">
        <v>3279</v>
      </c>
      <c r="E455" t="s">
        <v>422</v>
      </c>
      <c r="F455" s="4">
        <v>0</v>
      </c>
      <c r="G455" s="4">
        <v>1893</v>
      </c>
      <c r="H455" s="4">
        <v>1840</v>
      </c>
      <c r="I455" s="4">
        <v>53</v>
      </c>
      <c r="J455" s="4">
        <v>1893</v>
      </c>
    </row>
    <row r="456" spans="1:10" x14ac:dyDescent="0.75">
      <c r="A456" t="s">
        <v>151</v>
      </c>
      <c r="B456">
        <v>149</v>
      </c>
      <c r="C456" t="s">
        <v>42</v>
      </c>
      <c r="D456">
        <v>6893</v>
      </c>
      <c r="E456" t="s">
        <v>496</v>
      </c>
      <c r="F456" s="4">
        <v>0</v>
      </c>
      <c r="G456" s="4">
        <v>1352</v>
      </c>
      <c r="H456" s="4">
        <v>663</v>
      </c>
      <c r="I456" s="4">
        <v>689</v>
      </c>
      <c r="J456" s="4">
        <v>1352</v>
      </c>
    </row>
    <row r="457" spans="1:10" x14ac:dyDescent="0.75">
      <c r="A457" t="s">
        <v>151</v>
      </c>
      <c r="B457">
        <v>149</v>
      </c>
      <c r="C457" t="s">
        <v>42</v>
      </c>
      <c r="D457">
        <v>6894</v>
      </c>
      <c r="E457" t="s">
        <v>497</v>
      </c>
      <c r="F457" s="4">
        <v>0</v>
      </c>
      <c r="G457" s="4">
        <v>1334</v>
      </c>
      <c r="H457" s="4">
        <v>1334</v>
      </c>
      <c r="I457" s="4">
        <v>0</v>
      </c>
      <c r="J457" s="4">
        <v>1334</v>
      </c>
    </row>
    <row r="458" spans="1:10" x14ac:dyDescent="0.75">
      <c r="A458" t="s">
        <v>151</v>
      </c>
      <c r="B458">
        <v>149</v>
      </c>
      <c r="C458" t="s">
        <v>42</v>
      </c>
      <c r="D458">
        <v>6590</v>
      </c>
      <c r="E458" t="s">
        <v>394</v>
      </c>
      <c r="F458" s="4">
        <v>0</v>
      </c>
      <c r="G458" s="4">
        <v>1326</v>
      </c>
      <c r="H458" s="4">
        <v>831</v>
      </c>
      <c r="I458" s="4">
        <v>495</v>
      </c>
      <c r="J458" s="4">
        <v>1326</v>
      </c>
    </row>
    <row r="459" spans="1:10" x14ac:dyDescent="0.75">
      <c r="A459" t="s">
        <v>151</v>
      </c>
      <c r="B459">
        <v>149</v>
      </c>
      <c r="C459" t="s">
        <v>42</v>
      </c>
      <c r="D459">
        <v>3240</v>
      </c>
      <c r="E459" t="s">
        <v>410</v>
      </c>
      <c r="F459" s="4">
        <v>0</v>
      </c>
      <c r="G459" s="4">
        <v>1296</v>
      </c>
      <c r="H459" s="4">
        <v>1153</v>
      </c>
      <c r="I459" s="4">
        <v>143</v>
      </c>
      <c r="J459" s="4">
        <v>1296</v>
      </c>
    </row>
    <row r="460" spans="1:10" x14ac:dyDescent="0.75">
      <c r="A460" t="s">
        <v>151</v>
      </c>
      <c r="B460">
        <v>149</v>
      </c>
      <c r="C460" t="s">
        <v>42</v>
      </c>
      <c r="D460">
        <v>6811</v>
      </c>
      <c r="E460" t="s">
        <v>480</v>
      </c>
      <c r="F460" s="4">
        <v>0</v>
      </c>
      <c r="G460" s="4">
        <v>1270</v>
      </c>
      <c r="H460" s="4">
        <v>1078</v>
      </c>
      <c r="I460" s="4">
        <v>192</v>
      </c>
      <c r="J460" s="4">
        <v>1270</v>
      </c>
    </row>
    <row r="461" spans="1:10" x14ac:dyDescent="0.75">
      <c r="A461" t="s">
        <v>151</v>
      </c>
      <c r="B461">
        <v>149</v>
      </c>
      <c r="C461" t="s">
        <v>42</v>
      </c>
      <c r="D461">
        <v>3297</v>
      </c>
      <c r="E461" t="s">
        <v>446</v>
      </c>
      <c r="F461" s="4">
        <v>0</v>
      </c>
      <c r="G461" s="4">
        <v>1160</v>
      </c>
      <c r="H461" s="4">
        <v>519</v>
      </c>
      <c r="I461" s="4">
        <v>641</v>
      </c>
      <c r="J461" s="4">
        <v>1160</v>
      </c>
    </row>
    <row r="462" spans="1:10" x14ac:dyDescent="0.75">
      <c r="A462" t="s">
        <v>151</v>
      </c>
      <c r="B462">
        <v>149</v>
      </c>
      <c r="C462" t="s">
        <v>42</v>
      </c>
      <c r="D462">
        <v>5390</v>
      </c>
      <c r="E462" t="s">
        <v>418</v>
      </c>
      <c r="F462" s="4">
        <v>0</v>
      </c>
      <c r="G462" s="4">
        <v>1135</v>
      </c>
      <c r="H462" s="4">
        <v>1120</v>
      </c>
      <c r="I462" s="4">
        <v>15</v>
      </c>
      <c r="J462" s="4">
        <v>1135</v>
      </c>
    </row>
    <row r="463" spans="1:10" x14ac:dyDescent="0.75">
      <c r="A463" t="s">
        <v>151</v>
      </c>
      <c r="B463">
        <v>149</v>
      </c>
      <c r="C463" t="s">
        <v>42</v>
      </c>
      <c r="D463">
        <v>6871</v>
      </c>
      <c r="E463" t="s">
        <v>491</v>
      </c>
      <c r="F463" s="4">
        <v>0</v>
      </c>
      <c r="G463" s="4">
        <v>943</v>
      </c>
      <c r="H463" s="4">
        <v>936</v>
      </c>
      <c r="I463" s="4">
        <v>7</v>
      </c>
      <c r="J463" s="4">
        <v>943</v>
      </c>
    </row>
    <row r="464" spans="1:10" x14ac:dyDescent="0.75">
      <c r="A464" t="s">
        <v>151</v>
      </c>
      <c r="B464">
        <v>149</v>
      </c>
      <c r="C464" t="s">
        <v>42</v>
      </c>
      <c r="D464">
        <v>4650</v>
      </c>
      <c r="E464" t="s">
        <v>457</v>
      </c>
      <c r="F464" s="4">
        <v>0</v>
      </c>
      <c r="G464" s="4">
        <v>935</v>
      </c>
      <c r="H464" s="4">
        <v>416</v>
      </c>
      <c r="I464" s="4">
        <v>519</v>
      </c>
      <c r="J464" s="4">
        <v>935</v>
      </c>
    </row>
    <row r="465" spans="1:10" x14ac:dyDescent="0.75">
      <c r="A465" t="s">
        <v>151</v>
      </c>
      <c r="B465">
        <v>149</v>
      </c>
      <c r="C465" t="s">
        <v>42</v>
      </c>
      <c r="D465">
        <v>6857</v>
      </c>
      <c r="E465" t="s">
        <v>487</v>
      </c>
      <c r="F465" s="4">
        <v>0</v>
      </c>
      <c r="G465" s="4">
        <v>896</v>
      </c>
      <c r="H465" s="4">
        <v>804</v>
      </c>
      <c r="I465" s="4">
        <v>92</v>
      </c>
      <c r="J465" s="4">
        <v>896</v>
      </c>
    </row>
    <row r="466" spans="1:10" x14ac:dyDescent="0.75">
      <c r="A466" t="s">
        <v>151</v>
      </c>
      <c r="B466">
        <v>149</v>
      </c>
      <c r="C466" t="s">
        <v>42</v>
      </c>
      <c r="D466">
        <v>6861</v>
      </c>
      <c r="E466" t="s">
        <v>489</v>
      </c>
      <c r="F466" s="4">
        <v>0</v>
      </c>
      <c r="G466" s="4">
        <v>856</v>
      </c>
      <c r="H466" s="4">
        <v>856</v>
      </c>
      <c r="I466" s="4">
        <v>0</v>
      </c>
      <c r="J466" s="4">
        <v>856</v>
      </c>
    </row>
    <row r="467" spans="1:10" x14ac:dyDescent="0.75">
      <c r="A467" t="s">
        <v>151</v>
      </c>
      <c r="B467">
        <v>149</v>
      </c>
      <c r="C467" t="s">
        <v>42</v>
      </c>
      <c r="D467">
        <v>3219</v>
      </c>
      <c r="E467" t="s">
        <v>378</v>
      </c>
      <c r="F467" s="4">
        <v>0</v>
      </c>
      <c r="G467" s="4">
        <v>784</v>
      </c>
      <c r="H467" s="4">
        <v>532</v>
      </c>
      <c r="I467" s="4">
        <v>252</v>
      </c>
      <c r="J467" s="4">
        <v>784</v>
      </c>
    </row>
    <row r="468" spans="1:10" x14ac:dyDescent="0.75">
      <c r="A468" t="s">
        <v>151</v>
      </c>
      <c r="B468">
        <v>149</v>
      </c>
      <c r="C468" t="s">
        <v>42</v>
      </c>
      <c r="D468">
        <v>3274</v>
      </c>
      <c r="E468" t="s">
        <v>438</v>
      </c>
      <c r="F468" s="4">
        <v>0</v>
      </c>
      <c r="G468" s="4">
        <v>759</v>
      </c>
      <c r="H468" s="4">
        <v>738</v>
      </c>
      <c r="I468" s="4">
        <v>21</v>
      </c>
      <c r="J468" s="4">
        <v>759</v>
      </c>
    </row>
    <row r="469" spans="1:10" x14ac:dyDescent="0.75">
      <c r="A469" t="s">
        <v>151</v>
      </c>
      <c r="B469">
        <v>149</v>
      </c>
      <c r="C469" t="s">
        <v>42</v>
      </c>
      <c r="D469">
        <v>7230</v>
      </c>
      <c r="E469" t="s">
        <v>387</v>
      </c>
      <c r="F469" s="4">
        <v>0</v>
      </c>
      <c r="G469" s="4">
        <v>725</v>
      </c>
      <c r="H469" s="4">
        <v>692</v>
      </c>
      <c r="I469" s="4">
        <v>33</v>
      </c>
      <c r="J469" s="4">
        <v>725</v>
      </c>
    </row>
    <row r="470" spans="1:10" x14ac:dyDescent="0.75">
      <c r="A470" t="s">
        <v>151</v>
      </c>
      <c r="B470">
        <v>149</v>
      </c>
      <c r="C470" t="s">
        <v>42</v>
      </c>
      <c r="D470">
        <v>4782</v>
      </c>
      <c r="E470" t="s">
        <v>414</v>
      </c>
      <c r="F470" s="4">
        <v>0</v>
      </c>
      <c r="G470" s="4">
        <v>585</v>
      </c>
      <c r="H470" s="4">
        <v>521</v>
      </c>
      <c r="I470" s="4">
        <v>64</v>
      </c>
      <c r="J470" s="4">
        <v>585</v>
      </c>
    </row>
    <row r="471" spans="1:10" x14ac:dyDescent="0.75">
      <c r="A471" t="s">
        <v>151</v>
      </c>
      <c r="B471">
        <v>149</v>
      </c>
      <c r="C471" t="s">
        <v>42</v>
      </c>
      <c r="D471">
        <v>3284</v>
      </c>
      <c r="E471" t="s">
        <v>442</v>
      </c>
      <c r="F471" s="4">
        <v>0</v>
      </c>
      <c r="G471" s="4">
        <v>581</v>
      </c>
      <c r="H471" s="4">
        <v>451</v>
      </c>
      <c r="I471" s="4">
        <v>130</v>
      </c>
      <c r="J471" s="4">
        <v>581</v>
      </c>
    </row>
    <row r="472" spans="1:10" x14ac:dyDescent="0.75">
      <c r="A472" t="s">
        <v>151</v>
      </c>
      <c r="B472">
        <v>149</v>
      </c>
      <c r="C472" t="s">
        <v>42</v>
      </c>
      <c r="D472">
        <v>3260</v>
      </c>
      <c r="E472" t="s">
        <v>436</v>
      </c>
      <c r="F472" s="4">
        <v>0</v>
      </c>
      <c r="G472" s="4">
        <v>514</v>
      </c>
      <c r="H472" s="4">
        <v>320</v>
      </c>
      <c r="I472" s="4">
        <v>194</v>
      </c>
      <c r="J472" s="4">
        <v>514</v>
      </c>
    </row>
    <row r="473" spans="1:10" x14ac:dyDescent="0.75">
      <c r="A473" t="s">
        <v>151</v>
      </c>
      <c r="B473">
        <v>149</v>
      </c>
      <c r="C473" t="s">
        <v>42</v>
      </c>
      <c r="D473">
        <v>3190</v>
      </c>
      <c r="E473" t="s">
        <v>408</v>
      </c>
      <c r="F473" s="4">
        <v>0</v>
      </c>
      <c r="G473" s="4">
        <v>510</v>
      </c>
      <c r="H473" s="4">
        <v>336</v>
      </c>
      <c r="I473" s="4">
        <v>174</v>
      </c>
      <c r="J473" s="4">
        <v>510</v>
      </c>
    </row>
    <row r="474" spans="1:10" x14ac:dyDescent="0.75">
      <c r="A474" t="s">
        <v>151</v>
      </c>
      <c r="B474">
        <v>149</v>
      </c>
      <c r="C474" t="s">
        <v>42</v>
      </c>
      <c r="D474">
        <v>6746</v>
      </c>
      <c r="E474" t="s">
        <v>477</v>
      </c>
      <c r="F474" s="4">
        <v>0</v>
      </c>
      <c r="G474" s="4">
        <v>507</v>
      </c>
      <c r="H474" s="4">
        <v>507</v>
      </c>
      <c r="I474" s="4">
        <v>0</v>
      </c>
      <c r="J474" s="4">
        <v>507</v>
      </c>
    </row>
    <row r="475" spans="1:10" x14ac:dyDescent="0.75">
      <c r="A475" t="s">
        <v>151</v>
      </c>
      <c r="B475">
        <v>149</v>
      </c>
      <c r="C475" t="s">
        <v>42</v>
      </c>
      <c r="D475">
        <v>3250</v>
      </c>
      <c r="E475" t="s">
        <v>435</v>
      </c>
      <c r="F475" s="4">
        <v>0</v>
      </c>
      <c r="G475" s="4">
        <v>476</v>
      </c>
      <c r="H475" s="4">
        <v>415</v>
      </c>
      <c r="I475" s="4">
        <v>61</v>
      </c>
      <c r="J475" s="4">
        <v>476</v>
      </c>
    </row>
    <row r="476" spans="1:10" x14ac:dyDescent="0.75">
      <c r="A476" t="s">
        <v>151</v>
      </c>
      <c r="B476">
        <v>149</v>
      </c>
      <c r="C476" t="s">
        <v>42</v>
      </c>
      <c r="D476">
        <v>7220</v>
      </c>
      <c r="E476" t="s">
        <v>500</v>
      </c>
      <c r="F476" s="4">
        <v>0</v>
      </c>
      <c r="G476" s="4">
        <v>440</v>
      </c>
      <c r="H476" s="4">
        <v>335</v>
      </c>
      <c r="I476" s="4">
        <v>105</v>
      </c>
      <c r="J476" s="4">
        <v>440</v>
      </c>
    </row>
    <row r="477" spans="1:10" x14ac:dyDescent="0.75">
      <c r="A477" t="s">
        <v>151</v>
      </c>
      <c r="B477">
        <v>149</v>
      </c>
      <c r="C477" t="s">
        <v>42</v>
      </c>
      <c r="D477">
        <v>6872</v>
      </c>
      <c r="E477" t="s">
        <v>492</v>
      </c>
      <c r="F477" s="4">
        <v>0</v>
      </c>
      <c r="G477" s="4">
        <v>415</v>
      </c>
      <c r="H477" s="4">
        <v>415</v>
      </c>
      <c r="I477" s="4">
        <v>0</v>
      </c>
      <c r="J477" s="4">
        <v>415</v>
      </c>
    </row>
    <row r="478" spans="1:10" x14ac:dyDescent="0.75">
      <c r="A478" t="s">
        <v>151</v>
      </c>
      <c r="B478">
        <v>149</v>
      </c>
      <c r="C478" t="s">
        <v>42</v>
      </c>
      <c r="D478">
        <v>6899</v>
      </c>
      <c r="E478" t="s">
        <v>498</v>
      </c>
      <c r="F478" s="4">
        <v>0</v>
      </c>
      <c r="G478" s="4">
        <v>364</v>
      </c>
      <c r="H478" s="4">
        <v>364</v>
      </c>
      <c r="I478" s="4">
        <v>0</v>
      </c>
      <c r="J478" s="4">
        <v>364</v>
      </c>
    </row>
    <row r="479" spans="1:10" x14ac:dyDescent="0.75">
      <c r="A479" t="s">
        <v>151</v>
      </c>
      <c r="B479">
        <v>149</v>
      </c>
      <c r="C479" t="s">
        <v>42</v>
      </c>
      <c r="D479">
        <v>6522</v>
      </c>
      <c r="E479" t="s">
        <v>393</v>
      </c>
      <c r="F479" s="4">
        <v>0</v>
      </c>
      <c r="G479" s="4">
        <v>284</v>
      </c>
      <c r="H479" s="4">
        <v>132</v>
      </c>
      <c r="I479" s="4">
        <v>152</v>
      </c>
      <c r="J479" s="4">
        <v>284</v>
      </c>
    </row>
    <row r="480" spans="1:10" x14ac:dyDescent="0.75">
      <c r="A480" t="s">
        <v>151</v>
      </c>
      <c r="B480">
        <v>149</v>
      </c>
      <c r="C480" t="s">
        <v>42</v>
      </c>
      <c r="D480">
        <v>5312</v>
      </c>
      <c r="E480" t="s">
        <v>416</v>
      </c>
      <c r="F480" s="4">
        <v>0</v>
      </c>
      <c r="G480" s="4">
        <v>271</v>
      </c>
      <c r="H480" s="4">
        <v>165</v>
      </c>
      <c r="I480" s="4">
        <v>106</v>
      </c>
      <c r="J480" s="4">
        <v>271</v>
      </c>
    </row>
    <row r="481" spans="1:10" x14ac:dyDescent="0.75">
      <c r="A481" t="s">
        <v>151</v>
      </c>
      <c r="B481">
        <v>149</v>
      </c>
      <c r="C481" t="s">
        <v>42</v>
      </c>
      <c r="D481">
        <v>4690</v>
      </c>
      <c r="E481" t="s">
        <v>428</v>
      </c>
      <c r="F481" s="4">
        <v>0</v>
      </c>
      <c r="G481" s="4">
        <v>258</v>
      </c>
      <c r="H481" s="4">
        <v>258</v>
      </c>
      <c r="I481" s="4">
        <v>0</v>
      </c>
      <c r="J481" s="4">
        <v>258</v>
      </c>
    </row>
    <row r="482" spans="1:10" x14ac:dyDescent="0.75">
      <c r="A482" t="s">
        <v>151</v>
      </c>
      <c r="B482">
        <v>149</v>
      </c>
      <c r="C482" t="s">
        <v>42</v>
      </c>
      <c r="D482">
        <v>3110</v>
      </c>
      <c r="E482" t="s">
        <v>405</v>
      </c>
      <c r="F482" s="4">
        <v>0</v>
      </c>
      <c r="G482" s="4">
        <v>242</v>
      </c>
      <c r="H482" s="4">
        <v>219</v>
      </c>
      <c r="I482" s="4">
        <v>23</v>
      </c>
      <c r="J482" s="4">
        <v>242</v>
      </c>
    </row>
    <row r="483" spans="1:10" x14ac:dyDescent="0.75">
      <c r="A483" t="s">
        <v>151</v>
      </c>
      <c r="B483">
        <v>149</v>
      </c>
      <c r="C483" t="s">
        <v>42</v>
      </c>
      <c r="D483">
        <v>4110</v>
      </c>
      <c r="E483" t="s">
        <v>449</v>
      </c>
      <c r="F483" s="4">
        <v>0</v>
      </c>
      <c r="G483" s="4">
        <v>231</v>
      </c>
      <c r="H483" s="4">
        <v>223</v>
      </c>
      <c r="I483" s="4">
        <v>8</v>
      </c>
      <c r="J483" s="4">
        <v>231</v>
      </c>
    </row>
    <row r="484" spans="1:10" x14ac:dyDescent="0.75">
      <c r="A484" t="s">
        <v>151</v>
      </c>
      <c r="B484">
        <v>149</v>
      </c>
      <c r="C484" t="s">
        <v>42</v>
      </c>
      <c r="D484">
        <v>4150</v>
      </c>
      <c r="E484" t="s">
        <v>450</v>
      </c>
      <c r="F484" s="4">
        <v>0</v>
      </c>
      <c r="G484" s="4">
        <v>231</v>
      </c>
      <c r="H484" s="4">
        <v>231</v>
      </c>
      <c r="I484" s="4">
        <v>0</v>
      </c>
      <c r="J484" s="4">
        <v>231</v>
      </c>
    </row>
    <row r="485" spans="1:10" x14ac:dyDescent="0.75">
      <c r="A485" t="s">
        <v>151</v>
      </c>
      <c r="B485">
        <v>149</v>
      </c>
      <c r="C485" t="s">
        <v>42</v>
      </c>
      <c r="D485">
        <v>6817</v>
      </c>
      <c r="E485" t="s">
        <v>481</v>
      </c>
      <c r="F485" s="4">
        <v>0</v>
      </c>
      <c r="G485" s="4">
        <v>218</v>
      </c>
      <c r="H485" s="4">
        <v>115</v>
      </c>
      <c r="I485" s="4">
        <v>103</v>
      </c>
      <c r="J485" s="4">
        <v>218</v>
      </c>
    </row>
    <row r="486" spans="1:10" x14ac:dyDescent="0.75">
      <c r="A486" t="s">
        <v>151</v>
      </c>
      <c r="B486">
        <v>149</v>
      </c>
      <c r="C486" t="s">
        <v>42</v>
      </c>
      <c r="D486">
        <v>4515</v>
      </c>
      <c r="E486" t="s">
        <v>455</v>
      </c>
      <c r="F486" s="4">
        <v>0</v>
      </c>
      <c r="G486" s="4">
        <v>187</v>
      </c>
      <c r="H486" s="4">
        <v>187</v>
      </c>
      <c r="I486" s="4">
        <v>0</v>
      </c>
      <c r="J486" s="4">
        <v>187</v>
      </c>
    </row>
    <row r="487" spans="1:10" x14ac:dyDescent="0.75">
      <c r="A487" t="s">
        <v>151</v>
      </c>
      <c r="B487">
        <v>149</v>
      </c>
      <c r="C487" t="s">
        <v>42</v>
      </c>
      <c r="D487">
        <v>3291</v>
      </c>
      <c r="E487" t="s">
        <v>444</v>
      </c>
      <c r="F487" s="4">
        <v>0</v>
      </c>
      <c r="G487" s="4">
        <v>179</v>
      </c>
      <c r="H487" s="4">
        <v>151</v>
      </c>
      <c r="I487" s="4">
        <v>28</v>
      </c>
      <c r="J487" s="4">
        <v>179</v>
      </c>
    </row>
    <row r="488" spans="1:10" x14ac:dyDescent="0.75">
      <c r="A488" t="s">
        <v>151</v>
      </c>
      <c r="B488">
        <v>149</v>
      </c>
      <c r="C488" t="s">
        <v>42</v>
      </c>
      <c r="D488">
        <v>6891</v>
      </c>
      <c r="E488" t="s">
        <v>495</v>
      </c>
      <c r="F488" s="4">
        <v>0</v>
      </c>
      <c r="G488" s="4">
        <v>147</v>
      </c>
      <c r="H488" s="4">
        <v>119</v>
      </c>
      <c r="I488" s="4">
        <v>28</v>
      </c>
      <c r="J488" s="4">
        <v>147</v>
      </c>
    </row>
    <row r="489" spans="1:10" x14ac:dyDescent="0.75">
      <c r="A489" t="s">
        <v>151</v>
      </c>
      <c r="B489">
        <v>149</v>
      </c>
      <c r="C489" t="s">
        <v>42</v>
      </c>
      <c r="D489">
        <v>6838</v>
      </c>
      <c r="E489" t="s">
        <v>484</v>
      </c>
      <c r="F489" s="4">
        <v>0</v>
      </c>
      <c r="G489" s="4">
        <v>137</v>
      </c>
      <c r="H489" s="4">
        <v>137</v>
      </c>
      <c r="I489" s="4">
        <v>0</v>
      </c>
      <c r="J489" s="4">
        <v>137</v>
      </c>
    </row>
    <row r="490" spans="1:10" x14ac:dyDescent="0.75">
      <c r="A490" t="s">
        <v>151</v>
      </c>
      <c r="B490">
        <v>149</v>
      </c>
      <c r="C490" t="s">
        <v>42</v>
      </c>
      <c r="D490">
        <v>5110</v>
      </c>
      <c r="E490" t="s">
        <v>460</v>
      </c>
      <c r="F490" s="4">
        <v>0</v>
      </c>
      <c r="G490" s="4">
        <v>129</v>
      </c>
      <c r="H490" s="4">
        <v>0</v>
      </c>
      <c r="I490" s="4">
        <v>129</v>
      </c>
      <c r="J490" s="4">
        <v>129</v>
      </c>
    </row>
    <row r="491" spans="1:10" x14ac:dyDescent="0.75">
      <c r="A491" t="s">
        <v>151</v>
      </c>
      <c r="B491">
        <v>149</v>
      </c>
      <c r="C491" t="s">
        <v>42</v>
      </c>
      <c r="D491">
        <v>6344</v>
      </c>
      <c r="E491" t="s">
        <v>392</v>
      </c>
      <c r="F491" s="4">
        <v>0</v>
      </c>
      <c r="G491" s="4">
        <v>124</v>
      </c>
      <c r="H491" s="4">
        <v>124</v>
      </c>
      <c r="I491" s="4">
        <v>0</v>
      </c>
      <c r="J491" s="4">
        <v>124</v>
      </c>
    </row>
    <row r="492" spans="1:10" x14ac:dyDescent="0.75">
      <c r="A492" t="s">
        <v>151</v>
      </c>
      <c r="B492">
        <v>149</v>
      </c>
      <c r="C492" t="s">
        <v>42</v>
      </c>
      <c r="D492">
        <v>7300</v>
      </c>
      <c r="E492" t="s">
        <v>501</v>
      </c>
      <c r="F492" s="4">
        <v>0</v>
      </c>
      <c r="G492" s="4">
        <v>114</v>
      </c>
      <c r="H492" s="4">
        <v>114</v>
      </c>
      <c r="I492" s="4">
        <v>0</v>
      </c>
      <c r="J492" s="4">
        <v>114</v>
      </c>
    </row>
    <row r="493" spans="1:10" x14ac:dyDescent="0.75">
      <c r="A493" t="s">
        <v>151</v>
      </c>
      <c r="B493">
        <v>149</v>
      </c>
      <c r="C493" t="s">
        <v>42</v>
      </c>
      <c r="D493">
        <v>4322</v>
      </c>
      <c r="E493" t="s">
        <v>398</v>
      </c>
      <c r="F493" s="4">
        <v>0</v>
      </c>
      <c r="G493" s="4">
        <v>99</v>
      </c>
      <c r="H493" s="4">
        <v>99</v>
      </c>
      <c r="I493" s="4">
        <v>0</v>
      </c>
      <c r="J493" s="4">
        <v>99</v>
      </c>
    </row>
    <row r="494" spans="1:10" x14ac:dyDescent="0.75">
      <c r="A494" t="s">
        <v>151</v>
      </c>
      <c r="B494">
        <v>149</v>
      </c>
      <c r="C494" t="s">
        <v>42</v>
      </c>
      <c r="D494">
        <v>6856</v>
      </c>
      <c r="E494" t="s">
        <v>486</v>
      </c>
      <c r="F494" s="4">
        <v>0</v>
      </c>
      <c r="G494" s="4">
        <v>79</v>
      </c>
      <c r="H494" s="4">
        <v>79</v>
      </c>
      <c r="I494" s="4">
        <v>0</v>
      </c>
      <c r="J494" s="4">
        <v>79</v>
      </c>
    </row>
    <row r="495" spans="1:10" x14ac:dyDescent="0.75">
      <c r="A495" t="s">
        <v>151</v>
      </c>
      <c r="B495">
        <v>149</v>
      </c>
      <c r="C495" t="s">
        <v>42</v>
      </c>
      <c r="D495">
        <v>1100</v>
      </c>
      <c r="E495" t="s">
        <v>397</v>
      </c>
      <c r="F495" s="4">
        <v>0</v>
      </c>
      <c r="G495" s="4">
        <v>63</v>
      </c>
      <c r="H495" s="4">
        <v>44</v>
      </c>
      <c r="I495" s="4">
        <v>19</v>
      </c>
      <c r="J495" s="4">
        <v>63</v>
      </c>
    </row>
    <row r="496" spans="1:10" x14ac:dyDescent="0.75">
      <c r="A496" t="s">
        <v>151</v>
      </c>
      <c r="B496">
        <v>149</v>
      </c>
      <c r="C496" t="s">
        <v>42</v>
      </c>
      <c r="D496">
        <v>3293</v>
      </c>
      <c r="E496" t="s">
        <v>445</v>
      </c>
      <c r="F496" s="4">
        <v>0</v>
      </c>
      <c r="G496" s="4">
        <v>52</v>
      </c>
      <c r="H496" s="4">
        <v>52</v>
      </c>
      <c r="I496" s="4">
        <v>0</v>
      </c>
      <c r="J496" s="4">
        <v>52</v>
      </c>
    </row>
    <row r="497" spans="1:10" x14ac:dyDescent="0.75">
      <c r="A497" t="s">
        <v>151</v>
      </c>
      <c r="B497">
        <v>149</v>
      </c>
      <c r="C497" t="s">
        <v>42</v>
      </c>
      <c r="D497">
        <v>3130</v>
      </c>
      <c r="E497" t="s">
        <v>407</v>
      </c>
      <c r="F497" s="4">
        <v>0</v>
      </c>
      <c r="G497" s="4">
        <v>41</v>
      </c>
      <c r="H497" s="4">
        <v>17</v>
      </c>
      <c r="I497" s="4">
        <v>24</v>
      </c>
      <c r="J497" s="4">
        <v>41</v>
      </c>
    </row>
    <row r="498" spans="1:10" x14ac:dyDescent="0.75">
      <c r="A498" t="s">
        <v>151</v>
      </c>
      <c r="B498">
        <v>149</v>
      </c>
      <c r="C498" t="s">
        <v>42</v>
      </c>
      <c r="D498">
        <v>3211</v>
      </c>
      <c r="E498" t="s">
        <v>433</v>
      </c>
      <c r="F498" s="4">
        <v>0</v>
      </c>
      <c r="G498" s="4">
        <v>36</v>
      </c>
      <c r="H498" s="4">
        <v>36</v>
      </c>
      <c r="I498" s="4">
        <v>0</v>
      </c>
      <c r="J498" s="4">
        <v>36</v>
      </c>
    </row>
    <row r="499" spans="1:10" x14ac:dyDescent="0.75">
      <c r="A499" t="s">
        <v>151</v>
      </c>
      <c r="B499">
        <v>149</v>
      </c>
      <c r="C499" t="s">
        <v>42</v>
      </c>
      <c r="D499">
        <v>3298</v>
      </c>
      <c r="E499" t="s">
        <v>447</v>
      </c>
      <c r="F499" s="4">
        <v>0</v>
      </c>
      <c r="G499" s="4">
        <v>36</v>
      </c>
      <c r="H499" s="4">
        <v>36</v>
      </c>
      <c r="I499" s="4">
        <v>0</v>
      </c>
      <c r="J499" s="4">
        <v>36</v>
      </c>
    </row>
    <row r="500" spans="1:10" x14ac:dyDescent="0.75">
      <c r="A500" t="s">
        <v>151</v>
      </c>
      <c r="B500">
        <v>149</v>
      </c>
      <c r="C500" t="s">
        <v>42</v>
      </c>
      <c r="D500">
        <v>6781</v>
      </c>
      <c r="E500" t="s">
        <v>479</v>
      </c>
      <c r="F500" s="4">
        <v>0</v>
      </c>
      <c r="G500" s="4">
        <v>36</v>
      </c>
      <c r="H500" s="4">
        <v>36</v>
      </c>
      <c r="I500" s="4">
        <v>0</v>
      </c>
      <c r="J500" s="4">
        <v>36</v>
      </c>
    </row>
    <row r="501" spans="1:10" x14ac:dyDescent="0.75">
      <c r="A501" t="s">
        <v>151</v>
      </c>
      <c r="B501">
        <v>149</v>
      </c>
      <c r="C501" t="s">
        <v>42</v>
      </c>
      <c r="D501">
        <v>3271</v>
      </c>
      <c r="E501" t="s">
        <v>437</v>
      </c>
      <c r="F501" s="4">
        <v>0</v>
      </c>
      <c r="G501" s="4">
        <v>35</v>
      </c>
      <c r="H501" s="4">
        <v>35</v>
      </c>
      <c r="I501" s="4">
        <v>0</v>
      </c>
      <c r="J501" s="4">
        <v>35</v>
      </c>
    </row>
    <row r="502" spans="1:10" x14ac:dyDescent="0.75">
      <c r="A502" t="s">
        <v>151</v>
      </c>
      <c r="B502">
        <v>149</v>
      </c>
      <c r="C502" t="s">
        <v>42</v>
      </c>
      <c r="D502">
        <v>2430</v>
      </c>
      <c r="E502" t="s">
        <v>376</v>
      </c>
      <c r="F502" s="4">
        <v>0</v>
      </c>
      <c r="G502" s="4">
        <v>22</v>
      </c>
      <c r="H502" s="4">
        <v>18</v>
      </c>
      <c r="I502" s="4">
        <v>4</v>
      </c>
      <c r="J502" s="4">
        <v>22</v>
      </c>
    </row>
    <row r="503" spans="1:10" x14ac:dyDescent="0.75">
      <c r="A503" t="s">
        <v>151</v>
      </c>
      <c r="B503">
        <v>149</v>
      </c>
      <c r="C503" t="s">
        <v>42</v>
      </c>
      <c r="D503">
        <v>2540</v>
      </c>
      <c r="E503" t="s">
        <v>377</v>
      </c>
      <c r="F503" s="4">
        <v>0</v>
      </c>
      <c r="G503" s="4">
        <v>20</v>
      </c>
      <c r="H503" s="4">
        <v>0</v>
      </c>
      <c r="I503" s="4">
        <v>20</v>
      </c>
      <c r="J503" s="4">
        <v>20</v>
      </c>
    </row>
    <row r="504" spans="1:10" x14ac:dyDescent="0.75">
      <c r="A504" t="s">
        <v>151</v>
      </c>
      <c r="B504">
        <v>149</v>
      </c>
      <c r="C504" t="s">
        <v>42</v>
      </c>
      <c r="D504">
        <v>5210</v>
      </c>
      <c r="E504" t="s">
        <v>463</v>
      </c>
      <c r="F504" s="4">
        <v>0</v>
      </c>
      <c r="G504" s="4">
        <v>17</v>
      </c>
      <c r="H504" s="4">
        <v>17</v>
      </c>
      <c r="I504" s="4">
        <v>0</v>
      </c>
      <c r="J504" s="4">
        <v>17</v>
      </c>
    </row>
    <row r="505" spans="1:10" x14ac:dyDescent="0.75">
      <c r="A505" t="s">
        <v>151</v>
      </c>
      <c r="B505">
        <v>149</v>
      </c>
      <c r="C505" t="s">
        <v>42</v>
      </c>
      <c r="D505">
        <v>5320</v>
      </c>
      <c r="E505" t="s">
        <v>384</v>
      </c>
      <c r="F505" s="4">
        <v>0</v>
      </c>
      <c r="G505" s="4">
        <v>17</v>
      </c>
      <c r="H505" s="4">
        <v>7</v>
      </c>
      <c r="I505" s="4">
        <v>10</v>
      </c>
      <c r="J505" s="4">
        <v>17</v>
      </c>
    </row>
    <row r="506" spans="1:10" x14ac:dyDescent="0.75">
      <c r="A506" t="s">
        <v>151</v>
      </c>
      <c r="B506">
        <v>149</v>
      </c>
      <c r="C506" t="s">
        <v>42</v>
      </c>
      <c r="D506">
        <v>4161</v>
      </c>
      <c r="E506" t="s">
        <v>421</v>
      </c>
      <c r="F506" s="4">
        <v>0</v>
      </c>
      <c r="G506" s="4">
        <v>10</v>
      </c>
      <c r="H506" s="4">
        <v>10</v>
      </c>
      <c r="I506" s="4">
        <v>0</v>
      </c>
      <c r="J506" s="4">
        <v>10</v>
      </c>
    </row>
    <row r="507" spans="1:10" x14ac:dyDescent="0.75">
      <c r="A507" t="s">
        <v>151</v>
      </c>
      <c r="B507">
        <v>149</v>
      </c>
      <c r="C507" t="s">
        <v>42</v>
      </c>
      <c r="D507">
        <v>6241</v>
      </c>
      <c r="E507" t="s">
        <v>391</v>
      </c>
      <c r="F507" s="4">
        <v>0</v>
      </c>
      <c r="G507" s="4">
        <v>9</v>
      </c>
      <c r="H507" s="4">
        <v>9</v>
      </c>
      <c r="I507" s="4">
        <v>0</v>
      </c>
      <c r="J507" s="4">
        <v>9</v>
      </c>
    </row>
    <row r="508" spans="1:10" x14ac:dyDescent="0.75">
      <c r="A508" t="s">
        <v>151</v>
      </c>
      <c r="B508">
        <v>149</v>
      </c>
      <c r="C508" t="s">
        <v>42</v>
      </c>
      <c r="D508">
        <v>2350</v>
      </c>
      <c r="E508" t="s">
        <v>404</v>
      </c>
      <c r="F508" s="4">
        <v>0</v>
      </c>
      <c r="G508" s="4">
        <v>8</v>
      </c>
      <c r="H508" s="4">
        <v>0</v>
      </c>
      <c r="I508" s="4">
        <v>8</v>
      </c>
      <c r="J508" s="4">
        <v>8</v>
      </c>
    </row>
    <row r="509" spans="1:10" x14ac:dyDescent="0.75">
      <c r="A509" t="s">
        <v>151</v>
      </c>
      <c r="B509">
        <v>4973</v>
      </c>
      <c r="C509" t="s">
        <v>112</v>
      </c>
      <c r="D509">
        <v>2330</v>
      </c>
      <c r="E509" t="s">
        <v>368</v>
      </c>
      <c r="F509" s="4">
        <v>477</v>
      </c>
      <c r="G509" s="4">
        <v>0</v>
      </c>
      <c r="H509" s="4">
        <v>0</v>
      </c>
      <c r="I509" s="4">
        <v>0</v>
      </c>
      <c r="J509" s="4">
        <v>477</v>
      </c>
    </row>
    <row r="510" spans="1:10" x14ac:dyDescent="0.75">
      <c r="A510" t="s">
        <v>151</v>
      </c>
      <c r="B510">
        <v>4973</v>
      </c>
      <c r="C510" t="s">
        <v>112</v>
      </c>
      <c r="D510">
        <v>2211</v>
      </c>
      <c r="E510" t="s">
        <v>367</v>
      </c>
      <c r="F510" s="4">
        <v>123</v>
      </c>
      <c r="G510" s="4">
        <v>0</v>
      </c>
      <c r="H510" s="4">
        <v>0</v>
      </c>
      <c r="I510" s="4">
        <v>0</v>
      </c>
      <c r="J510" s="4">
        <v>123</v>
      </c>
    </row>
    <row r="511" spans="1:10" x14ac:dyDescent="0.75">
      <c r="A511" t="s">
        <v>151</v>
      </c>
      <c r="B511">
        <v>4973</v>
      </c>
      <c r="C511" t="s">
        <v>112</v>
      </c>
      <c r="D511">
        <v>7900</v>
      </c>
      <c r="E511" t="s">
        <v>388</v>
      </c>
      <c r="F511" s="4">
        <v>73</v>
      </c>
      <c r="G511" s="4">
        <v>0</v>
      </c>
      <c r="H511" s="4">
        <v>0</v>
      </c>
      <c r="I511" s="4">
        <v>0</v>
      </c>
      <c r="J511" s="4">
        <v>73</v>
      </c>
    </row>
    <row r="512" spans="1:10" x14ac:dyDescent="0.75">
      <c r="A512" t="s">
        <v>151</v>
      </c>
      <c r="B512">
        <v>4973</v>
      </c>
      <c r="C512" t="s">
        <v>112</v>
      </c>
      <c r="D512">
        <v>7400</v>
      </c>
      <c r="E512" t="s">
        <v>502</v>
      </c>
      <c r="F512" s="4">
        <v>70</v>
      </c>
      <c r="G512" s="4">
        <v>0</v>
      </c>
      <c r="H512" s="4">
        <v>0</v>
      </c>
      <c r="I512" s="4">
        <v>0</v>
      </c>
      <c r="J512" s="4">
        <v>70</v>
      </c>
    </row>
    <row r="513" spans="1:10" x14ac:dyDescent="0.75">
      <c r="A513" t="s">
        <v>151</v>
      </c>
      <c r="B513">
        <v>4973</v>
      </c>
      <c r="C513" t="s">
        <v>112</v>
      </c>
      <c r="D513">
        <v>7110</v>
      </c>
      <c r="E513" t="s">
        <v>371</v>
      </c>
      <c r="F513" s="4">
        <v>53</v>
      </c>
      <c r="G513" s="4">
        <v>0</v>
      </c>
      <c r="H513" s="4">
        <v>0</v>
      </c>
      <c r="I513" s="4">
        <v>0</v>
      </c>
      <c r="J513" s="4">
        <v>53</v>
      </c>
    </row>
    <row r="514" spans="1:10" x14ac:dyDescent="0.75">
      <c r="A514" t="s">
        <v>151</v>
      </c>
      <c r="B514">
        <v>4973</v>
      </c>
      <c r="C514" t="s">
        <v>112</v>
      </c>
      <c r="D514">
        <v>7210</v>
      </c>
      <c r="E514" t="s">
        <v>426</v>
      </c>
      <c r="F514" s="4">
        <v>2</v>
      </c>
      <c r="G514" s="4">
        <v>0</v>
      </c>
      <c r="H514" s="4">
        <v>0</v>
      </c>
      <c r="I514" s="4">
        <v>0</v>
      </c>
      <c r="J514" s="4">
        <v>2</v>
      </c>
    </row>
    <row r="515" spans="1:10" x14ac:dyDescent="0.75">
      <c r="A515" t="s">
        <v>151</v>
      </c>
      <c r="B515">
        <v>272</v>
      </c>
      <c r="C515" t="s">
        <v>234</v>
      </c>
      <c r="D515">
        <v>2211</v>
      </c>
      <c r="E515" t="s">
        <v>367</v>
      </c>
      <c r="F515" s="4">
        <v>719285</v>
      </c>
      <c r="G515" s="4">
        <v>0</v>
      </c>
      <c r="H515" s="4">
        <v>0</v>
      </c>
      <c r="I515" s="4">
        <v>0</v>
      </c>
      <c r="J515" s="4">
        <v>719285</v>
      </c>
    </row>
    <row r="516" spans="1:10" x14ac:dyDescent="0.75">
      <c r="A516" t="s">
        <v>151</v>
      </c>
      <c r="B516">
        <v>272</v>
      </c>
      <c r="C516" t="s">
        <v>234</v>
      </c>
      <c r="D516">
        <v>4331</v>
      </c>
      <c r="E516" t="s">
        <v>390</v>
      </c>
      <c r="F516" s="4">
        <v>524626</v>
      </c>
      <c r="G516" s="4">
        <v>0</v>
      </c>
      <c r="H516" s="4">
        <v>0</v>
      </c>
      <c r="I516" s="4">
        <v>0</v>
      </c>
      <c r="J516" s="4">
        <v>524626</v>
      </c>
    </row>
    <row r="517" spans="1:10" x14ac:dyDescent="0.75">
      <c r="A517" t="s">
        <v>151</v>
      </c>
      <c r="B517">
        <v>272</v>
      </c>
      <c r="C517" t="s">
        <v>234</v>
      </c>
      <c r="D517">
        <v>2330</v>
      </c>
      <c r="E517" t="s">
        <v>368</v>
      </c>
      <c r="F517" s="4">
        <v>206922</v>
      </c>
      <c r="G517" s="4">
        <v>0</v>
      </c>
      <c r="H517" s="4">
        <v>0</v>
      </c>
      <c r="I517" s="4">
        <v>0</v>
      </c>
      <c r="J517" s="4">
        <v>206922</v>
      </c>
    </row>
    <row r="518" spans="1:10" x14ac:dyDescent="0.75">
      <c r="A518" t="s">
        <v>151</v>
      </c>
      <c r="B518">
        <v>272</v>
      </c>
      <c r="C518" t="s">
        <v>234</v>
      </c>
      <c r="D518">
        <v>2340</v>
      </c>
      <c r="E518" t="s">
        <v>369</v>
      </c>
      <c r="F518" s="4">
        <v>163362</v>
      </c>
      <c r="G518" s="4">
        <v>0</v>
      </c>
      <c r="H518" s="4">
        <v>0</v>
      </c>
      <c r="I518" s="4">
        <v>0</v>
      </c>
      <c r="J518" s="4">
        <v>163362</v>
      </c>
    </row>
    <row r="519" spans="1:10" x14ac:dyDescent="0.75">
      <c r="A519" t="s">
        <v>151</v>
      </c>
      <c r="B519">
        <v>272</v>
      </c>
      <c r="C519" t="s">
        <v>234</v>
      </c>
      <c r="D519">
        <v>3220</v>
      </c>
      <c r="E519" t="s">
        <v>370</v>
      </c>
      <c r="F519" s="4">
        <v>77047</v>
      </c>
      <c r="G519" s="4">
        <v>0</v>
      </c>
      <c r="H519" s="4">
        <v>0</v>
      </c>
      <c r="I519" s="4">
        <v>0</v>
      </c>
      <c r="J519" s="4">
        <v>77047</v>
      </c>
    </row>
    <row r="520" spans="1:10" x14ac:dyDescent="0.75">
      <c r="A520" t="s">
        <v>151</v>
      </c>
      <c r="B520">
        <v>272</v>
      </c>
      <c r="C520" t="s">
        <v>234</v>
      </c>
      <c r="D520">
        <v>4900</v>
      </c>
      <c r="E520" t="s">
        <v>383</v>
      </c>
      <c r="F520" s="4">
        <v>0</v>
      </c>
      <c r="G520" s="4">
        <v>40768</v>
      </c>
      <c r="H520" s="4">
        <v>40768</v>
      </c>
      <c r="I520" s="4">
        <v>0</v>
      </c>
      <c r="J520" s="4">
        <v>40768</v>
      </c>
    </row>
    <row r="521" spans="1:10" x14ac:dyDescent="0.75">
      <c r="A521" t="s">
        <v>151</v>
      </c>
      <c r="B521">
        <v>272</v>
      </c>
      <c r="C521" t="s">
        <v>234</v>
      </c>
      <c r="D521">
        <v>2430</v>
      </c>
      <c r="E521" t="s">
        <v>376</v>
      </c>
      <c r="F521" s="4">
        <v>19327</v>
      </c>
      <c r="G521" s="4">
        <v>0</v>
      </c>
      <c r="H521" s="4">
        <v>0</v>
      </c>
      <c r="I521" s="4">
        <v>0</v>
      </c>
      <c r="J521" s="4">
        <v>19327</v>
      </c>
    </row>
    <row r="522" spans="1:10" x14ac:dyDescent="0.75">
      <c r="A522" t="s">
        <v>151</v>
      </c>
      <c r="B522">
        <v>2420</v>
      </c>
      <c r="C522" t="s">
        <v>180</v>
      </c>
      <c r="D522">
        <v>5320</v>
      </c>
      <c r="E522" t="s">
        <v>384</v>
      </c>
      <c r="F522" s="4">
        <v>0</v>
      </c>
      <c r="G522" s="4">
        <v>3799568</v>
      </c>
      <c r="H522" s="4">
        <v>3799568</v>
      </c>
      <c r="I522" s="4">
        <v>0</v>
      </c>
      <c r="J522" s="4">
        <v>3799568</v>
      </c>
    </row>
    <row r="523" spans="1:10" x14ac:dyDescent="0.75">
      <c r="A523" t="s">
        <v>151</v>
      </c>
      <c r="B523">
        <v>2420</v>
      </c>
      <c r="C523" t="s">
        <v>180</v>
      </c>
      <c r="D523">
        <v>2330</v>
      </c>
      <c r="E523" t="s">
        <v>368</v>
      </c>
      <c r="F523" s="4">
        <v>1123107</v>
      </c>
      <c r="G523" s="4">
        <v>442085</v>
      </c>
      <c r="H523" s="4">
        <v>7900</v>
      </c>
      <c r="I523" s="4">
        <v>434185</v>
      </c>
      <c r="J523" s="4">
        <v>1565192</v>
      </c>
    </row>
    <row r="524" spans="1:10" x14ac:dyDescent="0.75">
      <c r="A524" t="s">
        <v>151</v>
      </c>
      <c r="B524">
        <v>2420</v>
      </c>
      <c r="C524" t="s">
        <v>180</v>
      </c>
      <c r="D524">
        <v>2211</v>
      </c>
      <c r="E524" t="s">
        <v>367</v>
      </c>
      <c r="F524" s="4">
        <v>1229826</v>
      </c>
      <c r="G524" s="4">
        <v>39442</v>
      </c>
      <c r="H524" s="4">
        <v>39442</v>
      </c>
      <c r="I524" s="4">
        <v>0</v>
      </c>
      <c r="J524" s="4">
        <v>1269268</v>
      </c>
    </row>
    <row r="525" spans="1:10" x14ac:dyDescent="0.75">
      <c r="A525" t="s">
        <v>151</v>
      </c>
      <c r="B525">
        <v>2420</v>
      </c>
      <c r="C525" t="s">
        <v>180</v>
      </c>
      <c r="D525">
        <v>4322</v>
      </c>
      <c r="E525" t="s">
        <v>398</v>
      </c>
      <c r="F525" s="4">
        <v>0</v>
      </c>
      <c r="G525" s="4">
        <v>631497</v>
      </c>
      <c r="H525" s="4">
        <v>631497</v>
      </c>
      <c r="I525" s="4">
        <v>0</v>
      </c>
      <c r="J525" s="4">
        <v>631497</v>
      </c>
    </row>
    <row r="526" spans="1:10" x14ac:dyDescent="0.75">
      <c r="A526" t="s">
        <v>151</v>
      </c>
      <c r="B526">
        <v>2420</v>
      </c>
      <c r="C526" t="s">
        <v>180</v>
      </c>
      <c r="D526">
        <v>5330</v>
      </c>
      <c r="E526" t="s">
        <v>385</v>
      </c>
      <c r="F526" s="4">
        <v>59403</v>
      </c>
      <c r="G526" s="4">
        <v>303934</v>
      </c>
      <c r="H526" s="4">
        <v>303934</v>
      </c>
      <c r="I526" s="4">
        <v>0</v>
      </c>
      <c r="J526" s="4">
        <v>363337</v>
      </c>
    </row>
    <row r="527" spans="1:10" x14ac:dyDescent="0.75">
      <c r="A527" t="s">
        <v>151</v>
      </c>
      <c r="B527">
        <v>2420</v>
      </c>
      <c r="C527" t="s">
        <v>180</v>
      </c>
      <c r="D527">
        <v>2350</v>
      </c>
      <c r="E527" t="s">
        <v>404</v>
      </c>
      <c r="F527" s="4">
        <v>251113</v>
      </c>
      <c r="G527" s="4">
        <v>66424</v>
      </c>
      <c r="H527" s="4">
        <v>57421</v>
      </c>
      <c r="I527" s="4">
        <v>9003</v>
      </c>
      <c r="J527" s="4">
        <v>317537</v>
      </c>
    </row>
    <row r="528" spans="1:10" x14ac:dyDescent="0.75">
      <c r="A528" t="s">
        <v>151</v>
      </c>
      <c r="B528">
        <v>2420</v>
      </c>
      <c r="C528" t="s">
        <v>180</v>
      </c>
      <c r="D528">
        <v>4860</v>
      </c>
      <c r="E528" t="s">
        <v>400</v>
      </c>
      <c r="F528" s="4">
        <v>0</v>
      </c>
      <c r="G528" s="4">
        <v>207840</v>
      </c>
      <c r="H528" s="4">
        <v>207840</v>
      </c>
      <c r="I528" s="4">
        <v>0</v>
      </c>
      <c r="J528" s="4">
        <v>207840</v>
      </c>
    </row>
    <row r="529" spans="1:10" x14ac:dyDescent="0.75">
      <c r="A529" t="s">
        <v>151</v>
      </c>
      <c r="B529">
        <v>2420</v>
      </c>
      <c r="C529" t="s">
        <v>180</v>
      </c>
      <c r="D529">
        <v>2429</v>
      </c>
      <c r="E529" t="s">
        <v>375</v>
      </c>
      <c r="F529" s="4">
        <v>188111</v>
      </c>
      <c r="G529" s="4">
        <v>0</v>
      </c>
      <c r="H529" s="4">
        <v>0</v>
      </c>
      <c r="I529" s="4">
        <v>0</v>
      </c>
      <c r="J529" s="4">
        <v>188111</v>
      </c>
    </row>
    <row r="530" spans="1:10" x14ac:dyDescent="0.75">
      <c r="A530" t="s">
        <v>151</v>
      </c>
      <c r="B530">
        <v>2420</v>
      </c>
      <c r="C530" t="s">
        <v>180</v>
      </c>
      <c r="D530">
        <v>5422</v>
      </c>
      <c r="E530" t="s">
        <v>468</v>
      </c>
      <c r="F530" s="4">
        <v>8126</v>
      </c>
      <c r="G530" s="4">
        <v>125417</v>
      </c>
      <c r="H530" s="4">
        <v>125417</v>
      </c>
      <c r="I530" s="4">
        <v>0</v>
      </c>
      <c r="J530" s="4">
        <v>133543</v>
      </c>
    </row>
    <row r="531" spans="1:10" x14ac:dyDescent="0.75">
      <c r="A531" t="s">
        <v>151</v>
      </c>
      <c r="B531">
        <v>2420</v>
      </c>
      <c r="C531" t="s">
        <v>180</v>
      </c>
      <c r="D531">
        <v>2340</v>
      </c>
      <c r="E531" t="s">
        <v>369</v>
      </c>
      <c r="F531" s="4">
        <v>86513</v>
      </c>
      <c r="G531" s="4">
        <v>0</v>
      </c>
      <c r="H531" s="4">
        <v>0</v>
      </c>
      <c r="I531" s="4">
        <v>0</v>
      </c>
      <c r="J531" s="4">
        <v>86513</v>
      </c>
    </row>
    <row r="532" spans="1:10" x14ac:dyDescent="0.75">
      <c r="A532" t="s">
        <v>151</v>
      </c>
      <c r="B532">
        <v>2420</v>
      </c>
      <c r="C532" t="s">
        <v>180</v>
      </c>
      <c r="D532">
        <v>2430</v>
      </c>
      <c r="E532" t="s">
        <v>376</v>
      </c>
      <c r="F532" s="4">
        <v>48138</v>
      </c>
      <c r="G532" s="4">
        <v>0</v>
      </c>
      <c r="H532" s="4">
        <v>0</v>
      </c>
      <c r="I532" s="4">
        <v>0</v>
      </c>
      <c r="J532" s="4">
        <v>48138</v>
      </c>
    </row>
    <row r="533" spans="1:10" x14ac:dyDescent="0.75">
      <c r="A533" t="s">
        <v>151</v>
      </c>
      <c r="B533">
        <v>2420</v>
      </c>
      <c r="C533" t="s">
        <v>180</v>
      </c>
      <c r="D533">
        <v>5220</v>
      </c>
      <c r="E533" t="s">
        <v>401</v>
      </c>
      <c r="F533" s="4">
        <v>0</v>
      </c>
      <c r="G533" s="4">
        <v>33139</v>
      </c>
      <c r="H533" s="4">
        <v>33139</v>
      </c>
      <c r="I533" s="4">
        <v>0</v>
      </c>
      <c r="J533" s="4">
        <v>33139</v>
      </c>
    </row>
    <row r="534" spans="1:10" x14ac:dyDescent="0.75">
      <c r="A534" t="s">
        <v>151</v>
      </c>
      <c r="B534">
        <v>2420</v>
      </c>
      <c r="C534" t="s">
        <v>180</v>
      </c>
      <c r="D534">
        <v>2221</v>
      </c>
      <c r="E534" t="s">
        <v>374</v>
      </c>
      <c r="F534" s="4">
        <v>32392</v>
      </c>
      <c r="G534" s="4">
        <v>0</v>
      </c>
      <c r="H534" s="4">
        <v>0</v>
      </c>
      <c r="I534" s="4">
        <v>0</v>
      </c>
      <c r="J534" s="4">
        <v>32392</v>
      </c>
    </row>
    <row r="535" spans="1:10" x14ac:dyDescent="0.75">
      <c r="A535" t="s">
        <v>151</v>
      </c>
      <c r="B535">
        <v>2420</v>
      </c>
      <c r="C535" t="s">
        <v>180</v>
      </c>
      <c r="D535">
        <v>1100</v>
      </c>
      <c r="E535" t="s">
        <v>397</v>
      </c>
      <c r="F535" s="4">
        <v>0</v>
      </c>
      <c r="G535" s="4">
        <v>26125</v>
      </c>
      <c r="H535" s="4">
        <v>26125</v>
      </c>
      <c r="I535" s="4">
        <v>0</v>
      </c>
      <c r="J535" s="4">
        <v>26125</v>
      </c>
    </row>
    <row r="536" spans="1:10" x14ac:dyDescent="0.75">
      <c r="A536" t="s">
        <v>151</v>
      </c>
      <c r="B536">
        <v>2420</v>
      </c>
      <c r="C536" t="s">
        <v>180</v>
      </c>
      <c r="D536">
        <v>4420</v>
      </c>
      <c r="E536" t="s">
        <v>381</v>
      </c>
      <c r="F536" s="4">
        <v>23196</v>
      </c>
      <c r="G536" s="4">
        <v>0</v>
      </c>
      <c r="H536" s="4">
        <v>0</v>
      </c>
      <c r="I536" s="4">
        <v>0</v>
      </c>
      <c r="J536" s="4">
        <v>23196</v>
      </c>
    </row>
    <row r="537" spans="1:10" x14ac:dyDescent="0.75">
      <c r="A537" t="s">
        <v>151</v>
      </c>
      <c r="B537">
        <v>2420</v>
      </c>
      <c r="C537" t="s">
        <v>180</v>
      </c>
      <c r="D537">
        <v>2410</v>
      </c>
      <c r="E537" t="s">
        <v>430</v>
      </c>
      <c r="F537" s="4">
        <v>0</v>
      </c>
      <c r="G537" s="4">
        <v>22426</v>
      </c>
      <c r="H537" s="4">
        <v>22426</v>
      </c>
      <c r="I537" s="4">
        <v>0</v>
      </c>
      <c r="J537" s="4">
        <v>22426</v>
      </c>
    </row>
    <row r="538" spans="1:10" x14ac:dyDescent="0.75">
      <c r="A538" t="s">
        <v>151</v>
      </c>
      <c r="B538">
        <v>2420</v>
      </c>
      <c r="C538" t="s">
        <v>180</v>
      </c>
      <c r="D538">
        <v>4650</v>
      </c>
      <c r="E538" t="s">
        <v>457</v>
      </c>
      <c r="F538" s="4">
        <v>2887</v>
      </c>
      <c r="G538" s="4">
        <v>18739</v>
      </c>
      <c r="H538" s="4">
        <v>18739</v>
      </c>
      <c r="I538" s="4">
        <v>0</v>
      </c>
      <c r="J538" s="4">
        <v>21626</v>
      </c>
    </row>
    <row r="539" spans="1:10" x14ac:dyDescent="0.75">
      <c r="A539" t="s">
        <v>151</v>
      </c>
      <c r="B539">
        <v>2420</v>
      </c>
      <c r="C539" t="s">
        <v>180</v>
      </c>
      <c r="D539">
        <v>1200</v>
      </c>
      <c r="E539" t="s">
        <v>402</v>
      </c>
      <c r="F539" s="4">
        <v>18438</v>
      </c>
      <c r="G539" s="4">
        <v>0</v>
      </c>
      <c r="H539" s="4">
        <v>0</v>
      </c>
      <c r="I539" s="4">
        <v>0</v>
      </c>
      <c r="J539" s="4">
        <v>18438</v>
      </c>
    </row>
    <row r="540" spans="1:10" x14ac:dyDescent="0.75">
      <c r="A540" t="s">
        <v>151</v>
      </c>
      <c r="B540">
        <v>2420</v>
      </c>
      <c r="C540" t="s">
        <v>180</v>
      </c>
      <c r="D540">
        <v>2100</v>
      </c>
      <c r="E540" t="s">
        <v>403</v>
      </c>
      <c r="F540" s="4">
        <v>7093</v>
      </c>
      <c r="G540" s="4">
        <v>6752</v>
      </c>
      <c r="H540" s="4">
        <v>6752</v>
      </c>
      <c r="I540" s="4">
        <v>0</v>
      </c>
      <c r="J540" s="4">
        <v>13845</v>
      </c>
    </row>
    <row r="541" spans="1:10" x14ac:dyDescent="0.75">
      <c r="A541" t="s">
        <v>151</v>
      </c>
      <c r="B541">
        <v>2420</v>
      </c>
      <c r="C541" t="s">
        <v>180</v>
      </c>
      <c r="D541">
        <v>3275</v>
      </c>
      <c r="E541" t="s">
        <v>412</v>
      </c>
      <c r="F541" s="4">
        <v>7766</v>
      </c>
      <c r="G541" s="4">
        <v>0</v>
      </c>
      <c r="H541" s="4">
        <v>0</v>
      </c>
      <c r="I541" s="4">
        <v>0</v>
      </c>
      <c r="J541" s="4">
        <v>7766</v>
      </c>
    </row>
    <row r="542" spans="1:10" x14ac:dyDescent="0.75">
      <c r="A542" t="s">
        <v>151</v>
      </c>
      <c r="B542">
        <v>2420</v>
      </c>
      <c r="C542" t="s">
        <v>180</v>
      </c>
      <c r="D542">
        <v>4690</v>
      </c>
      <c r="E542" t="s">
        <v>428</v>
      </c>
      <c r="F542" s="4">
        <v>7005</v>
      </c>
      <c r="G542" s="4">
        <v>0</v>
      </c>
      <c r="H542" s="4">
        <v>0</v>
      </c>
      <c r="I542" s="4">
        <v>0</v>
      </c>
      <c r="J542" s="4">
        <v>7005</v>
      </c>
    </row>
    <row r="543" spans="1:10" x14ac:dyDescent="0.75">
      <c r="A543" t="s">
        <v>151</v>
      </c>
      <c r="B543">
        <v>2420</v>
      </c>
      <c r="C543" t="s">
        <v>180</v>
      </c>
      <c r="D543">
        <v>5360</v>
      </c>
      <c r="E543" t="s">
        <v>465</v>
      </c>
      <c r="F543" s="4">
        <v>0</v>
      </c>
      <c r="G543" s="4">
        <v>6994</v>
      </c>
      <c r="H543" s="4">
        <v>6994</v>
      </c>
      <c r="I543" s="4">
        <v>0</v>
      </c>
      <c r="J543" s="4">
        <v>6994</v>
      </c>
    </row>
    <row r="544" spans="1:10" x14ac:dyDescent="0.75">
      <c r="A544" t="s">
        <v>151</v>
      </c>
      <c r="B544">
        <v>2420</v>
      </c>
      <c r="C544" t="s">
        <v>180</v>
      </c>
      <c r="D544">
        <v>3211</v>
      </c>
      <c r="E544" t="s">
        <v>433</v>
      </c>
      <c r="F544" s="4">
        <v>5892</v>
      </c>
      <c r="G544" s="4">
        <v>0</v>
      </c>
      <c r="H544" s="4">
        <v>0</v>
      </c>
      <c r="I544" s="4">
        <v>0</v>
      </c>
      <c r="J544" s="4">
        <v>5892</v>
      </c>
    </row>
    <row r="545" spans="1:10" x14ac:dyDescent="0.75">
      <c r="A545" t="s">
        <v>151</v>
      </c>
      <c r="B545">
        <v>2420</v>
      </c>
      <c r="C545" t="s">
        <v>180</v>
      </c>
      <c r="D545">
        <v>3260</v>
      </c>
      <c r="E545" t="s">
        <v>436</v>
      </c>
      <c r="F545" s="4">
        <v>0</v>
      </c>
      <c r="G545" s="4">
        <v>5743</v>
      </c>
      <c r="H545" s="4">
        <v>5743</v>
      </c>
      <c r="I545" s="4">
        <v>0</v>
      </c>
      <c r="J545" s="4">
        <v>5743</v>
      </c>
    </row>
    <row r="546" spans="1:10" x14ac:dyDescent="0.75">
      <c r="A546" t="s">
        <v>151</v>
      </c>
      <c r="B546">
        <v>2420</v>
      </c>
      <c r="C546" t="s">
        <v>180</v>
      </c>
      <c r="D546">
        <v>5480</v>
      </c>
      <c r="E546" t="s">
        <v>386</v>
      </c>
      <c r="F546" s="4">
        <v>0</v>
      </c>
      <c r="G546" s="4">
        <v>5344</v>
      </c>
      <c r="H546" s="4">
        <v>5344</v>
      </c>
      <c r="I546" s="4">
        <v>0</v>
      </c>
      <c r="J546" s="4">
        <v>5344</v>
      </c>
    </row>
    <row r="547" spans="1:10" x14ac:dyDescent="0.75">
      <c r="A547" t="s">
        <v>151</v>
      </c>
      <c r="B547">
        <v>2420</v>
      </c>
      <c r="C547" t="s">
        <v>180</v>
      </c>
      <c r="D547">
        <v>7110</v>
      </c>
      <c r="E547" t="s">
        <v>371</v>
      </c>
      <c r="F547" s="4">
        <v>0</v>
      </c>
      <c r="G547" s="4">
        <v>5075</v>
      </c>
      <c r="H547" s="4">
        <v>5075</v>
      </c>
      <c r="I547" s="4">
        <v>0</v>
      </c>
      <c r="J547" s="4">
        <v>5075</v>
      </c>
    </row>
    <row r="548" spans="1:10" x14ac:dyDescent="0.75">
      <c r="A548" t="s">
        <v>151</v>
      </c>
      <c r="B548">
        <v>2420</v>
      </c>
      <c r="C548" t="s">
        <v>180</v>
      </c>
      <c r="D548">
        <v>3276</v>
      </c>
      <c r="E548" t="s">
        <v>379</v>
      </c>
      <c r="F548" s="4">
        <v>4500</v>
      </c>
      <c r="G548" s="4">
        <v>0</v>
      </c>
      <c r="H548" s="4">
        <v>0</v>
      </c>
      <c r="I548" s="4">
        <v>0</v>
      </c>
      <c r="J548" s="4">
        <v>4500</v>
      </c>
    </row>
    <row r="549" spans="1:10" x14ac:dyDescent="0.75">
      <c r="A549" t="s">
        <v>151</v>
      </c>
      <c r="B549">
        <v>2420</v>
      </c>
      <c r="C549" t="s">
        <v>180</v>
      </c>
      <c r="D549">
        <v>4900</v>
      </c>
      <c r="E549" t="s">
        <v>383</v>
      </c>
      <c r="F549" s="4">
        <v>2358</v>
      </c>
      <c r="G549" s="4">
        <v>0</v>
      </c>
      <c r="H549" s="4">
        <v>0</v>
      </c>
      <c r="I549" s="4">
        <v>0</v>
      </c>
      <c r="J549" s="4">
        <v>2358</v>
      </c>
    </row>
    <row r="550" spans="1:10" x14ac:dyDescent="0.75">
      <c r="A550" t="s">
        <v>151</v>
      </c>
      <c r="B550">
        <v>2420</v>
      </c>
      <c r="C550" t="s">
        <v>180</v>
      </c>
      <c r="D550">
        <v>3297</v>
      </c>
      <c r="E550" t="s">
        <v>446</v>
      </c>
      <c r="F550" s="4">
        <v>0</v>
      </c>
      <c r="G550" s="4">
        <v>1758</v>
      </c>
      <c r="H550" s="4">
        <v>0</v>
      </c>
      <c r="I550" s="4">
        <v>1758</v>
      </c>
      <c r="J550" s="4">
        <v>1758</v>
      </c>
    </row>
    <row r="551" spans="1:10" x14ac:dyDescent="0.75">
      <c r="A551" t="s">
        <v>151</v>
      </c>
      <c r="B551">
        <v>2420</v>
      </c>
      <c r="C551" t="s">
        <v>180</v>
      </c>
      <c r="D551">
        <v>6861</v>
      </c>
      <c r="E551" t="s">
        <v>489</v>
      </c>
      <c r="F551" s="4">
        <v>1625</v>
      </c>
      <c r="G551" s="4">
        <v>0</v>
      </c>
      <c r="H551" s="4">
        <v>0</v>
      </c>
      <c r="I551" s="4">
        <v>0</v>
      </c>
      <c r="J551" s="4">
        <v>1625</v>
      </c>
    </row>
    <row r="552" spans="1:10" x14ac:dyDescent="0.75">
      <c r="A552" t="s">
        <v>151</v>
      </c>
      <c r="B552">
        <v>2420</v>
      </c>
      <c r="C552" t="s">
        <v>180</v>
      </c>
      <c r="D552">
        <v>5370</v>
      </c>
      <c r="E552" t="s">
        <v>466</v>
      </c>
      <c r="F552" s="4">
        <v>0</v>
      </c>
      <c r="G552" s="4">
        <v>1499</v>
      </c>
      <c r="H552" s="4">
        <v>1499</v>
      </c>
      <c r="I552" s="4">
        <v>0</v>
      </c>
      <c r="J552" s="4">
        <v>1499</v>
      </c>
    </row>
    <row r="553" spans="1:10" x14ac:dyDescent="0.75">
      <c r="A553" t="s">
        <v>151</v>
      </c>
      <c r="B553">
        <v>2420</v>
      </c>
      <c r="C553" t="s">
        <v>180</v>
      </c>
      <c r="D553">
        <v>5312</v>
      </c>
      <c r="E553" t="s">
        <v>416</v>
      </c>
      <c r="F553" s="4">
        <v>1471</v>
      </c>
      <c r="G553" s="4">
        <v>0</v>
      </c>
      <c r="H553" s="4">
        <v>0</v>
      </c>
      <c r="I553" s="4">
        <v>0</v>
      </c>
      <c r="J553" s="4">
        <v>1471</v>
      </c>
    </row>
    <row r="554" spans="1:10" x14ac:dyDescent="0.75">
      <c r="A554" t="s">
        <v>151</v>
      </c>
      <c r="B554">
        <v>2420</v>
      </c>
      <c r="C554" t="s">
        <v>180</v>
      </c>
      <c r="D554">
        <v>6782</v>
      </c>
      <c r="E554" t="s">
        <v>396</v>
      </c>
      <c r="F554" s="4">
        <v>1307</v>
      </c>
      <c r="G554" s="4">
        <v>0</v>
      </c>
      <c r="H554" s="4">
        <v>0</v>
      </c>
      <c r="I554" s="4">
        <v>0</v>
      </c>
      <c r="J554" s="4">
        <v>1307</v>
      </c>
    </row>
    <row r="555" spans="1:10" x14ac:dyDescent="0.75">
      <c r="A555" t="s">
        <v>151</v>
      </c>
      <c r="B555">
        <v>2420</v>
      </c>
      <c r="C555" t="s">
        <v>180</v>
      </c>
      <c r="D555">
        <v>2990</v>
      </c>
      <c r="E555" t="s">
        <v>432</v>
      </c>
      <c r="F555" s="4">
        <v>0</v>
      </c>
      <c r="G555" s="4">
        <v>104</v>
      </c>
      <c r="H555" s="4">
        <v>104</v>
      </c>
      <c r="I555" s="4">
        <v>0</v>
      </c>
      <c r="J555" s="4">
        <v>104</v>
      </c>
    </row>
    <row r="556" spans="1:10" x14ac:dyDescent="0.75">
      <c r="A556" t="s">
        <v>151</v>
      </c>
      <c r="B556">
        <v>2420</v>
      </c>
      <c r="C556" t="s">
        <v>180</v>
      </c>
      <c r="D556">
        <v>3291</v>
      </c>
      <c r="E556" t="s">
        <v>444</v>
      </c>
      <c r="F556" s="4">
        <v>0</v>
      </c>
      <c r="G556" s="4">
        <v>11</v>
      </c>
      <c r="H556" s="4">
        <v>11</v>
      </c>
      <c r="I556" s="4">
        <v>0</v>
      </c>
      <c r="J556" s="4">
        <v>11</v>
      </c>
    </row>
    <row r="557" spans="1:10" x14ac:dyDescent="0.75">
      <c r="A557" t="s">
        <v>151</v>
      </c>
      <c r="B557">
        <v>2420</v>
      </c>
      <c r="C557" t="s">
        <v>180</v>
      </c>
      <c r="D557">
        <v>7500</v>
      </c>
      <c r="E557" t="s">
        <v>427</v>
      </c>
      <c r="F557" s="4">
        <v>0</v>
      </c>
      <c r="G557" s="4">
        <v>9</v>
      </c>
      <c r="H557" s="4">
        <v>9</v>
      </c>
      <c r="I557" s="4">
        <v>0</v>
      </c>
      <c r="J557" s="4">
        <v>9</v>
      </c>
    </row>
    <row r="558" spans="1:10" x14ac:dyDescent="0.75">
      <c r="A558" t="s">
        <v>151</v>
      </c>
      <c r="B558">
        <v>2420</v>
      </c>
      <c r="C558" t="s">
        <v>180</v>
      </c>
      <c r="D558">
        <v>7900</v>
      </c>
      <c r="E558" t="s">
        <v>388</v>
      </c>
      <c r="F558" s="4">
        <v>0</v>
      </c>
      <c r="G558" s="4">
        <v>5</v>
      </c>
      <c r="H558" s="4">
        <v>5</v>
      </c>
      <c r="I558" s="4">
        <v>0</v>
      </c>
      <c r="J558" s="4">
        <v>5</v>
      </c>
    </row>
    <row r="559" spans="1:10" x14ac:dyDescent="0.75">
      <c r="A559" t="s">
        <v>151</v>
      </c>
      <c r="B559">
        <v>2420</v>
      </c>
      <c r="C559" t="s">
        <v>180</v>
      </c>
      <c r="D559">
        <v>7230</v>
      </c>
      <c r="E559" t="s">
        <v>387</v>
      </c>
      <c r="F559" s="4">
        <v>0</v>
      </c>
      <c r="G559" s="4">
        <v>2</v>
      </c>
      <c r="H559" s="4">
        <v>2</v>
      </c>
      <c r="I559" s="4">
        <v>0</v>
      </c>
      <c r="J559" s="4">
        <v>2</v>
      </c>
    </row>
    <row r="560" spans="1:10" x14ac:dyDescent="0.75">
      <c r="A560" t="s">
        <v>151</v>
      </c>
      <c r="B560">
        <v>96</v>
      </c>
      <c r="C560" t="s">
        <v>315</v>
      </c>
      <c r="D560">
        <v>2330</v>
      </c>
      <c r="E560" t="s">
        <v>368</v>
      </c>
      <c r="F560" s="4">
        <v>14800</v>
      </c>
      <c r="G560" s="4">
        <v>34104</v>
      </c>
      <c r="H560" s="4">
        <v>34104</v>
      </c>
      <c r="I560" s="4">
        <v>0</v>
      </c>
      <c r="J560" s="4">
        <v>48904</v>
      </c>
    </row>
    <row r="561" spans="1:10" x14ac:dyDescent="0.75">
      <c r="A561" t="s">
        <v>151</v>
      </c>
      <c r="B561">
        <v>96</v>
      </c>
      <c r="C561" t="s">
        <v>315</v>
      </c>
      <c r="D561">
        <v>2221</v>
      </c>
      <c r="E561" t="s">
        <v>374</v>
      </c>
      <c r="F561" s="4">
        <v>6393</v>
      </c>
      <c r="G561" s="4">
        <v>14724</v>
      </c>
      <c r="H561" s="4">
        <v>14724</v>
      </c>
      <c r="I561" s="4">
        <v>0</v>
      </c>
      <c r="J561" s="4">
        <v>21117</v>
      </c>
    </row>
    <row r="562" spans="1:10" x14ac:dyDescent="0.75">
      <c r="A562" t="s">
        <v>160</v>
      </c>
      <c r="B562">
        <v>3230</v>
      </c>
      <c r="C562" t="s">
        <v>144</v>
      </c>
      <c r="D562">
        <v>4331</v>
      </c>
      <c r="E562" t="s">
        <v>390</v>
      </c>
      <c r="F562" s="4">
        <v>242324</v>
      </c>
      <c r="G562" s="4">
        <v>0</v>
      </c>
      <c r="H562" s="4">
        <v>0</v>
      </c>
      <c r="I562" s="4">
        <v>0</v>
      </c>
      <c r="J562" s="4">
        <v>242324</v>
      </c>
    </row>
    <row r="563" spans="1:10" x14ac:dyDescent="0.75">
      <c r="A563" t="s">
        <v>160</v>
      </c>
      <c r="B563">
        <v>3230</v>
      </c>
      <c r="C563" t="s">
        <v>144</v>
      </c>
      <c r="D563">
        <v>6241</v>
      </c>
      <c r="E563" t="s">
        <v>391</v>
      </c>
      <c r="F563" s="4">
        <v>232682</v>
      </c>
      <c r="G563" s="4">
        <v>0</v>
      </c>
      <c r="H563" s="4">
        <v>0</v>
      </c>
      <c r="I563" s="4">
        <v>0</v>
      </c>
      <c r="J563" s="4">
        <v>232682</v>
      </c>
    </row>
    <row r="564" spans="1:10" x14ac:dyDescent="0.75">
      <c r="A564" t="s">
        <v>160</v>
      </c>
      <c r="B564">
        <v>3230</v>
      </c>
      <c r="C564" t="s">
        <v>144</v>
      </c>
      <c r="D564">
        <v>6747</v>
      </c>
      <c r="E564" t="s">
        <v>478</v>
      </c>
      <c r="F564" s="4">
        <v>0</v>
      </c>
      <c r="G564" s="4">
        <v>152561</v>
      </c>
      <c r="H564" s="4">
        <v>152561</v>
      </c>
      <c r="I564" s="4">
        <v>0</v>
      </c>
      <c r="J564" s="4">
        <v>152561</v>
      </c>
    </row>
    <row r="565" spans="1:10" x14ac:dyDescent="0.75">
      <c r="A565" t="s">
        <v>160</v>
      </c>
      <c r="B565">
        <v>3230</v>
      </c>
      <c r="C565" t="s">
        <v>144</v>
      </c>
      <c r="D565">
        <v>5220</v>
      </c>
      <c r="E565" t="s">
        <v>401</v>
      </c>
      <c r="F565" s="4">
        <v>0</v>
      </c>
      <c r="G565" s="4">
        <v>86113</v>
      </c>
      <c r="H565" s="4">
        <v>86113</v>
      </c>
      <c r="I565" s="4">
        <v>0</v>
      </c>
      <c r="J565" s="4">
        <v>86113</v>
      </c>
    </row>
    <row r="566" spans="1:10" x14ac:dyDescent="0.75">
      <c r="A566" t="s">
        <v>160</v>
      </c>
      <c r="B566">
        <v>3230</v>
      </c>
      <c r="C566" t="s">
        <v>144</v>
      </c>
      <c r="D566">
        <v>4322</v>
      </c>
      <c r="E566" t="s">
        <v>398</v>
      </c>
      <c r="F566" s="4">
        <v>43625</v>
      </c>
      <c r="G566" s="4">
        <v>0</v>
      </c>
      <c r="H566" s="4">
        <v>0</v>
      </c>
      <c r="I566" s="4">
        <v>0</v>
      </c>
      <c r="J566" s="4">
        <v>43625</v>
      </c>
    </row>
    <row r="567" spans="1:10" x14ac:dyDescent="0.75">
      <c r="A567" t="s">
        <v>160</v>
      </c>
      <c r="B567">
        <v>3230</v>
      </c>
      <c r="C567" t="s">
        <v>144</v>
      </c>
      <c r="D567">
        <v>4783</v>
      </c>
      <c r="E567" t="s">
        <v>382</v>
      </c>
      <c r="F567" s="4">
        <v>0</v>
      </c>
      <c r="G567" s="4">
        <v>23149</v>
      </c>
      <c r="H567" s="4">
        <v>23149</v>
      </c>
      <c r="I567" s="4">
        <v>0</v>
      </c>
      <c r="J567" s="4">
        <v>23149</v>
      </c>
    </row>
    <row r="568" spans="1:10" x14ac:dyDescent="0.75">
      <c r="A568" t="s">
        <v>160</v>
      </c>
      <c r="B568">
        <v>3230</v>
      </c>
      <c r="C568" t="s">
        <v>144</v>
      </c>
      <c r="D568">
        <v>7500</v>
      </c>
      <c r="E568" t="s">
        <v>427</v>
      </c>
      <c r="F568" s="4">
        <v>0</v>
      </c>
      <c r="G568" s="4">
        <v>1102</v>
      </c>
      <c r="H568" s="4">
        <v>1102</v>
      </c>
      <c r="I568" s="4">
        <v>0</v>
      </c>
      <c r="J568" s="4">
        <v>1102</v>
      </c>
    </row>
    <row r="569" spans="1:10" x14ac:dyDescent="0.75">
      <c r="A569" t="s">
        <v>160</v>
      </c>
      <c r="B569">
        <v>3230</v>
      </c>
      <c r="C569" t="s">
        <v>144</v>
      </c>
      <c r="D569">
        <v>7900</v>
      </c>
      <c r="E569" t="s">
        <v>388</v>
      </c>
      <c r="F569" s="4">
        <v>0</v>
      </c>
      <c r="G569" s="4">
        <v>8</v>
      </c>
      <c r="H569" s="4">
        <v>0</v>
      </c>
      <c r="I569" s="4">
        <v>8</v>
      </c>
      <c r="J569" s="4">
        <v>8</v>
      </c>
    </row>
    <row r="570" spans="1:10" x14ac:dyDescent="0.75">
      <c r="A570" t="s">
        <v>163</v>
      </c>
      <c r="B570">
        <v>2225</v>
      </c>
      <c r="C570" t="s">
        <v>286</v>
      </c>
      <c r="D570">
        <v>5330</v>
      </c>
      <c r="E570" t="s">
        <v>385</v>
      </c>
      <c r="F570" s="4">
        <v>136879</v>
      </c>
      <c r="G570" s="4">
        <v>0</v>
      </c>
      <c r="H570" s="4">
        <v>0</v>
      </c>
      <c r="I570" s="4">
        <v>0</v>
      </c>
      <c r="J570" s="4">
        <v>136879</v>
      </c>
    </row>
    <row r="571" spans="1:10" x14ac:dyDescent="0.75">
      <c r="A571" t="s">
        <v>163</v>
      </c>
      <c r="B571">
        <v>2225</v>
      </c>
      <c r="C571" t="s">
        <v>286</v>
      </c>
      <c r="D571">
        <v>2330</v>
      </c>
      <c r="E571" t="s">
        <v>368</v>
      </c>
      <c r="F571" s="4">
        <v>102312</v>
      </c>
      <c r="G571" s="4">
        <v>0</v>
      </c>
      <c r="H571" s="4">
        <v>0</v>
      </c>
      <c r="I571" s="4">
        <v>0</v>
      </c>
      <c r="J571" s="4">
        <v>102312</v>
      </c>
    </row>
    <row r="572" spans="1:10" x14ac:dyDescent="0.75">
      <c r="A572" t="s">
        <v>163</v>
      </c>
      <c r="B572">
        <v>2225</v>
      </c>
      <c r="C572" t="s">
        <v>286</v>
      </c>
      <c r="D572">
        <v>2100</v>
      </c>
      <c r="E572" t="s">
        <v>403</v>
      </c>
      <c r="F572" s="4">
        <v>56527</v>
      </c>
      <c r="G572" s="4">
        <v>0</v>
      </c>
      <c r="H572" s="4">
        <v>0</v>
      </c>
      <c r="I572" s="4">
        <v>0</v>
      </c>
      <c r="J572" s="4">
        <v>56527</v>
      </c>
    </row>
    <row r="573" spans="1:10" x14ac:dyDescent="0.75">
      <c r="A573" t="s">
        <v>163</v>
      </c>
      <c r="B573">
        <v>2225</v>
      </c>
      <c r="C573" t="s">
        <v>286</v>
      </c>
      <c r="D573">
        <v>3274</v>
      </c>
      <c r="E573" t="s">
        <v>438</v>
      </c>
      <c r="F573" s="4">
        <v>47502</v>
      </c>
      <c r="G573" s="4">
        <v>0</v>
      </c>
      <c r="H573" s="4">
        <v>0</v>
      </c>
      <c r="I573" s="4">
        <v>0</v>
      </c>
      <c r="J573" s="4">
        <v>47502</v>
      </c>
    </row>
    <row r="574" spans="1:10" x14ac:dyDescent="0.75">
      <c r="A574" t="s">
        <v>163</v>
      </c>
      <c r="B574">
        <v>2225</v>
      </c>
      <c r="C574" t="s">
        <v>286</v>
      </c>
      <c r="D574">
        <v>2430</v>
      </c>
      <c r="E574" t="s">
        <v>376</v>
      </c>
      <c r="F574" s="4">
        <v>22444</v>
      </c>
      <c r="G574" s="4">
        <v>0</v>
      </c>
      <c r="H574" s="4">
        <v>0</v>
      </c>
      <c r="I574" s="4">
        <v>0</v>
      </c>
      <c r="J574" s="4">
        <v>22444</v>
      </c>
    </row>
    <row r="575" spans="1:10" x14ac:dyDescent="0.75">
      <c r="A575" t="s">
        <v>163</v>
      </c>
      <c r="B575">
        <v>2225</v>
      </c>
      <c r="C575" t="s">
        <v>286</v>
      </c>
      <c r="D575">
        <v>4420</v>
      </c>
      <c r="E575" t="s">
        <v>381</v>
      </c>
      <c r="F575" s="4">
        <v>14300</v>
      </c>
      <c r="G575" s="4">
        <v>0</v>
      </c>
      <c r="H575" s="4">
        <v>0</v>
      </c>
      <c r="I575" s="4">
        <v>0</v>
      </c>
      <c r="J575" s="4">
        <v>14300</v>
      </c>
    </row>
    <row r="576" spans="1:10" x14ac:dyDescent="0.75">
      <c r="A576" t="s">
        <v>163</v>
      </c>
      <c r="B576">
        <v>2225</v>
      </c>
      <c r="C576" t="s">
        <v>286</v>
      </c>
      <c r="D576">
        <v>3110</v>
      </c>
      <c r="E576" t="s">
        <v>405</v>
      </c>
      <c r="F576" s="4">
        <v>5999</v>
      </c>
      <c r="G576" s="4">
        <v>0</v>
      </c>
      <c r="H576" s="4">
        <v>0</v>
      </c>
      <c r="I576" s="4">
        <v>0</v>
      </c>
      <c r="J576" s="4">
        <v>5999</v>
      </c>
    </row>
    <row r="577" spans="1:10" x14ac:dyDescent="0.75">
      <c r="A577" t="s">
        <v>163</v>
      </c>
      <c r="B577">
        <v>2225</v>
      </c>
      <c r="C577" t="s">
        <v>286</v>
      </c>
      <c r="D577">
        <v>6857</v>
      </c>
      <c r="E577" t="s">
        <v>487</v>
      </c>
      <c r="F577" s="4">
        <v>3446</v>
      </c>
      <c r="G577" s="4">
        <v>0</v>
      </c>
      <c r="H577" s="4">
        <v>0</v>
      </c>
      <c r="I577" s="4">
        <v>0</v>
      </c>
      <c r="J577" s="4">
        <v>3446</v>
      </c>
    </row>
    <row r="578" spans="1:10" x14ac:dyDescent="0.75">
      <c r="A578" t="s">
        <v>163</v>
      </c>
      <c r="B578">
        <v>2225</v>
      </c>
      <c r="C578" t="s">
        <v>286</v>
      </c>
      <c r="D578">
        <v>2340</v>
      </c>
      <c r="E578" t="s">
        <v>369</v>
      </c>
      <c r="F578" s="4">
        <v>3431</v>
      </c>
      <c r="G578" s="4">
        <v>0</v>
      </c>
      <c r="H578" s="4">
        <v>0</v>
      </c>
      <c r="I578" s="4">
        <v>0</v>
      </c>
      <c r="J578" s="4">
        <v>3431</v>
      </c>
    </row>
    <row r="579" spans="1:10" x14ac:dyDescent="0.75">
      <c r="A579" t="s">
        <v>163</v>
      </c>
      <c r="B579">
        <v>2225</v>
      </c>
      <c r="C579" t="s">
        <v>286</v>
      </c>
      <c r="D579">
        <v>3130</v>
      </c>
      <c r="E579" t="s">
        <v>407</v>
      </c>
      <c r="F579" s="4">
        <v>2899</v>
      </c>
      <c r="G579" s="4">
        <v>0</v>
      </c>
      <c r="H579" s="4">
        <v>0</v>
      </c>
      <c r="I579" s="4">
        <v>0</v>
      </c>
      <c r="J579" s="4">
        <v>2899</v>
      </c>
    </row>
    <row r="580" spans="1:10" x14ac:dyDescent="0.75">
      <c r="A580" t="s">
        <v>163</v>
      </c>
      <c r="B580">
        <v>2225</v>
      </c>
      <c r="C580" t="s">
        <v>286</v>
      </c>
      <c r="D580">
        <v>7600</v>
      </c>
      <c r="E580" t="s">
        <v>503</v>
      </c>
      <c r="F580" s="4">
        <v>2747</v>
      </c>
      <c r="G580" s="4">
        <v>0</v>
      </c>
      <c r="H580" s="4">
        <v>0</v>
      </c>
      <c r="I580" s="4">
        <v>0</v>
      </c>
      <c r="J580" s="4">
        <v>2747</v>
      </c>
    </row>
    <row r="581" spans="1:10" x14ac:dyDescent="0.75">
      <c r="A581" t="s">
        <v>163</v>
      </c>
      <c r="B581">
        <v>2225</v>
      </c>
      <c r="C581" t="s">
        <v>286</v>
      </c>
      <c r="D581">
        <v>6522</v>
      </c>
      <c r="E581" t="s">
        <v>393</v>
      </c>
      <c r="F581" s="4">
        <v>1821</v>
      </c>
      <c r="G581" s="4">
        <v>0</v>
      </c>
      <c r="H581" s="4">
        <v>0</v>
      </c>
      <c r="I581" s="4">
        <v>0</v>
      </c>
      <c r="J581" s="4">
        <v>1821</v>
      </c>
    </row>
    <row r="582" spans="1:10" x14ac:dyDescent="0.75">
      <c r="A582" t="s">
        <v>163</v>
      </c>
      <c r="B582">
        <v>2225</v>
      </c>
      <c r="C582" t="s">
        <v>286</v>
      </c>
      <c r="D582">
        <v>5480</v>
      </c>
      <c r="E582" t="s">
        <v>386</v>
      </c>
      <c r="F582" s="4">
        <v>1485</v>
      </c>
      <c r="G582" s="4">
        <v>0</v>
      </c>
      <c r="H582" s="4">
        <v>0</v>
      </c>
      <c r="I582" s="4">
        <v>0</v>
      </c>
      <c r="J582" s="4">
        <v>1485</v>
      </c>
    </row>
    <row r="583" spans="1:10" x14ac:dyDescent="0.75">
      <c r="A583" t="s">
        <v>163</v>
      </c>
      <c r="B583">
        <v>2225</v>
      </c>
      <c r="C583" t="s">
        <v>286</v>
      </c>
      <c r="D583">
        <v>7110</v>
      </c>
      <c r="E583" t="s">
        <v>371</v>
      </c>
      <c r="F583" s="4">
        <v>400</v>
      </c>
      <c r="G583" s="4">
        <v>0</v>
      </c>
      <c r="H583" s="4">
        <v>0</v>
      </c>
      <c r="I583" s="4">
        <v>0</v>
      </c>
      <c r="J583" s="4">
        <v>400</v>
      </c>
    </row>
    <row r="584" spans="1:10" x14ac:dyDescent="0.75">
      <c r="A584" t="s">
        <v>163</v>
      </c>
      <c r="B584">
        <v>2225</v>
      </c>
      <c r="C584" t="s">
        <v>286</v>
      </c>
      <c r="D584">
        <v>7900</v>
      </c>
      <c r="E584" t="s">
        <v>388</v>
      </c>
      <c r="F584" s="4">
        <v>50</v>
      </c>
      <c r="G584" s="4">
        <v>0</v>
      </c>
      <c r="H584" s="4">
        <v>0</v>
      </c>
      <c r="I584" s="4">
        <v>0</v>
      </c>
      <c r="J584" s="4">
        <v>50</v>
      </c>
    </row>
    <row r="585" spans="1:10" x14ac:dyDescent="0.75">
      <c r="A585" t="s">
        <v>151</v>
      </c>
      <c r="B585">
        <v>2427</v>
      </c>
      <c r="C585" t="s">
        <v>204</v>
      </c>
      <c r="D585">
        <v>3274</v>
      </c>
      <c r="E585" t="s">
        <v>438</v>
      </c>
      <c r="F585" s="4">
        <v>528693</v>
      </c>
      <c r="G585" s="4">
        <v>391793</v>
      </c>
      <c r="H585" s="4">
        <v>0</v>
      </c>
      <c r="I585" s="4">
        <v>391793</v>
      </c>
      <c r="J585" s="4">
        <v>920486</v>
      </c>
    </row>
    <row r="586" spans="1:10" x14ac:dyDescent="0.75">
      <c r="A586" t="s">
        <v>151</v>
      </c>
      <c r="B586">
        <v>2427</v>
      </c>
      <c r="C586" t="s">
        <v>204</v>
      </c>
      <c r="D586">
        <v>3273</v>
      </c>
      <c r="E586" t="s">
        <v>411</v>
      </c>
      <c r="F586" s="4">
        <v>200287</v>
      </c>
      <c r="G586" s="4">
        <v>450676</v>
      </c>
      <c r="H586" s="4">
        <v>450676</v>
      </c>
      <c r="I586" s="4">
        <v>0</v>
      </c>
      <c r="J586" s="4">
        <v>650963</v>
      </c>
    </row>
    <row r="587" spans="1:10" x14ac:dyDescent="0.75">
      <c r="A587" t="s">
        <v>151</v>
      </c>
      <c r="B587">
        <v>2427</v>
      </c>
      <c r="C587" t="s">
        <v>204</v>
      </c>
      <c r="D587">
        <v>3219</v>
      </c>
      <c r="E587" t="s">
        <v>378</v>
      </c>
      <c r="F587" s="4">
        <v>227199</v>
      </c>
      <c r="G587" s="4">
        <v>345842</v>
      </c>
      <c r="H587" s="4">
        <v>0</v>
      </c>
      <c r="I587" s="4">
        <v>345842</v>
      </c>
      <c r="J587" s="4">
        <v>573041</v>
      </c>
    </row>
    <row r="588" spans="1:10" x14ac:dyDescent="0.75">
      <c r="A588" t="s">
        <v>151</v>
      </c>
      <c r="B588">
        <v>2427</v>
      </c>
      <c r="C588" t="s">
        <v>204</v>
      </c>
      <c r="D588">
        <v>3220</v>
      </c>
      <c r="E588" t="s">
        <v>370</v>
      </c>
      <c r="F588" s="4">
        <v>53299</v>
      </c>
      <c r="G588" s="4">
        <v>308618</v>
      </c>
      <c r="H588" s="4">
        <v>11683</v>
      </c>
      <c r="I588" s="4">
        <v>296935</v>
      </c>
      <c r="J588" s="4">
        <v>361917</v>
      </c>
    </row>
    <row r="589" spans="1:10" x14ac:dyDescent="0.75">
      <c r="A589" t="s">
        <v>151</v>
      </c>
      <c r="B589">
        <v>2427</v>
      </c>
      <c r="C589" t="s">
        <v>204</v>
      </c>
      <c r="D589">
        <v>3240</v>
      </c>
      <c r="E589" t="s">
        <v>410</v>
      </c>
      <c r="F589" s="4">
        <v>9900</v>
      </c>
      <c r="G589" s="4">
        <v>317898</v>
      </c>
      <c r="H589" s="4">
        <v>3305</v>
      </c>
      <c r="I589" s="4">
        <v>314593</v>
      </c>
      <c r="J589" s="4">
        <v>327798</v>
      </c>
    </row>
    <row r="590" spans="1:10" x14ac:dyDescent="0.75">
      <c r="A590" t="s">
        <v>151</v>
      </c>
      <c r="B590">
        <v>2427</v>
      </c>
      <c r="C590" t="s">
        <v>204</v>
      </c>
      <c r="D590">
        <v>2100</v>
      </c>
      <c r="E590" t="s">
        <v>403</v>
      </c>
      <c r="F590" s="4">
        <v>260968</v>
      </c>
      <c r="G590" s="4">
        <v>14350</v>
      </c>
      <c r="H590" s="4">
        <v>0</v>
      </c>
      <c r="I590" s="4">
        <v>14350</v>
      </c>
      <c r="J590" s="4">
        <v>275318</v>
      </c>
    </row>
    <row r="591" spans="1:10" x14ac:dyDescent="0.75">
      <c r="A591" t="s">
        <v>151</v>
      </c>
      <c r="B591">
        <v>2427</v>
      </c>
      <c r="C591" t="s">
        <v>204</v>
      </c>
      <c r="D591">
        <v>3110</v>
      </c>
      <c r="E591" t="s">
        <v>405</v>
      </c>
      <c r="F591" s="4">
        <v>202942</v>
      </c>
      <c r="G591" s="4">
        <v>15385</v>
      </c>
      <c r="H591" s="4">
        <v>15385</v>
      </c>
      <c r="I591" s="4">
        <v>0</v>
      </c>
      <c r="J591" s="4">
        <v>218327</v>
      </c>
    </row>
    <row r="592" spans="1:10" x14ac:dyDescent="0.75">
      <c r="A592" t="s">
        <v>151</v>
      </c>
      <c r="B592">
        <v>2427</v>
      </c>
      <c r="C592" t="s">
        <v>204</v>
      </c>
      <c r="D592">
        <v>3211</v>
      </c>
      <c r="E592" t="s">
        <v>433</v>
      </c>
      <c r="F592" s="4">
        <v>120645</v>
      </c>
      <c r="G592" s="4">
        <v>76589</v>
      </c>
      <c r="H592" s="4">
        <v>73282</v>
      </c>
      <c r="I592" s="4">
        <v>3307</v>
      </c>
      <c r="J592" s="4">
        <v>197234</v>
      </c>
    </row>
    <row r="593" spans="1:10" x14ac:dyDescent="0.75">
      <c r="A593" t="s">
        <v>151</v>
      </c>
      <c r="B593">
        <v>2427</v>
      </c>
      <c r="C593" t="s">
        <v>204</v>
      </c>
      <c r="D593">
        <v>2540</v>
      </c>
      <c r="E593" t="s">
        <v>377</v>
      </c>
      <c r="F593" s="4">
        <v>0</v>
      </c>
      <c r="G593" s="4">
        <v>79120</v>
      </c>
      <c r="H593" s="4">
        <v>0</v>
      </c>
      <c r="I593" s="4">
        <v>79120</v>
      </c>
      <c r="J593" s="4">
        <v>79120</v>
      </c>
    </row>
    <row r="594" spans="1:10" x14ac:dyDescent="0.75">
      <c r="A594" t="s">
        <v>151</v>
      </c>
      <c r="B594">
        <v>2427</v>
      </c>
      <c r="C594" t="s">
        <v>204</v>
      </c>
      <c r="D594">
        <v>3212</v>
      </c>
      <c r="E594" t="s">
        <v>409</v>
      </c>
      <c r="F594" s="4">
        <v>51007</v>
      </c>
      <c r="G594" s="4">
        <v>23185</v>
      </c>
      <c r="H594" s="4">
        <v>23185</v>
      </c>
      <c r="I594" s="4">
        <v>0</v>
      </c>
      <c r="J594" s="4">
        <v>74192</v>
      </c>
    </row>
    <row r="595" spans="1:10" x14ac:dyDescent="0.75">
      <c r="A595" t="s">
        <v>151</v>
      </c>
      <c r="B595">
        <v>2427</v>
      </c>
      <c r="C595" t="s">
        <v>204</v>
      </c>
      <c r="D595">
        <v>4331</v>
      </c>
      <c r="E595" t="s">
        <v>390</v>
      </c>
      <c r="F595" s="4">
        <v>69291</v>
      </c>
      <c r="G595" s="4">
        <v>0</v>
      </c>
      <c r="H595" s="4">
        <v>0</v>
      </c>
      <c r="I595" s="4">
        <v>0</v>
      </c>
      <c r="J595" s="4">
        <v>69291</v>
      </c>
    </row>
    <row r="596" spans="1:10" x14ac:dyDescent="0.75">
      <c r="A596" t="s">
        <v>151</v>
      </c>
      <c r="B596">
        <v>2427</v>
      </c>
      <c r="C596" t="s">
        <v>204</v>
      </c>
      <c r="D596">
        <v>2640</v>
      </c>
      <c r="E596" t="s">
        <v>431</v>
      </c>
      <c r="F596" s="4">
        <v>45959</v>
      </c>
      <c r="G596" s="4">
        <v>73</v>
      </c>
      <c r="H596" s="4">
        <v>0</v>
      </c>
      <c r="I596" s="4">
        <v>73</v>
      </c>
      <c r="J596" s="4">
        <v>46032</v>
      </c>
    </row>
    <row r="597" spans="1:10" x14ac:dyDescent="0.75">
      <c r="A597" t="s">
        <v>151</v>
      </c>
      <c r="B597">
        <v>2427</v>
      </c>
      <c r="C597" t="s">
        <v>204</v>
      </c>
      <c r="D597">
        <v>1200</v>
      </c>
      <c r="E597" t="s">
        <v>402</v>
      </c>
      <c r="F597" s="4">
        <v>44172</v>
      </c>
      <c r="G597" s="4">
        <v>0</v>
      </c>
      <c r="H597" s="4">
        <v>0</v>
      </c>
      <c r="I597" s="4">
        <v>0</v>
      </c>
      <c r="J597" s="4">
        <v>44172</v>
      </c>
    </row>
    <row r="598" spans="1:10" x14ac:dyDescent="0.75">
      <c r="A598" t="s">
        <v>151</v>
      </c>
      <c r="B598">
        <v>2427</v>
      </c>
      <c r="C598" t="s">
        <v>204</v>
      </c>
      <c r="D598">
        <v>2330</v>
      </c>
      <c r="E598" t="s">
        <v>368</v>
      </c>
      <c r="F598" s="4">
        <v>26263</v>
      </c>
      <c r="G598" s="4">
        <v>1543</v>
      </c>
      <c r="H598" s="4">
        <v>0</v>
      </c>
      <c r="I598" s="4">
        <v>1543</v>
      </c>
      <c r="J598" s="4">
        <v>27806</v>
      </c>
    </row>
    <row r="599" spans="1:10" x14ac:dyDescent="0.75">
      <c r="A599" t="s">
        <v>151</v>
      </c>
      <c r="B599">
        <v>2427</v>
      </c>
      <c r="C599" t="s">
        <v>204</v>
      </c>
      <c r="D599">
        <v>2340</v>
      </c>
      <c r="E599" t="s">
        <v>369</v>
      </c>
      <c r="F599" s="4">
        <v>21103</v>
      </c>
      <c r="G599" s="4">
        <v>0</v>
      </c>
      <c r="H599" s="4">
        <v>0</v>
      </c>
      <c r="I599" s="4">
        <v>0</v>
      </c>
      <c r="J599" s="4">
        <v>21103</v>
      </c>
    </row>
    <row r="600" spans="1:10" x14ac:dyDescent="0.75">
      <c r="A600" t="s">
        <v>151</v>
      </c>
      <c r="B600">
        <v>2427</v>
      </c>
      <c r="C600" t="s">
        <v>204</v>
      </c>
      <c r="D600">
        <v>3260</v>
      </c>
      <c r="E600" t="s">
        <v>436</v>
      </c>
      <c r="F600" s="4">
        <v>0</v>
      </c>
      <c r="G600" s="4">
        <v>17185</v>
      </c>
      <c r="H600" s="4">
        <v>8883</v>
      </c>
      <c r="I600" s="4">
        <v>8302</v>
      </c>
      <c r="J600" s="4">
        <v>17185</v>
      </c>
    </row>
    <row r="601" spans="1:10" x14ac:dyDescent="0.75">
      <c r="A601" t="s">
        <v>151</v>
      </c>
      <c r="B601">
        <v>2427</v>
      </c>
      <c r="C601" t="s">
        <v>204</v>
      </c>
      <c r="D601">
        <v>2211</v>
      </c>
      <c r="E601" t="s">
        <v>367</v>
      </c>
      <c r="F601" s="4">
        <v>10376</v>
      </c>
      <c r="G601" s="4">
        <v>5513</v>
      </c>
      <c r="H601" s="4">
        <v>5513</v>
      </c>
      <c r="I601" s="4">
        <v>0</v>
      </c>
      <c r="J601" s="4">
        <v>15889</v>
      </c>
    </row>
    <row r="602" spans="1:10" x14ac:dyDescent="0.75">
      <c r="A602" t="s">
        <v>151</v>
      </c>
      <c r="B602">
        <v>2427</v>
      </c>
      <c r="C602" t="s">
        <v>204</v>
      </c>
      <c r="D602">
        <v>2430</v>
      </c>
      <c r="E602" t="s">
        <v>376</v>
      </c>
      <c r="F602" s="4">
        <v>14767</v>
      </c>
      <c r="G602" s="4">
        <v>0</v>
      </c>
      <c r="H602" s="4">
        <v>0</v>
      </c>
      <c r="I602" s="4">
        <v>0</v>
      </c>
      <c r="J602" s="4">
        <v>14767</v>
      </c>
    </row>
    <row r="603" spans="1:10" x14ac:dyDescent="0.75">
      <c r="A603" t="s">
        <v>151</v>
      </c>
      <c r="B603">
        <v>2427</v>
      </c>
      <c r="C603" t="s">
        <v>204</v>
      </c>
      <c r="D603">
        <v>3130</v>
      </c>
      <c r="E603" t="s">
        <v>407</v>
      </c>
      <c r="F603" s="4">
        <v>14209</v>
      </c>
      <c r="G603" s="4">
        <v>0</v>
      </c>
      <c r="H603" s="4">
        <v>0</v>
      </c>
      <c r="I603" s="4">
        <v>0</v>
      </c>
      <c r="J603" s="4">
        <v>14209</v>
      </c>
    </row>
    <row r="604" spans="1:10" x14ac:dyDescent="0.75">
      <c r="A604" t="s">
        <v>151</v>
      </c>
      <c r="B604">
        <v>2427</v>
      </c>
      <c r="C604" t="s">
        <v>204</v>
      </c>
      <c r="D604">
        <v>6865</v>
      </c>
      <c r="E604" t="s">
        <v>490</v>
      </c>
      <c r="F604" s="4">
        <v>0</v>
      </c>
      <c r="G604" s="4">
        <v>11574</v>
      </c>
      <c r="H604" s="4">
        <v>11574</v>
      </c>
      <c r="I604" s="4">
        <v>0</v>
      </c>
      <c r="J604" s="4">
        <v>11574</v>
      </c>
    </row>
    <row r="605" spans="1:10" x14ac:dyDescent="0.75">
      <c r="A605" t="s">
        <v>151</v>
      </c>
      <c r="B605">
        <v>2427</v>
      </c>
      <c r="C605" t="s">
        <v>204</v>
      </c>
      <c r="D605">
        <v>2429</v>
      </c>
      <c r="E605" t="s">
        <v>375</v>
      </c>
      <c r="F605" s="4">
        <v>2470</v>
      </c>
      <c r="G605" s="4">
        <v>6602</v>
      </c>
      <c r="H605" s="4">
        <v>0</v>
      </c>
      <c r="I605" s="4">
        <v>6602</v>
      </c>
      <c r="J605" s="4">
        <v>9072</v>
      </c>
    </row>
    <row r="606" spans="1:10" x14ac:dyDescent="0.75">
      <c r="A606" t="s">
        <v>151</v>
      </c>
      <c r="B606">
        <v>2427</v>
      </c>
      <c r="C606" t="s">
        <v>204</v>
      </c>
      <c r="D606">
        <v>7900</v>
      </c>
      <c r="E606" t="s">
        <v>388</v>
      </c>
      <c r="F606" s="4">
        <v>0</v>
      </c>
      <c r="G606" s="4">
        <v>7759</v>
      </c>
      <c r="H606" s="4">
        <v>7759</v>
      </c>
      <c r="I606" s="4">
        <v>0</v>
      </c>
      <c r="J606" s="4">
        <v>7759</v>
      </c>
    </row>
    <row r="607" spans="1:10" x14ac:dyDescent="0.75">
      <c r="A607" t="s">
        <v>151</v>
      </c>
      <c r="B607">
        <v>2427</v>
      </c>
      <c r="C607" t="s">
        <v>204</v>
      </c>
      <c r="D607">
        <v>3190</v>
      </c>
      <c r="E607" t="s">
        <v>408</v>
      </c>
      <c r="F607" s="4">
        <v>7447</v>
      </c>
      <c r="G607" s="4">
        <v>0</v>
      </c>
      <c r="H607" s="4">
        <v>0</v>
      </c>
      <c r="I607" s="4">
        <v>0</v>
      </c>
      <c r="J607" s="4">
        <v>7447</v>
      </c>
    </row>
    <row r="608" spans="1:10" x14ac:dyDescent="0.75">
      <c r="A608" t="s">
        <v>151</v>
      </c>
      <c r="B608">
        <v>2427</v>
      </c>
      <c r="C608" t="s">
        <v>204</v>
      </c>
      <c r="D608">
        <v>3230</v>
      </c>
      <c r="E608" t="s">
        <v>434</v>
      </c>
      <c r="F608" s="4">
        <v>0</v>
      </c>
      <c r="G608" s="4">
        <v>6437</v>
      </c>
      <c r="H608" s="4">
        <v>5627</v>
      </c>
      <c r="I608" s="4">
        <v>810</v>
      </c>
      <c r="J608" s="4">
        <v>6437</v>
      </c>
    </row>
    <row r="609" spans="1:10" x14ac:dyDescent="0.75">
      <c r="A609" t="s">
        <v>151</v>
      </c>
      <c r="B609">
        <v>2427</v>
      </c>
      <c r="C609" t="s">
        <v>204</v>
      </c>
      <c r="D609">
        <v>3286</v>
      </c>
      <c r="E609" t="s">
        <v>423</v>
      </c>
      <c r="F609" s="4">
        <v>0</v>
      </c>
      <c r="G609" s="4">
        <v>6312</v>
      </c>
      <c r="H609" s="4">
        <v>4348</v>
      </c>
      <c r="I609" s="4">
        <v>1964</v>
      </c>
      <c r="J609" s="4">
        <v>6312</v>
      </c>
    </row>
    <row r="610" spans="1:10" x14ac:dyDescent="0.75">
      <c r="A610" t="s">
        <v>151</v>
      </c>
      <c r="B610">
        <v>2427</v>
      </c>
      <c r="C610" t="s">
        <v>204</v>
      </c>
      <c r="D610">
        <v>3279</v>
      </c>
      <c r="E610" t="s">
        <v>422</v>
      </c>
      <c r="F610" s="4">
        <v>0</v>
      </c>
      <c r="G610" s="4">
        <v>2867</v>
      </c>
      <c r="H610" s="4">
        <v>2867</v>
      </c>
      <c r="I610" s="4">
        <v>0</v>
      </c>
      <c r="J610" s="4">
        <v>2867</v>
      </c>
    </row>
    <row r="611" spans="1:10" x14ac:dyDescent="0.75">
      <c r="A611" t="s">
        <v>151</v>
      </c>
      <c r="B611">
        <v>2427</v>
      </c>
      <c r="C611" t="s">
        <v>204</v>
      </c>
      <c r="D611">
        <v>6344</v>
      </c>
      <c r="E611" t="s">
        <v>392</v>
      </c>
      <c r="F611" s="4">
        <v>2431</v>
      </c>
      <c r="G611" s="4">
        <v>0</v>
      </c>
      <c r="H611" s="4">
        <v>0</v>
      </c>
      <c r="I611" s="4">
        <v>0</v>
      </c>
      <c r="J611" s="4">
        <v>2431</v>
      </c>
    </row>
    <row r="612" spans="1:10" x14ac:dyDescent="0.75">
      <c r="A612" t="s">
        <v>151</v>
      </c>
      <c r="B612">
        <v>2427</v>
      </c>
      <c r="C612" t="s">
        <v>204</v>
      </c>
      <c r="D612">
        <v>2410</v>
      </c>
      <c r="E612" t="s">
        <v>430</v>
      </c>
      <c r="F612" s="4">
        <v>0</v>
      </c>
      <c r="G612" s="4">
        <v>1810</v>
      </c>
      <c r="H612" s="4">
        <v>1810</v>
      </c>
      <c r="I612" s="4">
        <v>0</v>
      </c>
      <c r="J612" s="4">
        <v>1810</v>
      </c>
    </row>
    <row r="613" spans="1:10" x14ac:dyDescent="0.75">
      <c r="A613" t="s">
        <v>151</v>
      </c>
      <c r="B613">
        <v>2427</v>
      </c>
      <c r="C613" t="s">
        <v>204</v>
      </c>
      <c r="D613">
        <v>3299</v>
      </c>
      <c r="E613" t="s">
        <v>448</v>
      </c>
      <c r="F613" s="4">
        <v>0</v>
      </c>
      <c r="G613" s="4">
        <v>1653</v>
      </c>
      <c r="H613" s="4">
        <v>1653</v>
      </c>
      <c r="I613" s="4">
        <v>0</v>
      </c>
      <c r="J613" s="4">
        <v>1653</v>
      </c>
    </row>
    <row r="614" spans="1:10" x14ac:dyDescent="0.75">
      <c r="A614" t="s">
        <v>151</v>
      </c>
      <c r="B614">
        <v>2427</v>
      </c>
      <c r="C614" t="s">
        <v>204</v>
      </c>
      <c r="D614">
        <v>3120</v>
      </c>
      <c r="E614" t="s">
        <v>406</v>
      </c>
      <c r="F614" s="4">
        <v>1551</v>
      </c>
      <c r="G614" s="4">
        <v>0</v>
      </c>
      <c r="H614" s="4">
        <v>0</v>
      </c>
      <c r="I614" s="4">
        <v>0</v>
      </c>
      <c r="J614" s="4">
        <v>1551</v>
      </c>
    </row>
    <row r="615" spans="1:10" x14ac:dyDescent="0.75">
      <c r="A615" t="s">
        <v>151</v>
      </c>
      <c r="B615">
        <v>2427</v>
      </c>
      <c r="C615" t="s">
        <v>204</v>
      </c>
      <c r="D615">
        <v>2990</v>
      </c>
      <c r="E615" t="s">
        <v>432</v>
      </c>
      <c r="F615" s="4">
        <v>0</v>
      </c>
      <c r="G615" s="4">
        <v>156</v>
      </c>
      <c r="H615" s="4">
        <v>156</v>
      </c>
      <c r="I615" s="4">
        <v>0</v>
      </c>
      <c r="J615" s="4">
        <v>156</v>
      </c>
    </row>
    <row r="616" spans="1:10" x14ac:dyDescent="0.75">
      <c r="A616" t="s">
        <v>151</v>
      </c>
      <c r="B616">
        <v>2427</v>
      </c>
      <c r="C616" t="s">
        <v>204</v>
      </c>
      <c r="D616">
        <v>3275</v>
      </c>
      <c r="E616" t="s">
        <v>412</v>
      </c>
      <c r="F616" s="4">
        <v>0</v>
      </c>
      <c r="G616" s="4">
        <v>121</v>
      </c>
      <c r="H616" s="4">
        <v>0</v>
      </c>
      <c r="I616" s="4">
        <v>121</v>
      </c>
      <c r="J616" s="4">
        <v>121</v>
      </c>
    </row>
    <row r="617" spans="1:10" x14ac:dyDescent="0.75">
      <c r="A617" t="s">
        <v>151</v>
      </c>
      <c r="B617">
        <v>2160</v>
      </c>
      <c r="C617" t="s">
        <v>90</v>
      </c>
      <c r="D617">
        <v>2211</v>
      </c>
      <c r="E617" t="s">
        <v>367</v>
      </c>
      <c r="F617" s="4">
        <v>716253</v>
      </c>
      <c r="G617" s="4">
        <v>727041</v>
      </c>
      <c r="H617" s="4">
        <v>727034</v>
      </c>
      <c r="I617" s="4">
        <v>7</v>
      </c>
      <c r="J617" s="4">
        <v>1443294</v>
      </c>
    </row>
    <row r="618" spans="1:10" x14ac:dyDescent="0.75">
      <c r="A618" t="s">
        <v>151</v>
      </c>
      <c r="B618">
        <v>2160</v>
      </c>
      <c r="C618" t="s">
        <v>90</v>
      </c>
      <c r="D618">
        <v>4860</v>
      </c>
      <c r="E618" t="s">
        <v>400</v>
      </c>
      <c r="F618" s="4">
        <v>0</v>
      </c>
      <c r="G618" s="4">
        <v>743034</v>
      </c>
      <c r="H618" s="4">
        <v>742948</v>
      </c>
      <c r="I618" s="4">
        <v>86</v>
      </c>
      <c r="J618" s="4">
        <v>743034</v>
      </c>
    </row>
    <row r="619" spans="1:10" x14ac:dyDescent="0.75">
      <c r="A619" t="s">
        <v>151</v>
      </c>
      <c r="B619">
        <v>2160</v>
      </c>
      <c r="C619" t="s">
        <v>90</v>
      </c>
      <c r="D619">
        <v>4189</v>
      </c>
      <c r="E619" t="s">
        <v>451</v>
      </c>
      <c r="F619" s="4">
        <v>0</v>
      </c>
      <c r="G619" s="4">
        <v>575372</v>
      </c>
      <c r="H619" s="4">
        <v>575349</v>
      </c>
      <c r="I619" s="4">
        <v>23</v>
      </c>
      <c r="J619" s="4">
        <v>575372</v>
      </c>
    </row>
    <row r="620" spans="1:10" x14ac:dyDescent="0.75">
      <c r="A620" t="s">
        <v>151</v>
      </c>
      <c r="B620">
        <v>2160</v>
      </c>
      <c r="C620" t="s">
        <v>90</v>
      </c>
      <c r="D620">
        <v>4322</v>
      </c>
      <c r="E620" t="s">
        <v>398</v>
      </c>
      <c r="F620" s="4">
        <v>0</v>
      </c>
      <c r="G620" s="4">
        <v>493144</v>
      </c>
      <c r="H620" s="4">
        <v>493144</v>
      </c>
      <c r="I620" s="4">
        <v>0</v>
      </c>
      <c r="J620" s="4">
        <v>493144</v>
      </c>
    </row>
    <row r="621" spans="1:10" x14ac:dyDescent="0.75">
      <c r="A621" t="s">
        <v>151</v>
      </c>
      <c r="B621">
        <v>2160</v>
      </c>
      <c r="C621" t="s">
        <v>90</v>
      </c>
      <c r="D621">
        <v>2330</v>
      </c>
      <c r="E621" t="s">
        <v>368</v>
      </c>
      <c r="F621" s="4">
        <v>195208</v>
      </c>
      <c r="G621" s="4">
        <v>295624</v>
      </c>
      <c r="H621" s="4">
        <v>295539</v>
      </c>
      <c r="I621" s="4">
        <v>85</v>
      </c>
      <c r="J621" s="4">
        <v>490832</v>
      </c>
    </row>
    <row r="622" spans="1:10" x14ac:dyDescent="0.75">
      <c r="A622" t="s">
        <v>151</v>
      </c>
      <c r="B622">
        <v>2160</v>
      </c>
      <c r="C622" t="s">
        <v>90</v>
      </c>
      <c r="D622">
        <v>4331</v>
      </c>
      <c r="E622" t="s">
        <v>390</v>
      </c>
      <c r="F622" s="4">
        <v>0</v>
      </c>
      <c r="G622" s="4">
        <v>419354</v>
      </c>
      <c r="H622" s="4">
        <v>419354</v>
      </c>
      <c r="I622" s="4">
        <v>0</v>
      </c>
      <c r="J622" s="4">
        <v>419354</v>
      </c>
    </row>
    <row r="623" spans="1:10" x14ac:dyDescent="0.75">
      <c r="A623" t="s">
        <v>151</v>
      </c>
      <c r="B623">
        <v>2160</v>
      </c>
      <c r="C623" t="s">
        <v>90</v>
      </c>
      <c r="D623">
        <v>2221</v>
      </c>
      <c r="E623" t="s">
        <v>374</v>
      </c>
      <c r="F623" s="4">
        <v>25529</v>
      </c>
      <c r="G623" s="4">
        <v>317635</v>
      </c>
      <c r="H623" s="4">
        <v>317635</v>
      </c>
      <c r="I623" s="4">
        <v>0</v>
      </c>
      <c r="J623" s="4">
        <v>343164</v>
      </c>
    </row>
    <row r="624" spans="1:10" x14ac:dyDescent="0.75">
      <c r="A624" t="s">
        <v>151</v>
      </c>
      <c r="B624">
        <v>2160</v>
      </c>
      <c r="C624" t="s">
        <v>90</v>
      </c>
      <c r="D624">
        <v>4783</v>
      </c>
      <c r="E624" t="s">
        <v>382</v>
      </c>
      <c r="F624" s="4">
        <v>0</v>
      </c>
      <c r="G624" s="4">
        <v>265257</v>
      </c>
      <c r="H624" s="4">
        <v>265257</v>
      </c>
      <c r="I624" s="4">
        <v>0</v>
      </c>
      <c r="J624" s="4">
        <v>265257</v>
      </c>
    </row>
    <row r="625" spans="1:10" x14ac:dyDescent="0.75">
      <c r="A625" t="s">
        <v>151</v>
      </c>
      <c r="B625">
        <v>2160</v>
      </c>
      <c r="C625" t="s">
        <v>90</v>
      </c>
      <c r="D625">
        <v>3220</v>
      </c>
      <c r="E625" t="s">
        <v>370</v>
      </c>
      <c r="F625" s="4">
        <v>124329</v>
      </c>
      <c r="G625" s="4">
        <v>5</v>
      </c>
      <c r="H625" s="4">
        <v>0</v>
      </c>
      <c r="I625" s="4">
        <v>5</v>
      </c>
      <c r="J625" s="4">
        <v>124334</v>
      </c>
    </row>
    <row r="626" spans="1:10" x14ac:dyDescent="0.75">
      <c r="A626" t="s">
        <v>151</v>
      </c>
      <c r="B626">
        <v>2160</v>
      </c>
      <c r="C626" t="s">
        <v>90</v>
      </c>
      <c r="D626">
        <v>2429</v>
      </c>
      <c r="E626" t="s">
        <v>375</v>
      </c>
      <c r="F626" s="4">
        <v>0</v>
      </c>
      <c r="G626" s="4">
        <v>82417</v>
      </c>
      <c r="H626" s="4">
        <v>82417</v>
      </c>
      <c r="I626" s="4">
        <v>0</v>
      </c>
      <c r="J626" s="4">
        <v>82417</v>
      </c>
    </row>
    <row r="627" spans="1:10" x14ac:dyDescent="0.75">
      <c r="A627" t="s">
        <v>151</v>
      </c>
      <c r="B627">
        <v>2160</v>
      </c>
      <c r="C627" t="s">
        <v>90</v>
      </c>
      <c r="D627">
        <v>2340</v>
      </c>
      <c r="E627" t="s">
        <v>369</v>
      </c>
      <c r="F627" s="4">
        <v>25409</v>
      </c>
      <c r="G627" s="4">
        <v>31066</v>
      </c>
      <c r="H627" s="4">
        <v>31066</v>
      </c>
      <c r="I627" s="4">
        <v>0</v>
      </c>
      <c r="J627" s="4">
        <v>56475</v>
      </c>
    </row>
    <row r="628" spans="1:10" x14ac:dyDescent="0.75">
      <c r="A628" t="s">
        <v>151</v>
      </c>
      <c r="B628">
        <v>2160</v>
      </c>
      <c r="C628" t="s">
        <v>90</v>
      </c>
      <c r="D628">
        <v>2430</v>
      </c>
      <c r="E628" t="s">
        <v>376</v>
      </c>
      <c r="F628" s="4">
        <v>51439</v>
      </c>
      <c r="G628" s="4">
        <v>0</v>
      </c>
      <c r="H628" s="4">
        <v>0</v>
      </c>
      <c r="I628" s="4">
        <v>0</v>
      </c>
      <c r="J628" s="4">
        <v>51439</v>
      </c>
    </row>
    <row r="629" spans="1:10" x14ac:dyDescent="0.75">
      <c r="A629" t="s">
        <v>151</v>
      </c>
      <c r="B629">
        <v>2160</v>
      </c>
      <c r="C629" t="s">
        <v>90</v>
      </c>
      <c r="D629">
        <v>3276</v>
      </c>
      <c r="E629" t="s">
        <v>379</v>
      </c>
      <c r="F629" s="4">
        <v>0</v>
      </c>
      <c r="G629" s="4">
        <v>48862</v>
      </c>
      <c r="H629" s="4">
        <v>48862</v>
      </c>
      <c r="I629" s="4">
        <v>0</v>
      </c>
      <c r="J629" s="4">
        <v>48862</v>
      </c>
    </row>
    <row r="630" spans="1:10" x14ac:dyDescent="0.75">
      <c r="A630" t="s">
        <v>151</v>
      </c>
      <c r="B630">
        <v>2160</v>
      </c>
      <c r="C630" t="s">
        <v>90</v>
      </c>
      <c r="D630">
        <v>2100</v>
      </c>
      <c r="E630" t="s">
        <v>403</v>
      </c>
      <c r="F630" s="4">
        <v>0</v>
      </c>
      <c r="G630" s="4">
        <v>48444</v>
      </c>
      <c r="H630" s="4">
        <v>48444</v>
      </c>
      <c r="I630" s="4">
        <v>0</v>
      </c>
      <c r="J630" s="4">
        <v>48444</v>
      </c>
    </row>
    <row r="631" spans="1:10" x14ac:dyDescent="0.75">
      <c r="A631" t="s">
        <v>151</v>
      </c>
      <c r="B631">
        <v>2160</v>
      </c>
      <c r="C631" t="s">
        <v>90</v>
      </c>
      <c r="D631">
        <v>3190</v>
      </c>
      <c r="E631" t="s">
        <v>408</v>
      </c>
      <c r="F631" s="4">
        <v>0</v>
      </c>
      <c r="G631" s="4">
        <v>45890</v>
      </c>
      <c r="H631" s="4">
        <v>12821</v>
      </c>
      <c r="I631" s="4">
        <v>33069</v>
      </c>
      <c r="J631" s="4">
        <v>45890</v>
      </c>
    </row>
    <row r="632" spans="1:10" x14ac:dyDescent="0.75">
      <c r="A632" t="s">
        <v>151</v>
      </c>
      <c r="B632">
        <v>2160</v>
      </c>
      <c r="C632" t="s">
        <v>90</v>
      </c>
      <c r="D632">
        <v>4225</v>
      </c>
      <c r="E632" t="s">
        <v>380</v>
      </c>
      <c r="F632" s="4">
        <v>0</v>
      </c>
      <c r="G632" s="4">
        <v>45338</v>
      </c>
      <c r="H632" s="4">
        <v>44885</v>
      </c>
      <c r="I632" s="4">
        <v>453</v>
      </c>
      <c r="J632" s="4">
        <v>45338</v>
      </c>
    </row>
    <row r="633" spans="1:10" x14ac:dyDescent="0.75">
      <c r="A633" t="s">
        <v>151</v>
      </c>
      <c r="B633">
        <v>2160</v>
      </c>
      <c r="C633" t="s">
        <v>90</v>
      </c>
      <c r="D633">
        <v>5220</v>
      </c>
      <c r="E633" t="s">
        <v>401</v>
      </c>
      <c r="F633" s="4">
        <v>0</v>
      </c>
      <c r="G633" s="4">
        <v>44825</v>
      </c>
      <c r="H633" s="4">
        <v>43596</v>
      </c>
      <c r="I633" s="4">
        <v>1229</v>
      </c>
      <c r="J633" s="4">
        <v>44825</v>
      </c>
    </row>
    <row r="634" spans="1:10" x14ac:dyDescent="0.75">
      <c r="A634" t="s">
        <v>151</v>
      </c>
      <c r="B634">
        <v>2160</v>
      </c>
      <c r="C634" t="s">
        <v>90</v>
      </c>
      <c r="D634">
        <v>6858</v>
      </c>
      <c r="E634" t="s">
        <v>488</v>
      </c>
      <c r="F634" s="4">
        <v>0</v>
      </c>
      <c r="G634" s="4">
        <v>17257</v>
      </c>
      <c r="H634" s="4">
        <v>17257</v>
      </c>
      <c r="I634" s="4">
        <v>0</v>
      </c>
      <c r="J634" s="4">
        <v>17257</v>
      </c>
    </row>
    <row r="635" spans="1:10" x14ac:dyDescent="0.75">
      <c r="A635" t="s">
        <v>151</v>
      </c>
      <c r="B635">
        <v>2160</v>
      </c>
      <c r="C635" t="s">
        <v>90</v>
      </c>
      <c r="D635">
        <v>4323</v>
      </c>
      <c r="E635" t="s">
        <v>373</v>
      </c>
      <c r="F635" s="4">
        <v>0</v>
      </c>
      <c r="G635" s="4">
        <v>16535</v>
      </c>
      <c r="H635" s="4">
        <v>16535</v>
      </c>
      <c r="I635" s="4">
        <v>0</v>
      </c>
      <c r="J635" s="4">
        <v>16535</v>
      </c>
    </row>
    <row r="636" spans="1:10" x14ac:dyDescent="0.75">
      <c r="A636" t="s">
        <v>151</v>
      </c>
      <c r="B636">
        <v>2160</v>
      </c>
      <c r="C636" t="s">
        <v>90</v>
      </c>
      <c r="D636">
        <v>6653</v>
      </c>
      <c r="E636" t="s">
        <v>395</v>
      </c>
      <c r="F636" s="4">
        <v>0</v>
      </c>
      <c r="G636" s="4">
        <v>10473</v>
      </c>
      <c r="H636" s="4">
        <v>10473</v>
      </c>
      <c r="I636" s="4">
        <v>0</v>
      </c>
      <c r="J636" s="4">
        <v>10473</v>
      </c>
    </row>
    <row r="637" spans="1:10" x14ac:dyDescent="0.75">
      <c r="A637" t="s">
        <v>151</v>
      </c>
      <c r="B637">
        <v>2160</v>
      </c>
      <c r="C637" t="s">
        <v>90</v>
      </c>
      <c r="D637">
        <v>9900</v>
      </c>
      <c r="E637" t="s">
        <v>389</v>
      </c>
      <c r="F637" s="4">
        <v>0</v>
      </c>
      <c r="G637" s="4">
        <v>8369</v>
      </c>
      <c r="H637" s="4">
        <v>8316</v>
      </c>
      <c r="I637" s="4">
        <v>53</v>
      </c>
      <c r="J637" s="4">
        <v>8369</v>
      </c>
    </row>
    <row r="638" spans="1:10" x14ac:dyDescent="0.75">
      <c r="A638" t="s">
        <v>151</v>
      </c>
      <c r="B638">
        <v>2160</v>
      </c>
      <c r="C638" t="s">
        <v>90</v>
      </c>
      <c r="D638">
        <v>4741</v>
      </c>
      <c r="E638" t="s">
        <v>425</v>
      </c>
      <c r="F638" s="4">
        <v>0</v>
      </c>
      <c r="G638" s="4">
        <v>7716</v>
      </c>
      <c r="H638" s="4">
        <v>0</v>
      </c>
      <c r="I638" s="4">
        <v>7716</v>
      </c>
      <c r="J638" s="4">
        <v>7716</v>
      </c>
    </row>
    <row r="639" spans="1:10" x14ac:dyDescent="0.75">
      <c r="A639" t="s">
        <v>151</v>
      </c>
      <c r="B639">
        <v>2160</v>
      </c>
      <c r="C639" t="s">
        <v>90</v>
      </c>
      <c r="D639">
        <v>7110</v>
      </c>
      <c r="E639" t="s">
        <v>371</v>
      </c>
      <c r="F639" s="4">
        <v>393</v>
      </c>
      <c r="G639" s="4">
        <v>6873</v>
      </c>
      <c r="H639" s="4">
        <v>6761</v>
      </c>
      <c r="I639" s="4">
        <v>112</v>
      </c>
      <c r="J639" s="4">
        <v>7266</v>
      </c>
    </row>
    <row r="640" spans="1:10" x14ac:dyDescent="0.75">
      <c r="A640" t="s">
        <v>151</v>
      </c>
      <c r="B640">
        <v>2160</v>
      </c>
      <c r="C640" t="s">
        <v>90</v>
      </c>
      <c r="D640">
        <v>6654</v>
      </c>
      <c r="E640" t="s">
        <v>419</v>
      </c>
      <c r="F640" s="4">
        <v>0</v>
      </c>
      <c r="G640" s="4">
        <v>3780</v>
      </c>
      <c r="H640" s="4">
        <v>3755</v>
      </c>
      <c r="I640" s="4">
        <v>25</v>
      </c>
      <c r="J640" s="4">
        <v>3780</v>
      </c>
    </row>
    <row r="641" spans="1:10" x14ac:dyDescent="0.75">
      <c r="A641" t="s">
        <v>151</v>
      </c>
      <c r="B641">
        <v>2160</v>
      </c>
      <c r="C641" t="s">
        <v>90</v>
      </c>
      <c r="D641">
        <v>7900</v>
      </c>
      <c r="E641" t="s">
        <v>388</v>
      </c>
      <c r="F641" s="4">
        <v>537</v>
      </c>
      <c r="G641" s="4">
        <v>3017</v>
      </c>
      <c r="H641" s="4">
        <v>1581</v>
      </c>
      <c r="I641" s="4">
        <v>1436</v>
      </c>
      <c r="J641" s="4">
        <v>3554</v>
      </c>
    </row>
    <row r="642" spans="1:10" x14ac:dyDescent="0.75">
      <c r="A642" t="s">
        <v>151</v>
      </c>
      <c r="B642">
        <v>2160</v>
      </c>
      <c r="C642" t="s">
        <v>90</v>
      </c>
      <c r="D642">
        <v>7600</v>
      </c>
      <c r="E642" t="s">
        <v>503</v>
      </c>
      <c r="F642" s="4">
        <v>0</v>
      </c>
      <c r="G642" s="4">
        <v>2795</v>
      </c>
      <c r="H642" s="4">
        <v>2691</v>
      </c>
      <c r="I642" s="4">
        <v>104</v>
      </c>
      <c r="J642" s="4">
        <v>2795</v>
      </c>
    </row>
    <row r="643" spans="1:10" x14ac:dyDescent="0.75">
      <c r="A643" t="s">
        <v>151</v>
      </c>
      <c r="B643">
        <v>2160</v>
      </c>
      <c r="C643" t="s">
        <v>90</v>
      </c>
      <c r="D643">
        <v>3279</v>
      </c>
      <c r="E643" t="s">
        <v>422</v>
      </c>
      <c r="F643" s="4">
        <v>0</v>
      </c>
      <c r="G643" s="4">
        <v>2760</v>
      </c>
      <c r="H643" s="4">
        <v>2760</v>
      </c>
      <c r="I643" s="4">
        <v>0</v>
      </c>
      <c r="J643" s="4">
        <v>2760</v>
      </c>
    </row>
    <row r="644" spans="1:10" x14ac:dyDescent="0.75">
      <c r="A644" t="s">
        <v>151</v>
      </c>
      <c r="B644">
        <v>2160</v>
      </c>
      <c r="C644" t="s">
        <v>90</v>
      </c>
      <c r="D644">
        <v>7210</v>
      </c>
      <c r="E644" t="s">
        <v>426</v>
      </c>
      <c r="F644" s="4">
        <v>0</v>
      </c>
      <c r="G644" s="4">
        <v>2699</v>
      </c>
      <c r="H644" s="4">
        <v>2679</v>
      </c>
      <c r="I644" s="4">
        <v>20</v>
      </c>
      <c r="J644" s="4">
        <v>2699</v>
      </c>
    </row>
    <row r="645" spans="1:10" x14ac:dyDescent="0.75">
      <c r="A645" t="s">
        <v>151</v>
      </c>
      <c r="B645">
        <v>2160</v>
      </c>
      <c r="C645" t="s">
        <v>90</v>
      </c>
      <c r="D645">
        <v>5240</v>
      </c>
      <c r="E645" t="s">
        <v>464</v>
      </c>
      <c r="F645" s="4">
        <v>0</v>
      </c>
      <c r="G645" s="4">
        <v>2684</v>
      </c>
      <c r="H645" s="4">
        <v>2660</v>
      </c>
      <c r="I645" s="4">
        <v>24</v>
      </c>
      <c r="J645" s="4">
        <v>2684</v>
      </c>
    </row>
    <row r="646" spans="1:10" x14ac:dyDescent="0.75">
      <c r="A646" t="s">
        <v>151</v>
      </c>
      <c r="B646">
        <v>2160</v>
      </c>
      <c r="C646" t="s">
        <v>90</v>
      </c>
      <c r="D646">
        <v>3275</v>
      </c>
      <c r="E646" t="s">
        <v>412</v>
      </c>
      <c r="F646" s="4">
        <v>0</v>
      </c>
      <c r="G646" s="4">
        <v>1673</v>
      </c>
      <c r="H646" s="4">
        <v>1673</v>
      </c>
      <c r="I646" s="4">
        <v>0</v>
      </c>
      <c r="J646" s="4">
        <v>1673</v>
      </c>
    </row>
    <row r="647" spans="1:10" x14ac:dyDescent="0.75">
      <c r="A647" t="s">
        <v>151</v>
      </c>
      <c r="B647">
        <v>2160</v>
      </c>
      <c r="C647" t="s">
        <v>90</v>
      </c>
      <c r="D647">
        <v>4150</v>
      </c>
      <c r="E647" t="s">
        <v>450</v>
      </c>
      <c r="F647" s="4">
        <v>0</v>
      </c>
      <c r="G647" s="4">
        <v>1508</v>
      </c>
      <c r="H647" s="4">
        <v>1508</v>
      </c>
      <c r="I647" s="4">
        <v>0</v>
      </c>
      <c r="J647" s="4">
        <v>1508</v>
      </c>
    </row>
    <row r="648" spans="1:10" x14ac:dyDescent="0.75">
      <c r="A648" t="s">
        <v>151</v>
      </c>
      <c r="B648">
        <v>2160</v>
      </c>
      <c r="C648" t="s">
        <v>90</v>
      </c>
      <c r="D648">
        <v>7500</v>
      </c>
      <c r="E648" t="s">
        <v>427</v>
      </c>
      <c r="F648" s="4">
        <v>0</v>
      </c>
      <c r="G648" s="4">
        <v>1422</v>
      </c>
      <c r="H648" s="4">
        <v>1218</v>
      </c>
      <c r="I648" s="4">
        <v>204</v>
      </c>
      <c r="J648" s="4">
        <v>1422</v>
      </c>
    </row>
    <row r="649" spans="1:10" x14ac:dyDescent="0.75">
      <c r="A649" t="s">
        <v>151</v>
      </c>
      <c r="B649">
        <v>2160</v>
      </c>
      <c r="C649" t="s">
        <v>90</v>
      </c>
      <c r="D649">
        <v>2540</v>
      </c>
      <c r="E649" t="s">
        <v>377</v>
      </c>
      <c r="F649" s="4">
        <v>0</v>
      </c>
      <c r="G649" s="4">
        <v>1281</v>
      </c>
      <c r="H649" s="4">
        <v>0</v>
      </c>
      <c r="I649" s="4">
        <v>1281</v>
      </c>
      <c r="J649" s="4">
        <v>1281</v>
      </c>
    </row>
    <row r="650" spans="1:10" x14ac:dyDescent="0.75">
      <c r="A650" t="s">
        <v>151</v>
      </c>
      <c r="B650">
        <v>2160</v>
      </c>
      <c r="C650" t="s">
        <v>90</v>
      </c>
      <c r="D650">
        <v>4650</v>
      </c>
      <c r="E650" t="s">
        <v>457</v>
      </c>
      <c r="F650" s="4">
        <v>0</v>
      </c>
      <c r="G650" s="4">
        <v>1105</v>
      </c>
      <c r="H650" s="4">
        <v>1105</v>
      </c>
      <c r="I650" s="4">
        <v>0</v>
      </c>
      <c r="J650" s="4">
        <v>1105</v>
      </c>
    </row>
    <row r="651" spans="1:10" x14ac:dyDescent="0.75">
      <c r="A651" t="s">
        <v>151</v>
      </c>
      <c r="B651">
        <v>2160</v>
      </c>
      <c r="C651" t="s">
        <v>90</v>
      </c>
      <c r="D651">
        <v>3110</v>
      </c>
      <c r="E651" t="s">
        <v>405</v>
      </c>
      <c r="F651" s="4">
        <v>0</v>
      </c>
      <c r="G651" s="4">
        <v>1050</v>
      </c>
      <c r="H651" s="4">
        <v>1050</v>
      </c>
      <c r="I651" s="4">
        <v>0</v>
      </c>
      <c r="J651" s="4">
        <v>1050</v>
      </c>
    </row>
    <row r="652" spans="1:10" x14ac:dyDescent="0.75">
      <c r="A652" t="s">
        <v>151</v>
      </c>
      <c r="B652">
        <v>2160</v>
      </c>
      <c r="C652" t="s">
        <v>90</v>
      </c>
      <c r="D652">
        <v>3130</v>
      </c>
      <c r="E652" t="s">
        <v>407</v>
      </c>
      <c r="F652" s="4">
        <v>0</v>
      </c>
      <c r="G652" s="4">
        <v>663</v>
      </c>
      <c r="H652" s="4">
        <v>663</v>
      </c>
      <c r="I652" s="4">
        <v>0</v>
      </c>
      <c r="J652" s="4">
        <v>663</v>
      </c>
    </row>
    <row r="653" spans="1:10" x14ac:dyDescent="0.75">
      <c r="A653" t="s">
        <v>151</v>
      </c>
      <c r="B653">
        <v>2160</v>
      </c>
      <c r="C653" t="s">
        <v>90</v>
      </c>
      <c r="D653">
        <v>4680</v>
      </c>
      <c r="E653" t="s">
        <v>459</v>
      </c>
      <c r="F653" s="4">
        <v>0</v>
      </c>
      <c r="G653" s="4">
        <v>520</v>
      </c>
      <c r="H653" s="4">
        <v>25</v>
      </c>
      <c r="I653" s="4">
        <v>495</v>
      </c>
      <c r="J653" s="4">
        <v>520</v>
      </c>
    </row>
    <row r="654" spans="1:10" x14ac:dyDescent="0.75">
      <c r="A654" t="s">
        <v>151</v>
      </c>
      <c r="B654">
        <v>2160</v>
      </c>
      <c r="C654" t="s">
        <v>90</v>
      </c>
      <c r="D654">
        <v>5370</v>
      </c>
      <c r="E654" t="s">
        <v>466</v>
      </c>
      <c r="F654" s="4">
        <v>0</v>
      </c>
      <c r="G654" s="4">
        <v>418</v>
      </c>
      <c r="H654" s="4">
        <v>418</v>
      </c>
      <c r="I654" s="4">
        <v>0</v>
      </c>
      <c r="J654" s="4">
        <v>418</v>
      </c>
    </row>
    <row r="655" spans="1:10" x14ac:dyDescent="0.75">
      <c r="A655" t="s">
        <v>151</v>
      </c>
      <c r="B655">
        <v>2160</v>
      </c>
      <c r="C655" t="s">
        <v>90</v>
      </c>
      <c r="D655">
        <v>6857</v>
      </c>
      <c r="E655" t="s">
        <v>487</v>
      </c>
      <c r="F655" s="4">
        <v>0</v>
      </c>
      <c r="G655" s="4">
        <v>362</v>
      </c>
      <c r="H655" s="4">
        <v>309</v>
      </c>
      <c r="I655" s="4">
        <v>53</v>
      </c>
      <c r="J655" s="4">
        <v>362</v>
      </c>
    </row>
    <row r="656" spans="1:10" x14ac:dyDescent="0.75">
      <c r="A656" t="s">
        <v>151</v>
      </c>
      <c r="B656">
        <v>2160</v>
      </c>
      <c r="C656" t="s">
        <v>90</v>
      </c>
      <c r="D656">
        <v>7400</v>
      </c>
      <c r="E656" t="s">
        <v>502</v>
      </c>
      <c r="F656" s="4">
        <v>286</v>
      </c>
      <c r="G656" s="4">
        <v>0</v>
      </c>
      <c r="H656" s="4">
        <v>0</v>
      </c>
      <c r="I656" s="4">
        <v>0</v>
      </c>
      <c r="J656" s="4">
        <v>286</v>
      </c>
    </row>
    <row r="657" spans="1:10" x14ac:dyDescent="0.75">
      <c r="A657" t="s">
        <v>151</v>
      </c>
      <c r="B657">
        <v>2160</v>
      </c>
      <c r="C657" t="s">
        <v>90</v>
      </c>
      <c r="D657">
        <v>5480</v>
      </c>
      <c r="E657" t="s">
        <v>386</v>
      </c>
      <c r="F657" s="4">
        <v>171</v>
      </c>
      <c r="G657" s="4">
        <v>71</v>
      </c>
      <c r="H657" s="4">
        <v>11</v>
      </c>
      <c r="I657" s="4">
        <v>60</v>
      </c>
      <c r="J657" s="4">
        <v>242</v>
      </c>
    </row>
    <row r="658" spans="1:10" x14ac:dyDescent="0.75">
      <c r="A658" t="s">
        <v>151</v>
      </c>
      <c r="B658">
        <v>2160</v>
      </c>
      <c r="C658" t="s">
        <v>90</v>
      </c>
      <c r="D658">
        <v>4782</v>
      </c>
      <c r="E658" t="s">
        <v>414</v>
      </c>
      <c r="F658" s="4">
        <v>0</v>
      </c>
      <c r="G658" s="4">
        <v>221</v>
      </c>
      <c r="H658" s="4">
        <v>221</v>
      </c>
      <c r="I658" s="4">
        <v>0</v>
      </c>
      <c r="J658" s="4">
        <v>221</v>
      </c>
    </row>
    <row r="659" spans="1:10" x14ac:dyDescent="0.75">
      <c r="A659" t="s">
        <v>151</v>
      </c>
      <c r="B659">
        <v>2160</v>
      </c>
      <c r="C659" t="s">
        <v>90</v>
      </c>
      <c r="D659">
        <v>4420</v>
      </c>
      <c r="E659" t="s">
        <v>381</v>
      </c>
      <c r="F659" s="4">
        <v>0</v>
      </c>
      <c r="G659" s="4">
        <v>207</v>
      </c>
      <c r="H659" s="4">
        <v>0</v>
      </c>
      <c r="I659" s="4">
        <v>207</v>
      </c>
      <c r="J659" s="4">
        <v>207</v>
      </c>
    </row>
    <row r="660" spans="1:10" x14ac:dyDescent="0.75">
      <c r="A660" t="s">
        <v>151</v>
      </c>
      <c r="B660">
        <v>2160</v>
      </c>
      <c r="C660" t="s">
        <v>90</v>
      </c>
      <c r="D660">
        <v>7120</v>
      </c>
      <c r="E660" t="s">
        <v>499</v>
      </c>
      <c r="F660" s="4">
        <v>0</v>
      </c>
      <c r="G660" s="4">
        <v>150</v>
      </c>
      <c r="H660" s="4">
        <v>147</v>
      </c>
      <c r="I660" s="4">
        <v>3</v>
      </c>
      <c r="J660" s="4">
        <v>150</v>
      </c>
    </row>
    <row r="661" spans="1:10" x14ac:dyDescent="0.75">
      <c r="A661" t="s">
        <v>151</v>
      </c>
      <c r="B661">
        <v>2160</v>
      </c>
      <c r="C661" t="s">
        <v>90</v>
      </c>
      <c r="D661">
        <v>6747</v>
      </c>
      <c r="E661" t="s">
        <v>478</v>
      </c>
      <c r="F661" s="4">
        <v>0</v>
      </c>
      <c r="G661" s="4">
        <v>110</v>
      </c>
      <c r="H661" s="4">
        <v>47</v>
      </c>
      <c r="I661" s="4">
        <v>63</v>
      </c>
      <c r="J661" s="4">
        <v>110</v>
      </c>
    </row>
    <row r="662" spans="1:10" x14ac:dyDescent="0.75">
      <c r="A662" t="s">
        <v>151</v>
      </c>
      <c r="B662">
        <v>2160</v>
      </c>
      <c r="C662" t="s">
        <v>90</v>
      </c>
      <c r="D662">
        <v>3299</v>
      </c>
      <c r="E662" t="s">
        <v>448</v>
      </c>
      <c r="F662" s="4">
        <v>0</v>
      </c>
      <c r="G662" s="4">
        <v>105</v>
      </c>
      <c r="H662" s="4">
        <v>100</v>
      </c>
      <c r="I662" s="4">
        <v>5</v>
      </c>
      <c r="J662" s="4">
        <v>105</v>
      </c>
    </row>
    <row r="663" spans="1:10" x14ac:dyDescent="0.75">
      <c r="A663" t="s">
        <v>151</v>
      </c>
      <c r="B663">
        <v>2160</v>
      </c>
      <c r="C663" t="s">
        <v>90</v>
      </c>
      <c r="D663">
        <v>3285</v>
      </c>
      <c r="E663" t="s">
        <v>443</v>
      </c>
      <c r="F663" s="4">
        <v>0</v>
      </c>
      <c r="G663" s="4">
        <v>94</v>
      </c>
      <c r="H663" s="4">
        <v>79</v>
      </c>
      <c r="I663" s="4">
        <v>15</v>
      </c>
      <c r="J663" s="4">
        <v>94</v>
      </c>
    </row>
    <row r="664" spans="1:10" x14ac:dyDescent="0.75">
      <c r="A664" t="s">
        <v>151</v>
      </c>
      <c r="B664">
        <v>2160</v>
      </c>
      <c r="C664" t="s">
        <v>90</v>
      </c>
      <c r="D664">
        <v>6888</v>
      </c>
      <c r="E664" t="s">
        <v>494</v>
      </c>
      <c r="F664" s="4">
        <v>0</v>
      </c>
      <c r="G664" s="4">
        <v>75</v>
      </c>
      <c r="H664" s="4">
        <v>75</v>
      </c>
      <c r="I664" s="4">
        <v>0</v>
      </c>
      <c r="J664" s="4">
        <v>75</v>
      </c>
    </row>
    <row r="665" spans="1:10" x14ac:dyDescent="0.75">
      <c r="A665" t="s">
        <v>151</v>
      </c>
      <c r="B665">
        <v>2160</v>
      </c>
      <c r="C665" t="s">
        <v>90</v>
      </c>
      <c r="D665">
        <v>4170</v>
      </c>
      <c r="E665" t="s">
        <v>424</v>
      </c>
      <c r="F665" s="4">
        <v>0</v>
      </c>
      <c r="G665" s="4">
        <v>73</v>
      </c>
      <c r="H665" s="4">
        <v>0</v>
      </c>
      <c r="I665" s="4">
        <v>73</v>
      </c>
      <c r="J665" s="4">
        <v>73</v>
      </c>
    </row>
    <row r="666" spans="1:10" x14ac:dyDescent="0.75">
      <c r="A666" t="s">
        <v>151</v>
      </c>
      <c r="B666">
        <v>2160</v>
      </c>
      <c r="C666" t="s">
        <v>90</v>
      </c>
      <c r="D666">
        <v>5120</v>
      </c>
      <c r="E666" t="s">
        <v>461</v>
      </c>
      <c r="F666" s="4">
        <v>0</v>
      </c>
      <c r="G666" s="4">
        <v>65</v>
      </c>
      <c r="H666" s="4">
        <v>0</v>
      </c>
      <c r="I666" s="4">
        <v>65</v>
      </c>
      <c r="J666" s="4">
        <v>65</v>
      </c>
    </row>
    <row r="667" spans="1:10" x14ac:dyDescent="0.75">
      <c r="A667" t="s">
        <v>151</v>
      </c>
      <c r="B667">
        <v>2160</v>
      </c>
      <c r="C667" t="s">
        <v>90</v>
      </c>
      <c r="D667">
        <v>6889</v>
      </c>
      <c r="E667" t="s">
        <v>420</v>
      </c>
      <c r="F667" s="4">
        <v>0</v>
      </c>
      <c r="G667" s="4">
        <v>51</v>
      </c>
      <c r="H667" s="4">
        <v>24</v>
      </c>
      <c r="I667" s="4">
        <v>27</v>
      </c>
      <c r="J667" s="4">
        <v>51</v>
      </c>
    </row>
    <row r="668" spans="1:10" x14ac:dyDescent="0.75">
      <c r="A668" t="s">
        <v>151</v>
      </c>
      <c r="B668">
        <v>2160</v>
      </c>
      <c r="C668" t="s">
        <v>90</v>
      </c>
      <c r="D668">
        <v>6134</v>
      </c>
      <c r="E668" t="s">
        <v>470</v>
      </c>
      <c r="F668" s="4">
        <v>0</v>
      </c>
      <c r="G668" s="4">
        <v>50</v>
      </c>
      <c r="H668" s="4">
        <v>50</v>
      </c>
      <c r="I668" s="4">
        <v>0</v>
      </c>
      <c r="J668" s="4">
        <v>50</v>
      </c>
    </row>
    <row r="669" spans="1:10" x14ac:dyDescent="0.75">
      <c r="A669" t="s">
        <v>151</v>
      </c>
      <c r="B669">
        <v>2160</v>
      </c>
      <c r="C669" t="s">
        <v>90</v>
      </c>
      <c r="D669">
        <v>6782</v>
      </c>
      <c r="E669" t="s">
        <v>396</v>
      </c>
      <c r="F669" s="4">
        <v>0</v>
      </c>
      <c r="G669" s="4">
        <v>41</v>
      </c>
      <c r="H669" s="4">
        <v>0</v>
      </c>
      <c r="I669" s="4">
        <v>41</v>
      </c>
      <c r="J669" s="4">
        <v>41</v>
      </c>
    </row>
    <row r="670" spans="1:10" x14ac:dyDescent="0.75">
      <c r="A670" t="s">
        <v>151</v>
      </c>
      <c r="B670">
        <v>2160</v>
      </c>
      <c r="C670" t="s">
        <v>90</v>
      </c>
      <c r="D670">
        <v>3286</v>
      </c>
      <c r="E670" t="s">
        <v>423</v>
      </c>
      <c r="F670" s="4">
        <v>0</v>
      </c>
      <c r="G670" s="4">
        <v>31</v>
      </c>
      <c r="H670" s="4">
        <v>0</v>
      </c>
      <c r="I670" s="4">
        <v>31</v>
      </c>
      <c r="J670" s="4">
        <v>31</v>
      </c>
    </row>
    <row r="671" spans="1:10" x14ac:dyDescent="0.75">
      <c r="A671" t="s">
        <v>151</v>
      </c>
      <c r="B671">
        <v>2160</v>
      </c>
      <c r="C671" t="s">
        <v>90</v>
      </c>
      <c r="D671">
        <v>6839</v>
      </c>
      <c r="E671" t="s">
        <v>485</v>
      </c>
      <c r="F671" s="4">
        <v>0</v>
      </c>
      <c r="G671" s="4">
        <v>21</v>
      </c>
      <c r="H671" s="4">
        <v>0</v>
      </c>
      <c r="I671" s="4">
        <v>21</v>
      </c>
      <c r="J671" s="4">
        <v>21</v>
      </c>
    </row>
    <row r="672" spans="1:10" x14ac:dyDescent="0.75">
      <c r="A672" t="s">
        <v>151</v>
      </c>
      <c r="B672">
        <v>2160</v>
      </c>
      <c r="C672" t="s">
        <v>90</v>
      </c>
      <c r="D672">
        <v>6899</v>
      </c>
      <c r="E672" t="s">
        <v>498</v>
      </c>
      <c r="F672" s="4">
        <v>0</v>
      </c>
      <c r="G672" s="4">
        <v>21</v>
      </c>
      <c r="H672" s="4">
        <v>21</v>
      </c>
      <c r="I672" s="4">
        <v>0</v>
      </c>
      <c r="J672" s="4">
        <v>21</v>
      </c>
    </row>
    <row r="673" spans="1:10" x14ac:dyDescent="0.75">
      <c r="A673" t="s">
        <v>151</v>
      </c>
      <c r="B673">
        <v>2160</v>
      </c>
      <c r="C673" t="s">
        <v>90</v>
      </c>
      <c r="D673">
        <v>6893</v>
      </c>
      <c r="E673" t="s">
        <v>496</v>
      </c>
      <c r="F673" s="4">
        <v>0</v>
      </c>
      <c r="G673" s="4">
        <v>15</v>
      </c>
      <c r="H673" s="4">
        <v>0</v>
      </c>
      <c r="I673" s="4">
        <v>15</v>
      </c>
      <c r="J673" s="4">
        <v>15</v>
      </c>
    </row>
    <row r="674" spans="1:10" x14ac:dyDescent="0.75">
      <c r="A674" t="s">
        <v>151</v>
      </c>
      <c r="B674">
        <v>2160</v>
      </c>
      <c r="C674" t="s">
        <v>90</v>
      </c>
      <c r="D674">
        <v>5190</v>
      </c>
      <c r="E674" t="s">
        <v>462</v>
      </c>
      <c r="F674" s="4">
        <v>0</v>
      </c>
      <c r="G674" s="4">
        <v>14</v>
      </c>
      <c r="H674" s="4">
        <v>3</v>
      </c>
      <c r="I674" s="4">
        <v>11</v>
      </c>
      <c r="J674" s="4">
        <v>14</v>
      </c>
    </row>
    <row r="675" spans="1:10" x14ac:dyDescent="0.75">
      <c r="A675" t="s">
        <v>151</v>
      </c>
      <c r="B675">
        <v>2160</v>
      </c>
      <c r="C675" t="s">
        <v>90</v>
      </c>
      <c r="D675">
        <v>7230</v>
      </c>
      <c r="E675" t="s">
        <v>387</v>
      </c>
      <c r="F675" s="4">
        <v>0</v>
      </c>
      <c r="G675" s="4">
        <v>11</v>
      </c>
      <c r="H675" s="4">
        <v>11</v>
      </c>
      <c r="I675" s="4">
        <v>0</v>
      </c>
      <c r="J675" s="4">
        <v>11</v>
      </c>
    </row>
    <row r="676" spans="1:10" x14ac:dyDescent="0.75">
      <c r="A676" t="s">
        <v>151</v>
      </c>
      <c r="B676">
        <v>2160</v>
      </c>
      <c r="C676" t="s">
        <v>90</v>
      </c>
      <c r="D676">
        <v>6885</v>
      </c>
      <c r="E676" t="s">
        <v>493</v>
      </c>
      <c r="F676" s="4">
        <v>0</v>
      </c>
      <c r="G676" s="4">
        <v>9</v>
      </c>
      <c r="H676" s="4">
        <v>0</v>
      </c>
      <c r="I676" s="4">
        <v>9</v>
      </c>
      <c r="J676" s="4">
        <v>9</v>
      </c>
    </row>
    <row r="677" spans="1:10" x14ac:dyDescent="0.75">
      <c r="A677" t="s">
        <v>151</v>
      </c>
      <c r="B677">
        <v>2160</v>
      </c>
      <c r="C677" t="s">
        <v>90</v>
      </c>
      <c r="D677">
        <v>6817</v>
      </c>
      <c r="E677" t="s">
        <v>481</v>
      </c>
      <c r="F677" s="4">
        <v>0</v>
      </c>
      <c r="G677" s="4">
        <v>6</v>
      </c>
      <c r="H677" s="4">
        <v>0</v>
      </c>
      <c r="I677" s="4">
        <v>6</v>
      </c>
      <c r="J677" s="4">
        <v>6</v>
      </c>
    </row>
    <row r="678" spans="1:10" x14ac:dyDescent="0.75">
      <c r="A678" t="s">
        <v>151</v>
      </c>
      <c r="B678">
        <v>2160</v>
      </c>
      <c r="C678" t="s">
        <v>90</v>
      </c>
      <c r="D678">
        <v>2350</v>
      </c>
      <c r="E678" t="s">
        <v>404</v>
      </c>
      <c r="F678" s="4">
        <v>0</v>
      </c>
      <c r="G678" s="4">
        <v>4</v>
      </c>
      <c r="H678" s="4">
        <v>0</v>
      </c>
      <c r="I678" s="4">
        <v>4</v>
      </c>
      <c r="J678" s="4">
        <v>4</v>
      </c>
    </row>
    <row r="679" spans="1:10" x14ac:dyDescent="0.75">
      <c r="A679" t="s">
        <v>151</v>
      </c>
      <c r="B679">
        <v>2160</v>
      </c>
      <c r="C679" t="s">
        <v>90</v>
      </c>
      <c r="D679">
        <v>5360</v>
      </c>
      <c r="E679" t="s">
        <v>465</v>
      </c>
      <c r="F679" s="4">
        <v>0</v>
      </c>
      <c r="G679" s="4">
        <v>2</v>
      </c>
      <c r="H679" s="4">
        <v>2</v>
      </c>
      <c r="I679" s="4">
        <v>0</v>
      </c>
      <c r="J679" s="4">
        <v>2</v>
      </c>
    </row>
    <row r="680" spans="1:10" x14ac:dyDescent="0.75">
      <c r="A680" t="s">
        <v>151</v>
      </c>
      <c r="B680">
        <v>2160</v>
      </c>
      <c r="C680" t="s">
        <v>90</v>
      </c>
      <c r="D680">
        <v>3272</v>
      </c>
      <c r="E680" t="s">
        <v>504</v>
      </c>
      <c r="F680" s="4">
        <v>0</v>
      </c>
      <c r="G680" s="4">
        <v>1</v>
      </c>
      <c r="H680" s="4">
        <v>1</v>
      </c>
      <c r="I680" s="4">
        <v>0</v>
      </c>
      <c r="J680" s="4">
        <v>1</v>
      </c>
    </row>
    <row r="681" spans="1:10" x14ac:dyDescent="0.75">
      <c r="A681" t="s">
        <v>151</v>
      </c>
      <c r="B681">
        <v>2160</v>
      </c>
      <c r="C681" t="s">
        <v>90</v>
      </c>
      <c r="D681">
        <v>5290</v>
      </c>
      <c r="E681" t="s">
        <v>415</v>
      </c>
      <c r="F681" s="4">
        <v>0</v>
      </c>
      <c r="G681" s="4">
        <v>1</v>
      </c>
      <c r="H681" s="4">
        <v>0</v>
      </c>
      <c r="I681" s="4">
        <v>1</v>
      </c>
      <c r="J681" s="4">
        <v>1</v>
      </c>
    </row>
    <row r="682" spans="1:10" x14ac:dyDescent="0.75">
      <c r="A682" t="s">
        <v>163</v>
      </c>
      <c r="B682">
        <v>2227</v>
      </c>
      <c r="C682" t="s">
        <v>214</v>
      </c>
      <c r="D682">
        <v>2540</v>
      </c>
      <c r="E682" t="s">
        <v>377</v>
      </c>
      <c r="F682" s="4">
        <v>869554</v>
      </c>
      <c r="G682" s="4">
        <v>0</v>
      </c>
      <c r="H682" s="4">
        <v>0</v>
      </c>
      <c r="I682" s="4">
        <v>0</v>
      </c>
      <c r="J682" s="4">
        <v>869554</v>
      </c>
    </row>
    <row r="683" spans="1:10" x14ac:dyDescent="0.75">
      <c r="A683" t="s">
        <v>163</v>
      </c>
      <c r="B683">
        <v>2227</v>
      </c>
      <c r="C683" t="s">
        <v>214</v>
      </c>
      <c r="D683">
        <v>4322</v>
      </c>
      <c r="E683" t="s">
        <v>398</v>
      </c>
      <c r="F683" s="4">
        <v>577671</v>
      </c>
      <c r="G683" s="4">
        <v>0</v>
      </c>
      <c r="H683" s="4">
        <v>0</v>
      </c>
      <c r="I683" s="4">
        <v>0</v>
      </c>
      <c r="J683" s="4">
        <v>577671</v>
      </c>
    </row>
    <row r="684" spans="1:10" x14ac:dyDescent="0.75">
      <c r="A684" t="s">
        <v>163</v>
      </c>
      <c r="B684">
        <v>2227</v>
      </c>
      <c r="C684" t="s">
        <v>214</v>
      </c>
      <c r="D684">
        <v>4331</v>
      </c>
      <c r="E684" t="s">
        <v>390</v>
      </c>
      <c r="F684" s="4">
        <v>449318</v>
      </c>
      <c r="G684" s="4">
        <v>0</v>
      </c>
      <c r="H684" s="4">
        <v>0</v>
      </c>
      <c r="I684" s="4">
        <v>0</v>
      </c>
      <c r="J684" s="4">
        <v>449318</v>
      </c>
    </row>
    <row r="685" spans="1:10" x14ac:dyDescent="0.75">
      <c r="A685" t="s">
        <v>163</v>
      </c>
      <c r="B685">
        <v>2227</v>
      </c>
      <c r="C685" t="s">
        <v>214</v>
      </c>
      <c r="D685">
        <v>1100</v>
      </c>
      <c r="E685" t="s">
        <v>397</v>
      </c>
      <c r="F685" s="4">
        <v>335769</v>
      </c>
      <c r="G685" s="4">
        <v>0</v>
      </c>
      <c r="H685" s="4">
        <v>0</v>
      </c>
      <c r="I685" s="4">
        <v>0</v>
      </c>
      <c r="J685" s="4">
        <v>335769</v>
      </c>
    </row>
    <row r="686" spans="1:10" x14ac:dyDescent="0.75">
      <c r="A686" t="s">
        <v>163</v>
      </c>
      <c r="B686">
        <v>2227</v>
      </c>
      <c r="C686" t="s">
        <v>214</v>
      </c>
      <c r="D686">
        <v>2211</v>
      </c>
      <c r="E686" t="s">
        <v>367</v>
      </c>
      <c r="F686" s="4">
        <v>248165</v>
      </c>
      <c r="G686" s="4">
        <v>0</v>
      </c>
      <c r="H686" s="4">
        <v>0</v>
      </c>
      <c r="I686" s="4">
        <v>0</v>
      </c>
      <c r="J686" s="4">
        <v>248165</v>
      </c>
    </row>
    <row r="687" spans="1:10" x14ac:dyDescent="0.75">
      <c r="A687" t="s">
        <v>163</v>
      </c>
      <c r="B687">
        <v>2227</v>
      </c>
      <c r="C687" t="s">
        <v>214</v>
      </c>
      <c r="D687">
        <v>2330</v>
      </c>
      <c r="E687" t="s">
        <v>368</v>
      </c>
      <c r="F687" s="4">
        <v>210506</v>
      </c>
      <c r="G687" s="4">
        <v>0</v>
      </c>
      <c r="H687" s="4">
        <v>0</v>
      </c>
      <c r="I687" s="4">
        <v>0</v>
      </c>
      <c r="J687" s="4">
        <v>210506</v>
      </c>
    </row>
    <row r="688" spans="1:10" x14ac:dyDescent="0.75">
      <c r="A688" t="s">
        <v>163</v>
      </c>
      <c r="B688">
        <v>2227</v>
      </c>
      <c r="C688" t="s">
        <v>214</v>
      </c>
      <c r="D688">
        <v>3110</v>
      </c>
      <c r="E688" t="s">
        <v>405</v>
      </c>
      <c r="F688" s="4">
        <v>13345</v>
      </c>
      <c r="G688" s="4">
        <v>0</v>
      </c>
      <c r="H688" s="4">
        <v>0</v>
      </c>
      <c r="I688" s="4">
        <v>0</v>
      </c>
      <c r="J688" s="4">
        <v>13345</v>
      </c>
    </row>
    <row r="689" spans="1:10" x14ac:dyDescent="0.75">
      <c r="A689" t="s">
        <v>163</v>
      </c>
      <c r="B689">
        <v>2227</v>
      </c>
      <c r="C689" t="s">
        <v>214</v>
      </c>
      <c r="D689">
        <v>3130</v>
      </c>
      <c r="E689" t="s">
        <v>407</v>
      </c>
      <c r="F689" s="4">
        <v>8963</v>
      </c>
      <c r="G689" s="4">
        <v>0</v>
      </c>
      <c r="H689" s="4">
        <v>0</v>
      </c>
      <c r="I689" s="4">
        <v>0</v>
      </c>
      <c r="J689" s="4">
        <v>8963</v>
      </c>
    </row>
    <row r="690" spans="1:10" x14ac:dyDescent="0.75">
      <c r="A690" t="s">
        <v>163</v>
      </c>
      <c r="B690">
        <v>2227</v>
      </c>
      <c r="C690" t="s">
        <v>214</v>
      </c>
      <c r="D690">
        <v>3190</v>
      </c>
      <c r="E690" t="s">
        <v>408</v>
      </c>
      <c r="F690" s="4">
        <v>4658</v>
      </c>
      <c r="G690" s="4">
        <v>0</v>
      </c>
      <c r="H690" s="4">
        <v>0</v>
      </c>
      <c r="I690" s="4">
        <v>0</v>
      </c>
      <c r="J690" s="4">
        <v>4658</v>
      </c>
    </row>
    <row r="691" spans="1:10" x14ac:dyDescent="0.75">
      <c r="A691" t="s">
        <v>163</v>
      </c>
      <c r="B691">
        <v>2227</v>
      </c>
      <c r="C691" t="s">
        <v>214</v>
      </c>
      <c r="D691">
        <v>3120</v>
      </c>
      <c r="E691" t="s">
        <v>406</v>
      </c>
      <c r="F691" s="4">
        <v>2921</v>
      </c>
      <c r="G691" s="4">
        <v>0</v>
      </c>
      <c r="H691" s="4">
        <v>0</v>
      </c>
      <c r="I691" s="4">
        <v>0</v>
      </c>
      <c r="J691" s="4">
        <v>2921</v>
      </c>
    </row>
    <row r="692" spans="1:10" x14ac:dyDescent="0.75">
      <c r="A692" t="s">
        <v>163</v>
      </c>
      <c r="B692">
        <v>2227</v>
      </c>
      <c r="C692" t="s">
        <v>214</v>
      </c>
      <c r="D692">
        <v>4310</v>
      </c>
      <c r="E692" t="s">
        <v>453</v>
      </c>
      <c r="F692" s="4">
        <v>1590</v>
      </c>
      <c r="G692" s="4">
        <v>0</v>
      </c>
      <c r="H692" s="4">
        <v>0</v>
      </c>
      <c r="I692" s="4">
        <v>0</v>
      </c>
      <c r="J692" s="4">
        <v>1590</v>
      </c>
    </row>
    <row r="693" spans="1:10" x14ac:dyDescent="0.75">
      <c r="A693" t="s">
        <v>160</v>
      </c>
      <c r="B693">
        <v>3650</v>
      </c>
      <c r="C693" t="s">
        <v>336</v>
      </c>
      <c r="D693">
        <v>7900</v>
      </c>
      <c r="E693" t="s">
        <v>388</v>
      </c>
      <c r="F693" s="4">
        <v>8849</v>
      </c>
      <c r="G693" s="4">
        <v>0</v>
      </c>
      <c r="H693" s="4">
        <v>0</v>
      </c>
      <c r="I693" s="4">
        <v>0</v>
      </c>
      <c r="J693" s="4">
        <v>8849</v>
      </c>
    </row>
    <row r="694" spans="1:10" x14ac:dyDescent="0.75">
      <c r="A694" t="s">
        <v>160</v>
      </c>
      <c r="B694">
        <v>3650</v>
      </c>
      <c r="C694" t="s">
        <v>336</v>
      </c>
      <c r="D694">
        <v>3293</v>
      </c>
      <c r="E694" t="s">
        <v>445</v>
      </c>
      <c r="F694" s="4">
        <v>150</v>
      </c>
      <c r="G694" s="4">
        <v>0</v>
      </c>
      <c r="H694" s="4">
        <v>0</v>
      </c>
      <c r="I694" s="4">
        <v>0</v>
      </c>
      <c r="J694" s="4">
        <v>150</v>
      </c>
    </row>
    <row r="695" spans="1:10" x14ac:dyDescent="0.75">
      <c r="A695" t="s">
        <v>163</v>
      </c>
      <c r="B695">
        <v>2372</v>
      </c>
      <c r="C695" t="s">
        <v>225</v>
      </c>
      <c r="D695">
        <v>4322</v>
      </c>
      <c r="E695" t="s">
        <v>398</v>
      </c>
      <c r="F695" s="4">
        <v>1217549</v>
      </c>
      <c r="G695" s="4">
        <v>0</v>
      </c>
      <c r="H695" s="4">
        <v>0</v>
      </c>
      <c r="I695" s="4">
        <v>0</v>
      </c>
      <c r="J695" s="4">
        <v>1217549</v>
      </c>
    </row>
    <row r="696" spans="1:10" x14ac:dyDescent="0.75">
      <c r="A696" t="s">
        <v>163</v>
      </c>
      <c r="B696">
        <v>2372</v>
      </c>
      <c r="C696" t="s">
        <v>225</v>
      </c>
      <c r="D696">
        <v>4420</v>
      </c>
      <c r="E696" t="s">
        <v>381</v>
      </c>
      <c r="F696" s="4">
        <v>117881</v>
      </c>
      <c r="G696" s="4">
        <v>0</v>
      </c>
      <c r="H696" s="4">
        <v>0</v>
      </c>
      <c r="I696" s="4">
        <v>0</v>
      </c>
      <c r="J696" s="4">
        <v>117881</v>
      </c>
    </row>
    <row r="697" spans="1:10" x14ac:dyDescent="0.75">
      <c r="A697" t="s">
        <v>163</v>
      </c>
      <c r="B697">
        <v>2372</v>
      </c>
      <c r="C697" t="s">
        <v>225</v>
      </c>
      <c r="D697">
        <v>2430</v>
      </c>
      <c r="E697" t="s">
        <v>376</v>
      </c>
      <c r="F697" s="4">
        <v>116343</v>
      </c>
      <c r="G697" s="4">
        <v>0</v>
      </c>
      <c r="H697" s="4">
        <v>0</v>
      </c>
      <c r="I697" s="4">
        <v>0</v>
      </c>
      <c r="J697" s="4">
        <v>116343</v>
      </c>
    </row>
    <row r="698" spans="1:10" x14ac:dyDescent="0.75">
      <c r="A698" t="s">
        <v>163</v>
      </c>
      <c r="B698">
        <v>2372</v>
      </c>
      <c r="C698" t="s">
        <v>225</v>
      </c>
      <c r="D698">
        <v>4900</v>
      </c>
      <c r="E698" t="s">
        <v>383</v>
      </c>
      <c r="F698" s="4">
        <v>112896</v>
      </c>
      <c r="G698" s="4">
        <v>0</v>
      </c>
      <c r="H698" s="4">
        <v>0</v>
      </c>
      <c r="I698" s="4">
        <v>0</v>
      </c>
      <c r="J698" s="4">
        <v>112896</v>
      </c>
    </row>
    <row r="699" spans="1:10" x14ac:dyDescent="0.75">
      <c r="A699" t="s">
        <v>163</v>
      </c>
      <c r="B699">
        <v>2372</v>
      </c>
      <c r="C699" t="s">
        <v>225</v>
      </c>
      <c r="D699">
        <v>5220</v>
      </c>
      <c r="E699" t="s">
        <v>401</v>
      </c>
      <c r="F699" s="4">
        <v>100646</v>
      </c>
      <c r="G699" s="4">
        <v>0</v>
      </c>
      <c r="H699" s="4">
        <v>0</v>
      </c>
      <c r="I699" s="4">
        <v>0</v>
      </c>
      <c r="J699" s="4">
        <v>100646</v>
      </c>
    </row>
    <row r="700" spans="1:10" x14ac:dyDescent="0.75">
      <c r="A700" t="s">
        <v>163</v>
      </c>
      <c r="B700">
        <v>2372</v>
      </c>
      <c r="C700" t="s">
        <v>225</v>
      </c>
      <c r="D700">
        <v>3275</v>
      </c>
      <c r="E700" t="s">
        <v>412</v>
      </c>
      <c r="F700" s="4">
        <v>100553</v>
      </c>
      <c r="G700" s="4">
        <v>0</v>
      </c>
      <c r="H700" s="4">
        <v>0</v>
      </c>
      <c r="I700" s="4">
        <v>0</v>
      </c>
      <c r="J700" s="4">
        <v>100553</v>
      </c>
    </row>
    <row r="701" spans="1:10" x14ac:dyDescent="0.75">
      <c r="A701" t="s">
        <v>163</v>
      </c>
      <c r="B701">
        <v>2372</v>
      </c>
      <c r="C701" t="s">
        <v>225</v>
      </c>
      <c r="D701">
        <v>3274</v>
      </c>
      <c r="E701" t="s">
        <v>438</v>
      </c>
      <c r="F701" s="4">
        <v>97959</v>
      </c>
      <c r="G701" s="4">
        <v>0</v>
      </c>
      <c r="H701" s="4">
        <v>0</v>
      </c>
      <c r="I701" s="4">
        <v>0</v>
      </c>
      <c r="J701" s="4">
        <v>97959</v>
      </c>
    </row>
    <row r="702" spans="1:10" x14ac:dyDescent="0.75">
      <c r="A702" t="s">
        <v>163</v>
      </c>
      <c r="B702">
        <v>2372</v>
      </c>
      <c r="C702" t="s">
        <v>225</v>
      </c>
      <c r="D702">
        <v>6241</v>
      </c>
      <c r="E702" t="s">
        <v>391</v>
      </c>
      <c r="F702" s="4">
        <v>92565</v>
      </c>
      <c r="G702" s="4">
        <v>0</v>
      </c>
      <c r="H702" s="4">
        <v>0</v>
      </c>
      <c r="I702" s="4">
        <v>0</v>
      </c>
      <c r="J702" s="4">
        <v>92565</v>
      </c>
    </row>
    <row r="703" spans="1:10" x14ac:dyDescent="0.75">
      <c r="A703" t="s">
        <v>163</v>
      </c>
      <c r="B703">
        <v>2372</v>
      </c>
      <c r="C703" t="s">
        <v>225</v>
      </c>
      <c r="D703">
        <v>5330</v>
      </c>
      <c r="E703" t="s">
        <v>385</v>
      </c>
      <c r="F703" s="4">
        <v>76387</v>
      </c>
      <c r="G703" s="4">
        <v>0</v>
      </c>
      <c r="H703" s="4">
        <v>0</v>
      </c>
      <c r="I703" s="4">
        <v>0</v>
      </c>
      <c r="J703" s="4">
        <v>76387</v>
      </c>
    </row>
    <row r="704" spans="1:10" x14ac:dyDescent="0.75">
      <c r="A704" t="s">
        <v>163</v>
      </c>
      <c r="B704">
        <v>2372</v>
      </c>
      <c r="C704" t="s">
        <v>225</v>
      </c>
      <c r="D704">
        <v>3219</v>
      </c>
      <c r="E704" t="s">
        <v>378</v>
      </c>
      <c r="F704" s="4">
        <v>63224</v>
      </c>
      <c r="G704" s="4">
        <v>0</v>
      </c>
      <c r="H704" s="4">
        <v>0</v>
      </c>
      <c r="I704" s="4">
        <v>0</v>
      </c>
      <c r="J704" s="4">
        <v>63224</v>
      </c>
    </row>
    <row r="705" spans="1:10" x14ac:dyDescent="0.75">
      <c r="A705" t="s">
        <v>163</v>
      </c>
      <c r="B705">
        <v>2372</v>
      </c>
      <c r="C705" t="s">
        <v>225</v>
      </c>
      <c r="D705">
        <v>5390</v>
      </c>
      <c r="E705" t="s">
        <v>418</v>
      </c>
      <c r="F705" s="4">
        <v>61786</v>
      </c>
      <c r="G705" s="4">
        <v>0</v>
      </c>
      <c r="H705" s="4">
        <v>0</v>
      </c>
      <c r="I705" s="4">
        <v>0</v>
      </c>
      <c r="J705" s="4">
        <v>61786</v>
      </c>
    </row>
    <row r="706" spans="1:10" x14ac:dyDescent="0.75">
      <c r="A706" t="s">
        <v>163</v>
      </c>
      <c r="B706">
        <v>2372</v>
      </c>
      <c r="C706" t="s">
        <v>225</v>
      </c>
      <c r="D706">
        <v>2540</v>
      </c>
      <c r="E706" t="s">
        <v>377</v>
      </c>
      <c r="F706" s="4">
        <v>56355</v>
      </c>
      <c r="G706" s="4">
        <v>0</v>
      </c>
      <c r="H706" s="4">
        <v>0</v>
      </c>
      <c r="I706" s="4">
        <v>0</v>
      </c>
      <c r="J706" s="4">
        <v>56355</v>
      </c>
    </row>
    <row r="707" spans="1:10" x14ac:dyDescent="0.75">
      <c r="A707" t="s">
        <v>163</v>
      </c>
      <c r="B707">
        <v>2372</v>
      </c>
      <c r="C707" t="s">
        <v>225</v>
      </c>
      <c r="D707">
        <v>1100</v>
      </c>
      <c r="E707" t="s">
        <v>397</v>
      </c>
      <c r="F707" s="4">
        <v>24803</v>
      </c>
      <c r="G707" s="4">
        <v>0</v>
      </c>
      <c r="H707" s="4">
        <v>0</v>
      </c>
      <c r="I707" s="4">
        <v>0</v>
      </c>
      <c r="J707" s="4">
        <v>24803</v>
      </c>
    </row>
    <row r="708" spans="1:10" x14ac:dyDescent="0.75">
      <c r="A708" t="s">
        <v>163</v>
      </c>
      <c r="B708">
        <v>2372</v>
      </c>
      <c r="C708" t="s">
        <v>225</v>
      </c>
      <c r="D708">
        <v>5312</v>
      </c>
      <c r="E708" t="s">
        <v>416</v>
      </c>
      <c r="F708" s="4">
        <v>21589</v>
      </c>
      <c r="G708" s="4">
        <v>0</v>
      </c>
      <c r="H708" s="4">
        <v>0</v>
      </c>
      <c r="I708" s="4">
        <v>0</v>
      </c>
      <c r="J708" s="4">
        <v>21589</v>
      </c>
    </row>
    <row r="709" spans="1:10" x14ac:dyDescent="0.75">
      <c r="A709" t="s">
        <v>163</v>
      </c>
      <c r="B709">
        <v>2372</v>
      </c>
      <c r="C709" t="s">
        <v>225</v>
      </c>
      <c r="D709">
        <v>4860</v>
      </c>
      <c r="E709" t="s">
        <v>400</v>
      </c>
      <c r="F709" s="4">
        <v>8486</v>
      </c>
      <c r="G709" s="4">
        <v>0</v>
      </c>
      <c r="H709" s="4">
        <v>0</v>
      </c>
      <c r="I709" s="4">
        <v>0</v>
      </c>
      <c r="J709" s="4">
        <v>8486</v>
      </c>
    </row>
    <row r="710" spans="1:10" x14ac:dyDescent="0.75">
      <c r="A710" t="s">
        <v>163</v>
      </c>
      <c r="B710">
        <v>2372</v>
      </c>
      <c r="C710" t="s">
        <v>225</v>
      </c>
      <c r="D710">
        <v>5290</v>
      </c>
      <c r="E710" t="s">
        <v>415</v>
      </c>
      <c r="F710" s="4">
        <v>3156</v>
      </c>
      <c r="G710" s="4">
        <v>0</v>
      </c>
      <c r="H710" s="4">
        <v>0</v>
      </c>
      <c r="I710" s="4">
        <v>0</v>
      </c>
      <c r="J710" s="4">
        <v>3156</v>
      </c>
    </row>
    <row r="711" spans="1:10" x14ac:dyDescent="0.75">
      <c r="A711" t="s">
        <v>163</v>
      </c>
      <c r="B711">
        <v>2372</v>
      </c>
      <c r="C711" t="s">
        <v>225</v>
      </c>
      <c r="D711">
        <v>3190</v>
      </c>
      <c r="E711" t="s">
        <v>408</v>
      </c>
      <c r="F711" s="4">
        <v>3112</v>
      </c>
      <c r="G711" s="4">
        <v>0</v>
      </c>
      <c r="H711" s="4">
        <v>0</v>
      </c>
      <c r="I711" s="4">
        <v>0</v>
      </c>
      <c r="J711" s="4">
        <v>3112</v>
      </c>
    </row>
    <row r="712" spans="1:10" x14ac:dyDescent="0.75">
      <c r="A712" t="s">
        <v>163</v>
      </c>
      <c r="B712">
        <v>2372</v>
      </c>
      <c r="C712" t="s">
        <v>225</v>
      </c>
      <c r="D712">
        <v>5360</v>
      </c>
      <c r="E712" t="s">
        <v>465</v>
      </c>
      <c r="F712" s="4">
        <v>3002</v>
      </c>
      <c r="G712" s="4">
        <v>0</v>
      </c>
      <c r="H712" s="4">
        <v>0</v>
      </c>
      <c r="I712" s="4">
        <v>0</v>
      </c>
      <c r="J712" s="4">
        <v>3002</v>
      </c>
    </row>
    <row r="713" spans="1:10" x14ac:dyDescent="0.75">
      <c r="A713" t="s">
        <v>163</v>
      </c>
      <c r="B713">
        <v>2372</v>
      </c>
      <c r="C713" t="s">
        <v>225</v>
      </c>
      <c r="D713">
        <v>4331</v>
      </c>
      <c r="E713" t="s">
        <v>390</v>
      </c>
      <c r="F713" s="4">
        <v>1575</v>
      </c>
      <c r="G713" s="4">
        <v>0</v>
      </c>
      <c r="H713" s="4">
        <v>0</v>
      </c>
      <c r="I713" s="4">
        <v>0</v>
      </c>
      <c r="J713" s="4">
        <v>1575</v>
      </c>
    </row>
    <row r="714" spans="1:10" x14ac:dyDescent="0.75">
      <c r="A714" t="s">
        <v>163</v>
      </c>
      <c r="B714">
        <v>2372</v>
      </c>
      <c r="C714" t="s">
        <v>225</v>
      </c>
      <c r="D714">
        <v>5480</v>
      </c>
      <c r="E714" t="s">
        <v>386</v>
      </c>
      <c r="F714" s="4">
        <v>1158</v>
      </c>
      <c r="G714" s="4">
        <v>0</v>
      </c>
      <c r="H714" s="4">
        <v>0</v>
      </c>
      <c r="I714" s="4">
        <v>0</v>
      </c>
      <c r="J714" s="4">
        <v>1158</v>
      </c>
    </row>
    <row r="715" spans="1:10" x14ac:dyDescent="0.75">
      <c r="A715" t="s">
        <v>160</v>
      </c>
      <c r="B715">
        <v>3629</v>
      </c>
      <c r="C715" t="s">
        <v>124</v>
      </c>
      <c r="D715">
        <v>2211</v>
      </c>
      <c r="E715" t="s">
        <v>367</v>
      </c>
      <c r="F715" s="4">
        <v>107346</v>
      </c>
      <c r="G715" s="4">
        <v>57900</v>
      </c>
      <c r="H715" s="4">
        <v>57900</v>
      </c>
      <c r="I715" s="4">
        <v>0</v>
      </c>
      <c r="J715" s="4">
        <v>165246</v>
      </c>
    </row>
    <row r="716" spans="1:10" x14ac:dyDescent="0.75">
      <c r="A716" t="s">
        <v>160</v>
      </c>
      <c r="B716">
        <v>3629</v>
      </c>
      <c r="C716" t="s">
        <v>124</v>
      </c>
      <c r="D716">
        <v>2330</v>
      </c>
      <c r="E716" t="s">
        <v>368</v>
      </c>
      <c r="F716" s="4">
        <v>29834</v>
      </c>
      <c r="G716" s="4">
        <v>17914</v>
      </c>
      <c r="H716" s="4">
        <v>17914</v>
      </c>
      <c r="I716" s="4">
        <v>0</v>
      </c>
      <c r="J716" s="4">
        <v>47748</v>
      </c>
    </row>
    <row r="717" spans="1:10" x14ac:dyDescent="0.75">
      <c r="A717" t="s">
        <v>160</v>
      </c>
      <c r="B717">
        <v>3629</v>
      </c>
      <c r="C717" t="s">
        <v>124</v>
      </c>
      <c r="D717">
        <v>4322</v>
      </c>
      <c r="E717" t="s">
        <v>398</v>
      </c>
      <c r="F717" s="4">
        <v>26720</v>
      </c>
      <c r="G717" s="4">
        <v>0</v>
      </c>
      <c r="H717" s="4">
        <v>0</v>
      </c>
      <c r="I717" s="4">
        <v>0</v>
      </c>
      <c r="J717" s="4">
        <v>26720</v>
      </c>
    </row>
    <row r="718" spans="1:10" x14ac:dyDescent="0.75">
      <c r="A718" t="s">
        <v>160</v>
      </c>
      <c r="B718">
        <v>3629</v>
      </c>
      <c r="C718" t="s">
        <v>124</v>
      </c>
      <c r="D718">
        <v>5290</v>
      </c>
      <c r="E718" t="s">
        <v>415</v>
      </c>
      <c r="F718" s="4">
        <v>0</v>
      </c>
      <c r="G718" s="4">
        <v>22046</v>
      </c>
      <c r="H718" s="4">
        <v>0</v>
      </c>
      <c r="I718" s="4">
        <v>22046</v>
      </c>
      <c r="J718" s="4">
        <v>22046</v>
      </c>
    </row>
    <row r="719" spans="1:10" x14ac:dyDescent="0.75">
      <c r="A719" t="s">
        <v>160</v>
      </c>
      <c r="B719">
        <v>3629</v>
      </c>
      <c r="C719" t="s">
        <v>124</v>
      </c>
      <c r="D719">
        <v>3220</v>
      </c>
      <c r="E719" t="s">
        <v>370</v>
      </c>
      <c r="F719" s="4">
        <v>18999</v>
      </c>
      <c r="G719" s="4">
        <v>0</v>
      </c>
      <c r="H719" s="4">
        <v>0</v>
      </c>
      <c r="I719" s="4">
        <v>0</v>
      </c>
      <c r="J719" s="4">
        <v>18999</v>
      </c>
    </row>
    <row r="720" spans="1:10" x14ac:dyDescent="0.75">
      <c r="A720" t="s">
        <v>160</v>
      </c>
      <c r="B720">
        <v>3629</v>
      </c>
      <c r="C720" t="s">
        <v>124</v>
      </c>
      <c r="D720">
        <v>4331</v>
      </c>
      <c r="E720" t="s">
        <v>390</v>
      </c>
      <c r="F720" s="4">
        <v>6600</v>
      </c>
      <c r="G720" s="4">
        <v>0</v>
      </c>
      <c r="H720" s="4">
        <v>0</v>
      </c>
      <c r="I720" s="4">
        <v>0</v>
      </c>
      <c r="J720" s="4">
        <v>6600</v>
      </c>
    </row>
    <row r="721" spans="1:10" x14ac:dyDescent="0.75">
      <c r="A721" t="s">
        <v>160</v>
      </c>
      <c r="B721">
        <v>3629</v>
      </c>
      <c r="C721" t="s">
        <v>124</v>
      </c>
      <c r="D721">
        <v>7110</v>
      </c>
      <c r="E721" t="s">
        <v>371</v>
      </c>
      <c r="F721" s="4">
        <v>2355</v>
      </c>
      <c r="G721" s="4">
        <v>0</v>
      </c>
      <c r="H721" s="4">
        <v>0</v>
      </c>
      <c r="I721" s="4">
        <v>0</v>
      </c>
      <c r="J721" s="4">
        <v>2355</v>
      </c>
    </row>
    <row r="722" spans="1:10" x14ac:dyDescent="0.75">
      <c r="A722" t="s">
        <v>160</v>
      </c>
      <c r="B722">
        <v>3629</v>
      </c>
      <c r="C722" t="s">
        <v>124</v>
      </c>
      <c r="D722">
        <v>7900</v>
      </c>
      <c r="E722" t="s">
        <v>388</v>
      </c>
      <c r="F722" s="4">
        <v>859</v>
      </c>
      <c r="G722" s="4">
        <v>0</v>
      </c>
      <c r="H722" s="4">
        <v>0</v>
      </c>
      <c r="I722" s="4">
        <v>0</v>
      </c>
      <c r="J722" s="4">
        <v>859</v>
      </c>
    </row>
    <row r="723" spans="1:10" x14ac:dyDescent="0.75">
      <c r="A723" t="s">
        <v>163</v>
      </c>
      <c r="B723">
        <v>2445</v>
      </c>
      <c r="C723" t="s">
        <v>190</v>
      </c>
      <c r="D723">
        <v>6344</v>
      </c>
      <c r="E723" t="s">
        <v>392</v>
      </c>
      <c r="F723" s="4">
        <v>796930</v>
      </c>
      <c r="G723" s="4">
        <v>0</v>
      </c>
      <c r="H723" s="4">
        <v>0</v>
      </c>
      <c r="I723" s="4">
        <v>0</v>
      </c>
      <c r="J723" s="4">
        <v>796930</v>
      </c>
    </row>
    <row r="724" spans="1:10" x14ac:dyDescent="0.75">
      <c r="A724" t="s">
        <v>163</v>
      </c>
      <c r="B724">
        <v>2445</v>
      </c>
      <c r="C724" t="s">
        <v>190</v>
      </c>
      <c r="D724">
        <v>2211</v>
      </c>
      <c r="E724" t="s">
        <v>367</v>
      </c>
      <c r="F724" s="4">
        <v>778225</v>
      </c>
      <c r="G724" s="4">
        <v>0</v>
      </c>
      <c r="H724" s="4">
        <v>0</v>
      </c>
      <c r="I724" s="4">
        <v>0</v>
      </c>
      <c r="J724" s="4">
        <v>778225</v>
      </c>
    </row>
    <row r="725" spans="1:10" x14ac:dyDescent="0.75">
      <c r="A725" t="s">
        <v>163</v>
      </c>
      <c r="B725">
        <v>2445</v>
      </c>
      <c r="C725" t="s">
        <v>190</v>
      </c>
      <c r="D725">
        <v>6522</v>
      </c>
      <c r="E725" t="s">
        <v>393</v>
      </c>
      <c r="F725" s="4">
        <v>629690</v>
      </c>
      <c r="G725" s="4">
        <v>0</v>
      </c>
      <c r="H725" s="4">
        <v>0</v>
      </c>
      <c r="I725" s="4">
        <v>0</v>
      </c>
      <c r="J725" s="4">
        <v>629690</v>
      </c>
    </row>
    <row r="726" spans="1:10" x14ac:dyDescent="0.75">
      <c r="A726" t="s">
        <v>163</v>
      </c>
      <c r="B726">
        <v>2445</v>
      </c>
      <c r="C726" t="s">
        <v>190</v>
      </c>
      <c r="D726">
        <v>5312</v>
      </c>
      <c r="E726" t="s">
        <v>416</v>
      </c>
      <c r="F726" s="4">
        <v>574656</v>
      </c>
      <c r="G726" s="4">
        <v>0</v>
      </c>
      <c r="H726" s="4">
        <v>0</v>
      </c>
      <c r="I726" s="4">
        <v>0</v>
      </c>
      <c r="J726" s="4">
        <v>574656</v>
      </c>
    </row>
    <row r="727" spans="1:10" x14ac:dyDescent="0.75">
      <c r="A727" t="s">
        <v>163</v>
      </c>
      <c r="B727">
        <v>2445</v>
      </c>
      <c r="C727" t="s">
        <v>190</v>
      </c>
      <c r="D727">
        <v>5220</v>
      </c>
      <c r="E727" t="s">
        <v>401</v>
      </c>
      <c r="F727" s="4">
        <v>451402</v>
      </c>
      <c r="G727" s="4">
        <v>0</v>
      </c>
      <c r="H727" s="4">
        <v>0</v>
      </c>
      <c r="I727" s="4">
        <v>0</v>
      </c>
      <c r="J727" s="4">
        <v>451402</v>
      </c>
    </row>
    <row r="728" spans="1:10" x14ac:dyDescent="0.75">
      <c r="A728" t="s">
        <v>163</v>
      </c>
      <c r="B728">
        <v>2445</v>
      </c>
      <c r="C728" t="s">
        <v>190</v>
      </c>
      <c r="D728">
        <v>3110</v>
      </c>
      <c r="E728" t="s">
        <v>405</v>
      </c>
      <c r="F728" s="4">
        <v>381046</v>
      </c>
      <c r="G728" s="4">
        <v>0</v>
      </c>
      <c r="H728" s="4">
        <v>0</v>
      </c>
      <c r="I728" s="4">
        <v>0</v>
      </c>
      <c r="J728" s="4">
        <v>381046</v>
      </c>
    </row>
    <row r="729" spans="1:10" x14ac:dyDescent="0.75">
      <c r="A729" t="s">
        <v>163</v>
      </c>
      <c r="B729">
        <v>2445</v>
      </c>
      <c r="C729" t="s">
        <v>190</v>
      </c>
      <c r="D729">
        <v>2330</v>
      </c>
      <c r="E729" t="s">
        <v>368</v>
      </c>
      <c r="F729" s="4">
        <v>374291</v>
      </c>
      <c r="G729" s="4">
        <v>0</v>
      </c>
      <c r="H729" s="4">
        <v>0</v>
      </c>
      <c r="I729" s="4">
        <v>0</v>
      </c>
      <c r="J729" s="4">
        <v>374291</v>
      </c>
    </row>
    <row r="730" spans="1:10" x14ac:dyDescent="0.75">
      <c r="A730" t="s">
        <v>163</v>
      </c>
      <c r="B730">
        <v>2445</v>
      </c>
      <c r="C730" t="s">
        <v>190</v>
      </c>
      <c r="D730">
        <v>3220</v>
      </c>
      <c r="E730" t="s">
        <v>370</v>
      </c>
      <c r="F730" s="4">
        <v>266102</v>
      </c>
      <c r="G730" s="4">
        <v>0</v>
      </c>
      <c r="H730" s="4">
        <v>0</v>
      </c>
      <c r="I730" s="4">
        <v>0</v>
      </c>
      <c r="J730" s="4">
        <v>266102</v>
      </c>
    </row>
    <row r="731" spans="1:10" x14ac:dyDescent="0.75">
      <c r="A731" t="s">
        <v>163</v>
      </c>
      <c r="B731">
        <v>2445</v>
      </c>
      <c r="C731" t="s">
        <v>190</v>
      </c>
      <c r="D731">
        <v>3274</v>
      </c>
      <c r="E731" t="s">
        <v>438</v>
      </c>
      <c r="F731" s="4">
        <v>253710</v>
      </c>
      <c r="G731" s="4">
        <v>0</v>
      </c>
      <c r="H731" s="4">
        <v>0</v>
      </c>
      <c r="I731" s="4">
        <v>0</v>
      </c>
      <c r="J731" s="4">
        <v>253710</v>
      </c>
    </row>
    <row r="732" spans="1:10" x14ac:dyDescent="0.75">
      <c r="A732" t="s">
        <v>163</v>
      </c>
      <c r="B732">
        <v>2445</v>
      </c>
      <c r="C732" t="s">
        <v>190</v>
      </c>
      <c r="D732">
        <v>4783</v>
      </c>
      <c r="E732" t="s">
        <v>382</v>
      </c>
      <c r="F732" s="4">
        <v>230914</v>
      </c>
      <c r="G732" s="4">
        <v>0</v>
      </c>
      <c r="H732" s="4">
        <v>0</v>
      </c>
      <c r="I732" s="4">
        <v>0</v>
      </c>
      <c r="J732" s="4">
        <v>230914</v>
      </c>
    </row>
    <row r="733" spans="1:10" x14ac:dyDescent="0.75">
      <c r="A733" t="s">
        <v>163</v>
      </c>
      <c r="B733">
        <v>2445</v>
      </c>
      <c r="C733" t="s">
        <v>190</v>
      </c>
      <c r="D733">
        <v>6782</v>
      </c>
      <c r="E733" t="s">
        <v>396</v>
      </c>
      <c r="F733" s="4">
        <v>222506</v>
      </c>
      <c r="G733" s="4">
        <v>0</v>
      </c>
      <c r="H733" s="4">
        <v>0</v>
      </c>
      <c r="I733" s="4">
        <v>0</v>
      </c>
      <c r="J733" s="4">
        <v>222506</v>
      </c>
    </row>
    <row r="734" spans="1:10" x14ac:dyDescent="0.75">
      <c r="A734" t="s">
        <v>163</v>
      </c>
      <c r="B734">
        <v>2445</v>
      </c>
      <c r="C734" t="s">
        <v>190</v>
      </c>
      <c r="D734">
        <v>4420</v>
      </c>
      <c r="E734" t="s">
        <v>381</v>
      </c>
      <c r="F734" s="4">
        <v>184705</v>
      </c>
      <c r="G734" s="4">
        <v>0</v>
      </c>
      <c r="H734" s="4">
        <v>0</v>
      </c>
      <c r="I734" s="4">
        <v>0</v>
      </c>
      <c r="J734" s="4">
        <v>184705</v>
      </c>
    </row>
    <row r="735" spans="1:10" x14ac:dyDescent="0.75">
      <c r="A735" t="s">
        <v>163</v>
      </c>
      <c r="B735">
        <v>2445</v>
      </c>
      <c r="C735" t="s">
        <v>190</v>
      </c>
      <c r="D735">
        <v>2350</v>
      </c>
      <c r="E735" t="s">
        <v>404</v>
      </c>
      <c r="F735" s="4">
        <v>123859</v>
      </c>
      <c r="G735" s="4">
        <v>0</v>
      </c>
      <c r="H735" s="4">
        <v>0</v>
      </c>
      <c r="I735" s="4">
        <v>0</v>
      </c>
      <c r="J735" s="4">
        <v>123859</v>
      </c>
    </row>
    <row r="736" spans="1:10" x14ac:dyDescent="0.75">
      <c r="A736" t="s">
        <v>163</v>
      </c>
      <c r="B736">
        <v>2445</v>
      </c>
      <c r="C736" t="s">
        <v>190</v>
      </c>
      <c r="D736">
        <v>3130</v>
      </c>
      <c r="E736" t="s">
        <v>407</v>
      </c>
      <c r="F736" s="4">
        <v>111020</v>
      </c>
      <c r="G736" s="4">
        <v>0</v>
      </c>
      <c r="H736" s="4">
        <v>0</v>
      </c>
      <c r="I736" s="4">
        <v>0</v>
      </c>
      <c r="J736" s="4">
        <v>111020</v>
      </c>
    </row>
    <row r="737" spans="1:10" x14ac:dyDescent="0.75">
      <c r="A737" t="s">
        <v>163</v>
      </c>
      <c r="B737">
        <v>2445</v>
      </c>
      <c r="C737" t="s">
        <v>190</v>
      </c>
      <c r="D737">
        <v>3190</v>
      </c>
      <c r="E737" t="s">
        <v>408</v>
      </c>
      <c r="F737" s="4">
        <v>84631</v>
      </c>
      <c r="G737" s="4">
        <v>0</v>
      </c>
      <c r="H737" s="4">
        <v>0</v>
      </c>
      <c r="I737" s="4">
        <v>0</v>
      </c>
      <c r="J737" s="4">
        <v>84631</v>
      </c>
    </row>
    <row r="738" spans="1:10" x14ac:dyDescent="0.75">
      <c r="A738" t="s">
        <v>163</v>
      </c>
      <c r="B738">
        <v>2445</v>
      </c>
      <c r="C738" t="s">
        <v>190</v>
      </c>
      <c r="D738">
        <v>4410</v>
      </c>
      <c r="E738" t="s">
        <v>399</v>
      </c>
      <c r="F738" s="4">
        <v>81906</v>
      </c>
      <c r="G738" s="4">
        <v>0</v>
      </c>
      <c r="H738" s="4">
        <v>0</v>
      </c>
      <c r="I738" s="4">
        <v>0</v>
      </c>
      <c r="J738" s="4">
        <v>81906</v>
      </c>
    </row>
    <row r="739" spans="1:10" x14ac:dyDescent="0.75">
      <c r="A739" t="s">
        <v>163</v>
      </c>
      <c r="B739">
        <v>2445</v>
      </c>
      <c r="C739" t="s">
        <v>190</v>
      </c>
      <c r="D739">
        <v>5330</v>
      </c>
      <c r="E739" t="s">
        <v>385</v>
      </c>
      <c r="F739" s="4">
        <v>72479</v>
      </c>
      <c r="G739" s="4">
        <v>0</v>
      </c>
      <c r="H739" s="4">
        <v>0</v>
      </c>
      <c r="I739" s="4">
        <v>0</v>
      </c>
      <c r="J739" s="4">
        <v>72479</v>
      </c>
    </row>
    <row r="740" spans="1:10" x14ac:dyDescent="0.75">
      <c r="A740" t="s">
        <v>163</v>
      </c>
      <c r="B740">
        <v>2445</v>
      </c>
      <c r="C740" t="s">
        <v>190</v>
      </c>
      <c r="D740">
        <v>2430</v>
      </c>
      <c r="E740" t="s">
        <v>376</v>
      </c>
      <c r="F740" s="4">
        <v>59349</v>
      </c>
      <c r="G740" s="4">
        <v>0</v>
      </c>
      <c r="H740" s="4">
        <v>0</v>
      </c>
      <c r="I740" s="4">
        <v>0</v>
      </c>
      <c r="J740" s="4">
        <v>59349</v>
      </c>
    </row>
    <row r="741" spans="1:10" x14ac:dyDescent="0.75">
      <c r="A741" t="s">
        <v>163</v>
      </c>
      <c r="B741">
        <v>2445</v>
      </c>
      <c r="C741" t="s">
        <v>190</v>
      </c>
      <c r="D741">
        <v>4331</v>
      </c>
      <c r="E741" t="s">
        <v>390</v>
      </c>
      <c r="F741" s="4">
        <v>50343</v>
      </c>
      <c r="G741" s="4">
        <v>0</v>
      </c>
      <c r="H741" s="4">
        <v>0</v>
      </c>
      <c r="I741" s="4">
        <v>0</v>
      </c>
      <c r="J741" s="4">
        <v>50343</v>
      </c>
    </row>
    <row r="742" spans="1:10" x14ac:dyDescent="0.75">
      <c r="A742" t="s">
        <v>163</v>
      </c>
      <c r="B742">
        <v>2445</v>
      </c>
      <c r="C742" t="s">
        <v>190</v>
      </c>
      <c r="D742">
        <v>5360</v>
      </c>
      <c r="E742" t="s">
        <v>465</v>
      </c>
      <c r="F742" s="4">
        <v>49260</v>
      </c>
      <c r="G742" s="4">
        <v>0</v>
      </c>
      <c r="H742" s="4">
        <v>0</v>
      </c>
      <c r="I742" s="4">
        <v>0</v>
      </c>
      <c r="J742" s="4">
        <v>49260</v>
      </c>
    </row>
    <row r="743" spans="1:10" x14ac:dyDescent="0.75">
      <c r="A743" t="s">
        <v>163</v>
      </c>
      <c r="B743">
        <v>2445</v>
      </c>
      <c r="C743" t="s">
        <v>190</v>
      </c>
      <c r="D743">
        <v>3120</v>
      </c>
      <c r="E743" t="s">
        <v>406</v>
      </c>
      <c r="F743" s="4">
        <v>45055</v>
      </c>
      <c r="G743" s="4">
        <v>0</v>
      </c>
      <c r="H743" s="4">
        <v>0</v>
      </c>
      <c r="I743" s="4">
        <v>0</v>
      </c>
      <c r="J743" s="4">
        <v>45055</v>
      </c>
    </row>
    <row r="744" spans="1:10" x14ac:dyDescent="0.75">
      <c r="A744" t="s">
        <v>163</v>
      </c>
      <c r="B744">
        <v>2445</v>
      </c>
      <c r="C744" t="s">
        <v>190</v>
      </c>
      <c r="D744">
        <v>5390</v>
      </c>
      <c r="E744" t="s">
        <v>418</v>
      </c>
      <c r="F744" s="4">
        <v>33992</v>
      </c>
      <c r="G744" s="4">
        <v>0</v>
      </c>
      <c r="H744" s="4">
        <v>0</v>
      </c>
      <c r="I744" s="4">
        <v>0</v>
      </c>
      <c r="J744" s="4">
        <v>33992</v>
      </c>
    </row>
    <row r="745" spans="1:10" x14ac:dyDescent="0.75">
      <c r="A745" t="s">
        <v>163</v>
      </c>
      <c r="B745">
        <v>2445</v>
      </c>
      <c r="C745" t="s">
        <v>190</v>
      </c>
      <c r="D745">
        <v>1100</v>
      </c>
      <c r="E745" t="s">
        <v>397</v>
      </c>
      <c r="F745" s="4">
        <v>31859</v>
      </c>
      <c r="G745" s="4">
        <v>0</v>
      </c>
      <c r="H745" s="4">
        <v>0</v>
      </c>
      <c r="I745" s="4">
        <v>0</v>
      </c>
      <c r="J745" s="4">
        <v>31859</v>
      </c>
    </row>
    <row r="746" spans="1:10" x14ac:dyDescent="0.75">
      <c r="A746" t="s">
        <v>163</v>
      </c>
      <c r="B746">
        <v>2445</v>
      </c>
      <c r="C746" t="s">
        <v>190</v>
      </c>
      <c r="D746">
        <v>3219</v>
      </c>
      <c r="E746" t="s">
        <v>378</v>
      </c>
      <c r="F746" s="4">
        <v>30430</v>
      </c>
      <c r="G746" s="4">
        <v>0</v>
      </c>
      <c r="H746" s="4">
        <v>0</v>
      </c>
      <c r="I746" s="4">
        <v>0</v>
      </c>
      <c r="J746" s="4">
        <v>30430</v>
      </c>
    </row>
    <row r="747" spans="1:10" x14ac:dyDescent="0.75">
      <c r="A747" t="s">
        <v>163</v>
      </c>
      <c r="B747">
        <v>2445</v>
      </c>
      <c r="C747" t="s">
        <v>190</v>
      </c>
      <c r="D747">
        <v>3230</v>
      </c>
      <c r="E747" t="s">
        <v>434</v>
      </c>
      <c r="F747" s="4">
        <v>29181</v>
      </c>
      <c r="G747" s="4">
        <v>0</v>
      </c>
      <c r="H747" s="4">
        <v>0</v>
      </c>
      <c r="I747" s="4">
        <v>0</v>
      </c>
      <c r="J747" s="4">
        <v>29181</v>
      </c>
    </row>
    <row r="748" spans="1:10" x14ac:dyDescent="0.75">
      <c r="A748" t="s">
        <v>163</v>
      </c>
      <c r="B748">
        <v>2445</v>
      </c>
      <c r="C748" t="s">
        <v>190</v>
      </c>
      <c r="D748">
        <v>2540</v>
      </c>
      <c r="E748" t="s">
        <v>377</v>
      </c>
      <c r="F748" s="4">
        <v>27932</v>
      </c>
      <c r="G748" s="4">
        <v>0</v>
      </c>
      <c r="H748" s="4">
        <v>0</v>
      </c>
      <c r="I748" s="4">
        <v>0</v>
      </c>
      <c r="J748" s="4">
        <v>27932</v>
      </c>
    </row>
    <row r="749" spans="1:10" x14ac:dyDescent="0.75">
      <c r="A749" t="s">
        <v>163</v>
      </c>
      <c r="B749">
        <v>2445</v>
      </c>
      <c r="C749" t="s">
        <v>190</v>
      </c>
      <c r="D749">
        <v>4860</v>
      </c>
      <c r="E749" t="s">
        <v>400</v>
      </c>
      <c r="F749" s="4">
        <v>23465</v>
      </c>
      <c r="G749" s="4">
        <v>0</v>
      </c>
      <c r="H749" s="4">
        <v>0</v>
      </c>
      <c r="I749" s="4">
        <v>0</v>
      </c>
      <c r="J749" s="4">
        <v>23465</v>
      </c>
    </row>
    <row r="750" spans="1:10" x14ac:dyDescent="0.75">
      <c r="A750" t="s">
        <v>163</v>
      </c>
      <c r="B750">
        <v>2445</v>
      </c>
      <c r="C750" t="s">
        <v>190</v>
      </c>
      <c r="D750">
        <v>6865</v>
      </c>
      <c r="E750" t="s">
        <v>490</v>
      </c>
      <c r="F750" s="4">
        <v>16504</v>
      </c>
      <c r="G750" s="4">
        <v>0</v>
      </c>
      <c r="H750" s="4">
        <v>0</v>
      </c>
      <c r="I750" s="4">
        <v>0</v>
      </c>
      <c r="J750" s="4">
        <v>16504</v>
      </c>
    </row>
    <row r="751" spans="1:10" x14ac:dyDescent="0.75">
      <c r="A751" t="s">
        <v>163</v>
      </c>
      <c r="B751">
        <v>2445</v>
      </c>
      <c r="C751" t="s">
        <v>190</v>
      </c>
      <c r="D751">
        <v>6241</v>
      </c>
      <c r="E751" t="s">
        <v>391</v>
      </c>
      <c r="F751" s="4">
        <v>15556</v>
      </c>
      <c r="G751" s="4">
        <v>0</v>
      </c>
      <c r="H751" s="4">
        <v>0</v>
      </c>
      <c r="I751" s="4">
        <v>0</v>
      </c>
      <c r="J751" s="4">
        <v>15556</v>
      </c>
    </row>
    <row r="752" spans="1:10" x14ac:dyDescent="0.75">
      <c r="A752" t="s">
        <v>163</v>
      </c>
      <c r="B752">
        <v>2445</v>
      </c>
      <c r="C752" t="s">
        <v>190</v>
      </c>
      <c r="D752">
        <v>2340</v>
      </c>
      <c r="E752" t="s">
        <v>369</v>
      </c>
      <c r="F752" s="4">
        <v>14831</v>
      </c>
      <c r="G752" s="4">
        <v>0</v>
      </c>
      <c r="H752" s="4">
        <v>0</v>
      </c>
      <c r="I752" s="4">
        <v>0</v>
      </c>
      <c r="J752" s="4">
        <v>14831</v>
      </c>
    </row>
    <row r="753" spans="1:10" x14ac:dyDescent="0.75">
      <c r="A753" t="s">
        <v>163</v>
      </c>
      <c r="B753">
        <v>2445</v>
      </c>
      <c r="C753" t="s">
        <v>190</v>
      </c>
      <c r="D753">
        <v>4782</v>
      </c>
      <c r="E753" t="s">
        <v>414</v>
      </c>
      <c r="F753" s="4">
        <v>14523</v>
      </c>
      <c r="G753" s="4">
        <v>0</v>
      </c>
      <c r="H753" s="4">
        <v>0</v>
      </c>
      <c r="I753" s="4">
        <v>0</v>
      </c>
      <c r="J753" s="4">
        <v>14523</v>
      </c>
    </row>
    <row r="754" spans="1:10" x14ac:dyDescent="0.75">
      <c r="A754" t="s">
        <v>163</v>
      </c>
      <c r="B754">
        <v>2445</v>
      </c>
      <c r="C754" t="s">
        <v>190</v>
      </c>
      <c r="D754">
        <v>6590</v>
      </c>
      <c r="E754" t="s">
        <v>394</v>
      </c>
      <c r="F754" s="4">
        <v>11913</v>
      </c>
      <c r="G754" s="4">
        <v>0</v>
      </c>
      <c r="H754" s="4">
        <v>0</v>
      </c>
      <c r="I754" s="4">
        <v>0</v>
      </c>
      <c r="J754" s="4">
        <v>11913</v>
      </c>
    </row>
    <row r="755" spans="1:10" x14ac:dyDescent="0.75">
      <c r="A755" t="s">
        <v>163</v>
      </c>
      <c r="B755">
        <v>2445</v>
      </c>
      <c r="C755" t="s">
        <v>190</v>
      </c>
      <c r="D755">
        <v>3275</v>
      </c>
      <c r="E755" t="s">
        <v>412</v>
      </c>
      <c r="F755" s="4">
        <v>11023</v>
      </c>
      <c r="G755" s="4">
        <v>0</v>
      </c>
      <c r="H755" s="4">
        <v>0</v>
      </c>
      <c r="I755" s="4">
        <v>0</v>
      </c>
      <c r="J755" s="4">
        <v>11023</v>
      </c>
    </row>
    <row r="756" spans="1:10" x14ac:dyDescent="0.75">
      <c r="A756" t="s">
        <v>163</v>
      </c>
      <c r="B756">
        <v>2445</v>
      </c>
      <c r="C756" t="s">
        <v>190</v>
      </c>
      <c r="D756">
        <v>4322</v>
      </c>
      <c r="E756" t="s">
        <v>398</v>
      </c>
      <c r="F756" s="4">
        <v>9984</v>
      </c>
      <c r="G756" s="4">
        <v>0</v>
      </c>
      <c r="H756" s="4">
        <v>0</v>
      </c>
      <c r="I756" s="4">
        <v>0</v>
      </c>
      <c r="J756" s="4">
        <v>9984</v>
      </c>
    </row>
    <row r="757" spans="1:10" x14ac:dyDescent="0.75">
      <c r="A757" t="s">
        <v>163</v>
      </c>
      <c r="B757">
        <v>2445</v>
      </c>
      <c r="C757" t="s">
        <v>190</v>
      </c>
      <c r="D757">
        <v>2429</v>
      </c>
      <c r="E757" t="s">
        <v>375</v>
      </c>
      <c r="F757" s="4">
        <v>9002</v>
      </c>
      <c r="G757" s="4">
        <v>0</v>
      </c>
      <c r="H757" s="4">
        <v>0</v>
      </c>
      <c r="I757" s="4">
        <v>0</v>
      </c>
      <c r="J757" s="4">
        <v>9002</v>
      </c>
    </row>
    <row r="758" spans="1:10" x14ac:dyDescent="0.75">
      <c r="A758" t="s">
        <v>163</v>
      </c>
      <c r="B758">
        <v>2445</v>
      </c>
      <c r="C758" t="s">
        <v>190</v>
      </c>
      <c r="D758">
        <v>1200</v>
      </c>
      <c r="E758" t="s">
        <v>402</v>
      </c>
      <c r="F758" s="4">
        <v>7858</v>
      </c>
      <c r="G758" s="4">
        <v>0</v>
      </c>
      <c r="H758" s="4">
        <v>0</v>
      </c>
      <c r="I758" s="4">
        <v>0</v>
      </c>
      <c r="J758" s="4">
        <v>7858</v>
      </c>
    </row>
    <row r="759" spans="1:10" x14ac:dyDescent="0.75">
      <c r="A759" t="s">
        <v>163</v>
      </c>
      <c r="B759">
        <v>2445</v>
      </c>
      <c r="C759" t="s">
        <v>190</v>
      </c>
      <c r="D759">
        <v>2221</v>
      </c>
      <c r="E759" t="s">
        <v>374</v>
      </c>
      <c r="F759" s="4">
        <v>6074</v>
      </c>
      <c r="G759" s="4">
        <v>0</v>
      </c>
      <c r="H759" s="4">
        <v>0</v>
      </c>
      <c r="I759" s="4">
        <v>0</v>
      </c>
      <c r="J759" s="4">
        <v>6074</v>
      </c>
    </row>
    <row r="760" spans="1:10" x14ac:dyDescent="0.75">
      <c r="A760" t="s">
        <v>163</v>
      </c>
      <c r="B760">
        <v>2445</v>
      </c>
      <c r="C760" t="s">
        <v>190</v>
      </c>
      <c r="D760">
        <v>5315</v>
      </c>
      <c r="E760" t="s">
        <v>417</v>
      </c>
      <c r="F760" s="4">
        <v>4874</v>
      </c>
      <c r="G760" s="4">
        <v>0</v>
      </c>
      <c r="H760" s="4">
        <v>0</v>
      </c>
      <c r="I760" s="4">
        <v>0</v>
      </c>
      <c r="J760" s="4">
        <v>4874</v>
      </c>
    </row>
    <row r="761" spans="1:10" x14ac:dyDescent="0.75">
      <c r="A761" t="s">
        <v>163</v>
      </c>
      <c r="B761">
        <v>2445</v>
      </c>
      <c r="C761" t="s">
        <v>190</v>
      </c>
      <c r="D761">
        <v>5480</v>
      </c>
      <c r="E761" t="s">
        <v>386</v>
      </c>
      <c r="F761" s="4">
        <v>4622</v>
      </c>
      <c r="G761" s="4">
        <v>0</v>
      </c>
      <c r="H761" s="4">
        <v>0</v>
      </c>
      <c r="I761" s="4">
        <v>0</v>
      </c>
      <c r="J761" s="4">
        <v>4622</v>
      </c>
    </row>
    <row r="762" spans="1:10" x14ac:dyDescent="0.75">
      <c r="A762" t="s">
        <v>163</v>
      </c>
      <c r="B762">
        <v>2445</v>
      </c>
      <c r="C762" t="s">
        <v>190</v>
      </c>
      <c r="D762">
        <v>3276</v>
      </c>
      <c r="E762" t="s">
        <v>379</v>
      </c>
      <c r="F762" s="4">
        <v>3348</v>
      </c>
      <c r="G762" s="4">
        <v>0</v>
      </c>
      <c r="H762" s="4">
        <v>0</v>
      </c>
      <c r="I762" s="4">
        <v>0</v>
      </c>
      <c r="J762" s="4">
        <v>3348</v>
      </c>
    </row>
    <row r="763" spans="1:10" x14ac:dyDescent="0.75">
      <c r="A763" t="s">
        <v>163</v>
      </c>
      <c r="B763">
        <v>2445</v>
      </c>
      <c r="C763" t="s">
        <v>190</v>
      </c>
      <c r="D763">
        <v>4650</v>
      </c>
      <c r="E763" t="s">
        <v>457</v>
      </c>
      <c r="F763" s="4">
        <v>2636</v>
      </c>
      <c r="G763" s="4">
        <v>0</v>
      </c>
      <c r="H763" s="4">
        <v>0</v>
      </c>
      <c r="I763" s="4">
        <v>0</v>
      </c>
      <c r="J763" s="4">
        <v>2636</v>
      </c>
    </row>
    <row r="764" spans="1:10" x14ac:dyDescent="0.75">
      <c r="A764" t="s">
        <v>163</v>
      </c>
      <c r="B764">
        <v>2445</v>
      </c>
      <c r="C764" t="s">
        <v>190</v>
      </c>
      <c r="D764">
        <v>5370</v>
      </c>
      <c r="E764" t="s">
        <v>466</v>
      </c>
      <c r="F764" s="4">
        <v>2487</v>
      </c>
      <c r="G764" s="4">
        <v>0</v>
      </c>
      <c r="H764" s="4">
        <v>0</v>
      </c>
      <c r="I764" s="4">
        <v>0</v>
      </c>
      <c r="J764" s="4">
        <v>2487</v>
      </c>
    </row>
    <row r="765" spans="1:10" x14ac:dyDescent="0.75">
      <c r="A765" t="s">
        <v>163</v>
      </c>
      <c r="B765">
        <v>2445</v>
      </c>
      <c r="C765" t="s">
        <v>190</v>
      </c>
      <c r="D765">
        <v>5320</v>
      </c>
      <c r="E765" t="s">
        <v>384</v>
      </c>
      <c r="F765" s="4">
        <v>2134</v>
      </c>
      <c r="G765" s="4">
        <v>0</v>
      </c>
      <c r="H765" s="4">
        <v>0</v>
      </c>
      <c r="I765" s="4">
        <v>0</v>
      </c>
      <c r="J765" s="4">
        <v>2134</v>
      </c>
    </row>
    <row r="766" spans="1:10" x14ac:dyDescent="0.75">
      <c r="A766" t="s">
        <v>163</v>
      </c>
      <c r="B766">
        <v>2445</v>
      </c>
      <c r="C766" t="s">
        <v>190</v>
      </c>
      <c r="D766">
        <v>5422</v>
      </c>
      <c r="E766" t="s">
        <v>468</v>
      </c>
      <c r="F766" s="4">
        <v>1525</v>
      </c>
      <c r="G766" s="4">
        <v>0</v>
      </c>
      <c r="H766" s="4">
        <v>0</v>
      </c>
      <c r="I766" s="4">
        <v>0</v>
      </c>
      <c r="J766" s="4">
        <v>1525</v>
      </c>
    </row>
    <row r="767" spans="1:10" x14ac:dyDescent="0.75">
      <c r="A767" t="s">
        <v>163</v>
      </c>
      <c r="B767">
        <v>6112</v>
      </c>
      <c r="C767" t="s">
        <v>256</v>
      </c>
      <c r="D767">
        <v>4331</v>
      </c>
      <c r="E767" t="s">
        <v>390</v>
      </c>
      <c r="F767" s="4">
        <v>964100</v>
      </c>
      <c r="G767" s="4">
        <v>0</v>
      </c>
      <c r="H767" s="4">
        <v>0</v>
      </c>
      <c r="I767" s="4">
        <v>0</v>
      </c>
      <c r="J767" s="4">
        <v>964100</v>
      </c>
    </row>
    <row r="768" spans="1:10" x14ac:dyDescent="0.75">
      <c r="A768" t="s">
        <v>163</v>
      </c>
      <c r="B768">
        <v>6112</v>
      </c>
      <c r="C768" t="s">
        <v>256</v>
      </c>
      <c r="D768">
        <v>6782</v>
      </c>
      <c r="E768" t="s">
        <v>396</v>
      </c>
      <c r="F768" s="4">
        <v>5345</v>
      </c>
      <c r="G768" s="4">
        <v>0</v>
      </c>
      <c r="H768" s="4">
        <v>0</v>
      </c>
      <c r="I768" s="4">
        <v>0</v>
      </c>
      <c r="J768" s="4">
        <v>5345</v>
      </c>
    </row>
    <row r="769" spans="1:10" x14ac:dyDescent="0.75">
      <c r="A769" t="s">
        <v>163</v>
      </c>
      <c r="B769">
        <v>6112</v>
      </c>
      <c r="C769" t="s">
        <v>256</v>
      </c>
      <c r="D769">
        <v>6344</v>
      </c>
      <c r="E769" t="s">
        <v>392</v>
      </c>
      <c r="F769" s="4">
        <v>4416</v>
      </c>
      <c r="G769" s="4">
        <v>0</v>
      </c>
      <c r="H769" s="4">
        <v>0</v>
      </c>
      <c r="I769" s="4">
        <v>0</v>
      </c>
      <c r="J769" s="4">
        <v>4416</v>
      </c>
    </row>
    <row r="770" spans="1:10" x14ac:dyDescent="0.75">
      <c r="A770" t="s">
        <v>163</v>
      </c>
      <c r="B770">
        <v>6112</v>
      </c>
      <c r="C770" t="s">
        <v>256</v>
      </c>
      <c r="D770">
        <v>4860</v>
      </c>
      <c r="E770" t="s">
        <v>400</v>
      </c>
      <c r="F770" s="4">
        <v>3082</v>
      </c>
      <c r="G770" s="4">
        <v>0</v>
      </c>
      <c r="H770" s="4">
        <v>0</v>
      </c>
      <c r="I770" s="4">
        <v>0</v>
      </c>
      <c r="J770" s="4">
        <v>3082</v>
      </c>
    </row>
    <row r="771" spans="1:10" x14ac:dyDescent="0.75">
      <c r="A771" t="s">
        <v>163</v>
      </c>
      <c r="B771">
        <v>6112</v>
      </c>
      <c r="C771" t="s">
        <v>256</v>
      </c>
      <c r="D771">
        <v>4420</v>
      </c>
      <c r="E771" t="s">
        <v>381</v>
      </c>
      <c r="F771" s="4">
        <v>1620</v>
      </c>
      <c r="G771" s="4">
        <v>0</v>
      </c>
      <c r="H771" s="4">
        <v>0</v>
      </c>
      <c r="I771" s="4">
        <v>0</v>
      </c>
      <c r="J771" s="4">
        <v>1620</v>
      </c>
    </row>
    <row r="772" spans="1:10" x14ac:dyDescent="0.75">
      <c r="A772" t="s">
        <v>163</v>
      </c>
      <c r="B772">
        <v>2447</v>
      </c>
      <c r="C772" t="s">
        <v>330</v>
      </c>
      <c r="D772">
        <v>4322</v>
      </c>
      <c r="E772" t="s">
        <v>398</v>
      </c>
      <c r="F772" s="4">
        <v>21502</v>
      </c>
      <c r="G772" s="4">
        <v>0</v>
      </c>
      <c r="H772" s="4">
        <v>0</v>
      </c>
      <c r="I772" s="4">
        <v>0</v>
      </c>
      <c r="J772" s="4">
        <v>21502</v>
      </c>
    </row>
    <row r="773" spans="1:10" x14ac:dyDescent="0.75">
      <c r="A773" t="s">
        <v>163</v>
      </c>
      <c r="B773">
        <v>2447</v>
      </c>
      <c r="C773" t="s">
        <v>330</v>
      </c>
      <c r="D773">
        <v>4331</v>
      </c>
      <c r="E773" t="s">
        <v>390</v>
      </c>
      <c r="F773" s="4">
        <v>4327</v>
      </c>
      <c r="G773" s="4">
        <v>0</v>
      </c>
      <c r="H773" s="4">
        <v>0</v>
      </c>
      <c r="I773" s="4">
        <v>0</v>
      </c>
      <c r="J773" s="4">
        <v>4327</v>
      </c>
    </row>
    <row r="774" spans="1:10" x14ac:dyDescent="0.75">
      <c r="A774" t="s">
        <v>151</v>
      </c>
      <c r="B774">
        <v>4707</v>
      </c>
      <c r="C774" t="s">
        <v>89</v>
      </c>
      <c r="D774">
        <v>2340</v>
      </c>
      <c r="E774" t="s">
        <v>369</v>
      </c>
      <c r="F774" s="4">
        <v>368884</v>
      </c>
      <c r="G774" s="4">
        <v>0</v>
      </c>
      <c r="H774" s="4">
        <v>0</v>
      </c>
      <c r="I774" s="4">
        <v>0</v>
      </c>
      <c r="J774" s="4">
        <v>368884</v>
      </c>
    </row>
    <row r="775" spans="1:10" x14ac:dyDescent="0.75">
      <c r="A775" t="s">
        <v>151</v>
      </c>
      <c r="B775">
        <v>4707</v>
      </c>
      <c r="C775" t="s">
        <v>89</v>
      </c>
      <c r="D775">
        <v>4170</v>
      </c>
      <c r="E775" t="s">
        <v>424</v>
      </c>
      <c r="F775" s="4">
        <v>0</v>
      </c>
      <c r="G775" s="4">
        <v>252116</v>
      </c>
      <c r="H775" s="4">
        <v>8466</v>
      </c>
      <c r="I775" s="4">
        <v>243650</v>
      </c>
      <c r="J775" s="4">
        <v>252116</v>
      </c>
    </row>
    <row r="776" spans="1:10" x14ac:dyDescent="0.75">
      <c r="A776" t="s">
        <v>151</v>
      </c>
      <c r="B776">
        <v>4707</v>
      </c>
      <c r="C776" t="s">
        <v>89</v>
      </c>
      <c r="D776">
        <v>4161</v>
      </c>
      <c r="E776" t="s">
        <v>421</v>
      </c>
      <c r="F776" s="4">
        <v>0</v>
      </c>
      <c r="G776" s="4">
        <v>57760</v>
      </c>
      <c r="H776" s="4">
        <v>0</v>
      </c>
      <c r="I776" s="4">
        <v>57760</v>
      </c>
      <c r="J776" s="4">
        <v>57760</v>
      </c>
    </row>
    <row r="777" spans="1:10" x14ac:dyDescent="0.75">
      <c r="A777" t="s">
        <v>151</v>
      </c>
      <c r="B777">
        <v>4707</v>
      </c>
      <c r="C777" t="s">
        <v>89</v>
      </c>
      <c r="D777">
        <v>6653</v>
      </c>
      <c r="E777" t="s">
        <v>395</v>
      </c>
      <c r="F777" s="4">
        <v>0</v>
      </c>
      <c r="G777" s="4">
        <v>27588</v>
      </c>
      <c r="H777" s="4">
        <v>27588</v>
      </c>
      <c r="I777" s="4">
        <v>0</v>
      </c>
      <c r="J777" s="4">
        <v>27588</v>
      </c>
    </row>
    <row r="778" spans="1:10" x14ac:dyDescent="0.75">
      <c r="A778" t="s">
        <v>151</v>
      </c>
      <c r="B778">
        <v>4707</v>
      </c>
      <c r="C778" t="s">
        <v>89</v>
      </c>
      <c r="D778">
        <v>4150</v>
      </c>
      <c r="E778" t="s">
        <v>450</v>
      </c>
      <c r="F778" s="4">
        <v>0</v>
      </c>
      <c r="G778" s="4">
        <v>15102</v>
      </c>
      <c r="H778" s="4">
        <v>0</v>
      </c>
      <c r="I778" s="4">
        <v>15102</v>
      </c>
      <c r="J778" s="4">
        <v>15102</v>
      </c>
    </row>
    <row r="779" spans="1:10" x14ac:dyDescent="0.75">
      <c r="A779" t="s">
        <v>151</v>
      </c>
      <c r="B779">
        <v>4707</v>
      </c>
      <c r="C779" t="s">
        <v>89</v>
      </c>
      <c r="D779">
        <v>7900</v>
      </c>
      <c r="E779" t="s">
        <v>388</v>
      </c>
      <c r="F779" s="4">
        <v>0</v>
      </c>
      <c r="G779" s="4">
        <v>5476</v>
      </c>
      <c r="H779" s="4">
        <v>5476</v>
      </c>
      <c r="I779" s="4">
        <v>0</v>
      </c>
      <c r="J779" s="4">
        <v>5476</v>
      </c>
    </row>
    <row r="780" spans="1:10" x14ac:dyDescent="0.75">
      <c r="A780" t="s">
        <v>151</v>
      </c>
      <c r="B780">
        <v>4707</v>
      </c>
      <c r="C780" t="s">
        <v>89</v>
      </c>
      <c r="D780">
        <v>2330</v>
      </c>
      <c r="E780" t="s">
        <v>368</v>
      </c>
      <c r="F780" s="4">
        <v>2000</v>
      </c>
      <c r="G780" s="4">
        <v>0</v>
      </c>
      <c r="H780" s="4">
        <v>0</v>
      </c>
      <c r="I780" s="4">
        <v>0</v>
      </c>
      <c r="J780" s="4">
        <v>2000</v>
      </c>
    </row>
    <row r="781" spans="1:10" x14ac:dyDescent="0.75">
      <c r="A781" t="s">
        <v>151</v>
      </c>
      <c r="B781">
        <v>4707</v>
      </c>
      <c r="C781" t="s">
        <v>89</v>
      </c>
      <c r="D781">
        <v>7110</v>
      </c>
      <c r="E781" t="s">
        <v>371</v>
      </c>
      <c r="F781" s="4">
        <v>0</v>
      </c>
      <c r="G781" s="4">
        <v>1354</v>
      </c>
      <c r="H781" s="4">
        <v>1354</v>
      </c>
      <c r="I781" s="4">
        <v>0</v>
      </c>
      <c r="J781" s="4">
        <v>1354</v>
      </c>
    </row>
    <row r="782" spans="1:10" x14ac:dyDescent="0.75">
      <c r="A782" t="s">
        <v>151</v>
      </c>
      <c r="B782">
        <v>4707</v>
      </c>
      <c r="C782" t="s">
        <v>89</v>
      </c>
      <c r="D782">
        <v>6885</v>
      </c>
      <c r="E782" t="s">
        <v>493</v>
      </c>
      <c r="F782" s="4">
        <v>0</v>
      </c>
      <c r="G782" s="4">
        <v>595</v>
      </c>
      <c r="H782" s="4">
        <v>595</v>
      </c>
      <c r="I782" s="4">
        <v>0</v>
      </c>
      <c r="J782" s="4">
        <v>595</v>
      </c>
    </row>
    <row r="783" spans="1:10" x14ac:dyDescent="0.75">
      <c r="A783" t="s">
        <v>151</v>
      </c>
      <c r="B783">
        <v>4707</v>
      </c>
      <c r="C783" t="s">
        <v>89</v>
      </c>
      <c r="D783">
        <v>6811</v>
      </c>
      <c r="E783" t="s">
        <v>480</v>
      </c>
      <c r="F783" s="4">
        <v>0</v>
      </c>
      <c r="G783" s="4">
        <v>589</v>
      </c>
      <c r="H783" s="4">
        <v>589</v>
      </c>
      <c r="I783" s="4">
        <v>0</v>
      </c>
      <c r="J783" s="4">
        <v>589</v>
      </c>
    </row>
    <row r="784" spans="1:10" x14ac:dyDescent="0.75">
      <c r="A784" t="s">
        <v>151</v>
      </c>
      <c r="B784">
        <v>4707</v>
      </c>
      <c r="C784" t="s">
        <v>89</v>
      </c>
      <c r="D784">
        <v>3292</v>
      </c>
      <c r="E784" t="s">
        <v>413</v>
      </c>
      <c r="F784" s="4">
        <v>0</v>
      </c>
      <c r="G784" s="4">
        <v>440</v>
      </c>
      <c r="H784" s="4">
        <v>440</v>
      </c>
      <c r="I784" s="4">
        <v>0</v>
      </c>
      <c r="J784" s="4">
        <v>440</v>
      </c>
    </row>
    <row r="785" spans="1:10" x14ac:dyDescent="0.75">
      <c r="A785" t="s">
        <v>151</v>
      </c>
      <c r="B785">
        <v>4707</v>
      </c>
      <c r="C785" t="s">
        <v>89</v>
      </c>
      <c r="D785">
        <v>7120</v>
      </c>
      <c r="E785" t="s">
        <v>499</v>
      </c>
      <c r="F785" s="4">
        <v>0</v>
      </c>
      <c r="G785" s="4">
        <v>427</v>
      </c>
      <c r="H785" s="4">
        <v>427</v>
      </c>
      <c r="I785" s="4">
        <v>0</v>
      </c>
      <c r="J785" s="4">
        <v>427</v>
      </c>
    </row>
    <row r="786" spans="1:10" x14ac:dyDescent="0.75">
      <c r="A786" t="s">
        <v>151</v>
      </c>
      <c r="B786">
        <v>4707</v>
      </c>
      <c r="C786" t="s">
        <v>89</v>
      </c>
      <c r="D786">
        <v>7500</v>
      </c>
      <c r="E786" t="s">
        <v>427</v>
      </c>
      <c r="F786" s="4">
        <v>0</v>
      </c>
      <c r="G786" s="4">
        <v>364</v>
      </c>
      <c r="H786" s="4">
        <v>364</v>
      </c>
      <c r="I786" s="4">
        <v>0</v>
      </c>
      <c r="J786" s="4">
        <v>364</v>
      </c>
    </row>
    <row r="787" spans="1:10" x14ac:dyDescent="0.75">
      <c r="A787" t="s">
        <v>151</v>
      </c>
      <c r="B787">
        <v>4707</v>
      </c>
      <c r="C787" t="s">
        <v>89</v>
      </c>
      <c r="D787">
        <v>6857</v>
      </c>
      <c r="E787" t="s">
        <v>487</v>
      </c>
      <c r="F787" s="4">
        <v>0</v>
      </c>
      <c r="G787" s="4">
        <v>345</v>
      </c>
      <c r="H787" s="4">
        <v>345</v>
      </c>
      <c r="I787" s="4">
        <v>0</v>
      </c>
      <c r="J787" s="4">
        <v>345</v>
      </c>
    </row>
    <row r="788" spans="1:10" x14ac:dyDescent="0.75">
      <c r="A788" t="s">
        <v>151</v>
      </c>
      <c r="B788">
        <v>4707</v>
      </c>
      <c r="C788" t="s">
        <v>89</v>
      </c>
      <c r="D788">
        <v>4189</v>
      </c>
      <c r="E788" t="s">
        <v>451</v>
      </c>
      <c r="F788" s="4">
        <v>0</v>
      </c>
      <c r="G788" s="4">
        <v>339</v>
      </c>
      <c r="H788" s="4">
        <v>339</v>
      </c>
      <c r="I788" s="4">
        <v>0</v>
      </c>
      <c r="J788" s="4">
        <v>339</v>
      </c>
    </row>
    <row r="789" spans="1:10" x14ac:dyDescent="0.75">
      <c r="A789" t="s">
        <v>151</v>
      </c>
      <c r="B789">
        <v>4707</v>
      </c>
      <c r="C789" t="s">
        <v>89</v>
      </c>
      <c r="D789">
        <v>5540</v>
      </c>
      <c r="E789" t="s">
        <v>469</v>
      </c>
      <c r="F789" s="4">
        <v>0</v>
      </c>
      <c r="G789" s="4">
        <v>252</v>
      </c>
      <c r="H789" s="4">
        <v>252</v>
      </c>
      <c r="I789" s="4">
        <v>0</v>
      </c>
      <c r="J789" s="4">
        <v>252</v>
      </c>
    </row>
    <row r="790" spans="1:10" x14ac:dyDescent="0.75">
      <c r="A790" t="s">
        <v>151</v>
      </c>
      <c r="B790">
        <v>4707</v>
      </c>
      <c r="C790" t="s">
        <v>89</v>
      </c>
      <c r="D790">
        <v>6654</v>
      </c>
      <c r="E790" t="s">
        <v>419</v>
      </c>
      <c r="F790" s="4">
        <v>0</v>
      </c>
      <c r="G790" s="4">
        <v>155</v>
      </c>
      <c r="H790" s="4">
        <v>155</v>
      </c>
      <c r="I790" s="4">
        <v>0</v>
      </c>
      <c r="J790" s="4">
        <v>155</v>
      </c>
    </row>
    <row r="791" spans="1:10" x14ac:dyDescent="0.75">
      <c r="A791" t="s">
        <v>151</v>
      </c>
      <c r="B791">
        <v>4707</v>
      </c>
      <c r="C791" t="s">
        <v>89</v>
      </c>
      <c r="D791">
        <v>6899</v>
      </c>
      <c r="E791" t="s">
        <v>498</v>
      </c>
      <c r="F791" s="4">
        <v>0</v>
      </c>
      <c r="G791" s="4">
        <v>142</v>
      </c>
      <c r="H791" s="4">
        <v>142</v>
      </c>
      <c r="I791" s="4">
        <v>0</v>
      </c>
      <c r="J791" s="4">
        <v>142</v>
      </c>
    </row>
    <row r="792" spans="1:10" x14ac:dyDescent="0.75">
      <c r="A792" t="s">
        <v>151</v>
      </c>
      <c r="B792">
        <v>4707</v>
      </c>
      <c r="C792" t="s">
        <v>89</v>
      </c>
      <c r="D792">
        <v>5480</v>
      </c>
      <c r="E792" t="s">
        <v>386</v>
      </c>
      <c r="F792" s="4">
        <v>0</v>
      </c>
      <c r="G792" s="4">
        <v>107</v>
      </c>
      <c r="H792" s="4">
        <v>107</v>
      </c>
      <c r="I792" s="4">
        <v>0</v>
      </c>
      <c r="J792" s="4">
        <v>107</v>
      </c>
    </row>
    <row r="793" spans="1:10" x14ac:dyDescent="0.75">
      <c r="A793" t="s">
        <v>151</v>
      </c>
      <c r="B793">
        <v>4707</v>
      </c>
      <c r="C793" t="s">
        <v>89</v>
      </c>
      <c r="D793">
        <v>7210</v>
      </c>
      <c r="E793" t="s">
        <v>426</v>
      </c>
      <c r="F793" s="4">
        <v>0</v>
      </c>
      <c r="G793" s="4">
        <v>106</v>
      </c>
      <c r="H793" s="4">
        <v>106</v>
      </c>
      <c r="I793" s="4">
        <v>0</v>
      </c>
      <c r="J793" s="4">
        <v>106</v>
      </c>
    </row>
    <row r="794" spans="1:10" x14ac:dyDescent="0.75">
      <c r="A794" t="s">
        <v>151</v>
      </c>
      <c r="B794">
        <v>4707</v>
      </c>
      <c r="C794" t="s">
        <v>89</v>
      </c>
      <c r="D794">
        <v>7600</v>
      </c>
      <c r="E794" t="s">
        <v>503</v>
      </c>
      <c r="F794" s="4">
        <v>0</v>
      </c>
      <c r="G794" s="4">
        <v>105</v>
      </c>
      <c r="H794" s="4">
        <v>105</v>
      </c>
      <c r="I794" s="4">
        <v>0</v>
      </c>
      <c r="J794" s="4">
        <v>105</v>
      </c>
    </row>
    <row r="795" spans="1:10" x14ac:dyDescent="0.75">
      <c r="A795" t="s">
        <v>151</v>
      </c>
      <c r="B795">
        <v>4707</v>
      </c>
      <c r="C795" t="s">
        <v>89</v>
      </c>
      <c r="D795">
        <v>6782</v>
      </c>
      <c r="E795" t="s">
        <v>396</v>
      </c>
      <c r="F795" s="4">
        <v>0</v>
      </c>
      <c r="G795" s="4">
        <v>103</v>
      </c>
      <c r="H795" s="4">
        <v>36</v>
      </c>
      <c r="I795" s="4">
        <v>67</v>
      </c>
      <c r="J795" s="4">
        <v>103</v>
      </c>
    </row>
    <row r="796" spans="1:10" x14ac:dyDescent="0.75">
      <c r="A796" t="s">
        <v>151</v>
      </c>
      <c r="B796">
        <v>4707</v>
      </c>
      <c r="C796" t="s">
        <v>89</v>
      </c>
      <c r="D796">
        <v>5240</v>
      </c>
      <c r="E796" t="s">
        <v>464</v>
      </c>
      <c r="F796" s="4">
        <v>0</v>
      </c>
      <c r="G796" s="4">
        <v>88</v>
      </c>
      <c r="H796" s="4">
        <v>88</v>
      </c>
      <c r="I796" s="4">
        <v>0</v>
      </c>
      <c r="J796" s="4">
        <v>88</v>
      </c>
    </row>
    <row r="797" spans="1:10" x14ac:dyDescent="0.75">
      <c r="A797" t="s">
        <v>151</v>
      </c>
      <c r="B797">
        <v>4707</v>
      </c>
      <c r="C797" t="s">
        <v>89</v>
      </c>
      <c r="D797">
        <v>7220</v>
      </c>
      <c r="E797" t="s">
        <v>500</v>
      </c>
      <c r="F797" s="4">
        <v>0</v>
      </c>
      <c r="G797" s="4">
        <v>53</v>
      </c>
      <c r="H797" s="4">
        <v>53</v>
      </c>
      <c r="I797" s="4">
        <v>0</v>
      </c>
      <c r="J797" s="4">
        <v>53</v>
      </c>
    </row>
    <row r="798" spans="1:10" x14ac:dyDescent="0.75">
      <c r="A798" t="s">
        <v>151</v>
      </c>
      <c r="B798">
        <v>4707</v>
      </c>
      <c r="C798" t="s">
        <v>89</v>
      </c>
      <c r="D798">
        <v>6889</v>
      </c>
      <c r="E798" t="s">
        <v>420</v>
      </c>
      <c r="F798" s="4">
        <v>0</v>
      </c>
      <c r="G798" s="4">
        <v>45</v>
      </c>
      <c r="H798" s="4">
        <v>45</v>
      </c>
      <c r="I798" s="4">
        <v>0</v>
      </c>
      <c r="J798" s="4">
        <v>45</v>
      </c>
    </row>
    <row r="799" spans="1:10" x14ac:dyDescent="0.75">
      <c r="A799" t="s">
        <v>151</v>
      </c>
      <c r="B799">
        <v>4707</v>
      </c>
      <c r="C799" t="s">
        <v>89</v>
      </c>
      <c r="D799">
        <v>3250</v>
      </c>
      <c r="E799" t="s">
        <v>435</v>
      </c>
      <c r="F799" s="4">
        <v>0</v>
      </c>
      <c r="G799" s="4">
        <v>42</v>
      </c>
      <c r="H799" s="4">
        <v>42</v>
      </c>
      <c r="I799" s="4">
        <v>0</v>
      </c>
      <c r="J799" s="4">
        <v>42</v>
      </c>
    </row>
    <row r="800" spans="1:10" x14ac:dyDescent="0.75">
      <c r="A800" t="s">
        <v>151</v>
      </c>
      <c r="B800">
        <v>4707</v>
      </c>
      <c r="C800" t="s">
        <v>89</v>
      </c>
      <c r="D800">
        <v>3190</v>
      </c>
      <c r="E800" t="s">
        <v>408</v>
      </c>
      <c r="F800" s="4">
        <v>0</v>
      </c>
      <c r="G800" s="4">
        <v>39</v>
      </c>
      <c r="H800" s="4">
        <v>39</v>
      </c>
      <c r="I800" s="4">
        <v>0</v>
      </c>
      <c r="J800" s="4">
        <v>39</v>
      </c>
    </row>
    <row r="801" spans="1:10" x14ac:dyDescent="0.75">
      <c r="A801" t="s">
        <v>151</v>
      </c>
      <c r="B801">
        <v>4707</v>
      </c>
      <c r="C801" t="s">
        <v>89</v>
      </c>
      <c r="D801">
        <v>5190</v>
      </c>
      <c r="E801" t="s">
        <v>462</v>
      </c>
      <c r="F801" s="4">
        <v>0</v>
      </c>
      <c r="G801" s="4">
        <v>26</v>
      </c>
      <c r="H801" s="4">
        <v>26</v>
      </c>
      <c r="I801" s="4">
        <v>0</v>
      </c>
      <c r="J801" s="4">
        <v>26</v>
      </c>
    </row>
    <row r="802" spans="1:10" x14ac:dyDescent="0.75">
      <c r="A802" t="s">
        <v>151</v>
      </c>
      <c r="B802">
        <v>4707</v>
      </c>
      <c r="C802" t="s">
        <v>89</v>
      </c>
      <c r="D802">
        <v>6822</v>
      </c>
      <c r="E802" t="s">
        <v>482</v>
      </c>
      <c r="F802" s="4">
        <v>0</v>
      </c>
      <c r="G802" s="4">
        <v>20</v>
      </c>
      <c r="H802" s="4">
        <v>20</v>
      </c>
      <c r="I802" s="4">
        <v>0</v>
      </c>
      <c r="J802" s="4">
        <v>20</v>
      </c>
    </row>
    <row r="803" spans="1:10" x14ac:dyDescent="0.75">
      <c r="A803" t="s">
        <v>151</v>
      </c>
      <c r="B803">
        <v>4707</v>
      </c>
      <c r="C803" t="s">
        <v>89</v>
      </c>
      <c r="D803">
        <v>6893</v>
      </c>
      <c r="E803" t="s">
        <v>496</v>
      </c>
      <c r="F803" s="4">
        <v>0</v>
      </c>
      <c r="G803" s="4">
        <v>20</v>
      </c>
      <c r="H803" s="4">
        <v>20</v>
      </c>
      <c r="I803" s="4">
        <v>0</v>
      </c>
      <c r="J803" s="4">
        <v>20</v>
      </c>
    </row>
    <row r="804" spans="1:10" x14ac:dyDescent="0.75">
      <c r="A804" t="s">
        <v>151</v>
      </c>
      <c r="B804">
        <v>4707</v>
      </c>
      <c r="C804" t="s">
        <v>89</v>
      </c>
      <c r="D804">
        <v>7230</v>
      </c>
      <c r="E804" t="s">
        <v>387</v>
      </c>
      <c r="F804" s="4">
        <v>0</v>
      </c>
      <c r="G804" s="4">
        <v>19</v>
      </c>
      <c r="H804" s="4">
        <v>19</v>
      </c>
      <c r="I804" s="4">
        <v>0</v>
      </c>
      <c r="J804" s="4">
        <v>19</v>
      </c>
    </row>
    <row r="805" spans="1:10" x14ac:dyDescent="0.75">
      <c r="A805" t="s">
        <v>151</v>
      </c>
      <c r="B805">
        <v>4707</v>
      </c>
      <c r="C805" t="s">
        <v>89</v>
      </c>
      <c r="D805">
        <v>6888</v>
      </c>
      <c r="E805" t="s">
        <v>494</v>
      </c>
      <c r="F805" s="4">
        <v>0</v>
      </c>
      <c r="G805" s="4">
        <v>18</v>
      </c>
      <c r="H805" s="4">
        <v>18</v>
      </c>
      <c r="I805" s="4">
        <v>0</v>
      </c>
      <c r="J805" s="4">
        <v>18</v>
      </c>
    </row>
    <row r="806" spans="1:10" x14ac:dyDescent="0.75">
      <c r="A806" t="s">
        <v>151</v>
      </c>
      <c r="B806">
        <v>4707</v>
      </c>
      <c r="C806" t="s">
        <v>89</v>
      </c>
      <c r="D806">
        <v>5390</v>
      </c>
      <c r="E806" t="s">
        <v>418</v>
      </c>
      <c r="F806" s="4">
        <v>0</v>
      </c>
      <c r="G806" s="4">
        <v>10</v>
      </c>
      <c r="H806" s="4">
        <v>10</v>
      </c>
      <c r="I806" s="4">
        <v>0</v>
      </c>
      <c r="J806" s="4">
        <v>10</v>
      </c>
    </row>
    <row r="807" spans="1:10" x14ac:dyDescent="0.75">
      <c r="A807" t="s">
        <v>151</v>
      </c>
      <c r="B807">
        <v>4707</v>
      </c>
      <c r="C807" t="s">
        <v>89</v>
      </c>
      <c r="D807">
        <v>3286</v>
      </c>
      <c r="E807" t="s">
        <v>423</v>
      </c>
      <c r="F807" s="4">
        <v>0</v>
      </c>
      <c r="G807" s="4">
        <v>9</v>
      </c>
      <c r="H807" s="4">
        <v>9</v>
      </c>
      <c r="I807" s="4">
        <v>0</v>
      </c>
      <c r="J807" s="4">
        <v>9</v>
      </c>
    </row>
    <row r="808" spans="1:10" x14ac:dyDescent="0.75">
      <c r="A808" t="s">
        <v>151</v>
      </c>
      <c r="B808">
        <v>4707</v>
      </c>
      <c r="C808" t="s">
        <v>89</v>
      </c>
      <c r="D808">
        <v>4783</v>
      </c>
      <c r="E808" t="s">
        <v>382</v>
      </c>
      <c r="F808" s="4">
        <v>0</v>
      </c>
      <c r="G808" s="4">
        <v>8</v>
      </c>
      <c r="H808" s="4">
        <v>8</v>
      </c>
      <c r="I808" s="4">
        <v>0</v>
      </c>
      <c r="J808" s="4">
        <v>8</v>
      </c>
    </row>
    <row r="809" spans="1:10" x14ac:dyDescent="0.75">
      <c r="A809" t="s">
        <v>151</v>
      </c>
      <c r="B809">
        <v>4707</v>
      </c>
      <c r="C809" t="s">
        <v>89</v>
      </c>
      <c r="D809">
        <v>9900</v>
      </c>
      <c r="E809" t="s">
        <v>389</v>
      </c>
      <c r="F809" s="4">
        <v>0</v>
      </c>
      <c r="G809" s="4">
        <v>7</v>
      </c>
      <c r="H809" s="4">
        <v>7</v>
      </c>
      <c r="I809" s="4">
        <v>0</v>
      </c>
      <c r="J809" s="4">
        <v>7</v>
      </c>
    </row>
    <row r="810" spans="1:10" x14ac:dyDescent="0.75">
      <c r="A810" t="s">
        <v>151</v>
      </c>
      <c r="B810">
        <v>4707</v>
      </c>
      <c r="C810" t="s">
        <v>89</v>
      </c>
      <c r="D810">
        <v>3230</v>
      </c>
      <c r="E810" t="s">
        <v>434</v>
      </c>
      <c r="F810" s="4">
        <v>0</v>
      </c>
      <c r="G810" s="4">
        <v>1</v>
      </c>
      <c r="H810" s="4">
        <v>1</v>
      </c>
      <c r="I810" s="4">
        <v>0</v>
      </c>
      <c r="J810" s="4">
        <v>1</v>
      </c>
    </row>
    <row r="811" spans="1:10" x14ac:dyDescent="0.75">
      <c r="A811" t="s">
        <v>160</v>
      </c>
      <c r="B811">
        <v>3627</v>
      </c>
      <c r="C811" t="s">
        <v>210</v>
      </c>
      <c r="D811">
        <v>4322</v>
      </c>
      <c r="E811" t="s">
        <v>398</v>
      </c>
      <c r="F811" s="4">
        <v>2556912</v>
      </c>
      <c r="G811" s="4">
        <v>149871</v>
      </c>
      <c r="H811" s="4">
        <v>0</v>
      </c>
      <c r="I811" s="4">
        <v>149871</v>
      </c>
      <c r="J811" s="4">
        <v>2706783</v>
      </c>
    </row>
    <row r="812" spans="1:10" x14ac:dyDescent="0.75">
      <c r="A812" t="s">
        <v>160</v>
      </c>
      <c r="B812">
        <v>3627</v>
      </c>
      <c r="C812" t="s">
        <v>210</v>
      </c>
      <c r="D812">
        <v>4331</v>
      </c>
      <c r="E812" t="s">
        <v>390</v>
      </c>
      <c r="F812" s="4">
        <v>196434</v>
      </c>
      <c r="G812" s="4">
        <v>63659</v>
      </c>
      <c r="H812" s="4">
        <v>63659</v>
      </c>
      <c r="I812" s="4">
        <v>0</v>
      </c>
      <c r="J812" s="4">
        <v>260093</v>
      </c>
    </row>
    <row r="813" spans="1:10" x14ac:dyDescent="0.75">
      <c r="A813" t="s">
        <v>160</v>
      </c>
      <c r="B813">
        <v>3627</v>
      </c>
      <c r="C813" t="s">
        <v>210</v>
      </c>
      <c r="D813">
        <v>4782</v>
      </c>
      <c r="E813" t="s">
        <v>414</v>
      </c>
      <c r="F813" s="4">
        <v>49976</v>
      </c>
      <c r="G813" s="4">
        <v>0</v>
      </c>
      <c r="H813" s="4">
        <v>0</v>
      </c>
      <c r="I813" s="4">
        <v>0</v>
      </c>
      <c r="J813" s="4">
        <v>49976</v>
      </c>
    </row>
    <row r="814" spans="1:10" x14ac:dyDescent="0.75">
      <c r="A814" t="s">
        <v>160</v>
      </c>
      <c r="B814">
        <v>3627</v>
      </c>
      <c r="C814" t="s">
        <v>210</v>
      </c>
      <c r="D814">
        <v>4410</v>
      </c>
      <c r="E814" t="s">
        <v>399</v>
      </c>
      <c r="F814" s="4">
        <v>26381</v>
      </c>
      <c r="G814" s="4">
        <v>0</v>
      </c>
      <c r="H814" s="4">
        <v>0</v>
      </c>
      <c r="I814" s="4">
        <v>0</v>
      </c>
      <c r="J814" s="4">
        <v>26381</v>
      </c>
    </row>
    <row r="815" spans="1:10" x14ac:dyDescent="0.75">
      <c r="A815" t="s">
        <v>160</v>
      </c>
      <c r="B815">
        <v>3627</v>
      </c>
      <c r="C815" t="s">
        <v>210</v>
      </c>
      <c r="D815">
        <v>5290</v>
      </c>
      <c r="E815" t="s">
        <v>415</v>
      </c>
      <c r="F815" s="4">
        <v>85</v>
      </c>
      <c r="G815" s="4">
        <v>23000</v>
      </c>
      <c r="H815" s="4">
        <v>0</v>
      </c>
      <c r="I815" s="4">
        <v>23000</v>
      </c>
      <c r="J815" s="4">
        <v>23085</v>
      </c>
    </row>
    <row r="816" spans="1:10" x14ac:dyDescent="0.75">
      <c r="A816" t="s">
        <v>160</v>
      </c>
      <c r="B816">
        <v>3627</v>
      </c>
      <c r="C816" t="s">
        <v>210</v>
      </c>
      <c r="D816">
        <v>7110</v>
      </c>
      <c r="E816" t="s">
        <v>371</v>
      </c>
      <c r="F816" s="4">
        <v>390</v>
      </c>
      <c r="G816" s="4">
        <v>0</v>
      </c>
      <c r="H816" s="4">
        <v>0</v>
      </c>
      <c r="I816" s="4">
        <v>0</v>
      </c>
      <c r="J816" s="4">
        <v>390</v>
      </c>
    </row>
    <row r="817" spans="1:10" x14ac:dyDescent="0.75">
      <c r="A817" t="s">
        <v>151</v>
      </c>
      <c r="B817">
        <v>4610</v>
      </c>
      <c r="C817" t="s">
        <v>273</v>
      </c>
      <c r="D817">
        <v>5190</v>
      </c>
      <c r="E817" t="s">
        <v>462</v>
      </c>
      <c r="F817" s="4">
        <v>505525</v>
      </c>
      <c r="G817" s="4">
        <v>0</v>
      </c>
      <c r="H817" s="4">
        <v>0</v>
      </c>
      <c r="I817" s="4">
        <v>0</v>
      </c>
      <c r="J817" s="4">
        <v>505525</v>
      </c>
    </row>
    <row r="818" spans="1:10" x14ac:dyDescent="0.75">
      <c r="A818" t="s">
        <v>151</v>
      </c>
      <c r="B818">
        <v>4610</v>
      </c>
      <c r="C818" t="s">
        <v>273</v>
      </c>
      <c r="D818">
        <v>4161</v>
      </c>
      <c r="E818" t="s">
        <v>421</v>
      </c>
      <c r="F818" s="4">
        <v>82269</v>
      </c>
      <c r="G818" s="4">
        <v>0</v>
      </c>
      <c r="H818" s="4">
        <v>0</v>
      </c>
      <c r="I818" s="4">
        <v>0</v>
      </c>
      <c r="J818" s="4">
        <v>82269</v>
      </c>
    </row>
    <row r="819" spans="1:10" x14ac:dyDescent="0.75">
      <c r="A819" t="s">
        <v>151</v>
      </c>
      <c r="B819">
        <v>4610</v>
      </c>
      <c r="C819" t="s">
        <v>273</v>
      </c>
      <c r="D819">
        <v>2340</v>
      </c>
      <c r="E819" t="s">
        <v>369</v>
      </c>
      <c r="F819" s="4">
        <v>29018</v>
      </c>
      <c r="G819" s="4">
        <v>0</v>
      </c>
      <c r="H819" s="4">
        <v>0</v>
      </c>
      <c r="I819" s="4">
        <v>0</v>
      </c>
      <c r="J819" s="4">
        <v>29018</v>
      </c>
    </row>
    <row r="820" spans="1:10" x14ac:dyDescent="0.75">
      <c r="A820" t="s">
        <v>151</v>
      </c>
      <c r="B820">
        <v>4610</v>
      </c>
      <c r="C820" t="s">
        <v>273</v>
      </c>
      <c r="D820">
        <v>7210</v>
      </c>
      <c r="E820" t="s">
        <v>426</v>
      </c>
      <c r="F820" s="4">
        <v>1374</v>
      </c>
      <c r="G820" s="4">
        <v>0</v>
      </c>
      <c r="H820" s="4">
        <v>0</v>
      </c>
      <c r="I820" s="4">
        <v>0</v>
      </c>
      <c r="J820" s="4">
        <v>1374</v>
      </c>
    </row>
    <row r="821" spans="1:10" x14ac:dyDescent="0.75">
      <c r="A821" t="s">
        <v>151</v>
      </c>
      <c r="B821">
        <v>4610</v>
      </c>
      <c r="C821" t="s">
        <v>273</v>
      </c>
      <c r="D821">
        <v>7230</v>
      </c>
      <c r="E821" t="s">
        <v>387</v>
      </c>
      <c r="F821" s="4">
        <v>0</v>
      </c>
      <c r="G821" s="4">
        <v>2</v>
      </c>
      <c r="H821" s="4">
        <v>0</v>
      </c>
      <c r="I821" s="4">
        <v>2</v>
      </c>
      <c r="J821" s="4">
        <v>2</v>
      </c>
    </row>
    <row r="822" spans="1:10" x14ac:dyDescent="0.75">
      <c r="A822" t="s">
        <v>160</v>
      </c>
      <c r="B822">
        <v>3217</v>
      </c>
      <c r="C822" t="s">
        <v>171</v>
      </c>
      <c r="D822">
        <v>4410</v>
      </c>
      <c r="E822" t="s">
        <v>399</v>
      </c>
      <c r="F822" s="4">
        <v>7211608</v>
      </c>
      <c r="G822" s="4">
        <v>0</v>
      </c>
      <c r="H822" s="4">
        <v>0</v>
      </c>
      <c r="I822" s="4">
        <v>0</v>
      </c>
      <c r="J822" s="4">
        <v>7211608</v>
      </c>
    </row>
    <row r="823" spans="1:10" x14ac:dyDescent="0.75">
      <c r="A823" t="s">
        <v>160</v>
      </c>
      <c r="B823">
        <v>3217</v>
      </c>
      <c r="C823" t="s">
        <v>171</v>
      </c>
      <c r="D823">
        <v>4322</v>
      </c>
      <c r="E823" t="s">
        <v>398</v>
      </c>
      <c r="F823" s="4">
        <v>2268776</v>
      </c>
      <c r="G823" s="4">
        <v>48802</v>
      </c>
      <c r="H823" s="4">
        <v>48802</v>
      </c>
      <c r="I823" s="4">
        <v>0</v>
      </c>
      <c r="J823" s="4">
        <v>2317578</v>
      </c>
    </row>
    <row r="824" spans="1:10" x14ac:dyDescent="0.75">
      <c r="A824" t="s">
        <v>160</v>
      </c>
      <c r="B824">
        <v>3217</v>
      </c>
      <c r="C824" t="s">
        <v>171</v>
      </c>
      <c r="D824">
        <v>4783</v>
      </c>
      <c r="E824" t="s">
        <v>382</v>
      </c>
      <c r="F824" s="4">
        <v>495878</v>
      </c>
      <c r="G824" s="4">
        <v>664952</v>
      </c>
      <c r="H824" s="4">
        <v>198444</v>
      </c>
      <c r="I824" s="4">
        <v>466508</v>
      </c>
      <c r="J824" s="4">
        <v>1160830</v>
      </c>
    </row>
    <row r="825" spans="1:10" x14ac:dyDescent="0.75">
      <c r="A825" t="s">
        <v>160</v>
      </c>
      <c r="B825">
        <v>3217</v>
      </c>
      <c r="C825" t="s">
        <v>171</v>
      </c>
      <c r="D825">
        <v>5220</v>
      </c>
      <c r="E825" t="s">
        <v>401</v>
      </c>
      <c r="F825" s="4">
        <v>206912</v>
      </c>
      <c r="G825" s="4">
        <v>573640</v>
      </c>
      <c r="H825" s="4">
        <v>573640</v>
      </c>
      <c r="I825" s="4">
        <v>0</v>
      </c>
      <c r="J825" s="4">
        <v>780552</v>
      </c>
    </row>
    <row r="826" spans="1:10" x14ac:dyDescent="0.75">
      <c r="A826" t="s">
        <v>160</v>
      </c>
      <c r="B826">
        <v>3217</v>
      </c>
      <c r="C826" t="s">
        <v>171</v>
      </c>
      <c r="D826">
        <v>5330</v>
      </c>
      <c r="E826" t="s">
        <v>385</v>
      </c>
      <c r="F826" s="4">
        <v>800</v>
      </c>
      <c r="G826" s="4">
        <v>296422</v>
      </c>
      <c r="H826" s="4">
        <v>296422</v>
      </c>
      <c r="I826" s="4">
        <v>0</v>
      </c>
      <c r="J826" s="4">
        <v>297222</v>
      </c>
    </row>
    <row r="827" spans="1:10" x14ac:dyDescent="0.75">
      <c r="A827" t="s">
        <v>160</v>
      </c>
      <c r="B827">
        <v>3217</v>
      </c>
      <c r="C827" t="s">
        <v>171</v>
      </c>
      <c r="D827">
        <v>4331</v>
      </c>
      <c r="E827" t="s">
        <v>390</v>
      </c>
      <c r="F827" s="4">
        <v>33385</v>
      </c>
      <c r="G827" s="4">
        <v>226791</v>
      </c>
      <c r="H827" s="4">
        <v>226791</v>
      </c>
      <c r="I827" s="4">
        <v>0</v>
      </c>
      <c r="J827" s="4">
        <v>260176</v>
      </c>
    </row>
    <row r="828" spans="1:10" x14ac:dyDescent="0.75">
      <c r="A828" t="s">
        <v>160</v>
      </c>
      <c r="B828">
        <v>3217</v>
      </c>
      <c r="C828" t="s">
        <v>171</v>
      </c>
      <c r="D828">
        <v>5360</v>
      </c>
      <c r="E828" t="s">
        <v>465</v>
      </c>
      <c r="F828" s="4">
        <v>0</v>
      </c>
      <c r="G828" s="4">
        <v>121313</v>
      </c>
      <c r="H828" s="4">
        <v>121313</v>
      </c>
      <c r="I828" s="4">
        <v>0</v>
      </c>
      <c r="J828" s="4">
        <v>121313</v>
      </c>
    </row>
    <row r="829" spans="1:10" x14ac:dyDescent="0.75">
      <c r="A829" t="s">
        <v>160</v>
      </c>
      <c r="B829">
        <v>3217</v>
      </c>
      <c r="C829" t="s">
        <v>171</v>
      </c>
      <c r="D829">
        <v>2430</v>
      </c>
      <c r="E829" t="s">
        <v>376</v>
      </c>
      <c r="F829" s="4">
        <v>92898</v>
      </c>
      <c r="G829" s="4">
        <v>0</v>
      </c>
      <c r="H829" s="4">
        <v>0</v>
      </c>
      <c r="I829" s="4">
        <v>0</v>
      </c>
      <c r="J829" s="4">
        <v>92898</v>
      </c>
    </row>
    <row r="830" spans="1:10" x14ac:dyDescent="0.75">
      <c r="A830" t="s">
        <v>160</v>
      </c>
      <c r="B830">
        <v>3217</v>
      </c>
      <c r="C830" t="s">
        <v>171</v>
      </c>
      <c r="D830">
        <v>1200</v>
      </c>
      <c r="E830" t="s">
        <v>402</v>
      </c>
      <c r="F830" s="4">
        <v>0</v>
      </c>
      <c r="G830" s="4">
        <v>43565</v>
      </c>
      <c r="H830" s="4">
        <v>43565</v>
      </c>
      <c r="I830" s="4">
        <v>0</v>
      </c>
      <c r="J830" s="4">
        <v>43565</v>
      </c>
    </row>
    <row r="831" spans="1:10" x14ac:dyDescent="0.75">
      <c r="A831" t="s">
        <v>160</v>
      </c>
      <c r="B831">
        <v>3217</v>
      </c>
      <c r="C831" t="s">
        <v>171</v>
      </c>
      <c r="D831">
        <v>4860</v>
      </c>
      <c r="E831" t="s">
        <v>400</v>
      </c>
      <c r="F831" s="4">
        <v>28309</v>
      </c>
      <c r="G831" s="4">
        <v>0</v>
      </c>
      <c r="H831" s="4">
        <v>0</v>
      </c>
      <c r="I831" s="4">
        <v>0</v>
      </c>
      <c r="J831" s="4">
        <v>28309</v>
      </c>
    </row>
    <row r="832" spans="1:10" x14ac:dyDescent="0.75">
      <c r="A832" t="s">
        <v>160</v>
      </c>
      <c r="B832">
        <v>3217</v>
      </c>
      <c r="C832" t="s">
        <v>171</v>
      </c>
      <c r="D832">
        <v>4782</v>
      </c>
      <c r="E832" t="s">
        <v>414</v>
      </c>
      <c r="F832" s="4">
        <v>0</v>
      </c>
      <c r="G832" s="4">
        <v>27135</v>
      </c>
      <c r="H832" s="4">
        <v>27135</v>
      </c>
      <c r="I832" s="4">
        <v>0</v>
      </c>
      <c r="J832" s="4">
        <v>27135</v>
      </c>
    </row>
    <row r="833" spans="1:10" x14ac:dyDescent="0.75">
      <c r="A833" t="s">
        <v>160</v>
      </c>
      <c r="B833">
        <v>3217</v>
      </c>
      <c r="C833" t="s">
        <v>171</v>
      </c>
      <c r="D833">
        <v>2540</v>
      </c>
      <c r="E833" t="s">
        <v>377</v>
      </c>
      <c r="F833" s="4">
        <v>0</v>
      </c>
      <c r="G833" s="4">
        <v>10472</v>
      </c>
      <c r="H833" s="4">
        <v>10472</v>
      </c>
      <c r="I833" s="4">
        <v>0</v>
      </c>
      <c r="J833" s="4">
        <v>10472</v>
      </c>
    </row>
    <row r="834" spans="1:10" x14ac:dyDescent="0.75">
      <c r="A834" t="s">
        <v>160</v>
      </c>
      <c r="B834">
        <v>3217</v>
      </c>
      <c r="C834" t="s">
        <v>171</v>
      </c>
      <c r="D834">
        <v>3130</v>
      </c>
      <c r="E834" t="s">
        <v>407</v>
      </c>
      <c r="F834" s="4">
        <v>0</v>
      </c>
      <c r="G834" s="4">
        <v>9057</v>
      </c>
      <c r="H834" s="4">
        <v>9057</v>
      </c>
      <c r="I834" s="4">
        <v>0</v>
      </c>
      <c r="J834" s="4">
        <v>9057</v>
      </c>
    </row>
    <row r="835" spans="1:10" x14ac:dyDescent="0.75">
      <c r="A835" t="s">
        <v>160</v>
      </c>
      <c r="B835">
        <v>3217</v>
      </c>
      <c r="C835" t="s">
        <v>171</v>
      </c>
      <c r="D835">
        <v>5480</v>
      </c>
      <c r="E835" t="s">
        <v>386</v>
      </c>
      <c r="F835" s="4">
        <v>0</v>
      </c>
      <c r="G835" s="4">
        <v>7987</v>
      </c>
      <c r="H835" s="4">
        <v>7987</v>
      </c>
      <c r="I835" s="4">
        <v>0</v>
      </c>
      <c r="J835" s="4">
        <v>7987</v>
      </c>
    </row>
    <row r="836" spans="1:10" x14ac:dyDescent="0.75">
      <c r="A836" t="s">
        <v>160</v>
      </c>
      <c r="B836">
        <v>3217</v>
      </c>
      <c r="C836" t="s">
        <v>171</v>
      </c>
      <c r="D836">
        <v>4420</v>
      </c>
      <c r="E836" t="s">
        <v>381</v>
      </c>
      <c r="F836" s="4">
        <v>5753</v>
      </c>
      <c r="G836" s="4">
        <v>0</v>
      </c>
      <c r="H836" s="4">
        <v>0</v>
      </c>
      <c r="I836" s="4">
        <v>0</v>
      </c>
      <c r="J836" s="4">
        <v>5753</v>
      </c>
    </row>
    <row r="837" spans="1:10" x14ac:dyDescent="0.75">
      <c r="A837" t="s">
        <v>160</v>
      </c>
      <c r="B837">
        <v>3217</v>
      </c>
      <c r="C837" t="s">
        <v>171</v>
      </c>
      <c r="D837">
        <v>7900</v>
      </c>
      <c r="E837" t="s">
        <v>388</v>
      </c>
      <c r="F837" s="4">
        <v>0</v>
      </c>
      <c r="G837" s="4">
        <v>1534</v>
      </c>
      <c r="H837" s="4">
        <v>1534</v>
      </c>
      <c r="I837" s="4">
        <v>0</v>
      </c>
      <c r="J837" s="4">
        <v>1534</v>
      </c>
    </row>
    <row r="838" spans="1:10" x14ac:dyDescent="0.75">
      <c r="A838" t="s">
        <v>160</v>
      </c>
      <c r="B838">
        <v>3217</v>
      </c>
      <c r="C838" t="s">
        <v>171</v>
      </c>
      <c r="D838">
        <v>7210</v>
      </c>
      <c r="E838" t="s">
        <v>426</v>
      </c>
      <c r="F838" s="4">
        <v>0</v>
      </c>
      <c r="G838" s="4">
        <v>1470</v>
      </c>
      <c r="H838" s="4">
        <v>1470</v>
      </c>
      <c r="I838" s="4">
        <v>0</v>
      </c>
      <c r="J838" s="4">
        <v>1470</v>
      </c>
    </row>
    <row r="839" spans="1:10" x14ac:dyDescent="0.75">
      <c r="A839" t="s">
        <v>160</v>
      </c>
      <c r="B839">
        <v>3217</v>
      </c>
      <c r="C839" t="s">
        <v>171</v>
      </c>
      <c r="D839">
        <v>7110</v>
      </c>
      <c r="E839" t="s">
        <v>371</v>
      </c>
      <c r="F839" s="4">
        <v>0</v>
      </c>
      <c r="G839" s="4">
        <v>1438</v>
      </c>
      <c r="H839" s="4">
        <v>1438</v>
      </c>
      <c r="I839" s="4">
        <v>0</v>
      </c>
      <c r="J839" s="4">
        <v>1438</v>
      </c>
    </row>
    <row r="840" spans="1:10" x14ac:dyDescent="0.75">
      <c r="A840" t="s">
        <v>160</v>
      </c>
      <c r="B840">
        <v>3217</v>
      </c>
      <c r="C840" t="s">
        <v>171</v>
      </c>
      <c r="D840">
        <v>3275</v>
      </c>
      <c r="E840" t="s">
        <v>412</v>
      </c>
      <c r="F840" s="4">
        <v>0</v>
      </c>
      <c r="G840" s="4">
        <v>1390</v>
      </c>
      <c r="H840" s="4">
        <v>1390</v>
      </c>
      <c r="I840" s="4">
        <v>0</v>
      </c>
      <c r="J840" s="4">
        <v>1390</v>
      </c>
    </row>
    <row r="841" spans="1:10" x14ac:dyDescent="0.75">
      <c r="A841" t="s">
        <v>160</v>
      </c>
      <c r="B841">
        <v>3217</v>
      </c>
      <c r="C841" t="s">
        <v>171</v>
      </c>
      <c r="D841">
        <v>5370</v>
      </c>
      <c r="E841" t="s">
        <v>466</v>
      </c>
      <c r="F841" s="4">
        <v>0</v>
      </c>
      <c r="G841" s="4">
        <v>1243</v>
      </c>
      <c r="H841" s="4">
        <v>1243</v>
      </c>
      <c r="I841" s="4">
        <v>0</v>
      </c>
      <c r="J841" s="4">
        <v>1243</v>
      </c>
    </row>
    <row r="842" spans="1:10" x14ac:dyDescent="0.75">
      <c r="A842" t="s">
        <v>160</v>
      </c>
      <c r="B842">
        <v>3217</v>
      </c>
      <c r="C842" t="s">
        <v>171</v>
      </c>
      <c r="D842">
        <v>7600</v>
      </c>
      <c r="E842" t="s">
        <v>503</v>
      </c>
      <c r="F842" s="4">
        <v>0</v>
      </c>
      <c r="G842" s="4">
        <v>1072</v>
      </c>
      <c r="H842" s="4">
        <v>1072</v>
      </c>
      <c r="I842" s="4">
        <v>0</v>
      </c>
      <c r="J842" s="4">
        <v>1072</v>
      </c>
    </row>
    <row r="843" spans="1:10" x14ac:dyDescent="0.75">
      <c r="A843" t="s">
        <v>160</v>
      </c>
      <c r="B843">
        <v>3217</v>
      </c>
      <c r="C843" t="s">
        <v>171</v>
      </c>
      <c r="D843">
        <v>7120</v>
      </c>
      <c r="E843" t="s">
        <v>499</v>
      </c>
      <c r="F843" s="4">
        <v>0</v>
      </c>
      <c r="G843" s="4">
        <v>816</v>
      </c>
      <c r="H843" s="4">
        <v>816</v>
      </c>
      <c r="I843" s="4">
        <v>0</v>
      </c>
      <c r="J843" s="4">
        <v>816</v>
      </c>
    </row>
    <row r="844" spans="1:10" x14ac:dyDescent="0.75">
      <c r="A844" t="s">
        <v>160</v>
      </c>
      <c r="B844">
        <v>3217</v>
      </c>
      <c r="C844" t="s">
        <v>171</v>
      </c>
      <c r="D844">
        <v>5312</v>
      </c>
      <c r="E844" t="s">
        <v>416</v>
      </c>
      <c r="F844" s="4">
        <v>0</v>
      </c>
      <c r="G844" s="4">
        <v>469</v>
      </c>
      <c r="H844" s="4">
        <v>469</v>
      </c>
      <c r="I844" s="4">
        <v>0</v>
      </c>
      <c r="J844" s="4">
        <v>469</v>
      </c>
    </row>
    <row r="845" spans="1:10" x14ac:dyDescent="0.75">
      <c r="A845" t="s">
        <v>160</v>
      </c>
      <c r="B845">
        <v>3217</v>
      </c>
      <c r="C845" t="s">
        <v>171</v>
      </c>
      <c r="D845">
        <v>1100</v>
      </c>
      <c r="E845" t="s">
        <v>397</v>
      </c>
      <c r="F845" s="4">
        <v>0</v>
      </c>
      <c r="G845" s="4">
        <v>390</v>
      </c>
      <c r="H845" s="4">
        <v>390</v>
      </c>
      <c r="I845" s="4">
        <v>0</v>
      </c>
      <c r="J845" s="4">
        <v>390</v>
      </c>
    </row>
    <row r="846" spans="1:10" x14ac:dyDescent="0.75">
      <c r="A846" t="s">
        <v>160</v>
      </c>
      <c r="B846">
        <v>3217</v>
      </c>
      <c r="C846" t="s">
        <v>171</v>
      </c>
      <c r="D846">
        <v>4150</v>
      </c>
      <c r="E846" t="s">
        <v>450</v>
      </c>
      <c r="F846" s="4">
        <v>0</v>
      </c>
      <c r="G846" s="4">
        <v>316</v>
      </c>
      <c r="H846" s="4">
        <v>316</v>
      </c>
      <c r="I846" s="4">
        <v>0</v>
      </c>
      <c r="J846" s="4">
        <v>316</v>
      </c>
    </row>
    <row r="847" spans="1:10" x14ac:dyDescent="0.75">
      <c r="A847" t="s">
        <v>160</v>
      </c>
      <c r="B847">
        <v>3217</v>
      </c>
      <c r="C847" t="s">
        <v>171</v>
      </c>
      <c r="D847">
        <v>5390</v>
      </c>
      <c r="E847" t="s">
        <v>418</v>
      </c>
      <c r="F847" s="4">
        <v>0</v>
      </c>
      <c r="G847" s="4">
        <v>297</v>
      </c>
      <c r="H847" s="4">
        <v>297</v>
      </c>
      <c r="I847" s="4">
        <v>0</v>
      </c>
      <c r="J847" s="4">
        <v>297</v>
      </c>
    </row>
    <row r="848" spans="1:10" x14ac:dyDescent="0.75">
      <c r="A848" t="s">
        <v>160</v>
      </c>
      <c r="B848">
        <v>3217</v>
      </c>
      <c r="C848" t="s">
        <v>171</v>
      </c>
      <c r="D848">
        <v>7230</v>
      </c>
      <c r="E848" t="s">
        <v>387</v>
      </c>
      <c r="F848" s="4">
        <v>0</v>
      </c>
      <c r="G848" s="4">
        <v>259</v>
      </c>
      <c r="H848" s="4">
        <v>259</v>
      </c>
      <c r="I848" s="4">
        <v>0</v>
      </c>
      <c r="J848" s="4">
        <v>259</v>
      </c>
    </row>
    <row r="849" spans="1:10" x14ac:dyDescent="0.75">
      <c r="A849" t="s">
        <v>160</v>
      </c>
      <c r="B849">
        <v>3217</v>
      </c>
      <c r="C849" t="s">
        <v>171</v>
      </c>
      <c r="D849">
        <v>3240</v>
      </c>
      <c r="E849" t="s">
        <v>410</v>
      </c>
      <c r="F849" s="4">
        <v>0</v>
      </c>
      <c r="G849" s="4">
        <v>258</v>
      </c>
      <c r="H849" s="4">
        <v>258</v>
      </c>
      <c r="I849" s="4">
        <v>0</v>
      </c>
      <c r="J849" s="4">
        <v>258</v>
      </c>
    </row>
    <row r="850" spans="1:10" x14ac:dyDescent="0.75">
      <c r="A850" t="s">
        <v>160</v>
      </c>
      <c r="B850">
        <v>3217</v>
      </c>
      <c r="C850" t="s">
        <v>171</v>
      </c>
      <c r="D850">
        <v>3299</v>
      </c>
      <c r="E850" t="s">
        <v>448</v>
      </c>
      <c r="F850" s="4">
        <v>0</v>
      </c>
      <c r="G850" s="4">
        <v>252</v>
      </c>
      <c r="H850" s="4">
        <v>252</v>
      </c>
      <c r="I850" s="4">
        <v>0</v>
      </c>
      <c r="J850" s="4">
        <v>252</v>
      </c>
    </row>
    <row r="851" spans="1:10" x14ac:dyDescent="0.75">
      <c r="A851" t="s">
        <v>160</v>
      </c>
      <c r="B851">
        <v>3217</v>
      </c>
      <c r="C851" t="s">
        <v>171</v>
      </c>
      <c r="D851">
        <v>5290</v>
      </c>
      <c r="E851" t="s">
        <v>415</v>
      </c>
      <c r="F851" s="4">
        <v>0</v>
      </c>
      <c r="G851" s="4">
        <v>180</v>
      </c>
      <c r="H851" s="4">
        <v>180</v>
      </c>
      <c r="I851" s="4">
        <v>0</v>
      </c>
      <c r="J851" s="4">
        <v>180</v>
      </c>
    </row>
    <row r="852" spans="1:10" x14ac:dyDescent="0.75">
      <c r="A852" t="s">
        <v>160</v>
      </c>
      <c r="B852">
        <v>3217</v>
      </c>
      <c r="C852" t="s">
        <v>171</v>
      </c>
      <c r="D852">
        <v>5120</v>
      </c>
      <c r="E852" t="s">
        <v>461</v>
      </c>
      <c r="F852" s="4">
        <v>0</v>
      </c>
      <c r="G852" s="4">
        <v>165</v>
      </c>
      <c r="H852" s="4">
        <v>165</v>
      </c>
      <c r="I852" s="4">
        <v>0</v>
      </c>
      <c r="J852" s="4">
        <v>165</v>
      </c>
    </row>
    <row r="853" spans="1:10" x14ac:dyDescent="0.75">
      <c r="A853" t="s">
        <v>160</v>
      </c>
      <c r="B853">
        <v>3217</v>
      </c>
      <c r="C853" t="s">
        <v>171</v>
      </c>
      <c r="D853">
        <v>3286</v>
      </c>
      <c r="E853" t="s">
        <v>423</v>
      </c>
      <c r="F853" s="4">
        <v>0</v>
      </c>
      <c r="G853" s="4">
        <v>150</v>
      </c>
      <c r="H853" s="4">
        <v>150</v>
      </c>
      <c r="I853" s="4">
        <v>0</v>
      </c>
      <c r="J853" s="4">
        <v>150</v>
      </c>
    </row>
    <row r="854" spans="1:10" x14ac:dyDescent="0.75">
      <c r="A854" t="s">
        <v>160</v>
      </c>
      <c r="B854">
        <v>3217</v>
      </c>
      <c r="C854" t="s">
        <v>171</v>
      </c>
      <c r="D854">
        <v>5540</v>
      </c>
      <c r="E854" t="s">
        <v>469</v>
      </c>
      <c r="F854" s="4">
        <v>0</v>
      </c>
      <c r="G854" s="4">
        <v>130</v>
      </c>
      <c r="H854" s="4">
        <v>130</v>
      </c>
      <c r="I854" s="4">
        <v>0</v>
      </c>
      <c r="J854" s="4">
        <v>130</v>
      </c>
    </row>
    <row r="855" spans="1:10" x14ac:dyDescent="0.75">
      <c r="A855" t="s">
        <v>160</v>
      </c>
      <c r="B855">
        <v>3217</v>
      </c>
      <c r="C855" t="s">
        <v>171</v>
      </c>
      <c r="D855">
        <v>3230</v>
      </c>
      <c r="E855" t="s">
        <v>434</v>
      </c>
      <c r="F855" s="4">
        <v>0</v>
      </c>
      <c r="G855" s="4">
        <v>105</v>
      </c>
      <c r="H855" s="4">
        <v>105</v>
      </c>
      <c r="I855" s="4">
        <v>0</v>
      </c>
      <c r="J855" s="4">
        <v>105</v>
      </c>
    </row>
    <row r="856" spans="1:10" x14ac:dyDescent="0.75">
      <c r="A856" t="s">
        <v>160</v>
      </c>
      <c r="B856">
        <v>3217</v>
      </c>
      <c r="C856" t="s">
        <v>171</v>
      </c>
      <c r="D856">
        <v>7500</v>
      </c>
      <c r="E856" t="s">
        <v>427</v>
      </c>
      <c r="F856" s="4">
        <v>0</v>
      </c>
      <c r="G856" s="4">
        <v>76</v>
      </c>
      <c r="H856" s="4">
        <v>76</v>
      </c>
      <c r="I856" s="4">
        <v>0</v>
      </c>
      <c r="J856" s="4">
        <v>76</v>
      </c>
    </row>
    <row r="857" spans="1:10" x14ac:dyDescent="0.75">
      <c r="A857" t="s">
        <v>160</v>
      </c>
      <c r="B857">
        <v>3217</v>
      </c>
      <c r="C857" t="s">
        <v>171</v>
      </c>
      <c r="D857">
        <v>3283</v>
      </c>
      <c r="E857" t="s">
        <v>441</v>
      </c>
      <c r="F857" s="4">
        <v>0</v>
      </c>
      <c r="G857" s="4">
        <v>70</v>
      </c>
      <c r="H857" s="4">
        <v>70</v>
      </c>
      <c r="I857" s="4">
        <v>0</v>
      </c>
      <c r="J857" s="4">
        <v>70</v>
      </c>
    </row>
    <row r="858" spans="1:10" x14ac:dyDescent="0.75">
      <c r="A858" t="s">
        <v>160</v>
      </c>
      <c r="B858">
        <v>3217</v>
      </c>
      <c r="C858" t="s">
        <v>171</v>
      </c>
      <c r="D858">
        <v>3285</v>
      </c>
      <c r="E858" t="s">
        <v>443</v>
      </c>
      <c r="F858" s="4">
        <v>0</v>
      </c>
      <c r="G858" s="4">
        <v>67</v>
      </c>
      <c r="H858" s="4">
        <v>67</v>
      </c>
      <c r="I858" s="4">
        <v>0</v>
      </c>
      <c r="J858" s="4">
        <v>67</v>
      </c>
    </row>
    <row r="859" spans="1:10" x14ac:dyDescent="0.75">
      <c r="A859" t="s">
        <v>160</v>
      </c>
      <c r="B859">
        <v>3217</v>
      </c>
      <c r="C859" t="s">
        <v>171</v>
      </c>
      <c r="D859">
        <v>9900</v>
      </c>
      <c r="E859" t="s">
        <v>389</v>
      </c>
      <c r="F859" s="4">
        <v>0</v>
      </c>
      <c r="G859" s="4">
        <v>64</v>
      </c>
      <c r="H859" s="4">
        <v>64</v>
      </c>
      <c r="I859" s="4">
        <v>0</v>
      </c>
      <c r="J859" s="4">
        <v>64</v>
      </c>
    </row>
    <row r="860" spans="1:10" x14ac:dyDescent="0.75">
      <c r="A860" t="s">
        <v>160</v>
      </c>
      <c r="B860">
        <v>3217</v>
      </c>
      <c r="C860" t="s">
        <v>171</v>
      </c>
      <c r="D860">
        <v>3282</v>
      </c>
      <c r="E860" t="s">
        <v>440</v>
      </c>
      <c r="F860" s="4">
        <v>0</v>
      </c>
      <c r="G860" s="4">
        <v>59</v>
      </c>
      <c r="H860" s="4">
        <v>59</v>
      </c>
      <c r="I860" s="4">
        <v>0</v>
      </c>
      <c r="J860" s="4">
        <v>59</v>
      </c>
    </row>
    <row r="861" spans="1:10" x14ac:dyDescent="0.75">
      <c r="A861" t="s">
        <v>160</v>
      </c>
      <c r="B861">
        <v>3217</v>
      </c>
      <c r="C861" t="s">
        <v>171</v>
      </c>
      <c r="D861">
        <v>5422</v>
      </c>
      <c r="E861" t="s">
        <v>468</v>
      </c>
      <c r="F861" s="4">
        <v>0</v>
      </c>
      <c r="G861" s="4">
        <v>57</v>
      </c>
      <c r="H861" s="4">
        <v>57</v>
      </c>
      <c r="I861" s="4">
        <v>0</v>
      </c>
      <c r="J861" s="4">
        <v>57</v>
      </c>
    </row>
    <row r="862" spans="1:10" x14ac:dyDescent="0.75">
      <c r="A862" t="s">
        <v>160</v>
      </c>
      <c r="B862">
        <v>3217</v>
      </c>
      <c r="C862" t="s">
        <v>171</v>
      </c>
      <c r="D862">
        <v>3297</v>
      </c>
      <c r="E862" t="s">
        <v>446</v>
      </c>
      <c r="F862" s="4">
        <v>0</v>
      </c>
      <c r="G862" s="4">
        <v>27</v>
      </c>
      <c r="H862" s="4">
        <v>27</v>
      </c>
      <c r="I862" s="4">
        <v>0</v>
      </c>
      <c r="J862" s="4">
        <v>27</v>
      </c>
    </row>
    <row r="863" spans="1:10" x14ac:dyDescent="0.75">
      <c r="A863" t="s">
        <v>160</v>
      </c>
      <c r="B863">
        <v>3217</v>
      </c>
      <c r="C863" t="s">
        <v>171</v>
      </c>
      <c r="D863">
        <v>3284</v>
      </c>
      <c r="E863" t="s">
        <v>442</v>
      </c>
      <c r="F863" s="4">
        <v>0</v>
      </c>
      <c r="G863" s="4">
        <v>25</v>
      </c>
      <c r="H863" s="4">
        <v>25</v>
      </c>
      <c r="I863" s="4">
        <v>0</v>
      </c>
      <c r="J863" s="4">
        <v>25</v>
      </c>
    </row>
    <row r="864" spans="1:10" x14ac:dyDescent="0.75">
      <c r="A864" t="s">
        <v>160</v>
      </c>
      <c r="B864">
        <v>3217</v>
      </c>
      <c r="C864" t="s">
        <v>171</v>
      </c>
      <c r="D864">
        <v>6654</v>
      </c>
      <c r="E864" t="s">
        <v>419</v>
      </c>
      <c r="F864" s="4">
        <v>0</v>
      </c>
      <c r="G864" s="4">
        <v>25</v>
      </c>
      <c r="H864" s="4">
        <v>25</v>
      </c>
      <c r="I864" s="4">
        <v>0</v>
      </c>
      <c r="J864" s="4">
        <v>25</v>
      </c>
    </row>
    <row r="865" spans="1:10" x14ac:dyDescent="0.75">
      <c r="A865" t="s">
        <v>160</v>
      </c>
      <c r="B865">
        <v>3217</v>
      </c>
      <c r="C865" t="s">
        <v>171</v>
      </c>
      <c r="D865">
        <v>3276</v>
      </c>
      <c r="E865" t="s">
        <v>379</v>
      </c>
      <c r="F865" s="4">
        <v>0</v>
      </c>
      <c r="G865" s="4">
        <v>16</v>
      </c>
      <c r="H865" s="4">
        <v>16</v>
      </c>
      <c r="I865" s="4">
        <v>0</v>
      </c>
      <c r="J865" s="4">
        <v>16</v>
      </c>
    </row>
    <row r="866" spans="1:10" x14ac:dyDescent="0.75">
      <c r="A866" t="s">
        <v>160</v>
      </c>
      <c r="B866">
        <v>3217</v>
      </c>
      <c r="C866" t="s">
        <v>171</v>
      </c>
      <c r="D866">
        <v>6889</v>
      </c>
      <c r="E866" t="s">
        <v>420</v>
      </c>
      <c r="F866" s="4">
        <v>0</v>
      </c>
      <c r="G866" s="4">
        <v>13</v>
      </c>
      <c r="H866" s="4">
        <v>13</v>
      </c>
      <c r="I866" s="4">
        <v>0</v>
      </c>
      <c r="J866" s="4">
        <v>13</v>
      </c>
    </row>
    <row r="867" spans="1:10" x14ac:dyDescent="0.75">
      <c r="A867" t="s">
        <v>160</v>
      </c>
      <c r="B867">
        <v>3217</v>
      </c>
      <c r="C867" t="s">
        <v>171</v>
      </c>
      <c r="D867">
        <v>7300</v>
      </c>
      <c r="E867" t="s">
        <v>501</v>
      </c>
      <c r="F867" s="4">
        <v>0</v>
      </c>
      <c r="G867" s="4">
        <v>12</v>
      </c>
      <c r="H867" s="4">
        <v>12</v>
      </c>
      <c r="I867" s="4">
        <v>0</v>
      </c>
      <c r="J867" s="4">
        <v>12</v>
      </c>
    </row>
    <row r="868" spans="1:10" x14ac:dyDescent="0.75">
      <c r="A868" t="s">
        <v>160</v>
      </c>
      <c r="B868">
        <v>3217</v>
      </c>
      <c r="C868" t="s">
        <v>171</v>
      </c>
      <c r="D868">
        <v>5240</v>
      </c>
      <c r="E868" t="s">
        <v>464</v>
      </c>
      <c r="F868" s="4">
        <v>0</v>
      </c>
      <c r="G868" s="4">
        <v>11</v>
      </c>
      <c r="H868" s="4">
        <v>11</v>
      </c>
      <c r="I868" s="4">
        <v>0</v>
      </c>
      <c r="J868" s="4">
        <v>11</v>
      </c>
    </row>
    <row r="869" spans="1:10" x14ac:dyDescent="0.75">
      <c r="A869" t="s">
        <v>160</v>
      </c>
      <c r="B869">
        <v>3217</v>
      </c>
      <c r="C869" t="s">
        <v>171</v>
      </c>
      <c r="D869">
        <v>7400</v>
      </c>
      <c r="E869" t="s">
        <v>502</v>
      </c>
      <c r="F869" s="4">
        <v>0</v>
      </c>
      <c r="G869" s="4">
        <v>10</v>
      </c>
      <c r="H869" s="4">
        <v>10</v>
      </c>
      <c r="I869" s="4">
        <v>0</v>
      </c>
      <c r="J869" s="4">
        <v>10</v>
      </c>
    </row>
    <row r="870" spans="1:10" x14ac:dyDescent="0.75">
      <c r="A870" t="s">
        <v>160</v>
      </c>
      <c r="B870">
        <v>3227</v>
      </c>
      <c r="C870" t="s">
        <v>201</v>
      </c>
      <c r="D870">
        <v>4410</v>
      </c>
      <c r="E870" t="s">
        <v>399</v>
      </c>
      <c r="F870" s="4">
        <v>4110326</v>
      </c>
      <c r="G870" s="4">
        <v>0</v>
      </c>
      <c r="H870" s="4">
        <v>0</v>
      </c>
      <c r="I870" s="4">
        <v>0</v>
      </c>
      <c r="J870" s="4">
        <v>4110326</v>
      </c>
    </row>
    <row r="871" spans="1:10" x14ac:dyDescent="0.75">
      <c r="A871" t="s">
        <v>160</v>
      </c>
      <c r="B871">
        <v>3227</v>
      </c>
      <c r="C871" t="s">
        <v>201</v>
      </c>
      <c r="D871">
        <v>4860</v>
      </c>
      <c r="E871" t="s">
        <v>400</v>
      </c>
      <c r="F871" s="4">
        <v>0</v>
      </c>
      <c r="G871" s="4">
        <v>52801</v>
      </c>
      <c r="H871" s="4">
        <v>52801</v>
      </c>
      <c r="I871" s="4">
        <v>0</v>
      </c>
      <c r="J871" s="4">
        <v>52801</v>
      </c>
    </row>
    <row r="872" spans="1:10" x14ac:dyDescent="0.75">
      <c r="A872" t="s">
        <v>160</v>
      </c>
      <c r="B872">
        <v>3227</v>
      </c>
      <c r="C872" t="s">
        <v>201</v>
      </c>
      <c r="D872">
        <v>4322</v>
      </c>
      <c r="E872" t="s">
        <v>398</v>
      </c>
      <c r="F872" s="4">
        <v>45667</v>
      </c>
      <c r="G872" s="4">
        <v>25</v>
      </c>
      <c r="H872" s="4">
        <v>25</v>
      </c>
      <c r="I872" s="4">
        <v>0</v>
      </c>
      <c r="J872" s="4">
        <v>45692</v>
      </c>
    </row>
    <row r="873" spans="1:10" x14ac:dyDescent="0.75">
      <c r="A873" t="s">
        <v>160</v>
      </c>
      <c r="B873">
        <v>3227</v>
      </c>
      <c r="C873" t="s">
        <v>201</v>
      </c>
      <c r="D873">
        <v>4783</v>
      </c>
      <c r="E873" t="s">
        <v>382</v>
      </c>
      <c r="F873" s="4">
        <v>0</v>
      </c>
      <c r="G873" s="4">
        <v>42521</v>
      </c>
      <c r="H873" s="4">
        <v>42521</v>
      </c>
      <c r="I873" s="4">
        <v>0</v>
      </c>
      <c r="J873" s="4">
        <v>42521</v>
      </c>
    </row>
    <row r="874" spans="1:10" x14ac:dyDescent="0.75">
      <c r="A874" t="s">
        <v>151</v>
      </c>
      <c r="B874">
        <v>4659</v>
      </c>
      <c r="C874" t="s">
        <v>217</v>
      </c>
      <c r="D874">
        <v>4161</v>
      </c>
      <c r="E874" t="s">
        <v>421</v>
      </c>
      <c r="F874" s="4">
        <v>42066</v>
      </c>
      <c r="G874" s="4">
        <v>2028000</v>
      </c>
      <c r="H874" s="4">
        <v>0</v>
      </c>
      <c r="I874" s="4">
        <v>2028000</v>
      </c>
      <c r="J874" s="4">
        <v>2070066</v>
      </c>
    </row>
    <row r="875" spans="1:10" x14ac:dyDescent="0.75">
      <c r="A875" t="s">
        <v>151</v>
      </c>
      <c r="B875">
        <v>4659</v>
      </c>
      <c r="C875" t="s">
        <v>217</v>
      </c>
      <c r="D875">
        <v>4170</v>
      </c>
      <c r="E875" t="s">
        <v>424</v>
      </c>
      <c r="F875" s="4">
        <v>0</v>
      </c>
      <c r="G875" s="4">
        <v>378103</v>
      </c>
      <c r="H875" s="4">
        <v>273997</v>
      </c>
      <c r="I875" s="4">
        <v>104106</v>
      </c>
      <c r="J875" s="4">
        <v>378103</v>
      </c>
    </row>
    <row r="876" spans="1:10" x14ac:dyDescent="0.75">
      <c r="A876" t="s">
        <v>151</v>
      </c>
      <c r="B876">
        <v>4659</v>
      </c>
      <c r="C876" t="s">
        <v>217</v>
      </c>
      <c r="D876">
        <v>4331</v>
      </c>
      <c r="E876" t="s">
        <v>390</v>
      </c>
      <c r="F876" s="4">
        <v>0</v>
      </c>
      <c r="G876" s="4">
        <v>76776</v>
      </c>
      <c r="H876" s="4">
        <v>76776</v>
      </c>
      <c r="I876" s="4">
        <v>0</v>
      </c>
      <c r="J876" s="4">
        <v>76776</v>
      </c>
    </row>
    <row r="877" spans="1:10" x14ac:dyDescent="0.75">
      <c r="A877" t="s">
        <v>151</v>
      </c>
      <c r="B877">
        <v>4659</v>
      </c>
      <c r="C877" t="s">
        <v>217</v>
      </c>
      <c r="D877">
        <v>4150</v>
      </c>
      <c r="E877" t="s">
        <v>450</v>
      </c>
      <c r="F877" s="4">
        <v>0</v>
      </c>
      <c r="G877" s="4">
        <v>9313</v>
      </c>
      <c r="H877" s="4">
        <v>0</v>
      </c>
      <c r="I877" s="4">
        <v>9313</v>
      </c>
      <c r="J877" s="4">
        <v>9313</v>
      </c>
    </row>
    <row r="878" spans="1:10" x14ac:dyDescent="0.75">
      <c r="A878" t="s">
        <v>151</v>
      </c>
      <c r="B878">
        <v>4659</v>
      </c>
      <c r="C878" t="s">
        <v>217</v>
      </c>
      <c r="D878">
        <v>4690</v>
      </c>
      <c r="E878" t="s">
        <v>428</v>
      </c>
      <c r="F878" s="4">
        <v>0</v>
      </c>
      <c r="G878" s="4">
        <v>3153</v>
      </c>
      <c r="H878" s="4">
        <v>0</v>
      </c>
      <c r="I878" s="4">
        <v>3153</v>
      </c>
      <c r="J878" s="4">
        <v>3153</v>
      </c>
    </row>
    <row r="879" spans="1:10" x14ac:dyDescent="0.75">
      <c r="A879" t="s">
        <v>151</v>
      </c>
      <c r="B879">
        <v>4659</v>
      </c>
      <c r="C879" t="s">
        <v>217</v>
      </c>
      <c r="D879">
        <v>7900</v>
      </c>
      <c r="E879" t="s">
        <v>388</v>
      </c>
      <c r="F879" s="4">
        <v>0</v>
      </c>
      <c r="G879" s="4">
        <v>3153</v>
      </c>
      <c r="H879" s="4">
        <v>0</v>
      </c>
      <c r="I879" s="4">
        <v>3153</v>
      </c>
      <c r="J879" s="4">
        <v>3153</v>
      </c>
    </row>
    <row r="880" spans="1:10" x14ac:dyDescent="0.75">
      <c r="A880" t="s">
        <v>151</v>
      </c>
      <c r="B880">
        <v>4659</v>
      </c>
      <c r="C880" t="s">
        <v>217</v>
      </c>
      <c r="D880">
        <v>4189</v>
      </c>
      <c r="E880" t="s">
        <v>451</v>
      </c>
      <c r="F880" s="4">
        <v>0</v>
      </c>
      <c r="G880" s="4">
        <v>2116</v>
      </c>
      <c r="H880" s="4">
        <v>2116</v>
      </c>
      <c r="I880" s="4">
        <v>0</v>
      </c>
      <c r="J880" s="4">
        <v>2116</v>
      </c>
    </row>
    <row r="881" spans="1:10" x14ac:dyDescent="0.75">
      <c r="A881" t="s">
        <v>151</v>
      </c>
      <c r="B881">
        <v>4659</v>
      </c>
      <c r="C881" t="s">
        <v>217</v>
      </c>
      <c r="D881">
        <v>7110</v>
      </c>
      <c r="E881" t="s">
        <v>371</v>
      </c>
      <c r="F881" s="4">
        <v>0</v>
      </c>
      <c r="G881" s="4">
        <v>40</v>
      </c>
      <c r="H881" s="4">
        <v>40</v>
      </c>
      <c r="I881" s="4">
        <v>0</v>
      </c>
      <c r="J881" s="4">
        <v>40</v>
      </c>
    </row>
    <row r="882" spans="1:10" x14ac:dyDescent="0.75">
      <c r="A882" t="s">
        <v>151</v>
      </c>
      <c r="B882">
        <v>4659</v>
      </c>
      <c r="C882" t="s">
        <v>217</v>
      </c>
      <c r="D882">
        <v>6839</v>
      </c>
      <c r="E882" t="s">
        <v>485</v>
      </c>
      <c r="F882" s="4">
        <v>0</v>
      </c>
      <c r="G882" s="4">
        <v>7</v>
      </c>
      <c r="H882" s="4">
        <v>7</v>
      </c>
      <c r="I882" s="4">
        <v>0</v>
      </c>
      <c r="J882" s="4">
        <v>7</v>
      </c>
    </row>
    <row r="883" spans="1:10" x14ac:dyDescent="0.75">
      <c r="A883" t="s">
        <v>151</v>
      </c>
      <c r="B883">
        <v>4659</v>
      </c>
      <c r="C883" t="s">
        <v>217</v>
      </c>
      <c r="D883">
        <v>5480</v>
      </c>
      <c r="E883" t="s">
        <v>386</v>
      </c>
      <c r="F883" s="4">
        <v>0</v>
      </c>
      <c r="G883" s="4">
        <v>3</v>
      </c>
      <c r="H883" s="4">
        <v>3</v>
      </c>
      <c r="I883" s="4">
        <v>0</v>
      </c>
      <c r="J883" s="4">
        <v>3</v>
      </c>
    </row>
    <row r="884" spans="1:10" x14ac:dyDescent="0.75">
      <c r="A884" t="s">
        <v>151</v>
      </c>
      <c r="B884">
        <v>4799</v>
      </c>
      <c r="C884" t="s">
        <v>73</v>
      </c>
      <c r="D884">
        <v>6134</v>
      </c>
      <c r="E884" t="s">
        <v>470</v>
      </c>
      <c r="F884" s="4">
        <v>31003</v>
      </c>
      <c r="G884" s="4">
        <v>0</v>
      </c>
      <c r="H884" s="4">
        <v>0</v>
      </c>
      <c r="I884" s="4">
        <v>0</v>
      </c>
      <c r="J884" s="4">
        <v>31003</v>
      </c>
    </row>
    <row r="885" spans="1:10" x14ac:dyDescent="0.75">
      <c r="A885" t="s">
        <v>151</v>
      </c>
      <c r="B885">
        <v>4799</v>
      </c>
      <c r="C885" t="s">
        <v>73</v>
      </c>
      <c r="D885">
        <v>2330</v>
      </c>
      <c r="E885" t="s">
        <v>368</v>
      </c>
      <c r="F885" s="4">
        <v>13010</v>
      </c>
      <c r="G885" s="4">
        <v>0</v>
      </c>
      <c r="H885" s="4">
        <v>0</v>
      </c>
      <c r="I885" s="4">
        <v>0</v>
      </c>
      <c r="J885" s="4">
        <v>13010</v>
      </c>
    </row>
    <row r="886" spans="1:10" x14ac:dyDescent="0.75">
      <c r="A886" t="s">
        <v>151</v>
      </c>
      <c r="B886">
        <v>4799</v>
      </c>
      <c r="C886" t="s">
        <v>73</v>
      </c>
      <c r="D886">
        <v>2221</v>
      </c>
      <c r="E886" t="s">
        <v>374</v>
      </c>
      <c r="F886" s="4">
        <v>7589</v>
      </c>
      <c r="G886" s="4">
        <v>0</v>
      </c>
      <c r="H886" s="4">
        <v>0</v>
      </c>
      <c r="I886" s="4">
        <v>0</v>
      </c>
      <c r="J886" s="4">
        <v>7589</v>
      </c>
    </row>
    <row r="887" spans="1:10" x14ac:dyDescent="0.75">
      <c r="A887" t="s">
        <v>151</v>
      </c>
      <c r="B887">
        <v>4799</v>
      </c>
      <c r="C887" t="s">
        <v>73</v>
      </c>
      <c r="D887">
        <v>2211</v>
      </c>
      <c r="E887" t="s">
        <v>367</v>
      </c>
      <c r="F887" s="4">
        <v>6681</v>
      </c>
      <c r="G887" s="4">
        <v>0</v>
      </c>
      <c r="H887" s="4">
        <v>0</v>
      </c>
      <c r="I887" s="4">
        <v>0</v>
      </c>
      <c r="J887" s="4">
        <v>6681</v>
      </c>
    </row>
    <row r="888" spans="1:10" x14ac:dyDescent="0.75">
      <c r="A888" t="s">
        <v>151</v>
      </c>
      <c r="B888">
        <v>4799</v>
      </c>
      <c r="C888" t="s">
        <v>73</v>
      </c>
      <c r="D888">
        <v>7900</v>
      </c>
      <c r="E888" t="s">
        <v>388</v>
      </c>
      <c r="F888" s="4">
        <v>4771</v>
      </c>
      <c r="G888" s="4">
        <v>0</v>
      </c>
      <c r="H888" s="4">
        <v>0</v>
      </c>
      <c r="I888" s="4">
        <v>0</v>
      </c>
      <c r="J888" s="4">
        <v>4771</v>
      </c>
    </row>
    <row r="889" spans="1:10" x14ac:dyDescent="0.75">
      <c r="A889" t="s">
        <v>151</v>
      </c>
      <c r="B889">
        <v>4799</v>
      </c>
      <c r="C889" t="s">
        <v>73</v>
      </c>
      <c r="D889">
        <v>6782</v>
      </c>
      <c r="E889" t="s">
        <v>396</v>
      </c>
      <c r="F889" s="4">
        <v>4241</v>
      </c>
      <c r="G889" s="4">
        <v>0</v>
      </c>
      <c r="H889" s="4">
        <v>0</v>
      </c>
      <c r="I889" s="4">
        <v>0</v>
      </c>
      <c r="J889" s="4">
        <v>4241</v>
      </c>
    </row>
    <row r="890" spans="1:10" x14ac:dyDescent="0.75">
      <c r="A890" t="s">
        <v>151</v>
      </c>
      <c r="B890">
        <v>4799</v>
      </c>
      <c r="C890" t="s">
        <v>73</v>
      </c>
      <c r="D890">
        <v>5480</v>
      </c>
      <c r="E890" t="s">
        <v>386</v>
      </c>
      <c r="F890" s="4">
        <v>2593</v>
      </c>
      <c r="G890" s="4">
        <v>0</v>
      </c>
      <c r="H890" s="4">
        <v>0</v>
      </c>
      <c r="I890" s="4">
        <v>0</v>
      </c>
      <c r="J890" s="4">
        <v>2593</v>
      </c>
    </row>
    <row r="891" spans="1:10" x14ac:dyDescent="0.75">
      <c r="A891" t="s">
        <v>151</v>
      </c>
      <c r="B891">
        <v>4799</v>
      </c>
      <c r="C891" t="s">
        <v>73</v>
      </c>
      <c r="D891">
        <v>6887</v>
      </c>
      <c r="E891" t="s">
        <v>505</v>
      </c>
      <c r="F891" s="4">
        <v>1761</v>
      </c>
      <c r="G891" s="4">
        <v>0</v>
      </c>
      <c r="H891" s="4">
        <v>0</v>
      </c>
      <c r="I891" s="4">
        <v>0</v>
      </c>
      <c r="J891" s="4">
        <v>1761</v>
      </c>
    </row>
    <row r="892" spans="1:10" x14ac:dyDescent="0.75">
      <c r="A892" t="s">
        <v>151</v>
      </c>
      <c r="B892">
        <v>4799</v>
      </c>
      <c r="C892" t="s">
        <v>73</v>
      </c>
      <c r="D892">
        <v>7400</v>
      </c>
      <c r="E892" t="s">
        <v>502</v>
      </c>
      <c r="F892" s="4">
        <v>1315</v>
      </c>
      <c r="G892" s="4">
        <v>0</v>
      </c>
      <c r="H892" s="4">
        <v>0</v>
      </c>
      <c r="I892" s="4">
        <v>0</v>
      </c>
      <c r="J892" s="4">
        <v>1315</v>
      </c>
    </row>
    <row r="893" spans="1:10" x14ac:dyDescent="0.75">
      <c r="A893" t="s">
        <v>151</v>
      </c>
      <c r="B893">
        <v>4799</v>
      </c>
      <c r="C893" t="s">
        <v>73</v>
      </c>
      <c r="D893">
        <v>8900</v>
      </c>
      <c r="E893" t="s">
        <v>506</v>
      </c>
      <c r="F893" s="4">
        <v>874</v>
      </c>
      <c r="G893" s="4">
        <v>0</v>
      </c>
      <c r="H893" s="4">
        <v>0</v>
      </c>
      <c r="I893" s="4">
        <v>0</v>
      </c>
      <c r="J893" s="4">
        <v>874</v>
      </c>
    </row>
    <row r="894" spans="1:10" x14ac:dyDescent="0.75">
      <c r="A894" t="s">
        <v>151</v>
      </c>
      <c r="B894">
        <v>4799</v>
      </c>
      <c r="C894" t="s">
        <v>73</v>
      </c>
      <c r="D894">
        <v>7110</v>
      </c>
      <c r="E894" t="s">
        <v>371</v>
      </c>
      <c r="F894" s="4">
        <v>663</v>
      </c>
      <c r="G894" s="4">
        <v>0</v>
      </c>
      <c r="H894" s="4">
        <v>0</v>
      </c>
      <c r="I894" s="4">
        <v>0</v>
      </c>
      <c r="J894" s="4">
        <v>663</v>
      </c>
    </row>
    <row r="895" spans="1:10" x14ac:dyDescent="0.75">
      <c r="A895" t="s">
        <v>151</v>
      </c>
      <c r="B895">
        <v>4799</v>
      </c>
      <c r="C895" t="s">
        <v>73</v>
      </c>
      <c r="D895">
        <v>5190</v>
      </c>
      <c r="E895" t="s">
        <v>462</v>
      </c>
      <c r="F895" s="4">
        <v>660</v>
      </c>
      <c r="G895" s="4">
        <v>0</v>
      </c>
      <c r="H895" s="4">
        <v>0</v>
      </c>
      <c r="I895" s="4">
        <v>0</v>
      </c>
      <c r="J895" s="4">
        <v>660</v>
      </c>
    </row>
    <row r="896" spans="1:10" x14ac:dyDescent="0.75">
      <c r="A896" t="s">
        <v>151</v>
      </c>
      <c r="B896">
        <v>4799</v>
      </c>
      <c r="C896" t="s">
        <v>73</v>
      </c>
      <c r="D896">
        <v>5360</v>
      </c>
      <c r="E896" t="s">
        <v>465</v>
      </c>
      <c r="F896" s="4">
        <v>450</v>
      </c>
      <c r="G896" s="4">
        <v>0</v>
      </c>
      <c r="H896" s="4">
        <v>0</v>
      </c>
      <c r="I896" s="4">
        <v>0</v>
      </c>
      <c r="J896" s="4">
        <v>450</v>
      </c>
    </row>
    <row r="897" spans="1:10" x14ac:dyDescent="0.75">
      <c r="A897" t="s">
        <v>151</v>
      </c>
      <c r="B897">
        <v>4799</v>
      </c>
      <c r="C897" t="s">
        <v>73</v>
      </c>
      <c r="D897">
        <v>4783</v>
      </c>
      <c r="E897" t="s">
        <v>382</v>
      </c>
      <c r="F897" s="4">
        <v>285</v>
      </c>
      <c r="G897" s="4">
        <v>0</v>
      </c>
      <c r="H897" s="4">
        <v>0</v>
      </c>
      <c r="I897" s="4">
        <v>0</v>
      </c>
      <c r="J897" s="4">
        <v>285</v>
      </c>
    </row>
    <row r="898" spans="1:10" x14ac:dyDescent="0.75">
      <c r="A898" t="s">
        <v>151</v>
      </c>
      <c r="B898">
        <v>4799</v>
      </c>
      <c r="C898" t="s">
        <v>73</v>
      </c>
      <c r="D898">
        <v>4189</v>
      </c>
      <c r="E898" t="s">
        <v>451</v>
      </c>
      <c r="F898" s="4">
        <v>191</v>
      </c>
      <c r="G898" s="4">
        <v>0</v>
      </c>
      <c r="H898" s="4">
        <v>0</v>
      </c>
      <c r="I898" s="4">
        <v>0</v>
      </c>
      <c r="J898" s="4">
        <v>191</v>
      </c>
    </row>
    <row r="899" spans="1:10" x14ac:dyDescent="0.75">
      <c r="A899" t="s">
        <v>151</v>
      </c>
      <c r="B899">
        <v>4799</v>
      </c>
      <c r="C899" t="s">
        <v>73</v>
      </c>
      <c r="D899">
        <v>7210</v>
      </c>
      <c r="E899" t="s">
        <v>426</v>
      </c>
      <c r="F899" s="4">
        <v>189</v>
      </c>
      <c r="G899" s="4">
        <v>0</v>
      </c>
      <c r="H899" s="4">
        <v>0</v>
      </c>
      <c r="I899" s="4">
        <v>0</v>
      </c>
      <c r="J899" s="4">
        <v>189</v>
      </c>
    </row>
    <row r="900" spans="1:10" x14ac:dyDescent="0.75">
      <c r="A900" t="s">
        <v>151</v>
      </c>
      <c r="B900">
        <v>4799</v>
      </c>
      <c r="C900" t="s">
        <v>73</v>
      </c>
      <c r="D900">
        <v>5540</v>
      </c>
      <c r="E900" t="s">
        <v>469</v>
      </c>
      <c r="F900" s="4">
        <v>152</v>
      </c>
      <c r="G900" s="4">
        <v>0</v>
      </c>
      <c r="H900" s="4">
        <v>0</v>
      </c>
      <c r="I900" s="4">
        <v>0</v>
      </c>
      <c r="J900" s="4">
        <v>152</v>
      </c>
    </row>
    <row r="901" spans="1:10" x14ac:dyDescent="0.75">
      <c r="A901" t="s">
        <v>151</v>
      </c>
      <c r="B901">
        <v>4799</v>
      </c>
      <c r="C901" t="s">
        <v>73</v>
      </c>
      <c r="D901">
        <v>2990</v>
      </c>
      <c r="E901" t="s">
        <v>432</v>
      </c>
      <c r="F901" s="4">
        <v>79</v>
      </c>
      <c r="G901" s="4">
        <v>0</v>
      </c>
      <c r="H901" s="4">
        <v>0</v>
      </c>
      <c r="I901" s="4">
        <v>0</v>
      </c>
      <c r="J901" s="4">
        <v>79</v>
      </c>
    </row>
    <row r="902" spans="1:10" x14ac:dyDescent="0.75">
      <c r="A902" t="s">
        <v>151</v>
      </c>
      <c r="B902">
        <v>4799</v>
      </c>
      <c r="C902" t="s">
        <v>73</v>
      </c>
      <c r="D902">
        <v>6838</v>
      </c>
      <c r="E902" t="s">
        <v>484</v>
      </c>
      <c r="F902" s="4">
        <v>51</v>
      </c>
      <c r="G902" s="4">
        <v>0</v>
      </c>
      <c r="H902" s="4">
        <v>0</v>
      </c>
      <c r="I902" s="4">
        <v>0</v>
      </c>
      <c r="J902" s="4">
        <v>51</v>
      </c>
    </row>
    <row r="903" spans="1:10" x14ac:dyDescent="0.75">
      <c r="A903" t="s">
        <v>151</v>
      </c>
      <c r="B903">
        <v>4799</v>
      </c>
      <c r="C903" t="s">
        <v>73</v>
      </c>
      <c r="D903">
        <v>3299</v>
      </c>
      <c r="E903" t="s">
        <v>448</v>
      </c>
      <c r="F903" s="4">
        <v>37</v>
      </c>
      <c r="G903" s="4">
        <v>0</v>
      </c>
      <c r="H903" s="4">
        <v>0</v>
      </c>
      <c r="I903" s="4">
        <v>0</v>
      </c>
      <c r="J903" s="4">
        <v>37</v>
      </c>
    </row>
    <row r="904" spans="1:10" x14ac:dyDescent="0.75">
      <c r="A904" t="s">
        <v>151</v>
      </c>
      <c r="B904">
        <v>4799</v>
      </c>
      <c r="C904" t="s">
        <v>73</v>
      </c>
      <c r="D904">
        <v>2640</v>
      </c>
      <c r="E904" t="s">
        <v>431</v>
      </c>
      <c r="F904" s="4">
        <v>30</v>
      </c>
      <c r="G904" s="4">
        <v>0</v>
      </c>
      <c r="H904" s="4">
        <v>0</v>
      </c>
      <c r="I904" s="4">
        <v>0</v>
      </c>
      <c r="J904" s="4">
        <v>30</v>
      </c>
    </row>
    <row r="905" spans="1:10" x14ac:dyDescent="0.75">
      <c r="A905" t="s">
        <v>151</v>
      </c>
      <c r="B905">
        <v>4799</v>
      </c>
      <c r="C905" t="s">
        <v>73</v>
      </c>
      <c r="D905">
        <v>7120</v>
      </c>
      <c r="E905" t="s">
        <v>499</v>
      </c>
      <c r="F905" s="4">
        <v>29</v>
      </c>
      <c r="G905" s="4">
        <v>0</v>
      </c>
      <c r="H905" s="4">
        <v>0</v>
      </c>
      <c r="I905" s="4">
        <v>0</v>
      </c>
      <c r="J905" s="4">
        <v>29</v>
      </c>
    </row>
    <row r="906" spans="1:10" x14ac:dyDescent="0.75">
      <c r="A906" t="s">
        <v>151</v>
      </c>
      <c r="B906">
        <v>4799</v>
      </c>
      <c r="C906" t="s">
        <v>73</v>
      </c>
      <c r="D906">
        <v>7230</v>
      </c>
      <c r="E906" t="s">
        <v>387</v>
      </c>
      <c r="F906" s="4">
        <v>28</v>
      </c>
      <c r="G906" s="4">
        <v>0</v>
      </c>
      <c r="H906" s="4">
        <v>0</v>
      </c>
      <c r="I906" s="4">
        <v>0</v>
      </c>
      <c r="J906" s="4">
        <v>28</v>
      </c>
    </row>
    <row r="907" spans="1:10" x14ac:dyDescent="0.75">
      <c r="A907" t="s">
        <v>151</v>
      </c>
      <c r="B907">
        <v>4799</v>
      </c>
      <c r="C907" t="s">
        <v>73</v>
      </c>
      <c r="D907">
        <v>5290</v>
      </c>
      <c r="E907" t="s">
        <v>415</v>
      </c>
      <c r="F907" s="4">
        <v>26</v>
      </c>
      <c r="G907" s="4">
        <v>0</v>
      </c>
      <c r="H907" s="4">
        <v>0</v>
      </c>
      <c r="I907" s="4">
        <v>0</v>
      </c>
      <c r="J907" s="4">
        <v>26</v>
      </c>
    </row>
    <row r="908" spans="1:10" x14ac:dyDescent="0.75">
      <c r="A908" t="s">
        <v>151</v>
      </c>
      <c r="B908">
        <v>4799</v>
      </c>
      <c r="C908" t="s">
        <v>73</v>
      </c>
      <c r="D908">
        <v>2340</v>
      </c>
      <c r="E908" t="s">
        <v>369</v>
      </c>
      <c r="F908" s="4">
        <v>25</v>
      </c>
      <c r="G908" s="4">
        <v>0</v>
      </c>
      <c r="H908" s="4">
        <v>0</v>
      </c>
      <c r="I908" s="4">
        <v>0</v>
      </c>
      <c r="J908" s="4">
        <v>25</v>
      </c>
    </row>
    <row r="909" spans="1:10" x14ac:dyDescent="0.75">
      <c r="A909" t="s">
        <v>151</v>
      </c>
      <c r="B909">
        <v>4799</v>
      </c>
      <c r="C909" t="s">
        <v>73</v>
      </c>
      <c r="D909">
        <v>4225</v>
      </c>
      <c r="E909" t="s">
        <v>380</v>
      </c>
      <c r="F909" s="4">
        <v>17</v>
      </c>
      <c r="G909" s="4">
        <v>0</v>
      </c>
      <c r="H909" s="4">
        <v>0</v>
      </c>
      <c r="I909" s="4">
        <v>0</v>
      </c>
      <c r="J909" s="4">
        <v>17</v>
      </c>
    </row>
    <row r="910" spans="1:10" x14ac:dyDescent="0.75">
      <c r="A910" t="s">
        <v>151</v>
      </c>
      <c r="B910">
        <v>4799</v>
      </c>
      <c r="C910" t="s">
        <v>73</v>
      </c>
      <c r="D910">
        <v>5240</v>
      </c>
      <c r="E910" t="s">
        <v>464</v>
      </c>
      <c r="F910" s="4">
        <v>11</v>
      </c>
      <c r="G910" s="4">
        <v>0</v>
      </c>
      <c r="H910" s="4">
        <v>0</v>
      </c>
      <c r="I910" s="4">
        <v>0</v>
      </c>
      <c r="J910" s="4">
        <v>11</v>
      </c>
    </row>
    <row r="911" spans="1:10" x14ac:dyDescent="0.75">
      <c r="A911" t="s">
        <v>151</v>
      </c>
      <c r="B911">
        <v>4799</v>
      </c>
      <c r="C911" t="s">
        <v>73</v>
      </c>
      <c r="D911">
        <v>5370</v>
      </c>
      <c r="E911" t="s">
        <v>466</v>
      </c>
      <c r="F911" s="4">
        <v>6</v>
      </c>
      <c r="G911" s="4">
        <v>0</v>
      </c>
      <c r="H911" s="4">
        <v>0</v>
      </c>
      <c r="I911" s="4">
        <v>0</v>
      </c>
      <c r="J911" s="4">
        <v>6</v>
      </c>
    </row>
    <row r="912" spans="1:10" x14ac:dyDescent="0.75">
      <c r="A912" t="s">
        <v>151</v>
      </c>
      <c r="B912">
        <v>4799</v>
      </c>
      <c r="C912" t="s">
        <v>73</v>
      </c>
      <c r="D912">
        <v>3220</v>
      </c>
      <c r="E912" t="s">
        <v>370</v>
      </c>
      <c r="F912" s="4">
        <v>3</v>
      </c>
      <c r="G912" s="4">
        <v>0</v>
      </c>
      <c r="H912" s="4">
        <v>0</v>
      </c>
      <c r="I912" s="4">
        <v>0</v>
      </c>
      <c r="J912" s="4">
        <v>3</v>
      </c>
    </row>
    <row r="913" spans="1:10" x14ac:dyDescent="0.75">
      <c r="A913" t="s">
        <v>151</v>
      </c>
      <c r="B913">
        <v>4799</v>
      </c>
      <c r="C913" t="s">
        <v>73</v>
      </c>
      <c r="D913">
        <v>3282</v>
      </c>
      <c r="E913" t="s">
        <v>440</v>
      </c>
      <c r="F913" s="4">
        <v>3</v>
      </c>
      <c r="G913" s="4">
        <v>0</v>
      </c>
      <c r="H913" s="4">
        <v>0</v>
      </c>
      <c r="I913" s="4">
        <v>0</v>
      </c>
      <c r="J913" s="4">
        <v>3</v>
      </c>
    </row>
    <row r="914" spans="1:10" x14ac:dyDescent="0.75">
      <c r="A914" t="s">
        <v>151</v>
      </c>
      <c r="B914">
        <v>4799</v>
      </c>
      <c r="C914" t="s">
        <v>73</v>
      </c>
      <c r="D914">
        <v>6885</v>
      </c>
      <c r="E914" t="s">
        <v>493</v>
      </c>
      <c r="F914" s="4">
        <v>2</v>
      </c>
      <c r="G914" s="4">
        <v>0</v>
      </c>
      <c r="H914" s="4">
        <v>0</v>
      </c>
      <c r="I914" s="4">
        <v>0</v>
      </c>
      <c r="J914" s="4">
        <v>2</v>
      </c>
    </row>
    <row r="915" spans="1:10" x14ac:dyDescent="0.75">
      <c r="A915" t="s">
        <v>151</v>
      </c>
      <c r="B915">
        <v>4799</v>
      </c>
      <c r="C915" t="s">
        <v>73</v>
      </c>
      <c r="D915">
        <v>7500</v>
      </c>
      <c r="E915" t="s">
        <v>427</v>
      </c>
      <c r="F915" s="4">
        <v>2</v>
      </c>
      <c r="G915" s="4">
        <v>0</v>
      </c>
      <c r="H915" s="4">
        <v>0</v>
      </c>
      <c r="I915" s="4">
        <v>0</v>
      </c>
      <c r="J915" s="4">
        <v>2</v>
      </c>
    </row>
    <row r="916" spans="1:10" x14ac:dyDescent="0.75">
      <c r="A916" t="s">
        <v>151</v>
      </c>
      <c r="B916">
        <v>4799</v>
      </c>
      <c r="C916" t="s">
        <v>73</v>
      </c>
      <c r="D916">
        <v>4331</v>
      </c>
      <c r="E916" t="s">
        <v>390</v>
      </c>
      <c r="F916" s="4">
        <v>1</v>
      </c>
      <c r="G916" s="4">
        <v>0</v>
      </c>
      <c r="H916" s="4">
        <v>0</v>
      </c>
      <c r="I916" s="4">
        <v>0</v>
      </c>
      <c r="J916" s="4">
        <v>1</v>
      </c>
    </row>
    <row r="917" spans="1:10" x14ac:dyDescent="0.75">
      <c r="A917" t="s">
        <v>151</v>
      </c>
      <c r="B917">
        <v>2436</v>
      </c>
      <c r="C917" t="s">
        <v>93</v>
      </c>
      <c r="D917">
        <v>2100</v>
      </c>
      <c r="E917" t="s">
        <v>403</v>
      </c>
      <c r="F917" s="4">
        <v>4260582</v>
      </c>
      <c r="G917" s="4">
        <v>97686387</v>
      </c>
      <c r="H917" s="4">
        <v>6591343</v>
      </c>
      <c r="I917" s="4">
        <v>91095044</v>
      </c>
      <c r="J917" s="4">
        <v>101946969</v>
      </c>
    </row>
    <row r="918" spans="1:10" x14ac:dyDescent="0.75">
      <c r="A918" t="s">
        <v>151</v>
      </c>
      <c r="B918">
        <v>2436</v>
      </c>
      <c r="C918" t="s">
        <v>93</v>
      </c>
      <c r="D918">
        <v>2640</v>
      </c>
      <c r="E918" t="s">
        <v>431</v>
      </c>
      <c r="F918" s="4">
        <v>365961</v>
      </c>
      <c r="G918" s="4">
        <v>16549795</v>
      </c>
      <c r="H918" s="4">
        <v>0</v>
      </c>
      <c r="I918" s="4">
        <v>16549795</v>
      </c>
      <c r="J918" s="4">
        <v>16915756</v>
      </c>
    </row>
    <row r="919" spans="1:10" x14ac:dyDescent="0.75">
      <c r="A919" t="s">
        <v>151</v>
      </c>
      <c r="B919">
        <v>2436</v>
      </c>
      <c r="C919" t="s">
        <v>93</v>
      </c>
      <c r="D919">
        <v>2330</v>
      </c>
      <c r="E919" t="s">
        <v>368</v>
      </c>
      <c r="F919" s="4">
        <v>4518674</v>
      </c>
      <c r="G919" s="4">
        <v>4038303</v>
      </c>
      <c r="H919" s="4">
        <v>1841318</v>
      </c>
      <c r="I919" s="4">
        <v>2196985</v>
      </c>
      <c r="J919" s="4">
        <v>8556977</v>
      </c>
    </row>
    <row r="920" spans="1:10" x14ac:dyDescent="0.75">
      <c r="A920" t="s">
        <v>151</v>
      </c>
      <c r="B920">
        <v>2436</v>
      </c>
      <c r="C920" t="s">
        <v>93</v>
      </c>
      <c r="D920">
        <v>2211</v>
      </c>
      <c r="E920" t="s">
        <v>367</v>
      </c>
      <c r="F920" s="4">
        <v>2935999</v>
      </c>
      <c r="G920" s="4">
        <v>3425231</v>
      </c>
      <c r="H920" s="4">
        <v>119078</v>
      </c>
      <c r="I920" s="4">
        <v>3306153</v>
      </c>
      <c r="J920" s="4">
        <v>6361230</v>
      </c>
    </row>
    <row r="921" spans="1:10" x14ac:dyDescent="0.75">
      <c r="A921" t="s">
        <v>151</v>
      </c>
      <c r="B921">
        <v>2436</v>
      </c>
      <c r="C921" t="s">
        <v>93</v>
      </c>
      <c r="D921">
        <v>2429</v>
      </c>
      <c r="E921" t="s">
        <v>375</v>
      </c>
      <c r="F921" s="4">
        <v>1069554</v>
      </c>
      <c r="G921" s="4">
        <v>4082584</v>
      </c>
      <c r="H921" s="4">
        <v>38494</v>
      </c>
      <c r="I921" s="4">
        <v>4044090</v>
      </c>
      <c r="J921" s="4">
        <v>5152138</v>
      </c>
    </row>
    <row r="922" spans="1:10" x14ac:dyDescent="0.75">
      <c r="A922" t="s">
        <v>151</v>
      </c>
      <c r="B922">
        <v>2436</v>
      </c>
      <c r="C922" t="s">
        <v>93</v>
      </c>
      <c r="D922">
        <v>6447</v>
      </c>
      <c r="E922" t="s">
        <v>475</v>
      </c>
      <c r="F922" s="4">
        <v>0</v>
      </c>
      <c r="G922" s="4">
        <v>3586659</v>
      </c>
      <c r="H922" s="4">
        <v>0</v>
      </c>
      <c r="I922" s="4">
        <v>3586659</v>
      </c>
      <c r="J922" s="4">
        <v>3586659</v>
      </c>
    </row>
    <row r="923" spans="1:10" x14ac:dyDescent="0.75">
      <c r="A923" t="s">
        <v>151</v>
      </c>
      <c r="B923">
        <v>2436</v>
      </c>
      <c r="C923" t="s">
        <v>93</v>
      </c>
      <c r="D923">
        <v>2340</v>
      </c>
      <c r="E923" t="s">
        <v>369</v>
      </c>
      <c r="F923" s="4">
        <v>1488311</v>
      </c>
      <c r="G923" s="4">
        <v>1298762</v>
      </c>
      <c r="H923" s="4">
        <v>1245777</v>
      </c>
      <c r="I923" s="4">
        <v>52985</v>
      </c>
      <c r="J923" s="4">
        <v>2787073</v>
      </c>
    </row>
    <row r="924" spans="1:10" x14ac:dyDescent="0.75">
      <c r="A924" t="s">
        <v>151</v>
      </c>
      <c r="B924">
        <v>2436</v>
      </c>
      <c r="C924" t="s">
        <v>93</v>
      </c>
      <c r="D924">
        <v>4410</v>
      </c>
      <c r="E924" t="s">
        <v>399</v>
      </c>
      <c r="F924" s="4">
        <v>538833</v>
      </c>
      <c r="G924" s="4">
        <v>2121682</v>
      </c>
      <c r="H924" s="4">
        <v>1928440</v>
      </c>
      <c r="I924" s="4">
        <v>193242</v>
      </c>
      <c r="J924" s="4">
        <v>2660515</v>
      </c>
    </row>
    <row r="925" spans="1:10" x14ac:dyDescent="0.75">
      <c r="A925" t="s">
        <v>151</v>
      </c>
      <c r="B925">
        <v>2436</v>
      </c>
      <c r="C925" t="s">
        <v>93</v>
      </c>
      <c r="D925">
        <v>3219</v>
      </c>
      <c r="E925" t="s">
        <v>378</v>
      </c>
      <c r="F925" s="4">
        <v>1508118</v>
      </c>
      <c r="G925" s="4">
        <v>1114076</v>
      </c>
      <c r="H925" s="4">
        <v>27157</v>
      </c>
      <c r="I925" s="4">
        <v>1086919</v>
      </c>
      <c r="J925" s="4">
        <v>2622194</v>
      </c>
    </row>
    <row r="926" spans="1:10" x14ac:dyDescent="0.75">
      <c r="A926" t="s">
        <v>151</v>
      </c>
      <c r="B926">
        <v>2436</v>
      </c>
      <c r="C926" t="s">
        <v>93</v>
      </c>
      <c r="D926">
        <v>2430</v>
      </c>
      <c r="E926" t="s">
        <v>376</v>
      </c>
      <c r="F926" s="4">
        <v>2338502</v>
      </c>
      <c r="G926" s="4">
        <v>15133</v>
      </c>
      <c r="H926" s="4">
        <v>15133</v>
      </c>
      <c r="I926" s="4">
        <v>0</v>
      </c>
      <c r="J926" s="4">
        <v>2353635</v>
      </c>
    </row>
    <row r="927" spans="1:10" x14ac:dyDescent="0.75">
      <c r="A927" t="s">
        <v>151</v>
      </c>
      <c r="B927">
        <v>2436</v>
      </c>
      <c r="C927" t="s">
        <v>93</v>
      </c>
      <c r="D927">
        <v>2221</v>
      </c>
      <c r="E927" t="s">
        <v>374</v>
      </c>
      <c r="F927" s="4">
        <v>1083370</v>
      </c>
      <c r="G927" s="4">
        <v>872685</v>
      </c>
      <c r="H927" s="4">
        <v>0</v>
      </c>
      <c r="I927" s="4">
        <v>872685</v>
      </c>
      <c r="J927" s="4">
        <v>1956055</v>
      </c>
    </row>
    <row r="928" spans="1:10" x14ac:dyDescent="0.75">
      <c r="A928" t="s">
        <v>151</v>
      </c>
      <c r="B928">
        <v>2436</v>
      </c>
      <c r="C928" t="s">
        <v>93</v>
      </c>
      <c r="D928">
        <v>3274</v>
      </c>
      <c r="E928" t="s">
        <v>438</v>
      </c>
      <c r="F928" s="4">
        <v>32466</v>
      </c>
      <c r="G928" s="4">
        <v>1370380</v>
      </c>
      <c r="H928" s="4">
        <v>0</v>
      </c>
      <c r="I928" s="4">
        <v>1370380</v>
      </c>
      <c r="J928" s="4">
        <v>1402846</v>
      </c>
    </row>
    <row r="929" spans="1:10" x14ac:dyDescent="0.75">
      <c r="A929" t="s">
        <v>151</v>
      </c>
      <c r="B929">
        <v>2436</v>
      </c>
      <c r="C929" t="s">
        <v>93</v>
      </c>
      <c r="D929">
        <v>5312</v>
      </c>
      <c r="E929" t="s">
        <v>416</v>
      </c>
      <c r="F929" s="4">
        <v>188297</v>
      </c>
      <c r="G929" s="4">
        <v>1130646</v>
      </c>
      <c r="H929" s="4">
        <v>266802</v>
      </c>
      <c r="I929" s="4">
        <v>863844</v>
      </c>
      <c r="J929" s="4">
        <v>1318943</v>
      </c>
    </row>
    <row r="930" spans="1:10" x14ac:dyDescent="0.75">
      <c r="A930" t="s">
        <v>151</v>
      </c>
      <c r="B930">
        <v>2436</v>
      </c>
      <c r="C930" t="s">
        <v>93</v>
      </c>
      <c r="D930">
        <v>4322</v>
      </c>
      <c r="E930" t="s">
        <v>398</v>
      </c>
      <c r="F930" s="4">
        <v>0</v>
      </c>
      <c r="G930" s="4">
        <v>1026391</v>
      </c>
      <c r="H930" s="4">
        <v>1026391</v>
      </c>
      <c r="I930" s="4">
        <v>0</v>
      </c>
      <c r="J930" s="4">
        <v>1026391</v>
      </c>
    </row>
    <row r="931" spans="1:10" x14ac:dyDescent="0.75">
      <c r="A931" t="s">
        <v>151</v>
      </c>
      <c r="B931">
        <v>2436</v>
      </c>
      <c r="C931" t="s">
        <v>93</v>
      </c>
      <c r="D931">
        <v>2990</v>
      </c>
      <c r="E931" t="s">
        <v>432</v>
      </c>
      <c r="F931" s="4">
        <v>590917</v>
      </c>
      <c r="G931" s="4">
        <v>48870</v>
      </c>
      <c r="H931" s="4">
        <v>48870</v>
      </c>
      <c r="I931" s="4">
        <v>0</v>
      </c>
      <c r="J931" s="4">
        <v>639787</v>
      </c>
    </row>
    <row r="932" spans="1:10" x14ac:dyDescent="0.75">
      <c r="A932" t="s">
        <v>151</v>
      </c>
      <c r="B932">
        <v>2436</v>
      </c>
      <c r="C932" t="s">
        <v>93</v>
      </c>
      <c r="D932">
        <v>3212</v>
      </c>
      <c r="E932" t="s">
        <v>409</v>
      </c>
      <c r="F932" s="4">
        <v>608734</v>
      </c>
      <c r="G932" s="4">
        <v>29574</v>
      </c>
      <c r="H932" s="4">
        <v>19335</v>
      </c>
      <c r="I932" s="4">
        <v>10239</v>
      </c>
      <c r="J932" s="4">
        <v>638308</v>
      </c>
    </row>
    <row r="933" spans="1:10" x14ac:dyDescent="0.75">
      <c r="A933" t="s">
        <v>151</v>
      </c>
      <c r="B933">
        <v>2436</v>
      </c>
      <c r="C933" t="s">
        <v>93</v>
      </c>
      <c r="D933">
        <v>5220</v>
      </c>
      <c r="E933" t="s">
        <v>401</v>
      </c>
      <c r="F933" s="4">
        <v>0</v>
      </c>
      <c r="G933" s="4">
        <v>612227</v>
      </c>
      <c r="H933" s="4">
        <v>612227</v>
      </c>
      <c r="I933" s="4">
        <v>0</v>
      </c>
      <c r="J933" s="4">
        <v>612227</v>
      </c>
    </row>
    <row r="934" spans="1:10" x14ac:dyDescent="0.75">
      <c r="A934" t="s">
        <v>151</v>
      </c>
      <c r="B934">
        <v>2436</v>
      </c>
      <c r="C934" t="s">
        <v>93</v>
      </c>
      <c r="D934">
        <v>4331</v>
      </c>
      <c r="E934" t="s">
        <v>390</v>
      </c>
      <c r="F934" s="4">
        <v>200781</v>
      </c>
      <c r="G934" s="4">
        <v>363902</v>
      </c>
      <c r="H934" s="4">
        <v>363902</v>
      </c>
      <c r="I934" s="4">
        <v>0</v>
      </c>
      <c r="J934" s="4">
        <v>564683</v>
      </c>
    </row>
    <row r="935" spans="1:10" x14ac:dyDescent="0.75">
      <c r="A935" t="s">
        <v>151</v>
      </c>
      <c r="B935">
        <v>2436</v>
      </c>
      <c r="C935" t="s">
        <v>93</v>
      </c>
      <c r="D935">
        <v>2540</v>
      </c>
      <c r="E935" t="s">
        <v>377</v>
      </c>
      <c r="F935" s="4">
        <v>9496</v>
      </c>
      <c r="G935" s="4">
        <v>536719</v>
      </c>
      <c r="H935" s="4">
        <v>8</v>
      </c>
      <c r="I935" s="4">
        <v>536711</v>
      </c>
      <c r="J935" s="4">
        <v>546215</v>
      </c>
    </row>
    <row r="936" spans="1:10" x14ac:dyDescent="0.75">
      <c r="A936" t="s">
        <v>151</v>
      </c>
      <c r="B936">
        <v>2436</v>
      </c>
      <c r="C936" t="s">
        <v>93</v>
      </c>
      <c r="D936">
        <v>4900</v>
      </c>
      <c r="E936" t="s">
        <v>383</v>
      </c>
      <c r="F936" s="4">
        <v>8442</v>
      </c>
      <c r="G936" s="4">
        <v>441628</v>
      </c>
      <c r="H936" s="4">
        <v>416095</v>
      </c>
      <c r="I936" s="4">
        <v>25533</v>
      </c>
      <c r="J936" s="4">
        <v>450070</v>
      </c>
    </row>
    <row r="937" spans="1:10" x14ac:dyDescent="0.75">
      <c r="A937" t="s">
        <v>151</v>
      </c>
      <c r="B937">
        <v>2436</v>
      </c>
      <c r="C937" t="s">
        <v>93</v>
      </c>
      <c r="D937">
        <v>3220</v>
      </c>
      <c r="E937" t="s">
        <v>370</v>
      </c>
      <c r="F937" s="4">
        <v>389976</v>
      </c>
      <c r="G937" s="4">
        <v>30424</v>
      </c>
      <c r="H937" s="4">
        <v>54</v>
      </c>
      <c r="I937" s="4">
        <v>30370</v>
      </c>
      <c r="J937" s="4">
        <v>420400</v>
      </c>
    </row>
    <row r="938" spans="1:10" x14ac:dyDescent="0.75">
      <c r="A938" t="s">
        <v>151</v>
      </c>
      <c r="B938">
        <v>2436</v>
      </c>
      <c r="C938" t="s">
        <v>93</v>
      </c>
      <c r="D938">
        <v>3286</v>
      </c>
      <c r="E938" t="s">
        <v>423</v>
      </c>
      <c r="F938" s="4">
        <v>0</v>
      </c>
      <c r="G938" s="4">
        <v>341204</v>
      </c>
      <c r="H938" s="4">
        <v>118</v>
      </c>
      <c r="I938" s="4">
        <v>341086</v>
      </c>
      <c r="J938" s="4">
        <v>341204</v>
      </c>
    </row>
    <row r="939" spans="1:10" x14ac:dyDescent="0.75">
      <c r="A939" t="s">
        <v>151</v>
      </c>
      <c r="B939">
        <v>2436</v>
      </c>
      <c r="C939" t="s">
        <v>93</v>
      </c>
      <c r="D939">
        <v>3110</v>
      </c>
      <c r="E939" t="s">
        <v>405</v>
      </c>
      <c r="F939" s="4">
        <v>193828</v>
      </c>
      <c r="G939" s="4">
        <v>146641</v>
      </c>
      <c r="H939" s="4">
        <v>146641</v>
      </c>
      <c r="I939" s="4">
        <v>0</v>
      </c>
      <c r="J939" s="4">
        <v>340469</v>
      </c>
    </row>
    <row r="940" spans="1:10" x14ac:dyDescent="0.75">
      <c r="A940" t="s">
        <v>151</v>
      </c>
      <c r="B940">
        <v>2436</v>
      </c>
      <c r="C940" t="s">
        <v>93</v>
      </c>
      <c r="D940">
        <v>7110</v>
      </c>
      <c r="E940" t="s">
        <v>371</v>
      </c>
      <c r="F940" s="4">
        <v>4233</v>
      </c>
      <c r="G940" s="4">
        <v>211959</v>
      </c>
      <c r="H940" s="4">
        <v>177693</v>
      </c>
      <c r="I940" s="4">
        <v>34266</v>
      </c>
      <c r="J940" s="4">
        <v>216192</v>
      </c>
    </row>
    <row r="941" spans="1:10" x14ac:dyDescent="0.75">
      <c r="A941" t="s">
        <v>151</v>
      </c>
      <c r="B941">
        <v>2436</v>
      </c>
      <c r="C941" t="s">
        <v>93</v>
      </c>
      <c r="D941">
        <v>3271</v>
      </c>
      <c r="E941" t="s">
        <v>437</v>
      </c>
      <c r="F941" s="4">
        <v>119264</v>
      </c>
      <c r="G941" s="4">
        <v>0</v>
      </c>
      <c r="H941" s="4">
        <v>0</v>
      </c>
      <c r="I941" s="4">
        <v>0</v>
      </c>
      <c r="J941" s="4">
        <v>119264</v>
      </c>
    </row>
    <row r="942" spans="1:10" x14ac:dyDescent="0.75">
      <c r="A942" t="s">
        <v>151</v>
      </c>
      <c r="B942">
        <v>2436</v>
      </c>
      <c r="C942" t="s">
        <v>93</v>
      </c>
      <c r="D942">
        <v>3211</v>
      </c>
      <c r="E942" t="s">
        <v>433</v>
      </c>
      <c r="F942" s="4">
        <v>114623</v>
      </c>
      <c r="G942" s="4">
        <v>3748</v>
      </c>
      <c r="H942" s="4">
        <v>3748</v>
      </c>
      <c r="I942" s="4">
        <v>0</v>
      </c>
      <c r="J942" s="4">
        <v>118371</v>
      </c>
    </row>
    <row r="943" spans="1:10" x14ac:dyDescent="0.75">
      <c r="A943" t="s">
        <v>151</v>
      </c>
      <c r="B943">
        <v>2436</v>
      </c>
      <c r="C943" t="s">
        <v>93</v>
      </c>
      <c r="D943">
        <v>5480</v>
      </c>
      <c r="E943" t="s">
        <v>386</v>
      </c>
      <c r="F943" s="4">
        <v>0</v>
      </c>
      <c r="G943" s="4">
        <v>95117</v>
      </c>
      <c r="H943" s="4">
        <v>82825</v>
      </c>
      <c r="I943" s="4">
        <v>12292</v>
      </c>
      <c r="J943" s="4">
        <v>95117</v>
      </c>
    </row>
    <row r="944" spans="1:10" x14ac:dyDescent="0.75">
      <c r="A944" t="s">
        <v>151</v>
      </c>
      <c r="B944">
        <v>2436</v>
      </c>
      <c r="C944" t="s">
        <v>93</v>
      </c>
      <c r="D944">
        <v>2350</v>
      </c>
      <c r="E944" t="s">
        <v>404</v>
      </c>
      <c r="F944" s="4">
        <v>10088</v>
      </c>
      <c r="G944" s="4">
        <v>67214</v>
      </c>
      <c r="H944" s="4">
        <v>0</v>
      </c>
      <c r="I944" s="4">
        <v>67214</v>
      </c>
      <c r="J944" s="4">
        <v>77302</v>
      </c>
    </row>
    <row r="945" spans="1:10" x14ac:dyDescent="0.75">
      <c r="A945" t="s">
        <v>151</v>
      </c>
      <c r="B945">
        <v>2436</v>
      </c>
      <c r="C945" t="s">
        <v>93</v>
      </c>
      <c r="D945">
        <v>7230</v>
      </c>
      <c r="E945" t="s">
        <v>387</v>
      </c>
      <c r="F945" s="4">
        <v>0</v>
      </c>
      <c r="G945" s="4">
        <v>75366</v>
      </c>
      <c r="H945" s="4">
        <v>75366</v>
      </c>
      <c r="I945" s="4">
        <v>0</v>
      </c>
      <c r="J945" s="4">
        <v>75366</v>
      </c>
    </row>
    <row r="946" spans="1:10" x14ac:dyDescent="0.75">
      <c r="A946" t="s">
        <v>151</v>
      </c>
      <c r="B946">
        <v>2436</v>
      </c>
      <c r="C946" t="s">
        <v>93</v>
      </c>
      <c r="D946">
        <v>7900</v>
      </c>
      <c r="E946" t="s">
        <v>388</v>
      </c>
      <c r="F946" s="4">
        <v>14793</v>
      </c>
      <c r="G946" s="4">
        <v>55950</v>
      </c>
      <c r="H946" s="4">
        <v>52633</v>
      </c>
      <c r="I946" s="4">
        <v>3317</v>
      </c>
      <c r="J946" s="4">
        <v>70743</v>
      </c>
    </row>
    <row r="947" spans="1:10" x14ac:dyDescent="0.75">
      <c r="A947" t="s">
        <v>151</v>
      </c>
      <c r="B947">
        <v>2436</v>
      </c>
      <c r="C947" t="s">
        <v>93</v>
      </c>
      <c r="D947">
        <v>7120</v>
      </c>
      <c r="E947" t="s">
        <v>499</v>
      </c>
      <c r="F947" s="4">
        <v>0</v>
      </c>
      <c r="G947" s="4">
        <v>57275</v>
      </c>
      <c r="H947" s="4">
        <v>57275</v>
      </c>
      <c r="I947" s="4">
        <v>0</v>
      </c>
      <c r="J947" s="4">
        <v>57275</v>
      </c>
    </row>
    <row r="948" spans="1:10" x14ac:dyDescent="0.75">
      <c r="A948" t="s">
        <v>151</v>
      </c>
      <c r="B948">
        <v>2436</v>
      </c>
      <c r="C948" t="s">
        <v>93</v>
      </c>
      <c r="D948">
        <v>3230</v>
      </c>
      <c r="E948" t="s">
        <v>434</v>
      </c>
      <c r="F948" s="4">
        <v>3000</v>
      </c>
      <c r="G948" s="4">
        <v>46437</v>
      </c>
      <c r="H948" s="4">
        <v>46437</v>
      </c>
      <c r="I948" s="4">
        <v>0</v>
      </c>
      <c r="J948" s="4">
        <v>49437</v>
      </c>
    </row>
    <row r="949" spans="1:10" x14ac:dyDescent="0.75">
      <c r="A949" t="s">
        <v>151</v>
      </c>
      <c r="B949">
        <v>2436</v>
      </c>
      <c r="C949" t="s">
        <v>93</v>
      </c>
      <c r="D949">
        <v>5190</v>
      </c>
      <c r="E949" t="s">
        <v>462</v>
      </c>
      <c r="F949" s="4">
        <v>0</v>
      </c>
      <c r="G949" s="4">
        <v>49274</v>
      </c>
      <c r="H949" s="4">
        <v>7674</v>
      </c>
      <c r="I949" s="4">
        <v>41600</v>
      </c>
      <c r="J949" s="4">
        <v>49274</v>
      </c>
    </row>
    <row r="950" spans="1:10" x14ac:dyDescent="0.75">
      <c r="A950" t="s">
        <v>151</v>
      </c>
      <c r="B950">
        <v>2436</v>
      </c>
      <c r="C950" t="s">
        <v>93</v>
      </c>
      <c r="D950">
        <v>5330</v>
      </c>
      <c r="E950" t="s">
        <v>385</v>
      </c>
      <c r="F950" s="4">
        <v>0</v>
      </c>
      <c r="G950" s="4">
        <v>46274</v>
      </c>
      <c r="H950" s="4">
        <v>46274</v>
      </c>
      <c r="I950" s="4">
        <v>0</v>
      </c>
      <c r="J950" s="4">
        <v>46274</v>
      </c>
    </row>
    <row r="951" spans="1:10" x14ac:dyDescent="0.75">
      <c r="A951" t="s">
        <v>151</v>
      </c>
      <c r="B951">
        <v>2436</v>
      </c>
      <c r="C951" t="s">
        <v>93</v>
      </c>
      <c r="D951">
        <v>9900</v>
      </c>
      <c r="E951" t="s">
        <v>389</v>
      </c>
      <c r="F951" s="4">
        <v>0</v>
      </c>
      <c r="G951" s="4">
        <v>41732</v>
      </c>
      <c r="H951" s="4">
        <v>115</v>
      </c>
      <c r="I951" s="4">
        <v>41617</v>
      </c>
      <c r="J951" s="4">
        <v>41732</v>
      </c>
    </row>
    <row r="952" spans="1:10" x14ac:dyDescent="0.75">
      <c r="A952" t="s">
        <v>151</v>
      </c>
      <c r="B952">
        <v>2436</v>
      </c>
      <c r="C952" t="s">
        <v>93</v>
      </c>
      <c r="D952">
        <v>3276</v>
      </c>
      <c r="E952" t="s">
        <v>379</v>
      </c>
      <c r="F952" s="4">
        <v>5566</v>
      </c>
      <c r="G952" s="4">
        <v>27329</v>
      </c>
      <c r="H952" s="4">
        <v>27329</v>
      </c>
      <c r="I952" s="4">
        <v>0</v>
      </c>
      <c r="J952" s="4">
        <v>32895</v>
      </c>
    </row>
    <row r="953" spans="1:10" x14ac:dyDescent="0.75">
      <c r="A953" t="s">
        <v>151</v>
      </c>
      <c r="B953">
        <v>2436</v>
      </c>
      <c r="C953" t="s">
        <v>93</v>
      </c>
      <c r="D953">
        <v>5370</v>
      </c>
      <c r="E953" t="s">
        <v>466</v>
      </c>
      <c r="F953" s="4">
        <v>0</v>
      </c>
      <c r="G953" s="4">
        <v>30543</v>
      </c>
      <c r="H953" s="4">
        <v>30543</v>
      </c>
      <c r="I953" s="4">
        <v>0</v>
      </c>
      <c r="J953" s="4">
        <v>30543</v>
      </c>
    </row>
    <row r="954" spans="1:10" x14ac:dyDescent="0.75">
      <c r="A954" t="s">
        <v>151</v>
      </c>
      <c r="B954">
        <v>2436</v>
      </c>
      <c r="C954" t="s">
        <v>93</v>
      </c>
      <c r="D954">
        <v>1100</v>
      </c>
      <c r="E954" t="s">
        <v>397</v>
      </c>
      <c r="F954" s="4">
        <v>0</v>
      </c>
      <c r="G954" s="4">
        <v>26785</v>
      </c>
      <c r="H954" s="4">
        <v>26785</v>
      </c>
      <c r="I954" s="4">
        <v>0</v>
      </c>
      <c r="J954" s="4">
        <v>26785</v>
      </c>
    </row>
    <row r="955" spans="1:10" x14ac:dyDescent="0.75">
      <c r="A955" t="s">
        <v>151</v>
      </c>
      <c r="B955">
        <v>2436</v>
      </c>
      <c r="C955" t="s">
        <v>93</v>
      </c>
      <c r="D955">
        <v>3275</v>
      </c>
      <c r="E955" t="s">
        <v>412</v>
      </c>
      <c r="F955" s="4">
        <v>1656</v>
      </c>
      <c r="G955" s="4">
        <v>21639</v>
      </c>
      <c r="H955" s="4">
        <v>21639</v>
      </c>
      <c r="I955" s="4">
        <v>0</v>
      </c>
      <c r="J955" s="4">
        <v>23295</v>
      </c>
    </row>
    <row r="956" spans="1:10" x14ac:dyDescent="0.75">
      <c r="A956" t="s">
        <v>151</v>
      </c>
      <c r="B956">
        <v>2436</v>
      </c>
      <c r="C956" t="s">
        <v>93</v>
      </c>
      <c r="D956">
        <v>7210</v>
      </c>
      <c r="E956" t="s">
        <v>426</v>
      </c>
      <c r="F956" s="4">
        <v>0</v>
      </c>
      <c r="G956" s="4">
        <v>17470</v>
      </c>
      <c r="H956" s="4">
        <v>10688</v>
      </c>
      <c r="I956" s="4">
        <v>6782</v>
      </c>
      <c r="J956" s="4">
        <v>17470</v>
      </c>
    </row>
    <row r="957" spans="1:10" x14ac:dyDescent="0.75">
      <c r="A957" t="s">
        <v>151</v>
      </c>
      <c r="B957">
        <v>2436</v>
      </c>
      <c r="C957" t="s">
        <v>93</v>
      </c>
      <c r="D957">
        <v>5360</v>
      </c>
      <c r="E957" t="s">
        <v>465</v>
      </c>
      <c r="F957" s="4">
        <v>0</v>
      </c>
      <c r="G957" s="4">
        <v>14566</v>
      </c>
      <c r="H957" s="4">
        <v>14566</v>
      </c>
      <c r="I957" s="4">
        <v>0</v>
      </c>
      <c r="J957" s="4">
        <v>14566</v>
      </c>
    </row>
    <row r="958" spans="1:10" x14ac:dyDescent="0.75">
      <c r="A958" t="s">
        <v>151</v>
      </c>
      <c r="B958">
        <v>2436</v>
      </c>
      <c r="C958" t="s">
        <v>93</v>
      </c>
      <c r="D958">
        <v>3285</v>
      </c>
      <c r="E958" t="s">
        <v>443</v>
      </c>
      <c r="F958" s="4">
        <v>0</v>
      </c>
      <c r="G958" s="4">
        <v>14508</v>
      </c>
      <c r="H958" s="4">
        <v>208</v>
      </c>
      <c r="I958" s="4">
        <v>14300</v>
      </c>
      <c r="J958" s="4">
        <v>14508</v>
      </c>
    </row>
    <row r="959" spans="1:10" x14ac:dyDescent="0.75">
      <c r="A959" t="s">
        <v>151</v>
      </c>
      <c r="B959">
        <v>2436</v>
      </c>
      <c r="C959" t="s">
        <v>93</v>
      </c>
      <c r="D959">
        <v>7500</v>
      </c>
      <c r="E959" t="s">
        <v>427</v>
      </c>
      <c r="F959" s="4">
        <v>0</v>
      </c>
      <c r="G959" s="4">
        <v>13855</v>
      </c>
      <c r="H959" s="4">
        <v>343</v>
      </c>
      <c r="I959" s="4">
        <v>13512</v>
      </c>
      <c r="J959" s="4">
        <v>13855</v>
      </c>
    </row>
    <row r="960" spans="1:10" x14ac:dyDescent="0.75">
      <c r="A960" t="s">
        <v>151</v>
      </c>
      <c r="B960">
        <v>2436</v>
      </c>
      <c r="C960" t="s">
        <v>93</v>
      </c>
      <c r="D960">
        <v>4650</v>
      </c>
      <c r="E960" t="s">
        <v>457</v>
      </c>
      <c r="F960" s="4">
        <v>0</v>
      </c>
      <c r="G960" s="4">
        <v>13006</v>
      </c>
      <c r="H960" s="4">
        <v>13006</v>
      </c>
      <c r="I960" s="4">
        <v>0</v>
      </c>
      <c r="J960" s="4">
        <v>13006</v>
      </c>
    </row>
    <row r="961" spans="1:10" x14ac:dyDescent="0.75">
      <c r="A961" t="s">
        <v>151</v>
      </c>
      <c r="B961">
        <v>2436</v>
      </c>
      <c r="C961" t="s">
        <v>93</v>
      </c>
      <c r="D961">
        <v>5422</v>
      </c>
      <c r="E961" t="s">
        <v>468</v>
      </c>
      <c r="F961" s="4">
        <v>0</v>
      </c>
      <c r="G961" s="4">
        <v>10655</v>
      </c>
      <c r="H961" s="4">
        <v>10655</v>
      </c>
      <c r="I961" s="4">
        <v>0</v>
      </c>
      <c r="J961" s="4">
        <v>10655</v>
      </c>
    </row>
    <row r="962" spans="1:10" x14ac:dyDescent="0.75">
      <c r="A962" t="s">
        <v>151</v>
      </c>
      <c r="B962">
        <v>2436</v>
      </c>
      <c r="C962" t="s">
        <v>93</v>
      </c>
      <c r="D962">
        <v>7300</v>
      </c>
      <c r="E962" t="s">
        <v>501</v>
      </c>
      <c r="F962" s="4">
        <v>0</v>
      </c>
      <c r="G962" s="4">
        <v>7773</v>
      </c>
      <c r="H962" s="4">
        <v>7773</v>
      </c>
      <c r="I962" s="4">
        <v>0</v>
      </c>
      <c r="J962" s="4">
        <v>7773</v>
      </c>
    </row>
    <row r="963" spans="1:10" x14ac:dyDescent="0.75">
      <c r="A963" t="s">
        <v>151</v>
      </c>
      <c r="B963">
        <v>2436</v>
      </c>
      <c r="C963" t="s">
        <v>93</v>
      </c>
      <c r="D963">
        <v>3299</v>
      </c>
      <c r="E963" t="s">
        <v>448</v>
      </c>
      <c r="F963" s="4">
        <v>0</v>
      </c>
      <c r="G963" s="4">
        <v>6978</v>
      </c>
      <c r="H963" s="4">
        <v>2</v>
      </c>
      <c r="I963" s="4">
        <v>6976</v>
      </c>
      <c r="J963" s="4">
        <v>6978</v>
      </c>
    </row>
    <row r="964" spans="1:10" x14ac:dyDescent="0.75">
      <c r="A964" t="s">
        <v>151</v>
      </c>
      <c r="B964">
        <v>2436</v>
      </c>
      <c r="C964" t="s">
        <v>93</v>
      </c>
      <c r="D964">
        <v>7600</v>
      </c>
      <c r="E964" t="s">
        <v>503</v>
      </c>
      <c r="F964" s="4">
        <v>0</v>
      </c>
      <c r="G964" s="4">
        <v>5476</v>
      </c>
      <c r="H964" s="4">
        <v>5476</v>
      </c>
      <c r="I964" s="4">
        <v>0</v>
      </c>
      <c r="J964" s="4">
        <v>5476</v>
      </c>
    </row>
    <row r="965" spans="1:10" x14ac:dyDescent="0.75">
      <c r="A965" t="s">
        <v>151</v>
      </c>
      <c r="B965">
        <v>2436</v>
      </c>
      <c r="C965" t="s">
        <v>93</v>
      </c>
      <c r="D965">
        <v>3240</v>
      </c>
      <c r="E965" t="s">
        <v>410</v>
      </c>
      <c r="F965" s="4">
        <v>3000</v>
      </c>
      <c r="G965" s="4">
        <v>0</v>
      </c>
      <c r="H965" s="4">
        <v>0</v>
      </c>
      <c r="I965" s="4">
        <v>0</v>
      </c>
      <c r="J965" s="4">
        <v>3000</v>
      </c>
    </row>
    <row r="966" spans="1:10" x14ac:dyDescent="0.75">
      <c r="A966" t="s">
        <v>151</v>
      </c>
      <c r="B966">
        <v>2436</v>
      </c>
      <c r="C966" t="s">
        <v>93</v>
      </c>
      <c r="D966">
        <v>3260</v>
      </c>
      <c r="E966" t="s">
        <v>436</v>
      </c>
      <c r="F966" s="4">
        <v>0</v>
      </c>
      <c r="G966" s="4">
        <v>2367</v>
      </c>
      <c r="H966" s="4">
        <v>8</v>
      </c>
      <c r="I966" s="4">
        <v>2359</v>
      </c>
      <c r="J966" s="4">
        <v>2367</v>
      </c>
    </row>
    <row r="967" spans="1:10" x14ac:dyDescent="0.75">
      <c r="A967" t="s">
        <v>151</v>
      </c>
      <c r="B967">
        <v>2436</v>
      </c>
      <c r="C967" t="s">
        <v>93</v>
      </c>
      <c r="D967">
        <v>3297</v>
      </c>
      <c r="E967" t="s">
        <v>446</v>
      </c>
      <c r="F967" s="4">
        <v>1867</v>
      </c>
      <c r="G967" s="4">
        <v>0</v>
      </c>
      <c r="H967" s="4">
        <v>0</v>
      </c>
      <c r="I967" s="4">
        <v>0</v>
      </c>
      <c r="J967" s="4">
        <v>1867</v>
      </c>
    </row>
    <row r="968" spans="1:10" x14ac:dyDescent="0.75">
      <c r="A968" t="s">
        <v>151</v>
      </c>
      <c r="B968">
        <v>2436</v>
      </c>
      <c r="C968" t="s">
        <v>93</v>
      </c>
      <c r="D968">
        <v>4420</v>
      </c>
      <c r="E968" t="s">
        <v>381</v>
      </c>
      <c r="F968" s="4">
        <v>1773</v>
      </c>
      <c r="G968" s="4">
        <v>0</v>
      </c>
      <c r="H968" s="4">
        <v>0</v>
      </c>
      <c r="I968" s="4">
        <v>0</v>
      </c>
      <c r="J968" s="4">
        <v>1773</v>
      </c>
    </row>
    <row r="969" spans="1:10" x14ac:dyDescent="0.75">
      <c r="A969" t="s">
        <v>151</v>
      </c>
      <c r="B969">
        <v>2436</v>
      </c>
      <c r="C969" t="s">
        <v>93</v>
      </c>
      <c r="D969">
        <v>3190</v>
      </c>
      <c r="E969" t="s">
        <v>408</v>
      </c>
      <c r="F969" s="4">
        <v>1674</v>
      </c>
      <c r="G969" s="4">
        <v>0</v>
      </c>
      <c r="H969" s="4">
        <v>0</v>
      </c>
      <c r="I969" s="4">
        <v>0</v>
      </c>
      <c r="J969" s="4">
        <v>1674</v>
      </c>
    </row>
    <row r="970" spans="1:10" x14ac:dyDescent="0.75">
      <c r="A970" t="s">
        <v>151</v>
      </c>
      <c r="B970">
        <v>2436</v>
      </c>
      <c r="C970" t="s">
        <v>93</v>
      </c>
      <c r="D970">
        <v>7400</v>
      </c>
      <c r="E970" t="s">
        <v>502</v>
      </c>
      <c r="F970" s="4">
        <v>0</v>
      </c>
      <c r="G970" s="4">
        <v>1035</v>
      </c>
      <c r="H970" s="4">
        <v>1035</v>
      </c>
      <c r="I970" s="4">
        <v>0</v>
      </c>
      <c r="J970" s="4">
        <v>1035</v>
      </c>
    </row>
    <row r="971" spans="1:10" x14ac:dyDescent="0.75">
      <c r="A971" t="s">
        <v>151</v>
      </c>
      <c r="B971">
        <v>2436</v>
      </c>
      <c r="C971" t="s">
        <v>93</v>
      </c>
      <c r="D971">
        <v>7220</v>
      </c>
      <c r="E971" t="s">
        <v>500</v>
      </c>
      <c r="F971" s="4">
        <v>0</v>
      </c>
      <c r="G971" s="4">
        <v>548</v>
      </c>
      <c r="H971" s="4">
        <v>529</v>
      </c>
      <c r="I971" s="4">
        <v>19</v>
      </c>
      <c r="J971" s="4">
        <v>548</v>
      </c>
    </row>
    <row r="972" spans="1:10" x14ac:dyDescent="0.75">
      <c r="A972" t="s">
        <v>151</v>
      </c>
      <c r="B972">
        <v>2436</v>
      </c>
      <c r="C972" t="s">
        <v>93</v>
      </c>
      <c r="D972">
        <v>6134</v>
      </c>
      <c r="E972" t="s">
        <v>470</v>
      </c>
      <c r="F972" s="4">
        <v>0</v>
      </c>
      <c r="G972" s="4">
        <v>433</v>
      </c>
      <c r="H972" s="4">
        <v>433</v>
      </c>
      <c r="I972" s="4">
        <v>0</v>
      </c>
      <c r="J972" s="4">
        <v>433</v>
      </c>
    </row>
    <row r="973" spans="1:10" x14ac:dyDescent="0.75">
      <c r="A973" t="s">
        <v>151</v>
      </c>
      <c r="B973">
        <v>2436</v>
      </c>
      <c r="C973" t="s">
        <v>93</v>
      </c>
      <c r="D973">
        <v>6889</v>
      </c>
      <c r="E973" t="s">
        <v>420</v>
      </c>
      <c r="F973" s="4">
        <v>0</v>
      </c>
      <c r="G973" s="4">
        <v>241</v>
      </c>
      <c r="H973" s="4">
        <v>241</v>
      </c>
      <c r="I973" s="4">
        <v>0</v>
      </c>
      <c r="J973" s="4">
        <v>241</v>
      </c>
    </row>
    <row r="974" spans="1:10" x14ac:dyDescent="0.75">
      <c r="A974" t="s">
        <v>151</v>
      </c>
      <c r="B974">
        <v>2436</v>
      </c>
      <c r="C974" t="s">
        <v>93</v>
      </c>
      <c r="D974">
        <v>6885</v>
      </c>
      <c r="E974" t="s">
        <v>493</v>
      </c>
      <c r="F974" s="4">
        <v>0</v>
      </c>
      <c r="G974" s="4">
        <v>139</v>
      </c>
      <c r="H974" s="4">
        <v>139</v>
      </c>
      <c r="I974" s="4">
        <v>0</v>
      </c>
      <c r="J974" s="4">
        <v>139</v>
      </c>
    </row>
    <row r="975" spans="1:10" x14ac:dyDescent="0.75">
      <c r="A975" t="s">
        <v>151</v>
      </c>
      <c r="B975">
        <v>2436</v>
      </c>
      <c r="C975" t="s">
        <v>93</v>
      </c>
      <c r="D975">
        <v>6746</v>
      </c>
      <c r="E975" t="s">
        <v>477</v>
      </c>
      <c r="F975" s="4">
        <v>0</v>
      </c>
      <c r="G975" s="4">
        <v>123</v>
      </c>
      <c r="H975" s="4">
        <v>123</v>
      </c>
      <c r="I975" s="4">
        <v>0</v>
      </c>
      <c r="J975" s="4">
        <v>123</v>
      </c>
    </row>
    <row r="976" spans="1:10" x14ac:dyDescent="0.75">
      <c r="A976" t="s">
        <v>151</v>
      </c>
      <c r="B976">
        <v>2436</v>
      </c>
      <c r="C976" t="s">
        <v>93</v>
      </c>
      <c r="D976">
        <v>5290</v>
      </c>
      <c r="E976" t="s">
        <v>415</v>
      </c>
      <c r="F976" s="4">
        <v>0</v>
      </c>
      <c r="G976" s="4">
        <v>87</v>
      </c>
      <c r="H976" s="4">
        <v>87</v>
      </c>
      <c r="I976" s="4">
        <v>0</v>
      </c>
      <c r="J976" s="4">
        <v>87</v>
      </c>
    </row>
    <row r="977" spans="1:10" x14ac:dyDescent="0.75">
      <c r="A977" t="s">
        <v>151</v>
      </c>
      <c r="B977">
        <v>2436</v>
      </c>
      <c r="C977" t="s">
        <v>93</v>
      </c>
      <c r="D977">
        <v>5429</v>
      </c>
      <c r="E977" t="s">
        <v>429</v>
      </c>
      <c r="F977" s="4">
        <v>0</v>
      </c>
      <c r="G977" s="4">
        <v>76</v>
      </c>
      <c r="H977" s="4">
        <v>76</v>
      </c>
      <c r="I977" s="4">
        <v>0</v>
      </c>
      <c r="J977" s="4">
        <v>76</v>
      </c>
    </row>
    <row r="978" spans="1:10" x14ac:dyDescent="0.75">
      <c r="A978" t="s">
        <v>151</v>
      </c>
      <c r="B978">
        <v>2436</v>
      </c>
      <c r="C978" t="s">
        <v>93</v>
      </c>
      <c r="D978">
        <v>6654</v>
      </c>
      <c r="E978" t="s">
        <v>419</v>
      </c>
      <c r="F978" s="4">
        <v>0</v>
      </c>
      <c r="G978" s="4">
        <v>40</v>
      </c>
      <c r="H978" s="4">
        <v>40</v>
      </c>
      <c r="I978" s="4">
        <v>0</v>
      </c>
      <c r="J978" s="4">
        <v>40</v>
      </c>
    </row>
    <row r="979" spans="1:10" x14ac:dyDescent="0.75">
      <c r="A979" t="s">
        <v>151</v>
      </c>
      <c r="B979">
        <v>2436</v>
      </c>
      <c r="C979" t="s">
        <v>93</v>
      </c>
      <c r="D979">
        <v>4310</v>
      </c>
      <c r="E979" t="s">
        <v>453</v>
      </c>
      <c r="F979" s="4">
        <v>0</v>
      </c>
      <c r="G979" s="4">
        <v>25</v>
      </c>
      <c r="H979" s="4">
        <v>25</v>
      </c>
      <c r="I979" s="4">
        <v>0</v>
      </c>
      <c r="J979" s="4">
        <v>25</v>
      </c>
    </row>
    <row r="980" spans="1:10" x14ac:dyDescent="0.75">
      <c r="A980" t="s">
        <v>151</v>
      </c>
      <c r="B980">
        <v>2436</v>
      </c>
      <c r="C980" t="s">
        <v>93</v>
      </c>
      <c r="D980">
        <v>3282</v>
      </c>
      <c r="E980" t="s">
        <v>440</v>
      </c>
      <c r="F980" s="4">
        <v>0</v>
      </c>
      <c r="G980" s="4">
        <v>24</v>
      </c>
      <c r="H980" s="4">
        <v>24</v>
      </c>
      <c r="I980" s="4">
        <v>0</v>
      </c>
      <c r="J980" s="4">
        <v>24</v>
      </c>
    </row>
    <row r="981" spans="1:10" x14ac:dyDescent="0.75">
      <c r="A981" t="s">
        <v>151</v>
      </c>
      <c r="B981">
        <v>2436</v>
      </c>
      <c r="C981" t="s">
        <v>93</v>
      </c>
      <c r="D981">
        <v>3293</v>
      </c>
      <c r="E981" t="s">
        <v>445</v>
      </c>
      <c r="F981" s="4">
        <v>0</v>
      </c>
      <c r="G981" s="4">
        <v>18</v>
      </c>
      <c r="H981" s="4">
        <v>18</v>
      </c>
      <c r="I981" s="4">
        <v>0</v>
      </c>
      <c r="J981" s="4">
        <v>18</v>
      </c>
    </row>
    <row r="982" spans="1:10" x14ac:dyDescent="0.75">
      <c r="A982" t="s">
        <v>151</v>
      </c>
      <c r="B982">
        <v>2436</v>
      </c>
      <c r="C982" t="s">
        <v>93</v>
      </c>
      <c r="D982">
        <v>5240</v>
      </c>
      <c r="E982" t="s">
        <v>464</v>
      </c>
      <c r="F982" s="4">
        <v>0</v>
      </c>
      <c r="G982" s="4">
        <v>9</v>
      </c>
      <c r="H982" s="4">
        <v>9</v>
      </c>
      <c r="I982" s="4">
        <v>0</v>
      </c>
      <c r="J982" s="4">
        <v>9</v>
      </c>
    </row>
    <row r="983" spans="1:10" x14ac:dyDescent="0.75">
      <c r="A983" t="s">
        <v>151</v>
      </c>
      <c r="B983">
        <v>2436</v>
      </c>
      <c r="C983" t="s">
        <v>93</v>
      </c>
      <c r="D983">
        <v>3284</v>
      </c>
      <c r="E983" t="s">
        <v>442</v>
      </c>
      <c r="F983" s="4">
        <v>0</v>
      </c>
      <c r="G983" s="4">
        <v>7</v>
      </c>
      <c r="H983" s="4">
        <v>7</v>
      </c>
      <c r="I983" s="4">
        <v>0</v>
      </c>
      <c r="J983" s="4">
        <v>7</v>
      </c>
    </row>
    <row r="984" spans="1:10" x14ac:dyDescent="0.75">
      <c r="A984" t="s">
        <v>151</v>
      </c>
      <c r="B984">
        <v>2436</v>
      </c>
      <c r="C984" t="s">
        <v>93</v>
      </c>
      <c r="D984">
        <v>6822</v>
      </c>
      <c r="E984" t="s">
        <v>482</v>
      </c>
      <c r="F984" s="4">
        <v>0</v>
      </c>
      <c r="G984" s="4">
        <v>7</v>
      </c>
      <c r="H984" s="4">
        <v>7</v>
      </c>
      <c r="I984" s="4">
        <v>0</v>
      </c>
      <c r="J984" s="4">
        <v>7</v>
      </c>
    </row>
    <row r="985" spans="1:10" x14ac:dyDescent="0.75">
      <c r="A985" t="s">
        <v>151</v>
      </c>
      <c r="B985">
        <v>2436</v>
      </c>
      <c r="C985" t="s">
        <v>93</v>
      </c>
      <c r="D985">
        <v>3250</v>
      </c>
      <c r="E985" t="s">
        <v>435</v>
      </c>
      <c r="F985" s="4">
        <v>0</v>
      </c>
      <c r="G985" s="4">
        <v>4</v>
      </c>
      <c r="H985" s="4">
        <v>4</v>
      </c>
      <c r="I985" s="4">
        <v>0</v>
      </c>
      <c r="J985" s="4">
        <v>4</v>
      </c>
    </row>
    <row r="986" spans="1:10" x14ac:dyDescent="0.75">
      <c r="A986" t="s">
        <v>151</v>
      </c>
      <c r="B986">
        <v>4869</v>
      </c>
      <c r="C986" t="s">
        <v>319</v>
      </c>
      <c r="D986">
        <v>2330</v>
      </c>
      <c r="E986" t="s">
        <v>368</v>
      </c>
      <c r="F986" s="4">
        <v>0</v>
      </c>
      <c r="G986" s="4">
        <v>35223</v>
      </c>
      <c r="H986" s="4">
        <v>35223</v>
      </c>
      <c r="I986" s="4">
        <v>0</v>
      </c>
      <c r="J986" s="4">
        <v>35223</v>
      </c>
    </row>
    <row r="987" spans="1:10" x14ac:dyDescent="0.75">
      <c r="A987" t="s">
        <v>151</v>
      </c>
      <c r="B987">
        <v>4869</v>
      </c>
      <c r="C987" t="s">
        <v>319</v>
      </c>
      <c r="D987">
        <v>2211</v>
      </c>
      <c r="E987" t="s">
        <v>367</v>
      </c>
      <c r="F987" s="4">
        <v>0</v>
      </c>
      <c r="G987" s="4">
        <v>14232</v>
      </c>
      <c r="H987" s="4">
        <v>14232</v>
      </c>
      <c r="I987" s="4">
        <v>0</v>
      </c>
      <c r="J987" s="4">
        <v>14232</v>
      </c>
    </row>
    <row r="988" spans="1:10" x14ac:dyDescent="0.75">
      <c r="A988" t="s">
        <v>151</v>
      </c>
      <c r="B988">
        <v>4869</v>
      </c>
      <c r="C988" t="s">
        <v>319</v>
      </c>
      <c r="D988">
        <v>2221</v>
      </c>
      <c r="E988" t="s">
        <v>374</v>
      </c>
      <c r="F988" s="4">
        <v>0</v>
      </c>
      <c r="G988" s="4">
        <v>12988</v>
      </c>
      <c r="H988" s="4">
        <v>12988</v>
      </c>
      <c r="I988" s="4">
        <v>0</v>
      </c>
      <c r="J988" s="4">
        <v>12988</v>
      </c>
    </row>
    <row r="989" spans="1:10" x14ac:dyDescent="0.75">
      <c r="A989" t="s">
        <v>160</v>
      </c>
      <c r="B989">
        <v>3321</v>
      </c>
      <c r="C989" t="s">
        <v>175</v>
      </c>
      <c r="D989">
        <v>4410</v>
      </c>
      <c r="E989" t="s">
        <v>399</v>
      </c>
      <c r="F989" s="4">
        <v>3193641</v>
      </c>
      <c r="G989" s="4">
        <v>0</v>
      </c>
      <c r="H989" s="4">
        <v>0</v>
      </c>
      <c r="I989" s="4">
        <v>0</v>
      </c>
      <c r="J989" s="4">
        <v>3193641</v>
      </c>
    </row>
    <row r="990" spans="1:10" x14ac:dyDescent="0.75">
      <c r="A990" t="s">
        <v>160</v>
      </c>
      <c r="B990">
        <v>3321</v>
      </c>
      <c r="C990" t="s">
        <v>175</v>
      </c>
      <c r="D990">
        <v>4322</v>
      </c>
      <c r="E990" t="s">
        <v>398</v>
      </c>
      <c r="F990" s="4">
        <v>1690730</v>
      </c>
      <c r="G990" s="4">
        <v>199970</v>
      </c>
      <c r="H990" s="4">
        <v>142947</v>
      </c>
      <c r="I990" s="4">
        <v>57023</v>
      </c>
      <c r="J990" s="4">
        <v>1890700</v>
      </c>
    </row>
    <row r="991" spans="1:10" x14ac:dyDescent="0.75">
      <c r="A991" t="s">
        <v>160</v>
      </c>
      <c r="B991">
        <v>3321</v>
      </c>
      <c r="C991" t="s">
        <v>175</v>
      </c>
      <c r="D991">
        <v>1100</v>
      </c>
      <c r="E991" t="s">
        <v>397</v>
      </c>
      <c r="F991" s="4">
        <v>1148751</v>
      </c>
      <c r="G991" s="4">
        <v>318728</v>
      </c>
      <c r="H991" s="4">
        <v>318728</v>
      </c>
      <c r="I991" s="4">
        <v>0</v>
      </c>
      <c r="J991" s="4">
        <v>1467479</v>
      </c>
    </row>
    <row r="992" spans="1:10" x14ac:dyDescent="0.75">
      <c r="A992" t="s">
        <v>160</v>
      </c>
      <c r="B992">
        <v>3321</v>
      </c>
      <c r="C992" t="s">
        <v>175</v>
      </c>
      <c r="D992">
        <v>5220</v>
      </c>
      <c r="E992" t="s">
        <v>401</v>
      </c>
      <c r="F992" s="4">
        <v>347479</v>
      </c>
      <c r="G992" s="4">
        <v>620545</v>
      </c>
      <c r="H992" s="4">
        <v>620545</v>
      </c>
      <c r="I992" s="4">
        <v>0</v>
      </c>
      <c r="J992" s="4">
        <v>968024</v>
      </c>
    </row>
    <row r="993" spans="1:10" x14ac:dyDescent="0.75">
      <c r="A993" t="s">
        <v>160</v>
      </c>
      <c r="B993">
        <v>3321</v>
      </c>
      <c r="C993" t="s">
        <v>175</v>
      </c>
      <c r="D993">
        <v>4783</v>
      </c>
      <c r="E993" t="s">
        <v>382</v>
      </c>
      <c r="F993" s="4">
        <v>357848</v>
      </c>
      <c r="G993" s="4">
        <v>191329</v>
      </c>
      <c r="H993" s="4">
        <v>191329</v>
      </c>
      <c r="I993" s="4">
        <v>0</v>
      </c>
      <c r="J993" s="4">
        <v>549177</v>
      </c>
    </row>
    <row r="994" spans="1:10" x14ac:dyDescent="0.75">
      <c r="A994" t="s">
        <v>160</v>
      </c>
      <c r="B994">
        <v>3321</v>
      </c>
      <c r="C994" t="s">
        <v>175</v>
      </c>
      <c r="D994">
        <v>4331</v>
      </c>
      <c r="E994" t="s">
        <v>390</v>
      </c>
      <c r="F994" s="4">
        <v>126021</v>
      </c>
      <c r="G994" s="4">
        <v>287493</v>
      </c>
      <c r="H994" s="4">
        <v>261038</v>
      </c>
      <c r="I994" s="4">
        <v>26455</v>
      </c>
      <c r="J994" s="4">
        <v>413514</v>
      </c>
    </row>
    <row r="995" spans="1:10" x14ac:dyDescent="0.75">
      <c r="A995" t="s">
        <v>160</v>
      </c>
      <c r="B995">
        <v>3321</v>
      </c>
      <c r="C995" t="s">
        <v>175</v>
      </c>
      <c r="D995">
        <v>4860</v>
      </c>
      <c r="E995" t="s">
        <v>400</v>
      </c>
      <c r="F995" s="4">
        <v>87706</v>
      </c>
      <c r="G995" s="4">
        <v>200478</v>
      </c>
      <c r="H995" s="4">
        <v>200478</v>
      </c>
      <c r="I995" s="4">
        <v>0</v>
      </c>
      <c r="J995" s="4">
        <v>288184</v>
      </c>
    </row>
    <row r="996" spans="1:10" x14ac:dyDescent="0.75">
      <c r="A996" t="s">
        <v>160</v>
      </c>
      <c r="B996">
        <v>3321</v>
      </c>
      <c r="C996" t="s">
        <v>175</v>
      </c>
      <c r="D996">
        <v>2430</v>
      </c>
      <c r="E996" t="s">
        <v>376</v>
      </c>
      <c r="F996" s="4">
        <v>286743</v>
      </c>
      <c r="G996" s="4">
        <v>0</v>
      </c>
      <c r="H996" s="4">
        <v>0</v>
      </c>
      <c r="I996" s="4">
        <v>0</v>
      </c>
      <c r="J996" s="4">
        <v>286743</v>
      </c>
    </row>
    <row r="997" spans="1:10" x14ac:dyDescent="0.75">
      <c r="A997" t="s">
        <v>160</v>
      </c>
      <c r="B997">
        <v>3321</v>
      </c>
      <c r="C997" t="s">
        <v>175</v>
      </c>
      <c r="D997">
        <v>4900</v>
      </c>
      <c r="E997" t="s">
        <v>383</v>
      </c>
      <c r="F997" s="4">
        <v>0</v>
      </c>
      <c r="G997" s="4">
        <v>215416</v>
      </c>
      <c r="H997" s="4">
        <v>215416</v>
      </c>
      <c r="I997" s="4">
        <v>0</v>
      </c>
      <c r="J997" s="4">
        <v>215416</v>
      </c>
    </row>
    <row r="998" spans="1:10" x14ac:dyDescent="0.75">
      <c r="A998" t="s">
        <v>160</v>
      </c>
      <c r="B998">
        <v>3321</v>
      </c>
      <c r="C998" t="s">
        <v>175</v>
      </c>
      <c r="D998">
        <v>5330</v>
      </c>
      <c r="E998" t="s">
        <v>385</v>
      </c>
      <c r="F998" s="4">
        <v>0</v>
      </c>
      <c r="G998" s="4">
        <v>136565</v>
      </c>
      <c r="H998" s="4">
        <v>136565</v>
      </c>
      <c r="I998" s="4">
        <v>0</v>
      </c>
      <c r="J998" s="4">
        <v>136565</v>
      </c>
    </row>
    <row r="999" spans="1:10" x14ac:dyDescent="0.75">
      <c r="A999" t="s">
        <v>160</v>
      </c>
      <c r="B999">
        <v>3321</v>
      </c>
      <c r="C999" t="s">
        <v>175</v>
      </c>
      <c r="D999">
        <v>4323</v>
      </c>
      <c r="E999" t="s">
        <v>373</v>
      </c>
      <c r="F999" s="4">
        <v>0</v>
      </c>
      <c r="G999" s="4">
        <v>83224</v>
      </c>
      <c r="H999" s="4">
        <v>83224</v>
      </c>
      <c r="I999" s="4">
        <v>0</v>
      </c>
      <c r="J999" s="4">
        <v>83224</v>
      </c>
    </row>
    <row r="1000" spans="1:10" x14ac:dyDescent="0.75">
      <c r="A1000" t="s">
        <v>160</v>
      </c>
      <c r="B1000">
        <v>3321</v>
      </c>
      <c r="C1000" t="s">
        <v>175</v>
      </c>
      <c r="D1000">
        <v>5360</v>
      </c>
      <c r="E1000" t="s">
        <v>465</v>
      </c>
      <c r="F1000" s="4">
        <v>0</v>
      </c>
      <c r="G1000" s="4">
        <v>45112</v>
      </c>
      <c r="H1000" s="4">
        <v>45112</v>
      </c>
      <c r="I1000" s="4">
        <v>0</v>
      </c>
      <c r="J1000" s="4">
        <v>45112</v>
      </c>
    </row>
    <row r="1001" spans="1:10" x14ac:dyDescent="0.75">
      <c r="A1001" t="s">
        <v>160</v>
      </c>
      <c r="B1001">
        <v>3321</v>
      </c>
      <c r="C1001" t="s">
        <v>175</v>
      </c>
      <c r="D1001">
        <v>1200</v>
      </c>
      <c r="E1001" t="s">
        <v>402</v>
      </c>
      <c r="F1001" s="4">
        <v>39283</v>
      </c>
      <c r="G1001" s="4">
        <v>0</v>
      </c>
      <c r="H1001" s="4">
        <v>0</v>
      </c>
      <c r="I1001" s="4">
        <v>0</v>
      </c>
      <c r="J1001" s="4">
        <v>39283</v>
      </c>
    </row>
    <row r="1002" spans="1:10" x14ac:dyDescent="0.75">
      <c r="A1002" t="s">
        <v>160</v>
      </c>
      <c r="B1002">
        <v>3321</v>
      </c>
      <c r="C1002" t="s">
        <v>175</v>
      </c>
      <c r="D1002">
        <v>7110</v>
      </c>
      <c r="E1002" t="s">
        <v>371</v>
      </c>
      <c r="F1002" s="4">
        <v>0</v>
      </c>
      <c r="G1002" s="4">
        <v>30014</v>
      </c>
      <c r="H1002" s="4">
        <v>30014</v>
      </c>
      <c r="I1002" s="4">
        <v>0</v>
      </c>
      <c r="J1002" s="4">
        <v>30014</v>
      </c>
    </row>
    <row r="1003" spans="1:10" x14ac:dyDescent="0.75">
      <c r="A1003" t="s">
        <v>160</v>
      </c>
      <c r="B1003">
        <v>3321</v>
      </c>
      <c r="C1003" t="s">
        <v>175</v>
      </c>
      <c r="D1003">
        <v>2330</v>
      </c>
      <c r="E1003" t="s">
        <v>368</v>
      </c>
      <c r="F1003" s="4">
        <v>23442</v>
      </c>
      <c r="G1003" s="4">
        <v>6000</v>
      </c>
      <c r="H1003" s="4">
        <v>6000</v>
      </c>
      <c r="I1003" s="4">
        <v>0</v>
      </c>
      <c r="J1003" s="4">
        <v>29442</v>
      </c>
    </row>
    <row r="1004" spans="1:10" x14ac:dyDescent="0.75">
      <c r="A1004" t="s">
        <v>160</v>
      </c>
      <c r="B1004">
        <v>3321</v>
      </c>
      <c r="C1004" t="s">
        <v>175</v>
      </c>
      <c r="D1004">
        <v>3219</v>
      </c>
      <c r="E1004" t="s">
        <v>378</v>
      </c>
      <c r="F1004" s="4">
        <v>0</v>
      </c>
      <c r="G1004" s="4">
        <v>20515</v>
      </c>
      <c r="H1004" s="4">
        <v>20515</v>
      </c>
      <c r="I1004" s="4">
        <v>0</v>
      </c>
      <c r="J1004" s="4">
        <v>20515</v>
      </c>
    </row>
    <row r="1005" spans="1:10" x14ac:dyDescent="0.75">
      <c r="A1005" t="s">
        <v>160</v>
      </c>
      <c r="B1005">
        <v>3321</v>
      </c>
      <c r="C1005" t="s">
        <v>175</v>
      </c>
      <c r="D1005">
        <v>2540</v>
      </c>
      <c r="E1005" t="s">
        <v>377</v>
      </c>
      <c r="F1005" s="4">
        <v>0</v>
      </c>
      <c r="G1005" s="4">
        <v>19882</v>
      </c>
      <c r="H1005" s="4">
        <v>0</v>
      </c>
      <c r="I1005" s="4">
        <v>19882</v>
      </c>
      <c r="J1005" s="4">
        <v>19882</v>
      </c>
    </row>
    <row r="1006" spans="1:10" x14ac:dyDescent="0.75">
      <c r="A1006" t="s">
        <v>160</v>
      </c>
      <c r="B1006">
        <v>3321</v>
      </c>
      <c r="C1006" t="s">
        <v>175</v>
      </c>
      <c r="D1006">
        <v>4690</v>
      </c>
      <c r="E1006" t="s">
        <v>428</v>
      </c>
      <c r="F1006" s="4">
        <v>0</v>
      </c>
      <c r="G1006" s="4">
        <v>12125</v>
      </c>
      <c r="H1006" s="4">
        <v>12125</v>
      </c>
      <c r="I1006" s="4">
        <v>0</v>
      </c>
      <c r="J1006" s="4">
        <v>12125</v>
      </c>
    </row>
    <row r="1007" spans="1:10" x14ac:dyDescent="0.75">
      <c r="A1007" t="s">
        <v>160</v>
      </c>
      <c r="B1007">
        <v>3321</v>
      </c>
      <c r="C1007" t="s">
        <v>175</v>
      </c>
      <c r="D1007">
        <v>2340</v>
      </c>
      <c r="E1007" t="s">
        <v>369</v>
      </c>
      <c r="F1007" s="4">
        <v>2317</v>
      </c>
      <c r="G1007" s="4">
        <v>6000</v>
      </c>
      <c r="H1007" s="4">
        <v>6000</v>
      </c>
      <c r="I1007" s="4">
        <v>0</v>
      </c>
      <c r="J1007" s="4">
        <v>8317</v>
      </c>
    </row>
    <row r="1008" spans="1:10" x14ac:dyDescent="0.75">
      <c r="A1008" t="s">
        <v>160</v>
      </c>
      <c r="B1008">
        <v>3321</v>
      </c>
      <c r="C1008" t="s">
        <v>175</v>
      </c>
      <c r="D1008">
        <v>7900</v>
      </c>
      <c r="E1008" t="s">
        <v>388</v>
      </c>
      <c r="F1008" s="4">
        <v>0</v>
      </c>
      <c r="G1008" s="4">
        <v>710</v>
      </c>
      <c r="H1008" s="4">
        <v>710</v>
      </c>
      <c r="I1008" s="4">
        <v>0</v>
      </c>
      <c r="J1008" s="4">
        <v>710</v>
      </c>
    </row>
    <row r="1009" spans="1:10" x14ac:dyDescent="0.75">
      <c r="A1009" t="s">
        <v>160</v>
      </c>
      <c r="B1009">
        <v>3321</v>
      </c>
      <c r="C1009" t="s">
        <v>175</v>
      </c>
      <c r="D1009">
        <v>5480</v>
      </c>
      <c r="E1009" t="s">
        <v>386</v>
      </c>
      <c r="F1009" s="4">
        <v>150</v>
      </c>
      <c r="G1009" s="4">
        <v>0</v>
      </c>
      <c r="H1009" s="4">
        <v>0</v>
      </c>
      <c r="I1009" s="4">
        <v>0</v>
      </c>
      <c r="J1009" s="4">
        <v>150</v>
      </c>
    </row>
    <row r="1010" spans="1:10" x14ac:dyDescent="0.75">
      <c r="A1010" t="s">
        <v>160</v>
      </c>
      <c r="B1010">
        <v>3321</v>
      </c>
      <c r="C1010" t="s">
        <v>175</v>
      </c>
      <c r="D1010">
        <v>7120</v>
      </c>
      <c r="E1010" t="s">
        <v>499</v>
      </c>
      <c r="F1010" s="4">
        <v>0</v>
      </c>
      <c r="G1010" s="4">
        <v>65</v>
      </c>
      <c r="H1010" s="4">
        <v>65</v>
      </c>
      <c r="I1010" s="4">
        <v>0</v>
      </c>
      <c r="J1010" s="4">
        <v>65</v>
      </c>
    </row>
    <row r="1011" spans="1:10" x14ac:dyDescent="0.75">
      <c r="A1011" t="s">
        <v>160</v>
      </c>
      <c r="B1011">
        <v>3321</v>
      </c>
      <c r="C1011" t="s">
        <v>175</v>
      </c>
      <c r="D1011">
        <v>2211</v>
      </c>
      <c r="E1011" t="s">
        <v>367</v>
      </c>
      <c r="F1011" s="4">
        <v>0</v>
      </c>
      <c r="G1011" s="4">
        <v>30</v>
      </c>
      <c r="H1011" s="4">
        <v>30</v>
      </c>
      <c r="I1011" s="4">
        <v>0</v>
      </c>
      <c r="J1011" s="4">
        <v>30</v>
      </c>
    </row>
    <row r="1012" spans="1:10" x14ac:dyDescent="0.75">
      <c r="A1012" t="s">
        <v>160</v>
      </c>
      <c r="B1012">
        <v>3321</v>
      </c>
      <c r="C1012" t="s">
        <v>175</v>
      </c>
      <c r="D1012">
        <v>5312</v>
      </c>
      <c r="E1012" t="s">
        <v>416</v>
      </c>
      <c r="F1012" s="4">
        <v>0</v>
      </c>
      <c r="G1012" s="4">
        <v>1</v>
      </c>
      <c r="H1012" s="4">
        <v>1</v>
      </c>
      <c r="I1012" s="4">
        <v>0</v>
      </c>
      <c r="J1012" s="4">
        <v>1</v>
      </c>
    </row>
    <row r="1013" spans="1:10" x14ac:dyDescent="0.75">
      <c r="A1013" t="s">
        <v>151</v>
      </c>
      <c r="B1013">
        <v>4875</v>
      </c>
      <c r="C1013" t="s">
        <v>80</v>
      </c>
      <c r="D1013">
        <v>6134</v>
      </c>
      <c r="E1013" t="s">
        <v>470</v>
      </c>
      <c r="F1013" s="4">
        <v>6532</v>
      </c>
      <c r="G1013" s="4">
        <v>0</v>
      </c>
      <c r="H1013" s="4">
        <v>0</v>
      </c>
      <c r="I1013" s="4">
        <v>0</v>
      </c>
      <c r="J1013" s="4">
        <v>6532</v>
      </c>
    </row>
    <row r="1014" spans="1:10" x14ac:dyDescent="0.75">
      <c r="A1014" t="s">
        <v>151</v>
      </c>
      <c r="B1014">
        <v>4875</v>
      </c>
      <c r="C1014" t="s">
        <v>80</v>
      </c>
      <c r="D1014">
        <v>6887</v>
      </c>
      <c r="E1014" t="s">
        <v>505</v>
      </c>
      <c r="F1014" s="4">
        <v>3027</v>
      </c>
      <c r="G1014" s="4">
        <v>0</v>
      </c>
      <c r="H1014" s="4">
        <v>0</v>
      </c>
      <c r="I1014" s="4">
        <v>0</v>
      </c>
      <c r="J1014" s="4">
        <v>3027</v>
      </c>
    </row>
    <row r="1015" spans="1:10" x14ac:dyDescent="0.75">
      <c r="A1015" t="s">
        <v>151</v>
      </c>
      <c r="B1015">
        <v>4875</v>
      </c>
      <c r="C1015" t="s">
        <v>80</v>
      </c>
      <c r="D1015">
        <v>7900</v>
      </c>
      <c r="E1015" t="s">
        <v>388</v>
      </c>
      <c r="F1015" s="4">
        <v>2513</v>
      </c>
      <c r="G1015" s="4">
        <v>0</v>
      </c>
      <c r="H1015" s="4">
        <v>0</v>
      </c>
      <c r="I1015" s="4">
        <v>0</v>
      </c>
      <c r="J1015" s="4">
        <v>2513</v>
      </c>
    </row>
    <row r="1016" spans="1:10" x14ac:dyDescent="0.75">
      <c r="A1016" t="s">
        <v>151</v>
      </c>
      <c r="B1016">
        <v>4875</v>
      </c>
      <c r="C1016" t="s">
        <v>80</v>
      </c>
      <c r="D1016">
        <v>7400</v>
      </c>
      <c r="E1016" t="s">
        <v>502</v>
      </c>
      <c r="F1016" s="4">
        <v>1803</v>
      </c>
      <c r="G1016" s="4">
        <v>0</v>
      </c>
      <c r="H1016" s="4">
        <v>0</v>
      </c>
      <c r="I1016" s="4">
        <v>0</v>
      </c>
      <c r="J1016" s="4">
        <v>1803</v>
      </c>
    </row>
    <row r="1017" spans="1:10" x14ac:dyDescent="0.75">
      <c r="A1017" t="s">
        <v>151</v>
      </c>
      <c r="B1017">
        <v>4875</v>
      </c>
      <c r="C1017" t="s">
        <v>80</v>
      </c>
      <c r="D1017">
        <v>7210</v>
      </c>
      <c r="E1017" t="s">
        <v>426</v>
      </c>
      <c r="F1017" s="4">
        <v>1144</v>
      </c>
      <c r="G1017" s="4">
        <v>0</v>
      </c>
      <c r="H1017" s="4">
        <v>0</v>
      </c>
      <c r="I1017" s="4">
        <v>0</v>
      </c>
      <c r="J1017" s="4">
        <v>1144</v>
      </c>
    </row>
    <row r="1018" spans="1:10" x14ac:dyDescent="0.75">
      <c r="A1018" t="s">
        <v>151</v>
      </c>
      <c r="B1018">
        <v>4875</v>
      </c>
      <c r="C1018" t="s">
        <v>80</v>
      </c>
      <c r="D1018">
        <v>2330</v>
      </c>
      <c r="E1018" t="s">
        <v>368</v>
      </c>
      <c r="F1018" s="4">
        <v>1101</v>
      </c>
      <c r="G1018" s="4">
        <v>0</v>
      </c>
      <c r="H1018" s="4">
        <v>0</v>
      </c>
      <c r="I1018" s="4">
        <v>0</v>
      </c>
      <c r="J1018" s="4">
        <v>1101</v>
      </c>
    </row>
    <row r="1019" spans="1:10" x14ac:dyDescent="0.75">
      <c r="A1019" t="s">
        <v>151</v>
      </c>
      <c r="B1019">
        <v>4875</v>
      </c>
      <c r="C1019" t="s">
        <v>80</v>
      </c>
      <c r="D1019">
        <v>4783</v>
      </c>
      <c r="E1019" t="s">
        <v>382</v>
      </c>
      <c r="F1019" s="4">
        <v>836</v>
      </c>
      <c r="G1019" s="4">
        <v>0</v>
      </c>
      <c r="H1019" s="4">
        <v>0</v>
      </c>
      <c r="I1019" s="4">
        <v>0</v>
      </c>
      <c r="J1019" s="4">
        <v>836</v>
      </c>
    </row>
    <row r="1020" spans="1:10" x14ac:dyDescent="0.75">
      <c r="A1020" t="s">
        <v>151</v>
      </c>
      <c r="B1020">
        <v>4875</v>
      </c>
      <c r="C1020" t="s">
        <v>80</v>
      </c>
      <c r="D1020">
        <v>6885</v>
      </c>
      <c r="E1020" t="s">
        <v>493</v>
      </c>
      <c r="F1020" s="4">
        <v>803</v>
      </c>
      <c r="G1020" s="4">
        <v>0</v>
      </c>
      <c r="H1020" s="4">
        <v>0</v>
      </c>
      <c r="I1020" s="4">
        <v>0</v>
      </c>
      <c r="J1020" s="4">
        <v>803</v>
      </c>
    </row>
    <row r="1021" spans="1:10" x14ac:dyDescent="0.75">
      <c r="A1021" t="s">
        <v>151</v>
      </c>
      <c r="B1021">
        <v>4875</v>
      </c>
      <c r="C1021" t="s">
        <v>80</v>
      </c>
      <c r="D1021">
        <v>7110</v>
      </c>
      <c r="E1021" t="s">
        <v>371</v>
      </c>
      <c r="F1021" s="4">
        <v>707</v>
      </c>
      <c r="G1021" s="4">
        <v>0</v>
      </c>
      <c r="H1021" s="4">
        <v>0</v>
      </c>
      <c r="I1021" s="4">
        <v>0</v>
      </c>
      <c r="J1021" s="4">
        <v>707</v>
      </c>
    </row>
    <row r="1022" spans="1:10" x14ac:dyDescent="0.75">
      <c r="A1022" t="s">
        <v>151</v>
      </c>
      <c r="B1022">
        <v>4875</v>
      </c>
      <c r="C1022" t="s">
        <v>80</v>
      </c>
      <c r="D1022">
        <v>2990</v>
      </c>
      <c r="E1022" t="s">
        <v>432</v>
      </c>
      <c r="F1022" s="4">
        <v>494</v>
      </c>
      <c r="G1022" s="4">
        <v>0</v>
      </c>
      <c r="H1022" s="4">
        <v>0</v>
      </c>
      <c r="I1022" s="4">
        <v>0</v>
      </c>
      <c r="J1022" s="4">
        <v>494</v>
      </c>
    </row>
    <row r="1023" spans="1:10" x14ac:dyDescent="0.75">
      <c r="A1023" t="s">
        <v>151</v>
      </c>
      <c r="B1023">
        <v>4875</v>
      </c>
      <c r="C1023" t="s">
        <v>80</v>
      </c>
      <c r="D1023">
        <v>5190</v>
      </c>
      <c r="E1023" t="s">
        <v>462</v>
      </c>
      <c r="F1023" s="4">
        <v>452</v>
      </c>
      <c r="G1023" s="4">
        <v>0</v>
      </c>
      <c r="H1023" s="4">
        <v>0</v>
      </c>
      <c r="I1023" s="4">
        <v>0</v>
      </c>
      <c r="J1023" s="4">
        <v>452</v>
      </c>
    </row>
    <row r="1024" spans="1:10" x14ac:dyDescent="0.75">
      <c r="A1024" t="s">
        <v>151</v>
      </c>
      <c r="B1024">
        <v>4875</v>
      </c>
      <c r="C1024" t="s">
        <v>80</v>
      </c>
      <c r="D1024">
        <v>4189</v>
      </c>
      <c r="E1024" t="s">
        <v>451</v>
      </c>
      <c r="F1024" s="4">
        <v>425</v>
      </c>
      <c r="G1024" s="4">
        <v>0</v>
      </c>
      <c r="H1024" s="4">
        <v>0</v>
      </c>
      <c r="I1024" s="4">
        <v>0</v>
      </c>
      <c r="J1024" s="4">
        <v>425</v>
      </c>
    </row>
    <row r="1025" spans="1:10" x14ac:dyDescent="0.75">
      <c r="A1025" t="s">
        <v>151</v>
      </c>
      <c r="B1025">
        <v>4875</v>
      </c>
      <c r="C1025" t="s">
        <v>80</v>
      </c>
      <c r="D1025">
        <v>5360</v>
      </c>
      <c r="E1025" t="s">
        <v>465</v>
      </c>
      <c r="F1025" s="4">
        <v>248</v>
      </c>
      <c r="G1025" s="4">
        <v>0</v>
      </c>
      <c r="H1025" s="4">
        <v>0</v>
      </c>
      <c r="I1025" s="4">
        <v>0</v>
      </c>
      <c r="J1025" s="4">
        <v>248</v>
      </c>
    </row>
    <row r="1026" spans="1:10" x14ac:dyDescent="0.75">
      <c r="A1026" t="s">
        <v>151</v>
      </c>
      <c r="B1026">
        <v>4875</v>
      </c>
      <c r="C1026" t="s">
        <v>80</v>
      </c>
      <c r="D1026">
        <v>2211</v>
      </c>
      <c r="E1026" t="s">
        <v>367</v>
      </c>
      <c r="F1026" s="4">
        <v>135</v>
      </c>
      <c r="G1026" s="4">
        <v>0</v>
      </c>
      <c r="H1026" s="4">
        <v>0</v>
      </c>
      <c r="I1026" s="4">
        <v>0</v>
      </c>
      <c r="J1026" s="4">
        <v>135</v>
      </c>
    </row>
    <row r="1027" spans="1:10" x14ac:dyDescent="0.75">
      <c r="A1027" t="s">
        <v>151</v>
      </c>
      <c r="B1027">
        <v>4875</v>
      </c>
      <c r="C1027" t="s">
        <v>80</v>
      </c>
      <c r="D1027">
        <v>5480</v>
      </c>
      <c r="E1027" t="s">
        <v>386</v>
      </c>
      <c r="F1027" s="4">
        <v>124</v>
      </c>
      <c r="G1027" s="4">
        <v>0</v>
      </c>
      <c r="H1027" s="4">
        <v>0</v>
      </c>
      <c r="I1027" s="4">
        <v>0</v>
      </c>
      <c r="J1027" s="4">
        <v>124</v>
      </c>
    </row>
    <row r="1028" spans="1:10" x14ac:dyDescent="0.75">
      <c r="A1028" t="s">
        <v>151</v>
      </c>
      <c r="B1028">
        <v>4875</v>
      </c>
      <c r="C1028" t="s">
        <v>80</v>
      </c>
      <c r="D1028">
        <v>7230</v>
      </c>
      <c r="E1028" t="s">
        <v>387</v>
      </c>
      <c r="F1028" s="4">
        <v>116</v>
      </c>
      <c r="G1028" s="4">
        <v>0</v>
      </c>
      <c r="H1028" s="4">
        <v>0</v>
      </c>
      <c r="I1028" s="4">
        <v>0</v>
      </c>
      <c r="J1028" s="4">
        <v>116</v>
      </c>
    </row>
    <row r="1029" spans="1:10" x14ac:dyDescent="0.75">
      <c r="A1029" t="s">
        <v>151</v>
      </c>
      <c r="B1029">
        <v>4875</v>
      </c>
      <c r="C1029" t="s">
        <v>80</v>
      </c>
      <c r="D1029">
        <v>3220</v>
      </c>
      <c r="E1029" t="s">
        <v>370</v>
      </c>
      <c r="F1029" s="4">
        <v>109</v>
      </c>
      <c r="G1029" s="4">
        <v>0</v>
      </c>
      <c r="H1029" s="4">
        <v>0</v>
      </c>
      <c r="I1029" s="4">
        <v>0</v>
      </c>
      <c r="J1029" s="4">
        <v>109</v>
      </c>
    </row>
    <row r="1030" spans="1:10" x14ac:dyDescent="0.75">
      <c r="A1030" t="s">
        <v>151</v>
      </c>
      <c r="B1030">
        <v>4875</v>
      </c>
      <c r="C1030" t="s">
        <v>80</v>
      </c>
      <c r="D1030">
        <v>5240</v>
      </c>
      <c r="E1030" t="s">
        <v>464</v>
      </c>
      <c r="F1030" s="4">
        <v>29</v>
      </c>
      <c r="G1030" s="4">
        <v>0</v>
      </c>
      <c r="H1030" s="4">
        <v>0</v>
      </c>
      <c r="I1030" s="4">
        <v>0</v>
      </c>
      <c r="J1030" s="4">
        <v>29</v>
      </c>
    </row>
    <row r="1031" spans="1:10" x14ac:dyDescent="0.75">
      <c r="A1031" t="s">
        <v>151</v>
      </c>
      <c r="B1031">
        <v>4875</v>
      </c>
      <c r="C1031" t="s">
        <v>80</v>
      </c>
      <c r="D1031">
        <v>7120</v>
      </c>
      <c r="E1031" t="s">
        <v>499</v>
      </c>
      <c r="F1031" s="4">
        <v>25</v>
      </c>
      <c r="G1031" s="4">
        <v>0</v>
      </c>
      <c r="H1031" s="4">
        <v>0</v>
      </c>
      <c r="I1031" s="4">
        <v>0</v>
      </c>
      <c r="J1031" s="4">
        <v>25</v>
      </c>
    </row>
    <row r="1032" spans="1:10" x14ac:dyDescent="0.75">
      <c r="A1032" t="s">
        <v>151</v>
      </c>
      <c r="B1032">
        <v>4875</v>
      </c>
      <c r="C1032" t="s">
        <v>80</v>
      </c>
      <c r="D1032">
        <v>7500</v>
      </c>
      <c r="E1032" t="s">
        <v>427</v>
      </c>
      <c r="F1032" s="4">
        <v>25</v>
      </c>
      <c r="G1032" s="4">
        <v>0</v>
      </c>
      <c r="H1032" s="4">
        <v>0</v>
      </c>
      <c r="I1032" s="4">
        <v>0</v>
      </c>
      <c r="J1032" s="4">
        <v>25</v>
      </c>
    </row>
    <row r="1033" spans="1:10" x14ac:dyDescent="0.75">
      <c r="A1033" t="s">
        <v>151</v>
      </c>
      <c r="B1033">
        <v>4875</v>
      </c>
      <c r="C1033" t="s">
        <v>80</v>
      </c>
      <c r="D1033">
        <v>5370</v>
      </c>
      <c r="E1033" t="s">
        <v>466</v>
      </c>
      <c r="F1033" s="4">
        <v>22</v>
      </c>
      <c r="G1033" s="4">
        <v>0</v>
      </c>
      <c r="H1033" s="4">
        <v>0</v>
      </c>
      <c r="I1033" s="4">
        <v>0</v>
      </c>
      <c r="J1033" s="4">
        <v>22</v>
      </c>
    </row>
    <row r="1034" spans="1:10" x14ac:dyDescent="0.75">
      <c r="A1034" t="s">
        <v>151</v>
      </c>
      <c r="B1034">
        <v>4875</v>
      </c>
      <c r="C1034" t="s">
        <v>80</v>
      </c>
      <c r="D1034">
        <v>3282</v>
      </c>
      <c r="E1034" t="s">
        <v>440</v>
      </c>
      <c r="F1034" s="4">
        <v>12</v>
      </c>
      <c r="G1034" s="4">
        <v>0</v>
      </c>
      <c r="H1034" s="4">
        <v>0</v>
      </c>
      <c r="I1034" s="4">
        <v>0</v>
      </c>
      <c r="J1034" s="4">
        <v>12</v>
      </c>
    </row>
    <row r="1035" spans="1:10" x14ac:dyDescent="0.75">
      <c r="A1035" t="s">
        <v>151</v>
      </c>
      <c r="B1035">
        <v>4875</v>
      </c>
      <c r="C1035" t="s">
        <v>80</v>
      </c>
      <c r="D1035">
        <v>4331</v>
      </c>
      <c r="E1035" t="s">
        <v>390</v>
      </c>
      <c r="F1035" s="4">
        <v>11</v>
      </c>
      <c r="G1035" s="4">
        <v>0</v>
      </c>
      <c r="H1035" s="4">
        <v>0</v>
      </c>
      <c r="I1035" s="4">
        <v>0</v>
      </c>
      <c r="J1035" s="4">
        <v>11</v>
      </c>
    </row>
    <row r="1036" spans="1:10" x14ac:dyDescent="0.75">
      <c r="A1036" t="s">
        <v>151</v>
      </c>
      <c r="B1036">
        <v>4875</v>
      </c>
      <c r="C1036" t="s">
        <v>80</v>
      </c>
      <c r="D1036">
        <v>5540</v>
      </c>
      <c r="E1036" t="s">
        <v>469</v>
      </c>
      <c r="F1036" s="4">
        <v>11</v>
      </c>
      <c r="G1036" s="4">
        <v>0</v>
      </c>
      <c r="H1036" s="4">
        <v>0</v>
      </c>
      <c r="I1036" s="4">
        <v>0</v>
      </c>
      <c r="J1036" s="4">
        <v>11</v>
      </c>
    </row>
    <row r="1037" spans="1:10" x14ac:dyDescent="0.75">
      <c r="A1037" t="s">
        <v>151</v>
      </c>
      <c r="B1037">
        <v>4875</v>
      </c>
      <c r="C1037" t="s">
        <v>80</v>
      </c>
      <c r="D1037">
        <v>6782</v>
      </c>
      <c r="E1037" t="s">
        <v>396</v>
      </c>
      <c r="F1037" s="4">
        <v>9</v>
      </c>
      <c r="G1037" s="4">
        <v>0</v>
      </c>
      <c r="H1037" s="4">
        <v>0</v>
      </c>
      <c r="I1037" s="4">
        <v>0</v>
      </c>
      <c r="J1037" s="4">
        <v>9</v>
      </c>
    </row>
    <row r="1038" spans="1:10" x14ac:dyDescent="0.75">
      <c r="A1038" t="s">
        <v>151</v>
      </c>
      <c r="B1038">
        <v>4875</v>
      </c>
      <c r="C1038" t="s">
        <v>80</v>
      </c>
      <c r="D1038">
        <v>5290</v>
      </c>
      <c r="E1038" t="s">
        <v>415</v>
      </c>
      <c r="F1038" s="4">
        <v>4</v>
      </c>
      <c r="G1038" s="4">
        <v>0</v>
      </c>
      <c r="H1038" s="4">
        <v>0</v>
      </c>
      <c r="I1038" s="4">
        <v>0</v>
      </c>
      <c r="J1038" s="4">
        <v>4</v>
      </c>
    </row>
    <row r="1039" spans="1:10" x14ac:dyDescent="0.75">
      <c r="A1039" t="s">
        <v>160</v>
      </c>
      <c r="B1039">
        <v>3924</v>
      </c>
      <c r="C1039" t="s">
        <v>111</v>
      </c>
      <c r="D1039">
        <v>4410</v>
      </c>
      <c r="E1039" t="s">
        <v>399</v>
      </c>
      <c r="F1039" s="4">
        <v>15023670</v>
      </c>
      <c r="G1039" s="4">
        <v>4955367</v>
      </c>
      <c r="H1039" s="4">
        <v>0</v>
      </c>
      <c r="I1039" s="4">
        <v>4955367</v>
      </c>
      <c r="J1039" s="4">
        <v>19979037</v>
      </c>
    </row>
    <row r="1040" spans="1:10" x14ac:dyDescent="0.75">
      <c r="A1040" t="s">
        <v>160</v>
      </c>
      <c r="B1040">
        <v>3924</v>
      </c>
      <c r="C1040" t="s">
        <v>111</v>
      </c>
      <c r="D1040">
        <v>1100</v>
      </c>
      <c r="E1040" t="s">
        <v>397</v>
      </c>
      <c r="F1040" s="4">
        <v>7223399</v>
      </c>
      <c r="G1040" s="4">
        <v>0</v>
      </c>
      <c r="H1040" s="4">
        <v>0</v>
      </c>
      <c r="I1040" s="4">
        <v>0</v>
      </c>
      <c r="J1040" s="4">
        <v>7223399</v>
      </c>
    </row>
    <row r="1041" spans="1:10" x14ac:dyDescent="0.75">
      <c r="A1041" t="s">
        <v>160</v>
      </c>
      <c r="B1041">
        <v>3924</v>
      </c>
      <c r="C1041" t="s">
        <v>111</v>
      </c>
      <c r="D1041">
        <v>4322</v>
      </c>
      <c r="E1041" t="s">
        <v>398</v>
      </c>
      <c r="F1041" s="4">
        <v>2800583</v>
      </c>
      <c r="G1041" s="4">
        <v>126279</v>
      </c>
      <c r="H1041" s="4">
        <v>126279</v>
      </c>
      <c r="I1041" s="4">
        <v>0</v>
      </c>
      <c r="J1041" s="4">
        <v>2926862</v>
      </c>
    </row>
    <row r="1042" spans="1:10" x14ac:dyDescent="0.75">
      <c r="A1042" t="s">
        <v>160</v>
      </c>
      <c r="B1042">
        <v>3924</v>
      </c>
      <c r="C1042" t="s">
        <v>111</v>
      </c>
      <c r="D1042">
        <v>6241</v>
      </c>
      <c r="E1042" t="s">
        <v>391</v>
      </c>
      <c r="F1042" s="4">
        <v>250228</v>
      </c>
      <c r="G1042" s="4">
        <v>426052</v>
      </c>
      <c r="H1042" s="4">
        <v>0</v>
      </c>
      <c r="I1042" s="4">
        <v>426052</v>
      </c>
      <c r="J1042" s="4">
        <v>676280</v>
      </c>
    </row>
    <row r="1043" spans="1:10" x14ac:dyDescent="0.75">
      <c r="A1043" t="s">
        <v>160</v>
      </c>
      <c r="B1043">
        <v>3924</v>
      </c>
      <c r="C1043" t="s">
        <v>111</v>
      </c>
      <c r="D1043">
        <v>2540</v>
      </c>
      <c r="E1043" t="s">
        <v>377</v>
      </c>
      <c r="F1043" s="4">
        <v>116111</v>
      </c>
      <c r="G1043" s="4">
        <v>357623</v>
      </c>
      <c r="H1043" s="4">
        <v>0</v>
      </c>
      <c r="I1043" s="4">
        <v>357623</v>
      </c>
      <c r="J1043" s="4">
        <v>473734</v>
      </c>
    </row>
    <row r="1044" spans="1:10" x14ac:dyDescent="0.75">
      <c r="A1044" t="s">
        <v>160</v>
      </c>
      <c r="B1044">
        <v>3924</v>
      </c>
      <c r="C1044" t="s">
        <v>111</v>
      </c>
      <c r="D1044">
        <v>4783</v>
      </c>
      <c r="E1044" t="s">
        <v>382</v>
      </c>
      <c r="F1044" s="4">
        <v>55548</v>
      </c>
      <c r="G1044" s="4">
        <v>235207</v>
      </c>
      <c r="H1044" s="4">
        <v>235207</v>
      </c>
      <c r="I1044" s="4">
        <v>0</v>
      </c>
      <c r="J1044" s="4">
        <v>290755</v>
      </c>
    </row>
    <row r="1045" spans="1:10" x14ac:dyDescent="0.75">
      <c r="A1045" t="s">
        <v>160</v>
      </c>
      <c r="B1045">
        <v>3924</v>
      </c>
      <c r="C1045" t="s">
        <v>111</v>
      </c>
      <c r="D1045">
        <v>5220</v>
      </c>
      <c r="E1045" t="s">
        <v>401</v>
      </c>
      <c r="F1045" s="4">
        <v>105244</v>
      </c>
      <c r="G1045" s="4">
        <v>160427</v>
      </c>
      <c r="H1045" s="4">
        <v>160427</v>
      </c>
      <c r="I1045" s="4">
        <v>0</v>
      </c>
      <c r="J1045" s="4">
        <v>265671</v>
      </c>
    </row>
    <row r="1046" spans="1:10" x14ac:dyDescent="0.75">
      <c r="A1046" t="s">
        <v>160</v>
      </c>
      <c r="B1046">
        <v>3924</v>
      </c>
      <c r="C1046" t="s">
        <v>111</v>
      </c>
      <c r="D1046">
        <v>4331</v>
      </c>
      <c r="E1046" t="s">
        <v>390</v>
      </c>
      <c r="F1046" s="4">
        <v>180248</v>
      </c>
      <c r="G1046" s="4">
        <v>0</v>
      </c>
      <c r="H1046" s="4">
        <v>0</v>
      </c>
      <c r="I1046" s="4">
        <v>0</v>
      </c>
      <c r="J1046" s="4">
        <v>180248</v>
      </c>
    </row>
    <row r="1047" spans="1:10" x14ac:dyDescent="0.75">
      <c r="A1047" t="s">
        <v>160</v>
      </c>
      <c r="B1047">
        <v>3924</v>
      </c>
      <c r="C1047" t="s">
        <v>111</v>
      </c>
      <c r="D1047">
        <v>6782</v>
      </c>
      <c r="E1047" t="s">
        <v>396</v>
      </c>
      <c r="F1047" s="4">
        <v>0</v>
      </c>
      <c r="G1047" s="4">
        <v>95644</v>
      </c>
      <c r="H1047" s="4">
        <v>0</v>
      </c>
      <c r="I1047" s="4">
        <v>95644</v>
      </c>
      <c r="J1047" s="4">
        <v>95644</v>
      </c>
    </row>
    <row r="1048" spans="1:10" x14ac:dyDescent="0.75">
      <c r="A1048" t="s">
        <v>160</v>
      </c>
      <c r="B1048">
        <v>3924</v>
      </c>
      <c r="C1048" t="s">
        <v>111</v>
      </c>
      <c r="D1048">
        <v>4900</v>
      </c>
      <c r="E1048" t="s">
        <v>383</v>
      </c>
      <c r="F1048" s="4">
        <v>72394</v>
      </c>
      <c r="G1048" s="4">
        <v>0</v>
      </c>
      <c r="H1048" s="4">
        <v>0</v>
      </c>
      <c r="I1048" s="4">
        <v>0</v>
      </c>
      <c r="J1048" s="4">
        <v>72394</v>
      </c>
    </row>
    <row r="1049" spans="1:10" x14ac:dyDescent="0.75">
      <c r="A1049" t="s">
        <v>160</v>
      </c>
      <c r="B1049">
        <v>3924</v>
      </c>
      <c r="C1049" t="s">
        <v>111</v>
      </c>
      <c r="D1049">
        <v>3276</v>
      </c>
      <c r="E1049" t="s">
        <v>379</v>
      </c>
      <c r="F1049" s="4">
        <v>56537</v>
      </c>
      <c r="G1049" s="4">
        <v>166</v>
      </c>
      <c r="H1049" s="4">
        <v>166</v>
      </c>
      <c r="I1049" s="4">
        <v>0</v>
      </c>
      <c r="J1049" s="4">
        <v>56703</v>
      </c>
    </row>
    <row r="1050" spans="1:10" x14ac:dyDescent="0.75">
      <c r="A1050" t="s">
        <v>160</v>
      </c>
      <c r="B1050">
        <v>3924</v>
      </c>
      <c r="C1050" t="s">
        <v>111</v>
      </c>
      <c r="D1050">
        <v>3299</v>
      </c>
      <c r="E1050" t="s">
        <v>448</v>
      </c>
      <c r="F1050" s="4">
        <v>0</v>
      </c>
      <c r="G1050" s="4">
        <v>50532</v>
      </c>
      <c r="H1050" s="4">
        <v>0</v>
      </c>
      <c r="I1050" s="4">
        <v>50532</v>
      </c>
      <c r="J1050" s="4">
        <v>50532</v>
      </c>
    </row>
    <row r="1051" spans="1:10" x14ac:dyDescent="0.75">
      <c r="A1051" t="s">
        <v>160</v>
      </c>
      <c r="B1051">
        <v>3924</v>
      </c>
      <c r="C1051" t="s">
        <v>111</v>
      </c>
      <c r="D1051">
        <v>4782</v>
      </c>
      <c r="E1051" t="s">
        <v>414</v>
      </c>
      <c r="F1051" s="4">
        <v>49976</v>
      </c>
      <c r="G1051" s="4">
        <v>0</v>
      </c>
      <c r="H1051" s="4">
        <v>0</v>
      </c>
      <c r="I1051" s="4">
        <v>0</v>
      </c>
      <c r="J1051" s="4">
        <v>49976</v>
      </c>
    </row>
    <row r="1052" spans="1:10" x14ac:dyDescent="0.75">
      <c r="A1052" t="s">
        <v>160</v>
      </c>
      <c r="B1052">
        <v>3924</v>
      </c>
      <c r="C1052" t="s">
        <v>111</v>
      </c>
      <c r="D1052">
        <v>5290</v>
      </c>
      <c r="E1052" t="s">
        <v>415</v>
      </c>
      <c r="F1052" s="4">
        <v>0</v>
      </c>
      <c r="G1052" s="4">
        <v>34531</v>
      </c>
      <c r="H1052" s="4">
        <v>34531</v>
      </c>
      <c r="I1052" s="4">
        <v>0</v>
      </c>
      <c r="J1052" s="4">
        <v>34531</v>
      </c>
    </row>
    <row r="1053" spans="1:10" x14ac:dyDescent="0.75">
      <c r="A1053" t="s">
        <v>160</v>
      </c>
      <c r="B1053">
        <v>3924</v>
      </c>
      <c r="C1053" t="s">
        <v>111</v>
      </c>
      <c r="D1053">
        <v>6445</v>
      </c>
      <c r="E1053" t="s">
        <v>474</v>
      </c>
      <c r="F1053" s="4">
        <v>0</v>
      </c>
      <c r="G1053" s="4">
        <v>27558</v>
      </c>
      <c r="H1053" s="4">
        <v>27558</v>
      </c>
      <c r="I1053" s="4">
        <v>0</v>
      </c>
      <c r="J1053" s="4">
        <v>27558</v>
      </c>
    </row>
    <row r="1054" spans="1:10" x14ac:dyDescent="0.75">
      <c r="A1054" t="s">
        <v>160</v>
      </c>
      <c r="B1054">
        <v>3924</v>
      </c>
      <c r="C1054" t="s">
        <v>111</v>
      </c>
      <c r="D1054">
        <v>3230</v>
      </c>
      <c r="E1054" t="s">
        <v>434</v>
      </c>
      <c r="F1054" s="4">
        <v>0</v>
      </c>
      <c r="G1054" s="4">
        <v>25967</v>
      </c>
      <c r="H1054" s="4">
        <v>5691</v>
      </c>
      <c r="I1054" s="4">
        <v>20276</v>
      </c>
      <c r="J1054" s="4">
        <v>25967</v>
      </c>
    </row>
    <row r="1055" spans="1:10" x14ac:dyDescent="0.75">
      <c r="A1055" t="s">
        <v>160</v>
      </c>
      <c r="B1055">
        <v>3924</v>
      </c>
      <c r="C1055" t="s">
        <v>111</v>
      </c>
      <c r="D1055">
        <v>6747</v>
      </c>
      <c r="E1055" t="s">
        <v>478</v>
      </c>
      <c r="F1055" s="4">
        <v>0</v>
      </c>
      <c r="G1055" s="4">
        <v>17417</v>
      </c>
      <c r="H1055" s="4">
        <v>17417</v>
      </c>
      <c r="I1055" s="4">
        <v>0</v>
      </c>
      <c r="J1055" s="4">
        <v>17417</v>
      </c>
    </row>
    <row r="1056" spans="1:10" x14ac:dyDescent="0.75">
      <c r="A1056" t="s">
        <v>160</v>
      </c>
      <c r="B1056">
        <v>3924</v>
      </c>
      <c r="C1056" t="s">
        <v>111</v>
      </c>
      <c r="D1056">
        <v>7120</v>
      </c>
      <c r="E1056" t="s">
        <v>499</v>
      </c>
      <c r="F1056" s="4">
        <v>0</v>
      </c>
      <c r="G1056" s="4">
        <v>11022</v>
      </c>
      <c r="H1056" s="4">
        <v>1537</v>
      </c>
      <c r="I1056" s="4">
        <v>9485</v>
      </c>
      <c r="J1056" s="4">
        <v>11022</v>
      </c>
    </row>
    <row r="1057" spans="1:10" x14ac:dyDescent="0.75">
      <c r="A1057" t="s">
        <v>160</v>
      </c>
      <c r="B1057">
        <v>3924</v>
      </c>
      <c r="C1057" t="s">
        <v>111</v>
      </c>
      <c r="D1057">
        <v>7900</v>
      </c>
      <c r="E1057" t="s">
        <v>388</v>
      </c>
      <c r="F1057" s="4">
        <v>0</v>
      </c>
      <c r="G1057" s="4">
        <v>1773</v>
      </c>
      <c r="H1057" s="4">
        <v>1773</v>
      </c>
      <c r="I1057" s="4">
        <v>0</v>
      </c>
      <c r="J1057" s="4">
        <v>1773</v>
      </c>
    </row>
    <row r="1058" spans="1:10" x14ac:dyDescent="0.75">
      <c r="A1058" t="s">
        <v>160</v>
      </c>
      <c r="B1058">
        <v>3924</v>
      </c>
      <c r="C1058" t="s">
        <v>111</v>
      </c>
      <c r="D1058">
        <v>7110</v>
      </c>
      <c r="E1058" t="s">
        <v>371</v>
      </c>
      <c r="F1058" s="4">
        <v>900</v>
      </c>
      <c r="G1058" s="4">
        <v>315</v>
      </c>
      <c r="H1058" s="4">
        <v>315</v>
      </c>
      <c r="I1058" s="4">
        <v>0</v>
      </c>
      <c r="J1058" s="4">
        <v>1215</v>
      </c>
    </row>
    <row r="1059" spans="1:10" x14ac:dyDescent="0.75">
      <c r="A1059" t="s">
        <v>160</v>
      </c>
      <c r="B1059">
        <v>3924</v>
      </c>
      <c r="C1059" t="s">
        <v>111</v>
      </c>
      <c r="D1059">
        <v>6136</v>
      </c>
      <c r="E1059" t="s">
        <v>471</v>
      </c>
      <c r="F1059" s="4">
        <v>0</v>
      </c>
      <c r="G1059" s="4">
        <v>362</v>
      </c>
      <c r="H1059" s="4">
        <v>362</v>
      </c>
      <c r="I1059" s="4">
        <v>0</v>
      </c>
      <c r="J1059" s="4">
        <v>362</v>
      </c>
    </row>
    <row r="1060" spans="1:10" x14ac:dyDescent="0.75">
      <c r="A1060" t="s">
        <v>160</v>
      </c>
      <c r="B1060">
        <v>3924</v>
      </c>
      <c r="C1060" t="s">
        <v>111</v>
      </c>
      <c r="D1060">
        <v>5480</v>
      </c>
      <c r="E1060" t="s">
        <v>386</v>
      </c>
      <c r="F1060" s="4">
        <v>0</v>
      </c>
      <c r="G1060" s="4">
        <v>321</v>
      </c>
      <c r="H1060" s="4">
        <v>321</v>
      </c>
      <c r="I1060" s="4">
        <v>0</v>
      </c>
      <c r="J1060" s="4">
        <v>321</v>
      </c>
    </row>
    <row r="1061" spans="1:10" x14ac:dyDescent="0.75">
      <c r="A1061" t="s">
        <v>160</v>
      </c>
      <c r="B1061">
        <v>3924</v>
      </c>
      <c r="C1061" t="s">
        <v>111</v>
      </c>
      <c r="D1061">
        <v>3293</v>
      </c>
      <c r="E1061" t="s">
        <v>445</v>
      </c>
      <c r="F1061" s="4">
        <v>0</v>
      </c>
      <c r="G1061" s="4">
        <v>289</v>
      </c>
      <c r="H1061" s="4">
        <v>289</v>
      </c>
      <c r="I1061" s="4">
        <v>0</v>
      </c>
      <c r="J1061" s="4">
        <v>289</v>
      </c>
    </row>
    <row r="1062" spans="1:10" x14ac:dyDescent="0.75">
      <c r="A1062" t="s">
        <v>160</v>
      </c>
      <c r="B1062">
        <v>3924</v>
      </c>
      <c r="C1062" t="s">
        <v>111</v>
      </c>
      <c r="D1062">
        <v>3286</v>
      </c>
      <c r="E1062" t="s">
        <v>423</v>
      </c>
      <c r="F1062" s="4">
        <v>0</v>
      </c>
      <c r="G1062" s="4">
        <v>272</v>
      </c>
      <c r="H1062" s="4">
        <v>272</v>
      </c>
      <c r="I1062" s="4">
        <v>0</v>
      </c>
      <c r="J1062" s="4">
        <v>272</v>
      </c>
    </row>
    <row r="1063" spans="1:10" x14ac:dyDescent="0.75">
      <c r="A1063" t="s">
        <v>160</v>
      </c>
      <c r="B1063">
        <v>3924</v>
      </c>
      <c r="C1063" t="s">
        <v>111</v>
      </c>
      <c r="D1063">
        <v>7500</v>
      </c>
      <c r="E1063" t="s">
        <v>427</v>
      </c>
      <c r="F1063" s="4">
        <v>0</v>
      </c>
      <c r="G1063" s="4">
        <v>272</v>
      </c>
      <c r="H1063" s="4">
        <v>272</v>
      </c>
      <c r="I1063" s="4">
        <v>0</v>
      </c>
      <c r="J1063" s="4">
        <v>272</v>
      </c>
    </row>
    <row r="1064" spans="1:10" x14ac:dyDescent="0.75">
      <c r="A1064" t="s">
        <v>160</v>
      </c>
      <c r="B1064">
        <v>3924</v>
      </c>
      <c r="C1064" t="s">
        <v>111</v>
      </c>
      <c r="D1064">
        <v>7600</v>
      </c>
      <c r="E1064" t="s">
        <v>503</v>
      </c>
      <c r="F1064" s="4">
        <v>0</v>
      </c>
      <c r="G1064" s="4">
        <v>243</v>
      </c>
      <c r="H1064" s="4">
        <v>243</v>
      </c>
      <c r="I1064" s="4">
        <v>0</v>
      </c>
      <c r="J1064" s="4">
        <v>243</v>
      </c>
    </row>
    <row r="1065" spans="1:10" x14ac:dyDescent="0.75">
      <c r="A1065" t="s">
        <v>160</v>
      </c>
      <c r="B1065">
        <v>3924</v>
      </c>
      <c r="C1065" t="s">
        <v>111</v>
      </c>
      <c r="D1065">
        <v>3219</v>
      </c>
      <c r="E1065" t="s">
        <v>378</v>
      </c>
      <c r="F1065" s="4">
        <v>0</v>
      </c>
      <c r="G1065" s="4">
        <v>97</v>
      </c>
      <c r="H1065" s="4">
        <v>97</v>
      </c>
      <c r="I1065" s="4">
        <v>0</v>
      </c>
      <c r="J1065" s="4">
        <v>97</v>
      </c>
    </row>
    <row r="1066" spans="1:10" x14ac:dyDescent="0.75">
      <c r="A1066" t="s">
        <v>160</v>
      </c>
      <c r="B1066">
        <v>3924</v>
      </c>
      <c r="C1066" t="s">
        <v>111</v>
      </c>
      <c r="D1066">
        <v>3220</v>
      </c>
      <c r="E1066" t="s">
        <v>370</v>
      </c>
      <c r="F1066" s="4">
        <v>0</v>
      </c>
      <c r="G1066" s="4">
        <v>83</v>
      </c>
      <c r="H1066" s="4">
        <v>83</v>
      </c>
      <c r="I1066" s="4">
        <v>0</v>
      </c>
      <c r="J1066" s="4">
        <v>83</v>
      </c>
    </row>
    <row r="1067" spans="1:10" x14ac:dyDescent="0.75">
      <c r="A1067" t="s">
        <v>160</v>
      </c>
      <c r="B1067">
        <v>3924</v>
      </c>
      <c r="C1067" t="s">
        <v>111</v>
      </c>
      <c r="D1067">
        <v>3275</v>
      </c>
      <c r="E1067" t="s">
        <v>412</v>
      </c>
      <c r="F1067" s="4">
        <v>0</v>
      </c>
      <c r="G1067" s="4">
        <v>83</v>
      </c>
      <c r="H1067" s="4">
        <v>83</v>
      </c>
      <c r="I1067" s="4">
        <v>0</v>
      </c>
      <c r="J1067" s="4">
        <v>83</v>
      </c>
    </row>
    <row r="1068" spans="1:10" x14ac:dyDescent="0.75">
      <c r="A1068" t="s">
        <v>160</v>
      </c>
      <c r="B1068">
        <v>3924</v>
      </c>
      <c r="C1068" t="s">
        <v>111</v>
      </c>
      <c r="D1068">
        <v>3285</v>
      </c>
      <c r="E1068" t="s">
        <v>443</v>
      </c>
      <c r="F1068" s="4">
        <v>0</v>
      </c>
      <c r="G1068" s="4">
        <v>83</v>
      </c>
      <c r="H1068" s="4">
        <v>83</v>
      </c>
      <c r="I1068" s="4">
        <v>0</v>
      </c>
      <c r="J1068" s="4">
        <v>83</v>
      </c>
    </row>
    <row r="1069" spans="1:10" x14ac:dyDescent="0.75">
      <c r="A1069" t="s">
        <v>160</v>
      </c>
      <c r="B1069">
        <v>3924</v>
      </c>
      <c r="C1069" t="s">
        <v>111</v>
      </c>
      <c r="D1069">
        <v>7210</v>
      </c>
      <c r="E1069" t="s">
        <v>426</v>
      </c>
      <c r="F1069" s="4">
        <v>0</v>
      </c>
      <c r="G1069" s="4">
        <v>83</v>
      </c>
      <c r="H1069" s="4">
        <v>83</v>
      </c>
      <c r="I1069" s="4">
        <v>0</v>
      </c>
      <c r="J1069" s="4">
        <v>83</v>
      </c>
    </row>
    <row r="1070" spans="1:10" x14ac:dyDescent="0.75">
      <c r="A1070" t="s">
        <v>160</v>
      </c>
      <c r="B1070">
        <v>3924</v>
      </c>
      <c r="C1070" t="s">
        <v>111</v>
      </c>
      <c r="D1070">
        <v>7400</v>
      </c>
      <c r="E1070" t="s">
        <v>502</v>
      </c>
      <c r="F1070" s="4">
        <v>0</v>
      </c>
      <c r="G1070" s="4">
        <v>83</v>
      </c>
      <c r="H1070" s="4">
        <v>83</v>
      </c>
      <c r="I1070" s="4">
        <v>0</v>
      </c>
      <c r="J1070" s="4">
        <v>83</v>
      </c>
    </row>
    <row r="1071" spans="1:10" x14ac:dyDescent="0.75">
      <c r="A1071" t="s">
        <v>160</v>
      </c>
      <c r="B1071">
        <v>3924</v>
      </c>
      <c r="C1071" t="s">
        <v>111</v>
      </c>
      <c r="D1071">
        <v>6885</v>
      </c>
      <c r="E1071" t="s">
        <v>493</v>
      </c>
      <c r="F1071" s="4">
        <v>0</v>
      </c>
      <c r="G1071" s="4">
        <v>4</v>
      </c>
      <c r="H1071" s="4">
        <v>4</v>
      </c>
      <c r="I1071" s="4">
        <v>0</v>
      </c>
      <c r="J1071" s="4">
        <v>4</v>
      </c>
    </row>
    <row r="1072" spans="1:10" x14ac:dyDescent="0.75">
      <c r="A1072" t="s">
        <v>151</v>
      </c>
      <c r="B1072">
        <v>97</v>
      </c>
      <c r="C1072" t="s">
        <v>324</v>
      </c>
      <c r="D1072">
        <v>4225</v>
      </c>
      <c r="E1072" t="s">
        <v>380</v>
      </c>
      <c r="F1072" s="4">
        <v>0</v>
      </c>
      <c r="G1072" s="4">
        <v>45050</v>
      </c>
      <c r="H1072" s="4">
        <v>0</v>
      </c>
      <c r="I1072" s="4">
        <v>45050</v>
      </c>
      <c r="J1072" s="4">
        <v>45050</v>
      </c>
    </row>
    <row r="1073" spans="1:10" x14ac:dyDescent="0.75">
      <c r="A1073" t="s">
        <v>151</v>
      </c>
      <c r="B1073">
        <v>97</v>
      </c>
      <c r="C1073" t="s">
        <v>324</v>
      </c>
      <c r="D1073">
        <v>5480</v>
      </c>
      <c r="E1073" t="s">
        <v>386</v>
      </c>
      <c r="F1073" s="4">
        <v>0</v>
      </c>
      <c r="G1073" s="4">
        <v>20</v>
      </c>
      <c r="H1073" s="4">
        <v>20</v>
      </c>
      <c r="I1073" s="4">
        <v>0</v>
      </c>
      <c r="J1073" s="4">
        <v>20</v>
      </c>
    </row>
    <row r="1074" spans="1:10" x14ac:dyDescent="0.75">
      <c r="A1074" t="s">
        <v>163</v>
      </c>
      <c r="B1074">
        <v>2369</v>
      </c>
      <c r="C1074" t="s">
        <v>284</v>
      </c>
      <c r="D1074">
        <v>6344</v>
      </c>
      <c r="E1074" t="s">
        <v>392</v>
      </c>
      <c r="F1074" s="4">
        <v>228868</v>
      </c>
      <c r="G1074" s="4">
        <v>0</v>
      </c>
      <c r="H1074" s="4">
        <v>0</v>
      </c>
      <c r="I1074" s="4">
        <v>0</v>
      </c>
      <c r="J1074" s="4">
        <v>228868</v>
      </c>
    </row>
    <row r="1075" spans="1:10" x14ac:dyDescent="0.75">
      <c r="A1075" t="s">
        <v>163</v>
      </c>
      <c r="B1075">
        <v>2369</v>
      </c>
      <c r="C1075" t="s">
        <v>284</v>
      </c>
      <c r="D1075">
        <v>6522</v>
      </c>
      <c r="E1075" t="s">
        <v>393</v>
      </c>
      <c r="F1075" s="4">
        <v>91427</v>
      </c>
      <c r="G1075" s="4">
        <v>0</v>
      </c>
      <c r="H1075" s="4">
        <v>0</v>
      </c>
      <c r="I1075" s="4">
        <v>0</v>
      </c>
      <c r="J1075" s="4">
        <v>91427</v>
      </c>
    </row>
    <row r="1076" spans="1:10" x14ac:dyDescent="0.75">
      <c r="A1076" t="s">
        <v>163</v>
      </c>
      <c r="B1076">
        <v>2369</v>
      </c>
      <c r="C1076" t="s">
        <v>284</v>
      </c>
      <c r="D1076">
        <v>6241</v>
      </c>
      <c r="E1076" t="s">
        <v>391</v>
      </c>
      <c r="F1076" s="4">
        <v>60041</v>
      </c>
      <c r="G1076" s="4">
        <v>0</v>
      </c>
      <c r="H1076" s="4">
        <v>0</v>
      </c>
      <c r="I1076" s="4">
        <v>0</v>
      </c>
      <c r="J1076" s="4">
        <v>60041</v>
      </c>
    </row>
    <row r="1077" spans="1:10" x14ac:dyDescent="0.75">
      <c r="A1077" t="s">
        <v>163</v>
      </c>
      <c r="B1077">
        <v>2369</v>
      </c>
      <c r="C1077" t="s">
        <v>284</v>
      </c>
      <c r="D1077">
        <v>3190</v>
      </c>
      <c r="E1077" t="s">
        <v>408</v>
      </c>
      <c r="F1077" s="4">
        <v>23091</v>
      </c>
      <c r="G1077" s="4">
        <v>0</v>
      </c>
      <c r="H1077" s="4">
        <v>0</v>
      </c>
      <c r="I1077" s="4">
        <v>0</v>
      </c>
      <c r="J1077" s="4">
        <v>23091</v>
      </c>
    </row>
    <row r="1078" spans="1:10" x14ac:dyDescent="0.75">
      <c r="A1078" t="s">
        <v>163</v>
      </c>
      <c r="B1078">
        <v>2369</v>
      </c>
      <c r="C1078" t="s">
        <v>284</v>
      </c>
      <c r="D1078">
        <v>3130</v>
      </c>
      <c r="E1078" t="s">
        <v>407</v>
      </c>
      <c r="F1078" s="4">
        <v>22601</v>
      </c>
      <c r="G1078" s="4">
        <v>0</v>
      </c>
      <c r="H1078" s="4">
        <v>0</v>
      </c>
      <c r="I1078" s="4">
        <v>0</v>
      </c>
      <c r="J1078" s="4">
        <v>22601</v>
      </c>
    </row>
    <row r="1079" spans="1:10" x14ac:dyDescent="0.75">
      <c r="A1079" t="s">
        <v>163</v>
      </c>
      <c r="B1079">
        <v>2369</v>
      </c>
      <c r="C1079" t="s">
        <v>284</v>
      </c>
      <c r="D1079">
        <v>3110</v>
      </c>
      <c r="E1079" t="s">
        <v>405</v>
      </c>
      <c r="F1079" s="4">
        <v>7728</v>
      </c>
      <c r="G1079" s="4">
        <v>0</v>
      </c>
      <c r="H1079" s="4">
        <v>0</v>
      </c>
      <c r="I1079" s="4">
        <v>0</v>
      </c>
      <c r="J1079" s="4">
        <v>7728</v>
      </c>
    </row>
    <row r="1080" spans="1:10" x14ac:dyDescent="0.75">
      <c r="A1080" t="s">
        <v>163</v>
      </c>
      <c r="B1080">
        <v>2369</v>
      </c>
      <c r="C1080" t="s">
        <v>284</v>
      </c>
      <c r="D1080">
        <v>3120</v>
      </c>
      <c r="E1080" t="s">
        <v>406</v>
      </c>
      <c r="F1080" s="4">
        <v>4552</v>
      </c>
      <c r="G1080" s="4">
        <v>0</v>
      </c>
      <c r="H1080" s="4">
        <v>0</v>
      </c>
      <c r="I1080" s="4">
        <v>0</v>
      </c>
      <c r="J1080" s="4">
        <v>4552</v>
      </c>
    </row>
    <row r="1081" spans="1:10" x14ac:dyDescent="0.75">
      <c r="A1081" t="s">
        <v>163</v>
      </c>
      <c r="B1081">
        <v>2369</v>
      </c>
      <c r="C1081" t="s">
        <v>284</v>
      </c>
      <c r="D1081">
        <v>6590</v>
      </c>
      <c r="E1081" t="s">
        <v>394</v>
      </c>
      <c r="F1081" s="4">
        <v>1589</v>
      </c>
      <c r="G1081" s="4">
        <v>0</v>
      </c>
      <c r="H1081" s="4">
        <v>0</v>
      </c>
      <c r="I1081" s="4">
        <v>0</v>
      </c>
      <c r="J1081" s="4">
        <v>1589</v>
      </c>
    </row>
    <row r="1082" spans="1:10" x14ac:dyDescent="0.75">
      <c r="A1082" t="s">
        <v>160</v>
      </c>
      <c r="B1082">
        <v>3221</v>
      </c>
      <c r="C1082" t="s">
        <v>267</v>
      </c>
      <c r="D1082">
        <v>4322</v>
      </c>
      <c r="E1082" t="s">
        <v>398</v>
      </c>
      <c r="F1082" s="4">
        <v>390178</v>
      </c>
      <c r="G1082" s="4">
        <v>19955</v>
      </c>
      <c r="H1082" s="4">
        <v>19955</v>
      </c>
      <c r="I1082" s="4">
        <v>0</v>
      </c>
      <c r="J1082" s="4">
        <v>410133</v>
      </c>
    </row>
    <row r="1083" spans="1:10" x14ac:dyDescent="0.75">
      <c r="A1083" t="s">
        <v>160</v>
      </c>
      <c r="B1083">
        <v>3221</v>
      </c>
      <c r="C1083" t="s">
        <v>267</v>
      </c>
      <c r="D1083">
        <v>4331</v>
      </c>
      <c r="E1083" t="s">
        <v>390</v>
      </c>
      <c r="F1083" s="4">
        <v>219678</v>
      </c>
      <c r="G1083" s="4">
        <v>19842</v>
      </c>
      <c r="H1083" s="4">
        <v>19842</v>
      </c>
      <c r="I1083" s="4">
        <v>0</v>
      </c>
      <c r="J1083" s="4">
        <v>239520</v>
      </c>
    </row>
    <row r="1084" spans="1:10" x14ac:dyDescent="0.75">
      <c r="A1084" t="s">
        <v>160</v>
      </c>
      <c r="B1084">
        <v>3221</v>
      </c>
      <c r="C1084" t="s">
        <v>267</v>
      </c>
      <c r="D1084">
        <v>4783</v>
      </c>
      <c r="E1084" t="s">
        <v>382</v>
      </c>
      <c r="F1084" s="4">
        <v>35999</v>
      </c>
      <c r="G1084" s="4">
        <v>97602</v>
      </c>
      <c r="H1084" s="4">
        <v>97602</v>
      </c>
      <c r="I1084" s="4">
        <v>0</v>
      </c>
      <c r="J1084" s="4">
        <v>133601</v>
      </c>
    </row>
    <row r="1085" spans="1:10" x14ac:dyDescent="0.75">
      <c r="A1085" t="s">
        <v>160</v>
      </c>
      <c r="B1085">
        <v>3221</v>
      </c>
      <c r="C1085" t="s">
        <v>267</v>
      </c>
      <c r="D1085">
        <v>5480</v>
      </c>
      <c r="E1085" t="s">
        <v>386</v>
      </c>
      <c r="F1085" s="4">
        <v>0</v>
      </c>
      <c r="G1085" s="4">
        <v>2122</v>
      </c>
      <c r="H1085" s="4">
        <v>2122</v>
      </c>
      <c r="I1085" s="4">
        <v>0</v>
      </c>
      <c r="J1085" s="4">
        <v>2122</v>
      </c>
    </row>
    <row r="1086" spans="1:10" x14ac:dyDescent="0.75">
      <c r="A1086" t="s">
        <v>160</v>
      </c>
      <c r="B1086">
        <v>3221</v>
      </c>
      <c r="C1086" t="s">
        <v>267</v>
      </c>
      <c r="D1086">
        <v>7600</v>
      </c>
      <c r="E1086" t="s">
        <v>503</v>
      </c>
      <c r="F1086" s="4">
        <v>0</v>
      </c>
      <c r="G1086" s="4">
        <v>1127</v>
      </c>
      <c r="H1086" s="4">
        <v>1127</v>
      </c>
      <c r="I1086" s="4">
        <v>0</v>
      </c>
      <c r="J1086" s="4">
        <v>1127</v>
      </c>
    </row>
    <row r="1087" spans="1:10" x14ac:dyDescent="0.75">
      <c r="A1087" t="s">
        <v>160</v>
      </c>
      <c r="B1087">
        <v>3221</v>
      </c>
      <c r="C1087" t="s">
        <v>267</v>
      </c>
      <c r="D1087">
        <v>7210</v>
      </c>
      <c r="E1087" t="s">
        <v>426</v>
      </c>
      <c r="F1087" s="4">
        <v>0</v>
      </c>
      <c r="G1087" s="4">
        <v>80</v>
      </c>
      <c r="H1087" s="4">
        <v>80</v>
      </c>
      <c r="I1087" s="4">
        <v>0</v>
      </c>
      <c r="J1087" s="4">
        <v>80</v>
      </c>
    </row>
    <row r="1088" spans="1:10" x14ac:dyDescent="0.75">
      <c r="A1088" t="s">
        <v>160</v>
      </c>
      <c r="B1088">
        <v>3795</v>
      </c>
      <c r="C1088" t="s">
        <v>307</v>
      </c>
      <c r="D1088">
        <v>4410</v>
      </c>
      <c r="E1088" t="s">
        <v>399</v>
      </c>
      <c r="F1088" s="4">
        <v>51772</v>
      </c>
      <c r="G1088" s="4">
        <v>0</v>
      </c>
      <c r="H1088" s="4">
        <v>0</v>
      </c>
      <c r="I1088" s="4">
        <v>0</v>
      </c>
      <c r="J1088" s="4">
        <v>51772</v>
      </c>
    </row>
    <row r="1089" spans="1:10" x14ac:dyDescent="0.75">
      <c r="A1089" t="s">
        <v>160</v>
      </c>
      <c r="B1089">
        <v>3795</v>
      </c>
      <c r="C1089" t="s">
        <v>307</v>
      </c>
      <c r="D1089">
        <v>4783</v>
      </c>
      <c r="E1089" t="s">
        <v>382</v>
      </c>
      <c r="F1089" s="4">
        <v>0</v>
      </c>
      <c r="G1089" s="4">
        <v>26455</v>
      </c>
      <c r="H1089" s="4">
        <v>26455</v>
      </c>
      <c r="I1089" s="4">
        <v>0</v>
      </c>
      <c r="J1089" s="4">
        <v>26455</v>
      </c>
    </row>
    <row r="1090" spans="1:10" x14ac:dyDescent="0.75">
      <c r="A1090" t="s">
        <v>160</v>
      </c>
      <c r="B1090">
        <v>3795</v>
      </c>
      <c r="C1090" t="s">
        <v>307</v>
      </c>
      <c r="D1090">
        <v>1100</v>
      </c>
      <c r="E1090" t="s">
        <v>397</v>
      </c>
      <c r="F1090" s="4">
        <v>19278</v>
      </c>
      <c r="G1090" s="4">
        <v>0</v>
      </c>
      <c r="H1090" s="4">
        <v>0</v>
      </c>
      <c r="I1090" s="4">
        <v>0</v>
      </c>
      <c r="J1090" s="4">
        <v>19278</v>
      </c>
    </row>
    <row r="1091" spans="1:10" x14ac:dyDescent="0.75">
      <c r="A1091" t="s">
        <v>160</v>
      </c>
      <c r="B1091">
        <v>3795</v>
      </c>
      <c r="C1091" t="s">
        <v>307</v>
      </c>
      <c r="D1091">
        <v>4420</v>
      </c>
      <c r="E1091" t="s">
        <v>381</v>
      </c>
      <c r="F1091" s="4">
        <v>0</v>
      </c>
      <c r="G1091" s="4">
        <v>5240</v>
      </c>
      <c r="H1091" s="4">
        <v>5240</v>
      </c>
      <c r="I1091" s="4">
        <v>0</v>
      </c>
      <c r="J1091" s="4">
        <v>5240</v>
      </c>
    </row>
    <row r="1092" spans="1:10" x14ac:dyDescent="0.75">
      <c r="A1092" t="s">
        <v>160</v>
      </c>
      <c r="B1092">
        <v>3795</v>
      </c>
      <c r="C1092" t="s">
        <v>307</v>
      </c>
      <c r="D1092">
        <v>7900</v>
      </c>
      <c r="E1092" t="s">
        <v>388</v>
      </c>
      <c r="F1092" s="4">
        <v>550</v>
      </c>
      <c r="G1092" s="4">
        <v>0</v>
      </c>
      <c r="H1092" s="4">
        <v>0</v>
      </c>
      <c r="I1092" s="4">
        <v>0</v>
      </c>
      <c r="J1092" s="4">
        <v>550</v>
      </c>
    </row>
    <row r="1093" spans="1:10" x14ac:dyDescent="0.75">
      <c r="A1093" t="s">
        <v>160</v>
      </c>
      <c r="B1093">
        <v>3795</v>
      </c>
      <c r="C1093" t="s">
        <v>307</v>
      </c>
      <c r="D1093">
        <v>7110</v>
      </c>
      <c r="E1093" t="s">
        <v>371</v>
      </c>
      <c r="F1093" s="4">
        <v>80</v>
      </c>
      <c r="G1093" s="4">
        <v>0</v>
      </c>
      <c r="H1093" s="4">
        <v>0</v>
      </c>
      <c r="I1093" s="4">
        <v>0</v>
      </c>
      <c r="J1093" s="4">
        <v>80</v>
      </c>
    </row>
    <row r="1094" spans="1:10" x14ac:dyDescent="0.75">
      <c r="A1094" t="s">
        <v>160</v>
      </c>
      <c r="B1094">
        <v>3795</v>
      </c>
      <c r="C1094" t="s">
        <v>307</v>
      </c>
      <c r="D1094">
        <v>5422</v>
      </c>
      <c r="E1094" t="s">
        <v>468</v>
      </c>
      <c r="F1094" s="4">
        <v>40</v>
      </c>
      <c r="G1094" s="4">
        <v>0</v>
      </c>
      <c r="H1094" s="4">
        <v>0</v>
      </c>
      <c r="I1094" s="4">
        <v>0</v>
      </c>
      <c r="J1094" s="4">
        <v>40</v>
      </c>
    </row>
    <row r="1095" spans="1:10" x14ac:dyDescent="0.75">
      <c r="A1095" t="s">
        <v>160</v>
      </c>
      <c r="B1095">
        <v>3228</v>
      </c>
      <c r="C1095" t="s">
        <v>281</v>
      </c>
      <c r="D1095">
        <v>4322</v>
      </c>
      <c r="E1095" t="s">
        <v>398</v>
      </c>
      <c r="F1095" s="4">
        <v>362415</v>
      </c>
      <c r="G1095" s="4">
        <v>0</v>
      </c>
      <c r="H1095" s="4">
        <v>0</v>
      </c>
      <c r="I1095" s="4">
        <v>0</v>
      </c>
      <c r="J1095" s="4">
        <v>362415</v>
      </c>
    </row>
    <row r="1096" spans="1:10" x14ac:dyDescent="0.75">
      <c r="A1096" t="s">
        <v>160</v>
      </c>
      <c r="B1096">
        <v>3228</v>
      </c>
      <c r="C1096" t="s">
        <v>281</v>
      </c>
      <c r="D1096">
        <v>4331</v>
      </c>
      <c r="E1096" t="s">
        <v>390</v>
      </c>
      <c r="F1096" s="4">
        <v>7000</v>
      </c>
      <c r="G1096" s="4">
        <v>43227</v>
      </c>
      <c r="H1096" s="4">
        <v>33675</v>
      </c>
      <c r="I1096" s="4">
        <v>9552</v>
      </c>
      <c r="J1096" s="4">
        <v>50227</v>
      </c>
    </row>
    <row r="1097" spans="1:10" x14ac:dyDescent="0.75">
      <c r="A1097" t="s">
        <v>160</v>
      </c>
      <c r="B1097">
        <v>3228</v>
      </c>
      <c r="C1097" t="s">
        <v>281</v>
      </c>
      <c r="D1097">
        <v>4782</v>
      </c>
      <c r="E1097" t="s">
        <v>414</v>
      </c>
      <c r="F1097" s="4">
        <v>0</v>
      </c>
      <c r="G1097" s="4">
        <v>46530</v>
      </c>
      <c r="H1097" s="4">
        <v>46530</v>
      </c>
      <c r="I1097" s="4">
        <v>0</v>
      </c>
      <c r="J1097" s="4">
        <v>46530</v>
      </c>
    </row>
    <row r="1098" spans="1:10" x14ac:dyDescent="0.75">
      <c r="A1098" t="s">
        <v>151</v>
      </c>
      <c r="B1098">
        <v>232</v>
      </c>
      <c r="C1098" t="s">
        <v>104</v>
      </c>
      <c r="D1098">
        <v>3274</v>
      </c>
      <c r="E1098" t="s">
        <v>438</v>
      </c>
      <c r="F1098" s="4">
        <v>0</v>
      </c>
      <c r="G1098" s="4">
        <v>22097</v>
      </c>
      <c r="H1098" s="4">
        <v>22097</v>
      </c>
      <c r="I1098" s="4">
        <v>0</v>
      </c>
      <c r="J1098" s="4">
        <v>22097</v>
      </c>
    </row>
    <row r="1099" spans="1:10" x14ac:dyDescent="0.75">
      <c r="A1099" t="s">
        <v>151</v>
      </c>
      <c r="B1099">
        <v>232</v>
      </c>
      <c r="C1099" t="s">
        <v>104</v>
      </c>
      <c r="D1099">
        <v>3299</v>
      </c>
      <c r="E1099" t="s">
        <v>448</v>
      </c>
      <c r="F1099" s="4">
        <v>0</v>
      </c>
      <c r="G1099" s="4">
        <v>6393</v>
      </c>
      <c r="H1099" s="4">
        <v>0</v>
      </c>
      <c r="I1099" s="4">
        <v>6393</v>
      </c>
      <c r="J1099" s="4">
        <v>6393</v>
      </c>
    </row>
    <row r="1100" spans="1:10" x14ac:dyDescent="0.75">
      <c r="A1100" t="s">
        <v>151</v>
      </c>
      <c r="B1100">
        <v>232</v>
      </c>
      <c r="C1100" t="s">
        <v>104</v>
      </c>
      <c r="D1100">
        <v>6835</v>
      </c>
      <c r="E1100" t="s">
        <v>483</v>
      </c>
      <c r="F1100" s="4">
        <v>0</v>
      </c>
      <c r="G1100" s="4">
        <v>261</v>
      </c>
      <c r="H1100" s="4">
        <v>261</v>
      </c>
      <c r="I1100" s="4">
        <v>0</v>
      </c>
      <c r="J1100" s="4">
        <v>261</v>
      </c>
    </row>
    <row r="1101" spans="1:10" x14ac:dyDescent="0.75">
      <c r="A1101" t="s">
        <v>151</v>
      </c>
      <c r="B1101">
        <v>232</v>
      </c>
      <c r="C1101" t="s">
        <v>104</v>
      </c>
      <c r="D1101">
        <v>7900</v>
      </c>
      <c r="E1101" t="s">
        <v>388</v>
      </c>
      <c r="F1101" s="4">
        <v>0</v>
      </c>
      <c r="G1101" s="4">
        <v>196</v>
      </c>
      <c r="H1101" s="4">
        <v>196</v>
      </c>
      <c r="I1101" s="4">
        <v>0</v>
      </c>
      <c r="J1101" s="4">
        <v>196</v>
      </c>
    </row>
    <row r="1102" spans="1:10" x14ac:dyDescent="0.75">
      <c r="A1102" t="s">
        <v>151</v>
      </c>
      <c r="B1102">
        <v>232</v>
      </c>
      <c r="C1102" t="s">
        <v>104</v>
      </c>
      <c r="D1102">
        <v>3276</v>
      </c>
      <c r="E1102" t="s">
        <v>379</v>
      </c>
      <c r="F1102" s="4">
        <v>0</v>
      </c>
      <c r="G1102" s="4">
        <v>105</v>
      </c>
      <c r="H1102" s="4">
        <v>105</v>
      </c>
      <c r="I1102" s="4">
        <v>0</v>
      </c>
      <c r="J1102" s="4">
        <v>105</v>
      </c>
    </row>
    <row r="1103" spans="1:10" x14ac:dyDescent="0.75">
      <c r="A1103" t="s">
        <v>151</v>
      </c>
      <c r="B1103">
        <v>232</v>
      </c>
      <c r="C1103" t="s">
        <v>104</v>
      </c>
      <c r="D1103">
        <v>6885</v>
      </c>
      <c r="E1103" t="s">
        <v>493</v>
      </c>
      <c r="F1103" s="4">
        <v>0</v>
      </c>
      <c r="G1103" s="4">
        <v>81</v>
      </c>
      <c r="H1103" s="4">
        <v>81</v>
      </c>
      <c r="I1103" s="4">
        <v>0</v>
      </c>
      <c r="J1103" s="4">
        <v>81</v>
      </c>
    </row>
    <row r="1104" spans="1:10" x14ac:dyDescent="0.75">
      <c r="A1104" t="s">
        <v>151</v>
      </c>
      <c r="B1104">
        <v>232</v>
      </c>
      <c r="C1104" t="s">
        <v>104</v>
      </c>
      <c r="D1104">
        <v>6747</v>
      </c>
      <c r="E1104" t="s">
        <v>478</v>
      </c>
      <c r="F1104" s="4">
        <v>0</v>
      </c>
      <c r="G1104" s="4">
        <v>50</v>
      </c>
      <c r="H1104" s="4">
        <v>50</v>
      </c>
      <c r="I1104" s="4">
        <v>0</v>
      </c>
      <c r="J1104" s="4">
        <v>50</v>
      </c>
    </row>
    <row r="1105" spans="1:10" x14ac:dyDescent="0.75">
      <c r="A1105" t="s">
        <v>151</v>
      </c>
      <c r="B1105">
        <v>232</v>
      </c>
      <c r="C1105" t="s">
        <v>104</v>
      </c>
      <c r="D1105">
        <v>3240</v>
      </c>
      <c r="E1105" t="s">
        <v>410</v>
      </c>
      <c r="F1105" s="4">
        <v>0</v>
      </c>
      <c r="G1105" s="4">
        <v>33</v>
      </c>
      <c r="H1105" s="4">
        <v>33</v>
      </c>
      <c r="I1105" s="4">
        <v>0</v>
      </c>
      <c r="J1105" s="4">
        <v>33</v>
      </c>
    </row>
    <row r="1106" spans="1:10" x14ac:dyDescent="0.75">
      <c r="A1106" t="s">
        <v>151</v>
      </c>
      <c r="B1106">
        <v>232</v>
      </c>
      <c r="C1106" t="s">
        <v>104</v>
      </c>
      <c r="D1106">
        <v>7210</v>
      </c>
      <c r="E1106" t="s">
        <v>426</v>
      </c>
      <c r="F1106" s="4">
        <v>0</v>
      </c>
      <c r="G1106" s="4">
        <v>30</v>
      </c>
      <c r="H1106" s="4">
        <v>30</v>
      </c>
      <c r="I1106" s="4">
        <v>0</v>
      </c>
      <c r="J1106" s="4">
        <v>30</v>
      </c>
    </row>
    <row r="1107" spans="1:10" x14ac:dyDescent="0.75">
      <c r="A1107" t="s">
        <v>151</v>
      </c>
      <c r="B1107">
        <v>232</v>
      </c>
      <c r="C1107" t="s">
        <v>104</v>
      </c>
      <c r="D1107">
        <v>6654</v>
      </c>
      <c r="E1107" t="s">
        <v>419</v>
      </c>
      <c r="F1107" s="4">
        <v>0</v>
      </c>
      <c r="G1107" s="4">
        <v>13</v>
      </c>
      <c r="H1107" s="4">
        <v>13</v>
      </c>
      <c r="I1107" s="4">
        <v>0</v>
      </c>
      <c r="J1107" s="4">
        <v>13</v>
      </c>
    </row>
    <row r="1108" spans="1:10" x14ac:dyDescent="0.75">
      <c r="A1108" t="s">
        <v>151</v>
      </c>
      <c r="B1108">
        <v>232</v>
      </c>
      <c r="C1108" t="s">
        <v>104</v>
      </c>
      <c r="D1108">
        <v>3230</v>
      </c>
      <c r="E1108" t="s">
        <v>434</v>
      </c>
      <c r="F1108" s="4">
        <v>0</v>
      </c>
      <c r="G1108" s="4">
        <v>12</v>
      </c>
      <c r="H1108" s="4">
        <v>12</v>
      </c>
      <c r="I1108" s="4">
        <v>0</v>
      </c>
      <c r="J1108" s="4">
        <v>12</v>
      </c>
    </row>
    <row r="1109" spans="1:10" x14ac:dyDescent="0.75">
      <c r="A1109" t="s">
        <v>151</v>
      </c>
      <c r="B1109">
        <v>232</v>
      </c>
      <c r="C1109" t="s">
        <v>104</v>
      </c>
      <c r="D1109">
        <v>7600</v>
      </c>
      <c r="E1109" t="s">
        <v>503</v>
      </c>
      <c r="F1109" s="4">
        <v>0</v>
      </c>
      <c r="G1109" s="4">
        <v>7</v>
      </c>
      <c r="H1109" s="4">
        <v>7</v>
      </c>
      <c r="I1109" s="4">
        <v>0</v>
      </c>
      <c r="J1109" s="4">
        <v>7</v>
      </c>
    </row>
    <row r="1110" spans="1:10" x14ac:dyDescent="0.75">
      <c r="A1110" t="s">
        <v>151</v>
      </c>
      <c r="B1110">
        <v>232</v>
      </c>
      <c r="C1110" t="s">
        <v>104</v>
      </c>
      <c r="D1110">
        <v>6822</v>
      </c>
      <c r="E1110" t="s">
        <v>482</v>
      </c>
      <c r="F1110" s="4">
        <v>0</v>
      </c>
      <c r="G1110" s="4">
        <v>2</v>
      </c>
      <c r="H1110" s="4">
        <v>2</v>
      </c>
      <c r="I1110" s="4">
        <v>0</v>
      </c>
      <c r="J1110" s="4">
        <v>2</v>
      </c>
    </row>
    <row r="1111" spans="1:10" x14ac:dyDescent="0.75">
      <c r="A1111" t="s">
        <v>151</v>
      </c>
      <c r="B1111">
        <v>232</v>
      </c>
      <c r="C1111" t="s">
        <v>104</v>
      </c>
      <c r="D1111">
        <v>9900</v>
      </c>
      <c r="E1111" t="s">
        <v>389</v>
      </c>
      <c r="F1111" s="4">
        <v>0</v>
      </c>
      <c r="G1111" s="4">
        <v>1</v>
      </c>
      <c r="H1111" s="4">
        <v>1</v>
      </c>
      <c r="I1111" s="4">
        <v>0</v>
      </c>
      <c r="J1111" s="4">
        <v>1</v>
      </c>
    </row>
    <row r="1112" spans="1:10" x14ac:dyDescent="0.75">
      <c r="A1112" t="s">
        <v>151</v>
      </c>
      <c r="B1112">
        <v>95</v>
      </c>
      <c r="C1112" t="s">
        <v>357</v>
      </c>
      <c r="D1112">
        <v>7900</v>
      </c>
      <c r="E1112" t="s">
        <v>388</v>
      </c>
      <c r="F1112" s="4">
        <v>112</v>
      </c>
      <c r="G1112" s="4">
        <v>0</v>
      </c>
      <c r="H1112" s="4">
        <v>0</v>
      </c>
      <c r="I1112" s="4">
        <v>0</v>
      </c>
      <c r="J1112" s="4">
        <v>112</v>
      </c>
    </row>
    <row r="1113" spans="1:10" x14ac:dyDescent="0.75">
      <c r="A1113" t="s">
        <v>151</v>
      </c>
      <c r="B1113">
        <v>4905</v>
      </c>
      <c r="C1113" t="s">
        <v>77</v>
      </c>
      <c r="D1113">
        <v>6134</v>
      </c>
      <c r="E1113" t="s">
        <v>470</v>
      </c>
      <c r="F1113" s="4">
        <v>26973</v>
      </c>
      <c r="G1113" s="4">
        <v>0</v>
      </c>
      <c r="H1113" s="4">
        <v>0</v>
      </c>
      <c r="I1113" s="4">
        <v>0</v>
      </c>
      <c r="J1113" s="4">
        <v>26973</v>
      </c>
    </row>
    <row r="1114" spans="1:10" x14ac:dyDescent="0.75">
      <c r="A1114" t="s">
        <v>151</v>
      </c>
      <c r="B1114">
        <v>4905</v>
      </c>
      <c r="C1114" t="s">
        <v>77</v>
      </c>
      <c r="D1114">
        <v>7900</v>
      </c>
      <c r="E1114" t="s">
        <v>388</v>
      </c>
      <c r="F1114" s="4">
        <v>6553</v>
      </c>
      <c r="G1114" s="4">
        <v>0</v>
      </c>
      <c r="H1114" s="4">
        <v>0</v>
      </c>
      <c r="I1114" s="4">
        <v>0</v>
      </c>
      <c r="J1114" s="4">
        <v>6553</v>
      </c>
    </row>
    <row r="1115" spans="1:10" x14ac:dyDescent="0.75">
      <c r="A1115" t="s">
        <v>151</v>
      </c>
      <c r="B1115">
        <v>4905</v>
      </c>
      <c r="C1115" t="s">
        <v>77</v>
      </c>
      <c r="D1115">
        <v>6835</v>
      </c>
      <c r="E1115" t="s">
        <v>483</v>
      </c>
      <c r="F1115" s="4">
        <v>4089</v>
      </c>
      <c r="G1115" s="4">
        <v>0</v>
      </c>
      <c r="H1115" s="4">
        <v>0</v>
      </c>
      <c r="I1115" s="4">
        <v>0</v>
      </c>
      <c r="J1115" s="4">
        <v>4089</v>
      </c>
    </row>
    <row r="1116" spans="1:10" x14ac:dyDescent="0.75">
      <c r="A1116" t="s">
        <v>151</v>
      </c>
      <c r="B1116">
        <v>4905</v>
      </c>
      <c r="C1116" t="s">
        <v>77</v>
      </c>
      <c r="D1116">
        <v>2990</v>
      </c>
      <c r="E1116" t="s">
        <v>432</v>
      </c>
      <c r="F1116" s="4">
        <v>1449</v>
      </c>
      <c r="G1116" s="4">
        <v>0</v>
      </c>
      <c r="H1116" s="4">
        <v>0</v>
      </c>
      <c r="I1116" s="4">
        <v>0</v>
      </c>
      <c r="J1116" s="4">
        <v>1449</v>
      </c>
    </row>
    <row r="1117" spans="1:10" x14ac:dyDescent="0.75">
      <c r="A1117" t="s">
        <v>151</v>
      </c>
      <c r="B1117">
        <v>4905</v>
      </c>
      <c r="C1117" t="s">
        <v>77</v>
      </c>
      <c r="D1117">
        <v>6887</v>
      </c>
      <c r="E1117" t="s">
        <v>505</v>
      </c>
      <c r="F1117" s="4">
        <v>665</v>
      </c>
      <c r="G1117" s="4">
        <v>0</v>
      </c>
      <c r="H1117" s="4">
        <v>0</v>
      </c>
      <c r="I1117" s="4">
        <v>0</v>
      </c>
      <c r="J1117" s="4">
        <v>665</v>
      </c>
    </row>
    <row r="1118" spans="1:10" x14ac:dyDescent="0.75">
      <c r="A1118" t="s">
        <v>151</v>
      </c>
      <c r="B1118">
        <v>4905</v>
      </c>
      <c r="C1118" t="s">
        <v>77</v>
      </c>
      <c r="D1118">
        <v>6782</v>
      </c>
      <c r="E1118" t="s">
        <v>396</v>
      </c>
      <c r="F1118" s="4">
        <v>551</v>
      </c>
      <c r="G1118" s="4">
        <v>0</v>
      </c>
      <c r="H1118" s="4">
        <v>0</v>
      </c>
      <c r="I1118" s="4">
        <v>0</v>
      </c>
      <c r="J1118" s="4">
        <v>551</v>
      </c>
    </row>
    <row r="1119" spans="1:10" x14ac:dyDescent="0.75">
      <c r="A1119" t="s">
        <v>151</v>
      </c>
      <c r="B1119">
        <v>4905</v>
      </c>
      <c r="C1119" t="s">
        <v>77</v>
      </c>
      <c r="D1119">
        <v>7400</v>
      </c>
      <c r="E1119" t="s">
        <v>502</v>
      </c>
      <c r="F1119" s="4">
        <v>453</v>
      </c>
      <c r="G1119" s="4">
        <v>0</v>
      </c>
      <c r="H1119" s="4">
        <v>0</v>
      </c>
      <c r="I1119" s="4">
        <v>0</v>
      </c>
      <c r="J1119" s="4">
        <v>453</v>
      </c>
    </row>
    <row r="1120" spans="1:10" x14ac:dyDescent="0.75">
      <c r="A1120" t="s">
        <v>151</v>
      </c>
      <c r="B1120">
        <v>4905</v>
      </c>
      <c r="C1120" t="s">
        <v>77</v>
      </c>
      <c r="D1120">
        <v>5190</v>
      </c>
      <c r="E1120" t="s">
        <v>462</v>
      </c>
      <c r="F1120" s="4">
        <v>359</v>
      </c>
      <c r="G1120" s="4">
        <v>0</v>
      </c>
      <c r="H1120" s="4">
        <v>0</v>
      </c>
      <c r="I1120" s="4">
        <v>0</v>
      </c>
      <c r="J1120" s="4">
        <v>359</v>
      </c>
    </row>
    <row r="1121" spans="1:10" x14ac:dyDescent="0.75">
      <c r="A1121" t="s">
        <v>151</v>
      </c>
      <c r="B1121">
        <v>4905</v>
      </c>
      <c r="C1121" t="s">
        <v>77</v>
      </c>
      <c r="D1121">
        <v>6136</v>
      </c>
      <c r="E1121" t="s">
        <v>471</v>
      </c>
      <c r="F1121" s="4">
        <v>122</v>
      </c>
      <c r="G1121" s="4">
        <v>0</v>
      </c>
      <c r="H1121" s="4">
        <v>0</v>
      </c>
      <c r="I1121" s="4">
        <v>0</v>
      </c>
      <c r="J1121" s="4">
        <v>122</v>
      </c>
    </row>
    <row r="1122" spans="1:10" x14ac:dyDescent="0.75">
      <c r="A1122" t="s">
        <v>151</v>
      </c>
      <c r="B1122">
        <v>4905</v>
      </c>
      <c r="C1122" t="s">
        <v>77</v>
      </c>
      <c r="D1122">
        <v>4420</v>
      </c>
      <c r="E1122" t="s">
        <v>381</v>
      </c>
      <c r="F1122" s="4">
        <v>32</v>
      </c>
      <c r="G1122" s="4">
        <v>0</v>
      </c>
      <c r="H1122" s="4">
        <v>0</v>
      </c>
      <c r="I1122" s="4">
        <v>0</v>
      </c>
      <c r="J1122" s="4">
        <v>32</v>
      </c>
    </row>
    <row r="1123" spans="1:10" x14ac:dyDescent="0.75">
      <c r="A1123" t="s">
        <v>151</v>
      </c>
      <c r="B1123">
        <v>4905</v>
      </c>
      <c r="C1123" t="s">
        <v>77</v>
      </c>
      <c r="D1123">
        <v>5480</v>
      </c>
      <c r="E1123" t="s">
        <v>386</v>
      </c>
      <c r="F1123" s="4">
        <v>12</v>
      </c>
      <c r="G1123" s="4">
        <v>0</v>
      </c>
      <c r="H1123" s="4">
        <v>0</v>
      </c>
      <c r="I1123" s="4">
        <v>0</v>
      </c>
      <c r="J1123" s="4">
        <v>12</v>
      </c>
    </row>
    <row r="1124" spans="1:10" x14ac:dyDescent="0.75">
      <c r="A1124" t="s">
        <v>151</v>
      </c>
      <c r="B1124">
        <v>4905</v>
      </c>
      <c r="C1124" t="s">
        <v>77</v>
      </c>
      <c r="D1124">
        <v>7210</v>
      </c>
      <c r="E1124" t="s">
        <v>426</v>
      </c>
      <c r="F1124" s="4">
        <v>10</v>
      </c>
      <c r="G1124" s="4">
        <v>0</v>
      </c>
      <c r="H1124" s="4">
        <v>0</v>
      </c>
      <c r="I1124" s="4">
        <v>0</v>
      </c>
      <c r="J1124" s="4">
        <v>10</v>
      </c>
    </row>
    <row r="1125" spans="1:10" x14ac:dyDescent="0.75">
      <c r="A1125" t="s">
        <v>151</v>
      </c>
      <c r="B1125">
        <v>1986</v>
      </c>
      <c r="C1125" t="s">
        <v>359</v>
      </c>
      <c r="D1125">
        <v>4331</v>
      </c>
      <c r="E1125" t="s">
        <v>390</v>
      </c>
      <c r="F1125" s="4">
        <v>0</v>
      </c>
      <c r="G1125" s="4">
        <v>60</v>
      </c>
      <c r="H1125" s="4">
        <v>60</v>
      </c>
      <c r="I1125" s="4">
        <v>0</v>
      </c>
      <c r="J1125" s="4">
        <v>60</v>
      </c>
    </row>
    <row r="1126" spans="1:10" x14ac:dyDescent="0.75">
      <c r="A1126" t="s">
        <v>151</v>
      </c>
      <c r="B1126">
        <v>2417</v>
      </c>
      <c r="C1126" t="s">
        <v>65</v>
      </c>
      <c r="D1126">
        <v>2340</v>
      </c>
      <c r="E1126" t="s">
        <v>369</v>
      </c>
      <c r="F1126" s="4">
        <v>2577980</v>
      </c>
      <c r="G1126" s="4">
        <v>226495</v>
      </c>
      <c r="H1126" s="4">
        <v>51788</v>
      </c>
      <c r="I1126" s="4">
        <v>174707</v>
      </c>
      <c r="J1126" s="4">
        <v>2804475</v>
      </c>
    </row>
    <row r="1127" spans="1:10" x14ac:dyDescent="0.75">
      <c r="A1127" t="s">
        <v>151</v>
      </c>
      <c r="B1127">
        <v>2417</v>
      </c>
      <c r="C1127" t="s">
        <v>65</v>
      </c>
      <c r="D1127">
        <v>2330</v>
      </c>
      <c r="E1127" t="s">
        <v>368</v>
      </c>
      <c r="F1127" s="4">
        <v>1401925</v>
      </c>
      <c r="G1127" s="4">
        <v>803988</v>
      </c>
      <c r="H1127" s="4">
        <v>359155</v>
      </c>
      <c r="I1127" s="4">
        <v>444833</v>
      </c>
      <c r="J1127" s="4">
        <v>2205913</v>
      </c>
    </row>
    <row r="1128" spans="1:10" x14ac:dyDescent="0.75">
      <c r="A1128" t="s">
        <v>151</v>
      </c>
      <c r="B1128">
        <v>2417</v>
      </c>
      <c r="C1128" t="s">
        <v>65</v>
      </c>
      <c r="D1128">
        <v>3220</v>
      </c>
      <c r="E1128" t="s">
        <v>370</v>
      </c>
      <c r="F1128" s="4">
        <v>403813</v>
      </c>
      <c r="G1128" s="4">
        <v>1018608</v>
      </c>
      <c r="H1128" s="4">
        <v>18637</v>
      </c>
      <c r="I1128" s="4">
        <v>999971</v>
      </c>
      <c r="J1128" s="4">
        <v>1422421</v>
      </c>
    </row>
    <row r="1129" spans="1:10" x14ac:dyDescent="0.75">
      <c r="A1129" t="s">
        <v>151</v>
      </c>
      <c r="B1129">
        <v>2417</v>
      </c>
      <c r="C1129" t="s">
        <v>65</v>
      </c>
      <c r="D1129">
        <v>6241</v>
      </c>
      <c r="E1129" t="s">
        <v>391</v>
      </c>
      <c r="F1129" s="4">
        <v>0</v>
      </c>
      <c r="G1129" s="4">
        <v>728228</v>
      </c>
      <c r="H1129" s="4">
        <v>0</v>
      </c>
      <c r="I1129" s="4">
        <v>728228</v>
      </c>
      <c r="J1129" s="4">
        <v>728228</v>
      </c>
    </row>
    <row r="1130" spans="1:10" x14ac:dyDescent="0.75">
      <c r="A1130" t="s">
        <v>151</v>
      </c>
      <c r="B1130">
        <v>2417</v>
      </c>
      <c r="C1130" t="s">
        <v>65</v>
      </c>
      <c r="D1130">
        <v>3276</v>
      </c>
      <c r="E1130" t="s">
        <v>379</v>
      </c>
      <c r="F1130" s="4">
        <v>5062</v>
      </c>
      <c r="G1130" s="4">
        <v>501450</v>
      </c>
      <c r="H1130" s="4">
        <v>157</v>
      </c>
      <c r="I1130" s="4">
        <v>501293</v>
      </c>
      <c r="J1130" s="4">
        <v>506512</v>
      </c>
    </row>
    <row r="1131" spans="1:10" x14ac:dyDescent="0.75">
      <c r="A1131" t="s">
        <v>151</v>
      </c>
      <c r="B1131">
        <v>2417</v>
      </c>
      <c r="C1131" t="s">
        <v>65</v>
      </c>
      <c r="D1131">
        <v>3110</v>
      </c>
      <c r="E1131" t="s">
        <v>405</v>
      </c>
      <c r="F1131" s="4">
        <v>34427</v>
      </c>
      <c r="G1131" s="4">
        <v>459642</v>
      </c>
      <c r="H1131" s="4">
        <v>459642</v>
      </c>
      <c r="I1131" s="4">
        <v>0</v>
      </c>
      <c r="J1131" s="4">
        <v>494069</v>
      </c>
    </row>
    <row r="1132" spans="1:10" x14ac:dyDescent="0.75">
      <c r="A1132" t="s">
        <v>151</v>
      </c>
      <c r="B1132">
        <v>2417</v>
      </c>
      <c r="C1132" t="s">
        <v>65</v>
      </c>
      <c r="D1132">
        <v>3271</v>
      </c>
      <c r="E1132" t="s">
        <v>437</v>
      </c>
      <c r="F1132" s="4">
        <v>435070</v>
      </c>
      <c r="G1132" s="4">
        <v>0</v>
      </c>
      <c r="H1132" s="4">
        <v>0</v>
      </c>
      <c r="I1132" s="4">
        <v>0</v>
      </c>
      <c r="J1132" s="4">
        <v>435070</v>
      </c>
    </row>
    <row r="1133" spans="1:10" x14ac:dyDescent="0.75">
      <c r="A1133" t="s">
        <v>151</v>
      </c>
      <c r="B1133">
        <v>2417</v>
      </c>
      <c r="C1133" t="s">
        <v>65</v>
      </c>
      <c r="D1133">
        <v>6522</v>
      </c>
      <c r="E1133" t="s">
        <v>393</v>
      </c>
      <c r="F1133" s="4">
        <v>0</v>
      </c>
      <c r="G1133" s="4">
        <v>419473</v>
      </c>
      <c r="H1133" s="4">
        <v>0</v>
      </c>
      <c r="I1133" s="4">
        <v>419473</v>
      </c>
      <c r="J1133" s="4">
        <v>419473</v>
      </c>
    </row>
    <row r="1134" spans="1:10" x14ac:dyDescent="0.75">
      <c r="A1134" t="s">
        <v>151</v>
      </c>
      <c r="B1134">
        <v>2417</v>
      </c>
      <c r="C1134" t="s">
        <v>65</v>
      </c>
      <c r="D1134">
        <v>6856</v>
      </c>
      <c r="E1134" t="s">
        <v>486</v>
      </c>
      <c r="F1134" s="4">
        <v>0</v>
      </c>
      <c r="G1134" s="4">
        <v>396319</v>
      </c>
      <c r="H1134" s="4">
        <v>396319</v>
      </c>
      <c r="I1134" s="4">
        <v>0</v>
      </c>
      <c r="J1134" s="4">
        <v>396319</v>
      </c>
    </row>
    <row r="1135" spans="1:10" x14ac:dyDescent="0.75">
      <c r="A1135" t="s">
        <v>151</v>
      </c>
      <c r="B1135">
        <v>2417</v>
      </c>
      <c r="C1135" t="s">
        <v>65</v>
      </c>
      <c r="D1135">
        <v>7110</v>
      </c>
      <c r="E1135" t="s">
        <v>371</v>
      </c>
      <c r="F1135" s="4">
        <v>17062</v>
      </c>
      <c r="G1135" s="4">
        <v>252625</v>
      </c>
      <c r="H1135" s="4">
        <v>193032</v>
      </c>
      <c r="I1135" s="4">
        <v>59593</v>
      </c>
      <c r="J1135" s="4">
        <v>269687</v>
      </c>
    </row>
    <row r="1136" spans="1:10" x14ac:dyDescent="0.75">
      <c r="A1136" t="s">
        <v>151</v>
      </c>
      <c r="B1136">
        <v>2417</v>
      </c>
      <c r="C1136" t="s">
        <v>65</v>
      </c>
      <c r="D1136">
        <v>2640</v>
      </c>
      <c r="E1136" t="s">
        <v>431</v>
      </c>
      <c r="F1136" s="4">
        <v>921</v>
      </c>
      <c r="G1136" s="4">
        <v>251553</v>
      </c>
      <c r="H1136" s="4">
        <v>2</v>
      </c>
      <c r="I1136" s="4">
        <v>251551</v>
      </c>
      <c r="J1136" s="4">
        <v>252474</v>
      </c>
    </row>
    <row r="1137" spans="1:10" x14ac:dyDescent="0.75">
      <c r="A1137" t="s">
        <v>151</v>
      </c>
      <c r="B1137">
        <v>2417</v>
      </c>
      <c r="C1137" t="s">
        <v>65</v>
      </c>
      <c r="D1137">
        <v>2211</v>
      </c>
      <c r="E1137" t="s">
        <v>367</v>
      </c>
      <c r="F1137" s="4">
        <v>10800</v>
      </c>
      <c r="G1137" s="4">
        <v>175034</v>
      </c>
      <c r="H1137" s="4">
        <v>47823</v>
      </c>
      <c r="I1137" s="4">
        <v>127211</v>
      </c>
      <c r="J1137" s="4">
        <v>185834</v>
      </c>
    </row>
    <row r="1138" spans="1:10" x14ac:dyDescent="0.75">
      <c r="A1138" t="s">
        <v>151</v>
      </c>
      <c r="B1138">
        <v>2417</v>
      </c>
      <c r="C1138" t="s">
        <v>65</v>
      </c>
      <c r="D1138">
        <v>7900</v>
      </c>
      <c r="E1138" t="s">
        <v>388</v>
      </c>
      <c r="F1138" s="4">
        <v>132599</v>
      </c>
      <c r="G1138" s="4">
        <v>44775</v>
      </c>
      <c r="H1138" s="4">
        <v>35925</v>
      </c>
      <c r="I1138" s="4">
        <v>8850</v>
      </c>
      <c r="J1138" s="4">
        <v>177374</v>
      </c>
    </row>
    <row r="1139" spans="1:10" x14ac:dyDescent="0.75">
      <c r="A1139" t="s">
        <v>151</v>
      </c>
      <c r="B1139">
        <v>2417</v>
      </c>
      <c r="C1139" t="s">
        <v>65</v>
      </c>
      <c r="D1139">
        <v>3190</v>
      </c>
      <c r="E1139" t="s">
        <v>408</v>
      </c>
      <c r="F1139" s="4">
        <v>42439</v>
      </c>
      <c r="G1139" s="4">
        <v>101378</v>
      </c>
      <c r="H1139" s="4">
        <v>101358</v>
      </c>
      <c r="I1139" s="4">
        <v>20</v>
      </c>
      <c r="J1139" s="4">
        <v>143817</v>
      </c>
    </row>
    <row r="1140" spans="1:10" x14ac:dyDescent="0.75">
      <c r="A1140" t="s">
        <v>151</v>
      </c>
      <c r="B1140">
        <v>2417</v>
      </c>
      <c r="C1140" t="s">
        <v>65</v>
      </c>
      <c r="D1140">
        <v>5480</v>
      </c>
      <c r="E1140" t="s">
        <v>386</v>
      </c>
      <c r="F1140" s="4">
        <v>0</v>
      </c>
      <c r="G1140" s="4">
        <v>135497</v>
      </c>
      <c r="H1140" s="4">
        <v>131344</v>
      </c>
      <c r="I1140" s="4">
        <v>4153</v>
      </c>
      <c r="J1140" s="4">
        <v>135497</v>
      </c>
    </row>
    <row r="1141" spans="1:10" x14ac:dyDescent="0.75">
      <c r="A1141" t="s">
        <v>151</v>
      </c>
      <c r="B1141">
        <v>2417</v>
      </c>
      <c r="C1141" t="s">
        <v>65</v>
      </c>
      <c r="D1141">
        <v>3130</v>
      </c>
      <c r="E1141" t="s">
        <v>407</v>
      </c>
      <c r="F1141" s="4">
        <v>110661</v>
      </c>
      <c r="G1141" s="4">
        <v>14740</v>
      </c>
      <c r="H1141" s="4">
        <v>0</v>
      </c>
      <c r="I1141" s="4">
        <v>14740</v>
      </c>
      <c r="J1141" s="4">
        <v>125401</v>
      </c>
    </row>
    <row r="1142" spans="1:10" x14ac:dyDescent="0.75">
      <c r="A1142" t="s">
        <v>151</v>
      </c>
      <c r="B1142">
        <v>2417</v>
      </c>
      <c r="C1142" t="s">
        <v>65</v>
      </c>
      <c r="D1142">
        <v>6857</v>
      </c>
      <c r="E1142" t="s">
        <v>487</v>
      </c>
      <c r="F1142" s="4">
        <v>0</v>
      </c>
      <c r="G1142" s="4">
        <v>118891</v>
      </c>
      <c r="H1142" s="4">
        <v>118327</v>
      </c>
      <c r="I1142" s="4">
        <v>564</v>
      </c>
      <c r="J1142" s="4">
        <v>118891</v>
      </c>
    </row>
    <row r="1143" spans="1:10" x14ac:dyDescent="0.75">
      <c r="A1143" t="s">
        <v>151</v>
      </c>
      <c r="B1143">
        <v>2417</v>
      </c>
      <c r="C1143" t="s">
        <v>65</v>
      </c>
      <c r="D1143">
        <v>7210</v>
      </c>
      <c r="E1143" t="s">
        <v>426</v>
      </c>
      <c r="F1143" s="4">
        <v>0</v>
      </c>
      <c r="G1143" s="4">
        <v>98144</v>
      </c>
      <c r="H1143" s="4">
        <v>75640</v>
      </c>
      <c r="I1143" s="4">
        <v>22504</v>
      </c>
      <c r="J1143" s="4">
        <v>98144</v>
      </c>
    </row>
    <row r="1144" spans="1:10" x14ac:dyDescent="0.75">
      <c r="A1144" t="s">
        <v>151</v>
      </c>
      <c r="B1144">
        <v>2417</v>
      </c>
      <c r="C1144" t="s">
        <v>65</v>
      </c>
      <c r="D1144">
        <v>6344</v>
      </c>
      <c r="E1144" t="s">
        <v>392</v>
      </c>
      <c r="F1144" s="4">
        <v>0</v>
      </c>
      <c r="G1144" s="4">
        <v>92473</v>
      </c>
      <c r="H1144" s="4">
        <v>0</v>
      </c>
      <c r="I1144" s="4">
        <v>92473</v>
      </c>
      <c r="J1144" s="4">
        <v>92473</v>
      </c>
    </row>
    <row r="1145" spans="1:10" x14ac:dyDescent="0.75">
      <c r="A1145" t="s">
        <v>151</v>
      </c>
      <c r="B1145">
        <v>2417</v>
      </c>
      <c r="C1145" t="s">
        <v>65</v>
      </c>
      <c r="D1145">
        <v>2430</v>
      </c>
      <c r="E1145" t="s">
        <v>376</v>
      </c>
      <c r="F1145" s="4">
        <v>80057</v>
      </c>
      <c r="G1145" s="4">
        <v>7976</v>
      </c>
      <c r="H1145" s="4">
        <v>0</v>
      </c>
      <c r="I1145" s="4">
        <v>7976</v>
      </c>
      <c r="J1145" s="4">
        <v>88033</v>
      </c>
    </row>
    <row r="1146" spans="1:10" x14ac:dyDescent="0.75">
      <c r="A1146" t="s">
        <v>151</v>
      </c>
      <c r="B1146">
        <v>2417</v>
      </c>
      <c r="C1146" t="s">
        <v>65</v>
      </c>
      <c r="D1146">
        <v>2990</v>
      </c>
      <c r="E1146" t="s">
        <v>432</v>
      </c>
      <c r="F1146" s="4">
        <v>0</v>
      </c>
      <c r="G1146" s="4">
        <v>83805</v>
      </c>
      <c r="H1146" s="4">
        <v>80477</v>
      </c>
      <c r="I1146" s="4">
        <v>3328</v>
      </c>
      <c r="J1146" s="4">
        <v>83805</v>
      </c>
    </row>
    <row r="1147" spans="1:10" x14ac:dyDescent="0.75">
      <c r="A1147" t="s">
        <v>151</v>
      </c>
      <c r="B1147">
        <v>2417</v>
      </c>
      <c r="C1147" t="s">
        <v>65</v>
      </c>
      <c r="D1147">
        <v>2100</v>
      </c>
      <c r="E1147" t="s">
        <v>403</v>
      </c>
      <c r="F1147" s="4">
        <v>0</v>
      </c>
      <c r="G1147" s="4">
        <v>82868</v>
      </c>
      <c r="H1147" s="4">
        <v>81436</v>
      </c>
      <c r="I1147" s="4">
        <v>1432</v>
      </c>
      <c r="J1147" s="4">
        <v>82868</v>
      </c>
    </row>
    <row r="1148" spans="1:10" x14ac:dyDescent="0.75">
      <c r="A1148" t="s">
        <v>151</v>
      </c>
      <c r="B1148">
        <v>2417</v>
      </c>
      <c r="C1148" t="s">
        <v>65</v>
      </c>
      <c r="D1148">
        <v>3286</v>
      </c>
      <c r="E1148" t="s">
        <v>423</v>
      </c>
      <c r="F1148" s="4">
        <v>0</v>
      </c>
      <c r="G1148" s="4">
        <v>82737</v>
      </c>
      <c r="H1148" s="4">
        <v>984</v>
      </c>
      <c r="I1148" s="4">
        <v>81753</v>
      </c>
      <c r="J1148" s="4">
        <v>82737</v>
      </c>
    </row>
    <row r="1149" spans="1:10" x14ac:dyDescent="0.75">
      <c r="A1149" t="s">
        <v>151</v>
      </c>
      <c r="B1149">
        <v>2417</v>
      </c>
      <c r="C1149" t="s">
        <v>65</v>
      </c>
      <c r="D1149">
        <v>4331</v>
      </c>
      <c r="E1149" t="s">
        <v>390</v>
      </c>
      <c r="F1149" s="4">
        <v>81000</v>
      </c>
      <c r="G1149" s="4">
        <v>261</v>
      </c>
      <c r="H1149" s="4">
        <v>0</v>
      </c>
      <c r="I1149" s="4">
        <v>261</v>
      </c>
      <c r="J1149" s="4">
        <v>81261</v>
      </c>
    </row>
    <row r="1150" spans="1:10" x14ac:dyDescent="0.75">
      <c r="A1150" t="s">
        <v>151</v>
      </c>
      <c r="B1150">
        <v>2417</v>
      </c>
      <c r="C1150" t="s">
        <v>65</v>
      </c>
      <c r="D1150">
        <v>3275</v>
      </c>
      <c r="E1150" t="s">
        <v>412</v>
      </c>
      <c r="F1150" s="4">
        <v>0</v>
      </c>
      <c r="G1150" s="4">
        <v>53896</v>
      </c>
      <c r="H1150" s="4">
        <v>53406</v>
      </c>
      <c r="I1150" s="4">
        <v>490</v>
      </c>
      <c r="J1150" s="4">
        <v>53896</v>
      </c>
    </row>
    <row r="1151" spans="1:10" x14ac:dyDescent="0.75">
      <c r="A1151" t="s">
        <v>151</v>
      </c>
      <c r="B1151">
        <v>2417</v>
      </c>
      <c r="C1151" t="s">
        <v>65</v>
      </c>
      <c r="D1151">
        <v>9900</v>
      </c>
      <c r="E1151" t="s">
        <v>389</v>
      </c>
      <c r="F1151" s="4">
        <v>0</v>
      </c>
      <c r="G1151" s="4">
        <v>53776</v>
      </c>
      <c r="H1151" s="4">
        <v>30477</v>
      </c>
      <c r="I1151" s="4">
        <v>23299</v>
      </c>
      <c r="J1151" s="4">
        <v>53776</v>
      </c>
    </row>
    <row r="1152" spans="1:10" x14ac:dyDescent="0.75">
      <c r="A1152" t="s">
        <v>151</v>
      </c>
      <c r="B1152">
        <v>2417</v>
      </c>
      <c r="C1152" t="s">
        <v>65</v>
      </c>
      <c r="D1152">
        <v>4741</v>
      </c>
      <c r="E1152" t="s">
        <v>425</v>
      </c>
      <c r="F1152" s="4">
        <v>0</v>
      </c>
      <c r="G1152" s="4">
        <v>45749</v>
      </c>
      <c r="H1152" s="4">
        <v>0</v>
      </c>
      <c r="I1152" s="4">
        <v>45749</v>
      </c>
      <c r="J1152" s="4">
        <v>45749</v>
      </c>
    </row>
    <row r="1153" spans="1:10" x14ac:dyDescent="0.75">
      <c r="A1153" t="s">
        <v>151</v>
      </c>
      <c r="B1153">
        <v>2417</v>
      </c>
      <c r="C1153" t="s">
        <v>65</v>
      </c>
      <c r="D1153">
        <v>7120</v>
      </c>
      <c r="E1153" t="s">
        <v>499</v>
      </c>
      <c r="F1153" s="4">
        <v>0</v>
      </c>
      <c r="G1153" s="4">
        <v>40567</v>
      </c>
      <c r="H1153" s="4">
        <v>39364</v>
      </c>
      <c r="I1153" s="4">
        <v>1203</v>
      </c>
      <c r="J1153" s="4">
        <v>40567</v>
      </c>
    </row>
    <row r="1154" spans="1:10" x14ac:dyDescent="0.75">
      <c r="A1154" t="s">
        <v>151</v>
      </c>
      <c r="B1154">
        <v>2417</v>
      </c>
      <c r="C1154" t="s">
        <v>65</v>
      </c>
      <c r="D1154">
        <v>3219</v>
      </c>
      <c r="E1154" t="s">
        <v>378</v>
      </c>
      <c r="F1154" s="4">
        <v>21990</v>
      </c>
      <c r="G1154" s="4">
        <v>18501</v>
      </c>
      <c r="H1154" s="4">
        <v>73</v>
      </c>
      <c r="I1154" s="4">
        <v>18428</v>
      </c>
      <c r="J1154" s="4">
        <v>40491</v>
      </c>
    </row>
    <row r="1155" spans="1:10" x14ac:dyDescent="0.75">
      <c r="A1155" t="s">
        <v>151</v>
      </c>
      <c r="B1155">
        <v>2417</v>
      </c>
      <c r="C1155" t="s">
        <v>65</v>
      </c>
      <c r="D1155">
        <v>2540</v>
      </c>
      <c r="E1155" t="s">
        <v>377</v>
      </c>
      <c r="F1155" s="4">
        <v>0</v>
      </c>
      <c r="G1155" s="4">
        <v>39246</v>
      </c>
      <c r="H1155" s="4">
        <v>0</v>
      </c>
      <c r="I1155" s="4">
        <v>39246</v>
      </c>
      <c r="J1155" s="4">
        <v>39246</v>
      </c>
    </row>
    <row r="1156" spans="1:10" x14ac:dyDescent="0.75">
      <c r="A1156" t="s">
        <v>151</v>
      </c>
      <c r="B1156">
        <v>2417</v>
      </c>
      <c r="C1156" t="s">
        <v>65</v>
      </c>
      <c r="D1156">
        <v>5120</v>
      </c>
      <c r="E1156" t="s">
        <v>461</v>
      </c>
      <c r="F1156" s="4">
        <v>0</v>
      </c>
      <c r="G1156" s="4">
        <v>37376</v>
      </c>
      <c r="H1156" s="4">
        <v>5</v>
      </c>
      <c r="I1156" s="4">
        <v>37371</v>
      </c>
      <c r="J1156" s="4">
        <v>37376</v>
      </c>
    </row>
    <row r="1157" spans="1:10" x14ac:dyDescent="0.75">
      <c r="A1157" t="s">
        <v>151</v>
      </c>
      <c r="B1157">
        <v>2417</v>
      </c>
      <c r="C1157" t="s">
        <v>65</v>
      </c>
      <c r="D1157">
        <v>7600</v>
      </c>
      <c r="E1157" t="s">
        <v>503</v>
      </c>
      <c r="F1157" s="4">
        <v>0</v>
      </c>
      <c r="G1157" s="4">
        <v>26476</v>
      </c>
      <c r="H1157" s="4">
        <v>9165</v>
      </c>
      <c r="I1157" s="4">
        <v>17311</v>
      </c>
      <c r="J1157" s="4">
        <v>26476</v>
      </c>
    </row>
    <row r="1158" spans="1:10" x14ac:dyDescent="0.75">
      <c r="A1158" t="s">
        <v>151</v>
      </c>
      <c r="B1158">
        <v>2417</v>
      </c>
      <c r="C1158" t="s">
        <v>65</v>
      </c>
      <c r="D1158">
        <v>2350</v>
      </c>
      <c r="E1158" t="s">
        <v>404</v>
      </c>
      <c r="F1158" s="4">
        <v>7075</v>
      </c>
      <c r="G1158" s="4">
        <v>17618</v>
      </c>
      <c r="H1158" s="4">
        <v>17442</v>
      </c>
      <c r="I1158" s="4">
        <v>176</v>
      </c>
      <c r="J1158" s="4">
        <v>24693</v>
      </c>
    </row>
    <row r="1159" spans="1:10" x14ac:dyDescent="0.75">
      <c r="A1159" t="s">
        <v>151</v>
      </c>
      <c r="B1159">
        <v>2417</v>
      </c>
      <c r="C1159" t="s">
        <v>65</v>
      </c>
      <c r="D1159">
        <v>3250</v>
      </c>
      <c r="E1159" t="s">
        <v>435</v>
      </c>
      <c r="F1159" s="4">
        <v>0</v>
      </c>
      <c r="G1159" s="4">
        <v>22172</v>
      </c>
      <c r="H1159" s="4">
        <v>125</v>
      </c>
      <c r="I1159" s="4">
        <v>22047</v>
      </c>
      <c r="J1159" s="4">
        <v>22172</v>
      </c>
    </row>
    <row r="1160" spans="1:10" x14ac:dyDescent="0.75">
      <c r="A1160" t="s">
        <v>151</v>
      </c>
      <c r="B1160">
        <v>2417</v>
      </c>
      <c r="C1160" t="s">
        <v>65</v>
      </c>
      <c r="D1160">
        <v>3212</v>
      </c>
      <c r="E1160" t="s">
        <v>409</v>
      </c>
      <c r="F1160" s="4">
        <v>9610</v>
      </c>
      <c r="G1160" s="4">
        <v>10752</v>
      </c>
      <c r="H1160" s="4">
        <v>10752</v>
      </c>
      <c r="I1160" s="4">
        <v>0</v>
      </c>
      <c r="J1160" s="4">
        <v>20362</v>
      </c>
    </row>
    <row r="1161" spans="1:10" x14ac:dyDescent="0.75">
      <c r="A1161" t="s">
        <v>151</v>
      </c>
      <c r="B1161">
        <v>2417</v>
      </c>
      <c r="C1161" t="s">
        <v>65</v>
      </c>
      <c r="D1161">
        <v>4900</v>
      </c>
      <c r="E1161" t="s">
        <v>383</v>
      </c>
      <c r="F1161" s="4">
        <v>18927</v>
      </c>
      <c r="G1161" s="4">
        <v>245</v>
      </c>
      <c r="H1161" s="4">
        <v>245</v>
      </c>
      <c r="I1161" s="4">
        <v>0</v>
      </c>
      <c r="J1161" s="4">
        <v>19172</v>
      </c>
    </row>
    <row r="1162" spans="1:10" x14ac:dyDescent="0.75">
      <c r="A1162" t="s">
        <v>151</v>
      </c>
      <c r="B1162">
        <v>2417</v>
      </c>
      <c r="C1162" t="s">
        <v>65</v>
      </c>
      <c r="D1162">
        <v>4782</v>
      </c>
      <c r="E1162" t="s">
        <v>414</v>
      </c>
      <c r="F1162" s="4">
        <v>900</v>
      </c>
      <c r="G1162" s="4">
        <v>15805</v>
      </c>
      <c r="H1162" s="4">
        <v>59</v>
      </c>
      <c r="I1162" s="4">
        <v>15746</v>
      </c>
      <c r="J1162" s="4">
        <v>16705</v>
      </c>
    </row>
    <row r="1163" spans="1:10" x14ac:dyDescent="0.75">
      <c r="A1163" t="s">
        <v>151</v>
      </c>
      <c r="B1163">
        <v>2417</v>
      </c>
      <c r="C1163" t="s">
        <v>65</v>
      </c>
      <c r="D1163">
        <v>5540</v>
      </c>
      <c r="E1163" t="s">
        <v>469</v>
      </c>
      <c r="F1163" s="4">
        <v>0</v>
      </c>
      <c r="G1163" s="4">
        <v>15278</v>
      </c>
      <c r="H1163" s="4">
        <v>15278</v>
      </c>
      <c r="I1163" s="4">
        <v>0</v>
      </c>
      <c r="J1163" s="4">
        <v>15278</v>
      </c>
    </row>
    <row r="1164" spans="1:10" x14ac:dyDescent="0.75">
      <c r="A1164" t="s">
        <v>151</v>
      </c>
      <c r="B1164">
        <v>2417</v>
      </c>
      <c r="C1164" t="s">
        <v>65</v>
      </c>
      <c r="D1164">
        <v>5421</v>
      </c>
      <c r="E1164" t="s">
        <v>467</v>
      </c>
      <c r="F1164" s="4">
        <v>0</v>
      </c>
      <c r="G1164" s="4">
        <v>13692</v>
      </c>
      <c r="H1164" s="4">
        <v>8866</v>
      </c>
      <c r="I1164" s="4">
        <v>4826</v>
      </c>
      <c r="J1164" s="4">
        <v>13692</v>
      </c>
    </row>
    <row r="1165" spans="1:10" x14ac:dyDescent="0.75">
      <c r="A1165" t="s">
        <v>151</v>
      </c>
      <c r="B1165">
        <v>2417</v>
      </c>
      <c r="C1165" t="s">
        <v>65</v>
      </c>
      <c r="D1165">
        <v>5370</v>
      </c>
      <c r="E1165" t="s">
        <v>466</v>
      </c>
      <c r="F1165" s="4">
        <v>110</v>
      </c>
      <c r="G1165" s="4">
        <v>9569</v>
      </c>
      <c r="H1165" s="4">
        <v>8143</v>
      </c>
      <c r="I1165" s="4">
        <v>1426</v>
      </c>
      <c r="J1165" s="4">
        <v>9679</v>
      </c>
    </row>
    <row r="1166" spans="1:10" x14ac:dyDescent="0.75">
      <c r="A1166" t="s">
        <v>151</v>
      </c>
      <c r="B1166">
        <v>2417</v>
      </c>
      <c r="C1166" t="s">
        <v>65</v>
      </c>
      <c r="D1166">
        <v>6865</v>
      </c>
      <c r="E1166" t="s">
        <v>490</v>
      </c>
      <c r="F1166" s="4">
        <v>0</v>
      </c>
      <c r="G1166" s="4">
        <v>9462</v>
      </c>
      <c r="H1166" s="4">
        <v>9462</v>
      </c>
      <c r="I1166" s="4">
        <v>0</v>
      </c>
      <c r="J1166" s="4">
        <v>9462</v>
      </c>
    </row>
    <row r="1167" spans="1:10" x14ac:dyDescent="0.75">
      <c r="A1167" t="s">
        <v>151</v>
      </c>
      <c r="B1167">
        <v>2417</v>
      </c>
      <c r="C1167" t="s">
        <v>65</v>
      </c>
      <c r="D1167">
        <v>3211</v>
      </c>
      <c r="E1167" t="s">
        <v>433</v>
      </c>
      <c r="F1167" s="4">
        <v>1200</v>
      </c>
      <c r="G1167" s="4">
        <v>7947</v>
      </c>
      <c r="H1167" s="4">
        <v>7783</v>
      </c>
      <c r="I1167" s="4">
        <v>164</v>
      </c>
      <c r="J1167" s="4">
        <v>9147</v>
      </c>
    </row>
    <row r="1168" spans="1:10" x14ac:dyDescent="0.75">
      <c r="A1168" t="s">
        <v>151</v>
      </c>
      <c r="B1168">
        <v>2417</v>
      </c>
      <c r="C1168" t="s">
        <v>65</v>
      </c>
      <c r="D1168">
        <v>3260</v>
      </c>
      <c r="E1168" t="s">
        <v>436</v>
      </c>
      <c r="F1168" s="4">
        <v>3359</v>
      </c>
      <c r="G1168" s="4">
        <v>5727</v>
      </c>
      <c r="H1168" s="4">
        <v>0</v>
      </c>
      <c r="I1168" s="4">
        <v>5727</v>
      </c>
      <c r="J1168" s="4">
        <v>9086</v>
      </c>
    </row>
    <row r="1169" spans="1:10" x14ac:dyDescent="0.75">
      <c r="A1169" t="s">
        <v>151</v>
      </c>
      <c r="B1169">
        <v>2417</v>
      </c>
      <c r="C1169" t="s">
        <v>65</v>
      </c>
      <c r="D1169">
        <v>6782</v>
      </c>
      <c r="E1169" t="s">
        <v>396</v>
      </c>
      <c r="F1169" s="4">
        <v>0</v>
      </c>
      <c r="G1169" s="4">
        <v>8573</v>
      </c>
      <c r="H1169" s="4">
        <v>8549</v>
      </c>
      <c r="I1169" s="4">
        <v>24</v>
      </c>
      <c r="J1169" s="4">
        <v>8573</v>
      </c>
    </row>
    <row r="1170" spans="1:10" x14ac:dyDescent="0.75">
      <c r="A1170" t="s">
        <v>151</v>
      </c>
      <c r="B1170">
        <v>2417</v>
      </c>
      <c r="C1170" t="s">
        <v>65</v>
      </c>
      <c r="D1170">
        <v>7400</v>
      </c>
      <c r="E1170" t="s">
        <v>502</v>
      </c>
      <c r="F1170" s="4">
        <v>0</v>
      </c>
      <c r="G1170" s="4">
        <v>5641</v>
      </c>
      <c r="H1170" s="4">
        <v>5601</v>
      </c>
      <c r="I1170" s="4">
        <v>40</v>
      </c>
      <c r="J1170" s="4">
        <v>5641</v>
      </c>
    </row>
    <row r="1171" spans="1:10" x14ac:dyDescent="0.75">
      <c r="A1171" t="s">
        <v>151</v>
      </c>
      <c r="B1171">
        <v>2417</v>
      </c>
      <c r="C1171" t="s">
        <v>65</v>
      </c>
      <c r="D1171">
        <v>3230</v>
      </c>
      <c r="E1171" t="s">
        <v>434</v>
      </c>
      <c r="F1171" s="4">
        <v>551</v>
      </c>
      <c r="G1171" s="4">
        <v>4831</v>
      </c>
      <c r="H1171" s="4">
        <v>3726</v>
      </c>
      <c r="I1171" s="4">
        <v>1105</v>
      </c>
      <c r="J1171" s="4">
        <v>5382</v>
      </c>
    </row>
    <row r="1172" spans="1:10" x14ac:dyDescent="0.75">
      <c r="A1172" t="s">
        <v>151</v>
      </c>
      <c r="B1172">
        <v>2417</v>
      </c>
      <c r="C1172" t="s">
        <v>65</v>
      </c>
      <c r="D1172">
        <v>5190</v>
      </c>
      <c r="E1172" t="s">
        <v>462</v>
      </c>
      <c r="F1172" s="4">
        <v>0</v>
      </c>
      <c r="G1172" s="4">
        <v>5162</v>
      </c>
      <c r="H1172" s="4">
        <v>436</v>
      </c>
      <c r="I1172" s="4">
        <v>4726</v>
      </c>
      <c r="J1172" s="4">
        <v>5162</v>
      </c>
    </row>
    <row r="1173" spans="1:10" x14ac:dyDescent="0.75">
      <c r="A1173" t="s">
        <v>151</v>
      </c>
      <c r="B1173">
        <v>2417</v>
      </c>
      <c r="C1173" t="s">
        <v>65</v>
      </c>
      <c r="D1173">
        <v>6811</v>
      </c>
      <c r="E1173" t="s">
        <v>480</v>
      </c>
      <c r="F1173" s="4">
        <v>0</v>
      </c>
      <c r="G1173" s="4">
        <v>4752</v>
      </c>
      <c r="H1173" s="4">
        <v>39</v>
      </c>
      <c r="I1173" s="4">
        <v>4713</v>
      </c>
      <c r="J1173" s="4">
        <v>4752</v>
      </c>
    </row>
    <row r="1174" spans="1:10" x14ac:dyDescent="0.75">
      <c r="A1174" t="s">
        <v>151</v>
      </c>
      <c r="B1174">
        <v>2417</v>
      </c>
      <c r="C1174" t="s">
        <v>65</v>
      </c>
      <c r="D1174">
        <v>4189</v>
      </c>
      <c r="E1174" t="s">
        <v>451</v>
      </c>
      <c r="F1174" s="4">
        <v>0</v>
      </c>
      <c r="G1174" s="4">
        <v>3566</v>
      </c>
      <c r="H1174" s="4">
        <v>3556</v>
      </c>
      <c r="I1174" s="4">
        <v>10</v>
      </c>
      <c r="J1174" s="4">
        <v>3566</v>
      </c>
    </row>
    <row r="1175" spans="1:10" x14ac:dyDescent="0.75">
      <c r="A1175" t="s">
        <v>151</v>
      </c>
      <c r="B1175">
        <v>2417</v>
      </c>
      <c r="C1175" t="s">
        <v>65</v>
      </c>
      <c r="D1175">
        <v>5290</v>
      </c>
      <c r="E1175" t="s">
        <v>415</v>
      </c>
      <c r="F1175" s="4">
        <v>0</v>
      </c>
      <c r="G1175" s="4">
        <v>3490</v>
      </c>
      <c r="H1175" s="4">
        <v>544</v>
      </c>
      <c r="I1175" s="4">
        <v>2946</v>
      </c>
      <c r="J1175" s="4">
        <v>3490</v>
      </c>
    </row>
    <row r="1176" spans="1:10" x14ac:dyDescent="0.75">
      <c r="A1176" t="s">
        <v>151</v>
      </c>
      <c r="B1176">
        <v>2417</v>
      </c>
      <c r="C1176" t="s">
        <v>65</v>
      </c>
      <c r="D1176">
        <v>3299</v>
      </c>
      <c r="E1176" t="s">
        <v>448</v>
      </c>
      <c r="F1176" s="4">
        <v>1428</v>
      </c>
      <c r="G1176" s="4">
        <v>1987</v>
      </c>
      <c r="H1176" s="4">
        <v>213</v>
      </c>
      <c r="I1176" s="4">
        <v>1774</v>
      </c>
      <c r="J1176" s="4">
        <v>3415</v>
      </c>
    </row>
    <row r="1177" spans="1:10" x14ac:dyDescent="0.75">
      <c r="A1177" t="s">
        <v>151</v>
      </c>
      <c r="B1177">
        <v>2417</v>
      </c>
      <c r="C1177" t="s">
        <v>65</v>
      </c>
      <c r="D1177">
        <v>6889</v>
      </c>
      <c r="E1177" t="s">
        <v>420</v>
      </c>
      <c r="F1177" s="4">
        <v>0</v>
      </c>
      <c r="G1177" s="4">
        <v>3301</v>
      </c>
      <c r="H1177" s="4">
        <v>1522</v>
      </c>
      <c r="I1177" s="4">
        <v>1779</v>
      </c>
      <c r="J1177" s="4">
        <v>3301</v>
      </c>
    </row>
    <row r="1178" spans="1:10" x14ac:dyDescent="0.75">
      <c r="A1178" t="s">
        <v>151</v>
      </c>
      <c r="B1178">
        <v>2417</v>
      </c>
      <c r="C1178" t="s">
        <v>65</v>
      </c>
      <c r="D1178">
        <v>2429</v>
      </c>
      <c r="E1178" t="s">
        <v>375</v>
      </c>
      <c r="F1178" s="4">
        <v>3241</v>
      </c>
      <c r="G1178" s="4">
        <v>0</v>
      </c>
      <c r="H1178" s="4">
        <v>0</v>
      </c>
      <c r="I1178" s="4">
        <v>0</v>
      </c>
      <c r="J1178" s="4">
        <v>3241</v>
      </c>
    </row>
    <row r="1179" spans="1:10" x14ac:dyDescent="0.75">
      <c r="A1179" t="s">
        <v>151</v>
      </c>
      <c r="B1179">
        <v>2417</v>
      </c>
      <c r="C1179" t="s">
        <v>65</v>
      </c>
      <c r="D1179">
        <v>3120</v>
      </c>
      <c r="E1179" t="s">
        <v>406</v>
      </c>
      <c r="F1179" s="4">
        <v>3114</v>
      </c>
      <c r="G1179" s="4">
        <v>0</v>
      </c>
      <c r="H1179" s="4">
        <v>0</v>
      </c>
      <c r="I1179" s="4">
        <v>0</v>
      </c>
      <c r="J1179" s="4">
        <v>3114</v>
      </c>
    </row>
    <row r="1180" spans="1:10" x14ac:dyDescent="0.75">
      <c r="A1180" t="s">
        <v>151</v>
      </c>
      <c r="B1180">
        <v>2417</v>
      </c>
      <c r="C1180" t="s">
        <v>65</v>
      </c>
      <c r="D1180">
        <v>2221</v>
      </c>
      <c r="E1180" t="s">
        <v>374</v>
      </c>
      <c r="F1180" s="4">
        <v>3000</v>
      </c>
      <c r="G1180" s="4">
        <v>0</v>
      </c>
      <c r="H1180" s="4">
        <v>0</v>
      </c>
      <c r="I1180" s="4">
        <v>0</v>
      </c>
      <c r="J1180" s="4">
        <v>3000</v>
      </c>
    </row>
    <row r="1181" spans="1:10" x14ac:dyDescent="0.75">
      <c r="A1181" t="s">
        <v>151</v>
      </c>
      <c r="B1181">
        <v>2417</v>
      </c>
      <c r="C1181" t="s">
        <v>65</v>
      </c>
      <c r="D1181">
        <v>7500</v>
      </c>
      <c r="E1181" t="s">
        <v>427</v>
      </c>
      <c r="F1181" s="4">
        <v>0</v>
      </c>
      <c r="G1181" s="4">
        <v>2161</v>
      </c>
      <c r="H1181" s="4">
        <v>1412</v>
      </c>
      <c r="I1181" s="4">
        <v>749</v>
      </c>
      <c r="J1181" s="4">
        <v>2161</v>
      </c>
    </row>
    <row r="1182" spans="1:10" x14ac:dyDescent="0.75">
      <c r="A1182" t="s">
        <v>151</v>
      </c>
      <c r="B1182">
        <v>2417</v>
      </c>
      <c r="C1182" t="s">
        <v>65</v>
      </c>
      <c r="D1182">
        <v>7220</v>
      </c>
      <c r="E1182" t="s">
        <v>500</v>
      </c>
      <c r="F1182" s="4">
        <v>0</v>
      </c>
      <c r="G1182" s="4">
        <v>2150</v>
      </c>
      <c r="H1182" s="4">
        <v>162</v>
      </c>
      <c r="I1182" s="4">
        <v>1988</v>
      </c>
      <c r="J1182" s="4">
        <v>2150</v>
      </c>
    </row>
    <row r="1183" spans="1:10" x14ac:dyDescent="0.75">
      <c r="A1183" t="s">
        <v>151</v>
      </c>
      <c r="B1183">
        <v>2417</v>
      </c>
      <c r="C1183" t="s">
        <v>65</v>
      </c>
      <c r="D1183">
        <v>5422</v>
      </c>
      <c r="E1183" t="s">
        <v>468</v>
      </c>
      <c r="F1183" s="4">
        <v>0</v>
      </c>
      <c r="G1183" s="4">
        <v>1950</v>
      </c>
      <c r="H1183" s="4">
        <v>1950</v>
      </c>
      <c r="I1183" s="4">
        <v>0</v>
      </c>
      <c r="J1183" s="4">
        <v>1950</v>
      </c>
    </row>
    <row r="1184" spans="1:10" x14ac:dyDescent="0.75">
      <c r="A1184" t="s">
        <v>151</v>
      </c>
      <c r="B1184">
        <v>2417</v>
      </c>
      <c r="C1184" t="s">
        <v>65</v>
      </c>
      <c r="D1184">
        <v>6654</v>
      </c>
      <c r="E1184" t="s">
        <v>419</v>
      </c>
      <c r="F1184" s="4">
        <v>0</v>
      </c>
      <c r="G1184" s="4">
        <v>1901</v>
      </c>
      <c r="H1184" s="4">
        <v>1809</v>
      </c>
      <c r="I1184" s="4">
        <v>92</v>
      </c>
      <c r="J1184" s="4">
        <v>1901</v>
      </c>
    </row>
    <row r="1185" spans="1:10" x14ac:dyDescent="0.75">
      <c r="A1185" t="s">
        <v>151</v>
      </c>
      <c r="B1185">
        <v>2417</v>
      </c>
      <c r="C1185" t="s">
        <v>65</v>
      </c>
      <c r="D1185">
        <v>3282</v>
      </c>
      <c r="E1185" t="s">
        <v>440</v>
      </c>
      <c r="F1185" s="4">
        <v>0</v>
      </c>
      <c r="G1185" s="4">
        <v>1814</v>
      </c>
      <c r="H1185" s="4">
        <v>1702</v>
      </c>
      <c r="I1185" s="4">
        <v>112</v>
      </c>
      <c r="J1185" s="4">
        <v>1814</v>
      </c>
    </row>
    <row r="1186" spans="1:10" x14ac:dyDescent="0.75">
      <c r="A1186" t="s">
        <v>151</v>
      </c>
      <c r="B1186">
        <v>2417</v>
      </c>
      <c r="C1186" t="s">
        <v>65</v>
      </c>
      <c r="D1186">
        <v>3285</v>
      </c>
      <c r="E1186" t="s">
        <v>443</v>
      </c>
      <c r="F1186" s="4">
        <v>0</v>
      </c>
      <c r="G1186" s="4">
        <v>1728</v>
      </c>
      <c r="H1186" s="4">
        <v>207</v>
      </c>
      <c r="I1186" s="4">
        <v>1521</v>
      </c>
      <c r="J1186" s="4">
        <v>1728</v>
      </c>
    </row>
    <row r="1187" spans="1:10" x14ac:dyDescent="0.75">
      <c r="A1187" t="s">
        <v>151</v>
      </c>
      <c r="B1187">
        <v>2417</v>
      </c>
      <c r="C1187" t="s">
        <v>65</v>
      </c>
      <c r="D1187">
        <v>4690</v>
      </c>
      <c r="E1187" t="s">
        <v>428</v>
      </c>
      <c r="F1187" s="4">
        <v>0</v>
      </c>
      <c r="G1187" s="4">
        <v>1567</v>
      </c>
      <c r="H1187" s="4">
        <v>1415</v>
      </c>
      <c r="I1187" s="4">
        <v>152</v>
      </c>
      <c r="J1187" s="4">
        <v>1567</v>
      </c>
    </row>
    <row r="1188" spans="1:10" x14ac:dyDescent="0.75">
      <c r="A1188" t="s">
        <v>151</v>
      </c>
      <c r="B1188">
        <v>2417</v>
      </c>
      <c r="C1188" t="s">
        <v>65</v>
      </c>
      <c r="D1188">
        <v>5240</v>
      </c>
      <c r="E1188" t="s">
        <v>464</v>
      </c>
      <c r="F1188" s="4">
        <v>0</v>
      </c>
      <c r="G1188" s="4">
        <v>1128</v>
      </c>
      <c r="H1188" s="4">
        <v>868</v>
      </c>
      <c r="I1188" s="4">
        <v>260</v>
      </c>
      <c r="J1188" s="4">
        <v>1128</v>
      </c>
    </row>
    <row r="1189" spans="1:10" x14ac:dyDescent="0.75">
      <c r="A1189" t="s">
        <v>151</v>
      </c>
      <c r="B1189">
        <v>2417</v>
      </c>
      <c r="C1189" t="s">
        <v>65</v>
      </c>
      <c r="D1189">
        <v>6858</v>
      </c>
      <c r="E1189" t="s">
        <v>488</v>
      </c>
      <c r="F1189" s="4">
        <v>0</v>
      </c>
      <c r="G1189" s="4">
        <v>743</v>
      </c>
      <c r="H1189" s="4">
        <v>704</v>
      </c>
      <c r="I1189" s="4">
        <v>39</v>
      </c>
      <c r="J1189" s="4">
        <v>743</v>
      </c>
    </row>
    <row r="1190" spans="1:10" x14ac:dyDescent="0.75">
      <c r="A1190" t="s">
        <v>151</v>
      </c>
      <c r="B1190">
        <v>2417</v>
      </c>
      <c r="C1190" t="s">
        <v>65</v>
      </c>
      <c r="D1190">
        <v>6590</v>
      </c>
      <c r="E1190" t="s">
        <v>394</v>
      </c>
      <c r="F1190" s="4">
        <v>0</v>
      </c>
      <c r="G1190" s="4">
        <v>631</v>
      </c>
      <c r="H1190" s="4">
        <v>631</v>
      </c>
      <c r="I1190" s="4">
        <v>0</v>
      </c>
      <c r="J1190" s="4">
        <v>631</v>
      </c>
    </row>
    <row r="1191" spans="1:10" x14ac:dyDescent="0.75">
      <c r="A1191" t="s">
        <v>151</v>
      </c>
      <c r="B1191">
        <v>2417</v>
      </c>
      <c r="C1191" t="s">
        <v>65</v>
      </c>
      <c r="D1191">
        <v>3293</v>
      </c>
      <c r="E1191" t="s">
        <v>445</v>
      </c>
      <c r="F1191" s="4">
        <v>0</v>
      </c>
      <c r="G1191" s="4">
        <v>609</v>
      </c>
      <c r="H1191" s="4">
        <v>249</v>
      </c>
      <c r="I1191" s="4">
        <v>360</v>
      </c>
      <c r="J1191" s="4">
        <v>609</v>
      </c>
    </row>
    <row r="1192" spans="1:10" x14ac:dyDescent="0.75">
      <c r="A1192" t="s">
        <v>151</v>
      </c>
      <c r="B1192">
        <v>2417</v>
      </c>
      <c r="C1192" t="s">
        <v>65</v>
      </c>
      <c r="D1192">
        <v>5220</v>
      </c>
      <c r="E1192" t="s">
        <v>401</v>
      </c>
      <c r="F1192" s="4">
        <v>0</v>
      </c>
      <c r="G1192" s="4">
        <v>454</v>
      </c>
      <c r="H1192" s="4">
        <v>454</v>
      </c>
      <c r="I1192" s="4">
        <v>0</v>
      </c>
      <c r="J1192" s="4">
        <v>454</v>
      </c>
    </row>
    <row r="1193" spans="1:10" x14ac:dyDescent="0.75">
      <c r="A1193" t="s">
        <v>151</v>
      </c>
      <c r="B1193">
        <v>2417</v>
      </c>
      <c r="C1193" t="s">
        <v>65</v>
      </c>
      <c r="D1193">
        <v>3240</v>
      </c>
      <c r="E1193" t="s">
        <v>410</v>
      </c>
      <c r="F1193" s="4">
        <v>0</v>
      </c>
      <c r="G1193" s="4">
        <v>428</v>
      </c>
      <c r="H1193" s="4">
        <v>8</v>
      </c>
      <c r="I1193" s="4">
        <v>420</v>
      </c>
      <c r="J1193" s="4">
        <v>428</v>
      </c>
    </row>
    <row r="1194" spans="1:10" x14ac:dyDescent="0.75">
      <c r="A1194" t="s">
        <v>151</v>
      </c>
      <c r="B1194">
        <v>2417</v>
      </c>
      <c r="C1194" t="s">
        <v>65</v>
      </c>
      <c r="D1194">
        <v>6839</v>
      </c>
      <c r="E1194" t="s">
        <v>485</v>
      </c>
      <c r="F1194" s="4">
        <v>0</v>
      </c>
      <c r="G1194" s="4">
        <v>374</v>
      </c>
      <c r="H1194" s="4">
        <v>34</v>
      </c>
      <c r="I1194" s="4">
        <v>340</v>
      </c>
      <c r="J1194" s="4">
        <v>374</v>
      </c>
    </row>
    <row r="1195" spans="1:10" x14ac:dyDescent="0.75">
      <c r="A1195" t="s">
        <v>151</v>
      </c>
      <c r="B1195">
        <v>2417</v>
      </c>
      <c r="C1195" t="s">
        <v>65</v>
      </c>
      <c r="D1195">
        <v>5330</v>
      </c>
      <c r="E1195" t="s">
        <v>385</v>
      </c>
      <c r="F1195" s="4">
        <v>0</v>
      </c>
      <c r="G1195" s="4">
        <v>347</v>
      </c>
      <c r="H1195" s="4">
        <v>160</v>
      </c>
      <c r="I1195" s="4">
        <v>187</v>
      </c>
      <c r="J1195" s="4">
        <v>347</v>
      </c>
    </row>
    <row r="1196" spans="1:10" x14ac:dyDescent="0.75">
      <c r="A1196" t="s">
        <v>151</v>
      </c>
      <c r="B1196">
        <v>2417</v>
      </c>
      <c r="C1196" t="s">
        <v>65</v>
      </c>
      <c r="D1196">
        <v>6822</v>
      </c>
      <c r="E1196" t="s">
        <v>482</v>
      </c>
      <c r="F1196" s="4">
        <v>0</v>
      </c>
      <c r="G1196" s="4">
        <v>297</v>
      </c>
      <c r="H1196" s="4">
        <v>50</v>
      </c>
      <c r="I1196" s="4">
        <v>247</v>
      </c>
      <c r="J1196" s="4">
        <v>297</v>
      </c>
    </row>
    <row r="1197" spans="1:10" x14ac:dyDescent="0.75">
      <c r="A1197" t="s">
        <v>151</v>
      </c>
      <c r="B1197">
        <v>2417</v>
      </c>
      <c r="C1197" t="s">
        <v>65</v>
      </c>
      <c r="D1197">
        <v>3297</v>
      </c>
      <c r="E1197" t="s">
        <v>446</v>
      </c>
      <c r="F1197" s="4">
        <v>0</v>
      </c>
      <c r="G1197" s="4">
        <v>289</v>
      </c>
      <c r="H1197" s="4">
        <v>25</v>
      </c>
      <c r="I1197" s="4">
        <v>264</v>
      </c>
      <c r="J1197" s="4">
        <v>289</v>
      </c>
    </row>
    <row r="1198" spans="1:10" x14ac:dyDescent="0.75">
      <c r="A1198" t="s">
        <v>151</v>
      </c>
      <c r="B1198">
        <v>2417</v>
      </c>
      <c r="C1198" t="s">
        <v>65</v>
      </c>
      <c r="D1198">
        <v>5312</v>
      </c>
      <c r="E1198" t="s">
        <v>416</v>
      </c>
      <c r="F1198" s="4">
        <v>0</v>
      </c>
      <c r="G1198" s="4">
        <v>288</v>
      </c>
      <c r="H1198" s="4">
        <v>272</v>
      </c>
      <c r="I1198" s="4">
        <v>16</v>
      </c>
      <c r="J1198" s="4">
        <v>288</v>
      </c>
    </row>
    <row r="1199" spans="1:10" x14ac:dyDescent="0.75">
      <c r="A1199" t="s">
        <v>151</v>
      </c>
      <c r="B1199">
        <v>2417</v>
      </c>
      <c r="C1199" t="s">
        <v>65</v>
      </c>
      <c r="D1199">
        <v>6885</v>
      </c>
      <c r="E1199" t="s">
        <v>493</v>
      </c>
      <c r="F1199" s="4">
        <v>0</v>
      </c>
      <c r="G1199" s="4">
        <v>277</v>
      </c>
      <c r="H1199" s="4">
        <v>123</v>
      </c>
      <c r="I1199" s="4">
        <v>154</v>
      </c>
      <c r="J1199" s="4">
        <v>277</v>
      </c>
    </row>
    <row r="1200" spans="1:10" x14ac:dyDescent="0.75">
      <c r="A1200" t="s">
        <v>151</v>
      </c>
      <c r="B1200">
        <v>2417</v>
      </c>
      <c r="C1200" t="s">
        <v>65</v>
      </c>
      <c r="D1200">
        <v>7230</v>
      </c>
      <c r="E1200" t="s">
        <v>387</v>
      </c>
      <c r="F1200" s="4">
        <v>0</v>
      </c>
      <c r="G1200" s="4">
        <v>263</v>
      </c>
      <c r="H1200" s="4">
        <v>175</v>
      </c>
      <c r="I1200" s="4">
        <v>88</v>
      </c>
      <c r="J1200" s="4">
        <v>263</v>
      </c>
    </row>
    <row r="1201" spans="1:10" x14ac:dyDescent="0.75">
      <c r="A1201" t="s">
        <v>151</v>
      </c>
      <c r="B1201">
        <v>2417</v>
      </c>
      <c r="C1201" t="s">
        <v>65</v>
      </c>
      <c r="D1201">
        <v>4670</v>
      </c>
      <c r="E1201" t="s">
        <v>458</v>
      </c>
      <c r="F1201" s="4">
        <v>0</v>
      </c>
      <c r="G1201" s="4">
        <v>247</v>
      </c>
      <c r="H1201" s="4">
        <v>247</v>
      </c>
      <c r="I1201" s="4">
        <v>0</v>
      </c>
      <c r="J1201" s="4">
        <v>247</v>
      </c>
    </row>
    <row r="1202" spans="1:10" x14ac:dyDescent="0.75">
      <c r="A1202" t="s">
        <v>151</v>
      </c>
      <c r="B1202">
        <v>2417</v>
      </c>
      <c r="C1202" t="s">
        <v>65</v>
      </c>
      <c r="D1202">
        <v>5360</v>
      </c>
      <c r="E1202" t="s">
        <v>465</v>
      </c>
      <c r="F1202" s="4">
        <v>0</v>
      </c>
      <c r="G1202" s="4">
        <v>206</v>
      </c>
      <c r="H1202" s="4">
        <v>114</v>
      </c>
      <c r="I1202" s="4">
        <v>92</v>
      </c>
      <c r="J1202" s="4">
        <v>206</v>
      </c>
    </row>
    <row r="1203" spans="1:10" x14ac:dyDescent="0.75">
      <c r="A1203" t="s">
        <v>151</v>
      </c>
      <c r="B1203">
        <v>2417</v>
      </c>
      <c r="C1203" t="s">
        <v>65</v>
      </c>
      <c r="D1203">
        <v>3291</v>
      </c>
      <c r="E1203" t="s">
        <v>444</v>
      </c>
      <c r="F1203" s="4">
        <v>0</v>
      </c>
      <c r="G1203" s="4">
        <v>198</v>
      </c>
      <c r="H1203" s="4">
        <v>112</v>
      </c>
      <c r="I1203" s="4">
        <v>86</v>
      </c>
      <c r="J1203" s="4">
        <v>198</v>
      </c>
    </row>
    <row r="1204" spans="1:10" x14ac:dyDescent="0.75">
      <c r="A1204" t="s">
        <v>151</v>
      </c>
      <c r="B1204">
        <v>2417</v>
      </c>
      <c r="C1204" t="s">
        <v>65</v>
      </c>
      <c r="D1204">
        <v>6747</v>
      </c>
      <c r="E1204" t="s">
        <v>478</v>
      </c>
      <c r="F1204" s="4">
        <v>0</v>
      </c>
      <c r="G1204" s="4">
        <v>118</v>
      </c>
      <c r="H1204" s="4">
        <v>114</v>
      </c>
      <c r="I1204" s="4">
        <v>4</v>
      </c>
      <c r="J1204" s="4">
        <v>118</v>
      </c>
    </row>
    <row r="1205" spans="1:10" x14ac:dyDescent="0.75">
      <c r="A1205" t="s">
        <v>151</v>
      </c>
      <c r="B1205">
        <v>2417</v>
      </c>
      <c r="C1205" t="s">
        <v>65</v>
      </c>
      <c r="D1205">
        <v>6653</v>
      </c>
      <c r="E1205" t="s">
        <v>395</v>
      </c>
      <c r="F1205" s="4">
        <v>0</v>
      </c>
      <c r="G1205" s="4">
        <v>99</v>
      </c>
      <c r="H1205" s="4">
        <v>77</v>
      </c>
      <c r="I1205" s="4">
        <v>22</v>
      </c>
      <c r="J1205" s="4">
        <v>99</v>
      </c>
    </row>
    <row r="1206" spans="1:10" x14ac:dyDescent="0.75">
      <c r="A1206" t="s">
        <v>151</v>
      </c>
      <c r="B1206">
        <v>2417</v>
      </c>
      <c r="C1206" t="s">
        <v>65</v>
      </c>
      <c r="D1206">
        <v>3284</v>
      </c>
      <c r="E1206" t="s">
        <v>442</v>
      </c>
      <c r="F1206" s="4">
        <v>0</v>
      </c>
      <c r="G1206" s="4">
        <v>83</v>
      </c>
      <c r="H1206" s="4">
        <v>76</v>
      </c>
      <c r="I1206" s="4">
        <v>7</v>
      </c>
      <c r="J1206" s="4">
        <v>83</v>
      </c>
    </row>
    <row r="1207" spans="1:10" x14ac:dyDescent="0.75">
      <c r="A1207" t="s">
        <v>151</v>
      </c>
      <c r="B1207">
        <v>2417</v>
      </c>
      <c r="C1207" t="s">
        <v>65</v>
      </c>
      <c r="D1207">
        <v>6442</v>
      </c>
      <c r="E1207" t="s">
        <v>472</v>
      </c>
      <c r="F1207" s="4">
        <v>0</v>
      </c>
      <c r="G1207" s="4">
        <v>79</v>
      </c>
      <c r="H1207" s="4">
        <v>79</v>
      </c>
      <c r="I1207" s="4">
        <v>0</v>
      </c>
      <c r="J1207" s="4">
        <v>79</v>
      </c>
    </row>
    <row r="1208" spans="1:10" x14ac:dyDescent="0.75">
      <c r="A1208" t="s">
        <v>151</v>
      </c>
      <c r="B1208">
        <v>2417</v>
      </c>
      <c r="C1208" t="s">
        <v>65</v>
      </c>
      <c r="D1208">
        <v>6817</v>
      </c>
      <c r="E1208" t="s">
        <v>481</v>
      </c>
      <c r="F1208" s="4">
        <v>0</v>
      </c>
      <c r="G1208" s="4">
        <v>77</v>
      </c>
      <c r="H1208" s="4">
        <v>0</v>
      </c>
      <c r="I1208" s="4">
        <v>77</v>
      </c>
      <c r="J1208" s="4">
        <v>77</v>
      </c>
    </row>
    <row r="1209" spans="1:10" x14ac:dyDescent="0.75">
      <c r="A1209" t="s">
        <v>151</v>
      </c>
      <c r="B1209">
        <v>2417</v>
      </c>
      <c r="C1209" t="s">
        <v>65</v>
      </c>
      <c r="D1209">
        <v>4420</v>
      </c>
      <c r="E1209" t="s">
        <v>381</v>
      </c>
      <c r="F1209" s="4">
        <v>0</v>
      </c>
      <c r="G1209" s="4">
        <v>72</v>
      </c>
      <c r="H1209" s="4">
        <v>72</v>
      </c>
      <c r="I1209" s="4">
        <v>0</v>
      </c>
      <c r="J1209" s="4">
        <v>72</v>
      </c>
    </row>
    <row r="1210" spans="1:10" x14ac:dyDescent="0.75">
      <c r="A1210" t="s">
        <v>151</v>
      </c>
      <c r="B1210">
        <v>2417</v>
      </c>
      <c r="C1210" t="s">
        <v>65</v>
      </c>
      <c r="D1210">
        <v>4150</v>
      </c>
      <c r="E1210" t="s">
        <v>450</v>
      </c>
      <c r="F1210" s="4">
        <v>0</v>
      </c>
      <c r="G1210" s="4">
        <v>71</v>
      </c>
      <c r="H1210" s="4">
        <v>0</v>
      </c>
      <c r="I1210" s="4">
        <v>71</v>
      </c>
      <c r="J1210" s="4">
        <v>71</v>
      </c>
    </row>
    <row r="1211" spans="1:10" x14ac:dyDescent="0.75">
      <c r="A1211" t="s">
        <v>151</v>
      </c>
      <c r="B1211">
        <v>2417</v>
      </c>
      <c r="C1211" t="s">
        <v>65</v>
      </c>
      <c r="D1211">
        <v>5390</v>
      </c>
      <c r="E1211" t="s">
        <v>418</v>
      </c>
      <c r="F1211" s="4">
        <v>0</v>
      </c>
      <c r="G1211" s="4">
        <v>65</v>
      </c>
      <c r="H1211" s="4">
        <v>6</v>
      </c>
      <c r="I1211" s="4">
        <v>59</v>
      </c>
      <c r="J1211" s="4">
        <v>65</v>
      </c>
    </row>
    <row r="1212" spans="1:10" x14ac:dyDescent="0.75">
      <c r="A1212" t="s">
        <v>151</v>
      </c>
      <c r="B1212">
        <v>2417</v>
      </c>
      <c r="C1212" t="s">
        <v>65</v>
      </c>
      <c r="D1212">
        <v>4860</v>
      </c>
      <c r="E1212" t="s">
        <v>400</v>
      </c>
      <c r="F1212" s="4">
        <v>0</v>
      </c>
      <c r="G1212" s="4">
        <v>64</v>
      </c>
      <c r="H1212" s="4">
        <v>0</v>
      </c>
      <c r="I1212" s="4">
        <v>64</v>
      </c>
      <c r="J1212" s="4">
        <v>64</v>
      </c>
    </row>
    <row r="1213" spans="1:10" x14ac:dyDescent="0.75">
      <c r="A1213" t="s">
        <v>151</v>
      </c>
      <c r="B1213">
        <v>2417</v>
      </c>
      <c r="C1213" t="s">
        <v>65</v>
      </c>
      <c r="D1213">
        <v>3279</v>
      </c>
      <c r="E1213" t="s">
        <v>422</v>
      </c>
      <c r="F1213" s="4">
        <v>0</v>
      </c>
      <c r="G1213" s="4">
        <v>56</v>
      </c>
      <c r="H1213" s="4">
        <v>1</v>
      </c>
      <c r="I1213" s="4">
        <v>55</v>
      </c>
      <c r="J1213" s="4">
        <v>56</v>
      </c>
    </row>
    <row r="1214" spans="1:10" x14ac:dyDescent="0.75">
      <c r="A1214" t="s">
        <v>151</v>
      </c>
      <c r="B1214">
        <v>2417</v>
      </c>
      <c r="C1214" t="s">
        <v>65</v>
      </c>
      <c r="D1214">
        <v>4310</v>
      </c>
      <c r="E1214" t="s">
        <v>453</v>
      </c>
      <c r="F1214" s="4">
        <v>0</v>
      </c>
      <c r="G1214" s="4">
        <v>54</v>
      </c>
      <c r="H1214" s="4">
        <v>54</v>
      </c>
      <c r="I1214" s="4">
        <v>0</v>
      </c>
      <c r="J1214" s="4">
        <v>54</v>
      </c>
    </row>
    <row r="1215" spans="1:10" x14ac:dyDescent="0.75">
      <c r="A1215" t="s">
        <v>151</v>
      </c>
      <c r="B1215">
        <v>2417</v>
      </c>
      <c r="C1215" t="s">
        <v>65</v>
      </c>
      <c r="D1215">
        <v>6861</v>
      </c>
      <c r="E1215" t="s">
        <v>489</v>
      </c>
      <c r="F1215" s="4">
        <v>0</v>
      </c>
      <c r="G1215" s="4">
        <v>53</v>
      </c>
      <c r="H1215" s="4">
        <v>53</v>
      </c>
      <c r="I1215" s="4">
        <v>0</v>
      </c>
      <c r="J1215" s="4">
        <v>53</v>
      </c>
    </row>
    <row r="1216" spans="1:10" x14ac:dyDescent="0.75">
      <c r="A1216" t="s">
        <v>151</v>
      </c>
      <c r="B1216">
        <v>2417</v>
      </c>
      <c r="C1216" t="s">
        <v>65</v>
      </c>
      <c r="D1216">
        <v>4323</v>
      </c>
      <c r="E1216" t="s">
        <v>373</v>
      </c>
      <c r="F1216" s="4">
        <v>0</v>
      </c>
      <c r="G1216" s="4">
        <v>45</v>
      </c>
      <c r="H1216" s="4">
        <v>0</v>
      </c>
      <c r="I1216" s="4">
        <v>45</v>
      </c>
      <c r="J1216" s="4">
        <v>45</v>
      </c>
    </row>
    <row r="1217" spans="1:10" x14ac:dyDescent="0.75">
      <c r="A1217" t="s">
        <v>151</v>
      </c>
      <c r="B1217">
        <v>2417</v>
      </c>
      <c r="C1217" t="s">
        <v>65</v>
      </c>
      <c r="D1217">
        <v>4650</v>
      </c>
      <c r="E1217" t="s">
        <v>457</v>
      </c>
      <c r="F1217" s="4">
        <v>0</v>
      </c>
      <c r="G1217" s="4">
        <v>40</v>
      </c>
      <c r="H1217" s="4">
        <v>15</v>
      </c>
      <c r="I1217" s="4">
        <v>25</v>
      </c>
      <c r="J1217" s="4">
        <v>40</v>
      </c>
    </row>
    <row r="1218" spans="1:10" x14ac:dyDescent="0.75">
      <c r="A1218" t="s">
        <v>151</v>
      </c>
      <c r="B1218">
        <v>2417</v>
      </c>
      <c r="C1218" t="s">
        <v>65</v>
      </c>
      <c r="D1218">
        <v>6871</v>
      </c>
      <c r="E1218" t="s">
        <v>491</v>
      </c>
      <c r="F1218" s="4">
        <v>0</v>
      </c>
      <c r="G1218" s="4">
        <v>40</v>
      </c>
      <c r="H1218" s="4">
        <v>40</v>
      </c>
      <c r="I1218" s="4">
        <v>0</v>
      </c>
      <c r="J1218" s="4">
        <v>40</v>
      </c>
    </row>
    <row r="1219" spans="1:10" x14ac:dyDescent="0.75">
      <c r="A1219" t="s">
        <v>151</v>
      </c>
      <c r="B1219">
        <v>2417</v>
      </c>
      <c r="C1219" t="s">
        <v>65</v>
      </c>
      <c r="D1219">
        <v>7300</v>
      </c>
      <c r="E1219" t="s">
        <v>501</v>
      </c>
      <c r="F1219" s="4">
        <v>0</v>
      </c>
      <c r="G1219" s="4">
        <v>37</v>
      </c>
      <c r="H1219" s="4">
        <v>37</v>
      </c>
      <c r="I1219" s="4">
        <v>0</v>
      </c>
      <c r="J1219" s="4">
        <v>37</v>
      </c>
    </row>
    <row r="1220" spans="1:10" x14ac:dyDescent="0.75">
      <c r="A1220" t="s">
        <v>151</v>
      </c>
      <c r="B1220">
        <v>2417</v>
      </c>
      <c r="C1220" t="s">
        <v>65</v>
      </c>
      <c r="D1220">
        <v>6888</v>
      </c>
      <c r="E1220" t="s">
        <v>494</v>
      </c>
      <c r="F1220" s="4">
        <v>0</v>
      </c>
      <c r="G1220" s="4">
        <v>35</v>
      </c>
      <c r="H1220" s="4">
        <v>18</v>
      </c>
      <c r="I1220" s="4">
        <v>17</v>
      </c>
      <c r="J1220" s="4">
        <v>35</v>
      </c>
    </row>
    <row r="1221" spans="1:10" x14ac:dyDescent="0.75">
      <c r="A1221" t="s">
        <v>151</v>
      </c>
      <c r="B1221">
        <v>2417</v>
      </c>
      <c r="C1221" t="s">
        <v>65</v>
      </c>
      <c r="D1221">
        <v>3283</v>
      </c>
      <c r="E1221" t="s">
        <v>441</v>
      </c>
      <c r="F1221" s="4">
        <v>0</v>
      </c>
      <c r="G1221" s="4">
        <v>32</v>
      </c>
      <c r="H1221" s="4">
        <v>32</v>
      </c>
      <c r="I1221" s="4">
        <v>0</v>
      </c>
      <c r="J1221" s="4">
        <v>32</v>
      </c>
    </row>
    <row r="1222" spans="1:10" x14ac:dyDescent="0.75">
      <c r="A1222" t="s">
        <v>151</v>
      </c>
      <c r="B1222">
        <v>2417</v>
      </c>
      <c r="C1222" t="s">
        <v>65</v>
      </c>
      <c r="D1222">
        <v>6891</v>
      </c>
      <c r="E1222" t="s">
        <v>495</v>
      </c>
      <c r="F1222" s="4">
        <v>0</v>
      </c>
      <c r="G1222" s="4">
        <v>31</v>
      </c>
      <c r="H1222" s="4">
        <v>26</v>
      </c>
      <c r="I1222" s="4">
        <v>5</v>
      </c>
      <c r="J1222" s="4">
        <v>31</v>
      </c>
    </row>
    <row r="1223" spans="1:10" x14ac:dyDescent="0.75">
      <c r="A1223" t="s">
        <v>151</v>
      </c>
      <c r="B1223">
        <v>2417</v>
      </c>
      <c r="C1223" t="s">
        <v>65</v>
      </c>
      <c r="D1223">
        <v>4783</v>
      </c>
      <c r="E1223" t="s">
        <v>382</v>
      </c>
      <c r="F1223" s="4">
        <v>0</v>
      </c>
      <c r="G1223" s="4">
        <v>30</v>
      </c>
      <c r="H1223" s="4">
        <v>30</v>
      </c>
      <c r="I1223" s="4">
        <v>0</v>
      </c>
      <c r="J1223" s="4">
        <v>30</v>
      </c>
    </row>
    <row r="1224" spans="1:10" x14ac:dyDescent="0.75">
      <c r="A1224" t="s">
        <v>151</v>
      </c>
      <c r="B1224">
        <v>2417</v>
      </c>
      <c r="C1224" t="s">
        <v>65</v>
      </c>
      <c r="D1224">
        <v>3281</v>
      </c>
      <c r="E1224" t="s">
        <v>439</v>
      </c>
      <c r="F1224" s="4">
        <v>0</v>
      </c>
      <c r="G1224" s="4">
        <v>23</v>
      </c>
      <c r="H1224" s="4">
        <v>23</v>
      </c>
      <c r="I1224" s="4">
        <v>0</v>
      </c>
      <c r="J1224" s="4">
        <v>23</v>
      </c>
    </row>
    <row r="1225" spans="1:10" x14ac:dyDescent="0.75">
      <c r="A1225" t="s">
        <v>151</v>
      </c>
      <c r="B1225">
        <v>2417</v>
      </c>
      <c r="C1225" t="s">
        <v>65</v>
      </c>
      <c r="D1225">
        <v>2410</v>
      </c>
      <c r="E1225" t="s">
        <v>430</v>
      </c>
      <c r="F1225" s="4">
        <v>0</v>
      </c>
      <c r="G1225" s="4">
        <v>22</v>
      </c>
      <c r="H1225" s="4">
        <v>22</v>
      </c>
      <c r="I1225" s="4">
        <v>0</v>
      </c>
      <c r="J1225" s="4">
        <v>22</v>
      </c>
    </row>
    <row r="1226" spans="1:10" x14ac:dyDescent="0.75">
      <c r="A1226" t="s">
        <v>151</v>
      </c>
      <c r="B1226">
        <v>2417</v>
      </c>
      <c r="C1226" t="s">
        <v>65</v>
      </c>
      <c r="D1226">
        <v>3298</v>
      </c>
      <c r="E1226" t="s">
        <v>447</v>
      </c>
      <c r="F1226" s="4">
        <v>0</v>
      </c>
      <c r="G1226" s="4">
        <v>22</v>
      </c>
      <c r="H1226" s="4">
        <v>0</v>
      </c>
      <c r="I1226" s="4">
        <v>22</v>
      </c>
      <c r="J1226" s="4">
        <v>22</v>
      </c>
    </row>
    <row r="1227" spans="1:10" x14ac:dyDescent="0.75">
      <c r="A1227" t="s">
        <v>151</v>
      </c>
      <c r="B1227">
        <v>2417</v>
      </c>
      <c r="C1227" t="s">
        <v>65</v>
      </c>
      <c r="D1227">
        <v>4680</v>
      </c>
      <c r="E1227" t="s">
        <v>459</v>
      </c>
      <c r="F1227" s="4">
        <v>0</v>
      </c>
      <c r="G1227" s="4">
        <v>21</v>
      </c>
      <c r="H1227" s="4">
        <v>21</v>
      </c>
      <c r="I1227" s="4">
        <v>0</v>
      </c>
      <c r="J1227" s="4">
        <v>21</v>
      </c>
    </row>
    <row r="1228" spans="1:10" x14ac:dyDescent="0.75">
      <c r="A1228" t="s">
        <v>151</v>
      </c>
      <c r="B1228">
        <v>2417</v>
      </c>
      <c r="C1228" t="s">
        <v>65</v>
      </c>
      <c r="D1228">
        <v>6893</v>
      </c>
      <c r="E1228" t="s">
        <v>496</v>
      </c>
      <c r="F1228" s="4">
        <v>0</v>
      </c>
      <c r="G1228" s="4">
        <v>19</v>
      </c>
      <c r="H1228" s="4">
        <v>0</v>
      </c>
      <c r="I1228" s="4">
        <v>19</v>
      </c>
      <c r="J1228" s="4">
        <v>19</v>
      </c>
    </row>
    <row r="1229" spans="1:10" x14ac:dyDescent="0.75">
      <c r="A1229" t="s">
        <v>151</v>
      </c>
      <c r="B1229">
        <v>2417</v>
      </c>
      <c r="C1229" t="s">
        <v>65</v>
      </c>
      <c r="D1229">
        <v>4225</v>
      </c>
      <c r="E1229" t="s">
        <v>380</v>
      </c>
      <c r="F1229" s="4">
        <v>0</v>
      </c>
      <c r="G1229" s="4">
        <v>11</v>
      </c>
      <c r="H1229" s="4">
        <v>11</v>
      </c>
      <c r="I1229" s="4">
        <v>0</v>
      </c>
      <c r="J1229" s="4">
        <v>11</v>
      </c>
    </row>
    <row r="1230" spans="1:10" x14ac:dyDescent="0.75">
      <c r="A1230" t="s">
        <v>151</v>
      </c>
      <c r="B1230">
        <v>2417</v>
      </c>
      <c r="C1230" t="s">
        <v>65</v>
      </c>
      <c r="D1230">
        <v>6835</v>
      </c>
      <c r="E1230" t="s">
        <v>483</v>
      </c>
      <c r="F1230" s="4">
        <v>0</v>
      </c>
      <c r="G1230" s="4">
        <v>8</v>
      </c>
      <c r="H1230" s="4">
        <v>8</v>
      </c>
      <c r="I1230" s="4">
        <v>0</v>
      </c>
      <c r="J1230" s="4">
        <v>8</v>
      </c>
    </row>
    <row r="1231" spans="1:10" x14ac:dyDescent="0.75">
      <c r="A1231" t="s">
        <v>151</v>
      </c>
      <c r="B1231">
        <v>2417</v>
      </c>
      <c r="C1231" t="s">
        <v>65</v>
      </c>
      <c r="D1231">
        <v>3274</v>
      </c>
      <c r="E1231" t="s">
        <v>438</v>
      </c>
      <c r="F1231" s="4">
        <v>0</v>
      </c>
      <c r="G1231" s="4">
        <v>7</v>
      </c>
      <c r="H1231" s="4">
        <v>7</v>
      </c>
      <c r="I1231" s="4">
        <v>0</v>
      </c>
      <c r="J1231" s="4">
        <v>7</v>
      </c>
    </row>
    <row r="1232" spans="1:10" x14ac:dyDescent="0.75">
      <c r="A1232" t="s">
        <v>151</v>
      </c>
      <c r="B1232">
        <v>2417</v>
      </c>
      <c r="C1232" t="s">
        <v>65</v>
      </c>
      <c r="D1232">
        <v>3292</v>
      </c>
      <c r="E1232" t="s">
        <v>413</v>
      </c>
      <c r="F1232" s="4">
        <v>0</v>
      </c>
      <c r="G1232" s="4">
        <v>7</v>
      </c>
      <c r="H1232" s="4">
        <v>0</v>
      </c>
      <c r="I1232" s="4">
        <v>7</v>
      </c>
      <c r="J1232" s="4">
        <v>7</v>
      </c>
    </row>
    <row r="1233" spans="1:10" x14ac:dyDescent="0.75">
      <c r="A1233" t="s">
        <v>151</v>
      </c>
      <c r="B1233">
        <v>2417</v>
      </c>
      <c r="C1233" t="s">
        <v>65</v>
      </c>
      <c r="D1233">
        <v>5429</v>
      </c>
      <c r="E1233" t="s">
        <v>429</v>
      </c>
      <c r="F1233" s="4">
        <v>0</v>
      </c>
      <c r="G1233" s="4">
        <v>6</v>
      </c>
      <c r="H1233" s="4">
        <v>6</v>
      </c>
      <c r="I1233" s="4">
        <v>0</v>
      </c>
      <c r="J1233" s="4">
        <v>6</v>
      </c>
    </row>
    <row r="1234" spans="1:10" x14ac:dyDescent="0.75">
      <c r="A1234" t="s">
        <v>151</v>
      </c>
      <c r="B1234">
        <v>2417</v>
      </c>
      <c r="C1234" t="s">
        <v>65</v>
      </c>
      <c r="D1234">
        <v>4515</v>
      </c>
      <c r="E1234" t="s">
        <v>455</v>
      </c>
      <c r="F1234" s="4">
        <v>0</v>
      </c>
      <c r="G1234" s="4">
        <v>5</v>
      </c>
      <c r="H1234" s="4">
        <v>5</v>
      </c>
      <c r="I1234" s="4">
        <v>0</v>
      </c>
      <c r="J1234" s="4">
        <v>5</v>
      </c>
    </row>
    <row r="1235" spans="1:10" x14ac:dyDescent="0.75">
      <c r="A1235" t="s">
        <v>151</v>
      </c>
      <c r="B1235">
        <v>2417</v>
      </c>
      <c r="C1235" t="s">
        <v>65</v>
      </c>
      <c r="D1235">
        <v>4190</v>
      </c>
      <c r="E1235" t="s">
        <v>452</v>
      </c>
      <c r="F1235" s="4">
        <v>0</v>
      </c>
      <c r="G1235" s="4">
        <v>3</v>
      </c>
      <c r="H1235" s="4">
        <v>3</v>
      </c>
      <c r="I1235" s="4">
        <v>0</v>
      </c>
      <c r="J1235" s="4">
        <v>3</v>
      </c>
    </row>
    <row r="1236" spans="1:10" x14ac:dyDescent="0.75">
      <c r="A1236" t="s">
        <v>151</v>
      </c>
      <c r="B1236">
        <v>2417</v>
      </c>
      <c r="C1236" t="s">
        <v>65</v>
      </c>
      <c r="D1236">
        <v>6894</v>
      </c>
      <c r="E1236" t="s">
        <v>497</v>
      </c>
      <c r="F1236" s="4">
        <v>0</v>
      </c>
      <c r="G1236" s="4">
        <v>2</v>
      </c>
      <c r="H1236" s="4">
        <v>2</v>
      </c>
      <c r="I1236" s="4">
        <v>0</v>
      </c>
      <c r="J1236" s="4">
        <v>2</v>
      </c>
    </row>
    <row r="1237" spans="1:10" x14ac:dyDescent="0.75">
      <c r="A1237" t="s">
        <v>151</v>
      </c>
      <c r="B1237">
        <v>2417</v>
      </c>
      <c r="C1237" t="s">
        <v>65</v>
      </c>
      <c r="D1237">
        <v>5320</v>
      </c>
      <c r="E1237" t="s">
        <v>384</v>
      </c>
      <c r="F1237" s="4">
        <v>0</v>
      </c>
      <c r="G1237" s="4">
        <v>1</v>
      </c>
      <c r="H1237" s="4">
        <v>1</v>
      </c>
      <c r="I1237" s="4">
        <v>0</v>
      </c>
      <c r="J1237" s="4">
        <v>1</v>
      </c>
    </row>
    <row r="1238" spans="1:10" x14ac:dyDescent="0.75">
      <c r="A1238" t="s">
        <v>160</v>
      </c>
      <c r="B1238">
        <v>3794</v>
      </c>
      <c r="C1238" t="s">
        <v>329</v>
      </c>
      <c r="D1238">
        <v>2430</v>
      </c>
      <c r="E1238" t="s">
        <v>376</v>
      </c>
      <c r="F1238" s="4">
        <v>27006</v>
      </c>
      <c r="G1238" s="4">
        <v>0</v>
      </c>
      <c r="H1238" s="4">
        <v>0</v>
      </c>
      <c r="I1238" s="4">
        <v>0</v>
      </c>
      <c r="J1238" s="4">
        <v>27006</v>
      </c>
    </row>
    <row r="1239" spans="1:10" x14ac:dyDescent="0.75">
      <c r="A1239" t="s">
        <v>151</v>
      </c>
      <c r="B1239">
        <v>91</v>
      </c>
      <c r="C1239" t="s">
        <v>341</v>
      </c>
      <c r="D1239">
        <v>2330</v>
      </c>
      <c r="E1239" t="s">
        <v>368</v>
      </c>
      <c r="F1239" s="4">
        <v>4267</v>
      </c>
      <c r="G1239" s="4">
        <v>0</v>
      </c>
      <c r="H1239" s="4">
        <v>0</v>
      </c>
      <c r="I1239" s="4">
        <v>0</v>
      </c>
      <c r="J1239" s="4">
        <v>4267</v>
      </c>
    </row>
    <row r="1240" spans="1:10" x14ac:dyDescent="0.75">
      <c r="A1240" t="s">
        <v>160</v>
      </c>
      <c r="B1240">
        <v>3726</v>
      </c>
      <c r="C1240" t="s">
        <v>268</v>
      </c>
      <c r="D1240">
        <v>4860</v>
      </c>
      <c r="E1240" t="s">
        <v>400</v>
      </c>
      <c r="F1240" s="4">
        <v>526151</v>
      </c>
      <c r="G1240" s="4">
        <v>0</v>
      </c>
      <c r="H1240" s="4">
        <v>0</v>
      </c>
      <c r="I1240" s="4">
        <v>0</v>
      </c>
      <c r="J1240" s="4">
        <v>526151</v>
      </c>
    </row>
    <row r="1241" spans="1:10" x14ac:dyDescent="0.75">
      <c r="A1241" t="s">
        <v>160</v>
      </c>
      <c r="B1241">
        <v>3726</v>
      </c>
      <c r="C1241" t="s">
        <v>268</v>
      </c>
      <c r="D1241">
        <v>4331</v>
      </c>
      <c r="E1241" t="s">
        <v>390</v>
      </c>
      <c r="F1241" s="4">
        <v>22531</v>
      </c>
      <c r="G1241" s="4">
        <v>111132</v>
      </c>
      <c r="H1241" s="4">
        <v>111132</v>
      </c>
      <c r="I1241" s="4">
        <v>0</v>
      </c>
      <c r="J1241" s="4">
        <v>133663</v>
      </c>
    </row>
    <row r="1242" spans="1:10" x14ac:dyDescent="0.75">
      <c r="A1242" t="s">
        <v>160</v>
      </c>
      <c r="B1242">
        <v>3726</v>
      </c>
      <c r="C1242" t="s">
        <v>268</v>
      </c>
      <c r="D1242">
        <v>4410</v>
      </c>
      <c r="E1242" t="s">
        <v>399</v>
      </c>
      <c r="F1242" s="4">
        <v>41766</v>
      </c>
      <c r="G1242" s="4">
        <v>0</v>
      </c>
      <c r="H1242" s="4">
        <v>0</v>
      </c>
      <c r="I1242" s="4">
        <v>0</v>
      </c>
      <c r="J1242" s="4">
        <v>41766</v>
      </c>
    </row>
    <row r="1243" spans="1:10" x14ac:dyDescent="0.75">
      <c r="A1243" t="s">
        <v>160</v>
      </c>
      <c r="B1243">
        <v>3726</v>
      </c>
      <c r="C1243" t="s">
        <v>268</v>
      </c>
      <c r="D1243">
        <v>4322</v>
      </c>
      <c r="E1243" t="s">
        <v>398</v>
      </c>
      <c r="F1243" s="4">
        <v>18639</v>
      </c>
      <c r="G1243" s="4">
        <v>0</v>
      </c>
      <c r="H1243" s="4">
        <v>0</v>
      </c>
      <c r="I1243" s="4">
        <v>0</v>
      </c>
      <c r="J1243" s="4">
        <v>18639</v>
      </c>
    </row>
    <row r="1244" spans="1:10" x14ac:dyDescent="0.75">
      <c r="A1244" t="s">
        <v>151</v>
      </c>
      <c r="B1244">
        <v>4709</v>
      </c>
      <c r="C1244" t="s">
        <v>235</v>
      </c>
      <c r="D1244">
        <v>6782</v>
      </c>
      <c r="E1244" t="s">
        <v>396</v>
      </c>
      <c r="F1244" s="4">
        <v>0</v>
      </c>
      <c r="G1244" s="4">
        <v>1618110</v>
      </c>
      <c r="H1244" s="4">
        <v>0</v>
      </c>
      <c r="I1244" s="4">
        <v>1618110</v>
      </c>
      <c r="J1244" s="4">
        <v>1618110</v>
      </c>
    </row>
    <row r="1245" spans="1:10" x14ac:dyDescent="0.75">
      <c r="A1245" t="s">
        <v>151</v>
      </c>
      <c r="B1245">
        <v>4709</v>
      </c>
      <c r="C1245" t="s">
        <v>235</v>
      </c>
      <c r="D1245">
        <v>6653</v>
      </c>
      <c r="E1245" t="s">
        <v>395</v>
      </c>
      <c r="F1245" s="4">
        <v>0</v>
      </c>
      <c r="G1245" s="4">
        <v>74965</v>
      </c>
      <c r="H1245" s="4">
        <v>74965</v>
      </c>
      <c r="I1245" s="4">
        <v>0</v>
      </c>
      <c r="J1245" s="4">
        <v>74965</v>
      </c>
    </row>
    <row r="1246" spans="1:10" x14ac:dyDescent="0.75">
      <c r="A1246" t="s">
        <v>151</v>
      </c>
      <c r="B1246">
        <v>4709</v>
      </c>
      <c r="C1246" t="s">
        <v>235</v>
      </c>
      <c r="D1246">
        <v>4161</v>
      </c>
      <c r="E1246" t="s">
        <v>421</v>
      </c>
      <c r="F1246" s="4">
        <v>32135</v>
      </c>
      <c r="G1246" s="4">
        <v>4</v>
      </c>
      <c r="H1246" s="4">
        <v>0</v>
      </c>
      <c r="I1246" s="4">
        <v>4</v>
      </c>
      <c r="J1246" s="4">
        <v>32139</v>
      </c>
    </row>
    <row r="1247" spans="1:10" x14ac:dyDescent="0.75">
      <c r="A1247" t="s">
        <v>151</v>
      </c>
      <c r="B1247">
        <v>4709</v>
      </c>
      <c r="C1247" t="s">
        <v>235</v>
      </c>
      <c r="D1247">
        <v>4170</v>
      </c>
      <c r="E1247" t="s">
        <v>424</v>
      </c>
      <c r="F1247" s="4">
        <v>0</v>
      </c>
      <c r="G1247" s="4">
        <v>19970</v>
      </c>
      <c r="H1247" s="4">
        <v>0</v>
      </c>
      <c r="I1247" s="4">
        <v>19970</v>
      </c>
      <c r="J1247" s="4">
        <v>19970</v>
      </c>
    </row>
    <row r="1248" spans="1:10" x14ac:dyDescent="0.75">
      <c r="A1248" t="s">
        <v>151</v>
      </c>
      <c r="B1248">
        <v>4709</v>
      </c>
      <c r="C1248" t="s">
        <v>235</v>
      </c>
      <c r="D1248">
        <v>3286</v>
      </c>
      <c r="E1248" t="s">
        <v>423</v>
      </c>
      <c r="F1248" s="4">
        <v>0</v>
      </c>
      <c r="G1248" s="4">
        <v>5519</v>
      </c>
      <c r="H1248" s="4">
        <v>5519</v>
      </c>
      <c r="I1248" s="4">
        <v>0</v>
      </c>
      <c r="J1248" s="4">
        <v>5519</v>
      </c>
    </row>
    <row r="1249" spans="1:10" x14ac:dyDescent="0.75">
      <c r="A1249" t="s">
        <v>151</v>
      </c>
      <c r="B1249">
        <v>1910</v>
      </c>
      <c r="C1249" t="s">
        <v>188</v>
      </c>
      <c r="D1249">
        <v>7900</v>
      </c>
      <c r="E1249" t="s">
        <v>388</v>
      </c>
      <c r="F1249" s="4">
        <v>3390160</v>
      </c>
      <c r="G1249" s="4">
        <v>1654</v>
      </c>
      <c r="H1249" s="4">
        <v>67</v>
      </c>
      <c r="I1249" s="4">
        <v>1587</v>
      </c>
      <c r="J1249" s="4">
        <v>3391814</v>
      </c>
    </row>
    <row r="1250" spans="1:10" x14ac:dyDescent="0.75">
      <c r="A1250" t="s">
        <v>151</v>
      </c>
      <c r="B1250">
        <v>1910</v>
      </c>
      <c r="C1250" t="s">
        <v>188</v>
      </c>
      <c r="D1250">
        <v>7110</v>
      </c>
      <c r="E1250" t="s">
        <v>371</v>
      </c>
      <c r="F1250" s="4">
        <v>1227982</v>
      </c>
      <c r="G1250" s="4">
        <v>7188</v>
      </c>
      <c r="H1250" s="4">
        <v>760</v>
      </c>
      <c r="I1250" s="4">
        <v>6428</v>
      </c>
      <c r="J1250" s="4">
        <v>1235170</v>
      </c>
    </row>
    <row r="1251" spans="1:10" x14ac:dyDescent="0.75">
      <c r="A1251" t="s">
        <v>151</v>
      </c>
      <c r="B1251">
        <v>1910</v>
      </c>
      <c r="C1251" t="s">
        <v>188</v>
      </c>
      <c r="D1251">
        <v>2330</v>
      </c>
      <c r="E1251" t="s">
        <v>368</v>
      </c>
      <c r="F1251" s="4">
        <v>759921</v>
      </c>
      <c r="G1251" s="4">
        <v>577</v>
      </c>
      <c r="H1251" s="4">
        <v>0</v>
      </c>
      <c r="I1251" s="4">
        <v>577</v>
      </c>
      <c r="J1251" s="4">
        <v>760498</v>
      </c>
    </row>
    <row r="1252" spans="1:10" x14ac:dyDescent="0.75">
      <c r="A1252" t="s">
        <v>151</v>
      </c>
      <c r="B1252">
        <v>1910</v>
      </c>
      <c r="C1252" t="s">
        <v>188</v>
      </c>
      <c r="D1252">
        <v>4900</v>
      </c>
      <c r="E1252" t="s">
        <v>383</v>
      </c>
      <c r="F1252" s="4">
        <v>401493</v>
      </c>
      <c r="G1252" s="4">
        <v>1102</v>
      </c>
      <c r="H1252" s="4">
        <v>0</v>
      </c>
      <c r="I1252" s="4">
        <v>1102</v>
      </c>
      <c r="J1252" s="4">
        <v>402595</v>
      </c>
    </row>
    <row r="1253" spans="1:10" x14ac:dyDescent="0.75">
      <c r="A1253" t="s">
        <v>151</v>
      </c>
      <c r="B1253">
        <v>1910</v>
      </c>
      <c r="C1253" t="s">
        <v>188</v>
      </c>
      <c r="D1253">
        <v>3299</v>
      </c>
      <c r="E1253" t="s">
        <v>448</v>
      </c>
      <c r="F1253" s="4">
        <v>220619</v>
      </c>
      <c r="G1253" s="4">
        <v>575</v>
      </c>
      <c r="H1253" s="4">
        <v>0</v>
      </c>
      <c r="I1253" s="4">
        <v>575</v>
      </c>
      <c r="J1253" s="4">
        <v>221194</v>
      </c>
    </row>
    <row r="1254" spans="1:10" x14ac:dyDescent="0.75">
      <c r="A1254" t="s">
        <v>151</v>
      </c>
      <c r="B1254">
        <v>1910</v>
      </c>
      <c r="C1254" t="s">
        <v>188</v>
      </c>
      <c r="D1254">
        <v>4782</v>
      </c>
      <c r="E1254" t="s">
        <v>414</v>
      </c>
      <c r="F1254" s="4">
        <v>131733</v>
      </c>
      <c r="G1254" s="4">
        <v>0</v>
      </c>
      <c r="H1254" s="4">
        <v>0</v>
      </c>
      <c r="I1254" s="4">
        <v>0</v>
      </c>
      <c r="J1254" s="4">
        <v>131733</v>
      </c>
    </row>
    <row r="1255" spans="1:10" x14ac:dyDescent="0.75">
      <c r="A1255" t="s">
        <v>151</v>
      </c>
      <c r="B1255">
        <v>1910</v>
      </c>
      <c r="C1255" t="s">
        <v>188</v>
      </c>
      <c r="D1255">
        <v>4783</v>
      </c>
      <c r="E1255" t="s">
        <v>382</v>
      </c>
      <c r="F1255" s="4">
        <v>62379</v>
      </c>
      <c r="G1255" s="4">
        <v>5286</v>
      </c>
      <c r="H1255" s="4">
        <v>5286</v>
      </c>
      <c r="I1255" s="4">
        <v>0</v>
      </c>
      <c r="J1255" s="4">
        <v>67665</v>
      </c>
    </row>
    <row r="1256" spans="1:10" x14ac:dyDescent="0.75">
      <c r="A1256" t="s">
        <v>151</v>
      </c>
      <c r="B1256">
        <v>1910</v>
      </c>
      <c r="C1256" t="s">
        <v>188</v>
      </c>
      <c r="D1256">
        <v>2340</v>
      </c>
      <c r="E1256" t="s">
        <v>369</v>
      </c>
      <c r="F1256" s="4">
        <v>54723</v>
      </c>
      <c r="G1256" s="4">
        <v>1295</v>
      </c>
      <c r="H1256" s="4">
        <v>0</v>
      </c>
      <c r="I1256" s="4">
        <v>1295</v>
      </c>
      <c r="J1256" s="4">
        <v>56018</v>
      </c>
    </row>
    <row r="1257" spans="1:10" x14ac:dyDescent="0.75">
      <c r="A1257" t="s">
        <v>151</v>
      </c>
      <c r="B1257">
        <v>1910</v>
      </c>
      <c r="C1257" t="s">
        <v>188</v>
      </c>
      <c r="D1257">
        <v>8900</v>
      </c>
      <c r="E1257" t="s">
        <v>506</v>
      </c>
      <c r="F1257" s="4">
        <v>52589</v>
      </c>
      <c r="G1257" s="4">
        <v>0</v>
      </c>
      <c r="H1257" s="4">
        <v>0</v>
      </c>
      <c r="I1257" s="4">
        <v>0</v>
      </c>
      <c r="J1257" s="4">
        <v>52589</v>
      </c>
    </row>
    <row r="1258" spans="1:10" x14ac:dyDescent="0.75">
      <c r="A1258" t="s">
        <v>151</v>
      </c>
      <c r="B1258">
        <v>1910</v>
      </c>
      <c r="C1258" t="s">
        <v>188</v>
      </c>
      <c r="D1258">
        <v>4322</v>
      </c>
      <c r="E1258" t="s">
        <v>398</v>
      </c>
      <c r="F1258" s="4">
        <v>48482</v>
      </c>
      <c r="G1258" s="4">
        <v>0</v>
      </c>
      <c r="H1258" s="4">
        <v>0</v>
      </c>
      <c r="I1258" s="4">
        <v>0</v>
      </c>
      <c r="J1258" s="4">
        <v>48482</v>
      </c>
    </row>
    <row r="1259" spans="1:10" x14ac:dyDescent="0.75">
      <c r="A1259" t="s">
        <v>151</v>
      </c>
      <c r="B1259">
        <v>1910</v>
      </c>
      <c r="C1259" t="s">
        <v>188</v>
      </c>
      <c r="D1259">
        <v>3276</v>
      </c>
      <c r="E1259" t="s">
        <v>379</v>
      </c>
      <c r="F1259" s="4">
        <v>43214</v>
      </c>
      <c r="G1259" s="4">
        <v>8</v>
      </c>
      <c r="H1259" s="4">
        <v>0</v>
      </c>
      <c r="I1259" s="4">
        <v>8</v>
      </c>
      <c r="J1259" s="4">
        <v>43222</v>
      </c>
    </row>
    <row r="1260" spans="1:10" x14ac:dyDescent="0.75">
      <c r="A1260" t="s">
        <v>151</v>
      </c>
      <c r="B1260">
        <v>1910</v>
      </c>
      <c r="C1260" t="s">
        <v>188</v>
      </c>
      <c r="D1260">
        <v>2350</v>
      </c>
      <c r="E1260" t="s">
        <v>404</v>
      </c>
      <c r="F1260" s="4">
        <v>23287</v>
      </c>
      <c r="G1260" s="4">
        <v>374</v>
      </c>
      <c r="H1260" s="4">
        <v>0</v>
      </c>
      <c r="I1260" s="4">
        <v>374</v>
      </c>
      <c r="J1260" s="4">
        <v>23661</v>
      </c>
    </row>
    <row r="1261" spans="1:10" x14ac:dyDescent="0.75">
      <c r="A1261" t="s">
        <v>151</v>
      </c>
      <c r="B1261">
        <v>1910</v>
      </c>
      <c r="C1261" t="s">
        <v>188</v>
      </c>
      <c r="D1261">
        <v>4331</v>
      </c>
      <c r="E1261" t="s">
        <v>390</v>
      </c>
      <c r="F1261" s="4">
        <v>21674</v>
      </c>
      <c r="G1261" s="4">
        <v>105</v>
      </c>
      <c r="H1261" s="4">
        <v>0</v>
      </c>
      <c r="I1261" s="4">
        <v>105</v>
      </c>
      <c r="J1261" s="4">
        <v>21779</v>
      </c>
    </row>
    <row r="1262" spans="1:10" x14ac:dyDescent="0.75">
      <c r="A1262" t="s">
        <v>151</v>
      </c>
      <c r="B1262">
        <v>1910</v>
      </c>
      <c r="C1262" t="s">
        <v>188</v>
      </c>
      <c r="D1262">
        <v>3211</v>
      </c>
      <c r="E1262" t="s">
        <v>433</v>
      </c>
      <c r="F1262" s="4">
        <v>20782</v>
      </c>
      <c r="G1262" s="4">
        <v>682</v>
      </c>
      <c r="H1262" s="4">
        <v>0</v>
      </c>
      <c r="I1262" s="4">
        <v>682</v>
      </c>
      <c r="J1262" s="4">
        <v>21464</v>
      </c>
    </row>
    <row r="1263" spans="1:10" x14ac:dyDescent="0.75">
      <c r="A1263" t="s">
        <v>151</v>
      </c>
      <c r="B1263">
        <v>1910</v>
      </c>
      <c r="C1263" t="s">
        <v>188</v>
      </c>
      <c r="D1263">
        <v>6782</v>
      </c>
      <c r="E1263" t="s">
        <v>396</v>
      </c>
      <c r="F1263" s="4">
        <v>14775</v>
      </c>
      <c r="G1263" s="4">
        <v>0</v>
      </c>
      <c r="H1263" s="4">
        <v>0</v>
      </c>
      <c r="I1263" s="4">
        <v>0</v>
      </c>
      <c r="J1263" s="4">
        <v>14775</v>
      </c>
    </row>
    <row r="1264" spans="1:10" x14ac:dyDescent="0.75">
      <c r="A1264" t="s">
        <v>151</v>
      </c>
      <c r="B1264">
        <v>1910</v>
      </c>
      <c r="C1264" t="s">
        <v>188</v>
      </c>
      <c r="D1264">
        <v>6888</v>
      </c>
      <c r="E1264" t="s">
        <v>494</v>
      </c>
      <c r="F1264" s="4">
        <v>9919</v>
      </c>
      <c r="G1264" s="4">
        <v>0</v>
      </c>
      <c r="H1264" s="4">
        <v>0</v>
      </c>
      <c r="I1264" s="4">
        <v>0</v>
      </c>
      <c r="J1264" s="4">
        <v>9919</v>
      </c>
    </row>
    <row r="1265" spans="1:10" x14ac:dyDescent="0.75">
      <c r="A1265" t="s">
        <v>151</v>
      </c>
      <c r="B1265">
        <v>1910</v>
      </c>
      <c r="C1265" t="s">
        <v>188</v>
      </c>
      <c r="D1265">
        <v>4420</v>
      </c>
      <c r="E1265" t="s">
        <v>381</v>
      </c>
      <c r="F1265" s="4">
        <v>7624</v>
      </c>
      <c r="G1265" s="4">
        <v>13</v>
      </c>
      <c r="H1265" s="4">
        <v>13</v>
      </c>
      <c r="I1265" s="4">
        <v>0</v>
      </c>
      <c r="J1265" s="4">
        <v>7637</v>
      </c>
    </row>
    <row r="1266" spans="1:10" x14ac:dyDescent="0.75">
      <c r="A1266" t="s">
        <v>151</v>
      </c>
      <c r="B1266">
        <v>1910</v>
      </c>
      <c r="C1266" t="s">
        <v>188</v>
      </c>
      <c r="D1266">
        <v>5220</v>
      </c>
      <c r="E1266" t="s">
        <v>401</v>
      </c>
      <c r="F1266" s="4">
        <v>5261</v>
      </c>
      <c r="G1266" s="4">
        <v>0</v>
      </c>
      <c r="H1266" s="4">
        <v>0</v>
      </c>
      <c r="I1266" s="4">
        <v>0</v>
      </c>
      <c r="J1266" s="4">
        <v>5261</v>
      </c>
    </row>
    <row r="1267" spans="1:10" x14ac:dyDescent="0.75">
      <c r="A1267" t="s">
        <v>151</v>
      </c>
      <c r="B1267">
        <v>1910</v>
      </c>
      <c r="C1267" t="s">
        <v>188</v>
      </c>
      <c r="D1267">
        <v>5480</v>
      </c>
      <c r="E1267" t="s">
        <v>386</v>
      </c>
      <c r="F1267" s="4">
        <v>395</v>
      </c>
      <c r="G1267" s="4">
        <v>3861</v>
      </c>
      <c r="H1267" s="4">
        <v>165</v>
      </c>
      <c r="I1267" s="4">
        <v>3696</v>
      </c>
      <c r="J1267" s="4">
        <v>4256</v>
      </c>
    </row>
    <row r="1268" spans="1:10" x14ac:dyDescent="0.75">
      <c r="A1268" t="s">
        <v>151</v>
      </c>
      <c r="B1268">
        <v>1910</v>
      </c>
      <c r="C1268" t="s">
        <v>188</v>
      </c>
      <c r="D1268">
        <v>9900</v>
      </c>
      <c r="E1268" t="s">
        <v>389</v>
      </c>
      <c r="F1268" s="4">
        <v>0</v>
      </c>
      <c r="G1268" s="4">
        <v>3668</v>
      </c>
      <c r="H1268" s="4">
        <v>3641</v>
      </c>
      <c r="I1268" s="4">
        <v>27</v>
      </c>
      <c r="J1268" s="4">
        <v>3668</v>
      </c>
    </row>
    <row r="1269" spans="1:10" x14ac:dyDescent="0.75">
      <c r="A1269" t="s">
        <v>151</v>
      </c>
      <c r="B1269">
        <v>1910</v>
      </c>
      <c r="C1269" t="s">
        <v>188</v>
      </c>
      <c r="D1269">
        <v>2100</v>
      </c>
      <c r="E1269" t="s">
        <v>403</v>
      </c>
      <c r="F1269" s="4">
        <v>3504</v>
      </c>
      <c r="G1269" s="4">
        <v>0</v>
      </c>
      <c r="H1269" s="4">
        <v>0</v>
      </c>
      <c r="I1269" s="4">
        <v>0</v>
      </c>
      <c r="J1269" s="4">
        <v>3504</v>
      </c>
    </row>
    <row r="1270" spans="1:10" x14ac:dyDescent="0.75">
      <c r="A1270" t="s">
        <v>151</v>
      </c>
      <c r="B1270">
        <v>1910</v>
      </c>
      <c r="C1270" t="s">
        <v>188</v>
      </c>
      <c r="D1270">
        <v>7230</v>
      </c>
      <c r="E1270" t="s">
        <v>387</v>
      </c>
      <c r="F1270" s="4">
        <v>0</v>
      </c>
      <c r="G1270" s="4">
        <v>2760</v>
      </c>
      <c r="H1270" s="4">
        <v>2</v>
      </c>
      <c r="I1270" s="4">
        <v>2758</v>
      </c>
      <c r="J1270" s="4">
        <v>2760</v>
      </c>
    </row>
    <row r="1271" spans="1:10" x14ac:dyDescent="0.75">
      <c r="A1271" t="s">
        <v>151</v>
      </c>
      <c r="B1271">
        <v>1910</v>
      </c>
      <c r="C1271" t="s">
        <v>188</v>
      </c>
      <c r="D1271">
        <v>4335</v>
      </c>
      <c r="E1271" t="s">
        <v>372</v>
      </c>
      <c r="F1271" s="4">
        <v>1794</v>
      </c>
      <c r="G1271" s="4">
        <v>0</v>
      </c>
      <c r="H1271" s="4">
        <v>0</v>
      </c>
      <c r="I1271" s="4">
        <v>0</v>
      </c>
      <c r="J1271" s="4">
        <v>1794</v>
      </c>
    </row>
    <row r="1272" spans="1:10" x14ac:dyDescent="0.75">
      <c r="A1272" t="s">
        <v>151</v>
      </c>
      <c r="B1272">
        <v>1910</v>
      </c>
      <c r="C1272" t="s">
        <v>188</v>
      </c>
      <c r="D1272">
        <v>5370</v>
      </c>
      <c r="E1272" t="s">
        <v>466</v>
      </c>
      <c r="F1272" s="4">
        <v>750</v>
      </c>
      <c r="G1272" s="4">
        <v>140</v>
      </c>
      <c r="H1272" s="4">
        <v>8</v>
      </c>
      <c r="I1272" s="4">
        <v>132</v>
      </c>
      <c r="J1272" s="4">
        <v>890</v>
      </c>
    </row>
    <row r="1273" spans="1:10" x14ac:dyDescent="0.75">
      <c r="A1273" t="s">
        <v>151</v>
      </c>
      <c r="B1273">
        <v>1910</v>
      </c>
      <c r="C1273" t="s">
        <v>188</v>
      </c>
      <c r="D1273">
        <v>7500</v>
      </c>
      <c r="E1273" t="s">
        <v>427</v>
      </c>
      <c r="F1273" s="4">
        <v>0</v>
      </c>
      <c r="G1273" s="4">
        <v>856</v>
      </c>
      <c r="H1273" s="4">
        <v>193</v>
      </c>
      <c r="I1273" s="4">
        <v>663</v>
      </c>
      <c r="J1273" s="4">
        <v>856</v>
      </c>
    </row>
    <row r="1274" spans="1:10" x14ac:dyDescent="0.75">
      <c r="A1274" t="s">
        <v>151</v>
      </c>
      <c r="B1274">
        <v>1910</v>
      </c>
      <c r="C1274" t="s">
        <v>188</v>
      </c>
      <c r="D1274">
        <v>7120</v>
      </c>
      <c r="E1274" t="s">
        <v>499</v>
      </c>
      <c r="F1274" s="4">
        <v>0</v>
      </c>
      <c r="G1274" s="4">
        <v>773</v>
      </c>
      <c r="H1274" s="4">
        <v>33</v>
      </c>
      <c r="I1274" s="4">
        <v>740</v>
      </c>
      <c r="J1274" s="4">
        <v>773</v>
      </c>
    </row>
    <row r="1275" spans="1:10" x14ac:dyDescent="0.75">
      <c r="A1275" t="s">
        <v>151</v>
      </c>
      <c r="B1275">
        <v>1910</v>
      </c>
      <c r="C1275" t="s">
        <v>188</v>
      </c>
      <c r="D1275">
        <v>3275</v>
      </c>
      <c r="E1275" t="s">
        <v>412</v>
      </c>
      <c r="F1275" s="4">
        <v>0</v>
      </c>
      <c r="G1275" s="4">
        <v>345</v>
      </c>
      <c r="H1275" s="4">
        <v>0</v>
      </c>
      <c r="I1275" s="4">
        <v>345</v>
      </c>
      <c r="J1275" s="4">
        <v>345</v>
      </c>
    </row>
    <row r="1276" spans="1:10" x14ac:dyDescent="0.75">
      <c r="A1276" t="s">
        <v>151</v>
      </c>
      <c r="B1276">
        <v>1910</v>
      </c>
      <c r="C1276" t="s">
        <v>188</v>
      </c>
      <c r="D1276">
        <v>3220</v>
      </c>
      <c r="E1276" t="s">
        <v>370</v>
      </c>
      <c r="F1276" s="4">
        <v>0</v>
      </c>
      <c r="G1276" s="4">
        <v>249</v>
      </c>
      <c r="H1276" s="4">
        <v>0</v>
      </c>
      <c r="I1276" s="4">
        <v>249</v>
      </c>
      <c r="J1276" s="4">
        <v>249</v>
      </c>
    </row>
    <row r="1277" spans="1:10" x14ac:dyDescent="0.75">
      <c r="A1277" t="s">
        <v>151</v>
      </c>
      <c r="B1277">
        <v>1910</v>
      </c>
      <c r="C1277" t="s">
        <v>188</v>
      </c>
      <c r="D1277">
        <v>1100</v>
      </c>
      <c r="E1277" t="s">
        <v>397</v>
      </c>
      <c r="F1277" s="4">
        <v>0</v>
      </c>
      <c r="G1277" s="4">
        <v>185</v>
      </c>
      <c r="H1277" s="4">
        <v>0</v>
      </c>
      <c r="I1277" s="4">
        <v>185</v>
      </c>
      <c r="J1277" s="4">
        <v>185</v>
      </c>
    </row>
    <row r="1278" spans="1:10" x14ac:dyDescent="0.75">
      <c r="A1278" t="s">
        <v>151</v>
      </c>
      <c r="B1278">
        <v>1910</v>
      </c>
      <c r="C1278" t="s">
        <v>188</v>
      </c>
      <c r="D1278">
        <v>5290</v>
      </c>
      <c r="E1278" t="s">
        <v>415</v>
      </c>
      <c r="F1278" s="4">
        <v>0</v>
      </c>
      <c r="G1278" s="4">
        <v>181</v>
      </c>
      <c r="H1278" s="4">
        <v>0</v>
      </c>
      <c r="I1278" s="4">
        <v>181</v>
      </c>
      <c r="J1278" s="4">
        <v>181</v>
      </c>
    </row>
    <row r="1279" spans="1:10" x14ac:dyDescent="0.75">
      <c r="A1279" t="s">
        <v>151</v>
      </c>
      <c r="B1279">
        <v>1910</v>
      </c>
      <c r="C1279" t="s">
        <v>188</v>
      </c>
      <c r="D1279">
        <v>5330</v>
      </c>
      <c r="E1279" t="s">
        <v>385</v>
      </c>
      <c r="F1279" s="4">
        <v>0</v>
      </c>
      <c r="G1279" s="4">
        <v>162</v>
      </c>
      <c r="H1279" s="4">
        <v>0</v>
      </c>
      <c r="I1279" s="4">
        <v>162</v>
      </c>
      <c r="J1279" s="4">
        <v>162</v>
      </c>
    </row>
    <row r="1280" spans="1:10" x14ac:dyDescent="0.75">
      <c r="A1280" t="s">
        <v>151</v>
      </c>
      <c r="B1280">
        <v>1910</v>
      </c>
      <c r="C1280" t="s">
        <v>188</v>
      </c>
      <c r="D1280">
        <v>5320</v>
      </c>
      <c r="E1280" t="s">
        <v>384</v>
      </c>
      <c r="F1280" s="4">
        <v>0</v>
      </c>
      <c r="G1280" s="4">
        <v>118</v>
      </c>
      <c r="H1280" s="4">
        <v>0</v>
      </c>
      <c r="I1280" s="4">
        <v>118</v>
      </c>
      <c r="J1280" s="4">
        <v>118</v>
      </c>
    </row>
    <row r="1281" spans="1:10" x14ac:dyDescent="0.75">
      <c r="A1281" t="s">
        <v>151</v>
      </c>
      <c r="B1281">
        <v>1910</v>
      </c>
      <c r="C1281" t="s">
        <v>188</v>
      </c>
      <c r="D1281">
        <v>2430</v>
      </c>
      <c r="E1281" t="s">
        <v>376</v>
      </c>
      <c r="F1281" s="4">
        <v>102</v>
      </c>
      <c r="G1281" s="4">
        <v>0</v>
      </c>
      <c r="H1281" s="4">
        <v>0</v>
      </c>
      <c r="I1281" s="4">
        <v>0</v>
      </c>
      <c r="J1281" s="4">
        <v>102</v>
      </c>
    </row>
    <row r="1282" spans="1:10" x14ac:dyDescent="0.75">
      <c r="A1282" t="s">
        <v>151</v>
      </c>
      <c r="B1282">
        <v>1910</v>
      </c>
      <c r="C1282" t="s">
        <v>188</v>
      </c>
      <c r="D1282">
        <v>7210</v>
      </c>
      <c r="E1282" t="s">
        <v>426</v>
      </c>
      <c r="F1282" s="4">
        <v>0</v>
      </c>
      <c r="G1282" s="4">
        <v>96</v>
      </c>
      <c r="H1282" s="4">
        <v>0</v>
      </c>
      <c r="I1282" s="4">
        <v>96</v>
      </c>
      <c r="J1282" s="4">
        <v>96</v>
      </c>
    </row>
    <row r="1283" spans="1:10" x14ac:dyDescent="0.75">
      <c r="A1283" t="s">
        <v>151</v>
      </c>
      <c r="B1283">
        <v>1910</v>
      </c>
      <c r="C1283" t="s">
        <v>188</v>
      </c>
      <c r="D1283">
        <v>5421</v>
      </c>
      <c r="E1283" t="s">
        <v>467</v>
      </c>
      <c r="F1283" s="4">
        <v>0</v>
      </c>
      <c r="G1283" s="4">
        <v>88</v>
      </c>
      <c r="H1283" s="4">
        <v>0</v>
      </c>
      <c r="I1283" s="4">
        <v>88</v>
      </c>
      <c r="J1283" s="4">
        <v>88</v>
      </c>
    </row>
    <row r="1284" spans="1:10" x14ac:dyDescent="0.75">
      <c r="A1284" t="s">
        <v>151</v>
      </c>
      <c r="B1284">
        <v>1910</v>
      </c>
      <c r="C1284" t="s">
        <v>188</v>
      </c>
      <c r="D1284">
        <v>5390</v>
      </c>
      <c r="E1284" t="s">
        <v>418</v>
      </c>
      <c r="F1284" s="4">
        <v>0</v>
      </c>
      <c r="G1284" s="4">
        <v>83</v>
      </c>
      <c r="H1284" s="4">
        <v>0</v>
      </c>
      <c r="I1284" s="4">
        <v>83</v>
      </c>
      <c r="J1284" s="4">
        <v>83</v>
      </c>
    </row>
    <row r="1285" spans="1:10" x14ac:dyDescent="0.75">
      <c r="A1285" t="s">
        <v>151</v>
      </c>
      <c r="B1285">
        <v>1910</v>
      </c>
      <c r="C1285" t="s">
        <v>188</v>
      </c>
      <c r="D1285">
        <v>7600</v>
      </c>
      <c r="E1285" t="s">
        <v>503</v>
      </c>
      <c r="F1285" s="4">
        <v>0</v>
      </c>
      <c r="G1285" s="4">
        <v>73</v>
      </c>
      <c r="H1285" s="4">
        <v>46</v>
      </c>
      <c r="I1285" s="4">
        <v>27</v>
      </c>
      <c r="J1285" s="4">
        <v>73</v>
      </c>
    </row>
    <row r="1286" spans="1:10" x14ac:dyDescent="0.75">
      <c r="A1286" t="s">
        <v>151</v>
      </c>
      <c r="B1286">
        <v>1910</v>
      </c>
      <c r="C1286" t="s">
        <v>188</v>
      </c>
      <c r="D1286">
        <v>3286</v>
      </c>
      <c r="E1286" t="s">
        <v>423</v>
      </c>
      <c r="F1286" s="4">
        <v>0</v>
      </c>
      <c r="G1286" s="4">
        <v>70</v>
      </c>
      <c r="H1286" s="4">
        <v>0</v>
      </c>
      <c r="I1286" s="4">
        <v>70</v>
      </c>
      <c r="J1286" s="4">
        <v>70</v>
      </c>
    </row>
    <row r="1287" spans="1:10" x14ac:dyDescent="0.75">
      <c r="A1287" t="s">
        <v>151</v>
      </c>
      <c r="B1287">
        <v>1910</v>
      </c>
      <c r="C1287" t="s">
        <v>188</v>
      </c>
      <c r="D1287">
        <v>2211</v>
      </c>
      <c r="E1287" t="s">
        <v>367</v>
      </c>
      <c r="F1287" s="4">
        <v>0</v>
      </c>
      <c r="G1287" s="4">
        <v>60</v>
      </c>
      <c r="H1287" s="4">
        <v>0</v>
      </c>
      <c r="I1287" s="4">
        <v>60</v>
      </c>
      <c r="J1287" s="4">
        <v>60</v>
      </c>
    </row>
    <row r="1288" spans="1:10" x14ac:dyDescent="0.75">
      <c r="A1288" t="s">
        <v>151</v>
      </c>
      <c r="B1288">
        <v>1910</v>
      </c>
      <c r="C1288" t="s">
        <v>188</v>
      </c>
      <c r="D1288">
        <v>6654</v>
      </c>
      <c r="E1288" t="s">
        <v>419</v>
      </c>
      <c r="F1288" s="4">
        <v>0</v>
      </c>
      <c r="G1288" s="4">
        <v>55</v>
      </c>
      <c r="H1288" s="4">
        <v>0</v>
      </c>
      <c r="I1288" s="4">
        <v>55</v>
      </c>
      <c r="J1288" s="4">
        <v>55</v>
      </c>
    </row>
    <row r="1289" spans="1:10" x14ac:dyDescent="0.75">
      <c r="A1289" t="s">
        <v>151</v>
      </c>
      <c r="B1289">
        <v>1910</v>
      </c>
      <c r="C1289" t="s">
        <v>188</v>
      </c>
      <c r="D1289">
        <v>6747</v>
      </c>
      <c r="E1289" t="s">
        <v>478</v>
      </c>
      <c r="F1289" s="4">
        <v>0</v>
      </c>
      <c r="G1289" s="4">
        <v>44</v>
      </c>
      <c r="H1289" s="4">
        <v>44</v>
      </c>
      <c r="I1289" s="4">
        <v>0</v>
      </c>
      <c r="J1289" s="4">
        <v>44</v>
      </c>
    </row>
    <row r="1290" spans="1:10" x14ac:dyDescent="0.75">
      <c r="A1290" t="s">
        <v>151</v>
      </c>
      <c r="B1290">
        <v>1910</v>
      </c>
      <c r="C1290" t="s">
        <v>188</v>
      </c>
      <c r="D1290">
        <v>5190</v>
      </c>
      <c r="E1290" t="s">
        <v>462</v>
      </c>
      <c r="F1290" s="4">
        <v>0</v>
      </c>
      <c r="G1290" s="4">
        <v>34</v>
      </c>
      <c r="H1290" s="4">
        <v>0</v>
      </c>
      <c r="I1290" s="4">
        <v>34</v>
      </c>
      <c r="J1290" s="4">
        <v>34</v>
      </c>
    </row>
    <row r="1291" spans="1:10" x14ac:dyDescent="0.75">
      <c r="A1291" t="s">
        <v>151</v>
      </c>
      <c r="B1291">
        <v>1910</v>
      </c>
      <c r="C1291" t="s">
        <v>188</v>
      </c>
      <c r="D1291">
        <v>5360</v>
      </c>
      <c r="E1291" t="s">
        <v>465</v>
      </c>
      <c r="F1291" s="4">
        <v>0</v>
      </c>
      <c r="G1291" s="4">
        <v>33</v>
      </c>
      <c r="H1291" s="4">
        <v>0</v>
      </c>
      <c r="I1291" s="4">
        <v>33</v>
      </c>
      <c r="J1291" s="4">
        <v>33</v>
      </c>
    </row>
    <row r="1292" spans="1:10" x14ac:dyDescent="0.75">
      <c r="A1292" t="s">
        <v>151</v>
      </c>
      <c r="B1292">
        <v>1910</v>
      </c>
      <c r="C1292" t="s">
        <v>188</v>
      </c>
      <c r="D1292">
        <v>4189</v>
      </c>
      <c r="E1292" t="s">
        <v>451</v>
      </c>
      <c r="F1292" s="4">
        <v>0</v>
      </c>
      <c r="G1292" s="4">
        <v>32</v>
      </c>
      <c r="H1292" s="4">
        <v>0</v>
      </c>
      <c r="I1292" s="4">
        <v>32</v>
      </c>
      <c r="J1292" s="4">
        <v>32</v>
      </c>
    </row>
    <row r="1293" spans="1:10" x14ac:dyDescent="0.75">
      <c r="A1293" t="s">
        <v>151</v>
      </c>
      <c r="B1293">
        <v>1910</v>
      </c>
      <c r="C1293" t="s">
        <v>188</v>
      </c>
      <c r="D1293">
        <v>6839</v>
      </c>
      <c r="E1293" t="s">
        <v>485</v>
      </c>
      <c r="F1293" s="4">
        <v>0</v>
      </c>
      <c r="G1293" s="4">
        <v>23</v>
      </c>
      <c r="H1293" s="4">
        <v>0</v>
      </c>
      <c r="I1293" s="4">
        <v>23</v>
      </c>
      <c r="J1293" s="4">
        <v>23</v>
      </c>
    </row>
    <row r="1294" spans="1:10" x14ac:dyDescent="0.75">
      <c r="A1294" t="s">
        <v>151</v>
      </c>
      <c r="B1294">
        <v>1910</v>
      </c>
      <c r="C1294" t="s">
        <v>188</v>
      </c>
      <c r="D1294">
        <v>6858</v>
      </c>
      <c r="E1294" t="s">
        <v>488</v>
      </c>
      <c r="F1294" s="4">
        <v>0</v>
      </c>
      <c r="G1294" s="4">
        <v>21</v>
      </c>
      <c r="H1294" s="4">
        <v>21</v>
      </c>
      <c r="I1294" s="4">
        <v>0</v>
      </c>
      <c r="J1294" s="4">
        <v>21</v>
      </c>
    </row>
    <row r="1295" spans="1:10" x14ac:dyDescent="0.75">
      <c r="A1295" t="s">
        <v>151</v>
      </c>
      <c r="B1295">
        <v>1910</v>
      </c>
      <c r="C1295" t="s">
        <v>188</v>
      </c>
      <c r="D1295">
        <v>6889</v>
      </c>
      <c r="E1295" t="s">
        <v>420</v>
      </c>
      <c r="F1295" s="4">
        <v>0</v>
      </c>
      <c r="G1295" s="4">
        <v>21</v>
      </c>
      <c r="H1295" s="4">
        <v>19</v>
      </c>
      <c r="I1295" s="4">
        <v>2</v>
      </c>
      <c r="J1295" s="4">
        <v>21</v>
      </c>
    </row>
    <row r="1296" spans="1:10" x14ac:dyDescent="0.75">
      <c r="A1296" t="s">
        <v>151</v>
      </c>
      <c r="B1296">
        <v>1910</v>
      </c>
      <c r="C1296" t="s">
        <v>188</v>
      </c>
      <c r="D1296">
        <v>3297</v>
      </c>
      <c r="E1296" t="s">
        <v>446</v>
      </c>
      <c r="F1296" s="4">
        <v>0</v>
      </c>
      <c r="G1296" s="4">
        <v>15</v>
      </c>
      <c r="H1296" s="4">
        <v>0</v>
      </c>
      <c r="I1296" s="4">
        <v>15</v>
      </c>
      <c r="J1296" s="4">
        <v>15</v>
      </c>
    </row>
    <row r="1297" spans="1:10" x14ac:dyDescent="0.75">
      <c r="A1297" t="s">
        <v>151</v>
      </c>
      <c r="B1297">
        <v>1910</v>
      </c>
      <c r="C1297" t="s">
        <v>188</v>
      </c>
      <c r="D1297">
        <v>2640</v>
      </c>
      <c r="E1297" t="s">
        <v>431</v>
      </c>
      <c r="F1297" s="4">
        <v>0</v>
      </c>
      <c r="G1297" s="4">
        <v>14</v>
      </c>
      <c r="H1297" s="4">
        <v>0</v>
      </c>
      <c r="I1297" s="4">
        <v>14</v>
      </c>
      <c r="J1297" s="4">
        <v>14</v>
      </c>
    </row>
    <row r="1298" spans="1:10" x14ac:dyDescent="0.75">
      <c r="A1298" t="s">
        <v>151</v>
      </c>
      <c r="B1298">
        <v>1910</v>
      </c>
      <c r="C1298" t="s">
        <v>188</v>
      </c>
      <c r="D1298">
        <v>3282</v>
      </c>
      <c r="E1298" t="s">
        <v>440</v>
      </c>
      <c r="F1298" s="4">
        <v>0</v>
      </c>
      <c r="G1298" s="4">
        <v>11</v>
      </c>
      <c r="H1298" s="4">
        <v>0</v>
      </c>
      <c r="I1298" s="4">
        <v>11</v>
      </c>
      <c r="J1298" s="4">
        <v>11</v>
      </c>
    </row>
    <row r="1299" spans="1:10" x14ac:dyDescent="0.75">
      <c r="A1299" t="s">
        <v>151</v>
      </c>
      <c r="B1299">
        <v>1910</v>
      </c>
      <c r="C1299" t="s">
        <v>188</v>
      </c>
      <c r="D1299">
        <v>4190</v>
      </c>
      <c r="E1299" t="s">
        <v>452</v>
      </c>
      <c r="F1299" s="4">
        <v>0</v>
      </c>
      <c r="G1299" s="4">
        <v>11</v>
      </c>
      <c r="H1299" s="4">
        <v>0</v>
      </c>
      <c r="I1299" s="4">
        <v>11</v>
      </c>
      <c r="J1299" s="4">
        <v>11</v>
      </c>
    </row>
    <row r="1300" spans="1:10" x14ac:dyDescent="0.75">
      <c r="A1300" t="s">
        <v>151</v>
      </c>
      <c r="B1300">
        <v>1910</v>
      </c>
      <c r="C1300" t="s">
        <v>188</v>
      </c>
      <c r="D1300">
        <v>5240</v>
      </c>
      <c r="E1300" t="s">
        <v>464</v>
      </c>
      <c r="F1300" s="4">
        <v>0</v>
      </c>
      <c r="G1300" s="4">
        <v>11</v>
      </c>
      <c r="H1300" s="4">
        <v>11</v>
      </c>
      <c r="I1300" s="4">
        <v>0</v>
      </c>
      <c r="J1300" s="4">
        <v>11</v>
      </c>
    </row>
    <row r="1301" spans="1:10" x14ac:dyDescent="0.75">
      <c r="A1301" t="s">
        <v>151</v>
      </c>
      <c r="B1301">
        <v>1910</v>
      </c>
      <c r="C1301" t="s">
        <v>188</v>
      </c>
      <c r="D1301">
        <v>5120</v>
      </c>
      <c r="E1301" t="s">
        <v>461</v>
      </c>
      <c r="F1301" s="4">
        <v>0</v>
      </c>
      <c r="G1301" s="4">
        <v>6</v>
      </c>
      <c r="H1301" s="4">
        <v>0</v>
      </c>
      <c r="I1301" s="4">
        <v>6</v>
      </c>
      <c r="J1301" s="4">
        <v>6</v>
      </c>
    </row>
    <row r="1302" spans="1:10" x14ac:dyDescent="0.75">
      <c r="A1302" t="s">
        <v>151</v>
      </c>
      <c r="B1302">
        <v>1910</v>
      </c>
      <c r="C1302" t="s">
        <v>188</v>
      </c>
      <c r="D1302">
        <v>4170</v>
      </c>
      <c r="E1302" t="s">
        <v>424</v>
      </c>
      <c r="F1302" s="4">
        <v>0</v>
      </c>
      <c r="G1302" s="4">
        <v>3</v>
      </c>
      <c r="H1302" s="4">
        <v>0</v>
      </c>
      <c r="I1302" s="4">
        <v>3</v>
      </c>
      <c r="J1302" s="4">
        <v>3</v>
      </c>
    </row>
    <row r="1303" spans="1:10" x14ac:dyDescent="0.75">
      <c r="A1303" t="s">
        <v>151</v>
      </c>
      <c r="B1303">
        <v>1910</v>
      </c>
      <c r="C1303" t="s">
        <v>188</v>
      </c>
      <c r="D1303">
        <v>2429</v>
      </c>
      <c r="E1303" t="s">
        <v>375</v>
      </c>
      <c r="F1303" s="4">
        <v>0</v>
      </c>
      <c r="G1303" s="4">
        <v>2</v>
      </c>
      <c r="H1303" s="4">
        <v>0</v>
      </c>
      <c r="I1303" s="4">
        <v>2</v>
      </c>
      <c r="J1303" s="4">
        <v>2</v>
      </c>
    </row>
    <row r="1304" spans="1:10" x14ac:dyDescent="0.75">
      <c r="A1304" t="s">
        <v>151</v>
      </c>
      <c r="B1304">
        <v>1910</v>
      </c>
      <c r="C1304" t="s">
        <v>188</v>
      </c>
      <c r="D1304">
        <v>2990</v>
      </c>
      <c r="E1304" t="s">
        <v>432</v>
      </c>
      <c r="F1304" s="4">
        <v>0</v>
      </c>
      <c r="G1304" s="4">
        <v>2</v>
      </c>
      <c r="H1304" s="4">
        <v>0</v>
      </c>
      <c r="I1304" s="4">
        <v>2</v>
      </c>
      <c r="J1304" s="4">
        <v>2</v>
      </c>
    </row>
    <row r="1305" spans="1:10" x14ac:dyDescent="0.75">
      <c r="A1305" t="s">
        <v>151</v>
      </c>
      <c r="B1305">
        <v>1910</v>
      </c>
      <c r="C1305" t="s">
        <v>188</v>
      </c>
      <c r="D1305">
        <v>5540</v>
      </c>
      <c r="E1305" t="s">
        <v>469</v>
      </c>
      <c r="F1305" s="4">
        <v>0</v>
      </c>
      <c r="G1305" s="4">
        <v>2</v>
      </c>
      <c r="H1305" s="4">
        <v>0</v>
      </c>
      <c r="I1305" s="4">
        <v>2</v>
      </c>
      <c r="J1305" s="4">
        <v>2</v>
      </c>
    </row>
    <row r="1306" spans="1:10" x14ac:dyDescent="0.75">
      <c r="A1306" t="s">
        <v>151</v>
      </c>
      <c r="B1306">
        <v>1910</v>
      </c>
      <c r="C1306" t="s">
        <v>188</v>
      </c>
      <c r="D1306">
        <v>6811</v>
      </c>
      <c r="E1306" t="s">
        <v>480</v>
      </c>
      <c r="F1306" s="4">
        <v>0</v>
      </c>
      <c r="G1306" s="4">
        <v>2</v>
      </c>
      <c r="H1306" s="4">
        <v>0</v>
      </c>
      <c r="I1306" s="4">
        <v>2</v>
      </c>
      <c r="J1306" s="4">
        <v>2</v>
      </c>
    </row>
    <row r="1307" spans="1:10" x14ac:dyDescent="0.75">
      <c r="A1307" t="s">
        <v>151</v>
      </c>
      <c r="B1307">
        <v>1910</v>
      </c>
      <c r="C1307" t="s">
        <v>188</v>
      </c>
      <c r="D1307">
        <v>3285</v>
      </c>
      <c r="E1307" t="s">
        <v>443</v>
      </c>
      <c r="F1307" s="4">
        <v>0</v>
      </c>
      <c r="G1307" s="4">
        <v>1</v>
      </c>
      <c r="H1307" s="4">
        <v>0</v>
      </c>
      <c r="I1307" s="4">
        <v>1</v>
      </c>
      <c r="J1307" s="4">
        <v>1</v>
      </c>
    </row>
    <row r="1308" spans="1:10" x14ac:dyDescent="0.75">
      <c r="A1308" t="s">
        <v>151</v>
      </c>
      <c r="B1308">
        <v>1910</v>
      </c>
      <c r="C1308" t="s">
        <v>188</v>
      </c>
      <c r="D1308">
        <v>3292</v>
      </c>
      <c r="E1308" t="s">
        <v>413</v>
      </c>
      <c r="F1308" s="4">
        <v>0</v>
      </c>
      <c r="G1308" s="4">
        <v>1</v>
      </c>
      <c r="H1308" s="4">
        <v>0</v>
      </c>
      <c r="I1308" s="4">
        <v>1</v>
      </c>
      <c r="J1308" s="4">
        <v>1</v>
      </c>
    </row>
    <row r="1309" spans="1:10" x14ac:dyDescent="0.75">
      <c r="A1309" t="s">
        <v>151</v>
      </c>
      <c r="B1309">
        <v>1910</v>
      </c>
      <c r="C1309" t="s">
        <v>188</v>
      </c>
      <c r="D1309">
        <v>4650</v>
      </c>
      <c r="E1309" t="s">
        <v>457</v>
      </c>
      <c r="F1309" s="4">
        <v>0</v>
      </c>
      <c r="G1309" s="4">
        <v>1</v>
      </c>
      <c r="H1309" s="4">
        <v>0</v>
      </c>
      <c r="I1309" s="4">
        <v>1</v>
      </c>
      <c r="J1309" s="4">
        <v>1</v>
      </c>
    </row>
    <row r="1310" spans="1:10" x14ac:dyDescent="0.75">
      <c r="A1310" t="s">
        <v>151</v>
      </c>
      <c r="B1310">
        <v>1910</v>
      </c>
      <c r="C1310" t="s">
        <v>188</v>
      </c>
      <c r="D1310">
        <v>5422</v>
      </c>
      <c r="E1310" t="s">
        <v>468</v>
      </c>
      <c r="F1310" s="4">
        <v>0</v>
      </c>
      <c r="G1310" s="4">
        <v>1</v>
      </c>
      <c r="H1310" s="4">
        <v>0</v>
      </c>
      <c r="I1310" s="4">
        <v>1</v>
      </c>
      <c r="J1310" s="4">
        <v>1</v>
      </c>
    </row>
    <row r="1311" spans="1:10" x14ac:dyDescent="0.75">
      <c r="A1311" t="s">
        <v>160</v>
      </c>
      <c r="B1311">
        <v>3778</v>
      </c>
      <c r="C1311" t="s">
        <v>227</v>
      </c>
      <c r="D1311">
        <v>4322</v>
      </c>
      <c r="E1311" t="s">
        <v>398</v>
      </c>
      <c r="F1311" s="4">
        <v>579572</v>
      </c>
      <c r="G1311" s="4">
        <v>26455</v>
      </c>
      <c r="H1311" s="4">
        <v>26455</v>
      </c>
      <c r="I1311" s="4">
        <v>0</v>
      </c>
      <c r="J1311" s="4">
        <v>606027</v>
      </c>
    </row>
    <row r="1312" spans="1:10" x14ac:dyDescent="0.75">
      <c r="A1312" t="s">
        <v>160</v>
      </c>
      <c r="B1312">
        <v>3778</v>
      </c>
      <c r="C1312" t="s">
        <v>227</v>
      </c>
      <c r="D1312">
        <v>5220</v>
      </c>
      <c r="E1312" t="s">
        <v>401</v>
      </c>
      <c r="F1312" s="4">
        <v>412243</v>
      </c>
      <c r="G1312" s="4">
        <v>0</v>
      </c>
      <c r="H1312" s="4">
        <v>0</v>
      </c>
      <c r="I1312" s="4">
        <v>0</v>
      </c>
      <c r="J1312" s="4">
        <v>412243</v>
      </c>
    </row>
    <row r="1313" spans="1:10" x14ac:dyDescent="0.75">
      <c r="A1313" t="s">
        <v>160</v>
      </c>
      <c r="B1313">
        <v>3778</v>
      </c>
      <c r="C1313" t="s">
        <v>227</v>
      </c>
      <c r="D1313">
        <v>2211</v>
      </c>
      <c r="E1313" t="s">
        <v>367</v>
      </c>
      <c r="F1313" s="4">
        <v>116477</v>
      </c>
      <c r="G1313" s="4">
        <v>197305</v>
      </c>
      <c r="H1313" s="4">
        <v>197305</v>
      </c>
      <c r="I1313" s="4">
        <v>0</v>
      </c>
      <c r="J1313" s="4">
        <v>313782</v>
      </c>
    </row>
    <row r="1314" spans="1:10" x14ac:dyDescent="0.75">
      <c r="A1314" t="s">
        <v>160</v>
      </c>
      <c r="B1314">
        <v>3778</v>
      </c>
      <c r="C1314" t="s">
        <v>227</v>
      </c>
      <c r="D1314">
        <v>4783</v>
      </c>
      <c r="E1314" t="s">
        <v>382</v>
      </c>
      <c r="F1314" s="4">
        <v>52222</v>
      </c>
      <c r="G1314" s="4">
        <v>228324</v>
      </c>
      <c r="H1314" s="4">
        <v>228324</v>
      </c>
      <c r="I1314" s="4">
        <v>0</v>
      </c>
      <c r="J1314" s="4">
        <v>280546</v>
      </c>
    </row>
    <row r="1315" spans="1:10" x14ac:dyDescent="0.75">
      <c r="A1315" t="s">
        <v>160</v>
      </c>
      <c r="B1315">
        <v>3778</v>
      </c>
      <c r="C1315" t="s">
        <v>227</v>
      </c>
      <c r="D1315">
        <v>2330</v>
      </c>
      <c r="E1315" t="s">
        <v>368</v>
      </c>
      <c r="F1315" s="4">
        <v>17627</v>
      </c>
      <c r="G1315" s="4">
        <v>220196</v>
      </c>
      <c r="H1315" s="4">
        <v>220196</v>
      </c>
      <c r="I1315" s="4">
        <v>0</v>
      </c>
      <c r="J1315" s="4">
        <v>237823</v>
      </c>
    </row>
    <row r="1316" spans="1:10" x14ac:dyDescent="0.75">
      <c r="A1316" t="s">
        <v>160</v>
      </c>
      <c r="B1316">
        <v>3778</v>
      </c>
      <c r="C1316" t="s">
        <v>227</v>
      </c>
      <c r="D1316">
        <v>1100</v>
      </c>
      <c r="E1316" t="s">
        <v>397</v>
      </c>
      <c r="F1316" s="4">
        <v>158579</v>
      </c>
      <c r="G1316" s="4">
        <v>0</v>
      </c>
      <c r="H1316" s="4">
        <v>0</v>
      </c>
      <c r="I1316" s="4">
        <v>0</v>
      </c>
      <c r="J1316" s="4">
        <v>158579</v>
      </c>
    </row>
    <row r="1317" spans="1:10" x14ac:dyDescent="0.75">
      <c r="A1317" t="s">
        <v>160</v>
      </c>
      <c r="B1317">
        <v>3778</v>
      </c>
      <c r="C1317" t="s">
        <v>227</v>
      </c>
      <c r="D1317">
        <v>4323</v>
      </c>
      <c r="E1317" t="s">
        <v>373</v>
      </c>
      <c r="F1317" s="4">
        <v>42556</v>
      </c>
      <c r="G1317" s="4">
        <v>0</v>
      </c>
      <c r="H1317" s="4">
        <v>0</v>
      </c>
      <c r="I1317" s="4">
        <v>0</v>
      </c>
      <c r="J1317" s="4">
        <v>42556</v>
      </c>
    </row>
    <row r="1318" spans="1:10" x14ac:dyDescent="0.75">
      <c r="A1318" t="s">
        <v>160</v>
      </c>
      <c r="B1318">
        <v>3778</v>
      </c>
      <c r="C1318" t="s">
        <v>227</v>
      </c>
      <c r="D1318">
        <v>4225</v>
      </c>
      <c r="E1318" t="s">
        <v>380</v>
      </c>
      <c r="F1318" s="4">
        <v>0</v>
      </c>
      <c r="G1318" s="4">
        <v>39066</v>
      </c>
      <c r="H1318" s="4">
        <v>39066</v>
      </c>
      <c r="I1318" s="4">
        <v>0</v>
      </c>
      <c r="J1318" s="4">
        <v>39066</v>
      </c>
    </row>
    <row r="1319" spans="1:10" x14ac:dyDescent="0.75">
      <c r="A1319" t="s">
        <v>160</v>
      </c>
      <c r="B1319">
        <v>3778</v>
      </c>
      <c r="C1319" t="s">
        <v>227</v>
      </c>
      <c r="D1319">
        <v>4331</v>
      </c>
      <c r="E1319" t="s">
        <v>390</v>
      </c>
      <c r="F1319" s="4">
        <v>0</v>
      </c>
      <c r="G1319" s="4">
        <v>34209</v>
      </c>
      <c r="H1319" s="4">
        <v>34209</v>
      </c>
      <c r="I1319" s="4">
        <v>0</v>
      </c>
      <c r="J1319" s="4">
        <v>34209</v>
      </c>
    </row>
    <row r="1320" spans="1:10" x14ac:dyDescent="0.75">
      <c r="A1320" t="s">
        <v>160</v>
      </c>
      <c r="B1320">
        <v>3778</v>
      </c>
      <c r="C1320" t="s">
        <v>227</v>
      </c>
      <c r="D1320">
        <v>4782</v>
      </c>
      <c r="E1320" t="s">
        <v>414</v>
      </c>
      <c r="F1320" s="4">
        <v>0</v>
      </c>
      <c r="G1320" s="4">
        <v>28238</v>
      </c>
      <c r="H1320" s="4">
        <v>28238</v>
      </c>
      <c r="I1320" s="4">
        <v>0</v>
      </c>
      <c r="J1320" s="4">
        <v>28238</v>
      </c>
    </row>
    <row r="1321" spans="1:10" x14ac:dyDescent="0.75">
      <c r="A1321" t="s">
        <v>160</v>
      </c>
      <c r="B1321">
        <v>3778</v>
      </c>
      <c r="C1321" t="s">
        <v>227</v>
      </c>
      <c r="D1321">
        <v>4860</v>
      </c>
      <c r="E1321" t="s">
        <v>400</v>
      </c>
      <c r="F1321" s="4">
        <v>12111</v>
      </c>
      <c r="G1321" s="4">
        <v>7716</v>
      </c>
      <c r="H1321" s="4">
        <v>7716</v>
      </c>
      <c r="I1321" s="4">
        <v>0</v>
      </c>
      <c r="J1321" s="4">
        <v>19827</v>
      </c>
    </row>
    <row r="1322" spans="1:10" x14ac:dyDescent="0.75">
      <c r="A1322" t="s">
        <v>160</v>
      </c>
      <c r="B1322">
        <v>3778</v>
      </c>
      <c r="C1322" t="s">
        <v>227</v>
      </c>
      <c r="D1322">
        <v>3220</v>
      </c>
      <c r="E1322" t="s">
        <v>370</v>
      </c>
      <c r="F1322" s="4">
        <v>18947</v>
      </c>
      <c r="G1322" s="4">
        <v>0</v>
      </c>
      <c r="H1322" s="4">
        <v>0</v>
      </c>
      <c r="I1322" s="4">
        <v>0</v>
      </c>
      <c r="J1322" s="4">
        <v>18947</v>
      </c>
    </row>
    <row r="1323" spans="1:10" x14ac:dyDescent="0.75">
      <c r="A1323" t="s">
        <v>160</v>
      </c>
      <c r="B1323">
        <v>3778</v>
      </c>
      <c r="C1323" t="s">
        <v>227</v>
      </c>
      <c r="D1323">
        <v>2430</v>
      </c>
      <c r="E1323" t="s">
        <v>376</v>
      </c>
      <c r="F1323" s="4">
        <v>7191</v>
      </c>
      <c r="G1323" s="4">
        <v>0</v>
      </c>
      <c r="H1323" s="4">
        <v>0</v>
      </c>
      <c r="I1323" s="4">
        <v>0</v>
      </c>
      <c r="J1323" s="4">
        <v>7191</v>
      </c>
    </row>
    <row r="1324" spans="1:10" x14ac:dyDescent="0.75">
      <c r="A1324" t="s">
        <v>160</v>
      </c>
      <c r="B1324">
        <v>3778</v>
      </c>
      <c r="C1324" t="s">
        <v>227</v>
      </c>
      <c r="D1324">
        <v>7900</v>
      </c>
      <c r="E1324" t="s">
        <v>388</v>
      </c>
      <c r="F1324" s="4">
        <v>0</v>
      </c>
      <c r="G1324" s="4">
        <v>2996</v>
      </c>
      <c r="H1324" s="4">
        <v>2996</v>
      </c>
      <c r="I1324" s="4">
        <v>0</v>
      </c>
      <c r="J1324" s="4">
        <v>2996</v>
      </c>
    </row>
    <row r="1325" spans="1:10" x14ac:dyDescent="0.75">
      <c r="A1325" t="s">
        <v>160</v>
      </c>
      <c r="B1325">
        <v>3778</v>
      </c>
      <c r="C1325" t="s">
        <v>227</v>
      </c>
      <c r="D1325">
        <v>5422</v>
      </c>
      <c r="E1325" t="s">
        <v>468</v>
      </c>
      <c r="F1325" s="4">
        <v>100</v>
      </c>
      <c r="G1325" s="4">
        <v>0</v>
      </c>
      <c r="H1325" s="4">
        <v>0</v>
      </c>
      <c r="I1325" s="4">
        <v>0</v>
      </c>
      <c r="J1325" s="4">
        <v>100</v>
      </c>
    </row>
    <row r="1326" spans="1:10" x14ac:dyDescent="0.75">
      <c r="A1326" t="s">
        <v>151</v>
      </c>
      <c r="B1326">
        <v>1981</v>
      </c>
      <c r="C1326" t="s">
        <v>285</v>
      </c>
      <c r="D1326">
        <v>4860</v>
      </c>
      <c r="E1326" t="s">
        <v>400</v>
      </c>
      <c r="F1326" s="4">
        <v>230276</v>
      </c>
      <c r="G1326" s="4">
        <v>0</v>
      </c>
      <c r="H1326" s="4">
        <v>0</v>
      </c>
      <c r="I1326" s="4">
        <v>0</v>
      </c>
      <c r="J1326" s="4">
        <v>230276</v>
      </c>
    </row>
    <row r="1327" spans="1:10" x14ac:dyDescent="0.75">
      <c r="A1327" t="s">
        <v>151</v>
      </c>
      <c r="B1327">
        <v>1981</v>
      </c>
      <c r="C1327" t="s">
        <v>285</v>
      </c>
      <c r="D1327">
        <v>4331</v>
      </c>
      <c r="E1327" t="s">
        <v>390</v>
      </c>
      <c r="F1327" s="4">
        <v>200881</v>
      </c>
      <c r="G1327" s="4">
        <v>0</v>
      </c>
      <c r="H1327" s="4">
        <v>0</v>
      </c>
      <c r="I1327" s="4">
        <v>0</v>
      </c>
      <c r="J1327" s="4">
        <v>200881</v>
      </c>
    </row>
    <row r="1328" spans="1:10" x14ac:dyDescent="0.75">
      <c r="A1328" t="s">
        <v>151</v>
      </c>
      <c r="B1328">
        <v>1980</v>
      </c>
      <c r="C1328" t="s">
        <v>252</v>
      </c>
      <c r="D1328">
        <v>2640</v>
      </c>
      <c r="E1328" t="s">
        <v>431</v>
      </c>
      <c r="F1328" s="4">
        <v>0</v>
      </c>
      <c r="G1328" s="4">
        <v>679167</v>
      </c>
      <c r="H1328" s="4">
        <v>679167</v>
      </c>
      <c r="I1328" s="4">
        <v>0</v>
      </c>
      <c r="J1328" s="4">
        <v>679167</v>
      </c>
    </row>
    <row r="1329" spans="1:10" x14ac:dyDescent="0.75">
      <c r="A1329" t="s">
        <v>151</v>
      </c>
      <c r="B1329">
        <v>1980</v>
      </c>
      <c r="C1329" t="s">
        <v>252</v>
      </c>
      <c r="D1329">
        <v>2330</v>
      </c>
      <c r="E1329" t="s">
        <v>368</v>
      </c>
      <c r="F1329" s="4">
        <v>0</v>
      </c>
      <c r="G1329" s="4">
        <v>230302</v>
      </c>
      <c r="H1329" s="4">
        <v>230302</v>
      </c>
      <c r="I1329" s="4">
        <v>0</v>
      </c>
      <c r="J1329" s="4">
        <v>230302</v>
      </c>
    </row>
    <row r="1330" spans="1:10" x14ac:dyDescent="0.75">
      <c r="A1330" t="s">
        <v>151</v>
      </c>
      <c r="B1330">
        <v>1980</v>
      </c>
      <c r="C1330" t="s">
        <v>252</v>
      </c>
      <c r="D1330">
        <v>2211</v>
      </c>
      <c r="E1330" t="s">
        <v>367</v>
      </c>
      <c r="F1330" s="4">
        <v>0</v>
      </c>
      <c r="G1330" s="4">
        <v>66249</v>
      </c>
      <c r="H1330" s="4">
        <v>66249</v>
      </c>
      <c r="I1330" s="4">
        <v>0</v>
      </c>
      <c r="J1330" s="4">
        <v>66249</v>
      </c>
    </row>
    <row r="1331" spans="1:10" x14ac:dyDescent="0.75">
      <c r="A1331" t="s">
        <v>151</v>
      </c>
      <c r="B1331">
        <v>1980</v>
      </c>
      <c r="C1331" t="s">
        <v>252</v>
      </c>
      <c r="D1331">
        <v>6865</v>
      </c>
      <c r="E1331" t="s">
        <v>490</v>
      </c>
      <c r="F1331" s="4">
        <v>0</v>
      </c>
      <c r="G1331" s="4">
        <v>42701</v>
      </c>
      <c r="H1331" s="4">
        <v>42701</v>
      </c>
      <c r="I1331" s="4">
        <v>0</v>
      </c>
      <c r="J1331" s="4">
        <v>42701</v>
      </c>
    </row>
    <row r="1332" spans="1:10" x14ac:dyDescent="0.75">
      <c r="A1332" t="s">
        <v>151</v>
      </c>
      <c r="B1332">
        <v>1980</v>
      </c>
      <c r="C1332" t="s">
        <v>252</v>
      </c>
      <c r="D1332">
        <v>4900</v>
      </c>
      <c r="E1332" t="s">
        <v>383</v>
      </c>
      <c r="F1332" s="4">
        <v>0</v>
      </c>
      <c r="G1332" s="4">
        <v>13100</v>
      </c>
      <c r="H1332" s="4">
        <v>13100</v>
      </c>
      <c r="I1332" s="4">
        <v>0</v>
      </c>
      <c r="J1332" s="4">
        <v>13100</v>
      </c>
    </row>
    <row r="1333" spans="1:10" x14ac:dyDescent="0.75">
      <c r="A1333" t="s">
        <v>151</v>
      </c>
      <c r="B1333">
        <v>1980</v>
      </c>
      <c r="C1333" t="s">
        <v>252</v>
      </c>
      <c r="D1333">
        <v>7900</v>
      </c>
      <c r="E1333" t="s">
        <v>388</v>
      </c>
      <c r="F1333" s="4">
        <v>0</v>
      </c>
      <c r="G1333" s="4">
        <v>553</v>
      </c>
      <c r="H1333" s="4">
        <v>553</v>
      </c>
      <c r="I1333" s="4">
        <v>0</v>
      </c>
      <c r="J1333" s="4">
        <v>553</v>
      </c>
    </row>
    <row r="1334" spans="1:10" x14ac:dyDescent="0.75">
      <c r="A1334" t="s">
        <v>151</v>
      </c>
      <c r="B1334">
        <v>1912</v>
      </c>
      <c r="C1334" t="s">
        <v>47</v>
      </c>
      <c r="D1334">
        <v>2330</v>
      </c>
      <c r="E1334" t="s">
        <v>368</v>
      </c>
      <c r="F1334" s="4">
        <v>217535</v>
      </c>
      <c r="G1334" s="4">
        <v>350638</v>
      </c>
      <c r="H1334" s="4">
        <v>340328</v>
      </c>
      <c r="I1334" s="4">
        <v>10310</v>
      </c>
      <c r="J1334" s="4">
        <v>568173</v>
      </c>
    </row>
    <row r="1335" spans="1:10" x14ac:dyDescent="0.75">
      <c r="A1335" t="s">
        <v>151</v>
      </c>
      <c r="B1335">
        <v>1912</v>
      </c>
      <c r="C1335" t="s">
        <v>47</v>
      </c>
      <c r="D1335">
        <v>2211</v>
      </c>
      <c r="E1335" t="s">
        <v>367</v>
      </c>
      <c r="F1335" s="4">
        <v>0</v>
      </c>
      <c r="G1335" s="4">
        <v>344471</v>
      </c>
      <c r="H1335" s="4">
        <v>332921</v>
      </c>
      <c r="I1335" s="4">
        <v>11550</v>
      </c>
      <c r="J1335" s="4">
        <v>344471</v>
      </c>
    </row>
    <row r="1336" spans="1:10" x14ac:dyDescent="0.75">
      <c r="A1336" t="s">
        <v>151</v>
      </c>
      <c r="B1336">
        <v>1912</v>
      </c>
      <c r="C1336" t="s">
        <v>47</v>
      </c>
      <c r="D1336">
        <v>2221</v>
      </c>
      <c r="E1336" t="s">
        <v>374</v>
      </c>
      <c r="F1336" s="4">
        <v>0</v>
      </c>
      <c r="G1336" s="4">
        <v>211144</v>
      </c>
      <c r="H1336" s="4">
        <v>188934</v>
      </c>
      <c r="I1336" s="4">
        <v>22210</v>
      </c>
      <c r="J1336" s="4">
        <v>211144</v>
      </c>
    </row>
    <row r="1337" spans="1:10" x14ac:dyDescent="0.75">
      <c r="A1337" t="s">
        <v>151</v>
      </c>
      <c r="B1337">
        <v>1912</v>
      </c>
      <c r="C1337" t="s">
        <v>47</v>
      </c>
      <c r="D1337">
        <v>6344</v>
      </c>
      <c r="E1337" t="s">
        <v>392</v>
      </c>
      <c r="F1337" s="4">
        <v>0</v>
      </c>
      <c r="G1337" s="4">
        <v>107797</v>
      </c>
      <c r="H1337" s="4">
        <v>107797</v>
      </c>
      <c r="I1337" s="4">
        <v>0</v>
      </c>
      <c r="J1337" s="4">
        <v>107797</v>
      </c>
    </row>
    <row r="1338" spans="1:10" x14ac:dyDescent="0.75">
      <c r="A1338" t="s">
        <v>151</v>
      </c>
      <c r="B1338">
        <v>1912</v>
      </c>
      <c r="C1338" t="s">
        <v>47</v>
      </c>
      <c r="D1338">
        <v>6747</v>
      </c>
      <c r="E1338" t="s">
        <v>478</v>
      </c>
      <c r="F1338" s="4">
        <v>74409</v>
      </c>
      <c r="G1338" s="4">
        <v>0</v>
      </c>
      <c r="H1338" s="4">
        <v>0</v>
      </c>
      <c r="I1338" s="4">
        <v>0</v>
      </c>
      <c r="J1338" s="4">
        <v>74409</v>
      </c>
    </row>
    <row r="1339" spans="1:10" x14ac:dyDescent="0.75">
      <c r="A1339" t="s">
        <v>151</v>
      </c>
      <c r="B1339">
        <v>1912</v>
      </c>
      <c r="C1339" t="s">
        <v>47</v>
      </c>
      <c r="D1339">
        <v>2340</v>
      </c>
      <c r="E1339" t="s">
        <v>369</v>
      </c>
      <c r="F1339" s="4">
        <v>0</v>
      </c>
      <c r="G1339" s="4">
        <v>72590</v>
      </c>
      <c r="H1339" s="4">
        <v>72590</v>
      </c>
      <c r="I1339" s="4">
        <v>0</v>
      </c>
      <c r="J1339" s="4">
        <v>72590</v>
      </c>
    </row>
    <row r="1340" spans="1:10" x14ac:dyDescent="0.75">
      <c r="A1340" t="s">
        <v>151</v>
      </c>
      <c r="B1340">
        <v>1912</v>
      </c>
      <c r="C1340" t="s">
        <v>47</v>
      </c>
      <c r="D1340">
        <v>6782</v>
      </c>
      <c r="E1340" t="s">
        <v>396</v>
      </c>
      <c r="F1340" s="4">
        <v>0</v>
      </c>
      <c r="G1340" s="4">
        <v>62171</v>
      </c>
      <c r="H1340" s="4">
        <v>62171</v>
      </c>
      <c r="I1340" s="4">
        <v>0</v>
      </c>
      <c r="J1340" s="4">
        <v>62171</v>
      </c>
    </row>
    <row r="1341" spans="1:10" x14ac:dyDescent="0.75">
      <c r="A1341" t="s">
        <v>151</v>
      </c>
      <c r="B1341">
        <v>1912</v>
      </c>
      <c r="C1341" t="s">
        <v>47</v>
      </c>
      <c r="D1341">
        <v>6241</v>
      </c>
      <c r="E1341" t="s">
        <v>391</v>
      </c>
      <c r="F1341" s="4">
        <v>0</v>
      </c>
      <c r="G1341" s="4">
        <v>35127</v>
      </c>
      <c r="H1341" s="4">
        <v>35127</v>
      </c>
      <c r="I1341" s="4">
        <v>0</v>
      </c>
      <c r="J1341" s="4">
        <v>35127</v>
      </c>
    </row>
    <row r="1342" spans="1:10" x14ac:dyDescent="0.75">
      <c r="A1342" t="s">
        <v>151</v>
      </c>
      <c r="B1342">
        <v>1912</v>
      </c>
      <c r="C1342" t="s">
        <v>47</v>
      </c>
      <c r="D1342">
        <v>2640</v>
      </c>
      <c r="E1342" t="s">
        <v>431</v>
      </c>
      <c r="F1342" s="4">
        <v>0</v>
      </c>
      <c r="G1342" s="4">
        <v>32588</v>
      </c>
      <c r="H1342" s="4">
        <v>32588</v>
      </c>
      <c r="I1342" s="4">
        <v>0</v>
      </c>
      <c r="J1342" s="4">
        <v>32588</v>
      </c>
    </row>
    <row r="1343" spans="1:10" x14ac:dyDescent="0.75">
      <c r="A1343" t="s">
        <v>151</v>
      </c>
      <c r="B1343">
        <v>1912</v>
      </c>
      <c r="C1343" t="s">
        <v>47</v>
      </c>
      <c r="D1343">
        <v>6654</v>
      </c>
      <c r="E1343" t="s">
        <v>419</v>
      </c>
      <c r="F1343" s="4">
        <v>0</v>
      </c>
      <c r="G1343" s="4">
        <v>32017</v>
      </c>
      <c r="H1343" s="4">
        <v>32017</v>
      </c>
      <c r="I1343" s="4">
        <v>0</v>
      </c>
      <c r="J1343" s="4">
        <v>32017</v>
      </c>
    </row>
    <row r="1344" spans="1:10" x14ac:dyDescent="0.75">
      <c r="A1344" t="s">
        <v>151</v>
      </c>
      <c r="B1344">
        <v>1912</v>
      </c>
      <c r="C1344" t="s">
        <v>47</v>
      </c>
      <c r="D1344">
        <v>6442</v>
      </c>
      <c r="E1344" t="s">
        <v>472</v>
      </c>
      <c r="F1344" s="4">
        <v>0</v>
      </c>
      <c r="G1344" s="4">
        <v>23149</v>
      </c>
      <c r="H1344" s="4">
        <v>23149</v>
      </c>
      <c r="I1344" s="4">
        <v>0</v>
      </c>
      <c r="J1344" s="4">
        <v>23149</v>
      </c>
    </row>
    <row r="1345" spans="1:10" x14ac:dyDescent="0.75">
      <c r="A1345" t="s">
        <v>151</v>
      </c>
      <c r="B1345">
        <v>1912</v>
      </c>
      <c r="C1345" t="s">
        <v>47</v>
      </c>
      <c r="D1345">
        <v>6445</v>
      </c>
      <c r="E1345" t="s">
        <v>474</v>
      </c>
      <c r="F1345" s="4">
        <v>0</v>
      </c>
      <c r="G1345" s="4">
        <v>6333</v>
      </c>
      <c r="H1345" s="4">
        <v>6333</v>
      </c>
      <c r="I1345" s="4">
        <v>0</v>
      </c>
      <c r="J1345" s="4">
        <v>6333</v>
      </c>
    </row>
    <row r="1346" spans="1:10" x14ac:dyDescent="0.75">
      <c r="A1346" t="s">
        <v>151</v>
      </c>
      <c r="B1346">
        <v>1912</v>
      </c>
      <c r="C1346" t="s">
        <v>47</v>
      </c>
      <c r="D1346">
        <v>7110</v>
      </c>
      <c r="E1346" t="s">
        <v>371</v>
      </c>
      <c r="F1346" s="4">
        <v>0</v>
      </c>
      <c r="G1346" s="4">
        <v>5304</v>
      </c>
      <c r="H1346" s="4">
        <v>5304</v>
      </c>
      <c r="I1346" s="4">
        <v>0</v>
      </c>
      <c r="J1346" s="4">
        <v>5304</v>
      </c>
    </row>
    <row r="1347" spans="1:10" x14ac:dyDescent="0.75">
      <c r="A1347" t="s">
        <v>151</v>
      </c>
      <c r="B1347">
        <v>1912</v>
      </c>
      <c r="C1347" t="s">
        <v>47</v>
      </c>
      <c r="D1347">
        <v>4650</v>
      </c>
      <c r="E1347" t="s">
        <v>457</v>
      </c>
      <c r="F1347" s="4">
        <v>0</v>
      </c>
      <c r="G1347" s="4">
        <v>4862</v>
      </c>
      <c r="H1347" s="4">
        <v>4862</v>
      </c>
      <c r="I1347" s="4">
        <v>0</v>
      </c>
      <c r="J1347" s="4">
        <v>4862</v>
      </c>
    </row>
    <row r="1348" spans="1:10" x14ac:dyDescent="0.75">
      <c r="A1348" t="s">
        <v>151</v>
      </c>
      <c r="B1348">
        <v>1912</v>
      </c>
      <c r="C1348" t="s">
        <v>47</v>
      </c>
      <c r="D1348">
        <v>7900</v>
      </c>
      <c r="E1348" t="s">
        <v>388</v>
      </c>
      <c r="F1348" s="4">
        <v>625</v>
      </c>
      <c r="G1348" s="4">
        <v>0</v>
      </c>
      <c r="H1348" s="4">
        <v>0</v>
      </c>
      <c r="I1348" s="4">
        <v>0</v>
      </c>
      <c r="J1348" s="4">
        <v>625</v>
      </c>
    </row>
    <row r="1349" spans="1:10" x14ac:dyDescent="0.75">
      <c r="A1349" t="s">
        <v>151</v>
      </c>
      <c r="B1349">
        <v>1912</v>
      </c>
      <c r="C1349" t="s">
        <v>47</v>
      </c>
      <c r="D1349">
        <v>7210</v>
      </c>
      <c r="E1349" t="s">
        <v>426</v>
      </c>
      <c r="F1349" s="4">
        <v>79</v>
      </c>
      <c r="G1349" s="4">
        <v>0</v>
      </c>
      <c r="H1349" s="4">
        <v>0</v>
      </c>
      <c r="I1349" s="4">
        <v>0</v>
      </c>
      <c r="J1349" s="4">
        <v>79</v>
      </c>
    </row>
    <row r="1350" spans="1:10" x14ac:dyDescent="0.75">
      <c r="A1350" t="s">
        <v>163</v>
      </c>
      <c r="B1350">
        <v>2371</v>
      </c>
      <c r="C1350" t="s">
        <v>238</v>
      </c>
      <c r="D1350">
        <v>6344</v>
      </c>
      <c r="E1350" t="s">
        <v>392</v>
      </c>
      <c r="F1350" s="4">
        <v>728220</v>
      </c>
      <c r="G1350" s="4">
        <v>0</v>
      </c>
      <c r="H1350" s="4">
        <v>0</v>
      </c>
      <c r="I1350" s="4">
        <v>0</v>
      </c>
      <c r="J1350" s="4">
        <v>728220</v>
      </c>
    </row>
    <row r="1351" spans="1:10" x14ac:dyDescent="0.75">
      <c r="A1351" t="s">
        <v>163</v>
      </c>
      <c r="B1351">
        <v>2371</v>
      </c>
      <c r="C1351" t="s">
        <v>238</v>
      </c>
      <c r="D1351">
        <v>6522</v>
      </c>
      <c r="E1351" t="s">
        <v>393</v>
      </c>
      <c r="F1351" s="4">
        <v>441721</v>
      </c>
      <c r="G1351" s="4">
        <v>0</v>
      </c>
      <c r="H1351" s="4">
        <v>0</v>
      </c>
      <c r="I1351" s="4">
        <v>0</v>
      </c>
      <c r="J1351" s="4">
        <v>441721</v>
      </c>
    </row>
    <row r="1352" spans="1:10" x14ac:dyDescent="0.75">
      <c r="A1352" t="s">
        <v>163</v>
      </c>
      <c r="B1352">
        <v>2371</v>
      </c>
      <c r="C1352" t="s">
        <v>238</v>
      </c>
      <c r="D1352">
        <v>6653</v>
      </c>
      <c r="E1352" t="s">
        <v>395</v>
      </c>
      <c r="F1352" s="4">
        <v>117579</v>
      </c>
      <c r="G1352" s="4">
        <v>0</v>
      </c>
      <c r="H1352" s="4">
        <v>0</v>
      </c>
      <c r="I1352" s="4">
        <v>0</v>
      </c>
      <c r="J1352" s="4">
        <v>117579</v>
      </c>
    </row>
    <row r="1353" spans="1:10" x14ac:dyDescent="0.75">
      <c r="A1353" t="s">
        <v>163</v>
      </c>
      <c r="B1353">
        <v>2371</v>
      </c>
      <c r="C1353" t="s">
        <v>238</v>
      </c>
      <c r="D1353">
        <v>3274</v>
      </c>
      <c r="E1353" t="s">
        <v>438</v>
      </c>
      <c r="F1353" s="4">
        <v>79239</v>
      </c>
      <c r="G1353" s="4">
        <v>0</v>
      </c>
      <c r="H1353" s="4">
        <v>0</v>
      </c>
      <c r="I1353" s="4">
        <v>0</v>
      </c>
      <c r="J1353" s="4">
        <v>79239</v>
      </c>
    </row>
    <row r="1354" spans="1:10" x14ac:dyDescent="0.75">
      <c r="A1354" t="s">
        <v>163</v>
      </c>
      <c r="B1354">
        <v>2371</v>
      </c>
      <c r="C1354" t="s">
        <v>238</v>
      </c>
      <c r="D1354">
        <v>6590</v>
      </c>
      <c r="E1354" t="s">
        <v>394</v>
      </c>
      <c r="F1354" s="4">
        <v>61246</v>
      </c>
      <c r="G1354" s="4">
        <v>0</v>
      </c>
      <c r="H1354" s="4">
        <v>0</v>
      </c>
      <c r="I1354" s="4">
        <v>0</v>
      </c>
      <c r="J1354" s="4">
        <v>61246</v>
      </c>
    </row>
    <row r="1355" spans="1:10" x14ac:dyDescent="0.75">
      <c r="A1355" t="s">
        <v>163</v>
      </c>
      <c r="B1355">
        <v>2371</v>
      </c>
      <c r="C1355" t="s">
        <v>238</v>
      </c>
      <c r="D1355">
        <v>4323</v>
      </c>
      <c r="E1355" t="s">
        <v>373</v>
      </c>
      <c r="F1355" s="4">
        <v>56580</v>
      </c>
      <c r="G1355" s="4">
        <v>0</v>
      </c>
      <c r="H1355" s="4">
        <v>0</v>
      </c>
      <c r="I1355" s="4">
        <v>0</v>
      </c>
      <c r="J1355" s="4">
        <v>56580</v>
      </c>
    </row>
    <row r="1356" spans="1:10" x14ac:dyDescent="0.75">
      <c r="A1356" t="s">
        <v>163</v>
      </c>
      <c r="B1356">
        <v>2371</v>
      </c>
      <c r="C1356" t="s">
        <v>238</v>
      </c>
      <c r="D1356">
        <v>5312</v>
      </c>
      <c r="E1356" t="s">
        <v>416</v>
      </c>
      <c r="F1356" s="4">
        <v>27953</v>
      </c>
      <c r="G1356" s="4">
        <v>0</v>
      </c>
      <c r="H1356" s="4">
        <v>0</v>
      </c>
      <c r="I1356" s="4">
        <v>0</v>
      </c>
      <c r="J1356" s="4">
        <v>27953</v>
      </c>
    </row>
    <row r="1357" spans="1:10" x14ac:dyDescent="0.75">
      <c r="A1357" t="s">
        <v>163</v>
      </c>
      <c r="B1357">
        <v>2371</v>
      </c>
      <c r="C1357" t="s">
        <v>238</v>
      </c>
      <c r="D1357">
        <v>3120</v>
      </c>
      <c r="E1357" t="s">
        <v>406</v>
      </c>
      <c r="F1357" s="4">
        <v>27465</v>
      </c>
      <c r="G1357" s="4">
        <v>0</v>
      </c>
      <c r="H1357" s="4">
        <v>0</v>
      </c>
      <c r="I1357" s="4">
        <v>0</v>
      </c>
      <c r="J1357" s="4">
        <v>27465</v>
      </c>
    </row>
    <row r="1358" spans="1:10" x14ac:dyDescent="0.75">
      <c r="A1358" t="s">
        <v>163</v>
      </c>
      <c r="B1358">
        <v>2371</v>
      </c>
      <c r="C1358" t="s">
        <v>238</v>
      </c>
      <c r="D1358">
        <v>1100</v>
      </c>
      <c r="E1358" t="s">
        <v>397</v>
      </c>
      <c r="F1358" s="4">
        <v>26034</v>
      </c>
      <c r="G1358" s="4">
        <v>0</v>
      </c>
      <c r="H1358" s="4">
        <v>0</v>
      </c>
      <c r="I1358" s="4">
        <v>0</v>
      </c>
      <c r="J1358" s="4">
        <v>26034</v>
      </c>
    </row>
    <row r="1359" spans="1:10" x14ac:dyDescent="0.75">
      <c r="A1359" t="s">
        <v>163</v>
      </c>
      <c r="B1359">
        <v>2371</v>
      </c>
      <c r="C1359" t="s">
        <v>238</v>
      </c>
      <c r="D1359">
        <v>4331</v>
      </c>
      <c r="E1359" t="s">
        <v>390</v>
      </c>
      <c r="F1359" s="4">
        <v>23054</v>
      </c>
      <c r="G1359" s="4">
        <v>0</v>
      </c>
      <c r="H1359" s="4">
        <v>0</v>
      </c>
      <c r="I1359" s="4">
        <v>0</v>
      </c>
      <c r="J1359" s="4">
        <v>23054</v>
      </c>
    </row>
    <row r="1360" spans="1:10" x14ac:dyDescent="0.75">
      <c r="A1360" t="s">
        <v>163</v>
      </c>
      <c r="B1360">
        <v>2371</v>
      </c>
      <c r="C1360" t="s">
        <v>238</v>
      </c>
      <c r="D1360">
        <v>6241</v>
      </c>
      <c r="E1360" t="s">
        <v>391</v>
      </c>
      <c r="F1360" s="4">
        <v>18437</v>
      </c>
      <c r="G1360" s="4">
        <v>0</v>
      </c>
      <c r="H1360" s="4">
        <v>0</v>
      </c>
      <c r="I1360" s="4">
        <v>0</v>
      </c>
      <c r="J1360" s="4">
        <v>18437</v>
      </c>
    </row>
    <row r="1361" spans="1:10" x14ac:dyDescent="0.75">
      <c r="A1361" t="s">
        <v>163</v>
      </c>
      <c r="B1361">
        <v>2371</v>
      </c>
      <c r="C1361" t="s">
        <v>238</v>
      </c>
      <c r="D1361">
        <v>1200</v>
      </c>
      <c r="E1361" t="s">
        <v>402</v>
      </c>
      <c r="F1361" s="4">
        <v>17826</v>
      </c>
      <c r="G1361" s="4">
        <v>0</v>
      </c>
      <c r="H1361" s="4">
        <v>0</v>
      </c>
      <c r="I1361" s="4">
        <v>0</v>
      </c>
      <c r="J1361" s="4">
        <v>17826</v>
      </c>
    </row>
    <row r="1362" spans="1:10" x14ac:dyDescent="0.75">
      <c r="A1362" t="s">
        <v>163</v>
      </c>
      <c r="B1362">
        <v>2371</v>
      </c>
      <c r="C1362" t="s">
        <v>238</v>
      </c>
      <c r="D1362">
        <v>4170</v>
      </c>
      <c r="E1362" t="s">
        <v>424</v>
      </c>
      <c r="F1362" s="4">
        <v>14295</v>
      </c>
      <c r="G1362" s="4">
        <v>0</v>
      </c>
      <c r="H1362" s="4">
        <v>0</v>
      </c>
      <c r="I1362" s="4">
        <v>0</v>
      </c>
      <c r="J1362" s="4">
        <v>14295</v>
      </c>
    </row>
    <row r="1363" spans="1:10" x14ac:dyDescent="0.75">
      <c r="A1363" t="s">
        <v>163</v>
      </c>
      <c r="B1363">
        <v>2371</v>
      </c>
      <c r="C1363" t="s">
        <v>238</v>
      </c>
      <c r="D1363">
        <v>4783</v>
      </c>
      <c r="E1363" t="s">
        <v>382</v>
      </c>
      <c r="F1363" s="4">
        <v>13934</v>
      </c>
      <c r="G1363" s="4">
        <v>0</v>
      </c>
      <c r="H1363" s="4">
        <v>0</v>
      </c>
      <c r="I1363" s="4">
        <v>0</v>
      </c>
      <c r="J1363" s="4">
        <v>13934</v>
      </c>
    </row>
    <row r="1364" spans="1:10" x14ac:dyDescent="0.75">
      <c r="A1364" t="s">
        <v>163</v>
      </c>
      <c r="B1364">
        <v>2371</v>
      </c>
      <c r="C1364" t="s">
        <v>238</v>
      </c>
      <c r="D1364">
        <v>2350</v>
      </c>
      <c r="E1364" t="s">
        <v>404</v>
      </c>
      <c r="F1364" s="4">
        <v>8685</v>
      </c>
      <c r="G1364" s="4">
        <v>0</v>
      </c>
      <c r="H1364" s="4">
        <v>0</v>
      </c>
      <c r="I1364" s="4">
        <v>0</v>
      </c>
      <c r="J1364" s="4">
        <v>8685</v>
      </c>
    </row>
    <row r="1365" spans="1:10" x14ac:dyDescent="0.75">
      <c r="A1365" t="s">
        <v>163</v>
      </c>
      <c r="B1365">
        <v>2371</v>
      </c>
      <c r="C1365" t="s">
        <v>238</v>
      </c>
      <c r="D1365">
        <v>3190</v>
      </c>
      <c r="E1365" t="s">
        <v>408</v>
      </c>
      <c r="F1365" s="4">
        <v>8197</v>
      </c>
      <c r="G1365" s="4">
        <v>0</v>
      </c>
      <c r="H1365" s="4">
        <v>0</v>
      </c>
      <c r="I1365" s="4">
        <v>0</v>
      </c>
      <c r="J1365" s="4">
        <v>8197</v>
      </c>
    </row>
    <row r="1366" spans="1:10" x14ac:dyDescent="0.75">
      <c r="A1366" t="s">
        <v>163</v>
      </c>
      <c r="B1366">
        <v>2371</v>
      </c>
      <c r="C1366" t="s">
        <v>238</v>
      </c>
      <c r="D1366">
        <v>3276</v>
      </c>
      <c r="E1366" t="s">
        <v>379</v>
      </c>
      <c r="F1366" s="4">
        <v>7258</v>
      </c>
      <c r="G1366" s="4">
        <v>0</v>
      </c>
      <c r="H1366" s="4">
        <v>0</v>
      </c>
      <c r="I1366" s="4">
        <v>0</v>
      </c>
      <c r="J1366" s="4">
        <v>7258</v>
      </c>
    </row>
    <row r="1367" spans="1:10" x14ac:dyDescent="0.75">
      <c r="A1367" t="s">
        <v>163</v>
      </c>
      <c r="B1367">
        <v>2371</v>
      </c>
      <c r="C1367" t="s">
        <v>238</v>
      </c>
      <c r="D1367">
        <v>4327</v>
      </c>
      <c r="E1367" t="s">
        <v>454</v>
      </c>
      <c r="F1367" s="4">
        <v>5751</v>
      </c>
      <c r="G1367" s="4">
        <v>0</v>
      </c>
      <c r="H1367" s="4">
        <v>0</v>
      </c>
      <c r="I1367" s="4">
        <v>0</v>
      </c>
      <c r="J1367" s="4">
        <v>5751</v>
      </c>
    </row>
    <row r="1368" spans="1:10" x14ac:dyDescent="0.75">
      <c r="A1368" t="s">
        <v>163</v>
      </c>
      <c r="B1368">
        <v>2371</v>
      </c>
      <c r="C1368" t="s">
        <v>238</v>
      </c>
      <c r="D1368">
        <v>6747</v>
      </c>
      <c r="E1368" t="s">
        <v>478</v>
      </c>
      <c r="F1368" s="4">
        <v>4533</v>
      </c>
      <c r="G1368" s="4">
        <v>0</v>
      </c>
      <c r="H1368" s="4">
        <v>0</v>
      </c>
      <c r="I1368" s="4">
        <v>0</v>
      </c>
      <c r="J1368" s="4">
        <v>4533</v>
      </c>
    </row>
    <row r="1369" spans="1:10" x14ac:dyDescent="0.75">
      <c r="A1369" t="s">
        <v>163</v>
      </c>
      <c r="B1369">
        <v>2371</v>
      </c>
      <c r="C1369" t="s">
        <v>238</v>
      </c>
      <c r="D1369">
        <v>2211</v>
      </c>
      <c r="E1369" t="s">
        <v>367</v>
      </c>
      <c r="F1369" s="4">
        <v>2917</v>
      </c>
      <c r="G1369" s="4">
        <v>0</v>
      </c>
      <c r="H1369" s="4">
        <v>0</v>
      </c>
      <c r="I1369" s="4">
        <v>0</v>
      </c>
      <c r="J1369" s="4">
        <v>2917</v>
      </c>
    </row>
    <row r="1370" spans="1:10" x14ac:dyDescent="0.75">
      <c r="A1370" t="s">
        <v>163</v>
      </c>
      <c r="B1370">
        <v>2371</v>
      </c>
      <c r="C1370" t="s">
        <v>238</v>
      </c>
      <c r="D1370">
        <v>6782</v>
      </c>
      <c r="E1370" t="s">
        <v>396</v>
      </c>
      <c r="F1370" s="4">
        <v>2815</v>
      </c>
      <c r="G1370" s="4">
        <v>0</v>
      </c>
      <c r="H1370" s="4">
        <v>0</v>
      </c>
      <c r="I1370" s="4">
        <v>0</v>
      </c>
      <c r="J1370" s="4">
        <v>2815</v>
      </c>
    </row>
    <row r="1371" spans="1:10" x14ac:dyDescent="0.75">
      <c r="A1371" t="s">
        <v>163</v>
      </c>
      <c r="B1371">
        <v>2371</v>
      </c>
      <c r="C1371" t="s">
        <v>238</v>
      </c>
      <c r="D1371">
        <v>5315</v>
      </c>
      <c r="E1371" t="s">
        <v>417</v>
      </c>
      <c r="F1371" s="4">
        <v>1680</v>
      </c>
      <c r="G1371" s="4">
        <v>0</v>
      </c>
      <c r="H1371" s="4">
        <v>0</v>
      </c>
      <c r="I1371" s="4">
        <v>0</v>
      </c>
      <c r="J1371" s="4">
        <v>1680</v>
      </c>
    </row>
    <row r="1372" spans="1:10" x14ac:dyDescent="0.75">
      <c r="A1372" t="s">
        <v>163</v>
      </c>
      <c r="B1372">
        <v>2371</v>
      </c>
      <c r="C1372" t="s">
        <v>238</v>
      </c>
      <c r="D1372">
        <v>3275</v>
      </c>
      <c r="E1372" t="s">
        <v>412</v>
      </c>
      <c r="F1372" s="4">
        <v>1637</v>
      </c>
      <c r="G1372" s="4">
        <v>0</v>
      </c>
      <c r="H1372" s="4">
        <v>0</v>
      </c>
      <c r="I1372" s="4">
        <v>0</v>
      </c>
      <c r="J1372" s="4">
        <v>1637</v>
      </c>
    </row>
    <row r="1373" spans="1:10" x14ac:dyDescent="0.75">
      <c r="A1373" t="s">
        <v>151</v>
      </c>
      <c r="B1373">
        <v>5005</v>
      </c>
      <c r="C1373" t="s">
        <v>70</v>
      </c>
      <c r="D1373">
        <v>7900</v>
      </c>
      <c r="E1373" t="s">
        <v>388</v>
      </c>
      <c r="F1373" s="4">
        <v>13920</v>
      </c>
      <c r="G1373" s="4">
        <v>0</v>
      </c>
      <c r="H1373" s="4">
        <v>0</v>
      </c>
      <c r="I1373" s="4">
        <v>0</v>
      </c>
      <c r="J1373" s="4">
        <v>13920</v>
      </c>
    </row>
    <row r="1374" spans="1:10" x14ac:dyDescent="0.75">
      <c r="A1374" t="s">
        <v>151</v>
      </c>
      <c r="B1374">
        <v>5005</v>
      </c>
      <c r="C1374" t="s">
        <v>70</v>
      </c>
      <c r="D1374">
        <v>4331</v>
      </c>
      <c r="E1374" t="s">
        <v>390</v>
      </c>
      <c r="F1374" s="4">
        <v>11579</v>
      </c>
      <c r="G1374" s="4">
        <v>0</v>
      </c>
      <c r="H1374" s="4">
        <v>0</v>
      </c>
      <c r="I1374" s="4">
        <v>0</v>
      </c>
      <c r="J1374" s="4">
        <v>11579</v>
      </c>
    </row>
    <row r="1375" spans="1:10" x14ac:dyDescent="0.75">
      <c r="A1375" t="s">
        <v>151</v>
      </c>
      <c r="B1375">
        <v>5005</v>
      </c>
      <c r="C1375" t="s">
        <v>70</v>
      </c>
      <c r="D1375">
        <v>6887</v>
      </c>
      <c r="E1375" t="s">
        <v>505</v>
      </c>
      <c r="F1375" s="4">
        <v>8341</v>
      </c>
      <c r="G1375" s="4">
        <v>0</v>
      </c>
      <c r="H1375" s="4">
        <v>0</v>
      </c>
      <c r="I1375" s="4">
        <v>0</v>
      </c>
      <c r="J1375" s="4">
        <v>8341</v>
      </c>
    </row>
    <row r="1376" spans="1:10" x14ac:dyDescent="0.75">
      <c r="A1376" t="s">
        <v>151</v>
      </c>
      <c r="B1376">
        <v>5005</v>
      </c>
      <c r="C1376" t="s">
        <v>70</v>
      </c>
      <c r="D1376">
        <v>2430</v>
      </c>
      <c r="E1376" t="s">
        <v>376</v>
      </c>
      <c r="F1376" s="4">
        <v>6628</v>
      </c>
      <c r="G1376" s="4">
        <v>0</v>
      </c>
      <c r="H1376" s="4">
        <v>0</v>
      </c>
      <c r="I1376" s="4">
        <v>0</v>
      </c>
      <c r="J1376" s="4">
        <v>6628</v>
      </c>
    </row>
    <row r="1377" spans="1:10" x14ac:dyDescent="0.75">
      <c r="A1377" t="s">
        <v>151</v>
      </c>
      <c r="B1377">
        <v>5005</v>
      </c>
      <c r="C1377" t="s">
        <v>70</v>
      </c>
      <c r="D1377">
        <v>4783</v>
      </c>
      <c r="E1377" t="s">
        <v>382</v>
      </c>
      <c r="F1377" s="4">
        <v>4799</v>
      </c>
      <c r="G1377" s="4">
        <v>0</v>
      </c>
      <c r="H1377" s="4">
        <v>0</v>
      </c>
      <c r="I1377" s="4">
        <v>0</v>
      </c>
      <c r="J1377" s="4">
        <v>4799</v>
      </c>
    </row>
    <row r="1378" spans="1:10" x14ac:dyDescent="0.75">
      <c r="A1378" t="s">
        <v>151</v>
      </c>
      <c r="B1378">
        <v>5005</v>
      </c>
      <c r="C1378" t="s">
        <v>70</v>
      </c>
      <c r="D1378">
        <v>2211</v>
      </c>
      <c r="E1378" t="s">
        <v>367</v>
      </c>
      <c r="F1378" s="4">
        <v>368</v>
      </c>
      <c r="G1378" s="4">
        <v>3274</v>
      </c>
      <c r="H1378" s="4">
        <v>3274</v>
      </c>
      <c r="I1378" s="4">
        <v>0</v>
      </c>
      <c r="J1378" s="4">
        <v>3642</v>
      </c>
    </row>
    <row r="1379" spans="1:10" x14ac:dyDescent="0.75">
      <c r="A1379" t="s">
        <v>151</v>
      </c>
      <c r="B1379">
        <v>5005</v>
      </c>
      <c r="C1379" t="s">
        <v>70</v>
      </c>
      <c r="D1379">
        <v>6889</v>
      </c>
      <c r="E1379" t="s">
        <v>420</v>
      </c>
      <c r="F1379" s="4">
        <v>3282</v>
      </c>
      <c r="G1379" s="4">
        <v>0</v>
      </c>
      <c r="H1379" s="4">
        <v>0</v>
      </c>
      <c r="I1379" s="4">
        <v>0</v>
      </c>
      <c r="J1379" s="4">
        <v>3282</v>
      </c>
    </row>
    <row r="1380" spans="1:10" x14ac:dyDescent="0.75">
      <c r="A1380" t="s">
        <v>151</v>
      </c>
      <c r="B1380">
        <v>5005</v>
      </c>
      <c r="C1380" t="s">
        <v>70</v>
      </c>
      <c r="D1380">
        <v>2330</v>
      </c>
      <c r="E1380" t="s">
        <v>368</v>
      </c>
      <c r="F1380" s="4">
        <v>0</v>
      </c>
      <c r="G1380" s="4">
        <v>3118</v>
      </c>
      <c r="H1380" s="4">
        <v>3118</v>
      </c>
      <c r="I1380" s="4">
        <v>0</v>
      </c>
      <c r="J1380" s="4">
        <v>3118</v>
      </c>
    </row>
    <row r="1381" spans="1:10" x14ac:dyDescent="0.75">
      <c r="A1381" t="s">
        <v>151</v>
      </c>
      <c r="B1381">
        <v>5005</v>
      </c>
      <c r="C1381" t="s">
        <v>70</v>
      </c>
      <c r="D1381">
        <v>7400</v>
      </c>
      <c r="E1381" t="s">
        <v>502</v>
      </c>
      <c r="F1381" s="4">
        <v>2692</v>
      </c>
      <c r="G1381" s="4">
        <v>0</v>
      </c>
      <c r="H1381" s="4">
        <v>0</v>
      </c>
      <c r="I1381" s="4">
        <v>0</v>
      </c>
      <c r="J1381" s="4">
        <v>2692</v>
      </c>
    </row>
    <row r="1382" spans="1:10" x14ac:dyDescent="0.75">
      <c r="A1382" t="s">
        <v>151</v>
      </c>
      <c r="B1382">
        <v>5005</v>
      </c>
      <c r="C1382" t="s">
        <v>70</v>
      </c>
      <c r="D1382">
        <v>7110</v>
      </c>
      <c r="E1382" t="s">
        <v>371</v>
      </c>
      <c r="F1382" s="4">
        <v>2611</v>
      </c>
      <c r="G1382" s="4">
        <v>0</v>
      </c>
      <c r="H1382" s="4">
        <v>0</v>
      </c>
      <c r="I1382" s="4">
        <v>0</v>
      </c>
      <c r="J1382" s="4">
        <v>2611</v>
      </c>
    </row>
    <row r="1383" spans="1:10" x14ac:dyDescent="0.75">
      <c r="A1383" t="s">
        <v>151</v>
      </c>
      <c r="B1383">
        <v>5005</v>
      </c>
      <c r="C1383" t="s">
        <v>70</v>
      </c>
      <c r="D1383">
        <v>2221</v>
      </c>
      <c r="E1383" t="s">
        <v>374</v>
      </c>
      <c r="F1383" s="4">
        <v>0</v>
      </c>
      <c r="G1383" s="4">
        <v>2167</v>
      </c>
      <c r="H1383" s="4">
        <v>2167</v>
      </c>
      <c r="I1383" s="4">
        <v>0</v>
      </c>
      <c r="J1383" s="4">
        <v>2167</v>
      </c>
    </row>
    <row r="1384" spans="1:10" x14ac:dyDescent="0.75">
      <c r="A1384" t="s">
        <v>151</v>
      </c>
      <c r="B1384">
        <v>5005</v>
      </c>
      <c r="C1384" t="s">
        <v>70</v>
      </c>
      <c r="D1384">
        <v>5360</v>
      </c>
      <c r="E1384" t="s">
        <v>465</v>
      </c>
      <c r="F1384" s="4">
        <v>2122</v>
      </c>
      <c r="G1384" s="4">
        <v>0</v>
      </c>
      <c r="H1384" s="4">
        <v>0</v>
      </c>
      <c r="I1384" s="4">
        <v>0</v>
      </c>
      <c r="J1384" s="4">
        <v>2122</v>
      </c>
    </row>
    <row r="1385" spans="1:10" x14ac:dyDescent="0.75">
      <c r="A1385" t="s">
        <v>151</v>
      </c>
      <c r="B1385">
        <v>5005</v>
      </c>
      <c r="C1385" t="s">
        <v>70</v>
      </c>
      <c r="D1385">
        <v>5540</v>
      </c>
      <c r="E1385" t="s">
        <v>469</v>
      </c>
      <c r="F1385" s="4">
        <v>2099</v>
      </c>
      <c r="G1385" s="4">
        <v>0</v>
      </c>
      <c r="H1385" s="4">
        <v>0</v>
      </c>
      <c r="I1385" s="4">
        <v>0</v>
      </c>
      <c r="J1385" s="4">
        <v>2099</v>
      </c>
    </row>
    <row r="1386" spans="1:10" x14ac:dyDescent="0.75">
      <c r="A1386" t="s">
        <v>151</v>
      </c>
      <c r="B1386">
        <v>5005</v>
      </c>
      <c r="C1386" t="s">
        <v>70</v>
      </c>
      <c r="D1386">
        <v>3293</v>
      </c>
      <c r="E1386" t="s">
        <v>445</v>
      </c>
      <c r="F1386" s="4">
        <v>2056</v>
      </c>
      <c r="G1386" s="4">
        <v>0</v>
      </c>
      <c r="H1386" s="4">
        <v>0</v>
      </c>
      <c r="I1386" s="4">
        <v>0</v>
      </c>
      <c r="J1386" s="4">
        <v>2056</v>
      </c>
    </row>
    <row r="1387" spans="1:10" x14ac:dyDescent="0.75">
      <c r="A1387" t="s">
        <v>151</v>
      </c>
      <c r="B1387">
        <v>5005</v>
      </c>
      <c r="C1387" t="s">
        <v>70</v>
      </c>
      <c r="D1387">
        <v>6782</v>
      </c>
      <c r="E1387" t="s">
        <v>396</v>
      </c>
      <c r="F1387" s="4">
        <v>1656</v>
      </c>
      <c r="G1387" s="4">
        <v>0</v>
      </c>
      <c r="H1387" s="4">
        <v>0</v>
      </c>
      <c r="I1387" s="4">
        <v>0</v>
      </c>
      <c r="J1387" s="4">
        <v>1656</v>
      </c>
    </row>
    <row r="1388" spans="1:10" x14ac:dyDescent="0.75">
      <c r="A1388" t="s">
        <v>151</v>
      </c>
      <c r="B1388">
        <v>5005</v>
      </c>
      <c r="C1388" t="s">
        <v>70</v>
      </c>
      <c r="D1388">
        <v>3299</v>
      </c>
      <c r="E1388" t="s">
        <v>448</v>
      </c>
      <c r="F1388" s="4">
        <v>1547</v>
      </c>
      <c r="G1388" s="4">
        <v>0</v>
      </c>
      <c r="H1388" s="4">
        <v>0</v>
      </c>
      <c r="I1388" s="4">
        <v>0</v>
      </c>
      <c r="J1388" s="4">
        <v>1547</v>
      </c>
    </row>
    <row r="1389" spans="1:10" x14ac:dyDescent="0.75">
      <c r="A1389" t="s">
        <v>151</v>
      </c>
      <c r="B1389">
        <v>5005</v>
      </c>
      <c r="C1389" t="s">
        <v>70</v>
      </c>
      <c r="D1389">
        <v>7210</v>
      </c>
      <c r="E1389" t="s">
        <v>426</v>
      </c>
      <c r="F1389" s="4">
        <v>1510</v>
      </c>
      <c r="G1389" s="4">
        <v>0</v>
      </c>
      <c r="H1389" s="4">
        <v>0</v>
      </c>
      <c r="I1389" s="4">
        <v>0</v>
      </c>
      <c r="J1389" s="4">
        <v>1510</v>
      </c>
    </row>
    <row r="1390" spans="1:10" x14ac:dyDescent="0.75">
      <c r="A1390" t="s">
        <v>151</v>
      </c>
      <c r="B1390">
        <v>5005</v>
      </c>
      <c r="C1390" t="s">
        <v>70</v>
      </c>
      <c r="D1390">
        <v>5480</v>
      </c>
      <c r="E1390" t="s">
        <v>386</v>
      </c>
      <c r="F1390" s="4">
        <v>1400</v>
      </c>
      <c r="G1390" s="4">
        <v>0</v>
      </c>
      <c r="H1390" s="4">
        <v>0</v>
      </c>
      <c r="I1390" s="4">
        <v>0</v>
      </c>
      <c r="J1390" s="4">
        <v>1400</v>
      </c>
    </row>
    <row r="1391" spans="1:10" x14ac:dyDescent="0.75">
      <c r="A1391" t="s">
        <v>151</v>
      </c>
      <c r="B1391">
        <v>5005</v>
      </c>
      <c r="C1391" t="s">
        <v>70</v>
      </c>
      <c r="D1391">
        <v>6885</v>
      </c>
      <c r="E1391" t="s">
        <v>493</v>
      </c>
      <c r="F1391" s="4">
        <v>1399</v>
      </c>
      <c r="G1391" s="4">
        <v>0</v>
      </c>
      <c r="H1391" s="4">
        <v>0</v>
      </c>
      <c r="I1391" s="4">
        <v>0</v>
      </c>
      <c r="J1391" s="4">
        <v>1399</v>
      </c>
    </row>
    <row r="1392" spans="1:10" x14ac:dyDescent="0.75">
      <c r="A1392" t="s">
        <v>151</v>
      </c>
      <c r="B1392">
        <v>5005</v>
      </c>
      <c r="C1392" t="s">
        <v>70</v>
      </c>
      <c r="D1392">
        <v>4189</v>
      </c>
      <c r="E1392" t="s">
        <v>451</v>
      </c>
      <c r="F1392" s="4">
        <v>1231</v>
      </c>
      <c r="G1392" s="4">
        <v>0</v>
      </c>
      <c r="H1392" s="4">
        <v>0</v>
      </c>
      <c r="I1392" s="4">
        <v>0</v>
      </c>
      <c r="J1392" s="4">
        <v>1231</v>
      </c>
    </row>
    <row r="1393" spans="1:10" x14ac:dyDescent="0.75">
      <c r="A1393" t="s">
        <v>151</v>
      </c>
      <c r="B1393">
        <v>5005</v>
      </c>
      <c r="C1393" t="s">
        <v>70</v>
      </c>
      <c r="D1393">
        <v>7120</v>
      </c>
      <c r="E1393" t="s">
        <v>499</v>
      </c>
      <c r="F1393" s="4">
        <v>1064</v>
      </c>
      <c r="G1393" s="4">
        <v>0</v>
      </c>
      <c r="H1393" s="4">
        <v>0</v>
      </c>
      <c r="I1393" s="4">
        <v>0</v>
      </c>
      <c r="J1393" s="4">
        <v>1064</v>
      </c>
    </row>
    <row r="1394" spans="1:10" x14ac:dyDescent="0.75">
      <c r="A1394" t="s">
        <v>151</v>
      </c>
      <c r="B1394">
        <v>5005</v>
      </c>
      <c r="C1394" t="s">
        <v>70</v>
      </c>
      <c r="D1394">
        <v>2990</v>
      </c>
      <c r="E1394" t="s">
        <v>432</v>
      </c>
      <c r="F1394" s="4">
        <v>666</v>
      </c>
      <c r="G1394" s="4">
        <v>0</v>
      </c>
      <c r="H1394" s="4">
        <v>0</v>
      </c>
      <c r="I1394" s="4">
        <v>0</v>
      </c>
      <c r="J1394" s="4">
        <v>666</v>
      </c>
    </row>
    <row r="1395" spans="1:10" x14ac:dyDescent="0.75">
      <c r="A1395" t="s">
        <v>151</v>
      </c>
      <c r="B1395">
        <v>5005</v>
      </c>
      <c r="C1395" t="s">
        <v>70</v>
      </c>
      <c r="D1395">
        <v>5240</v>
      </c>
      <c r="E1395" t="s">
        <v>464</v>
      </c>
      <c r="F1395" s="4">
        <v>610</v>
      </c>
      <c r="G1395" s="4">
        <v>0</v>
      </c>
      <c r="H1395" s="4">
        <v>0</v>
      </c>
      <c r="I1395" s="4">
        <v>0</v>
      </c>
      <c r="J1395" s="4">
        <v>610</v>
      </c>
    </row>
    <row r="1396" spans="1:10" x14ac:dyDescent="0.75">
      <c r="A1396" t="s">
        <v>151</v>
      </c>
      <c r="B1396">
        <v>5005</v>
      </c>
      <c r="C1396" t="s">
        <v>70</v>
      </c>
      <c r="D1396">
        <v>5290</v>
      </c>
      <c r="E1396" t="s">
        <v>415</v>
      </c>
      <c r="F1396" s="4">
        <v>585</v>
      </c>
      <c r="G1396" s="4">
        <v>0</v>
      </c>
      <c r="H1396" s="4">
        <v>0</v>
      </c>
      <c r="I1396" s="4">
        <v>0</v>
      </c>
      <c r="J1396" s="4">
        <v>585</v>
      </c>
    </row>
    <row r="1397" spans="1:10" x14ac:dyDescent="0.75">
      <c r="A1397" t="s">
        <v>151</v>
      </c>
      <c r="B1397">
        <v>5005</v>
      </c>
      <c r="C1397" t="s">
        <v>70</v>
      </c>
      <c r="D1397">
        <v>6134</v>
      </c>
      <c r="E1397" t="s">
        <v>470</v>
      </c>
      <c r="F1397" s="4">
        <v>558</v>
      </c>
      <c r="G1397" s="4">
        <v>5</v>
      </c>
      <c r="H1397" s="4">
        <v>5</v>
      </c>
      <c r="I1397" s="4">
        <v>0</v>
      </c>
      <c r="J1397" s="4">
        <v>563</v>
      </c>
    </row>
    <row r="1398" spans="1:10" x14ac:dyDescent="0.75">
      <c r="A1398" t="s">
        <v>151</v>
      </c>
      <c r="B1398">
        <v>5005</v>
      </c>
      <c r="C1398" t="s">
        <v>70</v>
      </c>
      <c r="D1398">
        <v>2340</v>
      </c>
      <c r="E1398" t="s">
        <v>369</v>
      </c>
      <c r="F1398" s="4">
        <v>551</v>
      </c>
      <c r="G1398" s="4">
        <v>0</v>
      </c>
      <c r="H1398" s="4">
        <v>0</v>
      </c>
      <c r="I1398" s="4">
        <v>0</v>
      </c>
      <c r="J1398" s="4">
        <v>551</v>
      </c>
    </row>
    <row r="1399" spans="1:10" x14ac:dyDescent="0.75">
      <c r="A1399" t="s">
        <v>151</v>
      </c>
      <c r="B1399">
        <v>5005</v>
      </c>
      <c r="C1399" t="s">
        <v>70</v>
      </c>
      <c r="D1399">
        <v>5190</v>
      </c>
      <c r="E1399" t="s">
        <v>462</v>
      </c>
      <c r="F1399" s="4">
        <v>522</v>
      </c>
      <c r="G1399" s="4">
        <v>0</v>
      </c>
      <c r="H1399" s="4">
        <v>0</v>
      </c>
      <c r="I1399" s="4">
        <v>0</v>
      </c>
      <c r="J1399" s="4">
        <v>522</v>
      </c>
    </row>
    <row r="1400" spans="1:10" x14ac:dyDescent="0.75">
      <c r="A1400" t="s">
        <v>151</v>
      </c>
      <c r="B1400">
        <v>5005</v>
      </c>
      <c r="C1400" t="s">
        <v>70</v>
      </c>
      <c r="D1400">
        <v>5370</v>
      </c>
      <c r="E1400" t="s">
        <v>466</v>
      </c>
      <c r="F1400" s="4">
        <v>361</v>
      </c>
      <c r="G1400" s="4">
        <v>0</v>
      </c>
      <c r="H1400" s="4">
        <v>0</v>
      </c>
      <c r="I1400" s="4">
        <v>0</v>
      </c>
      <c r="J1400" s="4">
        <v>361</v>
      </c>
    </row>
    <row r="1401" spans="1:10" x14ac:dyDescent="0.75">
      <c r="A1401" t="s">
        <v>151</v>
      </c>
      <c r="B1401">
        <v>5005</v>
      </c>
      <c r="C1401" t="s">
        <v>70</v>
      </c>
      <c r="D1401">
        <v>3282</v>
      </c>
      <c r="E1401" t="s">
        <v>440</v>
      </c>
      <c r="F1401" s="4">
        <v>275</v>
      </c>
      <c r="G1401" s="4">
        <v>0</v>
      </c>
      <c r="H1401" s="4">
        <v>0</v>
      </c>
      <c r="I1401" s="4">
        <v>0</v>
      </c>
      <c r="J1401" s="4">
        <v>275</v>
      </c>
    </row>
    <row r="1402" spans="1:10" x14ac:dyDescent="0.75">
      <c r="A1402" t="s">
        <v>151</v>
      </c>
      <c r="B1402">
        <v>5005</v>
      </c>
      <c r="C1402" t="s">
        <v>70</v>
      </c>
      <c r="D1402">
        <v>7500</v>
      </c>
      <c r="E1402" t="s">
        <v>427</v>
      </c>
      <c r="F1402" s="4">
        <v>262</v>
      </c>
      <c r="G1402" s="4">
        <v>0</v>
      </c>
      <c r="H1402" s="4">
        <v>0</v>
      </c>
      <c r="I1402" s="4">
        <v>0</v>
      </c>
      <c r="J1402" s="4">
        <v>262</v>
      </c>
    </row>
    <row r="1403" spans="1:10" x14ac:dyDescent="0.75">
      <c r="A1403" t="s">
        <v>151</v>
      </c>
      <c r="B1403">
        <v>5005</v>
      </c>
      <c r="C1403" t="s">
        <v>70</v>
      </c>
      <c r="D1403">
        <v>4420</v>
      </c>
      <c r="E1403" t="s">
        <v>381</v>
      </c>
      <c r="F1403" s="4">
        <v>118</v>
      </c>
      <c r="G1403" s="4">
        <v>0</v>
      </c>
      <c r="H1403" s="4">
        <v>0</v>
      </c>
      <c r="I1403" s="4">
        <v>0</v>
      </c>
      <c r="J1403" s="4">
        <v>118</v>
      </c>
    </row>
    <row r="1404" spans="1:10" x14ac:dyDescent="0.75">
      <c r="A1404" t="s">
        <v>151</v>
      </c>
      <c r="B1404">
        <v>5005</v>
      </c>
      <c r="C1404" t="s">
        <v>70</v>
      </c>
      <c r="D1404">
        <v>3220</v>
      </c>
      <c r="E1404" t="s">
        <v>370</v>
      </c>
      <c r="F1404" s="4">
        <v>77</v>
      </c>
      <c r="G1404" s="4">
        <v>0</v>
      </c>
      <c r="H1404" s="4">
        <v>0</v>
      </c>
      <c r="I1404" s="4">
        <v>0</v>
      </c>
      <c r="J1404" s="4">
        <v>77</v>
      </c>
    </row>
    <row r="1405" spans="1:10" x14ac:dyDescent="0.75">
      <c r="A1405" t="s">
        <v>151</v>
      </c>
      <c r="B1405">
        <v>5005</v>
      </c>
      <c r="C1405" t="s">
        <v>70</v>
      </c>
      <c r="D1405">
        <v>7230</v>
      </c>
      <c r="E1405" t="s">
        <v>387</v>
      </c>
      <c r="F1405" s="4">
        <v>62</v>
      </c>
      <c r="G1405" s="4">
        <v>0</v>
      </c>
      <c r="H1405" s="4">
        <v>0</v>
      </c>
      <c r="I1405" s="4">
        <v>0</v>
      </c>
      <c r="J1405" s="4">
        <v>62</v>
      </c>
    </row>
    <row r="1406" spans="1:10" x14ac:dyDescent="0.75">
      <c r="A1406" t="s">
        <v>151</v>
      </c>
      <c r="B1406">
        <v>5005</v>
      </c>
      <c r="C1406" t="s">
        <v>70</v>
      </c>
      <c r="D1406">
        <v>6136</v>
      </c>
      <c r="E1406" t="s">
        <v>471</v>
      </c>
      <c r="F1406" s="4">
        <v>48</v>
      </c>
      <c r="G1406" s="4">
        <v>0</v>
      </c>
      <c r="H1406" s="4">
        <v>0</v>
      </c>
      <c r="I1406" s="4">
        <v>0</v>
      </c>
      <c r="J1406" s="4">
        <v>48</v>
      </c>
    </row>
    <row r="1407" spans="1:10" x14ac:dyDescent="0.75">
      <c r="A1407" t="s">
        <v>151</v>
      </c>
      <c r="B1407">
        <v>5005</v>
      </c>
      <c r="C1407" t="s">
        <v>70</v>
      </c>
      <c r="D1407">
        <v>8900</v>
      </c>
      <c r="E1407" t="s">
        <v>506</v>
      </c>
      <c r="F1407" s="4">
        <v>45</v>
      </c>
      <c r="G1407" s="4">
        <v>0</v>
      </c>
      <c r="H1407" s="4">
        <v>0</v>
      </c>
      <c r="I1407" s="4">
        <v>0</v>
      </c>
      <c r="J1407" s="4">
        <v>45</v>
      </c>
    </row>
    <row r="1408" spans="1:10" x14ac:dyDescent="0.75">
      <c r="A1408" t="s">
        <v>151</v>
      </c>
      <c r="B1408">
        <v>5005</v>
      </c>
      <c r="C1408" t="s">
        <v>70</v>
      </c>
      <c r="D1408">
        <v>4225</v>
      </c>
      <c r="E1408" t="s">
        <v>380</v>
      </c>
      <c r="F1408" s="4">
        <v>39</v>
      </c>
      <c r="G1408" s="4">
        <v>0</v>
      </c>
      <c r="H1408" s="4">
        <v>0</v>
      </c>
      <c r="I1408" s="4">
        <v>0</v>
      </c>
      <c r="J1408" s="4">
        <v>39</v>
      </c>
    </row>
    <row r="1409" spans="1:10" x14ac:dyDescent="0.75">
      <c r="A1409" t="s">
        <v>151</v>
      </c>
      <c r="B1409">
        <v>5005</v>
      </c>
      <c r="C1409" t="s">
        <v>70</v>
      </c>
      <c r="D1409">
        <v>7600</v>
      </c>
      <c r="E1409" t="s">
        <v>503</v>
      </c>
      <c r="F1409" s="4">
        <v>8</v>
      </c>
      <c r="G1409" s="4">
        <v>0</v>
      </c>
      <c r="H1409" s="4">
        <v>0</v>
      </c>
      <c r="I1409" s="4">
        <v>0</v>
      </c>
      <c r="J1409" s="4">
        <v>8</v>
      </c>
    </row>
    <row r="1410" spans="1:10" x14ac:dyDescent="0.75">
      <c r="A1410" t="s">
        <v>151</v>
      </c>
      <c r="B1410">
        <v>5005</v>
      </c>
      <c r="C1410" t="s">
        <v>70</v>
      </c>
      <c r="D1410">
        <v>5330</v>
      </c>
      <c r="E1410" t="s">
        <v>385</v>
      </c>
      <c r="F1410" s="4">
        <v>7</v>
      </c>
      <c r="G1410" s="4">
        <v>0</v>
      </c>
      <c r="H1410" s="4">
        <v>0</v>
      </c>
      <c r="I1410" s="4">
        <v>0</v>
      </c>
      <c r="J1410" s="4">
        <v>7</v>
      </c>
    </row>
    <row r="1411" spans="1:10" x14ac:dyDescent="0.75">
      <c r="A1411" t="s">
        <v>160</v>
      </c>
      <c r="B1411">
        <v>3703</v>
      </c>
      <c r="C1411" t="s">
        <v>360</v>
      </c>
      <c r="D1411">
        <v>3293</v>
      </c>
      <c r="E1411" t="s">
        <v>445</v>
      </c>
      <c r="F1411" s="4">
        <v>25</v>
      </c>
      <c r="G1411" s="4">
        <v>0</v>
      </c>
      <c r="H1411" s="4">
        <v>0</v>
      </c>
      <c r="I1411" s="4">
        <v>0</v>
      </c>
      <c r="J1411" s="4">
        <v>25</v>
      </c>
    </row>
    <row r="1412" spans="1:10" x14ac:dyDescent="0.75">
      <c r="A1412" t="s">
        <v>160</v>
      </c>
      <c r="B1412">
        <v>3703</v>
      </c>
      <c r="C1412" t="s">
        <v>360</v>
      </c>
      <c r="D1412">
        <v>7110</v>
      </c>
      <c r="E1412" t="s">
        <v>371</v>
      </c>
      <c r="F1412" s="4">
        <v>25</v>
      </c>
      <c r="G1412" s="4">
        <v>0</v>
      </c>
      <c r="H1412" s="4">
        <v>0</v>
      </c>
      <c r="I1412" s="4">
        <v>0</v>
      </c>
      <c r="J1412" s="4">
        <v>25</v>
      </c>
    </row>
    <row r="1413" spans="1:10" x14ac:dyDescent="0.75">
      <c r="A1413" t="s">
        <v>160</v>
      </c>
      <c r="B1413">
        <v>3703</v>
      </c>
      <c r="C1413" t="s">
        <v>360</v>
      </c>
      <c r="D1413">
        <v>4170</v>
      </c>
      <c r="E1413" t="s">
        <v>424</v>
      </c>
      <c r="F1413" s="4">
        <v>10</v>
      </c>
      <c r="G1413" s="4">
        <v>0</v>
      </c>
      <c r="H1413" s="4">
        <v>0</v>
      </c>
      <c r="I1413" s="4">
        <v>0</v>
      </c>
      <c r="J1413" s="4">
        <v>10</v>
      </c>
    </row>
    <row r="1414" spans="1:10" x14ac:dyDescent="0.75">
      <c r="A1414" t="s">
        <v>163</v>
      </c>
      <c r="B1414">
        <v>2311</v>
      </c>
      <c r="C1414" t="s">
        <v>212</v>
      </c>
      <c r="D1414">
        <v>6344</v>
      </c>
      <c r="E1414" t="s">
        <v>392</v>
      </c>
      <c r="F1414" s="4">
        <v>2061085</v>
      </c>
      <c r="G1414" s="4">
        <v>0</v>
      </c>
      <c r="H1414" s="4">
        <v>0</v>
      </c>
      <c r="I1414" s="4">
        <v>0</v>
      </c>
      <c r="J1414" s="4">
        <v>2061085</v>
      </c>
    </row>
    <row r="1415" spans="1:10" x14ac:dyDescent="0.75">
      <c r="A1415" t="s">
        <v>163</v>
      </c>
      <c r="B1415">
        <v>2311</v>
      </c>
      <c r="C1415" t="s">
        <v>212</v>
      </c>
      <c r="D1415">
        <v>6522</v>
      </c>
      <c r="E1415" t="s">
        <v>393</v>
      </c>
      <c r="F1415" s="4">
        <v>836796</v>
      </c>
      <c r="G1415" s="4">
        <v>0</v>
      </c>
      <c r="H1415" s="4">
        <v>0</v>
      </c>
      <c r="I1415" s="4">
        <v>0</v>
      </c>
      <c r="J1415" s="4">
        <v>836796</v>
      </c>
    </row>
    <row r="1416" spans="1:10" x14ac:dyDescent="0.75">
      <c r="A1416" t="s">
        <v>163</v>
      </c>
      <c r="B1416">
        <v>2311</v>
      </c>
      <c r="C1416" t="s">
        <v>212</v>
      </c>
      <c r="D1416">
        <v>3130</v>
      </c>
      <c r="E1416" t="s">
        <v>407</v>
      </c>
      <c r="F1416" s="4">
        <v>34729</v>
      </c>
      <c r="G1416" s="4">
        <v>0</v>
      </c>
      <c r="H1416" s="4">
        <v>0</v>
      </c>
      <c r="I1416" s="4">
        <v>0</v>
      </c>
      <c r="J1416" s="4">
        <v>34729</v>
      </c>
    </row>
    <row r="1417" spans="1:10" x14ac:dyDescent="0.75">
      <c r="A1417" t="s">
        <v>163</v>
      </c>
      <c r="B1417">
        <v>2311</v>
      </c>
      <c r="C1417" t="s">
        <v>212</v>
      </c>
      <c r="D1417">
        <v>3190</v>
      </c>
      <c r="E1417" t="s">
        <v>408</v>
      </c>
      <c r="F1417" s="4">
        <v>17116</v>
      </c>
      <c r="G1417" s="4">
        <v>0</v>
      </c>
      <c r="H1417" s="4">
        <v>0</v>
      </c>
      <c r="I1417" s="4">
        <v>0</v>
      </c>
      <c r="J1417" s="4">
        <v>17116</v>
      </c>
    </row>
    <row r="1418" spans="1:10" x14ac:dyDescent="0.75">
      <c r="A1418" t="s">
        <v>163</v>
      </c>
      <c r="B1418">
        <v>2311</v>
      </c>
      <c r="C1418" t="s">
        <v>212</v>
      </c>
      <c r="D1418">
        <v>6241</v>
      </c>
      <c r="E1418" t="s">
        <v>391</v>
      </c>
      <c r="F1418" s="4">
        <v>10079</v>
      </c>
      <c r="G1418" s="4">
        <v>0</v>
      </c>
      <c r="H1418" s="4">
        <v>0</v>
      </c>
      <c r="I1418" s="4">
        <v>0</v>
      </c>
      <c r="J1418" s="4">
        <v>10079</v>
      </c>
    </row>
    <row r="1419" spans="1:10" x14ac:dyDescent="0.75">
      <c r="A1419" t="s">
        <v>163</v>
      </c>
      <c r="B1419">
        <v>2311</v>
      </c>
      <c r="C1419" t="s">
        <v>212</v>
      </c>
      <c r="D1419">
        <v>3120</v>
      </c>
      <c r="E1419" t="s">
        <v>406</v>
      </c>
      <c r="F1419" s="4">
        <v>4706</v>
      </c>
      <c r="G1419" s="4">
        <v>0</v>
      </c>
      <c r="H1419" s="4">
        <v>0</v>
      </c>
      <c r="I1419" s="4">
        <v>0</v>
      </c>
      <c r="J1419" s="4">
        <v>4706</v>
      </c>
    </row>
    <row r="1420" spans="1:10" x14ac:dyDescent="0.75">
      <c r="A1420" t="s">
        <v>163</v>
      </c>
      <c r="B1420">
        <v>2311</v>
      </c>
      <c r="C1420" t="s">
        <v>212</v>
      </c>
      <c r="D1420">
        <v>6590</v>
      </c>
      <c r="E1420" t="s">
        <v>394</v>
      </c>
      <c r="F1420" s="4">
        <v>1740</v>
      </c>
      <c r="G1420" s="4">
        <v>0</v>
      </c>
      <c r="H1420" s="4">
        <v>0</v>
      </c>
      <c r="I1420" s="4">
        <v>0</v>
      </c>
      <c r="J1420" s="4">
        <v>1740</v>
      </c>
    </row>
    <row r="1421" spans="1:10" x14ac:dyDescent="0.75">
      <c r="A1421" t="s">
        <v>163</v>
      </c>
      <c r="B1421">
        <v>2312</v>
      </c>
      <c r="C1421" t="s">
        <v>200</v>
      </c>
      <c r="D1421">
        <v>6782</v>
      </c>
      <c r="E1421" t="s">
        <v>396</v>
      </c>
      <c r="F1421" s="4">
        <v>1263824</v>
      </c>
      <c r="G1421" s="4">
        <v>0</v>
      </c>
      <c r="H1421" s="4">
        <v>0</v>
      </c>
      <c r="I1421" s="4">
        <v>0</v>
      </c>
      <c r="J1421" s="4">
        <v>1263824</v>
      </c>
    </row>
    <row r="1422" spans="1:10" x14ac:dyDescent="0.75">
      <c r="A1422" t="s">
        <v>163</v>
      </c>
      <c r="B1422">
        <v>2312</v>
      </c>
      <c r="C1422" t="s">
        <v>200</v>
      </c>
      <c r="D1422">
        <v>6344</v>
      </c>
      <c r="E1422" t="s">
        <v>392</v>
      </c>
      <c r="F1422" s="4">
        <v>739734</v>
      </c>
      <c r="G1422" s="4">
        <v>0</v>
      </c>
      <c r="H1422" s="4">
        <v>0</v>
      </c>
      <c r="I1422" s="4">
        <v>0</v>
      </c>
      <c r="J1422" s="4">
        <v>739734</v>
      </c>
    </row>
    <row r="1423" spans="1:10" x14ac:dyDescent="0.75">
      <c r="A1423" t="s">
        <v>163</v>
      </c>
      <c r="B1423">
        <v>2312</v>
      </c>
      <c r="C1423" t="s">
        <v>200</v>
      </c>
      <c r="D1423">
        <v>6522</v>
      </c>
      <c r="E1423" t="s">
        <v>393</v>
      </c>
      <c r="F1423" s="4">
        <v>564375</v>
      </c>
      <c r="G1423" s="4">
        <v>0</v>
      </c>
      <c r="H1423" s="4">
        <v>0</v>
      </c>
      <c r="I1423" s="4">
        <v>0</v>
      </c>
      <c r="J1423" s="4">
        <v>564375</v>
      </c>
    </row>
    <row r="1424" spans="1:10" x14ac:dyDescent="0.75">
      <c r="A1424" t="s">
        <v>163</v>
      </c>
      <c r="B1424">
        <v>2312</v>
      </c>
      <c r="C1424" t="s">
        <v>200</v>
      </c>
      <c r="D1424">
        <v>3220</v>
      </c>
      <c r="E1424" t="s">
        <v>370</v>
      </c>
      <c r="F1424" s="4">
        <v>336130</v>
      </c>
      <c r="G1424" s="4">
        <v>0</v>
      </c>
      <c r="H1424" s="4">
        <v>0</v>
      </c>
      <c r="I1424" s="4">
        <v>0</v>
      </c>
      <c r="J1424" s="4">
        <v>336130</v>
      </c>
    </row>
    <row r="1425" spans="1:10" x14ac:dyDescent="0.75">
      <c r="A1425" t="s">
        <v>163</v>
      </c>
      <c r="B1425">
        <v>2312</v>
      </c>
      <c r="C1425" t="s">
        <v>200</v>
      </c>
      <c r="D1425">
        <v>4331</v>
      </c>
      <c r="E1425" t="s">
        <v>390</v>
      </c>
      <c r="F1425" s="4">
        <v>308797</v>
      </c>
      <c r="G1425" s="4">
        <v>0</v>
      </c>
      <c r="H1425" s="4">
        <v>0</v>
      </c>
      <c r="I1425" s="4">
        <v>0</v>
      </c>
      <c r="J1425" s="4">
        <v>308797</v>
      </c>
    </row>
    <row r="1426" spans="1:10" x14ac:dyDescent="0.75">
      <c r="A1426" t="s">
        <v>163</v>
      </c>
      <c r="B1426">
        <v>2312</v>
      </c>
      <c r="C1426" t="s">
        <v>200</v>
      </c>
      <c r="D1426">
        <v>3110</v>
      </c>
      <c r="E1426" t="s">
        <v>405</v>
      </c>
      <c r="F1426" s="4">
        <v>161726</v>
      </c>
      <c r="G1426" s="4">
        <v>0</v>
      </c>
      <c r="H1426" s="4">
        <v>0</v>
      </c>
      <c r="I1426" s="4">
        <v>0</v>
      </c>
      <c r="J1426" s="4">
        <v>161726</v>
      </c>
    </row>
    <row r="1427" spans="1:10" x14ac:dyDescent="0.75">
      <c r="A1427" t="s">
        <v>163</v>
      </c>
      <c r="B1427">
        <v>2312</v>
      </c>
      <c r="C1427" t="s">
        <v>200</v>
      </c>
      <c r="D1427">
        <v>3130</v>
      </c>
      <c r="E1427" t="s">
        <v>407</v>
      </c>
      <c r="F1427" s="4">
        <v>138655</v>
      </c>
      <c r="G1427" s="4">
        <v>0</v>
      </c>
      <c r="H1427" s="4">
        <v>0</v>
      </c>
      <c r="I1427" s="4">
        <v>0</v>
      </c>
      <c r="J1427" s="4">
        <v>138655</v>
      </c>
    </row>
    <row r="1428" spans="1:10" x14ac:dyDescent="0.75">
      <c r="A1428" t="s">
        <v>163</v>
      </c>
      <c r="B1428">
        <v>2312</v>
      </c>
      <c r="C1428" t="s">
        <v>200</v>
      </c>
      <c r="D1428">
        <v>3273</v>
      </c>
      <c r="E1428" t="s">
        <v>411</v>
      </c>
      <c r="F1428" s="4">
        <v>114515</v>
      </c>
      <c r="G1428" s="4">
        <v>0</v>
      </c>
      <c r="H1428" s="4">
        <v>0</v>
      </c>
      <c r="I1428" s="4">
        <v>0</v>
      </c>
      <c r="J1428" s="4">
        <v>114515</v>
      </c>
    </row>
    <row r="1429" spans="1:10" x14ac:dyDescent="0.75">
      <c r="A1429" t="s">
        <v>163</v>
      </c>
      <c r="B1429">
        <v>2312</v>
      </c>
      <c r="C1429" t="s">
        <v>200</v>
      </c>
      <c r="D1429">
        <v>4420</v>
      </c>
      <c r="E1429" t="s">
        <v>381</v>
      </c>
      <c r="F1429" s="4">
        <v>103243</v>
      </c>
      <c r="G1429" s="4">
        <v>0</v>
      </c>
      <c r="H1429" s="4">
        <v>0</v>
      </c>
      <c r="I1429" s="4">
        <v>0</v>
      </c>
      <c r="J1429" s="4">
        <v>103243</v>
      </c>
    </row>
    <row r="1430" spans="1:10" x14ac:dyDescent="0.75">
      <c r="A1430" t="s">
        <v>163</v>
      </c>
      <c r="B1430">
        <v>2312</v>
      </c>
      <c r="C1430" t="s">
        <v>200</v>
      </c>
      <c r="D1430">
        <v>5390</v>
      </c>
      <c r="E1430" t="s">
        <v>418</v>
      </c>
      <c r="F1430" s="4">
        <v>94799</v>
      </c>
      <c r="G1430" s="4">
        <v>0</v>
      </c>
      <c r="H1430" s="4">
        <v>0</v>
      </c>
      <c r="I1430" s="4">
        <v>0</v>
      </c>
      <c r="J1430" s="4">
        <v>94799</v>
      </c>
    </row>
    <row r="1431" spans="1:10" x14ac:dyDescent="0.75">
      <c r="A1431" t="s">
        <v>163</v>
      </c>
      <c r="B1431">
        <v>2312</v>
      </c>
      <c r="C1431" t="s">
        <v>200</v>
      </c>
      <c r="D1431">
        <v>3276</v>
      </c>
      <c r="E1431" t="s">
        <v>379</v>
      </c>
      <c r="F1431" s="4">
        <v>86103</v>
      </c>
      <c r="G1431" s="4">
        <v>0</v>
      </c>
      <c r="H1431" s="4">
        <v>0</v>
      </c>
      <c r="I1431" s="4">
        <v>0</v>
      </c>
      <c r="J1431" s="4">
        <v>86103</v>
      </c>
    </row>
    <row r="1432" spans="1:10" x14ac:dyDescent="0.75">
      <c r="A1432" t="s">
        <v>163</v>
      </c>
      <c r="B1432">
        <v>2312</v>
      </c>
      <c r="C1432" t="s">
        <v>200</v>
      </c>
      <c r="D1432">
        <v>3190</v>
      </c>
      <c r="E1432" t="s">
        <v>408</v>
      </c>
      <c r="F1432" s="4">
        <v>78925</v>
      </c>
      <c r="G1432" s="4">
        <v>0</v>
      </c>
      <c r="H1432" s="4">
        <v>0</v>
      </c>
      <c r="I1432" s="4">
        <v>0</v>
      </c>
      <c r="J1432" s="4">
        <v>78925</v>
      </c>
    </row>
    <row r="1433" spans="1:10" x14ac:dyDescent="0.75">
      <c r="A1433" t="s">
        <v>163</v>
      </c>
      <c r="B1433">
        <v>2312</v>
      </c>
      <c r="C1433" t="s">
        <v>200</v>
      </c>
      <c r="D1433">
        <v>5312</v>
      </c>
      <c r="E1433" t="s">
        <v>416</v>
      </c>
      <c r="F1433" s="4">
        <v>59423</v>
      </c>
      <c r="G1433" s="4">
        <v>0</v>
      </c>
      <c r="H1433" s="4">
        <v>0</v>
      </c>
      <c r="I1433" s="4">
        <v>0</v>
      </c>
      <c r="J1433" s="4">
        <v>59423</v>
      </c>
    </row>
    <row r="1434" spans="1:10" x14ac:dyDescent="0.75">
      <c r="A1434" t="s">
        <v>163</v>
      </c>
      <c r="B1434">
        <v>2312</v>
      </c>
      <c r="C1434" t="s">
        <v>200</v>
      </c>
      <c r="D1434">
        <v>3120</v>
      </c>
      <c r="E1434" t="s">
        <v>406</v>
      </c>
      <c r="F1434" s="4">
        <v>36549</v>
      </c>
      <c r="G1434" s="4">
        <v>0</v>
      </c>
      <c r="H1434" s="4">
        <v>0</v>
      </c>
      <c r="I1434" s="4">
        <v>0</v>
      </c>
      <c r="J1434" s="4">
        <v>36549</v>
      </c>
    </row>
    <row r="1435" spans="1:10" x14ac:dyDescent="0.75">
      <c r="A1435" t="s">
        <v>163</v>
      </c>
      <c r="B1435">
        <v>2312</v>
      </c>
      <c r="C1435" t="s">
        <v>200</v>
      </c>
      <c r="D1435">
        <v>6885</v>
      </c>
      <c r="E1435" t="s">
        <v>493</v>
      </c>
      <c r="F1435" s="4">
        <v>34246</v>
      </c>
      <c r="G1435" s="4">
        <v>0</v>
      </c>
      <c r="H1435" s="4">
        <v>0</v>
      </c>
      <c r="I1435" s="4">
        <v>0</v>
      </c>
      <c r="J1435" s="4">
        <v>34246</v>
      </c>
    </row>
    <row r="1436" spans="1:10" x14ac:dyDescent="0.75">
      <c r="A1436" t="s">
        <v>163</v>
      </c>
      <c r="B1436">
        <v>2312</v>
      </c>
      <c r="C1436" t="s">
        <v>200</v>
      </c>
      <c r="D1436">
        <v>4783</v>
      </c>
      <c r="E1436" t="s">
        <v>382</v>
      </c>
      <c r="F1436" s="4">
        <v>33127</v>
      </c>
      <c r="G1436" s="4">
        <v>0</v>
      </c>
      <c r="H1436" s="4">
        <v>0</v>
      </c>
      <c r="I1436" s="4">
        <v>0</v>
      </c>
      <c r="J1436" s="4">
        <v>33127</v>
      </c>
    </row>
    <row r="1437" spans="1:10" x14ac:dyDescent="0.75">
      <c r="A1437" t="s">
        <v>163</v>
      </c>
      <c r="B1437">
        <v>2312</v>
      </c>
      <c r="C1437" t="s">
        <v>200</v>
      </c>
      <c r="D1437">
        <v>2430</v>
      </c>
      <c r="E1437" t="s">
        <v>376</v>
      </c>
      <c r="F1437" s="4">
        <v>19647</v>
      </c>
      <c r="G1437" s="4">
        <v>0</v>
      </c>
      <c r="H1437" s="4">
        <v>0</v>
      </c>
      <c r="I1437" s="4">
        <v>0</v>
      </c>
      <c r="J1437" s="4">
        <v>19647</v>
      </c>
    </row>
    <row r="1438" spans="1:10" x14ac:dyDescent="0.75">
      <c r="A1438" t="s">
        <v>163</v>
      </c>
      <c r="B1438">
        <v>2312</v>
      </c>
      <c r="C1438" t="s">
        <v>200</v>
      </c>
      <c r="D1438">
        <v>2211</v>
      </c>
      <c r="E1438" t="s">
        <v>367</v>
      </c>
      <c r="F1438" s="4">
        <v>18148</v>
      </c>
      <c r="G1438" s="4">
        <v>0</v>
      </c>
      <c r="H1438" s="4">
        <v>0</v>
      </c>
      <c r="I1438" s="4">
        <v>0</v>
      </c>
      <c r="J1438" s="4">
        <v>18148</v>
      </c>
    </row>
    <row r="1439" spans="1:10" x14ac:dyDescent="0.75">
      <c r="A1439" t="s">
        <v>163</v>
      </c>
      <c r="B1439">
        <v>2312</v>
      </c>
      <c r="C1439" t="s">
        <v>200</v>
      </c>
      <c r="D1439">
        <v>6653</v>
      </c>
      <c r="E1439" t="s">
        <v>395</v>
      </c>
      <c r="F1439" s="4">
        <v>17010</v>
      </c>
      <c r="G1439" s="4">
        <v>0</v>
      </c>
      <c r="H1439" s="4">
        <v>0</v>
      </c>
      <c r="I1439" s="4">
        <v>0</v>
      </c>
      <c r="J1439" s="4">
        <v>17010</v>
      </c>
    </row>
    <row r="1440" spans="1:10" x14ac:dyDescent="0.75">
      <c r="A1440" t="s">
        <v>163</v>
      </c>
      <c r="B1440">
        <v>2312</v>
      </c>
      <c r="C1440" t="s">
        <v>200</v>
      </c>
      <c r="D1440">
        <v>5330</v>
      </c>
      <c r="E1440" t="s">
        <v>385</v>
      </c>
      <c r="F1440" s="4">
        <v>15575</v>
      </c>
      <c r="G1440" s="4">
        <v>0</v>
      </c>
      <c r="H1440" s="4">
        <v>0</v>
      </c>
      <c r="I1440" s="4">
        <v>0</v>
      </c>
      <c r="J1440" s="4">
        <v>15575</v>
      </c>
    </row>
    <row r="1441" spans="1:10" x14ac:dyDescent="0.75">
      <c r="A1441" t="s">
        <v>163</v>
      </c>
      <c r="B1441">
        <v>2312</v>
      </c>
      <c r="C1441" t="s">
        <v>200</v>
      </c>
      <c r="D1441">
        <v>1100</v>
      </c>
      <c r="E1441" t="s">
        <v>397</v>
      </c>
      <c r="F1441" s="4">
        <v>9072</v>
      </c>
      <c r="G1441" s="4">
        <v>0</v>
      </c>
      <c r="H1441" s="4">
        <v>0</v>
      </c>
      <c r="I1441" s="4">
        <v>0</v>
      </c>
      <c r="J1441" s="4">
        <v>9072</v>
      </c>
    </row>
    <row r="1442" spans="1:10" x14ac:dyDescent="0.75">
      <c r="A1442" t="s">
        <v>163</v>
      </c>
      <c r="B1442">
        <v>2312</v>
      </c>
      <c r="C1442" t="s">
        <v>200</v>
      </c>
      <c r="D1442">
        <v>4161</v>
      </c>
      <c r="E1442" t="s">
        <v>421</v>
      </c>
      <c r="F1442" s="4">
        <v>6604</v>
      </c>
      <c r="G1442" s="4">
        <v>0</v>
      </c>
      <c r="H1442" s="4">
        <v>0</v>
      </c>
      <c r="I1442" s="4">
        <v>0</v>
      </c>
      <c r="J1442" s="4">
        <v>6604</v>
      </c>
    </row>
    <row r="1443" spans="1:10" x14ac:dyDescent="0.75">
      <c r="A1443" t="s">
        <v>163</v>
      </c>
      <c r="B1443">
        <v>2312</v>
      </c>
      <c r="C1443" t="s">
        <v>200</v>
      </c>
      <c r="D1443">
        <v>5360</v>
      </c>
      <c r="E1443" t="s">
        <v>465</v>
      </c>
      <c r="F1443" s="4">
        <v>4687</v>
      </c>
      <c r="G1443" s="4">
        <v>0</v>
      </c>
      <c r="H1443" s="4">
        <v>0</v>
      </c>
      <c r="I1443" s="4">
        <v>0</v>
      </c>
      <c r="J1443" s="4">
        <v>4687</v>
      </c>
    </row>
    <row r="1444" spans="1:10" x14ac:dyDescent="0.75">
      <c r="A1444" t="s">
        <v>163</v>
      </c>
      <c r="B1444">
        <v>2312</v>
      </c>
      <c r="C1444" t="s">
        <v>200</v>
      </c>
      <c r="D1444">
        <v>4335</v>
      </c>
      <c r="E1444" t="s">
        <v>372</v>
      </c>
      <c r="F1444" s="4">
        <v>4527</v>
      </c>
      <c r="G1444" s="4">
        <v>0</v>
      </c>
      <c r="H1444" s="4">
        <v>0</v>
      </c>
      <c r="I1444" s="4">
        <v>0</v>
      </c>
      <c r="J1444" s="4">
        <v>4527</v>
      </c>
    </row>
    <row r="1445" spans="1:10" x14ac:dyDescent="0.75">
      <c r="A1445" t="s">
        <v>163</v>
      </c>
      <c r="B1445">
        <v>2312</v>
      </c>
      <c r="C1445" t="s">
        <v>200</v>
      </c>
      <c r="D1445">
        <v>4860</v>
      </c>
      <c r="E1445" t="s">
        <v>400</v>
      </c>
      <c r="F1445" s="4">
        <v>3101</v>
      </c>
      <c r="G1445" s="4">
        <v>0</v>
      </c>
      <c r="H1445" s="4">
        <v>0</v>
      </c>
      <c r="I1445" s="4">
        <v>0</v>
      </c>
      <c r="J1445" s="4">
        <v>3101</v>
      </c>
    </row>
    <row r="1446" spans="1:10" x14ac:dyDescent="0.75">
      <c r="A1446" t="s">
        <v>163</v>
      </c>
      <c r="B1446">
        <v>2312</v>
      </c>
      <c r="C1446" t="s">
        <v>200</v>
      </c>
      <c r="D1446">
        <v>4410</v>
      </c>
      <c r="E1446" t="s">
        <v>399</v>
      </c>
      <c r="F1446" s="4">
        <v>1714</v>
      </c>
      <c r="G1446" s="4">
        <v>0</v>
      </c>
      <c r="H1446" s="4">
        <v>0</v>
      </c>
      <c r="I1446" s="4">
        <v>0</v>
      </c>
      <c r="J1446" s="4">
        <v>1714</v>
      </c>
    </row>
    <row r="1447" spans="1:10" x14ac:dyDescent="0.75">
      <c r="A1447" t="s">
        <v>163</v>
      </c>
      <c r="B1447">
        <v>2312</v>
      </c>
      <c r="C1447" t="s">
        <v>200</v>
      </c>
      <c r="D1447">
        <v>2340</v>
      </c>
      <c r="E1447" t="s">
        <v>369</v>
      </c>
      <c r="F1447" s="4">
        <v>1645</v>
      </c>
      <c r="G1447" s="4">
        <v>0</v>
      </c>
      <c r="H1447" s="4">
        <v>0</v>
      </c>
      <c r="I1447" s="4">
        <v>0</v>
      </c>
      <c r="J1447" s="4">
        <v>1645</v>
      </c>
    </row>
    <row r="1448" spans="1:10" x14ac:dyDescent="0.75">
      <c r="A1448" t="s">
        <v>163</v>
      </c>
      <c r="B1448">
        <v>2312</v>
      </c>
      <c r="C1448" t="s">
        <v>200</v>
      </c>
      <c r="D1448">
        <v>6241</v>
      </c>
      <c r="E1448" t="s">
        <v>391</v>
      </c>
      <c r="F1448" s="4">
        <v>1614</v>
      </c>
      <c r="G1448" s="4">
        <v>0</v>
      </c>
      <c r="H1448" s="4">
        <v>0</v>
      </c>
      <c r="I1448" s="4">
        <v>0</v>
      </c>
      <c r="J1448" s="4">
        <v>1614</v>
      </c>
    </row>
    <row r="1449" spans="1:10" x14ac:dyDescent="0.75">
      <c r="A1449" t="s">
        <v>163</v>
      </c>
      <c r="B1449">
        <v>2312</v>
      </c>
      <c r="C1449" t="s">
        <v>200</v>
      </c>
      <c r="D1449">
        <v>6654</v>
      </c>
      <c r="E1449" t="s">
        <v>419</v>
      </c>
      <c r="F1449" s="4">
        <v>1574</v>
      </c>
      <c r="G1449" s="4">
        <v>0</v>
      </c>
      <c r="H1449" s="4">
        <v>0</v>
      </c>
      <c r="I1449" s="4">
        <v>0</v>
      </c>
      <c r="J1449" s="4">
        <v>1574</v>
      </c>
    </row>
    <row r="1450" spans="1:10" x14ac:dyDescent="0.75">
      <c r="A1450" t="s">
        <v>163</v>
      </c>
      <c r="B1450">
        <v>2353</v>
      </c>
      <c r="C1450" t="s">
        <v>251</v>
      </c>
      <c r="D1450">
        <v>4331</v>
      </c>
      <c r="E1450" t="s">
        <v>390</v>
      </c>
      <c r="F1450" s="4">
        <v>946165</v>
      </c>
      <c r="G1450" s="4">
        <v>0</v>
      </c>
      <c r="H1450" s="4">
        <v>0</v>
      </c>
      <c r="I1450" s="4">
        <v>0</v>
      </c>
      <c r="J1450" s="4">
        <v>946165</v>
      </c>
    </row>
    <row r="1451" spans="1:10" x14ac:dyDescent="0.75">
      <c r="A1451" t="s">
        <v>163</v>
      </c>
      <c r="B1451">
        <v>2353</v>
      </c>
      <c r="C1451" t="s">
        <v>251</v>
      </c>
      <c r="D1451">
        <v>5220</v>
      </c>
      <c r="E1451" t="s">
        <v>401</v>
      </c>
      <c r="F1451" s="4">
        <v>93222</v>
      </c>
      <c r="G1451" s="4">
        <v>0</v>
      </c>
      <c r="H1451" s="4">
        <v>0</v>
      </c>
      <c r="I1451" s="4">
        <v>0</v>
      </c>
      <c r="J1451" s="4">
        <v>93222</v>
      </c>
    </row>
    <row r="1452" spans="1:10" x14ac:dyDescent="0.75">
      <c r="A1452" t="s">
        <v>163</v>
      </c>
      <c r="B1452">
        <v>2365</v>
      </c>
      <c r="C1452" t="s">
        <v>241</v>
      </c>
      <c r="D1452">
        <v>6522</v>
      </c>
      <c r="E1452" t="s">
        <v>393</v>
      </c>
      <c r="F1452" s="4">
        <v>551642</v>
      </c>
      <c r="G1452" s="4">
        <v>0</v>
      </c>
      <c r="H1452" s="4">
        <v>0</v>
      </c>
      <c r="I1452" s="4">
        <v>0</v>
      </c>
      <c r="J1452" s="4">
        <v>551642</v>
      </c>
    </row>
    <row r="1453" spans="1:10" x14ac:dyDescent="0.75">
      <c r="A1453" t="s">
        <v>163</v>
      </c>
      <c r="B1453">
        <v>2365</v>
      </c>
      <c r="C1453" t="s">
        <v>241</v>
      </c>
      <c r="D1453">
        <v>6344</v>
      </c>
      <c r="E1453" t="s">
        <v>392</v>
      </c>
      <c r="F1453" s="4">
        <v>409032</v>
      </c>
      <c r="G1453" s="4">
        <v>0</v>
      </c>
      <c r="H1453" s="4">
        <v>0</v>
      </c>
      <c r="I1453" s="4">
        <v>0</v>
      </c>
      <c r="J1453" s="4">
        <v>409032</v>
      </c>
    </row>
    <row r="1454" spans="1:10" x14ac:dyDescent="0.75">
      <c r="A1454" t="s">
        <v>163</v>
      </c>
      <c r="B1454">
        <v>2365</v>
      </c>
      <c r="C1454" t="s">
        <v>241</v>
      </c>
      <c r="D1454">
        <v>6442</v>
      </c>
      <c r="E1454" t="s">
        <v>472</v>
      </c>
      <c r="F1454" s="4">
        <v>167412</v>
      </c>
      <c r="G1454" s="4">
        <v>0</v>
      </c>
      <c r="H1454" s="4">
        <v>0</v>
      </c>
      <c r="I1454" s="4">
        <v>0</v>
      </c>
      <c r="J1454" s="4">
        <v>167412</v>
      </c>
    </row>
    <row r="1455" spans="1:10" x14ac:dyDescent="0.75">
      <c r="A1455" t="s">
        <v>163</v>
      </c>
      <c r="B1455">
        <v>2365</v>
      </c>
      <c r="C1455" t="s">
        <v>241</v>
      </c>
      <c r="D1455">
        <v>3110</v>
      </c>
      <c r="E1455" t="s">
        <v>405</v>
      </c>
      <c r="F1455" s="4">
        <v>153889</v>
      </c>
      <c r="G1455" s="4">
        <v>0</v>
      </c>
      <c r="H1455" s="4">
        <v>0</v>
      </c>
      <c r="I1455" s="4">
        <v>0</v>
      </c>
      <c r="J1455" s="4">
        <v>153889</v>
      </c>
    </row>
    <row r="1456" spans="1:10" x14ac:dyDescent="0.75">
      <c r="A1456" t="s">
        <v>163</v>
      </c>
      <c r="B1456">
        <v>2365</v>
      </c>
      <c r="C1456" t="s">
        <v>241</v>
      </c>
      <c r="D1456">
        <v>3130</v>
      </c>
      <c r="E1456" t="s">
        <v>407</v>
      </c>
      <c r="F1456" s="4">
        <v>64713</v>
      </c>
      <c r="G1456" s="4">
        <v>0</v>
      </c>
      <c r="H1456" s="4">
        <v>0</v>
      </c>
      <c r="I1456" s="4">
        <v>0</v>
      </c>
      <c r="J1456" s="4">
        <v>64713</v>
      </c>
    </row>
    <row r="1457" spans="1:10" x14ac:dyDescent="0.75">
      <c r="A1457" t="s">
        <v>163</v>
      </c>
      <c r="B1457">
        <v>2365</v>
      </c>
      <c r="C1457" t="s">
        <v>241</v>
      </c>
      <c r="D1457">
        <v>4331</v>
      </c>
      <c r="E1457" t="s">
        <v>390</v>
      </c>
      <c r="F1457" s="4">
        <v>59470</v>
      </c>
      <c r="G1457" s="4">
        <v>0</v>
      </c>
      <c r="H1457" s="4">
        <v>0</v>
      </c>
      <c r="I1457" s="4">
        <v>0</v>
      </c>
      <c r="J1457" s="4">
        <v>59470</v>
      </c>
    </row>
    <row r="1458" spans="1:10" x14ac:dyDescent="0.75">
      <c r="A1458" t="s">
        <v>163</v>
      </c>
      <c r="B1458">
        <v>2365</v>
      </c>
      <c r="C1458" t="s">
        <v>241</v>
      </c>
      <c r="D1458">
        <v>6447</v>
      </c>
      <c r="E1458" t="s">
        <v>475</v>
      </c>
      <c r="F1458" s="4">
        <v>42013</v>
      </c>
      <c r="G1458" s="4">
        <v>0</v>
      </c>
      <c r="H1458" s="4">
        <v>0</v>
      </c>
      <c r="I1458" s="4">
        <v>0</v>
      </c>
      <c r="J1458" s="4">
        <v>42013</v>
      </c>
    </row>
    <row r="1459" spans="1:10" x14ac:dyDescent="0.75">
      <c r="A1459" t="s">
        <v>163</v>
      </c>
      <c r="B1459">
        <v>2365</v>
      </c>
      <c r="C1459" t="s">
        <v>241</v>
      </c>
      <c r="D1459">
        <v>3190</v>
      </c>
      <c r="E1459" t="s">
        <v>408</v>
      </c>
      <c r="F1459" s="4">
        <v>26596</v>
      </c>
      <c r="G1459" s="4">
        <v>0</v>
      </c>
      <c r="H1459" s="4">
        <v>0</v>
      </c>
      <c r="I1459" s="4">
        <v>0</v>
      </c>
      <c r="J1459" s="4">
        <v>26596</v>
      </c>
    </row>
    <row r="1460" spans="1:10" x14ac:dyDescent="0.75">
      <c r="A1460" t="s">
        <v>163</v>
      </c>
      <c r="B1460">
        <v>2365</v>
      </c>
      <c r="C1460" t="s">
        <v>241</v>
      </c>
      <c r="D1460">
        <v>6241</v>
      </c>
      <c r="E1460" t="s">
        <v>391</v>
      </c>
      <c r="F1460" s="4">
        <v>26212</v>
      </c>
      <c r="G1460" s="4">
        <v>0</v>
      </c>
      <c r="H1460" s="4">
        <v>0</v>
      </c>
      <c r="I1460" s="4">
        <v>0</v>
      </c>
      <c r="J1460" s="4">
        <v>26212</v>
      </c>
    </row>
    <row r="1461" spans="1:10" x14ac:dyDescent="0.75">
      <c r="A1461" t="s">
        <v>163</v>
      </c>
      <c r="B1461">
        <v>2365</v>
      </c>
      <c r="C1461" t="s">
        <v>241</v>
      </c>
      <c r="D1461">
        <v>4322</v>
      </c>
      <c r="E1461" t="s">
        <v>398</v>
      </c>
      <c r="F1461" s="4">
        <v>24802</v>
      </c>
      <c r="G1461" s="4">
        <v>0</v>
      </c>
      <c r="H1461" s="4">
        <v>0</v>
      </c>
      <c r="I1461" s="4">
        <v>0</v>
      </c>
      <c r="J1461" s="4">
        <v>24802</v>
      </c>
    </row>
    <row r="1462" spans="1:10" x14ac:dyDescent="0.75">
      <c r="A1462" t="s">
        <v>163</v>
      </c>
      <c r="B1462">
        <v>2365</v>
      </c>
      <c r="C1462" t="s">
        <v>241</v>
      </c>
      <c r="D1462">
        <v>3120</v>
      </c>
      <c r="E1462" t="s">
        <v>406</v>
      </c>
      <c r="F1462" s="4">
        <v>22205</v>
      </c>
      <c r="G1462" s="4">
        <v>0</v>
      </c>
      <c r="H1462" s="4">
        <v>0</v>
      </c>
      <c r="I1462" s="4">
        <v>0</v>
      </c>
      <c r="J1462" s="4">
        <v>22205</v>
      </c>
    </row>
    <row r="1463" spans="1:10" x14ac:dyDescent="0.75">
      <c r="A1463" t="s">
        <v>163</v>
      </c>
      <c r="B1463">
        <v>2329</v>
      </c>
      <c r="C1463" t="s">
        <v>230</v>
      </c>
      <c r="D1463">
        <v>4650</v>
      </c>
      <c r="E1463" t="s">
        <v>457</v>
      </c>
      <c r="F1463" s="4">
        <v>542621</v>
      </c>
      <c r="G1463" s="4">
        <v>0</v>
      </c>
      <c r="H1463" s="4">
        <v>0</v>
      </c>
      <c r="I1463" s="4">
        <v>0</v>
      </c>
      <c r="J1463" s="4">
        <v>542621</v>
      </c>
    </row>
    <row r="1464" spans="1:10" x14ac:dyDescent="0.75">
      <c r="A1464" t="s">
        <v>163</v>
      </c>
      <c r="B1464">
        <v>2329</v>
      </c>
      <c r="C1464" t="s">
        <v>230</v>
      </c>
      <c r="D1464">
        <v>6344</v>
      </c>
      <c r="E1464" t="s">
        <v>392</v>
      </c>
      <c r="F1464" s="4">
        <v>529075</v>
      </c>
      <c r="G1464" s="4">
        <v>0</v>
      </c>
      <c r="H1464" s="4">
        <v>0</v>
      </c>
      <c r="I1464" s="4">
        <v>0</v>
      </c>
      <c r="J1464" s="4">
        <v>529075</v>
      </c>
    </row>
    <row r="1465" spans="1:10" x14ac:dyDescent="0.75">
      <c r="A1465" t="s">
        <v>163</v>
      </c>
      <c r="B1465">
        <v>2329</v>
      </c>
      <c r="C1465" t="s">
        <v>230</v>
      </c>
      <c r="D1465">
        <v>6522</v>
      </c>
      <c r="E1465" t="s">
        <v>393</v>
      </c>
      <c r="F1465" s="4">
        <v>236010</v>
      </c>
      <c r="G1465" s="4">
        <v>0</v>
      </c>
      <c r="H1465" s="4">
        <v>0</v>
      </c>
      <c r="I1465" s="4">
        <v>0</v>
      </c>
      <c r="J1465" s="4">
        <v>236010</v>
      </c>
    </row>
    <row r="1466" spans="1:10" x14ac:dyDescent="0.75">
      <c r="A1466" t="s">
        <v>163</v>
      </c>
      <c r="B1466">
        <v>2329</v>
      </c>
      <c r="C1466" t="s">
        <v>230</v>
      </c>
      <c r="D1466">
        <v>4331</v>
      </c>
      <c r="E1466" t="s">
        <v>390</v>
      </c>
      <c r="F1466" s="4">
        <v>145621</v>
      </c>
      <c r="G1466" s="4">
        <v>0</v>
      </c>
      <c r="H1466" s="4">
        <v>0</v>
      </c>
      <c r="I1466" s="4">
        <v>0</v>
      </c>
      <c r="J1466" s="4">
        <v>145621</v>
      </c>
    </row>
    <row r="1467" spans="1:10" x14ac:dyDescent="0.75">
      <c r="A1467" t="s">
        <v>163</v>
      </c>
      <c r="B1467">
        <v>2329</v>
      </c>
      <c r="C1467" t="s">
        <v>230</v>
      </c>
      <c r="D1467">
        <v>4322</v>
      </c>
      <c r="E1467" t="s">
        <v>398</v>
      </c>
      <c r="F1467" s="4">
        <v>85908</v>
      </c>
      <c r="G1467" s="4">
        <v>0</v>
      </c>
      <c r="H1467" s="4">
        <v>0</v>
      </c>
      <c r="I1467" s="4">
        <v>0</v>
      </c>
      <c r="J1467" s="4">
        <v>85908</v>
      </c>
    </row>
    <row r="1468" spans="1:10" x14ac:dyDescent="0.75">
      <c r="A1468" t="s">
        <v>163</v>
      </c>
      <c r="B1468">
        <v>2329</v>
      </c>
      <c r="C1468" t="s">
        <v>230</v>
      </c>
      <c r="D1468">
        <v>1200</v>
      </c>
      <c r="E1468" t="s">
        <v>402</v>
      </c>
      <c r="F1468" s="4">
        <v>83211</v>
      </c>
      <c r="G1468" s="4">
        <v>0</v>
      </c>
      <c r="H1468" s="4">
        <v>0</v>
      </c>
      <c r="I1468" s="4">
        <v>0</v>
      </c>
      <c r="J1468" s="4">
        <v>83211</v>
      </c>
    </row>
    <row r="1469" spans="1:10" x14ac:dyDescent="0.75">
      <c r="A1469" t="s">
        <v>163</v>
      </c>
      <c r="B1469">
        <v>2329</v>
      </c>
      <c r="C1469" t="s">
        <v>230</v>
      </c>
      <c r="D1469">
        <v>3130</v>
      </c>
      <c r="E1469" t="s">
        <v>407</v>
      </c>
      <c r="F1469" s="4">
        <v>51887</v>
      </c>
      <c r="G1469" s="4">
        <v>0</v>
      </c>
      <c r="H1469" s="4">
        <v>0</v>
      </c>
      <c r="I1469" s="4">
        <v>0</v>
      </c>
      <c r="J1469" s="4">
        <v>51887</v>
      </c>
    </row>
    <row r="1470" spans="1:10" x14ac:dyDescent="0.75">
      <c r="A1470" t="s">
        <v>163</v>
      </c>
      <c r="B1470">
        <v>2329</v>
      </c>
      <c r="C1470" t="s">
        <v>230</v>
      </c>
      <c r="D1470">
        <v>4860</v>
      </c>
      <c r="E1470" t="s">
        <v>400</v>
      </c>
      <c r="F1470" s="4">
        <v>50929</v>
      </c>
      <c r="G1470" s="4">
        <v>0</v>
      </c>
      <c r="H1470" s="4">
        <v>0</v>
      </c>
      <c r="I1470" s="4">
        <v>0</v>
      </c>
      <c r="J1470" s="4">
        <v>50929</v>
      </c>
    </row>
    <row r="1471" spans="1:10" x14ac:dyDescent="0.75">
      <c r="A1471" t="s">
        <v>163</v>
      </c>
      <c r="B1471">
        <v>2329</v>
      </c>
      <c r="C1471" t="s">
        <v>230</v>
      </c>
      <c r="D1471">
        <v>3110</v>
      </c>
      <c r="E1471" t="s">
        <v>405</v>
      </c>
      <c r="F1471" s="4">
        <v>48106</v>
      </c>
      <c r="G1471" s="4">
        <v>0</v>
      </c>
      <c r="H1471" s="4">
        <v>0</v>
      </c>
      <c r="I1471" s="4">
        <v>0</v>
      </c>
      <c r="J1471" s="4">
        <v>48106</v>
      </c>
    </row>
    <row r="1472" spans="1:10" x14ac:dyDescent="0.75">
      <c r="A1472" t="s">
        <v>163</v>
      </c>
      <c r="B1472">
        <v>2329</v>
      </c>
      <c r="C1472" t="s">
        <v>230</v>
      </c>
      <c r="D1472">
        <v>3273</v>
      </c>
      <c r="E1472" t="s">
        <v>411</v>
      </c>
      <c r="F1472" s="4">
        <v>40000</v>
      </c>
      <c r="G1472" s="4">
        <v>0</v>
      </c>
      <c r="H1472" s="4">
        <v>0</v>
      </c>
      <c r="I1472" s="4">
        <v>0</v>
      </c>
      <c r="J1472" s="4">
        <v>40000</v>
      </c>
    </row>
    <row r="1473" spans="1:10" x14ac:dyDescent="0.75">
      <c r="A1473" t="s">
        <v>163</v>
      </c>
      <c r="B1473">
        <v>2329</v>
      </c>
      <c r="C1473" t="s">
        <v>230</v>
      </c>
      <c r="D1473">
        <v>6241</v>
      </c>
      <c r="E1473" t="s">
        <v>391</v>
      </c>
      <c r="F1473" s="4">
        <v>37392</v>
      </c>
      <c r="G1473" s="4">
        <v>0</v>
      </c>
      <c r="H1473" s="4">
        <v>0</v>
      </c>
      <c r="I1473" s="4">
        <v>0</v>
      </c>
      <c r="J1473" s="4">
        <v>37392</v>
      </c>
    </row>
    <row r="1474" spans="1:10" x14ac:dyDescent="0.75">
      <c r="A1474" t="s">
        <v>163</v>
      </c>
      <c r="B1474">
        <v>2329</v>
      </c>
      <c r="C1474" t="s">
        <v>230</v>
      </c>
      <c r="D1474">
        <v>1100</v>
      </c>
      <c r="E1474" t="s">
        <v>397</v>
      </c>
      <c r="F1474" s="4">
        <v>34873</v>
      </c>
      <c r="G1474" s="4">
        <v>0</v>
      </c>
      <c r="H1474" s="4">
        <v>0</v>
      </c>
      <c r="I1474" s="4">
        <v>0</v>
      </c>
      <c r="J1474" s="4">
        <v>34873</v>
      </c>
    </row>
    <row r="1475" spans="1:10" x14ac:dyDescent="0.75">
      <c r="A1475" t="s">
        <v>163</v>
      </c>
      <c r="B1475">
        <v>2329</v>
      </c>
      <c r="C1475" t="s">
        <v>230</v>
      </c>
      <c r="D1475">
        <v>3190</v>
      </c>
      <c r="E1475" t="s">
        <v>408</v>
      </c>
      <c r="F1475" s="4">
        <v>32188</v>
      </c>
      <c r="G1475" s="4">
        <v>0</v>
      </c>
      <c r="H1475" s="4">
        <v>0</v>
      </c>
      <c r="I1475" s="4">
        <v>0</v>
      </c>
      <c r="J1475" s="4">
        <v>32188</v>
      </c>
    </row>
    <row r="1476" spans="1:10" x14ac:dyDescent="0.75">
      <c r="A1476" t="s">
        <v>163</v>
      </c>
      <c r="B1476">
        <v>2329</v>
      </c>
      <c r="C1476" t="s">
        <v>230</v>
      </c>
      <c r="D1476">
        <v>4323</v>
      </c>
      <c r="E1476" t="s">
        <v>373</v>
      </c>
      <c r="F1476" s="4">
        <v>29060</v>
      </c>
      <c r="G1476" s="4">
        <v>0</v>
      </c>
      <c r="H1476" s="4">
        <v>0</v>
      </c>
      <c r="I1476" s="4">
        <v>0</v>
      </c>
      <c r="J1476" s="4">
        <v>29060</v>
      </c>
    </row>
    <row r="1477" spans="1:10" x14ac:dyDescent="0.75">
      <c r="A1477" t="s">
        <v>163</v>
      </c>
      <c r="B1477">
        <v>2329</v>
      </c>
      <c r="C1477" t="s">
        <v>230</v>
      </c>
      <c r="D1477">
        <v>5360</v>
      </c>
      <c r="E1477" t="s">
        <v>465</v>
      </c>
      <c r="F1477" s="4">
        <v>26160</v>
      </c>
      <c r="G1477" s="4">
        <v>0</v>
      </c>
      <c r="H1477" s="4">
        <v>0</v>
      </c>
      <c r="I1477" s="4">
        <v>0</v>
      </c>
      <c r="J1477" s="4">
        <v>26160</v>
      </c>
    </row>
    <row r="1478" spans="1:10" x14ac:dyDescent="0.75">
      <c r="A1478" t="s">
        <v>163</v>
      </c>
      <c r="B1478">
        <v>2329</v>
      </c>
      <c r="C1478" t="s">
        <v>230</v>
      </c>
      <c r="D1478">
        <v>4782</v>
      </c>
      <c r="E1478" t="s">
        <v>414</v>
      </c>
      <c r="F1478" s="4">
        <v>14595</v>
      </c>
      <c r="G1478" s="4">
        <v>0</v>
      </c>
      <c r="H1478" s="4">
        <v>0</v>
      </c>
      <c r="I1478" s="4">
        <v>0</v>
      </c>
      <c r="J1478" s="4">
        <v>14595</v>
      </c>
    </row>
    <row r="1479" spans="1:10" x14ac:dyDescent="0.75">
      <c r="A1479" t="s">
        <v>163</v>
      </c>
      <c r="B1479">
        <v>2329</v>
      </c>
      <c r="C1479" t="s">
        <v>230</v>
      </c>
      <c r="D1479">
        <v>3120</v>
      </c>
      <c r="E1479" t="s">
        <v>406</v>
      </c>
      <c r="F1479" s="4">
        <v>12625</v>
      </c>
      <c r="G1479" s="4">
        <v>0</v>
      </c>
      <c r="H1479" s="4">
        <v>0</v>
      </c>
      <c r="I1479" s="4">
        <v>0</v>
      </c>
      <c r="J1479" s="4">
        <v>12625</v>
      </c>
    </row>
    <row r="1480" spans="1:10" x14ac:dyDescent="0.75">
      <c r="A1480" t="s">
        <v>163</v>
      </c>
      <c r="B1480">
        <v>2329</v>
      </c>
      <c r="C1480" t="s">
        <v>230</v>
      </c>
      <c r="D1480">
        <v>6782</v>
      </c>
      <c r="E1480" t="s">
        <v>396</v>
      </c>
      <c r="F1480" s="4">
        <v>6873</v>
      </c>
      <c r="G1480" s="4">
        <v>0</v>
      </c>
      <c r="H1480" s="4">
        <v>0</v>
      </c>
      <c r="I1480" s="4">
        <v>0</v>
      </c>
      <c r="J1480" s="4">
        <v>6873</v>
      </c>
    </row>
    <row r="1481" spans="1:10" x14ac:dyDescent="0.75">
      <c r="A1481" t="s">
        <v>163</v>
      </c>
      <c r="B1481">
        <v>2329</v>
      </c>
      <c r="C1481" t="s">
        <v>230</v>
      </c>
      <c r="D1481">
        <v>2540</v>
      </c>
      <c r="E1481" t="s">
        <v>377</v>
      </c>
      <c r="F1481" s="4">
        <v>6695</v>
      </c>
      <c r="G1481" s="4">
        <v>0</v>
      </c>
      <c r="H1481" s="4">
        <v>0</v>
      </c>
      <c r="I1481" s="4">
        <v>0</v>
      </c>
      <c r="J1481" s="4">
        <v>6695</v>
      </c>
    </row>
    <row r="1482" spans="1:10" x14ac:dyDescent="0.75">
      <c r="A1482" t="s">
        <v>163</v>
      </c>
      <c r="B1482">
        <v>2329</v>
      </c>
      <c r="C1482" t="s">
        <v>230</v>
      </c>
      <c r="D1482">
        <v>5429</v>
      </c>
      <c r="E1482" t="s">
        <v>429</v>
      </c>
      <c r="F1482" s="4">
        <v>4911</v>
      </c>
      <c r="G1482" s="4">
        <v>0</v>
      </c>
      <c r="H1482" s="4">
        <v>0</v>
      </c>
      <c r="I1482" s="4">
        <v>0</v>
      </c>
      <c r="J1482" s="4">
        <v>4911</v>
      </c>
    </row>
    <row r="1483" spans="1:10" x14ac:dyDescent="0.75">
      <c r="A1483" t="s">
        <v>163</v>
      </c>
      <c r="B1483">
        <v>2329</v>
      </c>
      <c r="C1483" t="s">
        <v>230</v>
      </c>
      <c r="D1483">
        <v>2430</v>
      </c>
      <c r="E1483" t="s">
        <v>376</v>
      </c>
      <c r="F1483" s="4">
        <v>3542</v>
      </c>
      <c r="G1483" s="4">
        <v>0</v>
      </c>
      <c r="H1483" s="4">
        <v>0</v>
      </c>
      <c r="I1483" s="4">
        <v>0</v>
      </c>
      <c r="J1483" s="4">
        <v>3542</v>
      </c>
    </row>
    <row r="1484" spans="1:10" x14ac:dyDescent="0.75">
      <c r="A1484" t="s">
        <v>163</v>
      </c>
      <c r="B1484">
        <v>2329</v>
      </c>
      <c r="C1484" t="s">
        <v>230</v>
      </c>
      <c r="D1484">
        <v>5330</v>
      </c>
      <c r="E1484" t="s">
        <v>385</v>
      </c>
      <c r="F1484" s="4">
        <v>3384</v>
      </c>
      <c r="G1484" s="4">
        <v>0</v>
      </c>
      <c r="H1484" s="4">
        <v>0</v>
      </c>
      <c r="I1484" s="4">
        <v>0</v>
      </c>
      <c r="J1484" s="4">
        <v>3384</v>
      </c>
    </row>
    <row r="1485" spans="1:10" x14ac:dyDescent="0.75">
      <c r="A1485" t="s">
        <v>163</v>
      </c>
      <c r="B1485">
        <v>2329</v>
      </c>
      <c r="C1485" t="s">
        <v>230</v>
      </c>
      <c r="D1485">
        <v>5390</v>
      </c>
      <c r="E1485" t="s">
        <v>418</v>
      </c>
      <c r="F1485" s="4">
        <v>2951</v>
      </c>
      <c r="G1485" s="4">
        <v>0</v>
      </c>
      <c r="H1485" s="4">
        <v>0</v>
      </c>
      <c r="I1485" s="4">
        <v>0</v>
      </c>
      <c r="J1485" s="4">
        <v>2951</v>
      </c>
    </row>
    <row r="1486" spans="1:10" x14ac:dyDescent="0.75">
      <c r="A1486" t="s">
        <v>163</v>
      </c>
      <c r="B1486">
        <v>2329</v>
      </c>
      <c r="C1486" t="s">
        <v>230</v>
      </c>
      <c r="D1486">
        <v>3275</v>
      </c>
      <c r="E1486" t="s">
        <v>412</v>
      </c>
      <c r="F1486" s="4">
        <v>1658</v>
      </c>
      <c r="G1486" s="4">
        <v>0</v>
      </c>
      <c r="H1486" s="4">
        <v>0</v>
      </c>
      <c r="I1486" s="4">
        <v>0</v>
      </c>
      <c r="J1486" s="4">
        <v>1658</v>
      </c>
    </row>
    <row r="1487" spans="1:10" x14ac:dyDescent="0.75">
      <c r="A1487" t="s">
        <v>163</v>
      </c>
      <c r="B1487">
        <v>2329</v>
      </c>
      <c r="C1487" t="s">
        <v>230</v>
      </c>
      <c r="D1487">
        <v>4420</v>
      </c>
      <c r="E1487" t="s">
        <v>381</v>
      </c>
      <c r="F1487" s="4">
        <v>1438</v>
      </c>
      <c r="G1487" s="4">
        <v>0</v>
      </c>
      <c r="H1487" s="4">
        <v>0</v>
      </c>
      <c r="I1487" s="4">
        <v>0</v>
      </c>
      <c r="J1487" s="4">
        <v>1438</v>
      </c>
    </row>
    <row r="1488" spans="1:10" x14ac:dyDescent="0.75">
      <c r="A1488" t="s">
        <v>163</v>
      </c>
      <c r="B1488">
        <v>2329</v>
      </c>
      <c r="C1488" t="s">
        <v>230</v>
      </c>
      <c r="D1488">
        <v>5422</v>
      </c>
      <c r="E1488" t="s">
        <v>468</v>
      </c>
      <c r="F1488" s="4">
        <v>1400</v>
      </c>
      <c r="G1488" s="4">
        <v>0</v>
      </c>
      <c r="H1488" s="4">
        <v>0</v>
      </c>
      <c r="I1488" s="4">
        <v>0</v>
      </c>
      <c r="J1488" s="4">
        <v>1400</v>
      </c>
    </row>
    <row r="1489" spans="1:10" x14ac:dyDescent="0.75">
      <c r="A1489" t="s">
        <v>163</v>
      </c>
      <c r="B1489">
        <v>2304</v>
      </c>
      <c r="C1489" t="s">
        <v>245</v>
      </c>
      <c r="D1489">
        <v>6344</v>
      </c>
      <c r="E1489" t="s">
        <v>392</v>
      </c>
      <c r="F1489" s="4">
        <v>481193</v>
      </c>
      <c r="G1489" s="4">
        <v>0</v>
      </c>
      <c r="H1489" s="4">
        <v>0</v>
      </c>
      <c r="I1489" s="4">
        <v>0</v>
      </c>
      <c r="J1489" s="4">
        <v>481193</v>
      </c>
    </row>
    <row r="1490" spans="1:10" x14ac:dyDescent="0.75">
      <c r="A1490" t="s">
        <v>163</v>
      </c>
      <c r="B1490">
        <v>2304</v>
      </c>
      <c r="C1490" t="s">
        <v>245</v>
      </c>
      <c r="D1490">
        <v>6522</v>
      </c>
      <c r="E1490" t="s">
        <v>393</v>
      </c>
      <c r="F1490" s="4">
        <v>466036</v>
      </c>
      <c r="G1490" s="4">
        <v>0</v>
      </c>
      <c r="H1490" s="4">
        <v>0</v>
      </c>
      <c r="I1490" s="4">
        <v>0</v>
      </c>
      <c r="J1490" s="4">
        <v>466036</v>
      </c>
    </row>
    <row r="1491" spans="1:10" x14ac:dyDescent="0.75">
      <c r="A1491" t="s">
        <v>163</v>
      </c>
      <c r="B1491">
        <v>2304</v>
      </c>
      <c r="C1491" t="s">
        <v>245</v>
      </c>
      <c r="D1491">
        <v>6241</v>
      </c>
      <c r="E1491" t="s">
        <v>391</v>
      </c>
      <c r="F1491" s="4">
        <v>99163</v>
      </c>
      <c r="G1491" s="4">
        <v>0</v>
      </c>
      <c r="H1491" s="4">
        <v>0</v>
      </c>
      <c r="I1491" s="4">
        <v>0</v>
      </c>
      <c r="J1491" s="4">
        <v>99163</v>
      </c>
    </row>
    <row r="1492" spans="1:10" x14ac:dyDescent="0.75">
      <c r="A1492" t="s">
        <v>163</v>
      </c>
      <c r="B1492">
        <v>2304</v>
      </c>
      <c r="C1492" t="s">
        <v>245</v>
      </c>
      <c r="D1492">
        <v>6782</v>
      </c>
      <c r="E1492" t="s">
        <v>396</v>
      </c>
      <c r="F1492" s="4">
        <v>50896</v>
      </c>
      <c r="G1492" s="4">
        <v>0</v>
      </c>
      <c r="H1492" s="4">
        <v>0</v>
      </c>
      <c r="I1492" s="4">
        <v>0</v>
      </c>
      <c r="J1492" s="4">
        <v>50896</v>
      </c>
    </row>
    <row r="1493" spans="1:10" x14ac:dyDescent="0.75">
      <c r="A1493" t="s">
        <v>163</v>
      </c>
      <c r="B1493">
        <v>2304</v>
      </c>
      <c r="C1493" t="s">
        <v>245</v>
      </c>
      <c r="D1493">
        <v>4782</v>
      </c>
      <c r="E1493" t="s">
        <v>414</v>
      </c>
      <c r="F1493" s="4">
        <v>44346</v>
      </c>
      <c r="G1493" s="4">
        <v>0</v>
      </c>
      <c r="H1493" s="4">
        <v>0</v>
      </c>
      <c r="I1493" s="4">
        <v>0</v>
      </c>
      <c r="J1493" s="4">
        <v>44346</v>
      </c>
    </row>
    <row r="1494" spans="1:10" x14ac:dyDescent="0.75">
      <c r="A1494" t="s">
        <v>163</v>
      </c>
      <c r="B1494">
        <v>2304</v>
      </c>
      <c r="C1494" t="s">
        <v>245</v>
      </c>
      <c r="D1494">
        <v>3110</v>
      </c>
      <c r="E1494" t="s">
        <v>405</v>
      </c>
      <c r="F1494" s="4">
        <v>21337</v>
      </c>
      <c r="G1494" s="4">
        <v>0</v>
      </c>
      <c r="H1494" s="4">
        <v>0</v>
      </c>
      <c r="I1494" s="4">
        <v>0</v>
      </c>
      <c r="J1494" s="4">
        <v>21337</v>
      </c>
    </row>
    <row r="1495" spans="1:10" x14ac:dyDescent="0.75">
      <c r="A1495" t="s">
        <v>163</v>
      </c>
      <c r="B1495">
        <v>2304</v>
      </c>
      <c r="C1495" t="s">
        <v>245</v>
      </c>
      <c r="D1495">
        <v>1200</v>
      </c>
      <c r="E1495" t="s">
        <v>402</v>
      </c>
      <c r="F1495" s="4">
        <v>19196</v>
      </c>
      <c r="G1495" s="4">
        <v>0</v>
      </c>
      <c r="H1495" s="4">
        <v>0</v>
      </c>
      <c r="I1495" s="4">
        <v>0</v>
      </c>
      <c r="J1495" s="4">
        <v>19196</v>
      </c>
    </row>
    <row r="1496" spans="1:10" x14ac:dyDescent="0.75">
      <c r="A1496" t="s">
        <v>163</v>
      </c>
      <c r="B1496">
        <v>2304</v>
      </c>
      <c r="C1496" t="s">
        <v>245</v>
      </c>
      <c r="D1496">
        <v>5330</v>
      </c>
      <c r="E1496" t="s">
        <v>385</v>
      </c>
      <c r="F1496" s="4">
        <v>17668</v>
      </c>
      <c r="G1496" s="4">
        <v>0</v>
      </c>
      <c r="H1496" s="4">
        <v>0</v>
      </c>
      <c r="I1496" s="4">
        <v>0</v>
      </c>
      <c r="J1496" s="4">
        <v>17668</v>
      </c>
    </row>
    <row r="1497" spans="1:10" x14ac:dyDescent="0.75">
      <c r="A1497" t="s">
        <v>163</v>
      </c>
      <c r="B1497">
        <v>2304</v>
      </c>
      <c r="C1497" t="s">
        <v>245</v>
      </c>
      <c r="D1497">
        <v>5390</v>
      </c>
      <c r="E1497" t="s">
        <v>418</v>
      </c>
      <c r="F1497" s="4">
        <v>14183</v>
      </c>
      <c r="G1497" s="4">
        <v>0</v>
      </c>
      <c r="H1497" s="4">
        <v>0</v>
      </c>
      <c r="I1497" s="4">
        <v>0</v>
      </c>
      <c r="J1497" s="4">
        <v>14183</v>
      </c>
    </row>
    <row r="1498" spans="1:10" x14ac:dyDescent="0.75">
      <c r="A1498" t="s">
        <v>163</v>
      </c>
      <c r="B1498">
        <v>2304</v>
      </c>
      <c r="C1498" t="s">
        <v>245</v>
      </c>
      <c r="D1498">
        <v>3190</v>
      </c>
      <c r="E1498" t="s">
        <v>408</v>
      </c>
      <c r="F1498" s="4">
        <v>12402</v>
      </c>
      <c r="G1498" s="4">
        <v>0</v>
      </c>
      <c r="H1498" s="4">
        <v>0</v>
      </c>
      <c r="I1498" s="4">
        <v>0</v>
      </c>
      <c r="J1498" s="4">
        <v>12402</v>
      </c>
    </row>
    <row r="1499" spans="1:10" x14ac:dyDescent="0.75">
      <c r="A1499" t="s">
        <v>163</v>
      </c>
      <c r="B1499">
        <v>2304</v>
      </c>
      <c r="C1499" t="s">
        <v>245</v>
      </c>
      <c r="D1499">
        <v>6590</v>
      </c>
      <c r="E1499" t="s">
        <v>394</v>
      </c>
      <c r="F1499" s="4">
        <v>9805</v>
      </c>
      <c r="G1499" s="4">
        <v>0</v>
      </c>
      <c r="H1499" s="4">
        <v>0</v>
      </c>
      <c r="I1499" s="4">
        <v>0</v>
      </c>
      <c r="J1499" s="4">
        <v>9805</v>
      </c>
    </row>
    <row r="1500" spans="1:10" x14ac:dyDescent="0.75">
      <c r="A1500" t="s">
        <v>163</v>
      </c>
      <c r="B1500">
        <v>2304</v>
      </c>
      <c r="C1500" t="s">
        <v>245</v>
      </c>
      <c r="D1500">
        <v>5360</v>
      </c>
      <c r="E1500" t="s">
        <v>465</v>
      </c>
      <c r="F1500" s="4">
        <v>4873</v>
      </c>
      <c r="G1500" s="4">
        <v>0</v>
      </c>
      <c r="H1500" s="4">
        <v>0</v>
      </c>
      <c r="I1500" s="4">
        <v>0</v>
      </c>
      <c r="J1500" s="4">
        <v>4873</v>
      </c>
    </row>
    <row r="1501" spans="1:10" x14ac:dyDescent="0.75">
      <c r="A1501" t="s">
        <v>163</v>
      </c>
      <c r="B1501">
        <v>2304</v>
      </c>
      <c r="C1501" t="s">
        <v>245</v>
      </c>
      <c r="D1501">
        <v>4420</v>
      </c>
      <c r="E1501" t="s">
        <v>381</v>
      </c>
      <c r="F1501" s="4">
        <v>4807</v>
      </c>
      <c r="G1501" s="4">
        <v>0</v>
      </c>
      <c r="H1501" s="4">
        <v>0</v>
      </c>
      <c r="I1501" s="4">
        <v>0</v>
      </c>
      <c r="J1501" s="4">
        <v>4807</v>
      </c>
    </row>
    <row r="1502" spans="1:10" x14ac:dyDescent="0.75">
      <c r="A1502" t="s">
        <v>163</v>
      </c>
      <c r="B1502">
        <v>2304</v>
      </c>
      <c r="C1502" t="s">
        <v>245</v>
      </c>
      <c r="D1502">
        <v>6654</v>
      </c>
      <c r="E1502" t="s">
        <v>419</v>
      </c>
      <c r="F1502" s="4">
        <v>4245</v>
      </c>
      <c r="G1502" s="4">
        <v>0</v>
      </c>
      <c r="H1502" s="4">
        <v>0</v>
      </c>
      <c r="I1502" s="4">
        <v>0</v>
      </c>
      <c r="J1502" s="4">
        <v>4245</v>
      </c>
    </row>
    <row r="1503" spans="1:10" x14ac:dyDescent="0.75">
      <c r="A1503" t="s">
        <v>163</v>
      </c>
      <c r="B1503">
        <v>2304</v>
      </c>
      <c r="C1503" t="s">
        <v>245</v>
      </c>
      <c r="D1503">
        <v>4322</v>
      </c>
      <c r="E1503" t="s">
        <v>398</v>
      </c>
      <c r="F1503" s="4">
        <v>1964</v>
      </c>
      <c r="G1503" s="4">
        <v>0</v>
      </c>
      <c r="H1503" s="4">
        <v>0</v>
      </c>
      <c r="I1503" s="4">
        <v>0</v>
      </c>
      <c r="J1503" s="4">
        <v>1964</v>
      </c>
    </row>
    <row r="1504" spans="1:10" x14ac:dyDescent="0.75">
      <c r="A1504" t="s">
        <v>163</v>
      </c>
      <c r="B1504">
        <v>2304</v>
      </c>
      <c r="C1504" t="s">
        <v>245</v>
      </c>
      <c r="D1504">
        <v>3120</v>
      </c>
      <c r="E1504" t="s">
        <v>406</v>
      </c>
      <c r="F1504" s="4">
        <v>1603</v>
      </c>
      <c r="G1504" s="4">
        <v>0</v>
      </c>
      <c r="H1504" s="4">
        <v>0</v>
      </c>
      <c r="I1504" s="4">
        <v>0</v>
      </c>
      <c r="J1504" s="4">
        <v>1603</v>
      </c>
    </row>
    <row r="1505" spans="1:10" x14ac:dyDescent="0.75">
      <c r="A1505" t="s">
        <v>163</v>
      </c>
      <c r="B1505">
        <v>2304</v>
      </c>
      <c r="C1505" t="s">
        <v>245</v>
      </c>
      <c r="D1505">
        <v>3130</v>
      </c>
      <c r="E1505" t="s">
        <v>407</v>
      </c>
      <c r="F1505" s="4">
        <v>1559</v>
      </c>
      <c r="G1505" s="4">
        <v>0</v>
      </c>
      <c r="H1505" s="4">
        <v>0</v>
      </c>
      <c r="I1505" s="4">
        <v>0</v>
      </c>
      <c r="J1505" s="4">
        <v>1559</v>
      </c>
    </row>
    <row r="1506" spans="1:10" x14ac:dyDescent="0.75">
      <c r="A1506" t="s">
        <v>151</v>
      </c>
      <c r="B1506">
        <v>4400</v>
      </c>
      <c r="C1506" t="s">
        <v>62</v>
      </c>
      <c r="D1506">
        <v>7800</v>
      </c>
      <c r="E1506" t="s">
        <v>507</v>
      </c>
      <c r="F1506" s="4">
        <v>1744575</v>
      </c>
      <c r="G1506" s="4">
        <v>0</v>
      </c>
      <c r="H1506" s="4">
        <v>0</v>
      </c>
      <c r="I1506" s="4">
        <v>0</v>
      </c>
      <c r="J1506" s="4">
        <v>1744575</v>
      </c>
    </row>
    <row r="1507" spans="1:10" x14ac:dyDescent="0.75">
      <c r="A1507" t="s">
        <v>151</v>
      </c>
      <c r="B1507">
        <v>4400</v>
      </c>
      <c r="C1507" t="s">
        <v>62</v>
      </c>
      <c r="D1507">
        <v>7210</v>
      </c>
      <c r="E1507" t="s">
        <v>426</v>
      </c>
      <c r="F1507" s="4">
        <v>161930</v>
      </c>
      <c r="G1507" s="4">
        <v>0</v>
      </c>
      <c r="H1507" s="4">
        <v>0</v>
      </c>
      <c r="I1507" s="4">
        <v>0</v>
      </c>
      <c r="J1507" s="4">
        <v>161930</v>
      </c>
    </row>
    <row r="1508" spans="1:10" x14ac:dyDescent="0.75">
      <c r="A1508" t="s">
        <v>151</v>
      </c>
      <c r="B1508">
        <v>4400</v>
      </c>
      <c r="C1508" t="s">
        <v>62</v>
      </c>
      <c r="D1508">
        <v>2330</v>
      </c>
      <c r="E1508" t="s">
        <v>368</v>
      </c>
      <c r="F1508" s="4">
        <v>149791</v>
      </c>
      <c r="G1508" s="4">
        <v>0</v>
      </c>
      <c r="H1508" s="4">
        <v>0</v>
      </c>
      <c r="I1508" s="4">
        <v>0</v>
      </c>
      <c r="J1508" s="4">
        <v>149791</v>
      </c>
    </row>
    <row r="1509" spans="1:10" x14ac:dyDescent="0.75">
      <c r="A1509" t="s">
        <v>151</v>
      </c>
      <c r="B1509">
        <v>4400</v>
      </c>
      <c r="C1509" t="s">
        <v>62</v>
      </c>
      <c r="D1509">
        <v>2211</v>
      </c>
      <c r="E1509" t="s">
        <v>367</v>
      </c>
      <c r="F1509" s="4">
        <v>119025</v>
      </c>
      <c r="G1509" s="4">
        <v>0</v>
      </c>
      <c r="H1509" s="4">
        <v>0</v>
      </c>
      <c r="I1509" s="4">
        <v>0</v>
      </c>
      <c r="J1509" s="4">
        <v>119025</v>
      </c>
    </row>
    <row r="1510" spans="1:10" x14ac:dyDescent="0.75">
      <c r="A1510" t="s">
        <v>151</v>
      </c>
      <c r="B1510">
        <v>4400</v>
      </c>
      <c r="C1510" t="s">
        <v>62</v>
      </c>
      <c r="D1510">
        <v>7900</v>
      </c>
      <c r="E1510" t="s">
        <v>388</v>
      </c>
      <c r="F1510" s="4">
        <v>91052</v>
      </c>
      <c r="G1510" s="4">
        <v>0</v>
      </c>
      <c r="H1510" s="4">
        <v>0</v>
      </c>
      <c r="I1510" s="4">
        <v>0</v>
      </c>
      <c r="J1510" s="4">
        <v>91052</v>
      </c>
    </row>
    <row r="1511" spans="1:10" x14ac:dyDescent="0.75">
      <c r="A1511" t="s">
        <v>151</v>
      </c>
      <c r="B1511">
        <v>4400</v>
      </c>
      <c r="C1511" t="s">
        <v>62</v>
      </c>
      <c r="D1511">
        <v>2340</v>
      </c>
      <c r="E1511" t="s">
        <v>369</v>
      </c>
      <c r="F1511" s="4">
        <v>61516</v>
      </c>
      <c r="G1511" s="4">
        <v>0</v>
      </c>
      <c r="H1511" s="4">
        <v>0</v>
      </c>
      <c r="I1511" s="4">
        <v>0</v>
      </c>
      <c r="J1511" s="4">
        <v>61516</v>
      </c>
    </row>
    <row r="1512" spans="1:10" x14ac:dyDescent="0.75">
      <c r="A1512" t="s">
        <v>151</v>
      </c>
      <c r="B1512">
        <v>4400</v>
      </c>
      <c r="C1512" t="s">
        <v>62</v>
      </c>
      <c r="D1512">
        <v>2221</v>
      </c>
      <c r="E1512" t="s">
        <v>374</v>
      </c>
      <c r="F1512" s="4">
        <v>39396</v>
      </c>
      <c r="G1512" s="4">
        <v>0</v>
      </c>
      <c r="H1512" s="4">
        <v>0</v>
      </c>
      <c r="I1512" s="4">
        <v>0</v>
      </c>
      <c r="J1512" s="4">
        <v>39396</v>
      </c>
    </row>
    <row r="1513" spans="1:10" x14ac:dyDescent="0.75">
      <c r="A1513" t="s">
        <v>151</v>
      </c>
      <c r="B1513">
        <v>4400</v>
      </c>
      <c r="C1513" t="s">
        <v>62</v>
      </c>
      <c r="D1513">
        <v>2640</v>
      </c>
      <c r="E1513" t="s">
        <v>431</v>
      </c>
      <c r="F1513" s="4">
        <v>5106</v>
      </c>
      <c r="G1513" s="4">
        <v>32077</v>
      </c>
      <c r="H1513" s="4">
        <v>32077</v>
      </c>
      <c r="I1513" s="4">
        <v>0</v>
      </c>
      <c r="J1513" s="4">
        <v>37183</v>
      </c>
    </row>
    <row r="1514" spans="1:10" x14ac:dyDescent="0.75">
      <c r="A1514" t="s">
        <v>151</v>
      </c>
      <c r="B1514">
        <v>4400</v>
      </c>
      <c r="C1514" t="s">
        <v>62</v>
      </c>
      <c r="D1514">
        <v>5220</v>
      </c>
      <c r="E1514" t="s">
        <v>401</v>
      </c>
      <c r="F1514" s="4">
        <v>16043</v>
      </c>
      <c r="G1514" s="4">
        <v>0</v>
      </c>
      <c r="H1514" s="4">
        <v>0</v>
      </c>
      <c r="I1514" s="4">
        <v>0</v>
      </c>
      <c r="J1514" s="4">
        <v>16043</v>
      </c>
    </row>
    <row r="1515" spans="1:10" x14ac:dyDescent="0.75">
      <c r="A1515" t="s">
        <v>151</v>
      </c>
      <c r="B1515">
        <v>4400</v>
      </c>
      <c r="C1515" t="s">
        <v>62</v>
      </c>
      <c r="D1515">
        <v>6889</v>
      </c>
      <c r="E1515" t="s">
        <v>420</v>
      </c>
      <c r="F1515" s="4">
        <v>1278</v>
      </c>
      <c r="G1515" s="4">
        <v>12896</v>
      </c>
      <c r="H1515" s="4">
        <v>12896</v>
      </c>
      <c r="I1515" s="4">
        <v>0</v>
      </c>
      <c r="J1515" s="4">
        <v>14174</v>
      </c>
    </row>
    <row r="1516" spans="1:10" x14ac:dyDescent="0.75">
      <c r="A1516" t="s">
        <v>151</v>
      </c>
      <c r="B1516">
        <v>4400</v>
      </c>
      <c r="C1516" t="s">
        <v>62</v>
      </c>
      <c r="D1516">
        <v>3220</v>
      </c>
      <c r="E1516" t="s">
        <v>370</v>
      </c>
      <c r="F1516" s="4">
        <v>13754</v>
      </c>
      <c r="G1516" s="4">
        <v>0</v>
      </c>
      <c r="H1516" s="4">
        <v>0</v>
      </c>
      <c r="I1516" s="4">
        <v>0</v>
      </c>
      <c r="J1516" s="4">
        <v>13754</v>
      </c>
    </row>
    <row r="1517" spans="1:10" x14ac:dyDescent="0.75">
      <c r="A1517" t="s">
        <v>151</v>
      </c>
      <c r="B1517">
        <v>4400</v>
      </c>
      <c r="C1517" t="s">
        <v>62</v>
      </c>
      <c r="D1517">
        <v>3299</v>
      </c>
      <c r="E1517" t="s">
        <v>448</v>
      </c>
      <c r="F1517" s="4">
        <v>176</v>
      </c>
      <c r="G1517" s="4">
        <v>12781</v>
      </c>
      <c r="H1517" s="4">
        <v>12781</v>
      </c>
      <c r="I1517" s="4">
        <v>0</v>
      </c>
      <c r="J1517" s="4">
        <v>12957</v>
      </c>
    </row>
    <row r="1518" spans="1:10" x14ac:dyDescent="0.75">
      <c r="A1518" t="s">
        <v>151</v>
      </c>
      <c r="B1518">
        <v>4400</v>
      </c>
      <c r="C1518" t="s">
        <v>62</v>
      </c>
      <c r="D1518">
        <v>6887</v>
      </c>
      <c r="E1518" t="s">
        <v>505</v>
      </c>
      <c r="F1518" s="4">
        <v>10673</v>
      </c>
      <c r="G1518" s="4">
        <v>0</v>
      </c>
      <c r="H1518" s="4">
        <v>0</v>
      </c>
      <c r="I1518" s="4">
        <v>0</v>
      </c>
      <c r="J1518" s="4">
        <v>10673</v>
      </c>
    </row>
    <row r="1519" spans="1:10" x14ac:dyDescent="0.75">
      <c r="A1519" t="s">
        <v>151</v>
      </c>
      <c r="B1519">
        <v>4400</v>
      </c>
      <c r="C1519" t="s">
        <v>62</v>
      </c>
      <c r="D1519">
        <v>9900</v>
      </c>
      <c r="E1519" t="s">
        <v>389</v>
      </c>
      <c r="F1519" s="4">
        <v>0</v>
      </c>
      <c r="G1519" s="4">
        <v>3757</v>
      </c>
      <c r="H1519" s="4">
        <v>3757</v>
      </c>
      <c r="I1519" s="4">
        <v>0</v>
      </c>
      <c r="J1519" s="4">
        <v>3757</v>
      </c>
    </row>
    <row r="1520" spans="1:10" x14ac:dyDescent="0.75">
      <c r="A1520" t="s">
        <v>151</v>
      </c>
      <c r="B1520">
        <v>4400</v>
      </c>
      <c r="C1520" t="s">
        <v>62</v>
      </c>
      <c r="D1520">
        <v>2429</v>
      </c>
      <c r="E1520" t="s">
        <v>375</v>
      </c>
      <c r="F1520" s="4">
        <v>3228</v>
      </c>
      <c r="G1520" s="4">
        <v>0</v>
      </c>
      <c r="H1520" s="4">
        <v>0</v>
      </c>
      <c r="I1520" s="4">
        <v>0</v>
      </c>
      <c r="J1520" s="4">
        <v>3228</v>
      </c>
    </row>
    <row r="1521" spans="1:10" x14ac:dyDescent="0.75">
      <c r="A1521" t="s">
        <v>151</v>
      </c>
      <c r="B1521">
        <v>4400</v>
      </c>
      <c r="C1521" t="s">
        <v>62</v>
      </c>
      <c r="D1521">
        <v>5480</v>
      </c>
      <c r="E1521" t="s">
        <v>386</v>
      </c>
      <c r="F1521" s="4">
        <v>2504</v>
      </c>
      <c r="G1521" s="4">
        <v>0</v>
      </c>
      <c r="H1521" s="4">
        <v>0</v>
      </c>
      <c r="I1521" s="4">
        <v>0</v>
      </c>
      <c r="J1521" s="4">
        <v>2504</v>
      </c>
    </row>
    <row r="1522" spans="1:10" x14ac:dyDescent="0.75">
      <c r="A1522" t="s">
        <v>151</v>
      </c>
      <c r="B1522">
        <v>4400</v>
      </c>
      <c r="C1522" t="s">
        <v>62</v>
      </c>
      <c r="D1522">
        <v>5540</v>
      </c>
      <c r="E1522" t="s">
        <v>469</v>
      </c>
      <c r="F1522" s="4">
        <v>1153</v>
      </c>
      <c r="G1522" s="4">
        <v>0</v>
      </c>
      <c r="H1522" s="4">
        <v>0</v>
      </c>
      <c r="I1522" s="4">
        <v>0</v>
      </c>
      <c r="J1522" s="4">
        <v>1153</v>
      </c>
    </row>
    <row r="1523" spans="1:10" x14ac:dyDescent="0.75">
      <c r="A1523" t="s">
        <v>151</v>
      </c>
      <c r="B1523">
        <v>4400</v>
      </c>
      <c r="C1523" t="s">
        <v>62</v>
      </c>
      <c r="D1523">
        <v>4189</v>
      </c>
      <c r="E1523" t="s">
        <v>451</v>
      </c>
      <c r="F1523" s="4">
        <v>534</v>
      </c>
      <c r="G1523" s="4">
        <v>0</v>
      </c>
      <c r="H1523" s="4">
        <v>0</v>
      </c>
      <c r="I1523" s="4">
        <v>0</v>
      </c>
      <c r="J1523" s="4">
        <v>534</v>
      </c>
    </row>
    <row r="1524" spans="1:10" x14ac:dyDescent="0.75">
      <c r="A1524" t="s">
        <v>151</v>
      </c>
      <c r="B1524">
        <v>4400</v>
      </c>
      <c r="C1524" t="s">
        <v>62</v>
      </c>
      <c r="D1524">
        <v>4420</v>
      </c>
      <c r="E1524" t="s">
        <v>381</v>
      </c>
      <c r="F1524" s="4">
        <v>520</v>
      </c>
      <c r="G1524" s="4">
        <v>0</v>
      </c>
      <c r="H1524" s="4">
        <v>0</v>
      </c>
      <c r="I1524" s="4">
        <v>0</v>
      </c>
      <c r="J1524" s="4">
        <v>520</v>
      </c>
    </row>
    <row r="1525" spans="1:10" x14ac:dyDescent="0.75">
      <c r="A1525" t="s">
        <v>151</v>
      </c>
      <c r="B1525">
        <v>4400</v>
      </c>
      <c r="C1525" t="s">
        <v>62</v>
      </c>
      <c r="D1525">
        <v>5370</v>
      </c>
      <c r="E1525" t="s">
        <v>466</v>
      </c>
      <c r="F1525" s="4">
        <v>268</v>
      </c>
      <c r="G1525" s="4">
        <v>0</v>
      </c>
      <c r="H1525" s="4">
        <v>0</v>
      </c>
      <c r="I1525" s="4">
        <v>0</v>
      </c>
      <c r="J1525" s="4">
        <v>268</v>
      </c>
    </row>
    <row r="1526" spans="1:10" x14ac:dyDescent="0.75">
      <c r="A1526" t="s">
        <v>151</v>
      </c>
      <c r="B1526">
        <v>4400</v>
      </c>
      <c r="C1526" t="s">
        <v>62</v>
      </c>
      <c r="D1526">
        <v>7400</v>
      </c>
      <c r="E1526" t="s">
        <v>502</v>
      </c>
      <c r="F1526" s="4">
        <v>201</v>
      </c>
      <c r="G1526" s="4">
        <v>0</v>
      </c>
      <c r="H1526" s="4">
        <v>0</v>
      </c>
      <c r="I1526" s="4">
        <v>0</v>
      </c>
      <c r="J1526" s="4">
        <v>201</v>
      </c>
    </row>
    <row r="1527" spans="1:10" x14ac:dyDescent="0.75">
      <c r="A1527" t="s">
        <v>151</v>
      </c>
      <c r="B1527">
        <v>4400</v>
      </c>
      <c r="C1527" t="s">
        <v>62</v>
      </c>
      <c r="D1527">
        <v>5290</v>
      </c>
      <c r="E1527" t="s">
        <v>415</v>
      </c>
      <c r="F1527" s="4">
        <v>150</v>
      </c>
      <c r="G1527" s="4">
        <v>0</v>
      </c>
      <c r="H1527" s="4">
        <v>0</v>
      </c>
      <c r="I1527" s="4">
        <v>0</v>
      </c>
      <c r="J1527" s="4">
        <v>150</v>
      </c>
    </row>
    <row r="1528" spans="1:10" x14ac:dyDescent="0.75">
      <c r="A1528" t="s">
        <v>151</v>
      </c>
      <c r="B1528">
        <v>4400</v>
      </c>
      <c r="C1528" t="s">
        <v>62</v>
      </c>
      <c r="D1528">
        <v>6885</v>
      </c>
      <c r="E1528" t="s">
        <v>493</v>
      </c>
      <c r="F1528" s="4">
        <v>64</v>
      </c>
      <c r="G1528" s="4">
        <v>0</v>
      </c>
      <c r="H1528" s="4">
        <v>0</v>
      </c>
      <c r="I1528" s="4">
        <v>0</v>
      </c>
      <c r="J1528" s="4">
        <v>64</v>
      </c>
    </row>
    <row r="1529" spans="1:10" x14ac:dyDescent="0.75">
      <c r="A1529" t="s">
        <v>151</v>
      </c>
      <c r="B1529">
        <v>4400</v>
      </c>
      <c r="C1529" t="s">
        <v>62</v>
      </c>
      <c r="D1529">
        <v>5240</v>
      </c>
      <c r="E1529" t="s">
        <v>464</v>
      </c>
      <c r="F1529" s="4">
        <v>62</v>
      </c>
      <c r="G1529" s="4">
        <v>0</v>
      </c>
      <c r="H1529" s="4">
        <v>0</v>
      </c>
      <c r="I1529" s="4">
        <v>0</v>
      </c>
      <c r="J1529" s="4">
        <v>62</v>
      </c>
    </row>
    <row r="1530" spans="1:10" x14ac:dyDescent="0.75">
      <c r="A1530" t="s">
        <v>151</v>
      </c>
      <c r="B1530">
        <v>4400</v>
      </c>
      <c r="C1530" t="s">
        <v>62</v>
      </c>
      <c r="D1530">
        <v>6839</v>
      </c>
      <c r="E1530" t="s">
        <v>485</v>
      </c>
      <c r="F1530" s="4">
        <v>45</v>
      </c>
      <c r="G1530" s="4">
        <v>0</v>
      </c>
      <c r="H1530" s="4">
        <v>0</v>
      </c>
      <c r="I1530" s="4">
        <v>0</v>
      </c>
      <c r="J1530" s="4">
        <v>45</v>
      </c>
    </row>
    <row r="1531" spans="1:10" x14ac:dyDescent="0.75">
      <c r="A1531" t="s">
        <v>151</v>
      </c>
      <c r="B1531">
        <v>4400</v>
      </c>
      <c r="C1531" t="s">
        <v>62</v>
      </c>
      <c r="D1531">
        <v>3190</v>
      </c>
      <c r="E1531" t="s">
        <v>408</v>
      </c>
      <c r="F1531" s="4">
        <v>27</v>
      </c>
      <c r="G1531" s="4">
        <v>0</v>
      </c>
      <c r="H1531" s="4">
        <v>0</v>
      </c>
      <c r="I1531" s="4">
        <v>0</v>
      </c>
      <c r="J1531" s="4">
        <v>27</v>
      </c>
    </row>
    <row r="1532" spans="1:10" x14ac:dyDescent="0.75">
      <c r="A1532" t="s">
        <v>160</v>
      </c>
      <c r="B1532">
        <v>3721</v>
      </c>
      <c r="C1532" t="s">
        <v>274</v>
      </c>
      <c r="D1532">
        <v>4322</v>
      </c>
      <c r="E1532" t="s">
        <v>398</v>
      </c>
      <c r="F1532" s="4">
        <v>238361</v>
      </c>
      <c r="G1532" s="4">
        <v>22046</v>
      </c>
      <c r="H1532" s="4">
        <v>0</v>
      </c>
      <c r="I1532" s="4">
        <v>22046</v>
      </c>
      <c r="J1532" s="4">
        <v>260407</v>
      </c>
    </row>
    <row r="1533" spans="1:10" x14ac:dyDescent="0.75">
      <c r="A1533" t="s">
        <v>160</v>
      </c>
      <c r="B1533">
        <v>3721</v>
      </c>
      <c r="C1533" t="s">
        <v>274</v>
      </c>
      <c r="D1533">
        <v>4331</v>
      </c>
      <c r="E1533" t="s">
        <v>390</v>
      </c>
      <c r="F1533" s="4">
        <v>0</v>
      </c>
      <c r="G1533" s="4">
        <v>168891</v>
      </c>
      <c r="H1533" s="4">
        <v>168891</v>
      </c>
      <c r="I1533" s="4">
        <v>0</v>
      </c>
      <c r="J1533" s="4">
        <v>168891</v>
      </c>
    </row>
    <row r="1534" spans="1:10" x14ac:dyDescent="0.75">
      <c r="A1534" t="s">
        <v>160</v>
      </c>
      <c r="B1534">
        <v>3721</v>
      </c>
      <c r="C1534" t="s">
        <v>274</v>
      </c>
      <c r="D1534">
        <v>4420</v>
      </c>
      <c r="E1534" t="s">
        <v>381</v>
      </c>
      <c r="F1534" s="4">
        <v>147561</v>
      </c>
      <c r="G1534" s="4">
        <v>0</v>
      </c>
      <c r="H1534" s="4">
        <v>0</v>
      </c>
      <c r="I1534" s="4">
        <v>0</v>
      </c>
      <c r="J1534" s="4">
        <v>147561</v>
      </c>
    </row>
    <row r="1535" spans="1:10" x14ac:dyDescent="0.75">
      <c r="A1535" t="s">
        <v>160</v>
      </c>
      <c r="B1535">
        <v>3721</v>
      </c>
      <c r="C1535" t="s">
        <v>274</v>
      </c>
      <c r="D1535">
        <v>4860</v>
      </c>
      <c r="E1535" t="s">
        <v>400</v>
      </c>
      <c r="F1535" s="4">
        <v>13974</v>
      </c>
      <c r="G1535" s="4">
        <v>0</v>
      </c>
      <c r="H1535" s="4">
        <v>0</v>
      </c>
      <c r="I1535" s="4">
        <v>0</v>
      </c>
      <c r="J1535" s="4">
        <v>13974</v>
      </c>
    </row>
    <row r="1536" spans="1:10" x14ac:dyDescent="0.75">
      <c r="A1536" t="s">
        <v>160</v>
      </c>
      <c r="B1536">
        <v>3721</v>
      </c>
      <c r="C1536" t="s">
        <v>274</v>
      </c>
      <c r="D1536">
        <v>5290</v>
      </c>
      <c r="E1536" t="s">
        <v>415</v>
      </c>
      <c r="F1536" s="4">
        <v>0</v>
      </c>
      <c r="G1536" s="4">
        <v>114</v>
      </c>
      <c r="H1536" s="4">
        <v>114</v>
      </c>
      <c r="I1536" s="4">
        <v>0</v>
      </c>
      <c r="J1536" s="4">
        <v>114</v>
      </c>
    </row>
    <row r="1537" spans="1:10" x14ac:dyDescent="0.75">
      <c r="A1537" t="s">
        <v>151</v>
      </c>
      <c r="B1537">
        <v>4830</v>
      </c>
      <c r="C1537" t="s">
        <v>145</v>
      </c>
      <c r="D1537">
        <v>2221</v>
      </c>
      <c r="E1537" t="s">
        <v>374</v>
      </c>
      <c r="F1537" s="4">
        <v>8479</v>
      </c>
      <c r="G1537" s="4">
        <v>291491</v>
      </c>
      <c r="H1537" s="4">
        <v>291491</v>
      </c>
      <c r="I1537" s="4">
        <v>0</v>
      </c>
      <c r="J1537" s="4">
        <v>299970</v>
      </c>
    </row>
    <row r="1538" spans="1:10" x14ac:dyDescent="0.75">
      <c r="A1538" t="s">
        <v>151</v>
      </c>
      <c r="B1538">
        <v>4830</v>
      </c>
      <c r="C1538" t="s">
        <v>145</v>
      </c>
      <c r="D1538">
        <v>2330</v>
      </c>
      <c r="E1538" t="s">
        <v>368</v>
      </c>
      <c r="F1538" s="4">
        <v>23232</v>
      </c>
      <c r="G1538" s="4">
        <v>0</v>
      </c>
      <c r="H1538" s="4">
        <v>0</v>
      </c>
      <c r="I1538" s="4">
        <v>0</v>
      </c>
      <c r="J1538" s="4">
        <v>23232</v>
      </c>
    </row>
    <row r="1539" spans="1:10" x14ac:dyDescent="0.75">
      <c r="A1539" t="s">
        <v>151</v>
      </c>
      <c r="B1539">
        <v>4830</v>
      </c>
      <c r="C1539" t="s">
        <v>145</v>
      </c>
      <c r="D1539">
        <v>2211</v>
      </c>
      <c r="E1539" t="s">
        <v>367</v>
      </c>
      <c r="F1539" s="4">
        <v>7647</v>
      </c>
      <c r="G1539" s="4">
        <v>0</v>
      </c>
      <c r="H1539" s="4">
        <v>0</v>
      </c>
      <c r="I1539" s="4">
        <v>0</v>
      </c>
      <c r="J1539" s="4">
        <v>7647</v>
      </c>
    </row>
    <row r="1540" spans="1:10" x14ac:dyDescent="0.75">
      <c r="A1540" t="s">
        <v>151</v>
      </c>
      <c r="B1540">
        <v>4830</v>
      </c>
      <c r="C1540" t="s">
        <v>145</v>
      </c>
      <c r="D1540">
        <v>5480</v>
      </c>
      <c r="E1540" t="s">
        <v>386</v>
      </c>
      <c r="F1540" s="4">
        <v>0</v>
      </c>
      <c r="G1540" s="4">
        <v>11</v>
      </c>
      <c r="H1540" s="4">
        <v>11</v>
      </c>
      <c r="I1540" s="4">
        <v>0</v>
      </c>
      <c r="J1540" s="4">
        <v>11</v>
      </c>
    </row>
    <row r="1541" spans="1:10" x14ac:dyDescent="0.75">
      <c r="A1541" t="s">
        <v>151</v>
      </c>
      <c r="B1541">
        <v>4421</v>
      </c>
      <c r="C1541" t="s">
        <v>22</v>
      </c>
      <c r="D1541">
        <v>7800</v>
      </c>
      <c r="E1541" t="s">
        <v>507</v>
      </c>
      <c r="F1541" s="4">
        <v>7863526</v>
      </c>
      <c r="G1541" s="4">
        <v>0</v>
      </c>
      <c r="H1541" s="4">
        <v>0</v>
      </c>
      <c r="I1541" s="4">
        <v>0</v>
      </c>
      <c r="J1541" s="4">
        <v>7863526</v>
      </c>
    </row>
    <row r="1542" spans="1:10" x14ac:dyDescent="0.75">
      <c r="A1542" t="s">
        <v>151</v>
      </c>
      <c r="B1542">
        <v>4421</v>
      </c>
      <c r="C1542" t="s">
        <v>22</v>
      </c>
      <c r="D1542">
        <v>7900</v>
      </c>
      <c r="E1542" t="s">
        <v>388</v>
      </c>
      <c r="F1542" s="4">
        <v>2728484</v>
      </c>
      <c r="G1542" s="4">
        <v>34122</v>
      </c>
      <c r="H1542" s="4">
        <v>32343</v>
      </c>
      <c r="I1542" s="4">
        <v>1779</v>
      </c>
      <c r="J1542" s="4">
        <v>2762606</v>
      </c>
    </row>
    <row r="1543" spans="1:10" x14ac:dyDescent="0.75">
      <c r="A1543" t="s">
        <v>151</v>
      </c>
      <c r="B1543">
        <v>4421</v>
      </c>
      <c r="C1543" t="s">
        <v>22</v>
      </c>
      <c r="D1543">
        <v>7210</v>
      </c>
      <c r="E1543" t="s">
        <v>426</v>
      </c>
      <c r="F1543" s="4">
        <v>636088</v>
      </c>
      <c r="G1543" s="4">
        <v>29992</v>
      </c>
      <c r="H1543" s="4">
        <v>27524</v>
      </c>
      <c r="I1543" s="4">
        <v>2468</v>
      </c>
      <c r="J1543" s="4">
        <v>666080</v>
      </c>
    </row>
    <row r="1544" spans="1:10" x14ac:dyDescent="0.75">
      <c r="A1544" t="s">
        <v>151</v>
      </c>
      <c r="B1544">
        <v>4421</v>
      </c>
      <c r="C1544" t="s">
        <v>22</v>
      </c>
      <c r="D1544">
        <v>6889</v>
      </c>
      <c r="E1544" t="s">
        <v>420</v>
      </c>
      <c r="F1544" s="4">
        <v>523491</v>
      </c>
      <c r="G1544" s="4">
        <v>13883</v>
      </c>
      <c r="H1544" s="4">
        <v>10780</v>
      </c>
      <c r="I1544" s="4">
        <v>3103</v>
      </c>
      <c r="J1544" s="4">
        <v>537374</v>
      </c>
    </row>
    <row r="1545" spans="1:10" x14ac:dyDescent="0.75">
      <c r="A1545" t="s">
        <v>151</v>
      </c>
      <c r="B1545">
        <v>4421</v>
      </c>
      <c r="C1545" t="s">
        <v>22</v>
      </c>
      <c r="D1545">
        <v>2221</v>
      </c>
      <c r="E1545" t="s">
        <v>374</v>
      </c>
      <c r="F1545" s="4">
        <v>45074</v>
      </c>
      <c r="G1545" s="4">
        <v>311201</v>
      </c>
      <c r="H1545" s="4">
        <v>311201</v>
      </c>
      <c r="I1545" s="4">
        <v>0</v>
      </c>
      <c r="J1545" s="4">
        <v>356275</v>
      </c>
    </row>
    <row r="1546" spans="1:10" x14ac:dyDescent="0.75">
      <c r="A1546" t="s">
        <v>151</v>
      </c>
      <c r="B1546">
        <v>4421</v>
      </c>
      <c r="C1546" t="s">
        <v>22</v>
      </c>
      <c r="D1546">
        <v>2100</v>
      </c>
      <c r="E1546" t="s">
        <v>403</v>
      </c>
      <c r="F1546" s="4">
        <v>0</v>
      </c>
      <c r="G1546" s="4">
        <v>299367</v>
      </c>
      <c r="H1546" s="4">
        <v>299367</v>
      </c>
      <c r="I1546" s="4">
        <v>0</v>
      </c>
      <c r="J1546" s="4">
        <v>299367</v>
      </c>
    </row>
    <row r="1547" spans="1:10" x14ac:dyDescent="0.75">
      <c r="A1547" t="s">
        <v>151</v>
      </c>
      <c r="B1547">
        <v>4421</v>
      </c>
      <c r="C1547" t="s">
        <v>22</v>
      </c>
      <c r="D1547">
        <v>7400</v>
      </c>
      <c r="E1547" t="s">
        <v>502</v>
      </c>
      <c r="F1547" s="4">
        <v>253295</v>
      </c>
      <c r="G1547" s="4">
        <v>3364</v>
      </c>
      <c r="H1547" s="4">
        <v>3358</v>
      </c>
      <c r="I1547" s="4">
        <v>6</v>
      </c>
      <c r="J1547" s="4">
        <v>256659</v>
      </c>
    </row>
    <row r="1548" spans="1:10" x14ac:dyDescent="0.75">
      <c r="A1548" t="s">
        <v>151</v>
      </c>
      <c r="B1548">
        <v>4421</v>
      </c>
      <c r="C1548" t="s">
        <v>22</v>
      </c>
      <c r="D1548">
        <v>4189</v>
      </c>
      <c r="E1548" t="s">
        <v>451</v>
      </c>
      <c r="F1548" s="4">
        <v>181483</v>
      </c>
      <c r="G1548" s="4">
        <v>156</v>
      </c>
      <c r="H1548" s="4">
        <v>156</v>
      </c>
      <c r="I1548" s="4">
        <v>0</v>
      </c>
      <c r="J1548" s="4">
        <v>181639</v>
      </c>
    </row>
    <row r="1549" spans="1:10" x14ac:dyDescent="0.75">
      <c r="A1549" t="s">
        <v>151</v>
      </c>
      <c r="B1549">
        <v>4421</v>
      </c>
      <c r="C1549" t="s">
        <v>22</v>
      </c>
      <c r="D1549">
        <v>6885</v>
      </c>
      <c r="E1549" t="s">
        <v>493</v>
      </c>
      <c r="F1549" s="4">
        <v>170054</v>
      </c>
      <c r="G1549" s="4">
        <v>4126</v>
      </c>
      <c r="H1549" s="4">
        <v>3166</v>
      </c>
      <c r="I1549" s="4">
        <v>960</v>
      </c>
      <c r="J1549" s="4">
        <v>174180</v>
      </c>
    </row>
    <row r="1550" spans="1:10" x14ac:dyDescent="0.75">
      <c r="A1550" t="s">
        <v>151</v>
      </c>
      <c r="B1550">
        <v>4421</v>
      </c>
      <c r="C1550" t="s">
        <v>22</v>
      </c>
      <c r="D1550">
        <v>6654</v>
      </c>
      <c r="E1550" t="s">
        <v>419</v>
      </c>
      <c r="F1550" s="4">
        <v>114962</v>
      </c>
      <c r="G1550" s="4">
        <v>9768</v>
      </c>
      <c r="H1550" s="4">
        <v>8799</v>
      </c>
      <c r="I1550" s="4">
        <v>969</v>
      </c>
      <c r="J1550" s="4">
        <v>124730</v>
      </c>
    </row>
    <row r="1551" spans="1:10" x14ac:dyDescent="0.75">
      <c r="A1551" t="s">
        <v>151</v>
      </c>
      <c r="B1551">
        <v>4421</v>
      </c>
      <c r="C1551" t="s">
        <v>22</v>
      </c>
      <c r="D1551">
        <v>3220</v>
      </c>
      <c r="E1551" t="s">
        <v>370</v>
      </c>
      <c r="F1551" s="4">
        <v>108103</v>
      </c>
      <c r="G1551" s="4">
        <v>374</v>
      </c>
      <c r="H1551" s="4">
        <v>54</v>
      </c>
      <c r="I1551" s="4">
        <v>320</v>
      </c>
      <c r="J1551" s="4">
        <v>108477</v>
      </c>
    </row>
    <row r="1552" spans="1:10" x14ac:dyDescent="0.75">
      <c r="A1552" t="s">
        <v>151</v>
      </c>
      <c r="B1552">
        <v>4421</v>
      </c>
      <c r="C1552" t="s">
        <v>22</v>
      </c>
      <c r="D1552">
        <v>4225</v>
      </c>
      <c r="E1552" t="s">
        <v>380</v>
      </c>
      <c r="F1552" s="4">
        <v>14489</v>
      </c>
      <c r="G1552" s="4">
        <v>89682</v>
      </c>
      <c r="H1552" s="4">
        <v>263</v>
      </c>
      <c r="I1552" s="4">
        <v>89419</v>
      </c>
      <c r="J1552" s="4">
        <v>104171</v>
      </c>
    </row>
    <row r="1553" spans="1:10" x14ac:dyDescent="0.75">
      <c r="A1553" t="s">
        <v>151</v>
      </c>
      <c r="B1553">
        <v>4421</v>
      </c>
      <c r="C1553" t="s">
        <v>22</v>
      </c>
      <c r="D1553">
        <v>7110</v>
      </c>
      <c r="E1553" t="s">
        <v>371</v>
      </c>
      <c r="F1553" s="4">
        <v>90016</v>
      </c>
      <c r="G1553" s="4">
        <v>9946</v>
      </c>
      <c r="H1553" s="4">
        <v>9036</v>
      </c>
      <c r="I1553" s="4">
        <v>910</v>
      </c>
      <c r="J1553" s="4">
        <v>99962</v>
      </c>
    </row>
    <row r="1554" spans="1:10" x14ac:dyDescent="0.75">
      <c r="A1554" t="s">
        <v>151</v>
      </c>
      <c r="B1554">
        <v>4421</v>
      </c>
      <c r="C1554" t="s">
        <v>22</v>
      </c>
      <c r="D1554">
        <v>6782</v>
      </c>
      <c r="E1554" t="s">
        <v>396</v>
      </c>
      <c r="F1554" s="4">
        <v>69040</v>
      </c>
      <c r="G1554" s="4">
        <v>642</v>
      </c>
      <c r="H1554" s="4">
        <v>54</v>
      </c>
      <c r="I1554" s="4">
        <v>588</v>
      </c>
      <c r="J1554" s="4">
        <v>69682</v>
      </c>
    </row>
    <row r="1555" spans="1:10" x14ac:dyDescent="0.75">
      <c r="A1555" t="s">
        <v>151</v>
      </c>
      <c r="B1555">
        <v>4421</v>
      </c>
      <c r="C1555" t="s">
        <v>22</v>
      </c>
      <c r="D1555">
        <v>1100</v>
      </c>
      <c r="E1555" t="s">
        <v>397</v>
      </c>
      <c r="F1555" s="4">
        <v>0</v>
      </c>
      <c r="G1555" s="4">
        <v>61226</v>
      </c>
      <c r="H1555" s="4">
        <v>61226</v>
      </c>
      <c r="I1555" s="4">
        <v>0</v>
      </c>
      <c r="J1555" s="4">
        <v>61226</v>
      </c>
    </row>
    <row r="1556" spans="1:10" x14ac:dyDescent="0.75">
      <c r="A1556" t="s">
        <v>151</v>
      </c>
      <c r="B1556">
        <v>4421</v>
      </c>
      <c r="C1556" t="s">
        <v>22</v>
      </c>
      <c r="D1556">
        <v>4331</v>
      </c>
      <c r="E1556" t="s">
        <v>390</v>
      </c>
      <c r="F1556" s="4">
        <v>19067</v>
      </c>
      <c r="G1556" s="4">
        <v>40920</v>
      </c>
      <c r="H1556" s="4">
        <v>40434</v>
      </c>
      <c r="I1556" s="4">
        <v>486</v>
      </c>
      <c r="J1556" s="4">
        <v>59987</v>
      </c>
    </row>
    <row r="1557" spans="1:10" x14ac:dyDescent="0.75">
      <c r="A1557" t="s">
        <v>151</v>
      </c>
      <c r="B1557">
        <v>4421</v>
      </c>
      <c r="C1557" t="s">
        <v>22</v>
      </c>
      <c r="D1557">
        <v>4420</v>
      </c>
      <c r="E1557" t="s">
        <v>381</v>
      </c>
      <c r="F1557" s="4">
        <v>29416</v>
      </c>
      <c r="G1557" s="4">
        <v>29998</v>
      </c>
      <c r="H1557" s="4">
        <v>29</v>
      </c>
      <c r="I1557" s="4">
        <v>29969</v>
      </c>
      <c r="J1557" s="4">
        <v>59414</v>
      </c>
    </row>
    <row r="1558" spans="1:10" x14ac:dyDescent="0.75">
      <c r="A1558" t="s">
        <v>151</v>
      </c>
      <c r="B1558">
        <v>4421</v>
      </c>
      <c r="C1558" t="s">
        <v>22</v>
      </c>
      <c r="D1558">
        <v>6811</v>
      </c>
      <c r="E1558" t="s">
        <v>480</v>
      </c>
      <c r="F1558" s="4">
        <v>57730</v>
      </c>
      <c r="G1558" s="4">
        <v>1303</v>
      </c>
      <c r="H1558" s="4">
        <v>357</v>
      </c>
      <c r="I1558" s="4">
        <v>946</v>
      </c>
      <c r="J1558" s="4">
        <v>59033</v>
      </c>
    </row>
    <row r="1559" spans="1:10" x14ac:dyDescent="0.75">
      <c r="A1559" t="s">
        <v>151</v>
      </c>
      <c r="B1559">
        <v>4421</v>
      </c>
      <c r="C1559" t="s">
        <v>22</v>
      </c>
      <c r="D1559">
        <v>5290</v>
      </c>
      <c r="E1559" t="s">
        <v>415</v>
      </c>
      <c r="F1559" s="4">
        <v>33111</v>
      </c>
      <c r="G1559" s="4">
        <v>19098</v>
      </c>
      <c r="H1559" s="4">
        <v>18985</v>
      </c>
      <c r="I1559" s="4">
        <v>113</v>
      </c>
      <c r="J1559" s="4">
        <v>52209</v>
      </c>
    </row>
    <row r="1560" spans="1:10" x14ac:dyDescent="0.75">
      <c r="A1560" t="s">
        <v>151</v>
      </c>
      <c r="B1560">
        <v>4421</v>
      </c>
      <c r="C1560" t="s">
        <v>22</v>
      </c>
      <c r="D1560">
        <v>2330</v>
      </c>
      <c r="E1560" t="s">
        <v>368</v>
      </c>
      <c r="F1560" s="4">
        <v>5344</v>
      </c>
      <c r="G1560" s="4">
        <v>46496</v>
      </c>
      <c r="H1560" s="4">
        <v>44905</v>
      </c>
      <c r="I1560" s="4">
        <v>1591</v>
      </c>
      <c r="J1560" s="4">
        <v>51840</v>
      </c>
    </row>
    <row r="1561" spans="1:10" x14ac:dyDescent="0.75">
      <c r="A1561" t="s">
        <v>151</v>
      </c>
      <c r="B1561">
        <v>4421</v>
      </c>
      <c r="C1561" t="s">
        <v>22</v>
      </c>
      <c r="D1561">
        <v>2211</v>
      </c>
      <c r="E1561" t="s">
        <v>367</v>
      </c>
      <c r="F1561" s="4">
        <v>6549</v>
      </c>
      <c r="G1561" s="4">
        <v>44665</v>
      </c>
      <c r="H1561" s="4">
        <v>44665</v>
      </c>
      <c r="I1561" s="4">
        <v>0</v>
      </c>
      <c r="J1561" s="4">
        <v>51214</v>
      </c>
    </row>
    <row r="1562" spans="1:10" x14ac:dyDescent="0.75">
      <c r="A1562" t="s">
        <v>151</v>
      </c>
      <c r="B1562">
        <v>4421</v>
      </c>
      <c r="C1562" t="s">
        <v>22</v>
      </c>
      <c r="D1562">
        <v>2640</v>
      </c>
      <c r="E1562" t="s">
        <v>431</v>
      </c>
      <c r="F1562" s="4">
        <v>48981</v>
      </c>
      <c r="G1562" s="4">
        <v>337</v>
      </c>
      <c r="H1562" s="4">
        <v>336</v>
      </c>
      <c r="I1562" s="4">
        <v>1</v>
      </c>
      <c r="J1562" s="4">
        <v>49318</v>
      </c>
    </row>
    <row r="1563" spans="1:10" x14ac:dyDescent="0.75">
      <c r="A1563" t="s">
        <v>151</v>
      </c>
      <c r="B1563">
        <v>4421</v>
      </c>
      <c r="C1563" t="s">
        <v>22</v>
      </c>
      <c r="D1563">
        <v>5190</v>
      </c>
      <c r="E1563" t="s">
        <v>462</v>
      </c>
      <c r="F1563" s="4">
        <v>43112</v>
      </c>
      <c r="G1563" s="4">
        <v>5332</v>
      </c>
      <c r="H1563" s="4">
        <v>4930</v>
      </c>
      <c r="I1563" s="4">
        <v>402</v>
      </c>
      <c r="J1563" s="4">
        <v>48444</v>
      </c>
    </row>
    <row r="1564" spans="1:10" x14ac:dyDescent="0.75">
      <c r="A1564" t="s">
        <v>151</v>
      </c>
      <c r="B1564">
        <v>4421</v>
      </c>
      <c r="C1564" t="s">
        <v>22</v>
      </c>
      <c r="D1564">
        <v>6899</v>
      </c>
      <c r="E1564" t="s">
        <v>498</v>
      </c>
      <c r="F1564" s="4">
        <v>47570</v>
      </c>
      <c r="G1564" s="4">
        <v>11</v>
      </c>
      <c r="H1564" s="4">
        <v>11</v>
      </c>
      <c r="I1564" s="4">
        <v>0</v>
      </c>
      <c r="J1564" s="4">
        <v>47581</v>
      </c>
    </row>
    <row r="1565" spans="1:10" x14ac:dyDescent="0.75">
      <c r="A1565" t="s">
        <v>151</v>
      </c>
      <c r="B1565">
        <v>4421</v>
      </c>
      <c r="C1565" t="s">
        <v>22</v>
      </c>
      <c r="D1565">
        <v>6887</v>
      </c>
      <c r="E1565" t="s">
        <v>505</v>
      </c>
      <c r="F1565" s="4">
        <v>39948</v>
      </c>
      <c r="G1565" s="4">
        <v>0</v>
      </c>
      <c r="H1565" s="4">
        <v>0</v>
      </c>
      <c r="I1565" s="4">
        <v>0</v>
      </c>
      <c r="J1565" s="4">
        <v>39948</v>
      </c>
    </row>
    <row r="1566" spans="1:10" x14ac:dyDescent="0.75">
      <c r="A1566" t="s">
        <v>151</v>
      </c>
      <c r="B1566">
        <v>4421</v>
      </c>
      <c r="C1566" t="s">
        <v>22</v>
      </c>
      <c r="D1566">
        <v>3190</v>
      </c>
      <c r="E1566" t="s">
        <v>408</v>
      </c>
      <c r="F1566" s="4">
        <v>36649</v>
      </c>
      <c r="G1566" s="4">
        <v>1079</v>
      </c>
      <c r="H1566" s="4">
        <v>1006</v>
      </c>
      <c r="I1566" s="4">
        <v>73</v>
      </c>
      <c r="J1566" s="4">
        <v>37728</v>
      </c>
    </row>
    <row r="1567" spans="1:10" x14ac:dyDescent="0.75">
      <c r="A1567" t="s">
        <v>151</v>
      </c>
      <c r="B1567">
        <v>4421</v>
      </c>
      <c r="C1567" t="s">
        <v>22</v>
      </c>
      <c r="D1567">
        <v>7600</v>
      </c>
      <c r="E1567" t="s">
        <v>503</v>
      </c>
      <c r="F1567" s="4">
        <v>6867</v>
      </c>
      <c r="G1567" s="4">
        <v>29524</v>
      </c>
      <c r="H1567" s="4">
        <v>18855</v>
      </c>
      <c r="I1567" s="4">
        <v>10669</v>
      </c>
      <c r="J1567" s="4">
        <v>36391</v>
      </c>
    </row>
    <row r="1568" spans="1:10" x14ac:dyDescent="0.75">
      <c r="A1568" t="s">
        <v>151</v>
      </c>
      <c r="B1568">
        <v>4421</v>
      </c>
      <c r="C1568" t="s">
        <v>22</v>
      </c>
      <c r="D1568">
        <v>7120</v>
      </c>
      <c r="E1568" t="s">
        <v>499</v>
      </c>
      <c r="F1568" s="4">
        <v>17638</v>
      </c>
      <c r="G1568" s="4">
        <v>17976</v>
      </c>
      <c r="H1568" s="4">
        <v>12309</v>
      </c>
      <c r="I1568" s="4">
        <v>5667</v>
      </c>
      <c r="J1568" s="4">
        <v>35614</v>
      </c>
    </row>
    <row r="1569" spans="1:10" x14ac:dyDescent="0.75">
      <c r="A1569" t="s">
        <v>151</v>
      </c>
      <c r="B1569">
        <v>4421</v>
      </c>
      <c r="C1569" t="s">
        <v>22</v>
      </c>
      <c r="D1569">
        <v>5480</v>
      </c>
      <c r="E1569" t="s">
        <v>386</v>
      </c>
      <c r="F1569" s="4">
        <v>17530</v>
      </c>
      <c r="G1569" s="4">
        <v>14486</v>
      </c>
      <c r="H1569" s="4">
        <v>12624</v>
      </c>
      <c r="I1569" s="4">
        <v>1862</v>
      </c>
      <c r="J1569" s="4">
        <v>32016</v>
      </c>
    </row>
    <row r="1570" spans="1:10" x14ac:dyDescent="0.75">
      <c r="A1570" t="s">
        <v>151</v>
      </c>
      <c r="B1570">
        <v>4421</v>
      </c>
      <c r="C1570" t="s">
        <v>22</v>
      </c>
      <c r="D1570">
        <v>6442</v>
      </c>
      <c r="E1570" t="s">
        <v>472</v>
      </c>
      <c r="F1570" s="4">
        <v>26242</v>
      </c>
      <c r="G1570" s="4">
        <v>4745</v>
      </c>
      <c r="H1570" s="4">
        <v>4745</v>
      </c>
      <c r="I1570" s="4">
        <v>0</v>
      </c>
      <c r="J1570" s="4">
        <v>30987</v>
      </c>
    </row>
    <row r="1571" spans="1:10" x14ac:dyDescent="0.75">
      <c r="A1571" t="s">
        <v>151</v>
      </c>
      <c r="B1571">
        <v>4421</v>
      </c>
      <c r="C1571" t="s">
        <v>22</v>
      </c>
      <c r="D1571">
        <v>5360</v>
      </c>
      <c r="E1571" t="s">
        <v>465</v>
      </c>
      <c r="F1571" s="4">
        <v>29943</v>
      </c>
      <c r="G1571" s="4">
        <v>462</v>
      </c>
      <c r="H1571" s="4">
        <v>459</v>
      </c>
      <c r="I1571" s="4">
        <v>3</v>
      </c>
      <c r="J1571" s="4">
        <v>30405</v>
      </c>
    </row>
    <row r="1572" spans="1:10" x14ac:dyDescent="0.75">
      <c r="A1572" t="s">
        <v>151</v>
      </c>
      <c r="B1572">
        <v>4421</v>
      </c>
      <c r="C1572" t="s">
        <v>22</v>
      </c>
      <c r="D1572">
        <v>5330</v>
      </c>
      <c r="E1572" t="s">
        <v>385</v>
      </c>
      <c r="F1572" s="4">
        <v>29209</v>
      </c>
      <c r="G1572" s="4">
        <v>49</v>
      </c>
      <c r="H1572" s="4">
        <v>49</v>
      </c>
      <c r="I1572" s="4">
        <v>0</v>
      </c>
      <c r="J1572" s="4">
        <v>29258</v>
      </c>
    </row>
    <row r="1573" spans="1:10" x14ac:dyDescent="0.75">
      <c r="A1573" t="s">
        <v>151</v>
      </c>
      <c r="B1573">
        <v>4421</v>
      </c>
      <c r="C1573" t="s">
        <v>22</v>
      </c>
      <c r="D1573">
        <v>6781</v>
      </c>
      <c r="E1573" t="s">
        <v>479</v>
      </c>
      <c r="F1573" s="4">
        <v>28961</v>
      </c>
      <c r="G1573" s="4">
        <v>0</v>
      </c>
      <c r="H1573" s="4">
        <v>0</v>
      </c>
      <c r="I1573" s="4">
        <v>0</v>
      </c>
      <c r="J1573" s="4">
        <v>28961</v>
      </c>
    </row>
    <row r="1574" spans="1:10" x14ac:dyDescent="0.75">
      <c r="A1574" t="s">
        <v>151</v>
      </c>
      <c r="B1574">
        <v>4421</v>
      </c>
      <c r="C1574" t="s">
        <v>22</v>
      </c>
      <c r="D1574">
        <v>5370</v>
      </c>
      <c r="E1574" t="s">
        <v>466</v>
      </c>
      <c r="F1574" s="4">
        <v>23325</v>
      </c>
      <c r="G1574" s="4">
        <v>2903</v>
      </c>
      <c r="H1574" s="4">
        <v>2799</v>
      </c>
      <c r="I1574" s="4">
        <v>104</v>
      </c>
      <c r="J1574" s="4">
        <v>26228</v>
      </c>
    </row>
    <row r="1575" spans="1:10" x14ac:dyDescent="0.75">
      <c r="A1575" t="s">
        <v>151</v>
      </c>
      <c r="B1575">
        <v>4421</v>
      </c>
      <c r="C1575" t="s">
        <v>22</v>
      </c>
      <c r="D1575">
        <v>3299</v>
      </c>
      <c r="E1575" t="s">
        <v>448</v>
      </c>
      <c r="F1575" s="4">
        <v>22610</v>
      </c>
      <c r="G1575" s="4">
        <v>2044</v>
      </c>
      <c r="H1575" s="4">
        <v>332</v>
      </c>
      <c r="I1575" s="4">
        <v>1712</v>
      </c>
      <c r="J1575" s="4">
        <v>24654</v>
      </c>
    </row>
    <row r="1576" spans="1:10" x14ac:dyDescent="0.75">
      <c r="A1576" t="s">
        <v>151</v>
      </c>
      <c r="B1576">
        <v>4421</v>
      </c>
      <c r="C1576" t="s">
        <v>22</v>
      </c>
      <c r="D1576">
        <v>4680</v>
      </c>
      <c r="E1576" t="s">
        <v>459</v>
      </c>
      <c r="F1576" s="4">
        <v>0</v>
      </c>
      <c r="G1576" s="4">
        <v>24212</v>
      </c>
      <c r="H1576" s="4">
        <v>21</v>
      </c>
      <c r="I1576" s="4">
        <v>24191</v>
      </c>
      <c r="J1576" s="4">
        <v>24212</v>
      </c>
    </row>
    <row r="1577" spans="1:10" x14ac:dyDescent="0.75">
      <c r="A1577" t="s">
        <v>151</v>
      </c>
      <c r="B1577">
        <v>4421</v>
      </c>
      <c r="C1577" t="s">
        <v>22</v>
      </c>
      <c r="D1577">
        <v>5540</v>
      </c>
      <c r="E1577" t="s">
        <v>469</v>
      </c>
      <c r="F1577" s="4">
        <v>19399</v>
      </c>
      <c r="G1577" s="4">
        <v>1649</v>
      </c>
      <c r="H1577" s="4">
        <v>1619</v>
      </c>
      <c r="I1577" s="4">
        <v>30</v>
      </c>
      <c r="J1577" s="4">
        <v>21048</v>
      </c>
    </row>
    <row r="1578" spans="1:10" x14ac:dyDescent="0.75">
      <c r="A1578" t="s">
        <v>151</v>
      </c>
      <c r="B1578">
        <v>4421</v>
      </c>
      <c r="C1578" t="s">
        <v>22</v>
      </c>
      <c r="D1578">
        <v>6747</v>
      </c>
      <c r="E1578" t="s">
        <v>478</v>
      </c>
      <c r="F1578" s="4">
        <v>11147</v>
      </c>
      <c r="G1578" s="4">
        <v>7915</v>
      </c>
      <c r="H1578" s="4">
        <v>7099</v>
      </c>
      <c r="I1578" s="4">
        <v>816</v>
      </c>
      <c r="J1578" s="4">
        <v>19062</v>
      </c>
    </row>
    <row r="1579" spans="1:10" x14ac:dyDescent="0.75">
      <c r="A1579" t="s">
        <v>151</v>
      </c>
      <c r="B1579">
        <v>4421</v>
      </c>
      <c r="C1579" t="s">
        <v>22</v>
      </c>
      <c r="D1579">
        <v>6839</v>
      </c>
      <c r="E1579" t="s">
        <v>485</v>
      </c>
      <c r="F1579" s="4">
        <v>17930</v>
      </c>
      <c r="G1579" s="4">
        <v>46</v>
      </c>
      <c r="H1579" s="4">
        <v>16</v>
      </c>
      <c r="I1579" s="4">
        <v>30</v>
      </c>
      <c r="J1579" s="4">
        <v>17976</v>
      </c>
    </row>
    <row r="1580" spans="1:10" x14ac:dyDescent="0.75">
      <c r="A1580" t="s">
        <v>151</v>
      </c>
      <c r="B1580">
        <v>4421</v>
      </c>
      <c r="C1580" t="s">
        <v>22</v>
      </c>
      <c r="D1580">
        <v>6822</v>
      </c>
      <c r="E1580" t="s">
        <v>482</v>
      </c>
      <c r="F1580" s="4">
        <v>5396</v>
      </c>
      <c r="G1580" s="4">
        <v>12129</v>
      </c>
      <c r="H1580" s="4">
        <v>920</v>
      </c>
      <c r="I1580" s="4">
        <v>11209</v>
      </c>
      <c r="J1580" s="4">
        <v>17525</v>
      </c>
    </row>
    <row r="1581" spans="1:10" x14ac:dyDescent="0.75">
      <c r="A1581" t="s">
        <v>151</v>
      </c>
      <c r="B1581">
        <v>4421</v>
      </c>
      <c r="C1581" t="s">
        <v>22</v>
      </c>
      <c r="D1581">
        <v>2350</v>
      </c>
      <c r="E1581" t="s">
        <v>404</v>
      </c>
      <c r="F1581" s="4">
        <v>2101</v>
      </c>
      <c r="G1581" s="4">
        <v>14648</v>
      </c>
      <c r="H1581" s="4">
        <v>7</v>
      </c>
      <c r="I1581" s="4">
        <v>14641</v>
      </c>
      <c r="J1581" s="4">
        <v>16749</v>
      </c>
    </row>
    <row r="1582" spans="1:10" x14ac:dyDescent="0.75">
      <c r="A1582" t="s">
        <v>151</v>
      </c>
      <c r="B1582">
        <v>4421</v>
      </c>
      <c r="C1582" t="s">
        <v>22</v>
      </c>
      <c r="D1582">
        <v>9900</v>
      </c>
      <c r="E1582" t="s">
        <v>389</v>
      </c>
      <c r="F1582" s="4">
        <v>0</v>
      </c>
      <c r="G1582" s="4">
        <v>15187</v>
      </c>
      <c r="H1582" s="4">
        <v>2457</v>
      </c>
      <c r="I1582" s="4">
        <v>12730</v>
      </c>
      <c r="J1582" s="4">
        <v>15187</v>
      </c>
    </row>
    <row r="1583" spans="1:10" x14ac:dyDescent="0.75">
      <c r="A1583" t="s">
        <v>151</v>
      </c>
      <c r="B1583">
        <v>4421</v>
      </c>
      <c r="C1583" t="s">
        <v>22</v>
      </c>
      <c r="D1583">
        <v>6888</v>
      </c>
      <c r="E1583" t="s">
        <v>494</v>
      </c>
      <c r="F1583" s="4">
        <v>0</v>
      </c>
      <c r="G1583" s="4">
        <v>14530</v>
      </c>
      <c r="H1583" s="4">
        <v>131</v>
      </c>
      <c r="I1583" s="4">
        <v>14399</v>
      </c>
      <c r="J1583" s="4">
        <v>14530</v>
      </c>
    </row>
    <row r="1584" spans="1:10" x14ac:dyDescent="0.75">
      <c r="A1584" t="s">
        <v>151</v>
      </c>
      <c r="B1584">
        <v>4421</v>
      </c>
      <c r="C1584" t="s">
        <v>22</v>
      </c>
      <c r="D1584">
        <v>7500</v>
      </c>
      <c r="E1584" t="s">
        <v>427</v>
      </c>
      <c r="F1584" s="4">
        <v>325</v>
      </c>
      <c r="G1584" s="4">
        <v>11448</v>
      </c>
      <c r="H1584" s="4">
        <v>4535</v>
      </c>
      <c r="I1584" s="4">
        <v>6913</v>
      </c>
      <c r="J1584" s="4">
        <v>11773</v>
      </c>
    </row>
    <row r="1585" spans="1:10" x14ac:dyDescent="0.75">
      <c r="A1585" t="s">
        <v>151</v>
      </c>
      <c r="B1585">
        <v>4421</v>
      </c>
      <c r="C1585" t="s">
        <v>22</v>
      </c>
      <c r="D1585">
        <v>6858</v>
      </c>
      <c r="E1585" t="s">
        <v>488</v>
      </c>
      <c r="F1585" s="4">
        <v>2769</v>
      </c>
      <c r="G1585" s="4">
        <v>8164</v>
      </c>
      <c r="H1585" s="4">
        <v>4724</v>
      </c>
      <c r="I1585" s="4">
        <v>3440</v>
      </c>
      <c r="J1585" s="4">
        <v>10933</v>
      </c>
    </row>
    <row r="1586" spans="1:10" x14ac:dyDescent="0.75">
      <c r="A1586" t="s">
        <v>151</v>
      </c>
      <c r="B1586">
        <v>4421</v>
      </c>
      <c r="C1586" t="s">
        <v>22</v>
      </c>
      <c r="D1586">
        <v>3286</v>
      </c>
      <c r="E1586" t="s">
        <v>423</v>
      </c>
      <c r="F1586" s="4">
        <v>150</v>
      </c>
      <c r="G1586" s="4">
        <v>9309</v>
      </c>
      <c r="H1586" s="4">
        <v>4839</v>
      </c>
      <c r="I1586" s="4">
        <v>4470</v>
      </c>
      <c r="J1586" s="4">
        <v>9459</v>
      </c>
    </row>
    <row r="1587" spans="1:10" x14ac:dyDescent="0.75">
      <c r="A1587" t="s">
        <v>151</v>
      </c>
      <c r="B1587">
        <v>4421</v>
      </c>
      <c r="C1587" t="s">
        <v>22</v>
      </c>
      <c r="D1587">
        <v>6134</v>
      </c>
      <c r="E1587" t="s">
        <v>470</v>
      </c>
      <c r="F1587" s="4">
        <v>207</v>
      </c>
      <c r="G1587" s="4">
        <v>8629</v>
      </c>
      <c r="H1587" s="4">
        <v>8538</v>
      </c>
      <c r="I1587" s="4">
        <v>91</v>
      </c>
      <c r="J1587" s="4">
        <v>8836</v>
      </c>
    </row>
    <row r="1588" spans="1:10" x14ac:dyDescent="0.75">
      <c r="A1588" t="s">
        <v>151</v>
      </c>
      <c r="B1588">
        <v>4421</v>
      </c>
      <c r="C1588" t="s">
        <v>22</v>
      </c>
      <c r="D1588">
        <v>4741</v>
      </c>
      <c r="E1588" t="s">
        <v>425</v>
      </c>
      <c r="F1588" s="4">
        <v>0</v>
      </c>
      <c r="G1588" s="4">
        <v>7029</v>
      </c>
      <c r="H1588" s="4">
        <v>0</v>
      </c>
      <c r="I1588" s="4">
        <v>7029</v>
      </c>
      <c r="J1588" s="4">
        <v>7029</v>
      </c>
    </row>
    <row r="1589" spans="1:10" x14ac:dyDescent="0.75">
      <c r="A1589" t="s">
        <v>151</v>
      </c>
      <c r="B1589">
        <v>4421</v>
      </c>
      <c r="C1589" t="s">
        <v>22</v>
      </c>
      <c r="D1589">
        <v>4860</v>
      </c>
      <c r="E1589" t="s">
        <v>400</v>
      </c>
      <c r="F1589" s="4">
        <v>0</v>
      </c>
      <c r="G1589" s="4">
        <v>7016</v>
      </c>
      <c r="H1589" s="4">
        <v>7016</v>
      </c>
      <c r="I1589" s="4">
        <v>0</v>
      </c>
      <c r="J1589" s="4">
        <v>7016</v>
      </c>
    </row>
    <row r="1590" spans="1:10" x14ac:dyDescent="0.75">
      <c r="A1590" t="s">
        <v>151</v>
      </c>
      <c r="B1590">
        <v>4421</v>
      </c>
      <c r="C1590" t="s">
        <v>22</v>
      </c>
      <c r="D1590">
        <v>6857</v>
      </c>
      <c r="E1590" t="s">
        <v>487</v>
      </c>
      <c r="F1590" s="4">
        <v>1067</v>
      </c>
      <c r="G1590" s="4">
        <v>4449</v>
      </c>
      <c r="H1590" s="4">
        <v>2767</v>
      </c>
      <c r="I1590" s="4">
        <v>1682</v>
      </c>
      <c r="J1590" s="4">
        <v>5516</v>
      </c>
    </row>
    <row r="1591" spans="1:10" x14ac:dyDescent="0.75">
      <c r="A1591" t="s">
        <v>151</v>
      </c>
      <c r="B1591">
        <v>4421</v>
      </c>
      <c r="C1591" t="s">
        <v>22</v>
      </c>
      <c r="D1591">
        <v>2990</v>
      </c>
      <c r="E1591" t="s">
        <v>432</v>
      </c>
      <c r="F1591" s="4">
        <v>5276</v>
      </c>
      <c r="G1591" s="4">
        <v>0</v>
      </c>
      <c r="H1591" s="4">
        <v>0</v>
      </c>
      <c r="I1591" s="4">
        <v>0</v>
      </c>
      <c r="J1591" s="4">
        <v>5276</v>
      </c>
    </row>
    <row r="1592" spans="1:10" x14ac:dyDescent="0.75">
      <c r="A1592" t="s">
        <v>151</v>
      </c>
      <c r="B1592">
        <v>4421</v>
      </c>
      <c r="C1592" t="s">
        <v>22</v>
      </c>
      <c r="D1592">
        <v>5240</v>
      </c>
      <c r="E1592" t="s">
        <v>464</v>
      </c>
      <c r="F1592" s="4">
        <v>2229</v>
      </c>
      <c r="G1592" s="4">
        <v>2986</v>
      </c>
      <c r="H1592" s="4">
        <v>2691</v>
      </c>
      <c r="I1592" s="4">
        <v>295</v>
      </c>
      <c r="J1592" s="4">
        <v>5215</v>
      </c>
    </row>
    <row r="1593" spans="1:10" x14ac:dyDescent="0.75">
      <c r="A1593" t="s">
        <v>151</v>
      </c>
      <c r="B1593">
        <v>4421</v>
      </c>
      <c r="C1593" t="s">
        <v>22</v>
      </c>
      <c r="D1593">
        <v>2429</v>
      </c>
      <c r="E1593" t="s">
        <v>375</v>
      </c>
      <c r="F1593" s="4">
        <v>4328</v>
      </c>
      <c r="G1593" s="4">
        <v>0</v>
      </c>
      <c r="H1593" s="4">
        <v>0</v>
      </c>
      <c r="I1593" s="4">
        <v>0</v>
      </c>
      <c r="J1593" s="4">
        <v>4328</v>
      </c>
    </row>
    <row r="1594" spans="1:10" x14ac:dyDescent="0.75">
      <c r="A1594" t="s">
        <v>151</v>
      </c>
      <c r="B1594">
        <v>4421</v>
      </c>
      <c r="C1594" t="s">
        <v>22</v>
      </c>
      <c r="D1594">
        <v>6871</v>
      </c>
      <c r="E1594" t="s">
        <v>491</v>
      </c>
      <c r="F1594" s="4">
        <v>3526</v>
      </c>
      <c r="G1594" s="4">
        <v>613</v>
      </c>
      <c r="H1594" s="4">
        <v>129</v>
      </c>
      <c r="I1594" s="4">
        <v>484</v>
      </c>
      <c r="J1594" s="4">
        <v>4139</v>
      </c>
    </row>
    <row r="1595" spans="1:10" x14ac:dyDescent="0.75">
      <c r="A1595" t="s">
        <v>151</v>
      </c>
      <c r="B1595">
        <v>4421</v>
      </c>
      <c r="C1595" t="s">
        <v>22</v>
      </c>
      <c r="D1595">
        <v>3285</v>
      </c>
      <c r="E1595" t="s">
        <v>443</v>
      </c>
      <c r="F1595" s="4">
        <v>322</v>
      </c>
      <c r="G1595" s="4">
        <v>3459</v>
      </c>
      <c r="H1595" s="4">
        <v>1662</v>
      </c>
      <c r="I1595" s="4">
        <v>1797</v>
      </c>
      <c r="J1595" s="4">
        <v>3781</v>
      </c>
    </row>
    <row r="1596" spans="1:10" x14ac:dyDescent="0.75">
      <c r="A1596" t="s">
        <v>151</v>
      </c>
      <c r="B1596">
        <v>4421</v>
      </c>
      <c r="C1596" t="s">
        <v>22</v>
      </c>
      <c r="D1596">
        <v>5120</v>
      </c>
      <c r="E1596" t="s">
        <v>461</v>
      </c>
      <c r="F1596" s="4">
        <v>0</v>
      </c>
      <c r="G1596" s="4">
        <v>3210</v>
      </c>
      <c r="H1596" s="4">
        <v>3153</v>
      </c>
      <c r="I1596" s="4">
        <v>57</v>
      </c>
      <c r="J1596" s="4">
        <v>3210</v>
      </c>
    </row>
    <row r="1597" spans="1:10" x14ac:dyDescent="0.75">
      <c r="A1597" t="s">
        <v>151</v>
      </c>
      <c r="B1597">
        <v>4421</v>
      </c>
      <c r="C1597" t="s">
        <v>22</v>
      </c>
      <c r="D1597">
        <v>3276</v>
      </c>
      <c r="E1597" t="s">
        <v>379</v>
      </c>
      <c r="F1597" s="4">
        <v>143</v>
      </c>
      <c r="G1597" s="4">
        <v>2914</v>
      </c>
      <c r="H1597" s="4">
        <v>2870</v>
      </c>
      <c r="I1597" s="4">
        <v>44</v>
      </c>
      <c r="J1597" s="4">
        <v>3057</v>
      </c>
    </row>
    <row r="1598" spans="1:10" x14ac:dyDescent="0.75">
      <c r="A1598" t="s">
        <v>151</v>
      </c>
      <c r="B1598">
        <v>4421</v>
      </c>
      <c r="C1598" t="s">
        <v>22</v>
      </c>
      <c r="D1598">
        <v>6835</v>
      </c>
      <c r="E1598" t="s">
        <v>483</v>
      </c>
      <c r="F1598" s="4">
        <v>0</v>
      </c>
      <c r="G1598" s="4">
        <v>2951</v>
      </c>
      <c r="H1598" s="4">
        <v>2779</v>
      </c>
      <c r="I1598" s="4">
        <v>172</v>
      </c>
      <c r="J1598" s="4">
        <v>2951</v>
      </c>
    </row>
    <row r="1599" spans="1:10" x14ac:dyDescent="0.75">
      <c r="A1599" t="s">
        <v>151</v>
      </c>
      <c r="B1599">
        <v>4421</v>
      </c>
      <c r="C1599" t="s">
        <v>22</v>
      </c>
      <c r="D1599">
        <v>4310</v>
      </c>
      <c r="E1599" t="s">
        <v>453</v>
      </c>
      <c r="F1599" s="4">
        <v>0</v>
      </c>
      <c r="G1599" s="4">
        <v>1912</v>
      </c>
      <c r="H1599" s="4">
        <v>1912</v>
      </c>
      <c r="I1599" s="4">
        <v>0</v>
      </c>
      <c r="J1599" s="4">
        <v>1912</v>
      </c>
    </row>
    <row r="1600" spans="1:10" x14ac:dyDescent="0.75">
      <c r="A1600" t="s">
        <v>151</v>
      </c>
      <c r="B1600">
        <v>4421</v>
      </c>
      <c r="C1600" t="s">
        <v>22</v>
      </c>
      <c r="D1600">
        <v>6136</v>
      </c>
      <c r="E1600" t="s">
        <v>471</v>
      </c>
      <c r="F1600" s="4">
        <v>0</v>
      </c>
      <c r="G1600" s="4">
        <v>1457</v>
      </c>
      <c r="H1600" s="4">
        <v>1415</v>
      </c>
      <c r="I1600" s="4">
        <v>42</v>
      </c>
      <c r="J1600" s="4">
        <v>1457</v>
      </c>
    </row>
    <row r="1601" spans="1:10" x14ac:dyDescent="0.75">
      <c r="A1601" t="s">
        <v>151</v>
      </c>
      <c r="B1601">
        <v>4421</v>
      </c>
      <c r="C1601" t="s">
        <v>22</v>
      </c>
      <c r="D1601">
        <v>3110</v>
      </c>
      <c r="E1601" t="s">
        <v>405</v>
      </c>
      <c r="F1601" s="4">
        <v>0</v>
      </c>
      <c r="G1601" s="4">
        <v>1293</v>
      </c>
      <c r="H1601" s="4">
        <v>1293</v>
      </c>
      <c r="I1601" s="4">
        <v>0</v>
      </c>
      <c r="J1601" s="4">
        <v>1293</v>
      </c>
    </row>
    <row r="1602" spans="1:10" x14ac:dyDescent="0.75">
      <c r="A1602" t="s">
        <v>151</v>
      </c>
      <c r="B1602">
        <v>4421</v>
      </c>
      <c r="C1602" t="s">
        <v>22</v>
      </c>
      <c r="D1602">
        <v>8900</v>
      </c>
      <c r="E1602" t="s">
        <v>506</v>
      </c>
      <c r="F1602" s="4">
        <v>1263</v>
      </c>
      <c r="G1602" s="4">
        <v>0</v>
      </c>
      <c r="H1602" s="4">
        <v>0</v>
      </c>
      <c r="I1602" s="4">
        <v>0</v>
      </c>
      <c r="J1602" s="4">
        <v>1263</v>
      </c>
    </row>
    <row r="1603" spans="1:10" x14ac:dyDescent="0.75">
      <c r="A1603" t="s">
        <v>151</v>
      </c>
      <c r="B1603">
        <v>4421</v>
      </c>
      <c r="C1603" t="s">
        <v>22</v>
      </c>
      <c r="D1603">
        <v>6856</v>
      </c>
      <c r="E1603" t="s">
        <v>486</v>
      </c>
      <c r="F1603" s="4">
        <v>914</v>
      </c>
      <c r="G1603" s="4">
        <v>297</v>
      </c>
      <c r="H1603" s="4">
        <v>297</v>
      </c>
      <c r="I1603" s="4">
        <v>0</v>
      </c>
      <c r="J1603" s="4">
        <v>1211</v>
      </c>
    </row>
    <row r="1604" spans="1:10" x14ac:dyDescent="0.75">
      <c r="A1604" t="s">
        <v>151</v>
      </c>
      <c r="B1604">
        <v>4421</v>
      </c>
      <c r="C1604" t="s">
        <v>22</v>
      </c>
      <c r="D1604">
        <v>6861</v>
      </c>
      <c r="E1604" t="s">
        <v>489</v>
      </c>
      <c r="F1604" s="4">
        <v>0</v>
      </c>
      <c r="G1604" s="4">
        <v>1134</v>
      </c>
      <c r="H1604" s="4">
        <v>1134</v>
      </c>
      <c r="I1604" s="4">
        <v>0</v>
      </c>
      <c r="J1604" s="4">
        <v>1134</v>
      </c>
    </row>
    <row r="1605" spans="1:10" x14ac:dyDescent="0.75">
      <c r="A1605" t="s">
        <v>151</v>
      </c>
      <c r="B1605">
        <v>4421</v>
      </c>
      <c r="C1605" t="s">
        <v>22</v>
      </c>
      <c r="D1605">
        <v>7230</v>
      </c>
      <c r="E1605" t="s">
        <v>387</v>
      </c>
      <c r="F1605" s="4">
        <v>903</v>
      </c>
      <c r="G1605" s="4">
        <v>77</v>
      </c>
      <c r="H1605" s="4">
        <v>77</v>
      </c>
      <c r="I1605" s="4">
        <v>0</v>
      </c>
      <c r="J1605" s="4">
        <v>980</v>
      </c>
    </row>
    <row r="1606" spans="1:10" x14ac:dyDescent="0.75">
      <c r="A1606" t="s">
        <v>151</v>
      </c>
      <c r="B1606">
        <v>4421</v>
      </c>
      <c r="C1606" t="s">
        <v>22</v>
      </c>
      <c r="D1606">
        <v>6891</v>
      </c>
      <c r="E1606" t="s">
        <v>495</v>
      </c>
      <c r="F1606" s="4">
        <v>817</v>
      </c>
      <c r="G1606" s="4">
        <v>103</v>
      </c>
      <c r="H1606" s="4">
        <v>35</v>
      </c>
      <c r="I1606" s="4">
        <v>68</v>
      </c>
      <c r="J1606" s="4">
        <v>920</v>
      </c>
    </row>
    <row r="1607" spans="1:10" x14ac:dyDescent="0.75">
      <c r="A1607" t="s">
        <v>151</v>
      </c>
      <c r="B1607">
        <v>4421</v>
      </c>
      <c r="C1607" t="s">
        <v>22</v>
      </c>
      <c r="D1607">
        <v>4190</v>
      </c>
      <c r="E1607" t="s">
        <v>452</v>
      </c>
      <c r="F1607" s="4">
        <v>0</v>
      </c>
      <c r="G1607" s="4">
        <v>840</v>
      </c>
      <c r="H1607" s="4">
        <v>777</v>
      </c>
      <c r="I1607" s="4">
        <v>63</v>
      </c>
      <c r="J1607" s="4">
        <v>840</v>
      </c>
    </row>
    <row r="1608" spans="1:10" x14ac:dyDescent="0.75">
      <c r="A1608" t="s">
        <v>151</v>
      </c>
      <c r="B1608">
        <v>4421</v>
      </c>
      <c r="C1608" t="s">
        <v>22</v>
      </c>
      <c r="D1608">
        <v>6894</v>
      </c>
      <c r="E1608" t="s">
        <v>497</v>
      </c>
      <c r="F1608" s="4">
        <v>0</v>
      </c>
      <c r="G1608" s="4">
        <v>795</v>
      </c>
      <c r="H1608" s="4">
        <v>795</v>
      </c>
      <c r="I1608" s="4">
        <v>0</v>
      </c>
      <c r="J1608" s="4">
        <v>795</v>
      </c>
    </row>
    <row r="1609" spans="1:10" x14ac:dyDescent="0.75">
      <c r="A1609" t="s">
        <v>151</v>
      </c>
      <c r="B1609">
        <v>4421</v>
      </c>
      <c r="C1609" t="s">
        <v>22</v>
      </c>
      <c r="D1609">
        <v>3282</v>
      </c>
      <c r="E1609" t="s">
        <v>440</v>
      </c>
      <c r="F1609" s="4">
        <v>575</v>
      </c>
      <c r="G1609" s="4">
        <v>70</v>
      </c>
      <c r="H1609" s="4">
        <v>61</v>
      </c>
      <c r="I1609" s="4">
        <v>9</v>
      </c>
      <c r="J1609" s="4">
        <v>645</v>
      </c>
    </row>
    <row r="1610" spans="1:10" x14ac:dyDescent="0.75">
      <c r="A1610" t="s">
        <v>151</v>
      </c>
      <c r="B1610">
        <v>4421</v>
      </c>
      <c r="C1610" t="s">
        <v>22</v>
      </c>
      <c r="D1610">
        <v>3275</v>
      </c>
      <c r="E1610" t="s">
        <v>412</v>
      </c>
      <c r="F1610" s="4">
        <v>0</v>
      </c>
      <c r="G1610" s="4">
        <v>641</v>
      </c>
      <c r="H1610" s="4">
        <v>505</v>
      </c>
      <c r="I1610" s="4">
        <v>136</v>
      </c>
      <c r="J1610" s="4">
        <v>641</v>
      </c>
    </row>
    <row r="1611" spans="1:10" x14ac:dyDescent="0.75">
      <c r="A1611" t="s">
        <v>151</v>
      </c>
      <c r="B1611">
        <v>4421</v>
      </c>
      <c r="C1611" t="s">
        <v>22</v>
      </c>
      <c r="D1611">
        <v>6653</v>
      </c>
      <c r="E1611" t="s">
        <v>395</v>
      </c>
      <c r="F1611" s="4">
        <v>0</v>
      </c>
      <c r="G1611" s="4">
        <v>613</v>
      </c>
      <c r="H1611" s="4">
        <v>483</v>
      </c>
      <c r="I1611" s="4">
        <v>130</v>
      </c>
      <c r="J1611" s="4">
        <v>613</v>
      </c>
    </row>
    <row r="1612" spans="1:10" x14ac:dyDescent="0.75">
      <c r="A1612" t="s">
        <v>151</v>
      </c>
      <c r="B1612">
        <v>4421</v>
      </c>
      <c r="C1612" t="s">
        <v>22</v>
      </c>
      <c r="D1612">
        <v>5421</v>
      </c>
      <c r="E1612" t="s">
        <v>467</v>
      </c>
      <c r="F1612" s="4">
        <v>0</v>
      </c>
      <c r="G1612" s="4">
        <v>559</v>
      </c>
      <c r="H1612" s="4">
        <v>407</v>
      </c>
      <c r="I1612" s="4">
        <v>152</v>
      </c>
      <c r="J1612" s="4">
        <v>559</v>
      </c>
    </row>
    <row r="1613" spans="1:10" x14ac:dyDescent="0.75">
      <c r="A1613" t="s">
        <v>151</v>
      </c>
      <c r="B1613">
        <v>4421</v>
      </c>
      <c r="C1613" t="s">
        <v>22</v>
      </c>
      <c r="D1613">
        <v>3130</v>
      </c>
      <c r="E1613" t="s">
        <v>407</v>
      </c>
      <c r="F1613" s="4">
        <v>0</v>
      </c>
      <c r="G1613" s="4">
        <v>547</v>
      </c>
      <c r="H1613" s="4">
        <v>547</v>
      </c>
      <c r="I1613" s="4">
        <v>0</v>
      </c>
      <c r="J1613" s="4">
        <v>547</v>
      </c>
    </row>
    <row r="1614" spans="1:10" x14ac:dyDescent="0.75">
      <c r="A1614" t="s">
        <v>151</v>
      </c>
      <c r="B1614">
        <v>4421</v>
      </c>
      <c r="C1614" t="s">
        <v>22</v>
      </c>
      <c r="D1614">
        <v>6817</v>
      </c>
      <c r="E1614" t="s">
        <v>481</v>
      </c>
      <c r="F1614" s="4">
        <v>0</v>
      </c>
      <c r="G1614" s="4">
        <v>495</v>
      </c>
      <c r="H1614" s="4">
        <v>455</v>
      </c>
      <c r="I1614" s="4">
        <v>40</v>
      </c>
      <c r="J1614" s="4">
        <v>495</v>
      </c>
    </row>
    <row r="1615" spans="1:10" x14ac:dyDescent="0.75">
      <c r="A1615" t="s">
        <v>151</v>
      </c>
      <c r="B1615">
        <v>4421</v>
      </c>
      <c r="C1615" t="s">
        <v>22</v>
      </c>
      <c r="D1615">
        <v>6746</v>
      </c>
      <c r="E1615" t="s">
        <v>477</v>
      </c>
      <c r="F1615" s="4">
        <v>40</v>
      </c>
      <c r="G1615" s="4">
        <v>421</v>
      </c>
      <c r="H1615" s="4">
        <v>367</v>
      </c>
      <c r="I1615" s="4">
        <v>54</v>
      </c>
      <c r="J1615" s="4">
        <v>461</v>
      </c>
    </row>
    <row r="1616" spans="1:10" x14ac:dyDescent="0.75">
      <c r="A1616" t="s">
        <v>151</v>
      </c>
      <c r="B1616">
        <v>4421</v>
      </c>
      <c r="C1616" t="s">
        <v>22</v>
      </c>
      <c r="D1616">
        <v>4900</v>
      </c>
      <c r="E1616" t="s">
        <v>383</v>
      </c>
      <c r="F1616" s="4">
        <v>62</v>
      </c>
      <c r="G1616" s="4">
        <v>348</v>
      </c>
      <c r="H1616" s="4">
        <v>348</v>
      </c>
      <c r="I1616" s="4">
        <v>0</v>
      </c>
      <c r="J1616" s="4">
        <v>410</v>
      </c>
    </row>
    <row r="1617" spans="1:10" x14ac:dyDescent="0.75">
      <c r="A1617" t="s">
        <v>151</v>
      </c>
      <c r="B1617">
        <v>4421</v>
      </c>
      <c r="C1617" t="s">
        <v>22</v>
      </c>
      <c r="D1617">
        <v>3292</v>
      </c>
      <c r="E1617" t="s">
        <v>413</v>
      </c>
      <c r="F1617" s="4">
        <v>0</v>
      </c>
      <c r="G1617" s="4">
        <v>406</v>
      </c>
      <c r="H1617" s="4">
        <v>317</v>
      </c>
      <c r="I1617" s="4">
        <v>89</v>
      </c>
      <c r="J1617" s="4">
        <v>406</v>
      </c>
    </row>
    <row r="1618" spans="1:10" x14ac:dyDescent="0.75">
      <c r="A1618" t="s">
        <v>151</v>
      </c>
      <c r="B1618">
        <v>4421</v>
      </c>
      <c r="C1618" t="s">
        <v>22</v>
      </c>
      <c r="D1618">
        <v>5220</v>
      </c>
      <c r="E1618" t="s">
        <v>401</v>
      </c>
      <c r="F1618" s="4">
        <v>373</v>
      </c>
      <c r="G1618" s="4">
        <v>3</v>
      </c>
      <c r="H1618" s="4">
        <v>0</v>
      </c>
      <c r="I1618" s="4">
        <v>3</v>
      </c>
      <c r="J1618" s="4">
        <v>376</v>
      </c>
    </row>
    <row r="1619" spans="1:10" x14ac:dyDescent="0.75">
      <c r="A1619" t="s">
        <v>151</v>
      </c>
      <c r="B1619">
        <v>4421</v>
      </c>
      <c r="C1619" t="s">
        <v>22</v>
      </c>
      <c r="D1619">
        <v>3293</v>
      </c>
      <c r="E1619" t="s">
        <v>445</v>
      </c>
      <c r="F1619" s="4">
        <v>12</v>
      </c>
      <c r="G1619" s="4">
        <v>319</v>
      </c>
      <c r="H1619" s="4">
        <v>305</v>
      </c>
      <c r="I1619" s="4">
        <v>14</v>
      </c>
      <c r="J1619" s="4">
        <v>331</v>
      </c>
    </row>
    <row r="1620" spans="1:10" x14ac:dyDescent="0.75">
      <c r="A1620" t="s">
        <v>151</v>
      </c>
      <c r="B1620">
        <v>4421</v>
      </c>
      <c r="C1620" t="s">
        <v>22</v>
      </c>
      <c r="D1620">
        <v>5422</v>
      </c>
      <c r="E1620" t="s">
        <v>468</v>
      </c>
      <c r="F1620" s="4">
        <v>0</v>
      </c>
      <c r="G1620" s="4">
        <v>327</v>
      </c>
      <c r="H1620" s="4">
        <v>288</v>
      </c>
      <c r="I1620" s="4">
        <v>39</v>
      </c>
      <c r="J1620" s="4">
        <v>327</v>
      </c>
    </row>
    <row r="1621" spans="1:10" x14ac:dyDescent="0.75">
      <c r="A1621" t="s">
        <v>151</v>
      </c>
      <c r="B1621">
        <v>4421</v>
      </c>
      <c r="C1621" t="s">
        <v>22</v>
      </c>
      <c r="D1621">
        <v>3291</v>
      </c>
      <c r="E1621" t="s">
        <v>444</v>
      </c>
      <c r="F1621" s="4">
        <v>88</v>
      </c>
      <c r="G1621" s="4">
        <v>226</v>
      </c>
      <c r="H1621" s="4">
        <v>187</v>
      </c>
      <c r="I1621" s="4">
        <v>39</v>
      </c>
      <c r="J1621" s="4">
        <v>314</v>
      </c>
    </row>
    <row r="1622" spans="1:10" x14ac:dyDescent="0.75">
      <c r="A1622" t="s">
        <v>151</v>
      </c>
      <c r="B1622">
        <v>4421</v>
      </c>
      <c r="C1622" t="s">
        <v>22</v>
      </c>
      <c r="D1622">
        <v>4515</v>
      </c>
      <c r="E1622" t="s">
        <v>455</v>
      </c>
      <c r="F1622" s="4">
        <v>0</v>
      </c>
      <c r="G1622" s="4">
        <v>240</v>
      </c>
      <c r="H1622" s="4">
        <v>240</v>
      </c>
      <c r="I1622" s="4">
        <v>0</v>
      </c>
      <c r="J1622" s="4">
        <v>240</v>
      </c>
    </row>
    <row r="1623" spans="1:10" x14ac:dyDescent="0.75">
      <c r="A1623" t="s">
        <v>151</v>
      </c>
      <c r="B1623">
        <v>4421</v>
      </c>
      <c r="C1623" t="s">
        <v>22</v>
      </c>
      <c r="D1623">
        <v>7220</v>
      </c>
      <c r="E1623" t="s">
        <v>500</v>
      </c>
      <c r="F1623" s="4">
        <v>35</v>
      </c>
      <c r="G1623" s="4">
        <v>204</v>
      </c>
      <c r="H1623" s="4">
        <v>59</v>
      </c>
      <c r="I1623" s="4">
        <v>145</v>
      </c>
      <c r="J1623" s="4">
        <v>239</v>
      </c>
    </row>
    <row r="1624" spans="1:10" x14ac:dyDescent="0.75">
      <c r="A1624" t="s">
        <v>151</v>
      </c>
      <c r="B1624">
        <v>4421</v>
      </c>
      <c r="C1624" t="s">
        <v>22</v>
      </c>
      <c r="D1624">
        <v>5390</v>
      </c>
      <c r="E1624" t="s">
        <v>418</v>
      </c>
      <c r="F1624" s="4">
        <v>0</v>
      </c>
      <c r="G1624" s="4">
        <v>204</v>
      </c>
      <c r="H1624" s="4">
        <v>202</v>
      </c>
      <c r="I1624" s="4">
        <v>2</v>
      </c>
      <c r="J1624" s="4">
        <v>204</v>
      </c>
    </row>
    <row r="1625" spans="1:10" x14ac:dyDescent="0.75">
      <c r="A1625" t="s">
        <v>151</v>
      </c>
      <c r="B1625">
        <v>4421</v>
      </c>
      <c r="C1625" t="s">
        <v>22</v>
      </c>
      <c r="D1625">
        <v>3230</v>
      </c>
      <c r="E1625" t="s">
        <v>434</v>
      </c>
      <c r="F1625" s="4">
        <v>0</v>
      </c>
      <c r="G1625" s="4">
        <v>177</v>
      </c>
      <c r="H1625" s="4">
        <v>177</v>
      </c>
      <c r="I1625" s="4">
        <v>0</v>
      </c>
      <c r="J1625" s="4">
        <v>177</v>
      </c>
    </row>
    <row r="1626" spans="1:10" x14ac:dyDescent="0.75">
      <c r="A1626" t="s">
        <v>151</v>
      </c>
      <c r="B1626">
        <v>4421</v>
      </c>
      <c r="C1626" t="s">
        <v>22</v>
      </c>
      <c r="D1626">
        <v>3274</v>
      </c>
      <c r="E1626" t="s">
        <v>438</v>
      </c>
      <c r="F1626" s="4">
        <v>0</v>
      </c>
      <c r="G1626" s="4">
        <v>127</v>
      </c>
      <c r="H1626" s="4">
        <v>127</v>
      </c>
      <c r="I1626" s="4">
        <v>0</v>
      </c>
      <c r="J1626" s="4">
        <v>127</v>
      </c>
    </row>
    <row r="1627" spans="1:10" x14ac:dyDescent="0.75">
      <c r="A1627" t="s">
        <v>151</v>
      </c>
      <c r="B1627">
        <v>4421</v>
      </c>
      <c r="C1627" t="s">
        <v>22</v>
      </c>
      <c r="D1627">
        <v>3279</v>
      </c>
      <c r="E1627" t="s">
        <v>422</v>
      </c>
      <c r="F1627" s="4">
        <v>0</v>
      </c>
      <c r="G1627" s="4">
        <v>88</v>
      </c>
      <c r="H1627" s="4">
        <v>28</v>
      </c>
      <c r="I1627" s="4">
        <v>60</v>
      </c>
      <c r="J1627" s="4">
        <v>88</v>
      </c>
    </row>
    <row r="1628" spans="1:10" x14ac:dyDescent="0.75">
      <c r="A1628" t="s">
        <v>151</v>
      </c>
      <c r="B1628">
        <v>4421</v>
      </c>
      <c r="C1628" t="s">
        <v>22</v>
      </c>
      <c r="D1628">
        <v>3240</v>
      </c>
      <c r="E1628" t="s">
        <v>410</v>
      </c>
      <c r="F1628" s="4">
        <v>0</v>
      </c>
      <c r="G1628" s="4">
        <v>81</v>
      </c>
      <c r="H1628" s="4">
        <v>81</v>
      </c>
      <c r="I1628" s="4">
        <v>0</v>
      </c>
      <c r="J1628" s="4">
        <v>81</v>
      </c>
    </row>
    <row r="1629" spans="1:10" x14ac:dyDescent="0.75">
      <c r="A1629" t="s">
        <v>151</v>
      </c>
      <c r="B1629">
        <v>4421</v>
      </c>
      <c r="C1629" t="s">
        <v>22</v>
      </c>
      <c r="D1629">
        <v>6344</v>
      </c>
      <c r="E1629" t="s">
        <v>392</v>
      </c>
      <c r="F1629" s="4">
        <v>0</v>
      </c>
      <c r="G1629" s="4">
        <v>78</v>
      </c>
      <c r="H1629" s="4">
        <v>62</v>
      </c>
      <c r="I1629" s="4">
        <v>16</v>
      </c>
      <c r="J1629" s="4">
        <v>78</v>
      </c>
    </row>
    <row r="1630" spans="1:10" x14ac:dyDescent="0.75">
      <c r="A1630" t="s">
        <v>151</v>
      </c>
      <c r="B1630">
        <v>4421</v>
      </c>
      <c r="C1630" t="s">
        <v>22</v>
      </c>
      <c r="D1630">
        <v>6590</v>
      </c>
      <c r="E1630" t="s">
        <v>394</v>
      </c>
      <c r="F1630" s="4">
        <v>0</v>
      </c>
      <c r="G1630" s="4">
        <v>77</v>
      </c>
      <c r="H1630" s="4">
        <v>77</v>
      </c>
      <c r="I1630" s="4">
        <v>0</v>
      </c>
      <c r="J1630" s="4">
        <v>77</v>
      </c>
    </row>
    <row r="1631" spans="1:10" x14ac:dyDescent="0.75">
      <c r="A1631" t="s">
        <v>151</v>
      </c>
      <c r="B1631">
        <v>4421</v>
      </c>
      <c r="C1631" t="s">
        <v>22</v>
      </c>
      <c r="D1631">
        <v>3297</v>
      </c>
      <c r="E1631" t="s">
        <v>446</v>
      </c>
      <c r="F1631" s="4">
        <v>0</v>
      </c>
      <c r="G1631" s="4">
        <v>74</v>
      </c>
      <c r="H1631" s="4">
        <v>28</v>
      </c>
      <c r="I1631" s="4">
        <v>46</v>
      </c>
      <c r="J1631" s="4">
        <v>74</v>
      </c>
    </row>
    <row r="1632" spans="1:10" x14ac:dyDescent="0.75">
      <c r="A1632" t="s">
        <v>151</v>
      </c>
      <c r="B1632">
        <v>4421</v>
      </c>
      <c r="C1632" t="s">
        <v>22</v>
      </c>
      <c r="D1632">
        <v>4783</v>
      </c>
      <c r="E1632" t="s">
        <v>382</v>
      </c>
      <c r="F1632" s="4">
        <v>43</v>
      </c>
      <c r="G1632" s="4">
        <v>20</v>
      </c>
      <c r="H1632" s="4">
        <v>0</v>
      </c>
      <c r="I1632" s="4">
        <v>20</v>
      </c>
      <c r="J1632" s="4">
        <v>63</v>
      </c>
    </row>
    <row r="1633" spans="1:10" x14ac:dyDescent="0.75">
      <c r="A1633" t="s">
        <v>151</v>
      </c>
      <c r="B1633">
        <v>4421</v>
      </c>
      <c r="C1633" t="s">
        <v>22</v>
      </c>
      <c r="D1633">
        <v>6893</v>
      </c>
      <c r="E1633" t="s">
        <v>496</v>
      </c>
      <c r="F1633" s="4">
        <v>0</v>
      </c>
      <c r="G1633" s="4">
        <v>55</v>
      </c>
      <c r="H1633" s="4">
        <v>55</v>
      </c>
      <c r="I1633" s="4">
        <v>0</v>
      </c>
      <c r="J1633" s="4">
        <v>55</v>
      </c>
    </row>
    <row r="1634" spans="1:10" x14ac:dyDescent="0.75">
      <c r="A1634" t="s">
        <v>151</v>
      </c>
      <c r="B1634">
        <v>4421</v>
      </c>
      <c r="C1634" t="s">
        <v>22</v>
      </c>
      <c r="D1634">
        <v>4782</v>
      </c>
      <c r="E1634" t="s">
        <v>414</v>
      </c>
      <c r="F1634" s="4">
        <v>0</v>
      </c>
      <c r="G1634" s="4">
        <v>51</v>
      </c>
      <c r="H1634" s="4">
        <v>33</v>
      </c>
      <c r="I1634" s="4">
        <v>18</v>
      </c>
      <c r="J1634" s="4">
        <v>51</v>
      </c>
    </row>
    <row r="1635" spans="1:10" x14ac:dyDescent="0.75">
      <c r="A1635" t="s">
        <v>151</v>
      </c>
      <c r="B1635">
        <v>4421</v>
      </c>
      <c r="C1635" t="s">
        <v>22</v>
      </c>
      <c r="D1635">
        <v>3250</v>
      </c>
      <c r="E1635" t="s">
        <v>435</v>
      </c>
      <c r="F1635" s="4">
        <v>0</v>
      </c>
      <c r="G1635" s="4">
        <v>43</v>
      </c>
      <c r="H1635" s="4">
        <v>43</v>
      </c>
      <c r="I1635" s="4">
        <v>0</v>
      </c>
      <c r="J1635" s="4">
        <v>43</v>
      </c>
    </row>
    <row r="1636" spans="1:10" x14ac:dyDescent="0.75">
      <c r="A1636" t="s">
        <v>151</v>
      </c>
      <c r="B1636">
        <v>4421</v>
      </c>
      <c r="C1636" t="s">
        <v>22</v>
      </c>
      <c r="D1636">
        <v>5429</v>
      </c>
      <c r="E1636" t="s">
        <v>429</v>
      </c>
      <c r="F1636" s="4">
        <v>0</v>
      </c>
      <c r="G1636" s="4">
        <v>41</v>
      </c>
      <c r="H1636" s="4">
        <v>9</v>
      </c>
      <c r="I1636" s="4">
        <v>32</v>
      </c>
      <c r="J1636" s="4">
        <v>41</v>
      </c>
    </row>
    <row r="1637" spans="1:10" x14ac:dyDescent="0.75">
      <c r="A1637" t="s">
        <v>151</v>
      </c>
      <c r="B1637">
        <v>4421</v>
      </c>
      <c r="C1637" t="s">
        <v>22</v>
      </c>
      <c r="D1637">
        <v>5312</v>
      </c>
      <c r="E1637" t="s">
        <v>416</v>
      </c>
      <c r="F1637" s="4">
        <v>0</v>
      </c>
      <c r="G1637" s="4">
        <v>29</v>
      </c>
      <c r="H1637" s="4">
        <v>29</v>
      </c>
      <c r="I1637" s="4">
        <v>0</v>
      </c>
      <c r="J1637" s="4">
        <v>29</v>
      </c>
    </row>
    <row r="1638" spans="1:10" x14ac:dyDescent="0.75">
      <c r="A1638" t="s">
        <v>151</v>
      </c>
      <c r="B1638">
        <v>4421</v>
      </c>
      <c r="C1638" t="s">
        <v>22</v>
      </c>
      <c r="D1638">
        <v>4322</v>
      </c>
      <c r="E1638" t="s">
        <v>398</v>
      </c>
      <c r="F1638" s="4">
        <v>0</v>
      </c>
      <c r="G1638" s="4">
        <v>28</v>
      </c>
      <c r="H1638" s="4">
        <v>28</v>
      </c>
      <c r="I1638" s="4">
        <v>0</v>
      </c>
      <c r="J1638" s="4">
        <v>28</v>
      </c>
    </row>
    <row r="1639" spans="1:10" x14ac:dyDescent="0.75">
      <c r="A1639" t="s">
        <v>151</v>
      </c>
      <c r="B1639">
        <v>4421</v>
      </c>
      <c r="C1639" t="s">
        <v>22</v>
      </c>
      <c r="D1639">
        <v>6522</v>
      </c>
      <c r="E1639" t="s">
        <v>393</v>
      </c>
      <c r="F1639" s="4">
        <v>0</v>
      </c>
      <c r="G1639" s="4">
        <v>26</v>
      </c>
      <c r="H1639" s="4">
        <v>26</v>
      </c>
      <c r="I1639" s="4">
        <v>0</v>
      </c>
      <c r="J1639" s="4">
        <v>26</v>
      </c>
    </row>
    <row r="1640" spans="1:10" x14ac:dyDescent="0.75">
      <c r="A1640" t="s">
        <v>151</v>
      </c>
      <c r="B1640">
        <v>4421</v>
      </c>
      <c r="C1640" t="s">
        <v>22</v>
      </c>
      <c r="D1640">
        <v>4150</v>
      </c>
      <c r="E1640" t="s">
        <v>450</v>
      </c>
      <c r="F1640" s="4">
        <v>0</v>
      </c>
      <c r="G1640" s="4">
        <v>25</v>
      </c>
      <c r="H1640" s="4">
        <v>25</v>
      </c>
      <c r="I1640" s="4">
        <v>0</v>
      </c>
      <c r="J1640" s="4">
        <v>25</v>
      </c>
    </row>
    <row r="1641" spans="1:10" x14ac:dyDescent="0.75">
      <c r="A1641" t="s">
        <v>151</v>
      </c>
      <c r="B1641">
        <v>4421</v>
      </c>
      <c r="C1641" t="s">
        <v>22</v>
      </c>
      <c r="D1641">
        <v>6872</v>
      </c>
      <c r="E1641" t="s">
        <v>492</v>
      </c>
      <c r="F1641" s="4">
        <v>0</v>
      </c>
      <c r="G1641" s="4">
        <v>23</v>
      </c>
      <c r="H1641" s="4">
        <v>23</v>
      </c>
      <c r="I1641" s="4">
        <v>0</v>
      </c>
      <c r="J1641" s="4">
        <v>23</v>
      </c>
    </row>
    <row r="1642" spans="1:10" x14ac:dyDescent="0.75">
      <c r="A1642" t="s">
        <v>151</v>
      </c>
      <c r="B1642">
        <v>4421</v>
      </c>
      <c r="C1642" t="s">
        <v>22</v>
      </c>
      <c r="D1642">
        <v>2410</v>
      </c>
      <c r="E1642" t="s">
        <v>430</v>
      </c>
      <c r="F1642" s="4">
        <v>0</v>
      </c>
      <c r="G1642" s="4">
        <v>21</v>
      </c>
      <c r="H1642" s="4">
        <v>21</v>
      </c>
      <c r="I1642" s="4">
        <v>0</v>
      </c>
      <c r="J1642" s="4">
        <v>21</v>
      </c>
    </row>
    <row r="1643" spans="1:10" x14ac:dyDescent="0.75">
      <c r="A1643" t="s">
        <v>151</v>
      </c>
      <c r="B1643">
        <v>4421</v>
      </c>
      <c r="C1643" t="s">
        <v>22</v>
      </c>
      <c r="D1643">
        <v>3284</v>
      </c>
      <c r="E1643" t="s">
        <v>442</v>
      </c>
      <c r="F1643" s="4">
        <v>0</v>
      </c>
      <c r="G1643" s="4">
        <v>18</v>
      </c>
      <c r="H1643" s="4">
        <v>3</v>
      </c>
      <c r="I1643" s="4">
        <v>15</v>
      </c>
      <c r="J1643" s="4">
        <v>18</v>
      </c>
    </row>
    <row r="1644" spans="1:10" x14ac:dyDescent="0.75">
      <c r="A1644" t="s">
        <v>151</v>
      </c>
      <c r="B1644">
        <v>4421</v>
      </c>
      <c r="C1644" t="s">
        <v>22</v>
      </c>
      <c r="D1644">
        <v>3260</v>
      </c>
      <c r="E1644" t="s">
        <v>436</v>
      </c>
      <c r="F1644" s="4">
        <v>0</v>
      </c>
      <c r="G1644" s="4">
        <v>17</v>
      </c>
      <c r="H1644" s="4">
        <v>17</v>
      </c>
      <c r="I1644" s="4">
        <v>0</v>
      </c>
      <c r="J1644" s="4">
        <v>17</v>
      </c>
    </row>
    <row r="1645" spans="1:10" x14ac:dyDescent="0.75">
      <c r="A1645" t="s">
        <v>151</v>
      </c>
      <c r="B1645">
        <v>4421</v>
      </c>
      <c r="C1645" t="s">
        <v>22</v>
      </c>
      <c r="D1645">
        <v>6521</v>
      </c>
      <c r="E1645" t="s">
        <v>476</v>
      </c>
      <c r="F1645" s="4">
        <v>0</v>
      </c>
      <c r="G1645" s="4">
        <v>16</v>
      </c>
      <c r="H1645" s="4">
        <v>16</v>
      </c>
      <c r="I1645" s="4">
        <v>0</v>
      </c>
      <c r="J1645" s="4">
        <v>16</v>
      </c>
    </row>
    <row r="1646" spans="1:10" x14ac:dyDescent="0.75">
      <c r="A1646" t="s">
        <v>151</v>
      </c>
      <c r="B1646">
        <v>4421</v>
      </c>
      <c r="C1646" t="s">
        <v>22</v>
      </c>
      <c r="D1646">
        <v>6241</v>
      </c>
      <c r="E1646" t="s">
        <v>391</v>
      </c>
      <c r="F1646" s="4">
        <v>0</v>
      </c>
      <c r="G1646" s="4">
        <v>15</v>
      </c>
      <c r="H1646" s="4">
        <v>15</v>
      </c>
      <c r="I1646" s="4">
        <v>0</v>
      </c>
      <c r="J1646" s="4">
        <v>15</v>
      </c>
    </row>
    <row r="1647" spans="1:10" x14ac:dyDescent="0.75">
      <c r="A1647" t="s">
        <v>151</v>
      </c>
      <c r="B1647">
        <v>4421</v>
      </c>
      <c r="C1647" t="s">
        <v>22</v>
      </c>
      <c r="D1647">
        <v>5110</v>
      </c>
      <c r="E1647" t="s">
        <v>460</v>
      </c>
      <c r="F1647" s="4">
        <v>14</v>
      </c>
      <c r="G1647" s="4">
        <v>0</v>
      </c>
      <c r="H1647" s="4">
        <v>0</v>
      </c>
      <c r="I1647" s="4">
        <v>0</v>
      </c>
      <c r="J1647" s="4">
        <v>14</v>
      </c>
    </row>
    <row r="1648" spans="1:10" x14ac:dyDescent="0.75">
      <c r="A1648" t="s">
        <v>151</v>
      </c>
      <c r="B1648">
        <v>4421</v>
      </c>
      <c r="C1648" t="s">
        <v>22</v>
      </c>
      <c r="D1648">
        <v>4650</v>
      </c>
      <c r="E1648" t="s">
        <v>457</v>
      </c>
      <c r="F1648" s="4">
        <v>0</v>
      </c>
      <c r="G1648" s="4">
        <v>12</v>
      </c>
      <c r="H1648" s="4">
        <v>12</v>
      </c>
      <c r="I1648" s="4">
        <v>0</v>
      </c>
      <c r="J1648" s="4">
        <v>12</v>
      </c>
    </row>
    <row r="1649" spans="1:10" x14ac:dyDescent="0.75">
      <c r="A1649" t="s">
        <v>151</v>
      </c>
      <c r="B1649">
        <v>4421</v>
      </c>
      <c r="C1649" t="s">
        <v>22</v>
      </c>
      <c r="D1649">
        <v>5320</v>
      </c>
      <c r="E1649" t="s">
        <v>384</v>
      </c>
      <c r="F1649" s="4">
        <v>0</v>
      </c>
      <c r="G1649" s="4">
        <v>8</v>
      </c>
      <c r="H1649" s="4">
        <v>0</v>
      </c>
      <c r="I1649" s="4">
        <v>8</v>
      </c>
      <c r="J1649" s="4">
        <v>8</v>
      </c>
    </row>
    <row r="1650" spans="1:10" x14ac:dyDescent="0.75">
      <c r="A1650" t="s">
        <v>151</v>
      </c>
      <c r="B1650">
        <v>4421</v>
      </c>
      <c r="C1650" t="s">
        <v>22</v>
      </c>
      <c r="D1650">
        <v>3283</v>
      </c>
      <c r="E1650" t="s">
        <v>441</v>
      </c>
      <c r="F1650" s="4">
        <v>0</v>
      </c>
      <c r="G1650" s="4">
        <v>2</v>
      </c>
      <c r="H1650" s="4">
        <v>2</v>
      </c>
      <c r="I1650" s="4">
        <v>0</v>
      </c>
      <c r="J1650" s="4">
        <v>2</v>
      </c>
    </row>
    <row r="1651" spans="1:10" x14ac:dyDescent="0.75">
      <c r="A1651" t="s">
        <v>151</v>
      </c>
      <c r="B1651">
        <v>4421</v>
      </c>
      <c r="C1651" t="s">
        <v>22</v>
      </c>
      <c r="D1651">
        <v>4161</v>
      </c>
      <c r="E1651" t="s">
        <v>421</v>
      </c>
      <c r="F1651" s="4">
        <v>0</v>
      </c>
      <c r="G1651" s="4">
        <v>2</v>
      </c>
      <c r="H1651" s="4">
        <v>2</v>
      </c>
      <c r="I1651" s="4">
        <v>0</v>
      </c>
      <c r="J1651" s="4">
        <v>2</v>
      </c>
    </row>
    <row r="1652" spans="1:10" x14ac:dyDescent="0.75">
      <c r="A1652" t="s">
        <v>151</v>
      </c>
      <c r="B1652">
        <v>4421</v>
      </c>
      <c r="C1652" t="s">
        <v>22</v>
      </c>
      <c r="D1652">
        <v>7300</v>
      </c>
      <c r="E1652" t="s">
        <v>501</v>
      </c>
      <c r="F1652" s="4">
        <v>0</v>
      </c>
      <c r="G1652" s="4">
        <v>1</v>
      </c>
      <c r="H1652" s="4">
        <v>1</v>
      </c>
      <c r="I1652" s="4">
        <v>0</v>
      </c>
      <c r="J1652" s="4">
        <v>1</v>
      </c>
    </row>
    <row r="1653" spans="1:10" x14ac:dyDescent="0.75">
      <c r="A1653" t="s">
        <v>151</v>
      </c>
      <c r="B1653">
        <v>4797</v>
      </c>
      <c r="C1653" t="s">
        <v>83</v>
      </c>
      <c r="D1653">
        <v>6887</v>
      </c>
      <c r="E1653" t="s">
        <v>505</v>
      </c>
      <c r="F1653" s="4">
        <v>849</v>
      </c>
      <c r="G1653" s="4">
        <v>0</v>
      </c>
      <c r="H1653" s="4">
        <v>0</v>
      </c>
      <c r="I1653" s="4">
        <v>0</v>
      </c>
      <c r="J1653" s="4">
        <v>849</v>
      </c>
    </row>
    <row r="1654" spans="1:10" x14ac:dyDescent="0.75">
      <c r="A1654" t="s">
        <v>151</v>
      </c>
      <c r="B1654">
        <v>4797</v>
      </c>
      <c r="C1654" t="s">
        <v>83</v>
      </c>
      <c r="D1654">
        <v>7900</v>
      </c>
      <c r="E1654" t="s">
        <v>388</v>
      </c>
      <c r="F1654" s="4">
        <v>786</v>
      </c>
      <c r="G1654" s="4">
        <v>0</v>
      </c>
      <c r="H1654" s="4">
        <v>0</v>
      </c>
      <c r="I1654" s="4">
        <v>0</v>
      </c>
      <c r="J1654" s="4">
        <v>786</v>
      </c>
    </row>
    <row r="1655" spans="1:10" x14ac:dyDescent="0.75">
      <c r="A1655" t="s">
        <v>151</v>
      </c>
      <c r="B1655">
        <v>4797</v>
      </c>
      <c r="C1655" t="s">
        <v>83</v>
      </c>
      <c r="D1655">
        <v>6134</v>
      </c>
      <c r="E1655" t="s">
        <v>470</v>
      </c>
      <c r="F1655" s="4">
        <v>754</v>
      </c>
      <c r="G1655" s="4">
        <v>0</v>
      </c>
      <c r="H1655" s="4">
        <v>0</v>
      </c>
      <c r="I1655" s="4">
        <v>0</v>
      </c>
      <c r="J1655" s="4">
        <v>754</v>
      </c>
    </row>
    <row r="1656" spans="1:10" x14ac:dyDescent="0.75">
      <c r="A1656" t="s">
        <v>151</v>
      </c>
      <c r="B1656">
        <v>4797</v>
      </c>
      <c r="C1656" t="s">
        <v>83</v>
      </c>
      <c r="D1656">
        <v>4331</v>
      </c>
      <c r="E1656" t="s">
        <v>390</v>
      </c>
      <c r="F1656" s="4">
        <v>725</v>
      </c>
      <c r="G1656" s="4">
        <v>0</v>
      </c>
      <c r="H1656" s="4">
        <v>0</v>
      </c>
      <c r="I1656" s="4">
        <v>0</v>
      </c>
      <c r="J1656" s="4">
        <v>725</v>
      </c>
    </row>
    <row r="1657" spans="1:10" x14ac:dyDescent="0.75">
      <c r="A1657" t="s">
        <v>151</v>
      </c>
      <c r="B1657">
        <v>4797</v>
      </c>
      <c r="C1657" t="s">
        <v>83</v>
      </c>
      <c r="D1657">
        <v>7400</v>
      </c>
      <c r="E1657" t="s">
        <v>502</v>
      </c>
      <c r="F1657" s="4">
        <v>394</v>
      </c>
      <c r="G1657" s="4">
        <v>0</v>
      </c>
      <c r="H1657" s="4">
        <v>0</v>
      </c>
      <c r="I1657" s="4">
        <v>0</v>
      </c>
      <c r="J1657" s="4">
        <v>394</v>
      </c>
    </row>
    <row r="1658" spans="1:10" x14ac:dyDescent="0.75">
      <c r="A1658" t="s">
        <v>151</v>
      </c>
      <c r="B1658">
        <v>4797</v>
      </c>
      <c r="C1658" t="s">
        <v>83</v>
      </c>
      <c r="D1658">
        <v>2211</v>
      </c>
      <c r="E1658" t="s">
        <v>367</v>
      </c>
      <c r="F1658" s="4">
        <v>382</v>
      </c>
      <c r="G1658" s="4">
        <v>0</v>
      </c>
      <c r="H1658" s="4">
        <v>0</v>
      </c>
      <c r="I1658" s="4">
        <v>0</v>
      </c>
      <c r="J1658" s="4">
        <v>382</v>
      </c>
    </row>
    <row r="1659" spans="1:10" x14ac:dyDescent="0.75">
      <c r="A1659" t="s">
        <v>151</v>
      </c>
      <c r="B1659">
        <v>4797</v>
      </c>
      <c r="C1659" t="s">
        <v>83</v>
      </c>
      <c r="D1659">
        <v>5360</v>
      </c>
      <c r="E1659" t="s">
        <v>465</v>
      </c>
      <c r="F1659" s="4">
        <v>377</v>
      </c>
      <c r="G1659" s="4">
        <v>0</v>
      </c>
      <c r="H1659" s="4">
        <v>0</v>
      </c>
      <c r="I1659" s="4">
        <v>0</v>
      </c>
      <c r="J1659" s="4">
        <v>377</v>
      </c>
    </row>
    <row r="1660" spans="1:10" x14ac:dyDescent="0.75">
      <c r="A1660" t="s">
        <v>151</v>
      </c>
      <c r="B1660">
        <v>4797</v>
      </c>
      <c r="C1660" t="s">
        <v>83</v>
      </c>
      <c r="D1660">
        <v>6885</v>
      </c>
      <c r="E1660" t="s">
        <v>493</v>
      </c>
      <c r="F1660" s="4">
        <v>331</v>
      </c>
      <c r="G1660" s="4">
        <v>0</v>
      </c>
      <c r="H1660" s="4">
        <v>0</v>
      </c>
      <c r="I1660" s="4">
        <v>0</v>
      </c>
      <c r="J1660" s="4">
        <v>331</v>
      </c>
    </row>
    <row r="1661" spans="1:10" x14ac:dyDescent="0.75">
      <c r="A1661" t="s">
        <v>151</v>
      </c>
      <c r="B1661">
        <v>4797</v>
      </c>
      <c r="C1661" t="s">
        <v>83</v>
      </c>
      <c r="D1661">
        <v>7210</v>
      </c>
      <c r="E1661" t="s">
        <v>426</v>
      </c>
      <c r="F1661" s="4">
        <v>244</v>
      </c>
      <c r="G1661" s="4">
        <v>0</v>
      </c>
      <c r="H1661" s="4">
        <v>0</v>
      </c>
      <c r="I1661" s="4">
        <v>0</v>
      </c>
      <c r="J1661" s="4">
        <v>244</v>
      </c>
    </row>
    <row r="1662" spans="1:10" x14ac:dyDescent="0.75">
      <c r="A1662" t="s">
        <v>151</v>
      </c>
      <c r="B1662">
        <v>4797</v>
      </c>
      <c r="C1662" t="s">
        <v>83</v>
      </c>
      <c r="D1662">
        <v>7110</v>
      </c>
      <c r="E1662" t="s">
        <v>371</v>
      </c>
      <c r="F1662" s="4">
        <v>206</v>
      </c>
      <c r="G1662" s="4">
        <v>0</v>
      </c>
      <c r="H1662" s="4">
        <v>0</v>
      </c>
      <c r="I1662" s="4">
        <v>0</v>
      </c>
      <c r="J1662" s="4">
        <v>206</v>
      </c>
    </row>
    <row r="1663" spans="1:10" x14ac:dyDescent="0.75">
      <c r="A1663" t="s">
        <v>151</v>
      </c>
      <c r="B1663">
        <v>4797</v>
      </c>
      <c r="C1663" t="s">
        <v>83</v>
      </c>
      <c r="D1663">
        <v>7500</v>
      </c>
      <c r="E1663" t="s">
        <v>427</v>
      </c>
      <c r="F1663" s="4">
        <v>190</v>
      </c>
      <c r="G1663" s="4">
        <v>0</v>
      </c>
      <c r="H1663" s="4">
        <v>0</v>
      </c>
      <c r="I1663" s="4">
        <v>0</v>
      </c>
      <c r="J1663" s="4">
        <v>190</v>
      </c>
    </row>
    <row r="1664" spans="1:10" x14ac:dyDescent="0.75">
      <c r="A1664" t="s">
        <v>151</v>
      </c>
      <c r="B1664">
        <v>4797</v>
      </c>
      <c r="C1664" t="s">
        <v>83</v>
      </c>
      <c r="D1664">
        <v>4189</v>
      </c>
      <c r="E1664" t="s">
        <v>451</v>
      </c>
      <c r="F1664" s="4">
        <v>166</v>
      </c>
      <c r="G1664" s="4">
        <v>0</v>
      </c>
      <c r="H1664" s="4">
        <v>0</v>
      </c>
      <c r="I1664" s="4">
        <v>0</v>
      </c>
      <c r="J1664" s="4">
        <v>166</v>
      </c>
    </row>
    <row r="1665" spans="1:10" x14ac:dyDescent="0.75">
      <c r="A1665" t="s">
        <v>151</v>
      </c>
      <c r="B1665">
        <v>4797</v>
      </c>
      <c r="C1665" t="s">
        <v>83</v>
      </c>
      <c r="D1665">
        <v>3299</v>
      </c>
      <c r="E1665" t="s">
        <v>448</v>
      </c>
      <c r="F1665" s="4">
        <v>155</v>
      </c>
      <c r="G1665" s="4">
        <v>0</v>
      </c>
      <c r="H1665" s="4">
        <v>0</v>
      </c>
      <c r="I1665" s="4">
        <v>0</v>
      </c>
      <c r="J1665" s="4">
        <v>155</v>
      </c>
    </row>
    <row r="1666" spans="1:10" x14ac:dyDescent="0.75">
      <c r="A1666" t="s">
        <v>151</v>
      </c>
      <c r="B1666">
        <v>4797</v>
      </c>
      <c r="C1666" t="s">
        <v>83</v>
      </c>
      <c r="D1666">
        <v>5480</v>
      </c>
      <c r="E1666" t="s">
        <v>386</v>
      </c>
      <c r="F1666" s="4">
        <v>149</v>
      </c>
      <c r="G1666" s="4">
        <v>0</v>
      </c>
      <c r="H1666" s="4">
        <v>0</v>
      </c>
      <c r="I1666" s="4">
        <v>0</v>
      </c>
      <c r="J1666" s="4">
        <v>149</v>
      </c>
    </row>
    <row r="1667" spans="1:10" x14ac:dyDescent="0.75">
      <c r="A1667" t="s">
        <v>151</v>
      </c>
      <c r="B1667">
        <v>4797</v>
      </c>
      <c r="C1667" t="s">
        <v>83</v>
      </c>
      <c r="D1667">
        <v>3282</v>
      </c>
      <c r="E1667" t="s">
        <v>440</v>
      </c>
      <c r="F1667" s="4">
        <v>117</v>
      </c>
      <c r="G1667" s="4">
        <v>0</v>
      </c>
      <c r="H1667" s="4">
        <v>0</v>
      </c>
      <c r="I1667" s="4">
        <v>0</v>
      </c>
      <c r="J1667" s="4">
        <v>117</v>
      </c>
    </row>
    <row r="1668" spans="1:10" x14ac:dyDescent="0.75">
      <c r="A1668" t="s">
        <v>151</v>
      </c>
      <c r="B1668">
        <v>4797</v>
      </c>
      <c r="C1668" t="s">
        <v>83</v>
      </c>
      <c r="D1668">
        <v>5190</v>
      </c>
      <c r="E1668" t="s">
        <v>462</v>
      </c>
      <c r="F1668" s="4">
        <v>101</v>
      </c>
      <c r="G1668" s="4">
        <v>0</v>
      </c>
      <c r="H1668" s="4">
        <v>0</v>
      </c>
      <c r="I1668" s="4">
        <v>0</v>
      </c>
      <c r="J1668" s="4">
        <v>101</v>
      </c>
    </row>
    <row r="1669" spans="1:10" x14ac:dyDescent="0.75">
      <c r="A1669" t="s">
        <v>151</v>
      </c>
      <c r="B1669">
        <v>4797</v>
      </c>
      <c r="C1669" t="s">
        <v>83</v>
      </c>
      <c r="D1669">
        <v>7120</v>
      </c>
      <c r="E1669" t="s">
        <v>499</v>
      </c>
      <c r="F1669" s="4">
        <v>82</v>
      </c>
      <c r="G1669" s="4">
        <v>0</v>
      </c>
      <c r="H1669" s="4">
        <v>0</v>
      </c>
      <c r="I1669" s="4">
        <v>0</v>
      </c>
      <c r="J1669" s="4">
        <v>82</v>
      </c>
    </row>
    <row r="1670" spans="1:10" x14ac:dyDescent="0.75">
      <c r="A1670" t="s">
        <v>151</v>
      </c>
      <c r="B1670">
        <v>4797</v>
      </c>
      <c r="C1670" t="s">
        <v>83</v>
      </c>
      <c r="D1670">
        <v>7230</v>
      </c>
      <c r="E1670" t="s">
        <v>387</v>
      </c>
      <c r="F1670" s="4">
        <v>66</v>
      </c>
      <c r="G1670" s="4">
        <v>0</v>
      </c>
      <c r="H1670" s="4">
        <v>0</v>
      </c>
      <c r="I1670" s="4">
        <v>0</v>
      </c>
      <c r="J1670" s="4">
        <v>66</v>
      </c>
    </row>
    <row r="1671" spans="1:10" x14ac:dyDescent="0.75">
      <c r="A1671" t="s">
        <v>151</v>
      </c>
      <c r="B1671">
        <v>4797</v>
      </c>
      <c r="C1671" t="s">
        <v>83</v>
      </c>
      <c r="D1671">
        <v>2990</v>
      </c>
      <c r="E1671" t="s">
        <v>432</v>
      </c>
      <c r="F1671" s="4">
        <v>54</v>
      </c>
      <c r="G1671" s="4">
        <v>0</v>
      </c>
      <c r="H1671" s="4">
        <v>0</v>
      </c>
      <c r="I1671" s="4">
        <v>0</v>
      </c>
      <c r="J1671" s="4">
        <v>54</v>
      </c>
    </row>
    <row r="1672" spans="1:10" x14ac:dyDescent="0.75">
      <c r="A1672" t="s">
        <v>151</v>
      </c>
      <c r="B1672">
        <v>4797</v>
      </c>
      <c r="C1672" t="s">
        <v>83</v>
      </c>
      <c r="D1672">
        <v>6889</v>
      </c>
      <c r="E1672" t="s">
        <v>420</v>
      </c>
      <c r="F1672" s="4">
        <v>38</v>
      </c>
      <c r="G1672" s="4">
        <v>0</v>
      </c>
      <c r="H1672" s="4">
        <v>0</v>
      </c>
      <c r="I1672" s="4">
        <v>0</v>
      </c>
      <c r="J1672" s="4">
        <v>38</v>
      </c>
    </row>
    <row r="1673" spans="1:10" x14ac:dyDescent="0.75">
      <c r="A1673" t="s">
        <v>151</v>
      </c>
      <c r="B1673">
        <v>4797</v>
      </c>
      <c r="C1673" t="s">
        <v>83</v>
      </c>
      <c r="D1673">
        <v>6782</v>
      </c>
      <c r="E1673" t="s">
        <v>396</v>
      </c>
      <c r="F1673" s="4">
        <v>35</v>
      </c>
      <c r="G1673" s="4">
        <v>0</v>
      </c>
      <c r="H1673" s="4">
        <v>0</v>
      </c>
      <c r="I1673" s="4">
        <v>0</v>
      </c>
      <c r="J1673" s="4">
        <v>35</v>
      </c>
    </row>
    <row r="1674" spans="1:10" x14ac:dyDescent="0.75">
      <c r="A1674" t="s">
        <v>151</v>
      </c>
      <c r="B1674">
        <v>4797</v>
      </c>
      <c r="C1674" t="s">
        <v>83</v>
      </c>
      <c r="D1674">
        <v>5290</v>
      </c>
      <c r="E1674" t="s">
        <v>415</v>
      </c>
      <c r="F1674" s="4">
        <v>21</v>
      </c>
      <c r="G1674" s="4">
        <v>0</v>
      </c>
      <c r="H1674" s="4">
        <v>0</v>
      </c>
      <c r="I1674" s="4">
        <v>0</v>
      </c>
      <c r="J1674" s="4">
        <v>21</v>
      </c>
    </row>
    <row r="1675" spans="1:10" x14ac:dyDescent="0.75">
      <c r="A1675" t="s">
        <v>151</v>
      </c>
      <c r="B1675">
        <v>4797</v>
      </c>
      <c r="C1675" t="s">
        <v>83</v>
      </c>
      <c r="D1675">
        <v>5370</v>
      </c>
      <c r="E1675" t="s">
        <v>466</v>
      </c>
      <c r="F1675" s="4">
        <v>13</v>
      </c>
      <c r="G1675" s="4">
        <v>0</v>
      </c>
      <c r="H1675" s="4">
        <v>0</v>
      </c>
      <c r="I1675" s="4">
        <v>0</v>
      </c>
      <c r="J1675" s="4">
        <v>13</v>
      </c>
    </row>
    <row r="1676" spans="1:10" x14ac:dyDescent="0.75">
      <c r="A1676" t="s">
        <v>151</v>
      </c>
      <c r="B1676">
        <v>4797</v>
      </c>
      <c r="C1676" t="s">
        <v>83</v>
      </c>
      <c r="D1676">
        <v>5240</v>
      </c>
      <c r="E1676" t="s">
        <v>464</v>
      </c>
      <c r="F1676" s="4">
        <v>11</v>
      </c>
      <c r="G1676" s="4">
        <v>0</v>
      </c>
      <c r="H1676" s="4">
        <v>0</v>
      </c>
      <c r="I1676" s="4">
        <v>0</v>
      </c>
      <c r="J1676" s="4">
        <v>11</v>
      </c>
    </row>
    <row r="1677" spans="1:10" x14ac:dyDescent="0.75">
      <c r="A1677" t="s">
        <v>151</v>
      </c>
      <c r="B1677">
        <v>4797</v>
      </c>
      <c r="C1677" t="s">
        <v>83</v>
      </c>
      <c r="D1677">
        <v>5540</v>
      </c>
      <c r="E1677" t="s">
        <v>469</v>
      </c>
      <c r="F1677" s="4">
        <v>11</v>
      </c>
      <c r="G1677" s="4">
        <v>0</v>
      </c>
      <c r="H1677" s="4">
        <v>0</v>
      </c>
      <c r="I1677" s="4">
        <v>0</v>
      </c>
      <c r="J1677" s="4">
        <v>11</v>
      </c>
    </row>
    <row r="1678" spans="1:10" x14ac:dyDescent="0.75">
      <c r="A1678" t="s">
        <v>151</v>
      </c>
      <c r="B1678">
        <v>4797</v>
      </c>
      <c r="C1678" t="s">
        <v>83</v>
      </c>
      <c r="D1678">
        <v>2430</v>
      </c>
      <c r="E1678" t="s">
        <v>376</v>
      </c>
      <c r="F1678" s="4">
        <v>3</v>
      </c>
      <c r="G1678" s="4">
        <v>0</v>
      </c>
      <c r="H1678" s="4">
        <v>0</v>
      </c>
      <c r="I1678" s="4">
        <v>0</v>
      </c>
      <c r="J1678" s="4">
        <v>3</v>
      </c>
    </row>
    <row r="1679" spans="1:10" x14ac:dyDescent="0.75">
      <c r="A1679" t="s">
        <v>151</v>
      </c>
      <c r="B1679">
        <v>4797</v>
      </c>
      <c r="C1679" t="s">
        <v>83</v>
      </c>
      <c r="D1679">
        <v>4420</v>
      </c>
      <c r="E1679" t="s">
        <v>381</v>
      </c>
      <c r="F1679" s="4">
        <v>3</v>
      </c>
      <c r="G1679" s="4">
        <v>0</v>
      </c>
      <c r="H1679" s="4">
        <v>0</v>
      </c>
      <c r="I1679" s="4">
        <v>0</v>
      </c>
      <c r="J1679" s="4">
        <v>3</v>
      </c>
    </row>
    <row r="1680" spans="1:10" x14ac:dyDescent="0.75">
      <c r="A1680" t="s">
        <v>151</v>
      </c>
      <c r="B1680">
        <v>4797</v>
      </c>
      <c r="C1680" t="s">
        <v>83</v>
      </c>
      <c r="D1680">
        <v>3220</v>
      </c>
      <c r="E1680" t="s">
        <v>370</v>
      </c>
      <c r="F1680" s="4">
        <v>2</v>
      </c>
      <c r="G1680" s="4">
        <v>0</v>
      </c>
      <c r="H1680" s="4">
        <v>0</v>
      </c>
      <c r="I1680" s="4">
        <v>0</v>
      </c>
      <c r="J1680" s="4">
        <v>2</v>
      </c>
    </row>
    <row r="1681" spans="1:10" x14ac:dyDescent="0.75">
      <c r="A1681" t="s">
        <v>151</v>
      </c>
      <c r="B1681">
        <v>4962</v>
      </c>
      <c r="C1681" t="s">
        <v>353</v>
      </c>
      <c r="D1681">
        <v>2330</v>
      </c>
      <c r="E1681" t="s">
        <v>368</v>
      </c>
      <c r="F1681" s="4">
        <v>427</v>
      </c>
      <c r="G1681" s="4">
        <v>0</v>
      </c>
      <c r="H1681" s="4">
        <v>0</v>
      </c>
      <c r="I1681" s="4">
        <v>0</v>
      </c>
      <c r="J1681" s="4">
        <v>427</v>
      </c>
    </row>
    <row r="1682" spans="1:10" x14ac:dyDescent="0.75">
      <c r="A1682" t="s">
        <v>151</v>
      </c>
      <c r="B1682">
        <v>4962</v>
      </c>
      <c r="C1682" t="s">
        <v>353</v>
      </c>
      <c r="D1682">
        <v>2211</v>
      </c>
      <c r="E1682" t="s">
        <v>367</v>
      </c>
      <c r="F1682" s="4">
        <v>268</v>
      </c>
      <c r="G1682" s="4">
        <v>0</v>
      </c>
      <c r="H1682" s="4">
        <v>0</v>
      </c>
      <c r="I1682" s="4">
        <v>0</v>
      </c>
      <c r="J1682" s="4">
        <v>268</v>
      </c>
    </row>
    <row r="1683" spans="1:10" x14ac:dyDescent="0.75">
      <c r="A1683" t="s">
        <v>151</v>
      </c>
      <c r="B1683">
        <v>4962</v>
      </c>
      <c r="C1683" t="s">
        <v>353</v>
      </c>
      <c r="D1683">
        <v>2221</v>
      </c>
      <c r="E1683" t="s">
        <v>374</v>
      </c>
      <c r="F1683" s="4">
        <v>10</v>
      </c>
      <c r="G1683" s="4">
        <v>0</v>
      </c>
      <c r="H1683" s="4">
        <v>0</v>
      </c>
      <c r="I1683" s="4">
        <v>0</v>
      </c>
      <c r="J1683" s="4">
        <v>10</v>
      </c>
    </row>
    <row r="1684" spans="1:10" x14ac:dyDescent="0.75">
      <c r="A1684" t="s">
        <v>151</v>
      </c>
      <c r="B1684">
        <v>738</v>
      </c>
      <c r="C1684" t="s">
        <v>260</v>
      </c>
      <c r="D1684">
        <v>3220</v>
      </c>
      <c r="E1684" t="s">
        <v>370</v>
      </c>
      <c r="F1684" s="4">
        <v>374952</v>
      </c>
      <c r="G1684" s="4">
        <v>0</v>
      </c>
      <c r="H1684" s="4">
        <v>0</v>
      </c>
      <c r="I1684" s="4">
        <v>0</v>
      </c>
      <c r="J1684" s="4">
        <v>374952</v>
      </c>
    </row>
    <row r="1685" spans="1:10" x14ac:dyDescent="0.75">
      <c r="A1685" t="s">
        <v>151</v>
      </c>
      <c r="B1685">
        <v>738</v>
      </c>
      <c r="C1685" t="s">
        <v>260</v>
      </c>
      <c r="D1685">
        <v>3110</v>
      </c>
      <c r="E1685" t="s">
        <v>405</v>
      </c>
      <c r="F1685" s="4">
        <v>187609</v>
      </c>
      <c r="G1685" s="4">
        <v>137787</v>
      </c>
      <c r="H1685" s="4">
        <v>0</v>
      </c>
      <c r="I1685" s="4">
        <v>137787</v>
      </c>
      <c r="J1685" s="4">
        <v>325396</v>
      </c>
    </row>
    <row r="1686" spans="1:10" x14ac:dyDescent="0.75">
      <c r="A1686" t="s">
        <v>151</v>
      </c>
      <c r="B1686">
        <v>738</v>
      </c>
      <c r="C1686" t="s">
        <v>260</v>
      </c>
      <c r="D1686">
        <v>3276</v>
      </c>
      <c r="E1686" t="s">
        <v>379</v>
      </c>
      <c r="F1686" s="4">
        <v>0</v>
      </c>
      <c r="G1686" s="4">
        <v>130265</v>
      </c>
      <c r="H1686" s="4">
        <v>0</v>
      </c>
      <c r="I1686" s="4">
        <v>130265</v>
      </c>
      <c r="J1686" s="4">
        <v>130265</v>
      </c>
    </row>
    <row r="1687" spans="1:10" x14ac:dyDescent="0.75">
      <c r="A1687" t="s">
        <v>151</v>
      </c>
      <c r="B1687">
        <v>738</v>
      </c>
      <c r="C1687" t="s">
        <v>260</v>
      </c>
      <c r="D1687">
        <v>3274</v>
      </c>
      <c r="E1687" t="s">
        <v>438</v>
      </c>
      <c r="F1687" s="4">
        <v>0</v>
      </c>
      <c r="G1687" s="4">
        <v>43858</v>
      </c>
      <c r="H1687" s="4">
        <v>43858</v>
      </c>
      <c r="I1687" s="4">
        <v>0</v>
      </c>
      <c r="J1687" s="4">
        <v>43858</v>
      </c>
    </row>
    <row r="1688" spans="1:10" x14ac:dyDescent="0.75">
      <c r="A1688" t="s">
        <v>151</v>
      </c>
      <c r="B1688">
        <v>738</v>
      </c>
      <c r="C1688" t="s">
        <v>260</v>
      </c>
      <c r="D1688">
        <v>4900</v>
      </c>
      <c r="E1688" t="s">
        <v>383</v>
      </c>
      <c r="F1688" s="4">
        <v>0</v>
      </c>
      <c r="G1688" s="4">
        <v>13703</v>
      </c>
      <c r="H1688" s="4">
        <v>13703</v>
      </c>
      <c r="I1688" s="4">
        <v>0</v>
      </c>
      <c r="J1688" s="4">
        <v>13703</v>
      </c>
    </row>
    <row r="1689" spans="1:10" x14ac:dyDescent="0.75">
      <c r="A1689" t="s">
        <v>151</v>
      </c>
      <c r="B1689">
        <v>738</v>
      </c>
      <c r="C1689" t="s">
        <v>260</v>
      </c>
      <c r="D1689">
        <v>2430</v>
      </c>
      <c r="E1689" t="s">
        <v>376</v>
      </c>
      <c r="F1689" s="4">
        <v>6475</v>
      </c>
      <c r="G1689" s="4">
        <v>0</v>
      </c>
      <c r="H1689" s="4">
        <v>0</v>
      </c>
      <c r="I1689" s="4">
        <v>0</v>
      </c>
      <c r="J1689" s="4">
        <v>6475</v>
      </c>
    </row>
    <row r="1690" spans="1:10" x14ac:dyDescent="0.75">
      <c r="A1690" t="s">
        <v>151</v>
      </c>
      <c r="B1690">
        <v>738</v>
      </c>
      <c r="C1690" t="s">
        <v>260</v>
      </c>
      <c r="D1690">
        <v>3275</v>
      </c>
      <c r="E1690" t="s">
        <v>412</v>
      </c>
      <c r="F1690" s="4">
        <v>0</v>
      </c>
      <c r="G1690" s="4">
        <v>6250</v>
      </c>
      <c r="H1690" s="4">
        <v>6250</v>
      </c>
      <c r="I1690" s="4">
        <v>0</v>
      </c>
      <c r="J1690" s="4">
        <v>6250</v>
      </c>
    </row>
    <row r="1691" spans="1:10" x14ac:dyDescent="0.75">
      <c r="A1691" t="s">
        <v>151</v>
      </c>
      <c r="B1691">
        <v>2031</v>
      </c>
      <c r="C1691" t="s">
        <v>152</v>
      </c>
      <c r="D1691">
        <v>2100</v>
      </c>
      <c r="E1691" t="s">
        <v>403</v>
      </c>
      <c r="F1691" s="4">
        <v>3498388</v>
      </c>
      <c r="G1691" s="4">
        <v>42536943</v>
      </c>
      <c r="H1691" s="4">
        <v>14185751</v>
      </c>
      <c r="I1691" s="4">
        <v>28351192</v>
      </c>
      <c r="J1691" s="4">
        <v>46035331</v>
      </c>
    </row>
    <row r="1692" spans="1:10" x14ac:dyDescent="0.75">
      <c r="A1692" t="s">
        <v>151</v>
      </c>
      <c r="B1692">
        <v>2031</v>
      </c>
      <c r="C1692" t="s">
        <v>152</v>
      </c>
      <c r="D1692">
        <v>2330</v>
      </c>
      <c r="E1692" t="s">
        <v>368</v>
      </c>
      <c r="F1692" s="4">
        <v>15178302</v>
      </c>
      <c r="G1692" s="4">
        <v>17194213</v>
      </c>
      <c r="H1692" s="4">
        <v>6590927</v>
      </c>
      <c r="I1692" s="4">
        <v>10603286</v>
      </c>
      <c r="J1692" s="4">
        <v>32372515</v>
      </c>
    </row>
    <row r="1693" spans="1:10" x14ac:dyDescent="0.75">
      <c r="A1693" t="s">
        <v>151</v>
      </c>
      <c r="B1693">
        <v>2031</v>
      </c>
      <c r="C1693" t="s">
        <v>152</v>
      </c>
      <c r="D1693">
        <v>2640</v>
      </c>
      <c r="E1693" t="s">
        <v>431</v>
      </c>
      <c r="F1693" s="4">
        <v>818488</v>
      </c>
      <c r="G1693" s="4">
        <v>27888278</v>
      </c>
      <c r="H1693" s="4">
        <v>4267</v>
      </c>
      <c r="I1693" s="4">
        <v>27884011</v>
      </c>
      <c r="J1693" s="4">
        <v>28706766</v>
      </c>
    </row>
    <row r="1694" spans="1:10" x14ac:dyDescent="0.75">
      <c r="A1694" t="s">
        <v>151</v>
      </c>
      <c r="B1694">
        <v>2031</v>
      </c>
      <c r="C1694" t="s">
        <v>152</v>
      </c>
      <c r="D1694">
        <v>2211</v>
      </c>
      <c r="E1694" t="s">
        <v>367</v>
      </c>
      <c r="F1694" s="4">
        <v>9894095</v>
      </c>
      <c r="G1694" s="4">
        <v>14719246</v>
      </c>
      <c r="H1694" s="4">
        <v>1907992</v>
      </c>
      <c r="I1694" s="4">
        <v>12811254</v>
      </c>
      <c r="J1694" s="4">
        <v>24613341</v>
      </c>
    </row>
    <row r="1695" spans="1:10" x14ac:dyDescent="0.75">
      <c r="A1695" t="s">
        <v>151</v>
      </c>
      <c r="B1695">
        <v>2031</v>
      </c>
      <c r="C1695" t="s">
        <v>152</v>
      </c>
      <c r="D1695">
        <v>2429</v>
      </c>
      <c r="E1695" t="s">
        <v>375</v>
      </c>
      <c r="F1695" s="4">
        <v>6214592</v>
      </c>
      <c r="G1695" s="4">
        <v>8049715</v>
      </c>
      <c r="H1695" s="4">
        <v>277975</v>
      </c>
      <c r="I1695" s="4">
        <v>7771740</v>
      </c>
      <c r="J1695" s="4">
        <v>14264307</v>
      </c>
    </row>
    <row r="1696" spans="1:10" x14ac:dyDescent="0.75">
      <c r="A1696" t="s">
        <v>151</v>
      </c>
      <c r="B1696">
        <v>2031</v>
      </c>
      <c r="C1696" t="s">
        <v>152</v>
      </c>
      <c r="D1696">
        <v>2340</v>
      </c>
      <c r="E1696" t="s">
        <v>369</v>
      </c>
      <c r="F1696" s="4">
        <v>10124711</v>
      </c>
      <c r="G1696" s="4">
        <v>3548112</v>
      </c>
      <c r="H1696" s="4">
        <v>2747216</v>
      </c>
      <c r="I1696" s="4">
        <v>800896</v>
      </c>
      <c r="J1696" s="4">
        <v>13672823</v>
      </c>
    </row>
    <row r="1697" spans="1:10" x14ac:dyDescent="0.75">
      <c r="A1697" t="s">
        <v>151</v>
      </c>
      <c r="B1697">
        <v>2031</v>
      </c>
      <c r="C1697" t="s">
        <v>152</v>
      </c>
      <c r="D1697">
        <v>3220</v>
      </c>
      <c r="E1697" t="s">
        <v>370</v>
      </c>
      <c r="F1697" s="4">
        <v>4283525</v>
      </c>
      <c r="G1697" s="4">
        <v>2502952</v>
      </c>
      <c r="H1697" s="4">
        <v>833749</v>
      </c>
      <c r="I1697" s="4">
        <v>1669203</v>
      </c>
      <c r="J1697" s="4">
        <v>6786477</v>
      </c>
    </row>
    <row r="1698" spans="1:10" x14ac:dyDescent="0.75">
      <c r="A1698" t="s">
        <v>151</v>
      </c>
      <c r="B1698">
        <v>2031</v>
      </c>
      <c r="C1698" t="s">
        <v>152</v>
      </c>
      <c r="D1698">
        <v>3286</v>
      </c>
      <c r="E1698" t="s">
        <v>423</v>
      </c>
      <c r="F1698" s="4">
        <v>91798</v>
      </c>
      <c r="G1698" s="4">
        <v>6294623</v>
      </c>
      <c r="H1698" s="4">
        <v>790351</v>
      </c>
      <c r="I1698" s="4">
        <v>5504272</v>
      </c>
      <c r="J1698" s="4">
        <v>6386421</v>
      </c>
    </row>
    <row r="1699" spans="1:10" x14ac:dyDescent="0.75">
      <c r="A1699" t="s">
        <v>151</v>
      </c>
      <c r="B1699">
        <v>2031</v>
      </c>
      <c r="C1699" t="s">
        <v>152</v>
      </c>
      <c r="D1699">
        <v>2540</v>
      </c>
      <c r="E1699" t="s">
        <v>377</v>
      </c>
      <c r="F1699" s="4">
        <v>159221</v>
      </c>
      <c r="G1699" s="4">
        <v>5092217</v>
      </c>
      <c r="H1699" s="4">
        <v>54254</v>
      </c>
      <c r="I1699" s="4">
        <v>5037963</v>
      </c>
      <c r="J1699" s="4">
        <v>5251438</v>
      </c>
    </row>
    <row r="1700" spans="1:10" x14ac:dyDescent="0.75">
      <c r="A1700" t="s">
        <v>151</v>
      </c>
      <c r="B1700">
        <v>2031</v>
      </c>
      <c r="C1700" t="s">
        <v>152</v>
      </c>
      <c r="D1700">
        <v>5220</v>
      </c>
      <c r="E1700" t="s">
        <v>401</v>
      </c>
      <c r="F1700" s="4">
        <v>465714</v>
      </c>
      <c r="G1700" s="4">
        <v>4273180</v>
      </c>
      <c r="H1700" s="4">
        <v>4271446</v>
      </c>
      <c r="I1700" s="4">
        <v>1734</v>
      </c>
      <c r="J1700" s="4">
        <v>4738894</v>
      </c>
    </row>
    <row r="1701" spans="1:10" x14ac:dyDescent="0.75">
      <c r="A1701" t="s">
        <v>151</v>
      </c>
      <c r="B1701">
        <v>2031</v>
      </c>
      <c r="C1701" t="s">
        <v>152</v>
      </c>
      <c r="D1701">
        <v>3219</v>
      </c>
      <c r="E1701" t="s">
        <v>378</v>
      </c>
      <c r="F1701" s="4">
        <v>2362664</v>
      </c>
      <c r="G1701" s="4">
        <v>2249556</v>
      </c>
      <c r="H1701" s="4">
        <v>188919</v>
      </c>
      <c r="I1701" s="4">
        <v>2060637</v>
      </c>
      <c r="J1701" s="4">
        <v>4612220</v>
      </c>
    </row>
    <row r="1702" spans="1:10" x14ac:dyDescent="0.75">
      <c r="A1702" t="s">
        <v>151</v>
      </c>
      <c r="B1702">
        <v>2031</v>
      </c>
      <c r="C1702" t="s">
        <v>152</v>
      </c>
      <c r="D1702">
        <v>3211</v>
      </c>
      <c r="E1702" t="s">
        <v>433</v>
      </c>
      <c r="F1702" s="4">
        <v>1265878</v>
      </c>
      <c r="G1702" s="4">
        <v>3295247</v>
      </c>
      <c r="H1702" s="4">
        <v>191499</v>
      </c>
      <c r="I1702" s="4">
        <v>3103748</v>
      </c>
      <c r="J1702" s="4">
        <v>4561125</v>
      </c>
    </row>
    <row r="1703" spans="1:10" x14ac:dyDescent="0.75">
      <c r="A1703" t="s">
        <v>151</v>
      </c>
      <c r="B1703">
        <v>2031</v>
      </c>
      <c r="C1703" t="s">
        <v>152</v>
      </c>
      <c r="D1703">
        <v>2430</v>
      </c>
      <c r="E1703" t="s">
        <v>376</v>
      </c>
      <c r="F1703" s="4">
        <v>3503164</v>
      </c>
      <c r="G1703" s="4">
        <v>832913</v>
      </c>
      <c r="H1703" s="4">
        <v>512131</v>
      </c>
      <c r="I1703" s="4">
        <v>320782</v>
      </c>
      <c r="J1703" s="4">
        <v>4336077</v>
      </c>
    </row>
    <row r="1704" spans="1:10" x14ac:dyDescent="0.75">
      <c r="A1704" t="s">
        <v>151</v>
      </c>
      <c r="B1704">
        <v>2031</v>
      </c>
      <c r="C1704" t="s">
        <v>152</v>
      </c>
      <c r="D1704">
        <v>3212</v>
      </c>
      <c r="E1704" t="s">
        <v>409</v>
      </c>
      <c r="F1704" s="4">
        <v>3420016</v>
      </c>
      <c r="G1704" s="4">
        <v>722738</v>
      </c>
      <c r="H1704" s="4">
        <v>501074</v>
      </c>
      <c r="I1704" s="4">
        <v>221664</v>
      </c>
      <c r="J1704" s="4">
        <v>4142754</v>
      </c>
    </row>
    <row r="1705" spans="1:10" x14ac:dyDescent="0.75">
      <c r="A1705" t="s">
        <v>151</v>
      </c>
      <c r="B1705">
        <v>2031</v>
      </c>
      <c r="C1705" t="s">
        <v>152</v>
      </c>
      <c r="D1705">
        <v>3260</v>
      </c>
      <c r="E1705" t="s">
        <v>436</v>
      </c>
      <c r="F1705" s="4">
        <v>850515</v>
      </c>
      <c r="G1705" s="4">
        <v>3090893</v>
      </c>
      <c r="H1705" s="4">
        <v>518083</v>
      </c>
      <c r="I1705" s="4">
        <v>2572810</v>
      </c>
      <c r="J1705" s="4">
        <v>3941408</v>
      </c>
    </row>
    <row r="1706" spans="1:10" x14ac:dyDescent="0.75">
      <c r="A1706" t="s">
        <v>151</v>
      </c>
      <c r="B1706">
        <v>2031</v>
      </c>
      <c r="C1706" t="s">
        <v>152</v>
      </c>
      <c r="D1706">
        <v>2350</v>
      </c>
      <c r="E1706" t="s">
        <v>404</v>
      </c>
      <c r="F1706" s="4">
        <v>2446954</v>
      </c>
      <c r="G1706" s="4">
        <v>1377276</v>
      </c>
      <c r="H1706" s="4">
        <v>1009308</v>
      </c>
      <c r="I1706" s="4">
        <v>367968</v>
      </c>
      <c r="J1706" s="4">
        <v>3824230</v>
      </c>
    </row>
    <row r="1707" spans="1:10" x14ac:dyDescent="0.75">
      <c r="A1707" t="s">
        <v>151</v>
      </c>
      <c r="B1707">
        <v>2031</v>
      </c>
      <c r="C1707" t="s">
        <v>152</v>
      </c>
      <c r="D1707">
        <v>3230</v>
      </c>
      <c r="E1707" t="s">
        <v>434</v>
      </c>
      <c r="F1707" s="4">
        <v>1083591</v>
      </c>
      <c r="G1707" s="4">
        <v>2097899</v>
      </c>
      <c r="H1707" s="4">
        <v>277923</v>
      </c>
      <c r="I1707" s="4">
        <v>1819976</v>
      </c>
      <c r="J1707" s="4">
        <v>3181490</v>
      </c>
    </row>
    <row r="1708" spans="1:10" x14ac:dyDescent="0.75">
      <c r="A1708" t="s">
        <v>151</v>
      </c>
      <c r="B1708">
        <v>2031</v>
      </c>
      <c r="C1708" t="s">
        <v>152</v>
      </c>
      <c r="D1708">
        <v>6241</v>
      </c>
      <c r="E1708" t="s">
        <v>391</v>
      </c>
      <c r="F1708" s="4">
        <v>10455</v>
      </c>
      <c r="G1708" s="4">
        <v>3023552</v>
      </c>
      <c r="H1708" s="4">
        <v>335</v>
      </c>
      <c r="I1708" s="4">
        <v>3023217</v>
      </c>
      <c r="J1708" s="4">
        <v>3034007</v>
      </c>
    </row>
    <row r="1709" spans="1:10" x14ac:dyDescent="0.75">
      <c r="A1709" t="s">
        <v>151</v>
      </c>
      <c r="B1709">
        <v>2031</v>
      </c>
      <c r="C1709" t="s">
        <v>152</v>
      </c>
      <c r="D1709">
        <v>2221</v>
      </c>
      <c r="E1709" t="s">
        <v>374</v>
      </c>
      <c r="F1709" s="4">
        <v>2074581</v>
      </c>
      <c r="G1709" s="4">
        <v>956790</v>
      </c>
      <c r="H1709" s="4">
        <v>682</v>
      </c>
      <c r="I1709" s="4">
        <v>956108</v>
      </c>
      <c r="J1709" s="4">
        <v>3031371</v>
      </c>
    </row>
    <row r="1710" spans="1:10" x14ac:dyDescent="0.75">
      <c r="A1710" t="s">
        <v>151</v>
      </c>
      <c r="B1710">
        <v>2031</v>
      </c>
      <c r="C1710" t="s">
        <v>152</v>
      </c>
      <c r="D1710">
        <v>7900</v>
      </c>
      <c r="E1710" t="s">
        <v>388</v>
      </c>
      <c r="F1710" s="4">
        <v>3408</v>
      </c>
      <c r="G1710" s="4">
        <v>3015700</v>
      </c>
      <c r="H1710" s="4">
        <v>2647098</v>
      </c>
      <c r="I1710" s="4">
        <v>368602</v>
      </c>
      <c r="J1710" s="4">
        <v>3019108</v>
      </c>
    </row>
    <row r="1711" spans="1:10" x14ac:dyDescent="0.75">
      <c r="A1711" t="s">
        <v>151</v>
      </c>
      <c r="B1711">
        <v>2031</v>
      </c>
      <c r="C1711" t="s">
        <v>152</v>
      </c>
      <c r="D1711">
        <v>5370</v>
      </c>
      <c r="E1711" t="s">
        <v>466</v>
      </c>
      <c r="F1711" s="4">
        <v>12763</v>
      </c>
      <c r="G1711" s="4">
        <v>2436135</v>
      </c>
      <c r="H1711" s="4">
        <v>2376803</v>
      </c>
      <c r="I1711" s="4">
        <v>59332</v>
      </c>
      <c r="J1711" s="4">
        <v>2448898</v>
      </c>
    </row>
    <row r="1712" spans="1:10" x14ac:dyDescent="0.75">
      <c r="A1712" t="s">
        <v>151</v>
      </c>
      <c r="B1712">
        <v>2031</v>
      </c>
      <c r="C1712" t="s">
        <v>152</v>
      </c>
      <c r="D1712">
        <v>6447</v>
      </c>
      <c r="E1712" t="s">
        <v>475</v>
      </c>
      <c r="F1712" s="4">
        <v>1716</v>
      </c>
      <c r="G1712" s="4">
        <v>2309593</v>
      </c>
      <c r="H1712" s="4">
        <v>248</v>
      </c>
      <c r="I1712" s="4">
        <v>2309345</v>
      </c>
      <c r="J1712" s="4">
        <v>2311309</v>
      </c>
    </row>
    <row r="1713" spans="1:10" x14ac:dyDescent="0.75">
      <c r="A1713" t="s">
        <v>151</v>
      </c>
      <c r="B1713">
        <v>2031</v>
      </c>
      <c r="C1713" t="s">
        <v>152</v>
      </c>
      <c r="D1713">
        <v>5290</v>
      </c>
      <c r="E1713" t="s">
        <v>415</v>
      </c>
      <c r="F1713" s="4">
        <v>0</v>
      </c>
      <c r="G1713" s="4">
        <v>2119038</v>
      </c>
      <c r="H1713" s="4">
        <v>2028244</v>
      </c>
      <c r="I1713" s="4">
        <v>90794</v>
      </c>
      <c r="J1713" s="4">
        <v>2119038</v>
      </c>
    </row>
    <row r="1714" spans="1:10" x14ac:dyDescent="0.75">
      <c r="A1714" t="s">
        <v>151</v>
      </c>
      <c r="B1714">
        <v>2031</v>
      </c>
      <c r="C1714" t="s">
        <v>152</v>
      </c>
      <c r="D1714">
        <v>5480</v>
      </c>
      <c r="E1714" t="s">
        <v>386</v>
      </c>
      <c r="F1714" s="4">
        <v>0</v>
      </c>
      <c r="G1714" s="4">
        <v>1844600</v>
      </c>
      <c r="H1714" s="4">
        <v>1592029</v>
      </c>
      <c r="I1714" s="4">
        <v>252571</v>
      </c>
      <c r="J1714" s="4">
        <v>1844600</v>
      </c>
    </row>
    <row r="1715" spans="1:10" x14ac:dyDescent="0.75">
      <c r="A1715" t="s">
        <v>151</v>
      </c>
      <c r="B1715">
        <v>2031</v>
      </c>
      <c r="C1715" t="s">
        <v>152</v>
      </c>
      <c r="D1715">
        <v>3299</v>
      </c>
      <c r="E1715" t="s">
        <v>448</v>
      </c>
      <c r="F1715" s="4">
        <v>387093</v>
      </c>
      <c r="G1715" s="4">
        <v>1407053</v>
      </c>
      <c r="H1715" s="4">
        <v>327680</v>
      </c>
      <c r="I1715" s="4">
        <v>1079373</v>
      </c>
      <c r="J1715" s="4">
        <v>1794146</v>
      </c>
    </row>
    <row r="1716" spans="1:10" x14ac:dyDescent="0.75">
      <c r="A1716" t="s">
        <v>151</v>
      </c>
      <c r="B1716">
        <v>2031</v>
      </c>
      <c r="C1716" t="s">
        <v>152</v>
      </c>
      <c r="D1716">
        <v>2990</v>
      </c>
      <c r="E1716" t="s">
        <v>432</v>
      </c>
      <c r="F1716" s="4">
        <v>1246596</v>
      </c>
      <c r="G1716" s="4">
        <v>507886</v>
      </c>
      <c r="H1716" s="4">
        <v>455921</v>
      </c>
      <c r="I1716" s="4">
        <v>51965</v>
      </c>
      <c r="J1716" s="4">
        <v>1754482</v>
      </c>
    </row>
    <row r="1717" spans="1:10" x14ac:dyDescent="0.75">
      <c r="A1717" t="s">
        <v>151</v>
      </c>
      <c r="B1717">
        <v>2031</v>
      </c>
      <c r="C1717" t="s">
        <v>152</v>
      </c>
      <c r="D1717">
        <v>7110</v>
      </c>
      <c r="E1717" t="s">
        <v>371</v>
      </c>
      <c r="F1717" s="4">
        <v>3206</v>
      </c>
      <c r="G1717" s="4">
        <v>1663391</v>
      </c>
      <c r="H1717" s="4">
        <v>1047644</v>
      </c>
      <c r="I1717" s="4">
        <v>615747</v>
      </c>
      <c r="J1717" s="4">
        <v>1666597</v>
      </c>
    </row>
    <row r="1718" spans="1:10" x14ac:dyDescent="0.75">
      <c r="A1718" t="s">
        <v>151</v>
      </c>
      <c r="B1718">
        <v>2031</v>
      </c>
      <c r="C1718" t="s">
        <v>152</v>
      </c>
      <c r="D1718">
        <v>7600</v>
      </c>
      <c r="E1718" t="s">
        <v>503</v>
      </c>
      <c r="F1718" s="4">
        <v>0</v>
      </c>
      <c r="G1718" s="4">
        <v>1651050</v>
      </c>
      <c r="H1718" s="4">
        <v>1068392</v>
      </c>
      <c r="I1718" s="4">
        <v>582658</v>
      </c>
      <c r="J1718" s="4">
        <v>1651050</v>
      </c>
    </row>
    <row r="1719" spans="1:10" x14ac:dyDescent="0.75">
      <c r="A1719" t="s">
        <v>151</v>
      </c>
      <c r="B1719">
        <v>2031</v>
      </c>
      <c r="C1719" t="s">
        <v>152</v>
      </c>
      <c r="D1719">
        <v>3274</v>
      </c>
      <c r="E1719" t="s">
        <v>438</v>
      </c>
      <c r="F1719" s="4">
        <v>601673</v>
      </c>
      <c r="G1719" s="4">
        <v>910434</v>
      </c>
      <c r="H1719" s="4">
        <v>8431</v>
      </c>
      <c r="I1719" s="4">
        <v>902003</v>
      </c>
      <c r="J1719" s="4">
        <v>1512107</v>
      </c>
    </row>
    <row r="1720" spans="1:10" x14ac:dyDescent="0.75">
      <c r="A1720" t="s">
        <v>151</v>
      </c>
      <c r="B1720">
        <v>2031</v>
      </c>
      <c r="C1720" t="s">
        <v>152</v>
      </c>
      <c r="D1720">
        <v>4420</v>
      </c>
      <c r="E1720" t="s">
        <v>381</v>
      </c>
      <c r="F1720" s="4">
        <v>1167393</v>
      </c>
      <c r="G1720" s="4">
        <v>267481</v>
      </c>
      <c r="H1720" s="4">
        <v>10809</v>
      </c>
      <c r="I1720" s="4">
        <v>256672</v>
      </c>
      <c r="J1720" s="4">
        <v>1434874</v>
      </c>
    </row>
    <row r="1721" spans="1:10" x14ac:dyDescent="0.75">
      <c r="A1721" t="s">
        <v>151</v>
      </c>
      <c r="B1721">
        <v>2031</v>
      </c>
      <c r="C1721" t="s">
        <v>152</v>
      </c>
      <c r="D1721">
        <v>6522</v>
      </c>
      <c r="E1721" t="s">
        <v>393</v>
      </c>
      <c r="F1721" s="4">
        <v>8164</v>
      </c>
      <c r="G1721" s="4">
        <v>1326390</v>
      </c>
      <c r="H1721" s="4">
        <v>63233</v>
      </c>
      <c r="I1721" s="4">
        <v>1263157</v>
      </c>
      <c r="J1721" s="4">
        <v>1334554</v>
      </c>
    </row>
    <row r="1722" spans="1:10" x14ac:dyDescent="0.75">
      <c r="A1722" t="s">
        <v>151</v>
      </c>
      <c r="B1722">
        <v>2031</v>
      </c>
      <c r="C1722" t="s">
        <v>152</v>
      </c>
      <c r="D1722">
        <v>7120</v>
      </c>
      <c r="E1722" t="s">
        <v>499</v>
      </c>
      <c r="F1722" s="4">
        <v>0</v>
      </c>
      <c r="G1722" s="4">
        <v>1332395</v>
      </c>
      <c r="H1722" s="4">
        <v>1081894</v>
      </c>
      <c r="I1722" s="4">
        <v>250501</v>
      </c>
      <c r="J1722" s="4">
        <v>1332395</v>
      </c>
    </row>
    <row r="1723" spans="1:10" x14ac:dyDescent="0.75">
      <c r="A1723" t="s">
        <v>151</v>
      </c>
      <c r="B1723">
        <v>2031</v>
      </c>
      <c r="C1723" t="s">
        <v>152</v>
      </c>
      <c r="D1723">
        <v>5330</v>
      </c>
      <c r="E1723" t="s">
        <v>385</v>
      </c>
      <c r="F1723" s="4">
        <v>283249</v>
      </c>
      <c r="G1723" s="4">
        <v>1015404</v>
      </c>
      <c r="H1723" s="4">
        <v>998659</v>
      </c>
      <c r="I1723" s="4">
        <v>16745</v>
      </c>
      <c r="J1723" s="4">
        <v>1298653</v>
      </c>
    </row>
    <row r="1724" spans="1:10" x14ac:dyDescent="0.75">
      <c r="A1724" t="s">
        <v>151</v>
      </c>
      <c r="B1724">
        <v>2031</v>
      </c>
      <c r="C1724" t="s">
        <v>152</v>
      </c>
      <c r="D1724">
        <v>3240</v>
      </c>
      <c r="E1724" t="s">
        <v>410</v>
      </c>
      <c r="F1724" s="4">
        <v>427292</v>
      </c>
      <c r="G1724" s="4">
        <v>865691</v>
      </c>
      <c r="H1724" s="4">
        <v>191959</v>
      </c>
      <c r="I1724" s="4">
        <v>673732</v>
      </c>
      <c r="J1724" s="4">
        <v>1292983</v>
      </c>
    </row>
    <row r="1725" spans="1:10" x14ac:dyDescent="0.75">
      <c r="A1725" t="s">
        <v>151</v>
      </c>
      <c r="B1725">
        <v>2031</v>
      </c>
      <c r="C1725" t="s">
        <v>152</v>
      </c>
      <c r="D1725">
        <v>3297</v>
      </c>
      <c r="E1725" t="s">
        <v>446</v>
      </c>
      <c r="F1725" s="4">
        <v>959677</v>
      </c>
      <c r="G1725" s="4">
        <v>280437</v>
      </c>
      <c r="H1725" s="4">
        <v>48192</v>
      </c>
      <c r="I1725" s="4">
        <v>232245</v>
      </c>
      <c r="J1725" s="4">
        <v>1240114</v>
      </c>
    </row>
    <row r="1726" spans="1:10" x14ac:dyDescent="0.75">
      <c r="A1726" t="s">
        <v>151</v>
      </c>
      <c r="B1726">
        <v>2031</v>
      </c>
      <c r="C1726" t="s">
        <v>152</v>
      </c>
      <c r="D1726">
        <v>7500</v>
      </c>
      <c r="E1726" t="s">
        <v>427</v>
      </c>
      <c r="F1726" s="4">
        <v>0</v>
      </c>
      <c r="G1726" s="4">
        <v>1105730</v>
      </c>
      <c r="H1726" s="4">
        <v>679644</v>
      </c>
      <c r="I1726" s="4">
        <v>426086</v>
      </c>
      <c r="J1726" s="4">
        <v>1105730</v>
      </c>
    </row>
    <row r="1727" spans="1:10" x14ac:dyDescent="0.75">
      <c r="A1727" t="s">
        <v>151</v>
      </c>
      <c r="B1727">
        <v>2031</v>
      </c>
      <c r="C1727" t="s">
        <v>152</v>
      </c>
      <c r="D1727">
        <v>7210</v>
      </c>
      <c r="E1727" t="s">
        <v>426</v>
      </c>
      <c r="F1727" s="4">
        <v>0</v>
      </c>
      <c r="G1727" s="4">
        <v>1045718</v>
      </c>
      <c r="H1727" s="4">
        <v>560912</v>
      </c>
      <c r="I1727" s="4">
        <v>484806</v>
      </c>
      <c r="J1727" s="4">
        <v>1045718</v>
      </c>
    </row>
    <row r="1728" spans="1:10" x14ac:dyDescent="0.75">
      <c r="A1728" t="s">
        <v>151</v>
      </c>
      <c r="B1728">
        <v>2031</v>
      </c>
      <c r="C1728" t="s">
        <v>152</v>
      </c>
      <c r="D1728">
        <v>5540</v>
      </c>
      <c r="E1728" t="s">
        <v>469</v>
      </c>
      <c r="F1728" s="4">
        <v>0</v>
      </c>
      <c r="G1728" s="4">
        <v>938184</v>
      </c>
      <c r="H1728" s="4">
        <v>933685</v>
      </c>
      <c r="I1728" s="4">
        <v>4499</v>
      </c>
      <c r="J1728" s="4">
        <v>938184</v>
      </c>
    </row>
    <row r="1729" spans="1:10" x14ac:dyDescent="0.75">
      <c r="A1729" t="s">
        <v>151</v>
      </c>
      <c r="B1729">
        <v>2031</v>
      </c>
      <c r="C1729" t="s">
        <v>152</v>
      </c>
      <c r="D1729">
        <v>3272</v>
      </c>
      <c r="E1729" t="s">
        <v>504</v>
      </c>
      <c r="F1729" s="4">
        <v>775860</v>
      </c>
      <c r="G1729" s="4">
        <v>83912</v>
      </c>
      <c r="H1729" s="4">
        <v>70609</v>
      </c>
      <c r="I1729" s="4">
        <v>13303</v>
      </c>
      <c r="J1729" s="4">
        <v>859772</v>
      </c>
    </row>
    <row r="1730" spans="1:10" x14ac:dyDescent="0.75">
      <c r="A1730" t="s">
        <v>151</v>
      </c>
      <c r="B1730">
        <v>2031</v>
      </c>
      <c r="C1730" t="s">
        <v>152</v>
      </c>
      <c r="D1730">
        <v>5360</v>
      </c>
      <c r="E1730" t="s">
        <v>465</v>
      </c>
      <c r="F1730" s="4">
        <v>13371</v>
      </c>
      <c r="G1730" s="4">
        <v>803503</v>
      </c>
      <c r="H1730" s="4">
        <v>798309</v>
      </c>
      <c r="I1730" s="4">
        <v>5194</v>
      </c>
      <c r="J1730" s="4">
        <v>816874</v>
      </c>
    </row>
    <row r="1731" spans="1:10" x14ac:dyDescent="0.75">
      <c r="A1731" t="s">
        <v>151</v>
      </c>
      <c r="B1731">
        <v>2031</v>
      </c>
      <c r="C1731" t="s">
        <v>152</v>
      </c>
      <c r="D1731">
        <v>3110</v>
      </c>
      <c r="E1731" t="s">
        <v>405</v>
      </c>
      <c r="F1731" s="4">
        <v>488043</v>
      </c>
      <c r="G1731" s="4">
        <v>178616</v>
      </c>
      <c r="H1731" s="4">
        <v>178386</v>
      </c>
      <c r="I1731" s="4">
        <v>230</v>
      </c>
      <c r="J1731" s="4">
        <v>666659</v>
      </c>
    </row>
    <row r="1732" spans="1:10" x14ac:dyDescent="0.75">
      <c r="A1732" t="s">
        <v>151</v>
      </c>
      <c r="B1732">
        <v>2031</v>
      </c>
      <c r="C1732" t="s">
        <v>152</v>
      </c>
      <c r="D1732">
        <v>1100</v>
      </c>
      <c r="E1732" t="s">
        <v>397</v>
      </c>
      <c r="F1732" s="4">
        <v>0</v>
      </c>
      <c r="G1732" s="4">
        <v>657594</v>
      </c>
      <c r="H1732" s="4">
        <v>11618</v>
      </c>
      <c r="I1732" s="4">
        <v>645976</v>
      </c>
      <c r="J1732" s="4">
        <v>657594</v>
      </c>
    </row>
    <row r="1733" spans="1:10" x14ac:dyDescent="0.75">
      <c r="A1733" t="s">
        <v>151</v>
      </c>
      <c r="B1733">
        <v>2031</v>
      </c>
      <c r="C1733" t="s">
        <v>152</v>
      </c>
      <c r="D1733">
        <v>6889</v>
      </c>
      <c r="E1733" t="s">
        <v>420</v>
      </c>
      <c r="F1733" s="4">
        <v>0</v>
      </c>
      <c r="G1733" s="4">
        <v>643039</v>
      </c>
      <c r="H1733" s="4">
        <v>416304</v>
      </c>
      <c r="I1733" s="4">
        <v>226735</v>
      </c>
      <c r="J1733" s="4">
        <v>643039</v>
      </c>
    </row>
    <row r="1734" spans="1:10" x14ac:dyDescent="0.75">
      <c r="A1734" t="s">
        <v>151</v>
      </c>
      <c r="B1734">
        <v>2031</v>
      </c>
      <c r="C1734" t="s">
        <v>152</v>
      </c>
      <c r="D1734">
        <v>6885</v>
      </c>
      <c r="E1734" t="s">
        <v>493</v>
      </c>
      <c r="F1734" s="4">
        <v>0</v>
      </c>
      <c r="G1734" s="4">
        <v>620542</v>
      </c>
      <c r="H1734" s="4">
        <v>540116</v>
      </c>
      <c r="I1734" s="4">
        <v>80426</v>
      </c>
      <c r="J1734" s="4">
        <v>620542</v>
      </c>
    </row>
    <row r="1735" spans="1:10" x14ac:dyDescent="0.75">
      <c r="A1735" t="s">
        <v>151</v>
      </c>
      <c r="B1735">
        <v>2031</v>
      </c>
      <c r="C1735" t="s">
        <v>152</v>
      </c>
      <c r="D1735">
        <v>6344</v>
      </c>
      <c r="E1735" t="s">
        <v>392</v>
      </c>
      <c r="F1735" s="4">
        <v>0</v>
      </c>
      <c r="G1735" s="4">
        <v>615629</v>
      </c>
      <c r="H1735" s="4">
        <v>3165</v>
      </c>
      <c r="I1735" s="4">
        <v>612464</v>
      </c>
      <c r="J1735" s="4">
        <v>615629</v>
      </c>
    </row>
    <row r="1736" spans="1:10" x14ac:dyDescent="0.75">
      <c r="A1736" t="s">
        <v>151</v>
      </c>
      <c r="B1736">
        <v>2031</v>
      </c>
      <c r="C1736" t="s">
        <v>152</v>
      </c>
      <c r="D1736">
        <v>4189</v>
      </c>
      <c r="E1736" t="s">
        <v>451</v>
      </c>
      <c r="F1736" s="4">
        <v>0</v>
      </c>
      <c r="G1736" s="4">
        <v>613450</v>
      </c>
      <c r="H1736" s="4">
        <v>606942</v>
      </c>
      <c r="I1736" s="4">
        <v>6508</v>
      </c>
      <c r="J1736" s="4">
        <v>613450</v>
      </c>
    </row>
    <row r="1737" spans="1:10" x14ac:dyDescent="0.75">
      <c r="A1737" t="s">
        <v>151</v>
      </c>
      <c r="B1737">
        <v>2031</v>
      </c>
      <c r="C1737" t="s">
        <v>152</v>
      </c>
      <c r="D1737">
        <v>5422</v>
      </c>
      <c r="E1737" t="s">
        <v>468</v>
      </c>
      <c r="F1737" s="4">
        <v>0</v>
      </c>
      <c r="G1737" s="4">
        <v>563524</v>
      </c>
      <c r="H1737" s="4">
        <v>544327</v>
      </c>
      <c r="I1737" s="4">
        <v>19197</v>
      </c>
      <c r="J1737" s="4">
        <v>563524</v>
      </c>
    </row>
    <row r="1738" spans="1:10" x14ac:dyDescent="0.75">
      <c r="A1738" t="s">
        <v>151</v>
      </c>
      <c r="B1738">
        <v>2031</v>
      </c>
      <c r="C1738" t="s">
        <v>152</v>
      </c>
      <c r="D1738">
        <v>4322</v>
      </c>
      <c r="E1738" t="s">
        <v>398</v>
      </c>
      <c r="F1738" s="4">
        <v>68237</v>
      </c>
      <c r="G1738" s="4">
        <v>466411</v>
      </c>
      <c r="H1738" s="4">
        <v>466063</v>
      </c>
      <c r="I1738" s="4">
        <v>348</v>
      </c>
      <c r="J1738" s="4">
        <v>534648</v>
      </c>
    </row>
    <row r="1739" spans="1:10" x14ac:dyDescent="0.75">
      <c r="A1739" t="s">
        <v>151</v>
      </c>
      <c r="B1739">
        <v>2031</v>
      </c>
      <c r="C1739" t="s">
        <v>152</v>
      </c>
      <c r="D1739">
        <v>3276</v>
      </c>
      <c r="E1739" t="s">
        <v>379</v>
      </c>
      <c r="F1739" s="4">
        <v>148767</v>
      </c>
      <c r="G1739" s="4">
        <v>336499</v>
      </c>
      <c r="H1739" s="4">
        <v>239406</v>
      </c>
      <c r="I1739" s="4">
        <v>97093</v>
      </c>
      <c r="J1739" s="4">
        <v>485266</v>
      </c>
    </row>
    <row r="1740" spans="1:10" x14ac:dyDescent="0.75">
      <c r="A1740" t="s">
        <v>151</v>
      </c>
      <c r="B1740">
        <v>2031</v>
      </c>
      <c r="C1740" t="s">
        <v>152</v>
      </c>
      <c r="D1740">
        <v>9900</v>
      </c>
      <c r="E1740" t="s">
        <v>389</v>
      </c>
      <c r="F1740" s="4">
        <v>0</v>
      </c>
      <c r="G1740" s="4">
        <v>483649</v>
      </c>
      <c r="H1740" s="4">
        <v>271355</v>
      </c>
      <c r="I1740" s="4">
        <v>212294</v>
      </c>
      <c r="J1740" s="4">
        <v>483649</v>
      </c>
    </row>
    <row r="1741" spans="1:10" x14ac:dyDescent="0.75">
      <c r="A1741" t="s">
        <v>151</v>
      </c>
      <c r="B1741">
        <v>2031</v>
      </c>
      <c r="C1741" t="s">
        <v>152</v>
      </c>
      <c r="D1741">
        <v>6811</v>
      </c>
      <c r="E1741" t="s">
        <v>480</v>
      </c>
      <c r="F1741" s="4">
        <v>0</v>
      </c>
      <c r="G1741" s="4">
        <v>452141</v>
      </c>
      <c r="H1741" s="4">
        <v>94751</v>
      </c>
      <c r="I1741" s="4">
        <v>357390</v>
      </c>
      <c r="J1741" s="4">
        <v>452141</v>
      </c>
    </row>
    <row r="1742" spans="1:10" x14ac:dyDescent="0.75">
      <c r="A1742" t="s">
        <v>151</v>
      </c>
      <c r="B1742">
        <v>2031</v>
      </c>
      <c r="C1742" t="s">
        <v>152</v>
      </c>
      <c r="D1742">
        <v>3271</v>
      </c>
      <c r="E1742" t="s">
        <v>437</v>
      </c>
      <c r="F1742" s="4">
        <v>431201</v>
      </c>
      <c r="G1742" s="4">
        <v>234</v>
      </c>
      <c r="H1742" s="4">
        <v>234</v>
      </c>
      <c r="I1742" s="4">
        <v>0</v>
      </c>
      <c r="J1742" s="4">
        <v>431435</v>
      </c>
    </row>
    <row r="1743" spans="1:10" x14ac:dyDescent="0.75">
      <c r="A1743" t="s">
        <v>151</v>
      </c>
      <c r="B1743">
        <v>2031</v>
      </c>
      <c r="C1743" t="s">
        <v>152</v>
      </c>
      <c r="D1743">
        <v>6893</v>
      </c>
      <c r="E1743" t="s">
        <v>496</v>
      </c>
      <c r="F1743" s="4">
        <v>0</v>
      </c>
      <c r="G1743" s="4">
        <v>393905</v>
      </c>
      <c r="H1743" s="4">
        <v>17710</v>
      </c>
      <c r="I1743" s="4">
        <v>376195</v>
      </c>
      <c r="J1743" s="4">
        <v>393905</v>
      </c>
    </row>
    <row r="1744" spans="1:10" x14ac:dyDescent="0.75">
      <c r="A1744" t="s">
        <v>151</v>
      </c>
      <c r="B1744">
        <v>2031</v>
      </c>
      <c r="C1744" t="s">
        <v>152</v>
      </c>
      <c r="D1744">
        <v>3275</v>
      </c>
      <c r="E1744" t="s">
        <v>412</v>
      </c>
      <c r="F1744" s="4">
        <v>147073</v>
      </c>
      <c r="G1744" s="4">
        <v>242781</v>
      </c>
      <c r="H1744" s="4">
        <v>150152</v>
      </c>
      <c r="I1744" s="4">
        <v>92629</v>
      </c>
      <c r="J1744" s="4">
        <v>389854</v>
      </c>
    </row>
    <row r="1745" spans="1:10" x14ac:dyDescent="0.75">
      <c r="A1745" t="s">
        <v>151</v>
      </c>
      <c r="B1745">
        <v>2031</v>
      </c>
      <c r="C1745" t="s">
        <v>152</v>
      </c>
      <c r="D1745">
        <v>5120</v>
      </c>
      <c r="E1745" t="s">
        <v>461</v>
      </c>
      <c r="F1745" s="4">
        <v>0</v>
      </c>
      <c r="G1745" s="4">
        <v>374549</v>
      </c>
      <c r="H1745" s="4">
        <v>258739</v>
      </c>
      <c r="I1745" s="4">
        <v>115810</v>
      </c>
      <c r="J1745" s="4">
        <v>374549</v>
      </c>
    </row>
    <row r="1746" spans="1:10" x14ac:dyDescent="0.75">
      <c r="A1746" t="s">
        <v>151</v>
      </c>
      <c r="B1746">
        <v>2031</v>
      </c>
      <c r="C1746" t="s">
        <v>152</v>
      </c>
      <c r="D1746">
        <v>4900</v>
      </c>
      <c r="E1746" t="s">
        <v>383</v>
      </c>
      <c r="F1746" s="4">
        <v>28546</v>
      </c>
      <c r="G1746" s="4">
        <v>343854</v>
      </c>
      <c r="H1746" s="4">
        <v>302369</v>
      </c>
      <c r="I1746" s="4">
        <v>41485</v>
      </c>
      <c r="J1746" s="4">
        <v>372400</v>
      </c>
    </row>
    <row r="1747" spans="1:10" x14ac:dyDescent="0.75">
      <c r="A1747" t="s">
        <v>151</v>
      </c>
      <c r="B1747">
        <v>2031</v>
      </c>
      <c r="C1747" t="s">
        <v>152</v>
      </c>
      <c r="D1747">
        <v>3273</v>
      </c>
      <c r="E1747" t="s">
        <v>411</v>
      </c>
      <c r="F1747" s="4">
        <v>268561</v>
      </c>
      <c r="G1747" s="4">
        <v>91898</v>
      </c>
      <c r="H1747" s="4">
        <v>86272</v>
      </c>
      <c r="I1747" s="4">
        <v>5626</v>
      </c>
      <c r="J1747" s="4">
        <v>360459</v>
      </c>
    </row>
    <row r="1748" spans="1:10" x14ac:dyDescent="0.75">
      <c r="A1748" t="s">
        <v>151</v>
      </c>
      <c r="B1748">
        <v>2031</v>
      </c>
      <c r="C1748" t="s">
        <v>152</v>
      </c>
      <c r="D1748">
        <v>5320</v>
      </c>
      <c r="E1748" t="s">
        <v>384</v>
      </c>
      <c r="F1748" s="4">
        <v>128451</v>
      </c>
      <c r="G1748" s="4">
        <v>227801</v>
      </c>
      <c r="H1748" s="4">
        <v>227693</v>
      </c>
      <c r="I1748" s="4">
        <v>108</v>
      </c>
      <c r="J1748" s="4">
        <v>356252</v>
      </c>
    </row>
    <row r="1749" spans="1:10" x14ac:dyDescent="0.75">
      <c r="A1749" t="s">
        <v>151</v>
      </c>
      <c r="B1749">
        <v>2031</v>
      </c>
      <c r="C1749" t="s">
        <v>152</v>
      </c>
      <c r="D1749">
        <v>3285</v>
      </c>
      <c r="E1749" t="s">
        <v>443</v>
      </c>
      <c r="F1749" s="4">
        <v>3320</v>
      </c>
      <c r="G1749" s="4">
        <v>352860</v>
      </c>
      <c r="H1749" s="4">
        <v>165293</v>
      </c>
      <c r="I1749" s="4">
        <v>187567</v>
      </c>
      <c r="J1749" s="4">
        <v>356180</v>
      </c>
    </row>
    <row r="1750" spans="1:10" x14ac:dyDescent="0.75">
      <c r="A1750" t="s">
        <v>151</v>
      </c>
      <c r="B1750">
        <v>2031</v>
      </c>
      <c r="C1750" t="s">
        <v>152</v>
      </c>
      <c r="D1750">
        <v>4860</v>
      </c>
      <c r="E1750" t="s">
        <v>400</v>
      </c>
      <c r="F1750" s="4">
        <v>0</v>
      </c>
      <c r="G1750" s="4">
        <v>341288</v>
      </c>
      <c r="H1750" s="4">
        <v>341273</v>
      </c>
      <c r="I1750" s="4">
        <v>15</v>
      </c>
      <c r="J1750" s="4">
        <v>341288</v>
      </c>
    </row>
    <row r="1751" spans="1:10" x14ac:dyDescent="0.75">
      <c r="A1751" t="s">
        <v>151</v>
      </c>
      <c r="B1751">
        <v>2031</v>
      </c>
      <c r="C1751" t="s">
        <v>152</v>
      </c>
      <c r="D1751">
        <v>7400</v>
      </c>
      <c r="E1751" t="s">
        <v>502</v>
      </c>
      <c r="F1751" s="4">
        <v>0</v>
      </c>
      <c r="G1751" s="4">
        <v>324781</v>
      </c>
      <c r="H1751" s="4">
        <v>312002</v>
      </c>
      <c r="I1751" s="4">
        <v>12779</v>
      </c>
      <c r="J1751" s="4">
        <v>324781</v>
      </c>
    </row>
    <row r="1752" spans="1:10" x14ac:dyDescent="0.75">
      <c r="A1752" t="s">
        <v>151</v>
      </c>
      <c r="B1752">
        <v>2031</v>
      </c>
      <c r="C1752" t="s">
        <v>152</v>
      </c>
      <c r="D1752">
        <v>6654</v>
      </c>
      <c r="E1752" t="s">
        <v>419</v>
      </c>
      <c r="F1752" s="4">
        <v>0</v>
      </c>
      <c r="G1752" s="4">
        <v>302878</v>
      </c>
      <c r="H1752" s="4">
        <v>232292</v>
      </c>
      <c r="I1752" s="4">
        <v>70586</v>
      </c>
      <c r="J1752" s="4">
        <v>302878</v>
      </c>
    </row>
    <row r="1753" spans="1:10" x14ac:dyDescent="0.75">
      <c r="A1753" t="s">
        <v>151</v>
      </c>
      <c r="B1753">
        <v>2031</v>
      </c>
      <c r="C1753" t="s">
        <v>152</v>
      </c>
      <c r="D1753">
        <v>4680</v>
      </c>
      <c r="E1753" t="s">
        <v>459</v>
      </c>
      <c r="F1753" s="4">
        <v>0</v>
      </c>
      <c r="G1753" s="4">
        <v>267567</v>
      </c>
      <c r="H1753" s="4">
        <v>9032</v>
      </c>
      <c r="I1753" s="4">
        <v>258535</v>
      </c>
      <c r="J1753" s="4">
        <v>267567</v>
      </c>
    </row>
    <row r="1754" spans="1:10" x14ac:dyDescent="0.75">
      <c r="A1754" t="s">
        <v>151</v>
      </c>
      <c r="B1754">
        <v>2031</v>
      </c>
      <c r="C1754" t="s">
        <v>152</v>
      </c>
      <c r="D1754">
        <v>6782</v>
      </c>
      <c r="E1754" t="s">
        <v>396</v>
      </c>
      <c r="F1754" s="4">
        <v>2960</v>
      </c>
      <c r="G1754" s="4">
        <v>262279</v>
      </c>
      <c r="H1754" s="4">
        <v>142781</v>
      </c>
      <c r="I1754" s="4">
        <v>119498</v>
      </c>
      <c r="J1754" s="4">
        <v>265239</v>
      </c>
    </row>
    <row r="1755" spans="1:10" x14ac:dyDescent="0.75">
      <c r="A1755" t="s">
        <v>151</v>
      </c>
      <c r="B1755">
        <v>2031</v>
      </c>
      <c r="C1755" t="s">
        <v>152</v>
      </c>
      <c r="D1755">
        <v>3250</v>
      </c>
      <c r="E1755" t="s">
        <v>435</v>
      </c>
      <c r="F1755" s="4">
        <v>0</v>
      </c>
      <c r="G1755" s="4">
        <v>255436</v>
      </c>
      <c r="H1755" s="4">
        <v>122826</v>
      </c>
      <c r="I1755" s="4">
        <v>132610</v>
      </c>
      <c r="J1755" s="4">
        <v>255436</v>
      </c>
    </row>
    <row r="1756" spans="1:10" x14ac:dyDescent="0.75">
      <c r="A1756" t="s">
        <v>151</v>
      </c>
      <c r="B1756">
        <v>2031</v>
      </c>
      <c r="C1756" t="s">
        <v>152</v>
      </c>
      <c r="D1756">
        <v>5240</v>
      </c>
      <c r="E1756" t="s">
        <v>464</v>
      </c>
      <c r="F1756" s="4">
        <v>0</v>
      </c>
      <c r="G1756" s="4">
        <v>233226</v>
      </c>
      <c r="H1756" s="4">
        <v>205745</v>
      </c>
      <c r="I1756" s="4">
        <v>27481</v>
      </c>
      <c r="J1756" s="4">
        <v>233226</v>
      </c>
    </row>
    <row r="1757" spans="1:10" x14ac:dyDescent="0.75">
      <c r="A1757" t="s">
        <v>151</v>
      </c>
      <c r="B1757">
        <v>2031</v>
      </c>
      <c r="C1757" t="s">
        <v>152</v>
      </c>
      <c r="D1757">
        <v>6747</v>
      </c>
      <c r="E1757" t="s">
        <v>478</v>
      </c>
      <c r="F1757" s="4">
        <v>109548</v>
      </c>
      <c r="G1757" s="4">
        <v>116675</v>
      </c>
      <c r="H1757" s="4">
        <v>86328</v>
      </c>
      <c r="I1757" s="4">
        <v>30347</v>
      </c>
      <c r="J1757" s="4">
        <v>226223</v>
      </c>
    </row>
    <row r="1758" spans="1:10" x14ac:dyDescent="0.75">
      <c r="A1758" t="s">
        <v>151</v>
      </c>
      <c r="B1758">
        <v>2031</v>
      </c>
      <c r="C1758" t="s">
        <v>152</v>
      </c>
      <c r="D1758">
        <v>6653</v>
      </c>
      <c r="E1758" t="s">
        <v>395</v>
      </c>
      <c r="F1758" s="4">
        <v>73313</v>
      </c>
      <c r="G1758" s="4">
        <v>141765</v>
      </c>
      <c r="H1758" s="4">
        <v>93271</v>
      </c>
      <c r="I1758" s="4">
        <v>48494</v>
      </c>
      <c r="J1758" s="4">
        <v>215078</v>
      </c>
    </row>
    <row r="1759" spans="1:10" x14ac:dyDescent="0.75">
      <c r="A1759" t="s">
        <v>151</v>
      </c>
      <c r="B1759">
        <v>2031</v>
      </c>
      <c r="C1759" t="s">
        <v>152</v>
      </c>
      <c r="D1759">
        <v>3279</v>
      </c>
      <c r="E1759" t="s">
        <v>422</v>
      </c>
      <c r="F1759" s="4">
        <v>0</v>
      </c>
      <c r="G1759" s="4">
        <v>202287</v>
      </c>
      <c r="H1759" s="4">
        <v>157421</v>
      </c>
      <c r="I1759" s="4">
        <v>44866</v>
      </c>
      <c r="J1759" s="4">
        <v>202287</v>
      </c>
    </row>
    <row r="1760" spans="1:10" x14ac:dyDescent="0.75">
      <c r="A1760" t="s">
        <v>151</v>
      </c>
      <c r="B1760">
        <v>2031</v>
      </c>
      <c r="C1760" t="s">
        <v>152</v>
      </c>
      <c r="D1760">
        <v>4225</v>
      </c>
      <c r="E1760" t="s">
        <v>380</v>
      </c>
      <c r="F1760" s="4">
        <v>0</v>
      </c>
      <c r="G1760" s="4">
        <v>193624</v>
      </c>
      <c r="H1760" s="4">
        <v>14562</v>
      </c>
      <c r="I1760" s="4">
        <v>179062</v>
      </c>
      <c r="J1760" s="4">
        <v>193624</v>
      </c>
    </row>
    <row r="1761" spans="1:10" x14ac:dyDescent="0.75">
      <c r="A1761" t="s">
        <v>151</v>
      </c>
      <c r="B1761">
        <v>2031</v>
      </c>
      <c r="C1761" t="s">
        <v>152</v>
      </c>
      <c r="D1761">
        <v>6865</v>
      </c>
      <c r="E1761" t="s">
        <v>490</v>
      </c>
      <c r="F1761" s="4">
        <v>10561</v>
      </c>
      <c r="G1761" s="4">
        <v>182478</v>
      </c>
      <c r="H1761" s="4">
        <v>181507</v>
      </c>
      <c r="I1761" s="4">
        <v>971</v>
      </c>
      <c r="J1761" s="4">
        <v>193039</v>
      </c>
    </row>
    <row r="1762" spans="1:10" x14ac:dyDescent="0.75">
      <c r="A1762" t="s">
        <v>151</v>
      </c>
      <c r="B1762">
        <v>2031</v>
      </c>
      <c r="C1762" t="s">
        <v>152</v>
      </c>
      <c r="D1762">
        <v>5421</v>
      </c>
      <c r="E1762" t="s">
        <v>467</v>
      </c>
      <c r="F1762" s="4">
        <v>0</v>
      </c>
      <c r="G1762" s="4">
        <v>190698</v>
      </c>
      <c r="H1762" s="4">
        <v>178752</v>
      </c>
      <c r="I1762" s="4">
        <v>11946</v>
      </c>
      <c r="J1762" s="4">
        <v>190698</v>
      </c>
    </row>
    <row r="1763" spans="1:10" x14ac:dyDescent="0.75">
      <c r="A1763" t="s">
        <v>151</v>
      </c>
      <c r="B1763">
        <v>2031</v>
      </c>
      <c r="C1763" t="s">
        <v>152</v>
      </c>
      <c r="D1763">
        <v>6858</v>
      </c>
      <c r="E1763" t="s">
        <v>488</v>
      </c>
      <c r="F1763" s="4">
        <v>0</v>
      </c>
      <c r="G1763" s="4">
        <v>184397</v>
      </c>
      <c r="H1763" s="4">
        <v>173967</v>
      </c>
      <c r="I1763" s="4">
        <v>10430</v>
      </c>
      <c r="J1763" s="4">
        <v>184397</v>
      </c>
    </row>
    <row r="1764" spans="1:10" x14ac:dyDescent="0.75">
      <c r="A1764" t="s">
        <v>151</v>
      </c>
      <c r="B1764">
        <v>2031</v>
      </c>
      <c r="C1764" t="s">
        <v>152</v>
      </c>
      <c r="D1764">
        <v>6888</v>
      </c>
      <c r="E1764" t="s">
        <v>494</v>
      </c>
      <c r="F1764" s="4">
        <v>0</v>
      </c>
      <c r="G1764" s="4">
        <v>169822</v>
      </c>
      <c r="H1764" s="4">
        <v>162445</v>
      </c>
      <c r="I1764" s="4">
        <v>7377</v>
      </c>
      <c r="J1764" s="4">
        <v>169822</v>
      </c>
    </row>
    <row r="1765" spans="1:10" x14ac:dyDescent="0.75">
      <c r="A1765" t="s">
        <v>151</v>
      </c>
      <c r="B1765">
        <v>2031</v>
      </c>
      <c r="C1765" t="s">
        <v>152</v>
      </c>
      <c r="D1765">
        <v>6857</v>
      </c>
      <c r="E1765" t="s">
        <v>487</v>
      </c>
      <c r="F1765" s="4">
        <v>0</v>
      </c>
      <c r="G1765" s="4">
        <v>162525</v>
      </c>
      <c r="H1765" s="4">
        <v>122871</v>
      </c>
      <c r="I1765" s="4">
        <v>39654</v>
      </c>
      <c r="J1765" s="4">
        <v>162525</v>
      </c>
    </row>
    <row r="1766" spans="1:10" x14ac:dyDescent="0.75">
      <c r="A1766" t="s">
        <v>151</v>
      </c>
      <c r="B1766">
        <v>2031</v>
      </c>
      <c r="C1766" t="s">
        <v>152</v>
      </c>
      <c r="D1766">
        <v>5190</v>
      </c>
      <c r="E1766" t="s">
        <v>462</v>
      </c>
      <c r="F1766" s="4">
        <v>0</v>
      </c>
      <c r="G1766" s="4">
        <v>147587</v>
      </c>
      <c r="H1766" s="4">
        <v>73826</v>
      </c>
      <c r="I1766" s="4">
        <v>73761</v>
      </c>
      <c r="J1766" s="4">
        <v>147587</v>
      </c>
    </row>
    <row r="1767" spans="1:10" x14ac:dyDescent="0.75">
      <c r="A1767" t="s">
        <v>151</v>
      </c>
      <c r="B1767">
        <v>2031</v>
      </c>
      <c r="C1767" t="s">
        <v>152</v>
      </c>
      <c r="D1767">
        <v>4650</v>
      </c>
      <c r="E1767" t="s">
        <v>457</v>
      </c>
      <c r="F1767" s="4">
        <v>6467</v>
      </c>
      <c r="G1767" s="4">
        <v>132073</v>
      </c>
      <c r="H1767" s="4">
        <v>124027</v>
      </c>
      <c r="I1767" s="4">
        <v>8046</v>
      </c>
      <c r="J1767" s="4">
        <v>138540</v>
      </c>
    </row>
    <row r="1768" spans="1:10" x14ac:dyDescent="0.75">
      <c r="A1768" t="s">
        <v>151</v>
      </c>
      <c r="B1768">
        <v>2031</v>
      </c>
      <c r="C1768" t="s">
        <v>152</v>
      </c>
      <c r="D1768">
        <v>6871</v>
      </c>
      <c r="E1768" t="s">
        <v>491</v>
      </c>
      <c r="F1768" s="4">
        <v>0</v>
      </c>
      <c r="G1768" s="4">
        <v>131407</v>
      </c>
      <c r="H1768" s="4">
        <v>129845</v>
      </c>
      <c r="I1768" s="4">
        <v>1562</v>
      </c>
      <c r="J1768" s="4">
        <v>131407</v>
      </c>
    </row>
    <row r="1769" spans="1:10" x14ac:dyDescent="0.75">
      <c r="A1769" t="s">
        <v>151</v>
      </c>
      <c r="B1769">
        <v>2031</v>
      </c>
      <c r="C1769" t="s">
        <v>152</v>
      </c>
      <c r="D1769">
        <v>6442</v>
      </c>
      <c r="E1769" t="s">
        <v>472</v>
      </c>
      <c r="F1769" s="4">
        <v>0</v>
      </c>
      <c r="G1769" s="4">
        <v>122369</v>
      </c>
      <c r="H1769" s="4">
        <v>72224</v>
      </c>
      <c r="I1769" s="4">
        <v>50145</v>
      </c>
      <c r="J1769" s="4">
        <v>122369</v>
      </c>
    </row>
    <row r="1770" spans="1:10" x14ac:dyDescent="0.75">
      <c r="A1770" t="s">
        <v>151</v>
      </c>
      <c r="B1770">
        <v>2031</v>
      </c>
      <c r="C1770" t="s">
        <v>152</v>
      </c>
      <c r="D1770">
        <v>3190</v>
      </c>
      <c r="E1770" t="s">
        <v>408</v>
      </c>
      <c r="F1770" s="4">
        <v>71475</v>
      </c>
      <c r="G1770" s="4">
        <v>49905</v>
      </c>
      <c r="H1770" s="4">
        <v>26725</v>
      </c>
      <c r="I1770" s="4">
        <v>23180</v>
      </c>
      <c r="J1770" s="4">
        <v>121380</v>
      </c>
    </row>
    <row r="1771" spans="1:10" x14ac:dyDescent="0.75">
      <c r="A1771" t="s">
        <v>151</v>
      </c>
      <c r="B1771">
        <v>2031</v>
      </c>
      <c r="C1771" t="s">
        <v>152</v>
      </c>
      <c r="D1771">
        <v>3284</v>
      </c>
      <c r="E1771" t="s">
        <v>442</v>
      </c>
      <c r="F1771" s="4">
        <v>0</v>
      </c>
      <c r="G1771" s="4">
        <v>119841</v>
      </c>
      <c r="H1771" s="4">
        <v>35132</v>
      </c>
      <c r="I1771" s="4">
        <v>84709</v>
      </c>
      <c r="J1771" s="4">
        <v>119841</v>
      </c>
    </row>
    <row r="1772" spans="1:10" x14ac:dyDescent="0.75">
      <c r="A1772" t="s">
        <v>151</v>
      </c>
      <c r="B1772">
        <v>2031</v>
      </c>
      <c r="C1772" t="s">
        <v>152</v>
      </c>
      <c r="D1772">
        <v>2410</v>
      </c>
      <c r="E1772" t="s">
        <v>430</v>
      </c>
      <c r="F1772" s="4">
        <v>17883</v>
      </c>
      <c r="G1772" s="4">
        <v>90178</v>
      </c>
      <c r="H1772" s="4">
        <v>54635</v>
      </c>
      <c r="I1772" s="4">
        <v>35543</v>
      </c>
      <c r="J1772" s="4">
        <v>108061</v>
      </c>
    </row>
    <row r="1773" spans="1:10" x14ac:dyDescent="0.75">
      <c r="A1773" t="s">
        <v>151</v>
      </c>
      <c r="B1773">
        <v>2031</v>
      </c>
      <c r="C1773" t="s">
        <v>152</v>
      </c>
      <c r="D1773">
        <v>6861</v>
      </c>
      <c r="E1773" t="s">
        <v>489</v>
      </c>
      <c r="F1773" s="4">
        <v>33676</v>
      </c>
      <c r="G1773" s="4">
        <v>73392</v>
      </c>
      <c r="H1773" s="4">
        <v>73294</v>
      </c>
      <c r="I1773" s="4">
        <v>98</v>
      </c>
      <c r="J1773" s="4">
        <v>107068</v>
      </c>
    </row>
    <row r="1774" spans="1:10" x14ac:dyDescent="0.75">
      <c r="A1774" t="s">
        <v>151</v>
      </c>
      <c r="B1774">
        <v>2031</v>
      </c>
      <c r="C1774" t="s">
        <v>152</v>
      </c>
      <c r="D1774">
        <v>6136</v>
      </c>
      <c r="E1774" t="s">
        <v>471</v>
      </c>
      <c r="F1774" s="4">
        <v>0</v>
      </c>
      <c r="G1774" s="4">
        <v>100089</v>
      </c>
      <c r="H1774" s="4">
        <v>99750</v>
      </c>
      <c r="I1774" s="4">
        <v>339</v>
      </c>
      <c r="J1774" s="4">
        <v>100089</v>
      </c>
    </row>
    <row r="1775" spans="1:10" x14ac:dyDescent="0.75">
      <c r="A1775" t="s">
        <v>151</v>
      </c>
      <c r="B1775">
        <v>2031</v>
      </c>
      <c r="C1775" t="s">
        <v>152</v>
      </c>
      <c r="D1775">
        <v>3291</v>
      </c>
      <c r="E1775" t="s">
        <v>444</v>
      </c>
      <c r="F1775" s="4">
        <v>0</v>
      </c>
      <c r="G1775" s="4">
        <v>97267</v>
      </c>
      <c r="H1775" s="4">
        <v>75868</v>
      </c>
      <c r="I1775" s="4">
        <v>21399</v>
      </c>
      <c r="J1775" s="4">
        <v>97267</v>
      </c>
    </row>
    <row r="1776" spans="1:10" x14ac:dyDescent="0.75">
      <c r="A1776" t="s">
        <v>151</v>
      </c>
      <c r="B1776">
        <v>2031</v>
      </c>
      <c r="C1776" t="s">
        <v>152</v>
      </c>
      <c r="D1776">
        <v>4190</v>
      </c>
      <c r="E1776" t="s">
        <v>452</v>
      </c>
      <c r="F1776" s="4">
        <v>0</v>
      </c>
      <c r="G1776" s="4">
        <v>93384</v>
      </c>
      <c r="H1776" s="4">
        <v>82933</v>
      </c>
      <c r="I1776" s="4">
        <v>10451</v>
      </c>
      <c r="J1776" s="4">
        <v>93384</v>
      </c>
    </row>
    <row r="1777" spans="1:10" x14ac:dyDescent="0.75">
      <c r="A1777" t="s">
        <v>151</v>
      </c>
      <c r="B1777">
        <v>2031</v>
      </c>
      <c r="C1777" t="s">
        <v>152</v>
      </c>
      <c r="D1777">
        <v>6838</v>
      </c>
      <c r="E1777" t="s">
        <v>484</v>
      </c>
      <c r="F1777" s="4">
        <v>2890</v>
      </c>
      <c r="G1777" s="4">
        <v>90057</v>
      </c>
      <c r="H1777" s="4">
        <v>8810</v>
      </c>
      <c r="I1777" s="4">
        <v>81247</v>
      </c>
      <c r="J1777" s="4">
        <v>92947</v>
      </c>
    </row>
    <row r="1778" spans="1:10" x14ac:dyDescent="0.75">
      <c r="A1778" t="s">
        <v>151</v>
      </c>
      <c r="B1778">
        <v>2031</v>
      </c>
      <c r="C1778" t="s">
        <v>152</v>
      </c>
      <c r="D1778">
        <v>4310</v>
      </c>
      <c r="E1778" t="s">
        <v>453</v>
      </c>
      <c r="F1778" s="4">
        <v>0</v>
      </c>
      <c r="G1778" s="4">
        <v>90495</v>
      </c>
      <c r="H1778" s="4">
        <v>86414</v>
      </c>
      <c r="I1778" s="4">
        <v>4081</v>
      </c>
      <c r="J1778" s="4">
        <v>90495</v>
      </c>
    </row>
    <row r="1779" spans="1:10" x14ac:dyDescent="0.75">
      <c r="A1779" t="s">
        <v>151</v>
      </c>
      <c r="B1779">
        <v>2031</v>
      </c>
      <c r="C1779" t="s">
        <v>152</v>
      </c>
      <c r="D1779">
        <v>6856</v>
      </c>
      <c r="E1779" t="s">
        <v>486</v>
      </c>
      <c r="F1779" s="4">
        <v>0</v>
      </c>
      <c r="G1779" s="4">
        <v>85560</v>
      </c>
      <c r="H1779" s="4">
        <v>85524</v>
      </c>
      <c r="I1779" s="4">
        <v>36</v>
      </c>
      <c r="J1779" s="4">
        <v>85560</v>
      </c>
    </row>
    <row r="1780" spans="1:10" x14ac:dyDescent="0.75">
      <c r="A1780" t="s">
        <v>151</v>
      </c>
      <c r="B1780">
        <v>2031</v>
      </c>
      <c r="C1780" t="s">
        <v>152</v>
      </c>
      <c r="D1780">
        <v>5312</v>
      </c>
      <c r="E1780" t="s">
        <v>416</v>
      </c>
      <c r="F1780" s="4">
        <v>24745</v>
      </c>
      <c r="G1780" s="4">
        <v>60103</v>
      </c>
      <c r="H1780" s="4">
        <v>59408</v>
      </c>
      <c r="I1780" s="4">
        <v>695</v>
      </c>
      <c r="J1780" s="4">
        <v>84848</v>
      </c>
    </row>
    <row r="1781" spans="1:10" x14ac:dyDescent="0.75">
      <c r="A1781" t="s">
        <v>151</v>
      </c>
      <c r="B1781">
        <v>2031</v>
      </c>
      <c r="C1781" t="s">
        <v>152</v>
      </c>
      <c r="D1781">
        <v>3282</v>
      </c>
      <c r="E1781" t="s">
        <v>440</v>
      </c>
      <c r="F1781" s="4">
        <v>0</v>
      </c>
      <c r="G1781" s="4">
        <v>73701</v>
      </c>
      <c r="H1781" s="4">
        <v>47335</v>
      </c>
      <c r="I1781" s="4">
        <v>26366</v>
      </c>
      <c r="J1781" s="4">
        <v>73701</v>
      </c>
    </row>
    <row r="1782" spans="1:10" x14ac:dyDescent="0.75">
      <c r="A1782" t="s">
        <v>151</v>
      </c>
      <c r="B1782">
        <v>2031</v>
      </c>
      <c r="C1782" t="s">
        <v>152</v>
      </c>
      <c r="D1782">
        <v>6891</v>
      </c>
      <c r="E1782" t="s">
        <v>495</v>
      </c>
      <c r="F1782" s="4">
        <v>0</v>
      </c>
      <c r="G1782" s="4">
        <v>71175</v>
      </c>
      <c r="H1782" s="4">
        <v>68743</v>
      </c>
      <c r="I1782" s="4">
        <v>2432</v>
      </c>
      <c r="J1782" s="4">
        <v>71175</v>
      </c>
    </row>
    <row r="1783" spans="1:10" x14ac:dyDescent="0.75">
      <c r="A1783" t="s">
        <v>151</v>
      </c>
      <c r="B1783">
        <v>2031</v>
      </c>
      <c r="C1783" t="s">
        <v>152</v>
      </c>
      <c r="D1783">
        <v>6134</v>
      </c>
      <c r="E1783" t="s">
        <v>470</v>
      </c>
      <c r="F1783" s="4">
        <v>0</v>
      </c>
      <c r="G1783" s="4">
        <v>69111</v>
      </c>
      <c r="H1783" s="4">
        <v>64967</v>
      </c>
      <c r="I1783" s="4">
        <v>4144</v>
      </c>
      <c r="J1783" s="4">
        <v>69111</v>
      </c>
    </row>
    <row r="1784" spans="1:10" x14ac:dyDescent="0.75">
      <c r="A1784" t="s">
        <v>151</v>
      </c>
      <c r="B1784">
        <v>2031</v>
      </c>
      <c r="C1784" t="s">
        <v>152</v>
      </c>
      <c r="D1784">
        <v>6445</v>
      </c>
      <c r="E1784" t="s">
        <v>474</v>
      </c>
      <c r="F1784" s="4">
        <v>0</v>
      </c>
      <c r="G1784" s="4">
        <v>68231</v>
      </c>
      <c r="H1784" s="4">
        <v>68231</v>
      </c>
      <c r="I1784" s="4">
        <v>0</v>
      </c>
      <c r="J1784" s="4">
        <v>68231</v>
      </c>
    </row>
    <row r="1785" spans="1:10" x14ac:dyDescent="0.75">
      <c r="A1785" t="s">
        <v>151</v>
      </c>
      <c r="B1785">
        <v>2031</v>
      </c>
      <c r="C1785" t="s">
        <v>152</v>
      </c>
      <c r="D1785">
        <v>4782</v>
      </c>
      <c r="E1785" t="s">
        <v>414</v>
      </c>
      <c r="F1785" s="4">
        <v>1783</v>
      </c>
      <c r="G1785" s="4">
        <v>65612</v>
      </c>
      <c r="H1785" s="4">
        <v>18711</v>
      </c>
      <c r="I1785" s="4">
        <v>46901</v>
      </c>
      <c r="J1785" s="4">
        <v>67395</v>
      </c>
    </row>
    <row r="1786" spans="1:10" x14ac:dyDescent="0.75">
      <c r="A1786" t="s">
        <v>151</v>
      </c>
      <c r="B1786">
        <v>2031</v>
      </c>
      <c r="C1786" t="s">
        <v>152</v>
      </c>
      <c r="D1786">
        <v>6822</v>
      </c>
      <c r="E1786" t="s">
        <v>482</v>
      </c>
      <c r="F1786" s="4">
        <v>0</v>
      </c>
      <c r="G1786" s="4">
        <v>65372</v>
      </c>
      <c r="H1786" s="4">
        <v>15002</v>
      </c>
      <c r="I1786" s="4">
        <v>50370</v>
      </c>
      <c r="J1786" s="4">
        <v>65372</v>
      </c>
    </row>
    <row r="1787" spans="1:10" x14ac:dyDescent="0.75">
      <c r="A1787" t="s">
        <v>151</v>
      </c>
      <c r="B1787">
        <v>2031</v>
      </c>
      <c r="C1787" t="s">
        <v>152</v>
      </c>
      <c r="D1787">
        <v>1200</v>
      </c>
      <c r="E1787" t="s">
        <v>402</v>
      </c>
      <c r="F1787" s="4">
        <v>10116</v>
      </c>
      <c r="G1787" s="4">
        <v>52434</v>
      </c>
      <c r="H1787" s="4">
        <v>38</v>
      </c>
      <c r="I1787" s="4">
        <v>52396</v>
      </c>
      <c r="J1787" s="4">
        <v>62550</v>
      </c>
    </row>
    <row r="1788" spans="1:10" x14ac:dyDescent="0.75">
      <c r="A1788" t="s">
        <v>151</v>
      </c>
      <c r="B1788">
        <v>2031</v>
      </c>
      <c r="C1788" t="s">
        <v>152</v>
      </c>
      <c r="D1788">
        <v>6746</v>
      </c>
      <c r="E1788" t="s">
        <v>477</v>
      </c>
      <c r="F1788" s="4">
        <v>0</v>
      </c>
      <c r="G1788" s="4">
        <v>60973</v>
      </c>
      <c r="H1788" s="4">
        <v>15200</v>
      </c>
      <c r="I1788" s="4">
        <v>45773</v>
      </c>
      <c r="J1788" s="4">
        <v>60973</v>
      </c>
    </row>
    <row r="1789" spans="1:10" x14ac:dyDescent="0.75">
      <c r="A1789" t="s">
        <v>151</v>
      </c>
      <c r="B1789">
        <v>2031</v>
      </c>
      <c r="C1789" t="s">
        <v>152</v>
      </c>
      <c r="D1789">
        <v>3298</v>
      </c>
      <c r="E1789" t="s">
        <v>447</v>
      </c>
      <c r="F1789" s="4">
        <v>0</v>
      </c>
      <c r="G1789" s="4">
        <v>55824</v>
      </c>
      <c r="H1789" s="4">
        <v>12724</v>
      </c>
      <c r="I1789" s="4">
        <v>43100</v>
      </c>
      <c r="J1789" s="4">
        <v>55824</v>
      </c>
    </row>
    <row r="1790" spans="1:10" x14ac:dyDescent="0.75">
      <c r="A1790" t="s">
        <v>151</v>
      </c>
      <c r="B1790">
        <v>2031</v>
      </c>
      <c r="C1790" t="s">
        <v>152</v>
      </c>
      <c r="D1790">
        <v>3130</v>
      </c>
      <c r="E1790" t="s">
        <v>407</v>
      </c>
      <c r="F1790" s="4">
        <v>14745</v>
      </c>
      <c r="G1790" s="4">
        <v>39254</v>
      </c>
      <c r="H1790" s="4">
        <v>38149</v>
      </c>
      <c r="I1790" s="4">
        <v>1105</v>
      </c>
      <c r="J1790" s="4">
        <v>53999</v>
      </c>
    </row>
    <row r="1791" spans="1:10" x14ac:dyDescent="0.75">
      <c r="A1791" t="s">
        <v>151</v>
      </c>
      <c r="B1791">
        <v>2031</v>
      </c>
      <c r="C1791" t="s">
        <v>152</v>
      </c>
      <c r="D1791">
        <v>3292</v>
      </c>
      <c r="E1791" t="s">
        <v>413</v>
      </c>
      <c r="F1791" s="4">
        <v>0</v>
      </c>
      <c r="G1791" s="4">
        <v>50955</v>
      </c>
      <c r="H1791" s="4">
        <v>39952</v>
      </c>
      <c r="I1791" s="4">
        <v>11003</v>
      </c>
      <c r="J1791" s="4">
        <v>50955</v>
      </c>
    </row>
    <row r="1792" spans="1:10" x14ac:dyDescent="0.75">
      <c r="A1792" t="s">
        <v>151</v>
      </c>
      <c r="B1792">
        <v>2031</v>
      </c>
      <c r="C1792" t="s">
        <v>152</v>
      </c>
      <c r="D1792">
        <v>4690</v>
      </c>
      <c r="E1792" t="s">
        <v>428</v>
      </c>
      <c r="F1792" s="4">
        <v>0</v>
      </c>
      <c r="G1792" s="4">
        <v>49200</v>
      </c>
      <c r="H1792" s="4">
        <v>23635</v>
      </c>
      <c r="I1792" s="4">
        <v>25565</v>
      </c>
      <c r="J1792" s="4">
        <v>49200</v>
      </c>
    </row>
    <row r="1793" spans="1:10" x14ac:dyDescent="0.75">
      <c r="A1793" t="s">
        <v>151</v>
      </c>
      <c r="B1793">
        <v>2031</v>
      </c>
      <c r="C1793" t="s">
        <v>152</v>
      </c>
      <c r="D1793">
        <v>5315</v>
      </c>
      <c r="E1793" t="s">
        <v>417</v>
      </c>
      <c r="F1793" s="4">
        <v>16451</v>
      </c>
      <c r="G1793" s="4">
        <v>32128</v>
      </c>
      <c r="H1793" s="4">
        <v>31542</v>
      </c>
      <c r="I1793" s="4">
        <v>586</v>
      </c>
      <c r="J1793" s="4">
        <v>48579</v>
      </c>
    </row>
    <row r="1794" spans="1:10" x14ac:dyDescent="0.75">
      <c r="A1794" t="s">
        <v>151</v>
      </c>
      <c r="B1794">
        <v>2031</v>
      </c>
      <c r="C1794" t="s">
        <v>152</v>
      </c>
      <c r="D1794">
        <v>6839</v>
      </c>
      <c r="E1794" t="s">
        <v>485</v>
      </c>
      <c r="F1794" s="4">
        <v>0</v>
      </c>
      <c r="G1794" s="4">
        <v>48236</v>
      </c>
      <c r="H1794" s="4">
        <v>28507</v>
      </c>
      <c r="I1794" s="4">
        <v>19729</v>
      </c>
      <c r="J1794" s="4">
        <v>48236</v>
      </c>
    </row>
    <row r="1795" spans="1:10" x14ac:dyDescent="0.75">
      <c r="A1795" t="s">
        <v>151</v>
      </c>
      <c r="B1795">
        <v>2031</v>
      </c>
      <c r="C1795" t="s">
        <v>152</v>
      </c>
      <c r="D1795">
        <v>4741</v>
      </c>
      <c r="E1795" t="s">
        <v>425</v>
      </c>
      <c r="F1795" s="4">
        <v>0</v>
      </c>
      <c r="G1795" s="4">
        <v>46634</v>
      </c>
      <c r="H1795" s="4">
        <v>0</v>
      </c>
      <c r="I1795" s="4">
        <v>46634</v>
      </c>
      <c r="J1795" s="4">
        <v>46634</v>
      </c>
    </row>
    <row r="1796" spans="1:10" x14ac:dyDescent="0.75">
      <c r="A1796" t="s">
        <v>151</v>
      </c>
      <c r="B1796">
        <v>2031</v>
      </c>
      <c r="C1796" t="s">
        <v>152</v>
      </c>
      <c r="D1796">
        <v>5390</v>
      </c>
      <c r="E1796" t="s">
        <v>418</v>
      </c>
      <c r="F1796" s="4">
        <v>1600</v>
      </c>
      <c r="G1796" s="4">
        <v>44759</v>
      </c>
      <c r="H1796" s="4">
        <v>43587</v>
      </c>
      <c r="I1796" s="4">
        <v>1172</v>
      </c>
      <c r="J1796" s="4">
        <v>46359</v>
      </c>
    </row>
    <row r="1797" spans="1:10" x14ac:dyDescent="0.75">
      <c r="A1797" t="s">
        <v>151</v>
      </c>
      <c r="B1797">
        <v>2031</v>
      </c>
      <c r="C1797" t="s">
        <v>152</v>
      </c>
      <c r="D1797">
        <v>6835</v>
      </c>
      <c r="E1797" t="s">
        <v>483</v>
      </c>
      <c r="F1797" s="4">
        <v>0</v>
      </c>
      <c r="G1797" s="4">
        <v>43631</v>
      </c>
      <c r="H1797" s="4">
        <v>43353</v>
      </c>
      <c r="I1797" s="4">
        <v>278</v>
      </c>
      <c r="J1797" s="4">
        <v>43631</v>
      </c>
    </row>
    <row r="1798" spans="1:10" x14ac:dyDescent="0.75">
      <c r="A1798" t="s">
        <v>151</v>
      </c>
      <c r="B1798">
        <v>2031</v>
      </c>
      <c r="C1798" t="s">
        <v>152</v>
      </c>
      <c r="D1798">
        <v>5429</v>
      </c>
      <c r="E1798" t="s">
        <v>429</v>
      </c>
      <c r="F1798" s="4">
        <v>0</v>
      </c>
      <c r="G1798" s="4">
        <v>40970</v>
      </c>
      <c r="H1798" s="4">
        <v>34870</v>
      </c>
      <c r="I1798" s="4">
        <v>6100</v>
      </c>
      <c r="J1798" s="4">
        <v>40970</v>
      </c>
    </row>
    <row r="1799" spans="1:10" x14ac:dyDescent="0.75">
      <c r="A1799" t="s">
        <v>151</v>
      </c>
      <c r="B1799">
        <v>2031</v>
      </c>
      <c r="C1799" t="s">
        <v>152</v>
      </c>
      <c r="D1799">
        <v>6443</v>
      </c>
      <c r="E1799" t="s">
        <v>473</v>
      </c>
      <c r="F1799" s="4">
        <v>0</v>
      </c>
      <c r="G1799" s="4">
        <v>36387</v>
      </c>
      <c r="H1799" s="4">
        <v>36387</v>
      </c>
      <c r="I1799" s="4">
        <v>0</v>
      </c>
      <c r="J1799" s="4">
        <v>36387</v>
      </c>
    </row>
    <row r="1800" spans="1:10" x14ac:dyDescent="0.75">
      <c r="A1800" t="s">
        <v>151</v>
      </c>
      <c r="B1800">
        <v>2031</v>
      </c>
      <c r="C1800" t="s">
        <v>152</v>
      </c>
      <c r="D1800">
        <v>4331</v>
      </c>
      <c r="E1800" t="s">
        <v>390</v>
      </c>
      <c r="F1800" s="4">
        <v>20082</v>
      </c>
      <c r="G1800" s="4">
        <v>16094</v>
      </c>
      <c r="H1800" s="4">
        <v>9136</v>
      </c>
      <c r="I1800" s="4">
        <v>6958</v>
      </c>
      <c r="J1800" s="4">
        <v>36176</v>
      </c>
    </row>
    <row r="1801" spans="1:10" x14ac:dyDescent="0.75">
      <c r="A1801" t="s">
        <v>151</v>
      </c>
      <c r="B1801">
        <v>2031</v>
      </c>
      <c r="C1801" t="s">
        <v>152</v>
      </c>
      <c r="D1801">
        <v>4150</v>
      </c>
      <c r="E1801" t="s">
        <v>450</v>
      </c>
      <c r="F1801" s="4">
        <v>0</v>
      </c>
      <c r="G1801" s="4">
        <v>35104</v>
      </c>
      <c r="H1801" s="4">
        <v>10421</v>
      </c>
      <c r="I1801" s="4">
        <v>24683</v>
      </c>
      <c r="J1801" s="4">
        <v>35104</v>
      </c>
    </row>
    <row r="1802" spans="1:10" x14ac:dyDescent="0.75">
      <c r="A1802" t="s">
        <v>151</v>
      </c>
      <c r="B1802">
        <v>2031</v>
      </c>
      <c r="C1802" t="s">
        <v>152</v>
      </c>
      <c r="D1802">
        <v>4670</v>
      </c>
      <c r="E1802" t="s">
        <v>458</v>
      </c>
      <c r="F1802" s="4">
        <v>32142</v>
      </c>
      <c r="G1802" s="4">
        <v>2045</v>
      </c>
      <c r="H1802" s="4">
        <v>2045</v>
      </c>
      <c r="I1802" s="4">
        <v>0</v>
      </c>
      <c r="J1802" s="4">
        <v>34187</v>
      </c>
    </row>
    <row r="1803" spans="1:10" x14ac:dyDescent="0.75">
      <c r="A1803" t="s">
        <v>151</v>
      </c>
      <c r="B1803">
        <v>2031</v>
      </c>
      <c r="C1803" t="s">
        <v>152</v>
      </c>
      <c r="D1803">
        <v>6590</v>
      </c>
      <c r="E1803" t="s">
        <v>394</v>
      </c>
      <c r="F1803" s="4">
        <v>0</v>
      </c>
      <c r="G1803" s="4">
        <v>31038</v>
      </c>
      <c r="H1803" s="4">
        <v>10457</v>
      </c>
      <c r="I1803" s="4">
        <v>20581</v>
      </c>
      <c r="J1803" s="4">
        <v>31038</v>
      </c>
    </row>
    <row r="1804" spans="1:10" x14ac:dyDescent="0.75">
      <c r="A1804" t="s">
        <v>151</v>
      </c>
      <c r="B1804">
        <v>2031</v>
      </c>
      <c r="C1804" t="s">
        <v>152</v>
      </c>
      <c r="D1804">
        <v>8900</v>
      </c>
      <c r="E1804" t="s">
        <v>506</v>
      </c>
      <c r="F1804" s="4">
        <v>27480</v>
      </c>
      <c r="G1804" s="4">
        <v>0</v>
      </c>
      <c r="H1804" s="4">
        <v>0</v>
      </c>
      <c r="I1804" s="4">
        <v>0</v>
      </c>
      <c r="J1804" s="4">
        <v>27480</v>
      </c>
    </row>
    <row r="1805" spans="1:10" x14ac:dyDescent="0.75">
      <c r="A1805" t="s">
        <v>151</v>
      </c>
      <c r="B1805">
        <v>2031</v>
      </c>
      <c r="C1805" t="s">
        <v>152</v>
      </c>
      <c r="D1805">
        <v>4783</v>
      </c>
      <c r="E1805" t="s">
        <v>382</v>
      </c>
      <c r="F1805" s="4">
        <v>0</v>
      </c>
      <c r="G1805" s="4">
        <v>25198</v>
      </c>
      <c r="H1805" s="4">
        <v>12569</v>
      </c>
      <c r="I1805" s="4">
        <v>12629</v>
      </c>
      <c r="J1805" s="4">
        <v>25198</v>
      </c>
    </row>
    <row r="1806" spans="1:10" x14ac:dyDescent="0.75">
      <c r="A1806" t="s">
        <v>151</v>
      </c>
      <c r="B1806">
        <v>2031</v>
      </c>
      <c r="C1806" t="s">
        <v>152</v>
      </c>
      <c r="D1806">
        <v>4335</v>
      </c>
      <c r="E1806" t="s">
        <v>372</v>
      </c>
      <c r="F1806" s="4">
        <v>23280</v>
      </c>
      <c r="G1806" s="4">
        <v>0</v>
      </c>
      <c r="H1806" s="4">
        <v>0</v>
      </c>
      <c r="I1806" s="4">
        <v>0</v>
      </c>
      <c r="J1806" s="4">
        <v>23280</v>
      </c>
    </row>
    <row r="1807" spans="1:10" x14ac:dyDescent="0.75">
      <c r="A1807" t="s">
        <v>151</v>
      </c>
      <c r="B1807">
        <v>2031</v>
      </c>
      <c r="C1807" t="s">
        <v>152</v>
      </c>
      <c r="D1807">
        <v>7300</v>
      </c>
      <c r="E1807" t="s">
        <v>501</v>
      </c>
      <c r="F1807" s="4">
        <v>0</v>
      </c>
      <c r="G1807" s="4">
        <v>18478</v>
      </c>
      <c r="H1807" s="4">
        <v>18054</v>
      </c>
      <c r="I1807" s="4">
        <v>424</v>
      </c>
      <c r="J1807" s="4">
        <v>18478</v>
      </c>
    </row>
    <row r="1808" spans="1:10" x14ac:dyDescent="0.75">
      <c r="A1808" t="s">
        <v>151</v>
      </c>
      <c r="B1808">
        <v>2031</v>
      </c>
      <c r="C1808" t="s">
        <v>152</v>
      </c>
      <c r="D1808">
        <v>6899</v>
      </c>
      <c r="E1808" t="s">
        <v>498</v>
      </c>
      <c r="F1808" s="4">
        <v>0</v>
      </c>
      <c r="G1808" s="4">
        <v>18185</v>
      </c>
      <c r="H1808" s="4">
        <v>8014</v>
      </c>
      <c r="I1808" s="4">
        <v>10171</v>
      </c>
      <c r="J1808" s="4">
        <v>18185</v>
      </c>
    </row>
    <row r="1809" spans="1:10" x14ac:dyDescent="0.75">
      <c r="A1809" t="s">
        <v>151</v>
      </c>
      <c r="B1809">
        <v>2031</v>
      </c>
      <c r="C1809" t="s">
        <v>152</v>
      </c>
      <c r="D1809">
        <v>6521</v>
      </c>
      <c r="E1809" t="s">
        <v>476</v>
      </c>
      <c r="F1809" s="4">
        <v>0</v>
      </c>
      <c r="G1809" s="4">
        <v>16750</v>
      </c>
      <c r="H1809" s="4">
        <v>154</v>
      </c>
      <c r="I1809" s="4">
        <v>16596</v>
      </c>
      <c r="J1809" s="4">
        <v>16750</v>
      </c>
    </row>
    <row r="1810" spans="1:10" x14ac:dyDescent="0.75">
      <c r="A1810" t="s">
        <v>151</v>
      </c>
      <c r="B1810">
        <v>2031</v>
      </c>
      <c r="C1810" t="s">
        <v>152</v>
      </c>
      <c r="D1810">
        <v>7220</v>
      </c>
      <c r="E1810" t="s">
        <v>500</v>
      </c>
      <c r="F1810" s="4">
        <v>0</v>
      </c>
      <c r="G1810" s="4">
        <v>16227</v>
      </c>
      <c r="H1810" s="4">
        <v>9524</v>
      </c>
      <c r="I1810" s="4">
        <v>6703</v>
      </c>
      <c r="J1810" s="4">
        <v>16227</v>
      </c>
    </row>
    <row r="1811" spans="1:10" x14ac:dyDescent="0.75">
      <c r="A1811" t="s">
        <v>151</v>
      </c>
      <c r="B1811">
        <v>2031</v>
      </c>
      <c r="C1811" t="s">
        <v>152</v>
      </c>
      <c r="D1811">
        <v>6894</v>
      </c>
      <c r="E1811" t="s">
        <v>497</v>
      </c>
      <c r="F1811" s="4">
        <v>0</v>
      </c>
      <c r="G1811" s="4">
        <v>15623</v>
      </c>
      <c r="H1811" s="4">
        <v>15423</v>
      </c>
      <c r="I1811" s="4">
        <v>200</v>
      </c>
      <c r="J1811" s="4">
        <v>15623</v>
      </c>
    </row>
    <row r="1812" spans="1:10" x14ac:dyDescent="0.75">
      <c r="A1812" t="s">
        <v>151</v>
      </c>
      <c r="B1812">
        <v>2031</v>
      </c>
      <c r="C1812" t="s">
        <v>152</v>
      </c>
      <c r="D1812">
        <v>4410</v>
      </c>
      <c r="E1812" t="s">
        <v>399</v>
      </c>
      <c r="F1812" s="4">
        <v>0</v>
      </c>
      <c r="G1812" s="4">
        <v>12485</v>
      </c>
      <c r="H1812" s="4">
        <v>12465</v>
      </c>
      <c r="I1812" s="4">
        <v>20</v>
      </c>
      <c r="J1812" s="4">
        <v>12485</v>
      </c>
    </row>
    <row r="1813" spans="1:10" x14ac:dyDescent="0.75">
      <c r="A1813" t="s">
        <v>151</v>
      </c>
      <c r="B1813">
        <v>2031</v>
      </c>
      <c r="C1813" t="s">
        <v>152</v>
      </c>
      <c r="D1813">
        <v>4110</v>
      </c>
      <c r="E1813" t="s">
        <v>449</v>
      </c>
      <c r="F1813" s="4">
        <v>0</v>
      </c>
      <c r="G1813" s="4">
        <v>12302</v>
      </c>
      <c r="H1813" s="4">
        <v>12164</v>
      </c>
      <c r="I1813" s="4">
        <v>138</v>
      </c>
      <c r="J1813" s="4">
        <v>12302</v>
      </c>
    </row>
    <row r="1814" spans="1:10" x14ac:dyDescent="0.75">
      <c r="A1814" t="s">
        <v>151</v>
      </c>
      <c r="B1814">
        <v>2031</v>
      </c>
      <c r="C1814" t="s">
        <v>152</v>
      </c>
      <c r="D1814">
        <v>3120</v>
      </c>
      <c r="E1814" t="s">
        <v>406</v>
      </c>
      <c r="F1814" s="4">
        <v>10998</v>
      </c>
      <c r="G1814" s="4">
        <v>0</v>
      </c>
      <c r="H1814" s="4">
        <v>0</v>
      </c>
      <c r="I1814" s="4">
        <v>0</v>
      </c>
      <c r="J1814" s="4">
        <v>10998</v>
      </c>
    </row>
    <row r="1815" spans="1:10" x14ac:dyDescent="0.75">
      <c r="A1815" t="s">
        <v>151</v>
      </c>
      <c r="B1815">
        <v>2031</v>
      </c>
      <c r="C1815" t="s">
        <v>152</v>
      </c>
      <c r="D1815">
        <v>4170</v>
      </c>
      <c r="E1815" t="s">
        <v>424</v>
      </c>
      <c r="F1815" s="4">
        <v>0</v>
      </c>
      <c r="G1815" s="4">
        <v>10017</v>
      </c>
      <c r="H1815" s="4">
        <v>3927</v>
      </c>
      <c r="I1815" s="4">
        <v>6090</v>
      </c>
      <c r="J1815" s="4">
        <v>10017</v>
      </c>
    </row>
    <row r="1816" spans="1:10" x14ac:dyDescent="0.75">
      <c r="A1816" t="s">
        <v>151</v>
      </c>
      <c r="B1816">
        <v>2031</v>
      </c>
      <c r="C1816" t="s">
        <v>152</v>
      </c>
      <c r="D1816">
        <v>5110</v>
      </c>
      <c r="E1816" t="s">
        <v>460</v>
      </c>
      <c r="F1816" s="4">
        <v>0</v>
      </c>
      <c r="G1816" s="4">
        <v>9962</v>
      </c>
      <c r="H1816" s="4">
        <v>9914</v>
      </c>
      <c r="I1816" s="4">
        <v>48</v>
      </c>
      <c r="J1816" s="4">
        <v>9962</v>
      </c>
    </row>
    <row r="1817" spans="1:10" x14ac:dyDescent="0.75">
      <c r="A1817" t="s">
        <v>151</v>
      </c>
      <c r="B1817">
        <v>2031</v>
      </c>
      <c r="C1817" t="s">
        <v>152</v>
      </c>
      <c r="D1817">
        <v>6781</v>
      </c>
      <c r="E1817" t="s">
        <v>479</v>
      </c>
      <c r="F1817" s="4">
        <v>0</v>
      </c>
      <c r="G1817" s="4">
        <v>9759</v>
      </c>
      <c r="H1817" s="4">
        <v>3256</v>
      </c>
      <c r="I1817" s="4">
        <v>6503</v>
      </c>
      <c r="J1817" s="4">
        <v>9759</v>
      </c>
    </row>
    <row r="1818" spans="1:10" x14ac:dyDescent="0.75">
      <c r="A1818" t="s">
        <v>151</v>
      </c>
      <c r="B1818">
        <v>2031</v>
      </c>
      <c r="C1818" t="s">
        <v>152</v>
      </c>
      <c r="D1818">
        <v>4323</v>
      </c>
      <c r="E1818" t="s">
        <v>373</v>
      </c>
      <c r="F1818" s="4">
        <v>0</v>
      </c>
      <c r="G1818" s="4">
        <v>9748</v>
      </c>
      <c r="H1818" s="4">
        <v>3777</v>
      </c>
      <c r="I1818" s="4">
        <v>5971</v>
      </c>
      <c r="J1818" s="4">
        <v>9748</v>
      </c>
    </row>
    <row r="1819" spans="1:10" x14ac:dyDescent="0.75">
      <c r="A1819" t="s">
        <v>151</v>
      </c>
      <c r="B1819">
        <v>2031</v>
      </c>
      <c r="C1819" t="s">
        <v>152</v>
      </c>
      <c r="D1819">
        <v>6817</v>
      </c>
      <c r="E1819" t="s">
        <v>481</v>
      </c>
      <c r="F1819" s="4">
        <v>0</v>
      </c>
      <c r="G1819" s="4">
        <v>9223</v>
      </c>
      <c r="H1819" s="4">
        <v>7989</v>
      </c>
      <c r="I1819" s="4">
        <v>1234</v>
      </c>
      <c r="J1819" s="4">
        <v>9223</v>
      </c>
    </row>
    <row r="1820" spans="1:10" x14ac:dyDescent="0.75">
      <c r="A1820" t="s">
        <v>151</v>
      </c>
      <c r="B1820">
        <v>2031</v>
      </c>
      <c r="C1820" t="s">
        <v>152</v>
      </c>
      <c r="D1820">
        <v>3293</v>
      </c>
      <c r="E1820" t="s">
        <v>445</v>
      </c>
      <c r="F1820" s="4">
        <v>0</v>
      </c>
      <c r="G1820" s="4">
        <v>9018</v>
      </c>
      <c r="H1820" s="4">
        <v>3570</v>
      </c>
      <c r="I1820" s="4">
        <v>5448</v>
      </c>
      <c r="J1820" s="4">
        <v>9018</v>
      </c>
    </row>
    <row r="1821" spans="1:10" x14ac:dyDescent="0.75">
      <c r="A1821" t="s">
        <v>151</v>
      </c>
      <c r="B1821">
        <v>2031</v>
      </c>
      <c r="C1821" t="s">
        <v>152</v>
      </c>
      <c r="D1821">
        <v>3283</v>
      </c>
      <c r="E1821" t="s">
        <v>441</v>
      </c>
      <c r="F1821" s="4">
        <v>0</v>
      </c>
      <c r="G1821" s="4">
        <v>5926</v>
      </c>
      <c r="H1821" s="4">
        <v>4786</v>
      </c>
      <c r="I1821" s="4">
        <v>1140</v>
      </c>
      <c r="J1821" s="4">
        <v>5926</v>
      </c>
    </row>
    <row r="1822" spans="1:10" x14ac:dyDescent="0.75">
      <c r="A1822" t="s">
        <v>151</v>
      </c>
      <c r="B1822">
        <v>2031</v>
      </c>
      <c r="C1822" t="s">
        <v>152</v>
      </c>
      <c r="D1822">
        <v>7230</v>
      </c>
      <c r="E1822" t="s">
        <v>387</v>
      </c>
      <c r="F1822" s="4">
        <v>0</v>
      </c>
      <c r="G1822" s="4">
        <v>5466</v>
      </c>
      <c r="H1822" s="4">
        <v>4633</v>
      </c>
      <c r="I1822" s="4">
        <v>833</v>
      </c>
      <c r="J1822" s="4">
        <v>5466</v>
      </c>
    </row>
    <row r="1823" spans="1:10" x14ac:dyDescent="0.75">
      <c r="A1823" t="s">
        <v>151</v>
      </c>
      <c r="B1823">
        <v>2031</v>
      </c>
      <c r="C1823" t="s">
        <v>152</v>
      </c>
      <c r="D1823">
        <v>6872</v>
      </c>
      <c r="E1823" t="s">
        <v>492</v>
      </c>
      <c r="F1823" s="4">
        <v>0</v>
      </c>
      <c r="G1823" s="4">
        <v>3197</v>
      </c>
      <c r="H1823" s="4">
        <v>2774</v>
      </c>
      <c r="I1823" s="4">
        <v>423</v>
      </c>
      <c r="J1823" s="4">
        <v>3197</v>
      </c>
    </row>
    <row r="1824" spans="1:10" x14ac:dyDescent="0.75">
      <c r="A1824" t="s">
        <v>151</v>
      </c>
      <c r="B1824">
        <v>2031</v>
      </c>
      <c r="C1824" t="s">
        <v>152</v>
      </c>
      <c r="D1824">
        <v>3281</v>
      </c>
      <c r="E1824" t="s">
        <v>439</v>
      </c>
      <c r="F1824" s="4">
        <v>0</v>
      </c>
      <c r="G1824" s="4">
        <v>1631</v>
      </c>
      <c r="H1824" s="4">
        <v>1400</v>
      </c>
      <c r="I1824" s="4">
        <v>231</v>
      </c>
      <c r="J1824" s="4">
        <v>1631</v>
      </c>
    </row>
    <row r="1825" spans="1:10" x14ac:dyDescent="0.75">
      <c r="A1825" t="s">
        <v>151</v>
      </c>
      <c r="B1825">
        <v>2031</v>
      </c>
      <c r="C1825" t="s">
        <v>152</v>
      </c>
      <c r="D1825">
        <v>4630</v>
      </c>
      <c r="E1825" t="s">
        <v>456</v>
      </c>
      <c r="F1825" s="4">
        <v>0</v>
      </c>
      <c r="G1825" s="4">
        <v>1243</v>
      </c>
      <c r="H1825" s="4">
        <v>40</v>
      </c>
      <c r="I1825" s="4">
        <v>1203</v>
      </c>
      <c r="J1825" s="4">
        <v>1243</v>
      </c>
    </row>
    <row r="1826" spans="1:10" x14ac:dyDescent="0.75">
      <c r="A1826" t="s">
        <v>151</v>
      </c>
      <c r="B1826">
        <v>2031</v>
      </c>
      <c r="C1826" t="s">
        <v>152</v>
      </c>
      <c r="D1826">
        <v>5210</v>
      </c>
      <c r="E1826" t="s">
        <v>463</v>
      </c>
      <c r="F1826" s="4">
        <v>0</v>
      </c>
      <c r="G1826" s="4">
        <v>1026</v>
      </c>
      <c r="H1826" s="4">
        <v>621</v>
      </c>
      <c r="I1826" s="4">
        <v>405</v>
      </c>
      <c r="J1826" s="4">
        <v>1026</v>
      </c>
    </row>
    <row r="1827" spans="1:10" x14ac:dyDescent="0.75">
      <c r="A1827" t="s">
        <v>151</v>
      </c>
      <c r="B1827">
        <v>2031</v>
      </c>
      <c r="C1827" t="s">
        <v>152</v>
      </c>
      <c r="D1827">
        <v>4161</v>
      </c>
      <c r="E1827" t="s">
        <v>421</v>
      </c>
      <c r="F1827" s="4">
        <v>0</v>
      </c>
      <c r="G1827" s="4">
        <v>768</v>
      </c>
      <c r="H1827" s="4">
        <v>643</v>
      </c>
      <c r="I1827" s="4">
        <v>125</v>
      </c>
      <c r="J1827" s="4">
        <v>768</v>
      </c>
    </row>
    <row r="1828" spans="1:10" x14ac:dyDescent="0.75">
      <c r="A1828" t="s">
        <v>151</v>
      </c>
      <c r="B1828">
        <v>2031</v>
      </c>
      <c r="C1828" t="s">
        <v>152</v>
      </c>
      <c r="D1828">
        <v>4515</v>
      </c>
      <c r="E1828" t="s">
        <v>455</v>
      </c>
      <c r="F1828" s="4">
        <v>0</v>
      </c>
      <c r="G1828" s="4">
        <v>223</v>
      </c>
      <c r="H1828" s="4">
        <v>179</v>
      </c>
      <c r="I1828" s="4">
        <v>44</v>
      </c>
      <c r="J1828" s="4">
        <v>223</v>
      </c>
    </row>
    <row r="1829" spans="1:10" x14ac:dyDescent="0.75">
      <c r="A1829" t="s">
        <v>151</v>
      </c>
      <c r="B1829">
        <v>2031</v>
      </c>
      <c r="C1829" t="s">
        <v>152</v>
      </c>
      <c r="D1829">
        <v>6534</v>
      </c>
      <c r="E1829" t="s">
        <v>508</v>
      </c>
      <c r="F1829" s="4">
        <v>0</v>
      </c>
      <c r="G1829" s="4">
        <v>87</v>
      </c>
      <c r="H1829" s="4">
        <v>65</v>
      </c>
      <c r="I1829" s="4">
        <v>22</v>
      </c>
      <c r="J1829" s="4">
        <v>87</v>
      </c>
    </row>
    <row r="1830" spans="1:10" x14ac:dyDescent="0.75">
      <c r="A1830" t="s">
        <v>163</v>
      </c>
      <c r="B1830">
        <v>2382</v>
      </c>
      <c r="C1830" t="s">
        <v>300</v>
      </c>
      <c r="D1830">
        <v>4331</v>
      </c>
      <c r="E1830" t="s">
        <v>390</v>
      </c>
      <c r="F1830" s="4">
        <v>116250</v>
      </c>
      <c r="G1830" s="4">
        <v>0</v>
      </c>
      <c r="H1830" s="4">
        <v>0</v>
      </c>
      <c r="I1830" s="4">
        <v>0</v>
      </c>
      <c r="J1830" s="4">
        <v>116250</v>
      </c>
    </row>
    <row r="1831" spans="1:10" x14ac:dyDescent="0.75">
      <c r="A1831" t="s">
        <v>163</v>
      </c>
      <c r="B1831">
        <v>2382</v>
      </c>
      <c r="C1831" t="s">
        <v>300</v>
      </c>
      <c r="D1831">
        <v>4335</v>
      </c>
      <c r="E1831" t="s">
        <v>372</v>
      </c>
      <c r="F1831" s="4">
        <v>94442</v>
      </c>
      <c r="G1831" s="4">
        <v>0</v>
      </c>
      <c r="H1831" s="4">
        <v>0</v>
      </c>
      <c r="I1831" s="4">
        <v>0</v>
      </c>
      <c r="J1831" s="4">
        <v>94442</v>
      </c>
    </row>
    <row r="1832" spans="1:10" x14ac:dyDescent="0.75">
      <c r="A1832" t="s">
        <v>151</v>
      </c>
      <c r="B1832">
        <v>4374</v>
      </c>
      <c r="C1832" t="s">
        <v>282</v>
      </c>
      <c r="D1832">
        <v>4161</v>
      </c>
      <c r="E1832" t="s">
        <v>421</v>
      </c>
      <c r="F1832" s="4">
        <v>50818</v>
      </c>
      <c r="G1832" s="4">
        <v>311442</v>
      </c>
      <c r="H1832" s="4">
        <v>0</v>
      </c>
      <c r="I1832" s="4">
        <v>311442</v>
      </c>
      <c r="J1832" s="4">
        <v>362260</v>
      </c>
    </row>
    <row r="1833" spans="1:10" x14ac:dyDescent="0.75">
      <c r="A1833" t="s">
        <v>151</v>
      </c>
      <c r="B1833">
        <v>4374</v>
      </c>
      <c r="C1833" t="s">
        <v>282</v>
      </c>
      <c r="D1833">
        <v>2330</v>
      </c>
      <c r="E1833" t="s">
        <v>368</v>
      </c>
      <c r="F1833" s="4">
        <v>65380</v>
      </c>
      <c r="G1833" s="4">
        <v>0</v>
      </c>
      <c r="H1833" s="4">
        <v>0</v>
      </c>
      <c r="I1833" s="4">
        <v>0</v>
      </c>
      <c r="J1833" s="4">
        <v>65380</v>
      </c>
    </row>
    <row r="1834" spans="1:10" x14ac:dyDescent="0.75">
      <c r="A1834" t="s">
        <v>151</v>
      </c>
      <c r="B1834">
        <v>4374</v>
      </c>
      <c r="C1834" t="s">
        <v>282</v>
      </c>
      <c r="D1834">
        <v>2211</v>
      </c>
      <c r="E1834" t="s">
        <v>367</v>
      </c>
      <c r="F1834" s="4">
        <v>24650</v>
      </c>
      <c r="G1834" s="4">
        <v>0</v>
      </c>
      <c r="H1834" s="4">
        <v>0</v>
      </c>
      <c r="I1834" s="4">
        <v>0</v>
      </c>
      <c r="J1834" s="4">
        <v>24650</v>
      </c>
    </row>
    <row r="1835" spans="1:10" x14ac:dyDescent="0.75">
      <c r="A1835" t="s">
        <v>151</v>
      </c>
      <c r="B1835">
        <v>4374</v>
      </c>
      <c r="C1835" t="s">
        <v>282</v>
      </c>
      <c r="D1835">
        <v>7900</v>
      </c>
      <c r="E1835" t="s">
        <v>388</v>
      </c>
      <c r="F1835" s="4">
        <v>1097</v>
      </c>
      <c r="G1835" s="4">
        <v>0</v>
      </c>
      <c r="H1835" s="4">
        <v>0</v>
      </c>
      <c r="I1835" s="4">
        <v>0</v>
      </c>
      <c r="J1835" s="4">
        <v>1097</v>
      </c>
    </row>
    <row r="1836" spans="1:10" x14ac:dyDescent="0.75">
      <c r="A1836" t="s">
        <v>151</v>
      </c>
      <c r="B1836">
        <v>4374</v>
      </c>
      <c r="C1836" t="s">
        <v>282</v>
      </c>
      <c r="D1836">
        <v>7500</v>
      </c>
      <c r="E1836" t="s">
        <v>427</v>
      </c>
      <c r="F1836" s="4">
        <v>0</v>
      </c>
      <c r="G1836" s="4">
        <v>31</v>
      </c>
      <c r="H1836" s="4">
        <v>31</v>
      </c>
      <c r="I1836" s="4">
        <v>0</v>
      </c>
      <c r="J1836" s="4">
        <v>31</v>
      </c>
    </row>
    <row r="1837" spans="1:10" x14ac:dyDescent="0.75">
      <c r="A1837" t="s">
        <v>151</v>
      </c>
      <c r="B1837">
        <v>4885</v>
      </c>
      <c r="C1837" t="s">
        <v>333</v>
      </c>
      <c r="D1837">
        <v>4170</v>
      </c>
      <c r="E1837" t="s">
        <v>424</v>
      </c>
      <c r="F1837" s="4">
        <v>0</v>
      </c>
      <c r="G1837" s="4">
        <v>14602</v>
      </c>
      <c r="H1837" s="4">
        <v>0</v>
      </c>
      <c r="I1837" s="4">
        <v>14602</v>
      </c>
      <c r="J1837" s="4">
        <v>14602</v>
      </c>
    </row>
    <row r="1838" spans="1:10" x14ac:dyDescent="0.75">
      <c r="A1838" t="s">
        <v>160</v>
      </c>
      <c r="B1838">
        <v>3749</v>
      </c>
      <c r="C1838" t="s">
        <v>174</v>
      </c>
      <c r="D1838">
        <v>4783</v>
      </c>
      <c r="E1838" t="s">
        <v>382</v>
      </c>
      <c r="F1838" s="4">
        <v>461812</v>
      </c>
      <c r="G1838" s="4">
        <v>1417601</v>
      </c>
      <c r="H1838" s="4">
        <v>1417601</v>
      </c>
      <c r="I1838" s="4">
        <v>0</v>
      </c>
      <c r="J1838" s="4">
        <v>1879413</v>
      </c>
    </row>
    <row r="1839" spans="1:10" x14ac:dyDescent="0.75">
      <c r="A1839" t="s">
        <v>160</v>
      </c>
      <c r="B1839">
        <v>3749</v>
      </c>
      <c r="C1839" t="s">
        <v>174</v>
      </c>
      <c r="D1839">
        <v>4331</v>
      </c>
      <c r="E1839" t="s">
        <v>390</v>
      </c>
      <c r="F1839" s="4">
        <v>1599090</v>
      </c>
      <c r="G1839" s="4">
        <v>249505</v>
      </c>
      <c r="H1839" s="4">
        <v>249505</v>
      </c>
      <c r="I1839" s="4">
        <v>0</v>
      </c>
      <c r="J1839" s="4">
        <v>1848595</v>
      </c>
    </row>
    <row r="1840" spans="1:10" x14ac:dyDescent="0.75">
      <c r="A1840" t="s">
        <v>160</v>
      </c>
      <c r="B1840">
        <v>3749</v>
      </c>
      <c r="C1840" t="s">
        <v>174</v>
      </c>
      <c r="D1840">
        <v>5220</v>
      </c>
      <c r="E1840" t="s">
        <v>401</v>
      </c>
      <c r="F1840" s="4">
        <v>1526706</v>
      </c>
      <c r="G1840" s="4">
        <v>0</v>
      </c>
      <c r="H1840" s="4">
        <v>0</v>
      </c>
      <c r="I1840" s="4">
        <v>0</v>
      </c>
      <c r="J1840" s="4">
        <v>1526706</v>
      </c>
    </row>
    <row r="1841" spans="1:10" x14ac:dyDescent="0.75">
      <c r="A1841" t="s">
        <v>160</v>
      </c>
      <c r="B1841">
        <v>3749</v>
      </c>
      <c r="C1841" t="s">
        <v>174</v>
      </c>
      <c r="D1841">
        <v>2430</v>
      </c>
      <c r="E1841" t="s">
        <v>376</v>
      </c>
      <c r="F1841" s="4">
        <v>1424854</v>
      </c>
      <c r="G1841" s="4">
        <v>4069</v>
      </c>
      <c r="H1841" s="4">
        <v>4069</v>
      </c>
      <c r="I1841" s="4">
        <v>0</v>
      </c>
      <c r="J1841" s="4">
        <v>1428923</v>
      </c>
    </row>
    <row r="1842" spans="1:10" x14ac:dyDescent="0.75">
      <c r="A1842" t="s">
        <v>160</v>
      </c>
      <c r="B1842">
        <v>3749</v>
      </c>
      <c r="C1842" t="s">
        <v>174</v>
      </c>
      <c r="D1842">
        <v>4338</v>
      </c>
      <c r="E1842" t="s">
        <v>509</v>
      </c>
      <c r="F1842" s="4">
        <v>621938</v>
      </c>
      <c r="G1842" s="4">
        <v>0</v>
      </c>
      <c r="H1842" s="4">
        <v>0</v>
      </c>
      <c r="I1842" s="4">
        <v>0</v>
      </c>
      <c r="J1842" s="4">
        <v>621938</v>
      </c>
    </row>
    <row r="1843" spans="1:10" x14ac:dyDescent="0.75">
      <c r="A1843" t="s">
        <v>160</v>
      </c>
      <c r="B1843">
        <v>3749</v>
      </c>
      <c r="C1843" t="s">
        <v>174</v>
      </c>
      <c r="D1843">
        <v>5330</v>
      </c>
      <c r="E1843" t="s">
        <v>385</v>
      </c>
      <c r="F1843" s="4">
        <v>131714</v>
      </c>
      <c r="G1843" s="4">
        <v>307688</v>
      </c>
      <c r="H1843" s="4">
        <v>307688</v>
      </c>
      <c r="I1843" s="4">
        <v>0</v>
      </c>
      <c r="J1843" s="4">
        <v>439402</v>
      </c>
    </row>
    <row r="1844" spans="1:10" x14ac:dyDescent="0.75">
      <c r="A1844" t="s">
        <v>160</v>
      </c>
      <c r="B1844">
        <v>3749</v>
      </c>
      <c r="C1844" t="s">
        <v>174</v>
      </c>
      <c r="D1844">
        <v>4420</v>
      </c>
      <c r="E1844" t="s">
        <v>381</v>
      </c>
      <c r="F1844" s="4">
        <v>400343</v>
      </c>
      <c r="G1844" s="4">
        <v>5512</v>
      </c>
      <c r="H1844" s="4">
        <v>5512</v>
      </c>
      <c r="I1844" s="4">
        <v>0</v>
      </c>
      <c r="J1844" s="4">
        <v>405855</v>
      </c>
    </row>
    <row r="1845" spans="1:10" x14ac:dyDescent="0.75">
      <c r="A1845" t="s">
        <v>160</v>
      </c>
      <c r="B1845">
        <v>3749</v>
      </c>
      <c r="C1845" t="s">
        <v>174</v>
      </c>
      <c r="D1845">
        <v>5312</v>
      </c>
      <c r="E1845" t="s">
        <v>416</v>
      </c>
      <c r="F1845" s="4">
        <v>326609</v>
      </c>
      <c r="G1845" s="4">
        <v>10244</v>
      </c>
      <c r="H1845" s="4">
        <v>10244</v>
      </c>
      <c r="I1845" s="4">
        <v>0</v>
      </c>
      <c r="J1845" s="4">
        <v>336853</v>
      </c>
    </row>
    <row r="1846" spans="1:10" x14ac:dyDescent="0.75">
      <c r="A1846" t="s">
        <v>160</v>
      </c>
      <c r="B1846">
        <v>3749</v>
      </c>
      <c r="C1846" t="s">
        <v>174</v>
      </c>
      <c r="D1846">
        <v>5315</v>
      </c>
      <c r="E1846" t="s">
        <v>417</v>
      </c>
      <c r="F1846" s="4">
        <v>196400</v>
      </c>
      <c r="G1846" s="4">
        <v>24913</v>
      </c>
      <c r="H1846" s="4">
        <v>24913</v>
      </c>
      <c r="I1846" s="4">
        <v>0</v>
      </c>
      <c r="J1846" s="4">
        <v>221313</v>
      </c>
    </row>
    <row r="1847" spans="1:10" x14ac:dyDescent="0.75">
      <c r="A1847" t="s">
        <v>160</v>
      </c>
      <c r="B1847">
        <v>3749</v>
      </c>
      <c r="C1847" t="s">
        <v>174</v>
      </c>
      <c r="D1847">
        <v>1100</v>
      </c>
      <c r="E1847" t="s">
        <v>397</v>
      </c>
      <c r="F1847" s="4">
        <v>183144</v>
      </c>
      <c r="G1847" s="4">
        <v>31824</v>
      </c>
      <c r="H1847" s="4">
        <v>31824</v>
      </c>
      <c r="I1847" s="4">
        <v>0</v>
      </c>
      <c r="J1847" s="4">
        <v>214968</v>
      </c>
    </row>
    <row r="1848" spans="1:10" x14ac:dyDescent="0.75">
      <c r="A1848" t="s">
        <v>160</v>
      </c>
      <c r="B1848">
        <v>3749</v>
      </c>
      <c r="C1848" t="s">
        <v>174</v>
      </c>
      <c r="D1848">
        <v>2540</v>
      </c>
      <c r="E1848" t="s">
        <v>377</v>
      </c>
      <c r="F1848" s="4">
        <v>212311</v>
      </c>
      <c r="G1848" s="4">
        <v>0</v>
      </c>
      <c r="H1848" s="4">
        <v>0</v>
      </c>
      <c r="I1848" s="4">
        <v>0</v>
      </c>
      <c r="J1848" s="4">
        <v>212311</v>
      </c>
    </row>
    <row r="1849" spans="1:10" x14ac:dyDescent="0.75">
      <c r="A1849" t="s">
        <v>160</v>
      </c>
      <c r="B1849">
        <v>3749</v>
      </c>
      <c r="C1849" t="s">
        <v>174</v>
      </c>
      <c r="D1849">
        <v>5360</v>
      </c>
      <c r="E1849" t="s">
        <v>465</v>
      </c>
      <c r="F1849" s="4">
        <v>34327</v>
      </c>
      <c r="G1849" s="4">
        <v>94486</v>
      </c>
      <c r="H1849" s="4">
        <v>94486</v>
      </c>
      <c r="I1849" s="4">
        <v>0</v>
      </c>
      <c r="J1849" s="4">
        <v>128813</v>
      </c>
    </row>
    <row r="1850" spans="1:10" x14ac:dyDescent="0.75">
      <c r="A1850" t="s">
        <v>160</v>
      </c>
      <c r="B1850">
        <v>3749</v>
      </c>
      <c r="C1850" t="s">
        <v>174</v>
      </c>
      <c r="D1850">
        <v>4410</v>
      </c>
      <c r="E1850" t="s">
        <v>399</v>
      </c>
      <c r="F1850" s="4">
        <v>69861</v>
      </c>
      <c r="G1850" s="4">
        <v>58947</v>
      </c>
      <c r="H1850" s="4">
        <v>58947</v>
      </c>
      <c r="I1850" s="4">
        <v>0</v>
      </c>
      <c r="J1850" s="4">
        <v>128808</v>
      </c>
    </row>
    <row r="1851" spans="1:10" x14ac:dyDescent="0.75">
      <c r="A1851" t="s">
        <v>160</v>
      </c>
      <c r="B1851">
        <v>3749</v>
      </c>
      <c r="C1851" t="s">
        <v>174</v>
      </c>
      <c r="D1851">
        <v>3276</v>
      </c>
      <c r="E1851" t="s">
        <v>379</v>
      </c>
      <c r="F1851" s="4">
        <v>108231</v>
      </c>
      <c r="G1851" s="4">
        <v>0</v>
      </c>
      <c r="H1851" s="4">
        <v>0</v>
      </c>
      <c r="I1851" s="4">
        <v>0</v>
      </c>
      <c r="J1851" s="4">
        <v>108231</v>
      </c>
    </row>
    <row r="1852" spans="1:10" x14ac:dyDescent="0.75">
      <c r="A1852" t="s">
        <v>160</v>
      </c>
      <c r="B1852">
        <v>3749</v>
      </c>
      <c r="C1852" t="s">
        <v>174</v>
      </c>
      <c r="D1852">
        <v>4782</v>
      </c>
      <c r="E1852" t="s">
        <v>414</v>
      </c>
      <c r="F1852" s="4">
        <v>90006</v>
      </c>
      <c r="G1852" s="4">
        <v>0</v>
      </c>
      <c r="H1852" s="4">
        <v>0</v>
      </c>
      <c r="I1852" s="4">
        <v>0</v>
      </c>
      <c r="J1852" s="4">
        <v>90006</v>
      </c>
    </row>
    <row r="1853" spans="1:10" x14ac:dyDescent="0.75">
      <c r="A1853" t="s">
        <v>160</v>
      </c>
      <c r="B1853">
        <v>3749</v>
      </c>
      <c r="C1853" t="s">
        <v>174</v>
      </c>
      <c r="D1853">
        <v>5480</v>
      </c>
      <c r="E1853" t="s">
        <v>386</v>
      </c>
      <c r="F1853" s="4">
        <v>3045</v>
      </c>
      <c r="G1853" s="4">
        <v>67434</v>
      </c>
      <c r="H1853" s="4">
        <v>67434</v>
      </c>
      <c r="I1853" s="4">
        <v>0</v>
      </c>
      <c r="J1853" s="4">
        <v>70479</v>
      </c>
    </row>
    <row r="1854" spans="1:10" x14ac:dyDescent="0.75">
      <c r="A1854" t="s">
        <v>160</v>
      </c>
      <c r="B1854">
        <v>3749</v>
      </c>
      <c r="C1854" t="s">
        <v>174</v>
      </c>
      <c r="D1854">
        <v>2330</v>
      </c>
      <c r="E1854" t="s">
        <v>368</v>
      </c>
      <c r="F1854" s="4">
        <v>60884</v>
      </c>
      <c r="G1854" s="4">
        <v>0</v>
      </c>
      <c r="H1854" s="4">
        <v>0</v>
      </c>
      <c r="I1854" s="4">
        <v>0</v>
      </c>
      <c r="J1854" s="4">
        <v>60884</v>
      </c>
    </row>
    <row r="1855" spans="1:10" x14ac:dyDescent="0.75">
      <c r="A1855" t="s">
        <v>160</v>
      </c>
      <c r="B1855">
        <v>3749</v>
      </c>
      <c r="C1855" t="s">
        <v>174</v>
      </c>
      <c r="D1855">
        <v>6241</v>
      </c>
      <c r="E1855" t="s">
        <v>391</v>
      </c>
      <c r="F1855" s="4">
        <v>49913</v>
      </c>
      <c r="G1855" s="4">
        <v>0</v>
      </c>
      <c r="H1855" s="4">
        <v>0</v>
      </c>
      <c r="I1855" s="4">
        <v>0</v>
      </c>
      <c r="J1855" s="4">
        <v>49913</v>
      </c>
    </row>
    <row r="1856" spans="1:10" x14ac:dyDescent="0.75">
      <c r="A1856" t="s">
        <v>160</v>
      </c>
      <c r="B1856">
        <v>3749</v>
      </c>
      <c r="C1856" t="s">
        <v>174</v>
      </c>
      <c r="D1856">
        <v>6522</v>
      </c>
      <c r="E1856" t="s">
        <v>393</v>
      </c>
      <c r="F1856" s="4">
        <v>44414</v>
      </c>
      <c r="G1856" s="4">
        <v>0</v>
      </c>
      <c r="H1856" s="4">
        <v>0</v>
      </c>
      <c r="I1856" s="4">
        <v>0</v>
      </c>
      <c r="J1856" s="4">
        <v>44414</v>
      </c>
    </row>
    <row r="1857" spans="1:10" x14ac:dyDescent="0.75">
      <c r="A1857" t="s">
        <v>160</v>
      </c>
      <c r="B1857">
        <v>3749</v>
      </c>
      <c r="C1857" t="s">
        <v>174</v>
      </c>
      <c r="D1857">
        <v>4650</v>
      </c>
      <c r="E1857" t="s">
        <v>457</v>
      </c>
      <c r="F1857" s="4">
        <v>10718</v>
      </c>
      <c r="G1857" s="4">
        <v>33575</v>
      </c>
      <c r="H1857" s="4">
        <v>33575</v>
      </c>
      <c r="I1857" s="4">
        <v>0</v>
      </c>
      <c r="J1857" s="4">
        <v>44293</v>
      </c>
    </row>
    <row r="1858" spans="1:10" x14ac:dyDescent="0.75">
      <c r="A1858" t="s">
        <v>160</v>
      </c>
      <c r="B1858">
        <v>3749</v>
      </c>
      <c r="C1858" t="s">
        <v>174</v>
      </c>
      <c r="D1858">
        <v>3220</v>
      </c>
      <c r="E1858" t="s">
        <v>370</v>
      </c>
      <c r="F1858" s="4">
        <v>41926</v>
      </c>
      <c r="G1858" s="4">
        <v>0</v>
      </c>
      <c r="H1858" s="4">
        <v>0</v>
      </c>
      <c r="I1858" s="4">
        <v>0</v>
      </c>
      <c r="J1858" s="4">
        <v>41926</v>
      </c>
    </row>
    <row r="1859" spans="1:10" x14ac:dyDescent="0.75">
      <c r="A1859" t="s">
        <v>160</v>
      </c>
      <c r="B1859">
        <v>3749</v>
      </c>
      <c r="C1859" t="s">
        <v>174</v>
      </c>
      <c r="D1859">
        <v>6861</v>
      </c>
      <c r="E1859" t="s">
        <v>489</v>
      </c>
      <c r="F1859" s="4">
        <v>41154</v>
      </c>
      <c r="G1859" s="4">
        <v>0</v>
      </c>
      <c r="H1859" s="4">
        <v>0</v>
      </c>
      <c r="I1859" s="4">
        <v>0</v>
      </c>
      <c r="J1859" s="4">
        <v>41154</v>
      </c>
    </row>
    <row r="1860" spans="1:10" x14ac:dyDescent="0.75">
      <c r="A1860" t="s">
        <v>160</v>
      </c>
      <c r="B1860">
        <v>3749</v>
      </c>
      <c r="C1860" t="s">
        <v>174</v>
      </c>
      <c r="D1860">
        <v>6344</v>
      </c>
      <c r="E1860" t="s">
        <v>392</v>
      </c>
      <c r="F1860" s="4">
        <v>36284</v>
      </c>
      <c r="G1860" s="4">
        <v>0</v>
      </c>
      <c r="H1860" s="4">
        <v>0</v>
      </c>
      <c r="I1860" s="4">
        <v>0</v>
      </c>
      <c r="J1860" s="4">
        <v>36284</v>
      </c>
    </row>
    <row r="1861" spans="1:10" x14ac:dyDescent="0.75">
      <c r="A1861" t="s">
        <v>160</v>
      </c>
      <c r="B1861">
        <v>3749</v>
      </c>
      <c r="C1861" t="s">
        <v>174</v>
      </c>
      <c r="D1861">
        <v>4310</v>
      </c>
      <c r="E1861" t="s">
        <v>453</v>
      </c>
      <c r="F1861" s="4">
        <v>30899</v>
      </c>
      <c r="G1861" s="4">
        <v>0</v>
      </c>
      <c r="H1861" s="4">
        <v>0</v>
      </c>
      <c r="I1861" s="4">
        <v>0</v>
      </c>
      <c r="J1861" s="4">
        <v>30899</v>
      </c>
    </row>
    <row r="1862" spans="1:10" x14ac:dyDescent="0.75">
      <c r="A1862" t="s">
        <v>160</v>
      </c>
      <c r="B1862">
        <v>3749</v>
      </c>
      <c r="C1862" t="s">
        <v>174</v>
      </c>
      <c r="D1862">
        <v>4322</v>
      </c>
      <c r="E1862" t="s">
        <v>398</v>
      </c>
      <c r="F1862" s="4">
        <v>0</v>
      </c>
      <c r="G1862" s="4">
        <v>30528</v>
      </c>
      <c r="H1862" s="4">
        <v>30528</v>
      </c>
      <c r="I1862" s="4">
        <v>0</v>
      </c>
      <c r="J1862" s="4">
        <v>30528</v>
      </c>
    </row>
    <row r="1863" spans="1:10" x14ac:dyDescent="0.75">
      <c r="A1863" t="s">
        <v>160</v>
      </c>
      <c r="B1863">
        <v>3749</v>
      </c>
      <c r="C1863" t="s">
        <v>174</v>
      </c>
      <c r="D1863">
        <v>5422</v>
      </c>
      <c r="E1863" t="s">
        <v>468</v>
      </c>
      <c r="F1863" s="4">
        <v>28145</v>
      </c>
      <c r="G1863" s="4">
        <v>0</v>
      </c>
      <c r="H1863" s="4">
        <v>0</v>
      </c>
      <c r="I1863" s="4">
        <v>0</v>
      </c>
      <c r="J1863" s="4">
        <v>28145</v>
      </c>
    </row>
    <row r="1864" spans="1:10" x14ac:dyDescent="0.75">
      <c r="A1864" t="s">
        <v>160</v>
      </c>
      <c r="B1864">
        <v>3749</v>
      </c>
      <c r="C1864" t="s">
        <v>174</v>
      </c>
      <c r="D1864">
        <v>3275</v>
      </c>
      <c r="E1864" t="s">
        <v>412</v>
      </c>
      <c r="F1864" s="4">
        <v>27077</v>
      </c>
      <c r="G1864" s="4">
        <v>0</v>
      </c>
      <c r="H1864" s="4">
        <v>0</v>
      </c>
      <c r="I1864" s="4">
        <v>0</v>
      </c>
      <c r="J1864" s="4">
        <v>27077</v>
      </c>
    </row>
    <row r="1865" spans="1:10" x14ac:dyDescent="0.75">
      <c r="A1865" t="s">
        <v>160</v>
      </c>
      <c r="B1865">
        <v>3749</v>
      </c>
      <c r="C1865" t="s">
        <v>174</v>
      </c>
      <c r="D1865">
        <v>4860</v>
      </c>
      <c r="E1865" t="s">
        <v>400</v>
      </c>
      <c r="F1865" s="4">
        <v>26473</v>
      </c>
      <c r="G1865" s="4">
        <v>0</v>
      </c>
      <c r="H1865" s="4">
        <v>0</v>
      </c>
      <c r="I1865" s="4">
        <v>0</v>
      </c>
      <c r="J1865" s="4">
        <v>26473</v>
      </c>
    </row>
    <row r="1866" spans="1:10" x14ac:dyDescent="0.75">
      <c r="A1866" t="s">
        <v>160</v>
      </c>
      <c r="B1866">
        <v>3749</v>
      </c>
      <c r="C1866" t="s">
        <v>174</v>
      </c>
      <c r="D1866">
        <v>2990</v>
      </c>
      <c r="E1866" t="s">
        <v>432</v>
      </c>
      <c r="F1866" s="4">
        <v>25607</v>
      </c>
      <c r="G1866" s="4">
        <v>0</v>
      </c>
      <c r="H1866" s="4">
        <v>0</v>
      </c>
      <c r="I1866" s="4">
        <v>0</v>
      </c>
      <c r="J1866" s="4">
        <v>25607</v>
      </c>
    </row>
    <row r="1867" spans="1:10" x14ac:dyDescent="0.75">
      <c r="A1867" t="s">
        <v>160</v>
      </c>
      <c r="B1867">
        <v>3749</v>
      </c>
      <c r="C1867" t="s">
        <v>174</v>
      </c>
      <c r="D1867">
        <v>7600</v>
      </c>
      <c r="E1867" t="s">
        <v>503</v>
      </c>
      <c r="F1867" s="4">
        <v>0</v>
      </c>
      <c r="G1867" s="4">
        <v>23146</v>
      </c>
      <c r="H1867" s="4">
        <v>23146</v>
      </c>
      <c r="I1867" s="4">
        <v>0</v>
      </c>
      <c r="J1867" s="4">
        <v>23146</v>
      </c>
    </row>
    <row r="1868" spans="1:10" x14ac:dyDescent="0.75">
      <c r="A1868" t="s">
        <v>160</v>
      </c>
      <c r="B1868">
        <v>3749</v>
      </c>
      <c r="C1868" t="s">
        <v>174</v>
      </c>
      <c r="D1868">
        <v>2340</v>
      </c>
      <c r="E1868" t="s">
        <v>369</v>
      </c>
      <c r="F1868" s="4">
        <v>23066</v>
      </c>
      <c r="G1868" s="4">
        <v>0</v>
      </c>
      <c r="H1868" s="4">
        <v>0</v>
      </c>
      <c r="I1868" s="4">
        <v>0</v>
      </c>
      <c r="J1868" s="4">
        <v>23066</v>
      </c>
    </row>
    <row r="1869" spans="1:10" x14ac:dyDescent="0.75">
      <c r="A1869" t="s">
        <v>160</v>
      </c>
      <c r="B1869">
        <v>3749</v>
      </c>
      <c r="C1869" t="s">
        <v>174</v>
      </c>
      <c r="D1869">
        <v>5429</v>
      </c>
      <c r="E1869" t="s">
        <v>429</v>
      </c>
      <c r="F1869" s="4">
        <v>20313</v>
      </c>
      <c r="G1869" s="4">
        <v>0</v>
      </c>
      <c r="H1869" s="4">
        <v>0</v>
      </c>
      <c r="I1869" s="4">
        <v>0</v>
      </c>
      <c r="J1869" s="4">
        <v>20313</v>
      </c>
    </row>
    <row r="1870" spans="1:10" x14ac:dyDescent="0.75">
      <c r="A1870" t="s">
        <v>160</v>
      </c>
      <c r="B1870">
        <v>3749</v>
      </c>
      <c r="C1870" t="s">
        <v>174</v>
      </c>
      <c r="D1870">
        <v>4189</v>
      </c>
      <c r="E1870" t="s">
        <v>451</v>
      </c>
      <c r="F1870" s="4">
        <v>0</v>
      </c>
      <c r="G1870" s="4">
        <v>16243</v>
      </c>
      <c r="H1870" s="4">
        <v>16243</v>
      </c>
      <c r="I1870" s="4">
        <v>0</v>
      </c>
      <c r="J1870" s="4">
        <v>16243</v>
      </c>
    </row>
    <row r="1871" spans="1:10" x14ac:dyDescent="0.75">
      <c r="A1871" t="s">
        <v>160</v>
      </c>
      <c r="B1871">
        <v>3749</v>
      </c>
      <c r="C1871" t="s">
        <v>174</v>
      </c>
      <c r="D1871">
        <v>6445</v>
      </c>
      <c r="E1871" t="s">
        <v>474</v>
      </c>
      <c r="F1871" s="4">
        <v>0</v>
      </c>
      <c r="G1871" s="4">
        <v>9251</v>
      </c>
      <c r="H1871" s="4">
        <v>9251</v>
      </c>
      <c r="I1871" s="4">
        <v>0</v>
      </c>
      <c r="J1871" s="4">
        <v>9251</v>
      </c>
    </row>
    <row r="1872" spans="1:10" x14ac:dyDescent="0.75">
      <c r="A1872" t="s">
        <v>160</v>
      </c>
      <c r="B1872">
        <v>3749</v>
      </c>
      <c r="C1872" t="s">
        <v>174</v>
      </c>
      <c r="D1872">
        <v>4670</v>
      </c>
      <c r="E1872" t="s">
        <v>458</v>
      </c>
      <c r="F1872" s="4">
        <v>8655</v>
      </c>
      <c r="G1872" s="4">
        <v>0</v>
      </c>
      <c r="H1872" s="4">
        <v>0</v>
      </c>
      <c r="I1872" s="4">
        <v>0</v>
      </c>
      <c r="J1872" s="4">
        <v>8655</v>
      </c>
    </row>
    <row r="1873" spans="1:10" x14ac:dyDescent="0.75">
      <c r="A1873" t="s">
        <v>160</v>
      </c>
      <c r="B1873">
        <v>3749</v>
      </c>
      <c r="C1873" t="s">
        <v>174</v>
      </c>
      <c r="D1873">
        <v>7110</v>
      </c>
      <c r="E1873" t="s">
        <v>371</v>
      </c>
      <c r="F1873" s="4">
        <v>520</v>
      </c>
      <c r="G1873" s="4">
        <v>7136</v>
      </c>
      <c r="H1873" s="4">
        <v>7136</v>
      </c>
      <c r="I1873" s="4">
        <v>0</v>
      </c>
      <c r="J1873" s="4">
        <v>7656</v>
      </c>
    </row>
    <row r="1874" spans="1:10" x14ac:dyDescent="0.75">
      <c r="A1874" t="s">
        <v>160</v>
      </c>
      <c r="B1874">
        <v>3749</v>
      </c>
      <c r="C1874" t="s">
        <v>174</v>
      </c>
      <c r="D1874">
        <v>7120</v>
      </c>
      <c r="E1874" t="s">
        <v>499</v>
      </c>
      <c r="F1874" s="4">
        <v>0</v>
      </c>
      <c r="G1874" s="4">
        <v>7313</v>
      </c>
      <c r="H1874" s="4">
        <v>7313</v>
      </c>
      <c r="I1874" s="4">
        <v>0</v>
      </c>
      <c r="J1874" s="4">
        <v>7313</v>
      </c>
    </row>
    <row r="1875" spans="1:10" x14ac:dyDescent="0.75">
      <c r="A1875" t="s">
        <v>160</v>
      </c>
      <c r="B1875">
        <v>3749</v>
      </c>
      <c r="C1875" t="s">
        <v>174</v>
      </c>
      <c r="D1875">
        <v>4690</v>
      </c>
      <c r="E1875" t="s">
        <v>428</v>
      </c>
      <c r="F1875" s="4">
        <v>1114</v>
      </c>
      <c r="G1875" s="4">
        <v>5171</v>
      </c>
      <c r="H1875" s="4">
        <v>5171</v>
      </c>
      <c r="I1875" s="4">
        <v>0</v>
      </c>
      <c r="J1875" s="4">
        <v>6285</v>
      </c>
    </row>
    <row r="1876" spans="1:10" x14ac:dyDescent="0.75">
      <c r="A1876" t="s">
        <v>160</v>
      </c>
      <c r="B1876">
        <v>3749</v>
      </c>
      <c r="C1876" t="s">
        <v>174</v>
      </c>
      <c r="D1876">
        <v>4150</v>
      </c>
      <c r="E1876" t="s">
        <v>450</v>
      </c>
      <c r="F1876" s="4">
        <v>0</v>
      </c>
      <c r="G1876" s="4">
        <v>5042</v>
      </c>
      <c r="H1876" s="4">
        <v>5042</v>
      </c>
      <c r="I1876" s="4">
        <v>0</v>
      </c>
      <c r="J1876" s="4">
        <v>5042</v>
      </c>
    </row>
    <row r="1877" spans="1:10" x14ac:dyDescent="0.75">
      <c r="A1877" t="s">
        <v>160</v>
      </c>
      <c r="B1877">
        <v>3749</v>
      </c>
      <c r="C1877" t="s">
        <v>174</v>
      </c>
      <c r="D1877">
        <v>4900</v>
      </c>
      <c r="E1877" t="s">
        <v>383</v>
      </c>
      <c r="F1877" s="4">
        <v>4731</v>
      </c>
      <c r="G1877" s="4">
        <v>0</v>
      </c>
      <c r="H1877" s="4">
        <v>0</v>
      </c>
      <c r="I1877" s="4">
        <v>0</v>
      </c>
      <c r="J1877" s="4">
        <v>4731</v>
      </c>
    </row>
    <row r="1878" spans="1:10" x14ac:dyDescent="0.75">
      <c r="A1878" t="s">
        <v>160</v>
      </c>
      <c r="B1878">
        <v>3749</v>
      </c>
      <c r="C1878" t="s">
        <v>174</v>
      </c>
      <c r="D1878">
        <v>5390</v>
      </c>
      <c r="E1878" t="s">
        <v>418</v>
      </c>
      <c r="F1878" s="4">
        <v>4530</v>
      </c>
      <c r="G1878" s="4">
        <v>0</v>
      </c>
      <c r="H1878" s="4">
        <v>0</v>
      </c>
      <c r="I1878" s="4">
        <v>0</v>
      </c>
      <c r="J1878" s="4">
        <v>4530</v>
      </c>
    </row>
    <row r="1879" spans="1:10" x14ac:dyDescent="0.75">
      <c r="A1879" t="s">
        <v>160</v>
      </c>
      <c r="B1879">
        <v>3749</v>
      </c>
      <c r="C1879" t="s">
        <v>174</v>
      </c>
      <c r="D1879">
        <v>2350</v>
      </c>
      <c r="E1879" t="s">
        <v>404</v>
      </c>
      <c r="F1879" s="4">
        <v>4347</v>
      </c>
      <c r="G1879" s="4">
        <v>0</v>
      </c>
      <c r="H1879" s="4">
        <v>0</v>
      </c>
      <c r="I1879" s="4">
        <v>0</v>
      </c>
      <c r="J1879" s="4">
        <v>4347</v>
      </c>
    </row>
    <row r="1880" spans="1:10" x14ac:dyDescent="0.75">
      <c r="A1880" t="s">
        <v>160</v>
      </c>
      <c r="B1880">
        <v>3749</v>
      </c>
      <c r="C1880" t="s">
        <v>174</v>
      </c>
      <c r="D1880">
        <v>3190</v>
      </c>
      <c r="E1880" t="s">
        <v>408</v>
      </c>
      <c r="F1880" s="4">
        <v>4333</v>
      </c>
      <c r="G1880" s="4">
        <v>0</v>
      </c>
      <c r="H1880" s="4">
        <v>0</v>
      </c>
      <c r="I1880" s="4">
        <v>0</v>
      </c>
      <c r="J1880" s="4">
        <v>4333</v>
      </c>
    </row>
    <row r="1881" spans="1:10" x14ac:dyDescent="0.75">
      <c r="A1881" t="s">
        <v>160</v>
      </c>
      <c r="B1881">
        <v>3749</v>
      </c>
      <c r="C1881" t="s">
        <v>174</v>
      </c>
      <c r="D1881">
        <v>6782</v>
      </c>
      <c r="E1881" t="s">
        <v>396</v>
      </c>
      <c r="F1881" s="4">
        <v>4086</v>
      </c>
      <c r="G1881" s="4">
        <v>0</v>
      </c>
      <c r="H1881" s="4">
        <v>0</v>
      </c>
      <c r="I1881" s="4">
        <v>0</v>
      </c>
      <c r="J1881" s="4">
        <v>4086</v>
      </c>
    </row>
    <row r="1882" spans="1:10" x14ac:dyDescent="0.75">
      <c r="A1882" t="s">
        <v>160</v>
      </c>
      <c r="B1882">
        <v>3749</v>
      </c>
      <c r="C1882" t="s">
        <v>174</v>
      </c>
      <c r="D1882">
        <v>6447</v>
      </c>
      <c r="E1882" t="s">
        <v>475</v>
      </c>
      <c r="F1882" s="4">
        <v>3823</v>
      </c>
      <c r="G1882" s="4">
        <v>0</v>
      </c>
      <c r="H1882" s="4">
        <v>0</v>
      </c>
      <c r="I1882" s="4">
        <v>0</v>
      </c>
      <c r="J1882" s="4">
        <v>3823</v>
      </c>
    </row>
    <row r="1883" spans="1:10" x14ac:dyDescent="0.75">
      <c r="A1883" t="s">
        <v>160</v>
      </c>
      <c r="B1883">
        <v>3749</v>
      </c>
      <c r="C1883" t="s">
        <v>174</v>
      </c>
      <c r="D1883">
        <v>3299</v>
      </c>
      <c r="E1883" t="s">
        <v>448</v>
      </c>
      <c r="F1883" s="4">
        <v>2375</v>
      </c>
      <c r="G1883" s="4">
        <v>0</v>
      </c>
      <c r="H1883" s="4">
        <v>0</v>
      </c>
      <c r="I1883" s="4">
        <v>0</v>
      </c>
      <c r="J1883" s="4">
        <v>2375</v>
      </c>
    </row>
    <row r="1884" spans="1:10" x14ac:dyDescent="0.75">
      <c r="A1884" t="s">
        <v>160</v>
      </c>
      <c r="B1884">
        <v>3749</v>
      </c>
      <c r="C1884" t="s">
        <v>174</v>
      </c>
      <c r="D1884">
        <v>7900</v>
      </c>
      <c r="E1884" t="s">
        <v>388</v>
      </c>
      <c r="F1884" s="4">
        <v>0</v>
      </c>
      <c r="G1884" s="4">
        <v>1776</v>
      </c>
      <c r="H1884" s="4">
        <v>1776</v>
      </c>
      <c r="I1884" s="4">
        <v>0</v>
      </c>
      <c r="J1884" s="4">
        <v>1776</v>
      </c>
    </row>
    <row r="1885" spans="1:10" x14ac:dyDescent="0.75">
      <c r="A1885" t="s">
        <v>160</v>
      </c>
      <c r="B1885">
        <v>3749</v>
      </c>
      <c r="C1885" t="s">
        <v>174</v>
      </c>
      <c r="D1885">
        <v>1200</v>
      </c>
      <c r="E1885" t="s">
        <v>402</v>
      </c>
      <c r="F1885" s="4">
        <v>1668</v>
      </c>
      <c r="G1885" s="4">
        <v>0</v>
      </c>
      <c r="H1885" s="4">
        <v>0</v>
      </c>
      <c r="I1885" s="4">
        <v>0</v>
      </c>
      <c r="J1885" s="4">
        <v>1668</v>
      </c>
    </row>
    <row r="1886" spans="1:10" x14ac:dyDescent="0.75">
      <c r="A1886" t="s">
        <v>160</v>
      </c>
      <c r="B1886">
        <v>3749</v>
      </c>
      <c r="C1886" t="s">
        <v>174</v>
      </c>
      <c r="D1886">
        <v>6590</v>
      </c>
      <c r="E1886" t="s">
        <v>394</v>
      </c>
      <c r="F1886" s="4">
        <v>1563</v>
      </c>
      <c r="G1886" s="4">
        <v>0</v>
      </c>
      <c r="H1886" s="4">
        <v>0</v>
      </c>
      <c r="I1886" s="4">
        <v>0</v>
      </c>
      <c r="J1886" s="4">
        <v>1563</v>
      </c>
    </row>
    <row r="1887" spans="1:10" x14ac:dyDescent="0.75">
      <c r="A1887" t="s">
        <v>160</v>
      </c>
      <c r="B1887">
        <v>3749</v>
      </c>
      <c r="C1887" t="s">
        <v>174</v>
      </c>
      <c r="D1887">
        <v>6747</v>
      </c>
      <c r="E1887" t="s">
        <v>478</v>
      </c>
      <c r="F1887" s="4">
        <v>1468</v>
      </c>
      <c r="G1887" s="4">
        <v>0</v>
      </c>
      <c r="H1887" s="4">
        <v>0</v>
      </c>
      <c r="I1887" s="4">
        <v>0</v>
      </c>
      <c r="J1887" s="4">
        <v>1468</v>
      </c>
    </row>
    <row r="1888" spans="1:10" x14ac:dyDescent="0.75">
      <c r="A1888" t="s">
        <v>160</v>
      </c>
      <c r="B1888">
        <v>3749</v>
      </c>
      <c r="C1888" t="s">
        <v>174</v>
      </c>
      <c r="D1888">
        <v>5210</v>
      </c>
      <c r="E1888" t="s">
        <v>463</v>
      </c>
      <c r="F1888" s="4">
        <v>1348</v>
      </c>
      <c r="G1888" s="4">
        <v>0</v>
      </c>
      <c r="H1888" s="4">
        <v>0</v>
      </c>
      <c r="I1888" s="4">
        <v>0</v>
      </c>
      <c r="J1888" s="4">
        <v>1348</v>
      </c>
    </row>
    <row r="1889" spans="1:10" x14ac:dyDescent="0.75">
      <c r="A1889" t="s">
        <v>160</v>
      </c>
      <c r="B1889">
        <v>3749</v>
      </c>
      <c r="C1889" t="s">
        <v>174</v>
      </c>
      <c r="D1889">
        <v>3285</v>
      </c>
      <c r="E1889" t="s">
        <v>443</v>
      </c>
      <c r="F1889" s="4">
        <v>0</v>
      </c>
      <c r="G1889" s="4">
        <v>877</v>
      </c>
      <c r="H1889" s="4">
        <v>877</v>
      </c>
      <c r="I1889" s="4">
        <v>0</v>
      </c>
      <c r="J1889" s="4">
        <v>877</v>
      </c>
    </row>
    <row r="1890" spans="1:10" x14ac:dyDescent="0.75">
      <c r="A1890" t="s">
        <v>160</v>
      </c>
      <c r="B1890">
        <v>3749</v>
      </c>
      <c r="C1890" t="s">
        <v>174</v>
      </c>
      <c r="D1890">
        <v>5240</v>
      </c>
      <c r="E1890" t="s">
        <v>464</v>
      </c>
      <c r="F1890" s="4">
        <v>0</v>
      </c>
      <c r="G1890" s="4">
        <v>392</v>
      </c>
      <c r="H1890" s="4">
        <v>392</v>
      </c>
      <c r="I1890" s="4">
        <v>0</v>
      </c>
      <c r="J1890" s="4">
        <v>392</v>
      </c>
    </row>
    <row r="1891" spans="1:10" x14ac:dyDescent="0.75">
      <c r="A1891" t="s">
        <v>160</v>
      </c>
      <c r="B1891">
        <v>3749</v>
      </c>
      <c r="C1891" t="s">
        <v>174</v>
      </c>
      <c r="D1891">
        <v>5370</v>
      </c>
      <c r="E1891" t="s">
        <v>466</v>
      </c>
      <c r="F1891" s="4">
        <v>0</v>
      </c>
      <c r="G1891" s="4">
        <v>314</v>
      </c>
      <c r="H1891" s="4">
        <v>314</v>
      </c>
      <c r="I1891" s="4">
        <v>0</v>
      </c>
      <c r="J1891" s="4">
        <v>314</v>
      </c>
    </row>
    <row r="1892" spans="1:10" x14ac:dyDescent="0.75">
      <c r="A1892" t="s">
        <v>160</v>
      </c>
      <c r="B1892">
        <v>3749</v>
      </c>
      <c r="C1892" t="s">
        <v>174</v>
      </c>
      <c r="D1892">
        <v>3279</v>
      </c>
      <c r="E1892" t="s">
        <v>422</v>
      </c>
      <c r="F1892" s="4">
        <v>0</v>
      </c>
      <c r="G1892" s="4">
        <v>95</v>
      </c>
      <c r="H1892" s="4">
        <v>95</v>
      </c>
      <c r="I1892" s="4">
        <v>0</v>
      </c>
      <c r="J1892" s="4">
        <v>95</v>
      </c>
    </row>
    <row r="1893" spans="1:10" x14ac:dyDescent="0.75">
      <c r="A1893" t="s">
        <v>160</v>
      </c>
      <c r="B1893">
        <v>3749</v>
      </c>
      <c r="C1893" t="s">
        <v>174</v>
      </c>
      <c r="D1893">
        <v>5290</v>
      </c>
      <c r="E1893" t="s">
        <v>415</v>
      </c>
      <c r="F1893" s="4">
        <v>0</v>
      </c>
      <c r="G1893" s="4">
        <v>44</v>
      </c>
      <c r="H1893" s="4">
        <v>44</v>
      </c>
      <c r="I1893" s="4">
        <v>0</v>
      </c>
      <c r="J1893" s="4">
        <v>44</v>
      </c>
    </row>
    <row r="1894" spans="1:10" x14ac:dyDescent="0.75">
      <c r="A1894" t="s">
        <v>160</v>
      </c>
      <c r="B1894">
        <v>3749</v>
      </c>
      <c r="C1894" t="s">
        <v>174</v>
      </c>
      <c r="D1894">
        <v>6822</v>
      </c>
      <c r="E1894" t="s">
        <v>482</v>
      </c>
      <c r="F1894" s="4">
        <v>0</v>
      </c>
      <c r="G1894" s="4">
        <v>14</v>
      </c>
      <c r="H1894" s="4">
        <v>14</v>
      </c>
      <c r="I1894" s="4">
        <v>0</v>
      </c>
      <c r="J1894" s="4">
        <v>14</v>
      </c>
    </row>
    <row r="1895" spans="1:10" x14ac:dyDescent="0.75">
      <c r="A1895" t="s">
        <v>160</v>
      </c>
      <c r="B1895">
        <v>3749</v>
      </c>
      <c r="C1895" t="s">
        <v>174</v>
      </c>
      <c r="D1895">
        <v>3286</v>
      </c>
      <c r="E1895" t="s">
        <v>423</v>
      </c>
      <c r="F1895" s="4">
        <v>0</v>
      </c>
      <c r="G1895" s="4">
        <v>4</v>
      </c>
      <c r="H1895" s="4">
        <v>4</v>
      </c>
      <c r="I1895" s="4">
        <v>0</v>
      </c>
      <c r="J1895" s="4">
        <v>4</v>
      </c>
    </row>
    <row r="1896" spans="1:10" x14ac:dyDescent="0.75">
      <c r="A1896" t="s">
        <v>163</v>
      </c>
      <c r="B1896">
        <v>2313</v>
      </c>
      <c r="C1896" t="s">
        <v>195</v>
      </c>
      <c r="D1896">
        <v>6344</v>
      </c>
      <c r="E1896" t="s">
        <v>392</v>
      </c>
      <c r="F1896" s="4">
        <v>2110404</v>
      </c>
      <c r="G1896" s="4">
        <v>0</v>
      </c>
      <c r="H1896" s="4">
        <v>0</v>
      </c>
      <c r="I1896" s="4">
        <v>0</v>
      </c>
      <c r="J1896" s="4">
        <v>2110404</v>
      </c>
    </row>
    <row r="1897" spans="1:10" x14ac:dyDescent="0.75">
      <c r="A1897" t="s">
        <v>163</v>
      </c>
      <c r="B1897">
        <v>2313</v>
      </c>
      <c r="C1897" t="s">
        <v>195</v>
      </c>
      <c r="D1897">
        <v>6522</v>
      </c>
      <c r="E1897" t="s">
        <v>393</v>
      </c>
      <c r="F1897" s="4">
        <v>1120988</v>
      </c>
      <c r="G1897" s="4">
        <v>0</v>
      </c>
      <c r="H1897" s="4">
        <v>0</v>
      </c>
      <c r="I1897" s="4">
        <v>0</v>
      </c>
      <c r="J1897" s="4">
        <v>1120988</v>
      </c>
    </row>
    <row r="1898" spans="1:10" x14ac:dyDescent="0.75">
      <c r="A1898" t="s">
        <v>163</v>
      </c>
      <c r="B1898">
        <v>2313</v>
      </c>
      <c r="C1898" t="s">
        <v>195</v>
      </c>
      <c r="D1898">
        <v>6782</v>
      </c>
      <c r="E1898" t="s">
        <v>396</v>
      </c>
      <c r="F1898" s="4">
        <v>569852</v>
      </c>
      <c r="G1898" s="4">
        <v>0</v>
      </c>
      <c r="H1898" s="4">
        <v>0</v>
      </c>
      <c r="I1898" s="4">
        <v>0</v>
      </c>
      <c r="J1898" s="4">
        <v>569852</v>
      </c>
    </row>
    <row r="1899" spans="1:10" x14ac:dyDescent="0.75">
      <c r="A1899" t="s">
        <v>163</v>
      </c>
      <c r="B1899">
        <v>2313</v>
      </c>
      <c r="C1899" t="s">
        <v>195</v>
      </c>
      <c r="D1899">
        <v>3110</v>
      </c>
      <c r="E1899" t="s">
        <v>405</v>
      </c>
      <c r="F1899" s="4">
        <v>358783</v>
      </c>
      <c r="G1899" s="4">
        <v>0</v>
      </c>
      <c r="H1899" s="4">
        <v>0</v>
      </c>
      <c r="I1899" s="4">
        <v>0</v>
      </c>
      <c r="J1899" s="4">
        <v>358783</v>
      </c>
    </row>
    <row r="1900" spans="1:10" x14ac:dyDescent="0.75">
      <c r="A1900" t="s">
        <v>163</v>
      </c>
      <c r="B1900">
        <v>2313</v>
      </c>
      <c r="C1900" t="s">
        <v>195</v>
      </c>
      <c r="D1900">
        <v>4331</v>
      </c>
      <c r="E1900" t="s">
        <v>390</v>
      </c>
      <c r="F1900" s="4">
        <v>275500</v>
      </c>
      <c r="G1900" s="4">
        <v>0</v>
      </c>
      <c r="H1900" s="4">
        <v>0</v>
      </c>
      <c r="I1900" s="4">
        <v>0</v>
      </c>
      <c r="J1900" s="4">
        <v>275500</v>
      </c>
    </row>
    <row r="1901" spans="1:10" x14ac:dyDescent="0.75">
      <c r="A1901" t="s">
        <v>163</v>
      </c>
      <c r="B1901">
        <v>2313</v>
      </c>
      <c r="C1901" t="s">
        <v>195</v>
      </c>
      <c r="D1901">
        <v>3220</v>
      </c>
      <c r="E1901" t="s">
        <v>370</v>
      </c>
      <c r="F1901" s="4">
        <v>272525</v>
      </c>
      <c r="G1901" s="4">
        <v>0</v>
      </c>
      <c r="H1901" s="4">
        <v>0</v>
      </c>
      <c r="I1901" s="4">
        <v>0</v>
      </c>
      <c r="J1901" s="4">
        <v>272525</v>
      </c>
    </row>
    <row r="1902" spans="1:10" x14ac:dyDescent="0.75">
      <c r="A1902" t="s">
        <v>163</v>
      </c>
      <c r="B1902">
        <v>2313</v>
      </c>
      <c r="C1902" t="s">
        <v>195</v>
      </c>
      <c r="D1902">
        <v>3190</v>
      </c>
      <c r="E1902" t="s">
        <v>408</v>
      </c>
      <c r="F1902" s="4">
        <v>106119</v>
      </c>
      <c r="G1902" s="4">
        <v>0</v>
      </c>
      <c r="H1902" s="4">
        <v>0</v>
      </c>
      <c r="I1902" s="4">
        <v>0</v>
      </c>
      <c r="J1902" s="4">
        <v>106119</v>
      </c>
    </row>
    <row r="1903" spans="1:10" x14ac:dyDescent="0.75">
      <c r="A1903" t="s">
        <v>163</v>
      </c>
      <c r="B1903">
        <v>2313</v>
      </c>
      <c r="C1903" t="s">
        <v>195</v>
      </c>
      <c r="D1903">
        <v>3130</v>
      </c>
      <c r="E1903" t="s">
        <v>407</v>
      </c>
      <c r="F1903" s="4">
        <v>99280</v>
      </c>
      <c r="G1903" s="4">
        <v>0</v>
      </c>
      <c r="H1903" s="4">
        <v>0</v>
      </c>
      <c r="I1903" s="4">
        <v>0</v>
      </c>
      <c r="J1903" s="4">
        <v>99280</v>
      </c>
    </row>
    <row r="1904" spans="1:10" x14ac:dyDescent="0.75">
      <c r="A1904" t="s">
        <v>163</v>
      </c>
      <c r="B1904">
        <v>2313</v>
      </c>
      <c r="C1904" t="s">
        <v>195</v>
      </c>
      <c r="D1904">
        <v>3219</v>
      </c>
      <c r="E1904" t="s">
        <v>378</v>
      </c>
      <c r="F1904" s="4">
        <v>83961</v>
      </c>
      <c r="G1904" s="4">
        <v>0</v>
      </c>
      <c r="H1904" s="4">
        <v>0</v>
      </c>
      <c r="I1904" s="4">
        <v>0</v>
      </c>
      <c r="J1904" s="4">
        <v>83961</v>
      </c>
    </row>
    <row r="1905" spans="1:10" x14ac:dyDescent="0.75">
      <c r="A1905" t="s">
        <v>163</v>
      </c>
      <c r="B1905">
        <v>2313</v>
      </c>
      <c r="C1905" t="s">
        <v>195</v>
      </c>
      <c r="D1905">
        <v>6865</v>
      </c>
      <c r="E1905" t="s">
        <v>490</v>
      </c>
      <c r="F1905" s="4">
        <v>75438</v>
      </c>
      <c r="G1905" s="4">
        <v>0</v>
      </c>
      <c r="H1905" s="4">
        <v>0</v>
      </c>
      <c r="I1905" s="4">
        <v>0</v>
      </c>
      <c r="J1905" s="4">
        <v>75438</v>
      </c>
    </row>
    <row r="1906" spans="1:10" x14ac:dyDescent="0.75">
      <c r="A1906" t="s">
        <v>163</v>
      </c>
      <c r="B1906">
        <v>2313</v>
      </c>
      <c r="C1906" t="s">
        <v>195</v>
      </c>
      <c r="D1906">
        <v>1100</v>
      </c>
      <c r="E1906" t="s">
        <v>397</v>
      </c>
      <c r="F1906" s="4">
        <v>46113</v>
      </c>
      <c r="G1906" s="4">
        <v>0</v>
      </c>
      <c r="H1906" s="4">
        <v>0</v>
      </c>
      <c r="I1906" s="4">
        <v>0</v>
      </c>
      <c r="J1906" s="4">
        <v>46113</v>
      </c>
    </row>
    <row r="1907" spans="1:10" x14ac:dyDescent="0.75">
      <c r="A1907" t="s">
        <v>163</v>
      </c>
      <c r="B1907">
        <v>2313</v>
      </c>
      <c r="C1907" t="s">
        <v>195</v>
      </c>
      <c r="D1907">
        <v>2540</v>
      </c>
      <c r="E1907" t="s">
        <v>377</v>
      </c>
      <c r="F1907" s="4">
        <v>40326</v>
      </c>
      <c r="G1907" s="4">
        <v>0</v>
      </c>
      <c r="H1907" s="4">
        <v>0</v>
      </c>
      <c r="I1907" s="4">
        <v>0</v>
      </c>
      <c r="J1907" s="4">
        <v>40326</v>
      </c>
    </row>
    <row r="1908" spans="1:10" x14ac:dyDescent="0.75">
      <c r="A1908" t="s">
        <v>163</v>
      </c>
      <c r="B1908">
        <v>2313</v>
      </c>
      <c r="C1908" t="s">
        <v>195</v>
      </c>
      <c r="D1908">
        <v>3276</v>
      </c>
      <c r="E1908" t="s">
        <v>379</v>
      </c>
      <c r="F1908" s="4">
        <v>37048</v>
      </c>
      <c r="G1908" s="4">
        <v>0</v>
      </c>
      <c r="H1908" s="4">
        <v>0</v>
      </c>
      <c r="I1908" s="4">
        <v>0</v>
      </c>
      <c r="J1908" s="4">
        <v>37048</v>
      </c>
    </row>
    <row r="1909" spans="1:10" x14ac:dyDescent="0.75">
      <c r="A1909" t="s">
        <v>163</v>
      </c>
      <c r="B1909">
        <v>2313</v>
      </c>
      <c r="C1909" t="s">
        <v>195</v>
      </c>
      <c r="D1909">
        <v>3120</v>
      </c>
      <c r="E1909" t="s">
        <v>406</v>
      </c>
      <c r="F1909" s="4">
        <v>24008</v>
      </c>
      <c r="G1909" s="4">
        <v>0</v>
      </c>
      <c r="H1909" s="4">
        <v>0</v>
      </c>
      <c r="I1909" s="4">
        <v>0</v>
      </c>
      <c r="J1909" s="4">
        <v>24008</v>
      </c>
    </row>
    <row r="1910" spans="1:10" x14ac:dyDescent="0.75">
      <c r="A1910" t="s">
        <v>163</v>
      </c>
      <c r="B1910">
        <v>2313</v>
      </c>
      <c r="C1910" t="s">
        <v>195</v>
      </c>
      <c r="D1910">
        <v>6653</v>
      </c>
      <c r="E1910" t="s">
        <v>395</v>
      </c>
      <c r="F1910" s="4">
        <v>18374</v>
      </c>
      <c r="G1910" s="4">
        <v>0</v>
      </c>
      <c r="H1910" s="4">
        <v>0</v>
      </c>
      <c r="I1910" s="4">
        <v>0</v>
      </c>
      <c r="J1910" s="4">
        <v>18374</v>
      </c>
    </row>
    <row r="1911" spans="1:10" x14ac:dyDescent="0.75">
      <c r="A1911" t="s">
        <v>163</v>
      </c>
      <c r="B1911">
        <v>2313</v>
      </c>
      <c r="C1911" t="s">
        <v>195</v>
      </c>
      <c r="D1911">
        <v>3273</v>
      </c>
      <c r="E1911" t="s">
        <v>411</v>
      </c>
      <c r="F1911" s="4">
        <v>17500</v>
      </c>
      <c r="G1911" s="4">
        <v>0</v>
      </c>
      <c r="H1911" s="4">
        <v>0</v>
      </c>
      <c r="I1911" s="4">
        <v>0</v>
      </c>
      <c r="J1911" s="4">
        <v>17500</v>
      </c>
    </row>
    <row r="1912" spans="1:10" x14ac:dyDescent="0.75">
      <c r="A1912" t="s">
        <v>163</v>
      </c>
      <c r="B1912">
        <v>2313</v>
      </c>
      <c r="C1912" t="s">
        <v>195</v>
      </c>
      <c r="D1912">
        <v>4650</v>
      </c>
      <c r="E1912" t="s">
        <v>457</v>
      </c>
      <c r="F1912" s="4">
        <v>11249</v>
      </c>
      <c r="G1912" s="4">
        <v>0</v>
      </c>
      <c r="H1912" s="4">
        <v>0</v>
      </c>
      <c r="I1912" s="4">
        <v>0</v>
      </c>
      <c r="J1912" s="4">
        <v>11249</v>
      </c>
    </row>
    <row r="1913" spans="1:10" x14ac:dyDescent="0.75">
      <c r="A1913" t="s">
        <v>163</v>
      </c>
      <c r="B1913">
        <v>2313</v>
      </c>
      <c r="C1913" t="s">
        <v>195</v>
      </c>
      <c r="D1913">
        <v>5312</v>
      </c>
      <c r="E1913" t="s">
        <v>416</v>
      </c>
      <c r="F1913" s="4">
        <v>4919</v>
      </c>
      <c r="G1913" s="4">
        <v>0</v>
      </c>
      <c r="H1913" s="4">
        <v>0</v>
      </c>
      <c r="I1913" s="4">
        <v>0</v>
      </c>
      <c r="J1913" s="4">
        <v>4919</v>
      </c>
    </row>
    <row r="1914" spans="1:10" x14ac:dyDescent="0.75">
      <c r="A1914" t="s">
        <v>163</v>
      </c>
      <c r="B1914">
        <v>2313</v>
      </c>
      <c r="C1914" t="s">
        <v>195</v>
      </c>
      <c r="D1914">
        <v>1200</v>
      </c>
      <c r="E1914" t="s">
        <v>402</v>
      </c>
      <c r="F1914" s="4">
        <v>4722</v>
      </c>
      <c r="G1914" s="4">
        <v>0</v>
      </c>
      <c r="H1914" s="4">
        <v>0</v>
      </c>
      <c r="I1914" s="4">
        <v>0</v>
      </c>
      <c r="J1914" s="4">
        <v>4722</v>
      </c>
    </row>
    <row r="1915" spans="1:10" x14ac:dyDescent="0.75">
      <c r="A1915" t="s">
        <v>163</v>
      </c>
      <c r="B1915">
        <v>2313</v>
      </c>
      <c r="C1915" t="s">
        <v>195</v>
      </c>
      <c r="D1915">
        <v>5360</v>
      </c>
      <c r="E1915" t="s">
        <v>465</v>
      </c>
      <c r="F1915" s="4">
        <v>4487</v>
      </c>
      <c r="G1915" s="4">
        <v>0</v>
      </c>
      <c r="H1915" s="4">
        <v>0</v>
      </c>
      <c r="I1915" s="4">
        <v>0</v>
      </c>
      <c r="J1915" s="4">
        <v>4487</v>
      </c>
    </row>
    <row r="1916" spans="1:10" x14ac:dyDescent="0.75">
      <c r="A1916" t="s">
        <v>163</v>
      </c>
      <c r="B1916">
        <v>2313</v>
      </c>
      <c r="C1916" t="s">
        <v>195</v>
      </c>
      <c r="D1916">
        <v>4860</v>
      </c>
      <c r="E1916" t="s">
        <v>400</v>
      </c>
      <c r="F1916" s="4">
        <v>1553</v>
      </c>
      <c r="G1916" s="4">
        <v>0</v>
      </c>
      <c r="H1916" s="4">
        <v>0</v>
      </c>
      <c r="I1916" s="4">
        <v>0</v>
      </c>
      <c r="J1916" s="4">
        <v>1553</v>
      </c>
    </row>
    <row r="1917" spans="1:10" x14ac:dyDescent="0.75">
      <c r="A1917" t="s">
        <v>163</v>
      </c>
      <c r="B1917">
        <v>2361</v>
      </c>
      <c r="C1917" t="s">
        <v>351</v>
      </c>
      <c r="D1917">
        <v>5370</v>
      </c>
      <c r="E1917" t="s">
        <v>466</v>
      </c>
      <c r="F1917" s="4">
        <v>1000</v>
      </c>
      <c r="G1917" s="4">
        <v>0</v>
      </c>
      <c r="H1917" s="4">
        <v>0</v>
      </c>
      <c r="I1917" s="4">
        <v>0</v>
      </c>
      <c r="J1917" s="4">
        <v>1000</v>
      </c>
    </row>
    <row r="1918" spans="1:10" x14ac:dyDescent="0.75">
      <c r="A1918" t="s">
        <v>163</v>
      </c>
      <c r="B1918">
        <v>2314</v>
      </c>
      <c r="C1918" t="s">
        <v>229</v>
      </c>
      <c r="D1918">
        <v>1100</v>
      </c>
      <c r="E1918" t="s">
        <v>397</v>
      </c>
      <c r="F1918" s="4">
        <v>1490226</v>
      </c>
      <c r="G1918" s="4">
        <v>0</v>
      </c>
      <c r="H1918" s="4">
        <v>0</v>
      </c>
      <c r="I1918" s="4">
        <v>0</v>
      </c>
      <c r="J1918" s="4">
        <v>1490226</v>
      </c>
    </row>
    <row r="1919" spans="1:10" x14ac:dyDescent="0.75">
      <c r="A1919" t="s">
        <v>163</v>
      </c>
      <c r="B1919">
        <v>2314</v>
      </c>
      <c r="C1919" t="s">
        <v>229</v>
      </c>
      <c r="D1919">
        <v>6344</v>
      </c>
      <c r="E1919" t="s">
        <v>392</v>
      </c>
      <c r="F1919" s="4">
        <v>300953</v>
      </c>
      <c r="G1919" s="4">
        <v>0</v>
      </c>
      <c r="H1919" s="4">
        <v>0</v>
      </c>
      <c r="I1919" s="4">
        <v>0</v>
      </c>
      <c r="J1919" s="4">
        <v>300953</v>
      </c>
    </row>
    <row r="1920" spans="1:10" x14ac:dyDescent="0.75">
      <c r="A1920" t="s">
        <v>163</v>
      </c>
      <c r="B1920">
        <v>2314</v>
      </c>
      <c r="C1920" t="s">
        <v>229</v>
      </c>
      <c r="D1920">
        <v>6522</v>
      </c>
      <c r="E1920" t="s">
        <v>393</v>
      </c>
      <c r="F1920" s="4">
        <v>256355</v>
      </c>
      <c r="G1920" s="4">
        <v>0</v>
      </c>
      <c r="H1920" s="4">
        <v>0</v>
      </c>
      <c r="I1920" s="4">
        <v>0</v>
      </c>
      <c r="J1920" s="4">
        <v>256355</v>
      </c>
    </row>
    <row r="1921" spans="1:10" x14ac:dyDescent="0.75">
      <c r="A1921" t="s">
        <v>163</v>
      </c>
      <c r="B1921">
        <v>2314</v>
      </c>
      <c r="C1921" t="s">
        <v>229</v>
      </c>
      <c r="D1921">
        <v>6241</v>
      </c>
      <c r="E1921" t="s">
        <v>391</v>
      </c>
      <c r="F1921" s="4">
        <v>82130</v>
      </c>
      <c r="G1921" s="4">
        <v>0</v>
      </c>
      <c r="H1921" s="4">
        <v>0</v>
      </c>
      <c r="I1921" s="4">
        <v>0</v>
      </c>
      <c r="J1921" s="4">
        <v>82130</v>
      </c>
    </row>
    <row r="1922" spans="1:10" x14ac:dyDescent="0.75">
      <c r="A1922" t="s">
        <v>163</v>
      </c>
      <c r="B1922">
        <v>2314</v>
      </c>
      <c r="C1922" t="s">
        <v>229</v>
      </c>
      <c r="D1922">
        <v>6654</v>
      </c>
      <c r="E1922" t="s">
        <v>419</v>
      </c>
      <c r="F1922" s="4">
        <v>1824</v>
      </c>
      <c r="G1922" s="4">
        <v>0</v>
      </c>
      <c r="H1922" s="4">
        <v>0</v>
      </c>
      <c r="I1922" s="4">
        <v>0</v>
      </c>
      <c r="J1922" s="4">
        <v>1824</v>
      </c>
    </row>
    <row r="1923" spans="1:10" x14ac:dyDescent="0.75">
      <c r="A1923" t="s">
        <v>151</v>
      </c>
      <c r="B1923">
        <v>2017</v>
      </c>
      <c r="C1923" t="s">
        <v>17</v>
      </c>
      <c r="D1923">
        <v>2211</v>
      </c>
      <c r="E1923" t="s">
        <v>367</v>
      </c>
      <c r="F1923" s="4">
        <v>2428991</v>
      </c>
      <c r="G1923" s="4">
        <v>668290</v>
      </c>
      <c r="H1923" s="4">
        <v>668187</v>
      </c>
      <c r="I1923" s="4">
        <v>103</v>
      </c>
      <c r="J1923" s="4">
        <v>3097281</v>
      </c>
    </row>
    <row r="1924" spans="1:10" x14ac:dyDescent="0.75">
      <c r="A1924" t="s">
        <v>151</v>
      </c>
      <c r="B1924">
        <v>2017</v>
      </c>
      <c r="C1924" t="s">
        <v>17</v>
      </c>
      <c r="D1924">
        <v>7900</v>
      </c>
      <c r="E1924" t="s">
        <v>388</v>
      </c>
      <c r="F1924" s="4">
        <v>1575618</v>
      </c>
      <c r="G1924" s="4">
        <v>366466</v>
      </c>
      <c r="H1924" s="4">
        <v>280255</v>
      </c>
      <c r="I1924" s="4">
        <v>86211</v>
      </c>
      <c r="J1924" s="4">
        <v>1942084</v>
      </c>
    </row>
    <row r="1925" spans="1:10" x14ac:dyDescent="0.75">
      <c r="A1925" t="s">
        <v>151</v>
      </c>
      <c r="B1925">
        <v>2017</v>
      </c>
      <c r="C1925" t="s">
        <v>17</v>
      </c>
      <c r="D1925">
        <v>2330</v>
      </c>
      <c r="E1925" t="s">
        <v>368</v>
      </c>
      <c r="F1925" s="4">
        <v>881695</v>
      </c>
      <c r="G1925" s="4">
        <v>694600</v>
      </c>
      <c r="H1925" s="4">
        <v>673326</v>
      </c>
      <c r="I1925" s="4">
        <v>21274</v>
      </c>
      <c r="J1925" s="4">
        <v>1576295</v>
      </c>
    </row>
    <row r="1926" spans="1:10" x14ac:dyDescent="0.75">
      <c r="A1926" t="s">
        <v>151</v>
      </c>
      <c r="B1926">
        <v>2017</v>
      </c>
      <c r="C1926" t="s">
        <v>17</v>
      </c>
      <c r="D1926">
        <v>7210</v>
      </c>
      <c r="E1926" t="s">
        <v>426</v>
      </c>
      <c r="F1926" s="4">
        <v>154454</v>
      </c>
      <c r="G1926" s="4">
        <v>1029384</v>
      </c>
      <c r="H1926" s="4">
        <v>831503</v>
      </c>
      <c r="I1926" s="4">
        <v>197881</v>
      </c>
      <c r="J1926" s="4">
        <v>1183838</v>
      </c>
    </row>
    <row r="1927" spans="1:10" x14ac:dyDescent="0.75">
      <c r="A1927" t="s">
        <v>151</v>
      </c>
      <c r="B1927">
        <v>2017</v>
      </c>
      <c r="C1927" t="s">
        <v>17</v>
      </c>
      <c r="D1927">
        <v>4322</v>
      </c>
      <c r="E1927" t="s">
        <v>398</v>
      </c>
      <c r="F1927" s="4">
        <v>91</v>
      </c>
      <c r="G1927" s="4">
        <v>1139831</v>
      </c>
      <c r="H1927" s="4">
        <v>1139824</v>
      </c>
      <c r="I1927" s="4">
        <v>7</v>
      </c>
      <c r="J1927" s="4">
        <v>1139922</v>
      </c>
    </row>
    <row r="1928" spans="1:10" x14ac:dyDescent="0.75">
      <c r="A1928" t="s">
        <v>151</v>
      </c>
      <c r="B1928">
        <v>2017</v>
      </c>
      <c r="C1928" t="s">
        <v>17</v>
      </c>
      <c r="D1928">
        <v>6887</v>
      </c>
      <c r="E1928" t="s">
        <v>505</v>
      </c>
      <c r="F1928" s="4">
        <v>635034</v>
      </c>
      <c r="G1928" s="4">
        <v>0</v>
      </c>
      <c r="H1928" s="4">
        <v>0</v>
      </c>
      <c r="I1928" s="4">
        <v>0</v>
      </c>
      <c r="J1928" s="4">
        <v>635034</v>
      </c>
    </row>
    <row r="1929" spans="1:10" x14ac:dyDescent="0.75">
      <c r="A1929" t="s">
        <v>151</v>
      </c>
      <c r="B1929">
        <v>2017</v>
      </c>
      <c r="C1929" t="s">
        <v>17</v>
      </c>
      <c r="D1929">
        <v>4225</v>
      </c>
      <c r="E1929" t="s">
        <v>380</v>
      </c>
      <c r="F1929" s="4">
        <v>78</v>
      </c>
      <c r="G1929" s="4">
        <v>526983</v>
      </c>
      <c r="H1929" s="4">
        <v>324677</v>
      </c>
      <c r="I1929" s="4">
        <v>202306</v>
      </c>
      <c r="J1929" s="4">
        <v>527061</v>
      </c>
    </row>
    <row r="1930" spans="1:10" x14ac:dyDescent="0.75">
      <c r="A1930" t="s">
        <v>151</v>
      </c>
      <c r="B1930">
        <v>2017</v>
      </c>
      <c r="C1930" t="s">
        <v>17</v>
      </c>
      <c r="D1930">
        <v>5120</v>
      </c>
      <c r="E1930" t="s">
        <v>461</v>
      </c>
      <c r="F1930" s="4">
        <v>9672</v>
      </c>
      <c r="G1930" s="4">
        <v>498091</v>
      </c>
      <c r="H1930" s="4">
        <v>463020</v>
      </c>
      <c r="I1930" s="4">
        <v>35071</v>
      </c>
      <c r="J1930" s="4">
        <v>507763</v>
      </c>
    </row>
    <row r="1931" spans="1:10" x14ac:dyDescent="0.75">
      <c r="A1931" t="s">
        <v>151</v>
      </c>
      <c r="B1931">
        <v>2017</v>
      </c>
      <c r="C1931" t="s">
        <v>17</v>
      </c>
      <c r="D1931">
        <v>7110</v>
      </c>
      <c r="E1931" t="s">
        <v>371</v>
      </c>
      <c r="F1931" s="4">
        <v>309036</v>
      </c>
      <c r="G1931" s="4">
        <v>174213</v>
      </c>
      <c r="H1931" s="4">
        <v>120088</v>
      </c>
      <c r="I1931" s="4">
        <v>54125</v>
      </c>
      <c r="J1931" s="4">
        <v>483249</v>
      </c>
    </row>
    <row r="1932" spans="1:10" x14ac:dyDescent="0.75">
      <c r="A1932" t="s">
        <v>151</v>
      </c>
      <c r="B1932">
        <v>2017</v>
      </c>
      <c r="C1932" t="s">
        <v>17</v>
      </c>
      <c r="D1932">
        <v>6889</v>
      </c>
      <c r="E1932" t="s">
        <v>420</v>
      </c>
      <c r="F1932" s="4">
        <v>315415</v>
      </c>
      <c r="G1932" s="4">
        <v>46429</v>
      </c>
      <c r="H1932" s="4">
        <v>20046</v>
      </c>
      <c r="I1932" s="4">
        <v>26383</v>
      </c>
      <c r="J1932" s="4">
        <v>361844</v>
      </c>
    </row>
    <row r="1933" spans="1:10" x14ac:dyDescent="0.75">
      <c r="A1933" t="s">
        <v>151</v>
      </c>
      <c r="B1933">
        <v>2017</v>
      </c>
      <c r="C1933" t="s">
        <v>17</v>
      </c>
      <c r="D1933">
        <v>2221</v>
      </c>
      <c r="E1933" t="s">
        <v>374</v>
      </c>
      <c r="F1933" s="4">
        <v>328912</v>
      </c>
      <c r="G1933" s="4">
        <v>31900</v>
      </c>
      <c r="H1933" s="4">
        <v>31900</v>
      </c>
      <c r="I1933" s="4">
        <v>0</v>
      </c>
      <c r="J1933" s="4">
        <v>360812</v>
      </c>
    </row>
    <row r="1934" spans="1:10" x14ac:dyDescent="0.75">
      <c r="A1934" t="s">
        <v>151</v>
      </c>
      <c r="B1934">
        <v>2017</v>
      </c>
      <c r="C1934" t="s">
        <v>17</v>
      </c>
      <c r="D1934">
        <v>4331</v>
      </c>
      <c r="E1934" t="s">
        <v>390</v>
      </c>
      <c r="F1934" s="4">
        <v>202305</v>
      </c>
      <c r="G1934" s="4">
        <v>131486</v>
      </c>
      <c r="H1934" s="4">
        <v>119302</v>
      </c>
      <c r="I1934" s="4">
        <v>12184</v>
      </c>
      <c r="J1934" s="4">
        <v>333791</v>
      </c>
    </row>
    <row r="1935" spans="1:10" x14ac:dyDescent="0.75">
      <c r="A1935" t="s">
        <v>151</v>
      </c>
      <c r="B1935">
        <v>2017</v>
      </c>
      <c r="C1935" t="s">
        <v>17</v>
      </c>
      <c r="D1935">
        <v>3299</v>
      </c>
      <c r="E1935" t="s">
        <v>448</v>
      </c>
      <c r="F1935" s="4">
        <v>300698</v>
      </c>
      <c r="G1935" s="4">
        <v>11434</v>
      </c>
      <c r="H1935" s="4">
        <v>3768</v>
      </c>
      <c r="I1935" s="4">
        <v>7666</v>
      </c>
      <c r="J1935" s="4">
        <v>312132</v>
      </c>
    </row>
    <row r="1936" spans="1:10" x14ac:dyDescent="0.75">
      <c r="A1936" t="s">
        <v>151</v>
      </c>
      <c r="B1936">
        <v>2017</v>
      </c>
      <c r="C1936" t="s">
        <v>17</v>
      </c>
      <c r="D1936">
        <v>4323</v>
      </c>
      <c r="E1936" t="s">
        <v>373</v>
      </c>
      <c r="F1936" s="4">
        <v>0</v>
      </c>
      <c r="G1936" s="4">
        <v>301873</v>
      </c>
      <c r="H1936" s="4">
        <v>301841</v>
      </c>
      <c r="I1936" s="4">
        <v>32</v>
      </c>
      <c r="J1936" s="4">
        <v>301873</v>
      </c>
    </row>
    <row r="1937" spans="1:10" x14ac:dyDescent="0.75">
      <c r="A1937" t="s">
        <v>151</v>
      </c>
      <c r="B1937">
        <v>2017</v>
      </c>
      <c r="C1937" t="s">
        <v>17</v>
      </c>
      <c r="D1937">
        <v>7120</v>
      </c>
      <c r="E1937" t="s">
        <v>499</v>
      </c>
      <c r="F1937" s="4">
        <v>153340</v>
      </c>
      <c r="G1937" s="4">
        <v>144499</v>
      </c>
      <c r="H1937" s="4">
        <v>136194</v>
      </c>
      <c r="I1937" s="4">
        <v>8305</v>
      </c>
      <c r="J1937" s="4">
        <v>297839</v>
      </c>
    </row>
    <row r="1938" spans="1:10" x14ac:dyDescent="0.75">
      <c r="A1938" t="s">
        <v>151</v>
      </c>
      <c r="B1938">
        <v>2017</v>
      </c>
      <c r="C1938" t="s">
        <v>17</v>
      </c>
      <c r="D1938">
        <v>4860</v>
      </c>
      <c r="E1938" t="s">
        <v>400</v>
      </c>
      <c r="F1938" s="4">
        <v>230276</v>
      </c>
      <c r="G1938" s="4">
        <v>46058</v>
      </c>
      <c r="H1938" s="4">
        <v>28172</v>
      </c>
      <c r="I1938" s="4">
        <v>17886</v>
      </c>
      <c r="J1938" s="4">
        <v>276334</v>
      </c>
    </row>
    <row r="1939" spans="1:10" x14ac:dyDescent="0.75">
      <c r="A1939" t="s">
        <v>151</v>
      </c>
      <c r="B1939">
        <v>2017</v>
      </c>
      <c r="C1939" t="s">
        <v>17</v>
      </c>
      <c r="D1939">
        <v>2540</v>
      </c>
      <c r="E1939" t="s">
        <v>377</v>
      </c>
      <c r="F1939" s="4">
        <v>6987</v>
      </c>
      <c r="G1939" s="4">
        <v>260889</v>
      </c>
      <c r="H1939" s="4">
        <v>259401</v>
      </c>
      <c r="I1939" s="4">
        <v>1488</v>
      </c>
      <c r="J1939" s="4">
        <v>267876</v>
      </c>
    </row>
    <row r="1940" spans="1:10" x14ac:dyDescent="0.75">
      <c r="A1940" t="s">
        <v>151</v>
      </c>
      <c r="B1940">
        <v>2017</v>
      </c>
      <c r="C1940" t="s">
        <v>17</v>
      </c>
      <c r="D1940">
        <v>7600</v>
      </c>
      <c r="E1940" t="s">
        <v>503</v>
      </c>
      <c r="F1940" s="4">
        <v>23525</v>
      </c>
      <c r="G1940" s="4">
        <v>231036</v>
      </c>
      <c r="H1940" s="4">
        <v>186798</v>
      </c>
      <c r="I1940" s="4">
        <v>44238</v>
      </c>
      <c r="J1940" s="4">
        <v>254561</v>
      </c>
    </row>
    <row r="1941" spans="1:10" x14ac:dyDescent="0.75">
      <c r="A1941" t="s">
        <v>151</v>
      </c>
      <c r="B1941">
        <v>2017</v>
      </c>
      <c r="C1941" t="s">
        <v>17</v>
      </c>
      <c r="D1941">
        <v>1100</v>
      </c>
      <c r="E1941" t="s">
        <v>397</v>
      </c>
      <c r="F1941" s="4">
        <v>0</v>
      </c>
      <c r="G1941" s="4">
        <v>250396</v>
      </c>
      <c r="H1941" s="4">
        <v>250313</v>
      </c>
      <c r="I1941" s="4">
        <v>83</v>
      </c>
      <c r="J1941" s="4">
        <v>250396</v>
      </c>
    </row>
    <row r="1942" spans="1:10" x14ac:dyDescent="0.75">
      <c r="A1942" t="s">
        <v>151</v>
      </c>
      <c r="B1942">
        <v>2017</v>
      </c>
      <c r="C1942" t="s">
        <v>17</v>
      </c>
      <c r="D1942">
        <v>6811</v>
      </c>
      <c r="E1942" t="s">
        <v>480</v>
      </c>
      <c r="F1942" s="4">
        <v>113952</v>
      </c>
      <c r="G1942" s="4">
        <v>116352</v>
      </c>
      <c r="H1942" s="4">
        <v>1978</v>
      </c>
      <c r="I1942" s="4">
        <v>114374</v>
      </c>
      <c r="J1942" s="4">
        <v>230304</v>
      </c>
    </row>
    <row r="1943" spans="1:10" x14ac:dyDescent="0.75">
      <c r="A1943" t="s">
        <v>151</v>
      </c>
      <c r="B1943">
        <v>2017</v>
      </c>
      <c r="C1943" t="s">
        <v>17</v>
      </c>
      <c r="D1943">
        <v>3274</v>
      </c>
      <c r="E1943" t="s">
        <v>438</v>
      </c>
      <c r="F1943" s="4">
        <v>194367</v>
      </c>
      <c r="G1943" s="4">
        <v>11482</v>
      </c>
      <c r="H1943" s="4">
        <v>11347</v>
      </c>
      <c r="I1943" s="4">
        <v>135</v>
      </c>
      <c r="J1943" s="4">
        <v>205849</v>
      </c>
    </row>
    <row r="1944" spans="1:10" x14ac:dyDescent="0.75">
      <c r="A1944" t="s">
        <v>151</v>
      </c>
      <c r="B1944">
        <v>2017</v>
      </c>
      <c r="C1944" t="s">
        <v>17</v>
      </c>
      <c r="D1944">
        <v>7500</v>
      </c>
      <c r="E1944" t="s">
        <v>427</v>
      </c>
      <c r="F1944" s="4">
        <v>41543</v>
      </c>
      <c r="G1944" s="4">
        <v>85975</v>
      </c>
      <c r="H1944" s="4">
        <v>75233</v>
      </c>
      <c r="I1944" s="4">
        <v>10742</v>
      </c>
      <c r="J1944" s="4">
        <v>127518</v>
      </c>
    </row>
    <row r="1945" spans="1:10" x14ac:dyDescent="0.75">
      <c r="A1945" t="s">
        <v>151</v>
      </c>
      <c r="B1945">
        <v>2017</v>
      </c>
      <c r="C1945" t="s">
        <v>17</v>
      </c>
      <c r="D1945">
        <v>7400</v>
      </c>
      <c r="E1945" t="s">
        <v>502</v>
      </c>
      <c r="F1945" s="4">
        <v>91494</v>
      </c>
      <c r="G1945" s="4">
        <v>30686</v>
      </c>
      <c r="H1945" s="4">
        <v>28188</v>
      </c>
      <c r="I1945" s="4">
        <v>2498</v>
      </c>
      <c r="J1945" s="4">
        <v>122180</v>
      </c>
    </row>
    <row r="1946" spans="1:10" x14ac:dyDescent="0.75">
      <c r="A1946" t="s">
        <v>151</v>
      </c>
      <c r="B1946">
        <v>2017</v>
      </c>
      <c r="C1946" t="s">
        <v>17</v>
      </c>
      <c r="D1946">
        <v>5290</v>
      </c>
      <c r="E1946" t="s">
        <v>415</v>
      </c>
      <c r="F1946" s="4">
        <v>4587</v>
      </c>
      <c r="G1946" s="4">
        <v>112136</v>
      </c>
      <c r="H1946" s="4">
        <v>107943</v>
      </c>
      <c r="I1946" s="4">
        <v>4193</v>
      </c>
      <c r="J1946" s="4">
        <v>116723</v>
      </c>
    </row>
    <row r="1947" spans="1:10" x14ac:dyDescent="0.75">
      <c r="A1947" t="s">
        <v>151</v>
      </c>
      <c r="B1947">
        <v>2017</v>
      </c>
      <c r="C1947" t="s">
        <v>17</v>
      </c>
      <c r="D1947">
        <v>6885</v>
      </c>
      <c r="E1947" t="s">
        <v>493</v>
      </c>
      <c r="F1947" s="4">
        <v>58540</v>
      </c>
      <c r="G1947" s="4">
        <v>49357</v>
      </c>
      <c r="H1947" s="4">
        <v>38921</v>
      </c>
      <c r="I1947" s="4">
        <v>10436</v>
      </c>
      <c r="J1947" s="4">
        <v>107897</v>
      </c>
    </row>
    <row r="1948" spans="1:10" x14ac:dyDescent="0.75">
      <c r="A1948" t="s">
        <v>151</v>
      </c>
      <c r="B1948">
        <v>2017</v>
      </c>
      <c r="C1948" t="s">
        <v>17</v>
      </c>
      <c r="D1948">
        <v>5480</v>
      </c>
      <c r="E1948" t="s">
        <v>386</v>
      </c>
      <c r="F1948" s="4">
        <v>5907</v>
      </c>
      <c r="G1948" s="4">
        <v>98721</v>
      </c>
      <c r="H1948" s="4">
        <v>84916</v>
      </c>
      <c r="I1948" s="4">
        <v>13805</v>
      </c>
      <c r="J1948" s="4">
        <v>104628</v>
      </c>
    </row>
    <row r="1949" spans="1:10" x14ac:dyDescent="0.75">
      <c r="A1949" t="s">
        <v>151</v>
      </c>
      <c r="B1949">
        <v>2017</v>
      </c>
      <c r="C1949" t="s">
        <v>17</v>
      </c>
      <c r="D1949">
        <v>3272</v>
      </c>
      <c r="E1949" t="s">
        <v>504</v>
      </c>
      <c r="F1949" s="4">
        <v>0</v>
      </c>
      <c r="G1949" s="4">
        <v>95413</v>
      </c>
      <c r="H1949" s="4">
        <v>95413</v>
      </c>
      <c r="I1949" s="4">
        <v>0</v>
      </c>
      <c r="J1949" s="4">
        <v>95413</v>
      </c>
    </row>
    <row r="1950" spans="1:10" x14ac:dyDescent="0.75">
      <c r="A1950" t="s">
        <v>151</v>
      </c>
      <c r="B1950">
        <v>2017</v>
      </c>
      <c r="C1950" t="s">
        <v>17</v>
      </c>
      <c r="D1950">
        <v>4170</v>
      </c>
      <c r="E1950" t="s">
        <v>424</v>
      </c>
      <c r="F1950" s="4">
        <v>131</v>
      </c>
      <c r="G1950" s="4">
        <v>91294</v>
      </c>
      <c r="H1950" s="4">
        <v>776</v>
      </c>
      <c r="I1950" s="4">
        <v>90518</v>
      </c>
      <c r="J1950" s="4">
        <v>91425</v>
      </c>
    </row>
    <row r="1951" spans="1:10" x14ac:dyDescent="0.75">
      <c r="A1951" t="s">
        <v>151</v>
      </c>
      <c r="B1951">
        <v>2017</v>
      </c>
      <c r="C1951" t="s">
        <v>17</v>
      </c>
      <c r="D1951">
        <v>4161</v>
      </c>
      <c r="E1951" t="s">
        <v>421</v>
      </c>
      <c r="F1951" s="4">
        <v>381</v>
      </c>
      <c r="G1951" s="4">
        <v>88232</v>
      </c>
      <c r="H1951" s="4">
        <v>116</v>
      </c>
      <c r="I1951" s="4">
        <v>88116</v>
      </c>
      <c r="J1951" s="4">
        <v>88613</v>
      </c>
    </row>
    <row r="1952" spans="1:10" x14ac:dyDescent="0.75">
      <c r="A1952" t="s">
        <v>151</v>
      </c>
      <c r="B1952">
        <v>2017</v>
      </c>
      <c r="C1952" t="s">
        <v>17</v>
      </c>
      <c r="D1952">
        <v>3276</v>
      </c>
      <c r="E1952" t="s">
        <v>379</v>
      </c>
      <c r="F1952" s="4">
        <v>821</v>
      </c>
      <c r="G1952" s="4">
        <v>86393</v>
      </c>
      <c r="H1952" s="4">
        <v>79368</v>
      </c>
      <c r="I1952" s="4">
        <v>7025</v>
      </c>
      <c r="J1952" s="4">
        <v>87214</v>
      </c>
    </row>
    <row r="1953" spans="1:10" x14ac:dyDescent="0.75">
      <c r="A1953" t="s">
        <v>151</v>
      </c>
      <c r="B1953">
        <v>2017</v>
      </c>
      <c r="C1953" t="s">
        <v>17</v>
      </c>
      <c r="D1953">
        <v>6871</v>
      </c>
      <c r="E1953" t="s">
        <v>491</v>
      </c>
      <c r="F1953" s="4">
        <v>1194</v>
      </c>
      <c r="G1953" s="4">
        <v>85103</v>
      </c>
      <c r="H1953" s="4">
        <v>84699</v>
      </c>
      <c r="I1953" s="4">
        <v>404</v>
      </c>
      <c r="J1953" s="4">
        <v>86297</v>
      </c>
    </row>
    <row r="1954" spans="1:10" x14ac:dyDescent="0.75">
      <c r="A1954" t="s">
        <v>151</v>
      </c>
      <c r="B1954">
        <v>2017</v>
      </c>
      <c r="C1954" t="s">
        <v>17</v>
      </c>
      <c r="D1954">
        <v>4189</v>
      </c>
      <c r="E1954" t="s">
        <v>451</v>
      </c>
      <c r="F1954" s="4">
        <v>3690</v>
      </c>
      <c r="G1954" s="4">
        <v>81306</v>
      </c>
      <c r="H1954" s="4">
        <v>79035</v>
      </c>
      <c r="I1954" s="4">
        <v>2271</v>
      </c>
      <c r="J1954" s="4">
        <v>84996</v>
      </c>
    </row>
    <row r="1955" spans="1:10" x14ac:dyDescent="0.75">
      <c r="A1955" t="s">
        <v>151</v>
      </c>
      <c r="B1955">
        <v>2017</v>
      </c>
      <c r="C1955" t="s">
        <v>17</v>
      </c>
      <c r="D1955">
        <v>5540</v>
      </c>
      <c r="E1955" t="s">
        <v>469</v>
      </c>
      <c r="F1955" s="4">
        <v>162</v>
      </c>
      <c r="G1955" s="4">
        <v>79636</v>
      </c>
      <c r="H1955" s="4">
        <v>77524</v>
      </c>
      <c r="I1955" s="4">
        <v>2112</v>
      </c>
      <c r="J1955" s="4">
        <v>79798</v>
      </c>
    </row>
    <row r="1956" spans="1:10" x14ac:dyDescent="0.75">
      <c r="A1956" t="s">
        <v>151</v>
      </c>
      <c r="B1956">
        <v>2017</v>
      </c>
      <c r="C1956" t="s">
        <v>17</v>
      </c>
      <c r="D1956">
        <v>5190</v>
      </c>
      <c r="E1956" t="s">
        <v>462</v>
      </c>
      <c r="F1956" s="4">
        <v>48195</v>
      </c>
      <c r="G1956" s="4">
        <v>29556</v>
      </c>
      <c r="H1956" s="4">
        <v>10767</v>
      </c>
      <c r="I1956" s="4">
        <v>18789</v>
      </c>
      <c r="J1956" s="4">
        <v>77751</v>
      </c>
    </row>
    <row r="1957" spans="1:10" x14ac:dyDescent="0.75">
      <c r="A1957" t="s">
        <v>151</v>
      </c>
      <c r="B1957">
        <v>2017</v>
      </c>
      <c r="C1957" t="s">
        <v>17</v>
      </c>
      <c r="D1957">
        <v>6858</v>
      </c>
      <c r="E1957" t="s">
        <v>488</v>
      </c>
      <c r="F1957" s="4">
        <v>10415</v>
      </c>
      <c r="G1957" s="4">
        <v>66836</v>
      </c>
      <c r="H1957" s="4">
        <v>56951</v>
      </c>
      <c r="I1957" s="4">
        <v>9885</v>
      </c>
      <c r="J1957" s="4">
        <v>77251</v>
      </c>
    </row>
    <row r="1958" spans="1:10" x14ac:dyDescent="0.75">
      <c r="A1958" t="s">
        <v>151</v>
      </c>
      <c r="B1958">
        <v>2017</v>
      </c>
      <c r="C1958" t="s">
        <v>17</v>
      </c>
      <c r="D1958">
        <v>3286</v>
      </c>
      <c r="E1958" t="s">
        <v>423</v>
      </c>
      <c r="F1958" s="4">
        <v>4207</v>
      </c>
      <c r="G1958" s="4">
        <v>72356</v>
      </c>
      <c r="H1958" s="4">
        <v>30483</v>
      </c>
      <c r="I1958" s="4">
        <v>41873</v>
      </c>
      <c r="J1958" s="4">
        <v>76563</v>
      </c>
    </row>
    <row r="1959" spans="1:10" x14ac:dyDescent="0.75">
      <c r="A1959" t="s">
        <v>151</v>
      </c>
      <c r="B1959">
        <v>2017</v>
      </c>
      <c r="C1959" t="s">
        <v>17</v>
      </c>
      <c r="D1959">
        <v>2340</v>
      </c>
      <c r="E1959" t="s">
        <v>369</v>
      </c>
      <c r="F1959" s="4">
        <v>63191</v>
      </c>
      <c r="G1959" s="4">
        <v>12800</v>
      </c>
      <c r="H1959" s="4">
        <v>12800</v>
      </c>
      <c r="I1959" s="4">
        <v>0</v>
      </c>
      <c r="J1959" s="4">
        <v>75991</v>
      </c>
    </row>
    <row r="1960" spans="1:10" x14ac:dyDescent="0.75">
      <c r="A1960" t="s">
        <v>151</v>
      </c>
      <c r="B1960">
        <v>2017</v>
      </c>
      <c r="C1960" t="s">
        <v>17</v>
      </c>
      <c r="D1960">
        <v>6654</v>
      </c>
      <c r="E1960" t="s">
        <v>419</v>
      </c>
      <c r="F1960" s="4">
        <v>57645</v>
      </c>
      <c r="G1960" s="4">
        <v>18088</v>
      </c>
      <c r="H1960" s="4">
        <v>12804</v>
      </c>
      <c r="I1960" s="4">
        <v>5284</v>
      </c>
      <c r="J1960" s="4">
        <v>75733</v>
      </c>
    </row>
    <row r="1961" spans="1:10" x14ac:dyDescent="0.75">
      <c r="A1961" t="s">
        <v>151</v>
      </c>
      <c r="B1961">
        <v>2017</v>
      </c>
      <c r="C1961" t="s">
        <v>17</v>
      </c>
      <c r="D1961">
        <v>4680</v>
      </c>
      <c r="E1961" t="s">
        <v>459</v>
      </c>
      <c r="F1961" s="4">
        <v>2130</v>
      </c>
      <c r="G1961" s="4">
        <v>72725</v>
      </c>
      <c r="H1961" s="4">
        <v>3665</v>
      </c>
      <c r="I1961" s="4">
        <v>69060</v>
      </c>
      <c r="J1961" s="4">
        <v>74855</v>
      </c>
    </row>
    <row r="1962" spans="1:10" x14ac:dyDescent="0.75">
      <c r="A1962" t="s">
        <v>151</v>
      </c>
      <c r="B1962">
        <v>2017</v>
      </c>
      <c r="C1962" t="s">
        <v>17</v>
      </c>
      <c r="D1962">
        <v>3284</v>
      </c>
      <c r="E1962" t="s">
        <v>442</v>
      </c>
      <c r="F1962" s="4">
        <v>65776</v>
      </c>
      <c r="G1962" s="4">
        <v>5289</v>
      </c>
      <c r="H1962" s="4">
        <v>3971</v>
      </c>
      <c r="I1962" s="4">
        <v>1318</v>
      </c>
      <c r="J1962" s="4">
        <v>71065</v>
      </c>
    </row>
    <row r="1963" spans="1:10" x14ac:dyDescent="0.75">
      <c r="A1963" t="s">
        <v>151</v>
      </c>
      <c r="B1963">
        <v>2017</v>
      </c>
      <c r="C1963" t="s">
        <v>17</v>
      </c>
      <c r="D1963">
        <v>5220</v>
      </c>
      <c r="E1963" t="s">
        <v>401</v>
      </c>
      <c r="F1963" s="4">
        <v>2562</v>
      </c>
      <c r="G1963" s="4">
        <v>63920</v>
      </c>
      <c r="H1963" s="4">
        <v>63702</v>
      </c>
      <c r="I1963" s="4">
        <v>218</v>
      </c>
      <c r="J1963" s="4">
        <v>66482</v>
      </c>
    </row>
    <row r="1964" spans="1:10" x14ac:dyDescent="0.75">
      <c r="A1964" t="s">
        <v>151</v>
      </c>
      <c r="B1964">
        <v>2017</v>
      </c>
      <c r="C1964" t="s">
        <v>17</v>
      </c>
      <c r="D1964">
        <v>6857</v>
      </c>
      <c r="E1964" t="s">
        <v>487</v>
      </c>
      <c r="F1964" s="4">
        <v>15247</v>
      </c>
      <c r="G1964" s="4">
        <v>49742</v>
      </c>
      <c r="H1964" s="4">
        <v>42112</v>
      </c>
      <c r="I1964" s="4">
        <v>7630</v>
      </c>
      <c r="J1964" s="4">
        <v>64989</v>
      </c>
    </row>
    <row r="1965" spans="1:10" x14ac:dyDescent="0.75">
      <c r="A1965" t="s">
        <v>151</v>
      </c>
      <c r="B1965">
        <v>2017</v>
      </c>
      <c r="C1965" t="s">
        <v>17</v>
      </c>
      <c r="D1965">
        <v>9900</v>
      </c>
      <c r="E1965" t="s">
        <v>389</v>
      </c>
      <c r="F1965" s="4">
        <v>8748</v>
      </c>
      <c r="G1965" s="4">
        <v>53939</v>
      </c>
      <c r="H1965" s="4">
        <v>33368</v>
      </c>
      <c r="I1965" s="4">
        <v>20571</v>
      </c>
      <c r="J1965" s="4">
        <v>62687</v>
      </c>
    </row>
    <row r="1966" spans="1:10" x14ac:dyDescent="0.75">
      <c r="A1966" t="s">
        <v>151</v>
      </c>
      <c r="B1966">
        <v>2017</v>
      </c>
      <c r="C1966" t="s">
        <v>17</v>
      </c>
      <c r="D1966">
        <v>4650</v>
      </c>
      <c r="E1966" t="s">
        <v>457</v>
      </c>
      <c r="F1966" s="4">
        <v>0</v>
      </c>
      <c r="G1966" s="4">
        <v>61683</v>
      </c>
      <c r="H1966" s="4">
        <v>61482</v>
      </c>
      <c r="I1966" s="4">
        <v>201</v>
      </c>
      <c r="J1966" s="4">
        <v>61683</v>
      </c>
    </row>
    <row r="1967" spans="1:10" x14ac:dyDescent="0.75">
      <c r="A1967" t="s">
        <v>151</v>
      </c>
      <c r="B1967">
        <v>2017</v>
      </c>
      <c r="C1967" t="s">
        <v>17</v>
      </c>
      <c r="D1967">
        <v>2430</v>
      </c>
      <c r="E1967" t="s">
        <v>376</v>
      </c>
      <c r="F1967" s="4">
        <v>50432</v>
      </c>
      <c r="G1967" s="4">
        <v>62</v>
      </c>
      <c r="H1967" s="4">
        <v>0</v>
      </c>
      <c r="I1967" s="4">
        <v>62</v>
      </c>
      <c r="J1967" s="4">
        <v>50494</v>
      </c>
    </row>
    <row r="1968" spans="1:10" x14ac:dyDescent="0.75">
      <c r="A1968" t="s">
        <v>151</v>
      </c>
      <c r="B1968">
        <v>2017</v>
      </c>
      <c r="C1968" t="s">
        <v>17</v>
      </c>
      <c r="D1968">
        <v>3298</v>
      </c>
      <c r="E1968" t="s">
        <v>447</v>
      </c>
      <c r="F1968" s="4">
        <v>0</v>
      </c>
      <c r="G1968" s="4">
        <v>49647</v>
      </c>
      <c r="H1968" s="4">
        <v>4804</v>
      </c>
      <c r="I1968" s="4">
        <v>44843</v>
      </c>
      <c r="J1968" s="4">
        <v>49647</v>
      </c>
    </row>
    <row r="1969" spans="1:10" x14ac:dyDescent="0.75">
      <c r="A1969" t="s">
        <v>151</v>
      </c>
      <c r="B1969">
        <v>2017</v>
      </c>
      <c r="C1969" t="s">
        <v>17</v>
      </c>
      <c r="D1969">
        <v>6822</v>
      </c>
      <c r="E1969" t="s">
        <v>482</v>
      </c>
      <c r="F1969" s="4">
        <v>42511</v>
      </c>
      <c r="G1969" s="4">
        <v>3305</v>
      </c>
      <c r="H1969" s="4">
        <v>1168</v>
      </c>
      <c r="I1969" s="4">
        <v>2137</v>
      </c>
      <c r="J1969" s="4">
        <v>45816</v>
      </c>
    </row>
    <row r="1970" spans="1:10" x14ac:dyDescent="0.75">
      <c r="A1970" t="s">
        <v>151</v>
      </c>
      <c r="B1970">
        <v>2017</v>
      </c>
      <c r="C1970" t="s">
        <v>17</v>
      </c>
      <c r="D1970">
        <v>6442</v>
      </c>
      <c r="E1970" t="s">
        <v>472</v>
      </c>
      <c r="F1970" s="4">
        <v>19546</v>
      </c>
      <c r="G1970" s="4">
        <v>25649</v>
      </c>
      <c r="H1970" s="4">
        <v>25128</v>
      </c>
      <c r="I1970" s="4">
        <v>521</v>
      </c>
      <c r="J1970" s="4">
        <v>45195</v>
      </c>
    </row>
    <row r="1971" spans="1:10" x14ac:dyDescent="0.75">
      <c r="A1971" t="s">
        <v>151</v>
      </c>
      <c r="B1971">
        <v>2017</v>
      </c>
      <c r="C1971" t="s">
        <v>17</v>
      </c>
      <c r="D1971">
        <v>4900</v>
      </c>
      <c r="E1971" t="s">
        <v>383</v>
      </c>
      <c r="F1971" s="4">
        <v>26</v>
      </c>
      <c r="G1971" s="4">
        <v>44002</v>
      </c>
      <c r="H1971" s="4">
        <v>43756</v>
      </c>
      <c r="I1971" s="4">
        <v>246</v>
      </c>
      <c r="J1971" s="4">
        <v>44028</v>
      </c>
    </row>
    <row r="1972" spans="1:10" x14ac:dyDescent="0.75">
      <c r="A1972" t="s">
        <v>151</v>
      </c>
      <c r="B1972">
        <v>2017</v>
      </c>
      <c r="C1972" t="s">
        <v>17</v>
      </c>
      <c r="D1972">
        <v>3285</v>
      </c>
      <c r="E1972" t="s">
        <v>443</v>
      </c>
      <c r="F1972" s="4">
        <v>8452</v>
      </c>
      <c r="G1972" s="4">
        <v>35113</v>
      </c>
      <c r="H1972" s="4">
        <v>24607</v>
      </c>
      <c r="I1972" s="4">
        <v>10506</v>
      </c>
      <c r="J1972" s="4">
        <v>43565</v>
      </c>
    </row>
    <row r="1973" spans="1:10" x14ac:dyDescent="0.75">
      <c r="A1973" t="s">
        <v>151</v>
      </c>
      <c r="B1973">
        <v>2017</v>
      </c>
      <c r="C1973" t="s">
        <v>17</v>
      </c>
      <c r="D1973">
        <v>5422</v>
      </c>
      <c r="E1973" t="s">
        <v>468</v>
      </c>
      <c r="F1973" s="4">
        <v>11080</v>
      </c>
      <c r="G1973" s="4">
        <v>26449</v>
      </c>
      <c r="H1973" s="4">
        <v>23886</v>
      </c>
      <c r="I1973" s="4">
        <v>2563</v>
      </c>
      <c r="J1973" s="4">
        <v>37529</v>
      </c>
    </row>
    <row r="1974" spans="1:10" x14ac:dyDescent="0.75">
      <c r="A1974" t="s">
        <v>151</v>
      </c>
      <c r="B1974">
        <v>2017</v>
      </c>
      <c r="C1974" t="s">
        <v>17</v>
      </c>
      <c r="D1974">
        <v>3275</v>
      </c>
      <c r="E1974" t="s">
        <v>412</v>
      </c>
      <c r="F1974" s="4">
        <v>3039</v>
      </c>
      <c r="G1974" s="4">
        <v>32207</v>
      </c>
      <c r="H1974" s="4">
        <v>28602</v>
      </c>
      <c r="I1974" s="4">
        <v>3605</v>
      </c>
      <c r="J1974" s="4">
        <v>35246</v>
      </c>
    </row>
    <row r="1975" spans="1:10" x14ac:dyDescent="0.75">
      <c r="A1975" t="s">
        <v>151</v>
      </c>
      <c r="B1975">
        <v>2017</v>
      </c>
      <c r="C1975" t="s">
        <v>17</v>
      </c>
      <c r="D1975">
        <v>6136</v>
      </c>
      <c r="E1975" t="s">
        <v>471</v>
      </c>
      <c r="F1975" s="4">
        <v>59</v>
      </c>
      <c r="G1975" s="4">
        <v>34048</v>
      </c>
      <c r="H1975" s="4">
        <v>33713</v>
      </c>
      <c r="I1975" s="4">
        <v>335</v>
      </c>
      <c r="J1975" s="4">
        <v>34107</v>
      </c>
    </row>
    <row r="1976" spans="1:10" x14ac:dyDescent="0.75">
      <c r="A1976" t="s">
        <v>151</v>
      </c>
      <c r="B1976">
        <v>2017</v>
      </c>
      <c r="C1976" t="s">
        <v>17</v>
      </c>
      <c r="D1976">
        <v>6134</v>
      </c>
      <c r="E1976" t="s">
        <v>470</v>
      </c>
      <c r="F1976" s="4">
        <v>405</v>
      </c>
      <c r="G1976" s="4">
        <v>32430</v>
      </c>
      <c r="H1976" s="4">
        <v>31476</v>
      </c>
      <c r="I1976" s="4">
        <v>954</v>
      </c>
      <c r="J1976" s="4">
        <v>32835</v>
      </c>
    </row>
    <row r="1977" spans="1:10" x14ac:dyDescent="0.75">
      <c r="A1977" t="s">
        <v>151</v>
      </c>
      <c r="B1977">
        <v>2017</v>
      </c>
      <c r="C1977" t="s">
        <v>17</v>
      </c>
      <c r="D1977">
        <v>6856</v>
      </c>
      <c r="E1977" t="s">
        <v>486</v>
      </c>
      <c r="F1977" s="4">
        <v>0</v>
      </c>
      <c r="G1977" s="4">
        <v>31485</v>
      </c>
      <c r="H1977" s="4">
        <v>31485</v>
      </c>
      <c r="I1977" s="4">
        <v>0</v>
      </c>
      <c r="J1977" s="4">
        <v>31485</v>
      </c>
    </row>
    <row r="1978" spans="1:10" x14ac:dyDescent="0.75">
      <c r="A1978" t="s">
        <v>151</v>
      </c>
      <c r="B1978">
        <v>2017</v>
      </c>
      <c r="C1978" t="s">
        <v>17</v>
      </c>
      <c r="D1978">
        <v>3190</v>
      </c>
      <c r="E1978" t="s">
        <v>408</v>
      </c>
      <c r="F1978" s="4">
        <v>276</v>
      </c>
      <c r="G1978" s="4">
        <v>29674</v>
      </c>
      <c r="H1978" s="4">
        <v>28791</v>
      </c>
      <c r="I1978" s="4">
        <v>883</v>
      </c>
      <c r="J1978" s="4">
        <v>29950</v>
      </c>
    </row>
    <row r="1979" spans="1:10" x14ac:dyDescent="0.75">
      <c r="A1979" t="s">
        <v>151</v>
      </c>
      <c r="B1979">
        <v>2017</v>
      </c>
      <c r="C1979" t="s">
        <v>17</v>
      </c>
      <c r="D1979">
        <v>4420</v>
      </c>
      <c r="E1979" t="s">
        <v>381</v>
      </c>
      <c r="F1979" s="4">
        <v>4054</v>
      </c>
      <c r="G1979" s="4">
        <v>25372</v>
      </c>
      <c r="H1979" s="4">
        <v>344</v>
      </c>
      <c r="I1979" s="4">
        <v>25028</v>
      </c>
      <c r="J1979" s="4">
        <v>29426</v>
      </c>
    </row>
    <row r="1980" spans="1:10" x14ac:dyDescent="0.75">
      <c r="A1980" t="s">
        <v>151</v>
      </c>
      <c r="B1980">
        <v>2017</v>
      </c>
      <c r="C1980" t="s">
        <v>17</v>
      </c>
      <c r="D1980">
        <v>3220</v>
      </c>
      <c r="E1980" t="s">
        <v>370</v>
      </c>
      <c r="F1980" s="4">
        <v>4739</v>
      </c>
      <c r="G1980" s="4">
        <v>20891</v>
      </c>
      <c r="H1980" s="4">
        <v>19182</v>
      </c>
      <c r="I1980" s="4">
        <v>1709</v>
      </c>
      <c r="J1980" s="4">
        <v>25630</v>
      </c>
    </row>
    <row r="1981" spans="1:10" x14ac:dyDescent="0.75">
      <c r="A1981" t="s">
        <v>151</v>
      </c>
      <c r="B1981">
        <v>2017</v>
      </c>
      <c r="C1981" t="s">
        <v>17</v>
      </c>
      <c r="D1981">
        <v>5240</v>
      </c>
      <c r="E1981" t="s">
        <v>464</v>
      </c>
      <c r="F1981" s="4">
        <v>1184</v>
      </c>
      <c r="G1981" s="4">
        <v>24116</v>
      </c>
      <c r="H1981" s="4">
        <v>18168</v>
      </c>
      <c r="I1981" s="4">
        <v>5948</v>
      </c>
      <c r="J1981" s="4">
        <v>25300</v>
      </c>
    </row>
    <row r="1982" spans="1:10" x14ac:dyDescent="0.75">
      <c r="A1982" t="s">
        <v>151</v>
      </c>
      <c r="B1982">
        <v>2017</v>
      </c>
      <c r="C1982" t="s">
        <v>17</v>
      </c>
      <c r="D1982">
        <v>6747</v>
      </c>
      <c r="E1982" t="s">
        <v>478</v>
      </c>
      <c r="F1982" s="4">
        <v>18133</v>
      </c>
      <c r="G1982" s="4">
        <v>6920</v>
      </c>
      <c r="H1982" s="4">
        <v>4763</v>
      </c>
      <c r="I1982" s="4">
        <v>2157</v>
      </c>
      <c r="J1982" s="4">
        <v>25053</v>
      </c>
    </row>
    <row r="1983" spans="1:10" x14ac:dyDescent="0.75">
      <c r="A1983" t="s">
        <v>151</v>
      </c>
      <c r="B1983">
        <v>2017</v>
      </c>
      <c r="C1983" t="s">
        <v>17</v>
      </c>
      <c r="D1983">
        <v>6782</v>
      </c>
      <c r="E1983" t="s">
        <v>396</v>
      </c>
      <c r="F1983" s="4">
        <v>19346</v>
      </c>
      <c r="G1983" s="4">
        <v>4498</v>
      </c>
      <c r="H1983" s="4">
        <v>452</v>
      </c>
      <c r="I1983" s="4">
        <v>4046</v>
      </c>
      <c r="J1983" s="4">
        <v>23844</v>
      </c>
    </row>
    <row r="1984" spans="1:10" x14ac:dyDescent="0.75">
      <c r="A1984" t="s">
        <v>151</v>
      </c>
      <c r="B1984">
        <v>2017</v>
      </c>
      <c r="C1984" t="s">
        <v>17</v>
      </c>
      <c r="D1984">
        <v>6835</v>
      </c>
      <c r="E1984" t="s">
        <v>483</v>
      </c>
      <c r="F1984" s="4">
        <v>101</v>
      </c>
      <c r="G1984" s="4">
        <v>18368</v>
      </c>
      <c r="H1984" s="4">
        <v>18233</v>
      </c>
      <c r="I1984" s="4">
        <v>135</v>
      </c>
      <c r="J1984" s="4">
        <v>18469</v>
      </c>
    </row>
    <row r="1985" spans="1:10" x14ac:dyDescent="0.75">
      <c r="A1985" t="s">
        <v>151</v>
      </c>
      <c r="B1985">
        <v>2017</v>
      </c>
      <c r="C1985" t="s">
        <v>17</v>
      </c>
      <c r="D1985">
        <v>6653</v>
      </c>
      <c r="E1985" t="s">
        <v>395</v>
      </c>
      <c r="F1985" s="4">
        <v>10240</v>
      </c>
      <c r="G1985" s="4">
        <v>6682</v>
      </c>
      <c r="H1985" s="4">
        <v>2493</v>
      </c>
      <c r="I1985" s="4">
        <v>4189</v>
      </c>
      <c r="J1985" s="4">
        <v>16922</v>
      </c>
    </row>
    <row r="1986" spans="1:10" x14ac:dyDescent="0.75">
      <c r="A1986" t="s">
        <v>151</v>
      </c>
      <c r="B1986">
        <v>2017</v>
      </c>
      <c r="C1986" t="s">
        <v>17</v>
      </c>
      <c r="D1986">
        <v>5360</v>
      </c>
      <c r="E1986" t="s">
        <v>465</v>
      </c>
      <c r="F1986" s="4">
        <v>4540</v>
      </c>
      <c r="G1986" s="4">
        <v>10728</v>
      </c>
      <c r="H1986" s="4">
        <v>10292</v>
      </c>
      <c r="I1986" s="4">
        <v>436</v>
      </c>
      <c r="J1986" s="4">
        <v>15268</v>
      </c>
    </row>
    <row r="1987" spans="1:10" x14ac:dyDescent="0.75">
      <c r="A1987" t="s">
        <v>151</v>
      </c>
      <c r="B1987">
        <v>2017</v>
      </c>
      <c r="C1987" t="s">
        <v>17</v>
      </c>
      <c r="D1987">
        <v>3219</v>
      </c>
      <c r="E1987" t="s">
        <v>378</v>
      </c>
      <c r="F1987" s="4">
        <v>0</v>
      </c>
      <c r="G1987" s="4">
        <v>13446</v>
      </c>
      <c r="H1987" s="4">
        <v>12426</v>
      </c>
      <c r="I1987" s="4">
        <v>1020</v>
      </c>
      <c r="J1987" s="4">
        <v>13446</v>
      </c>
    </row>
    <row r="1988" spans="1:10" x14ac:dyDescent="0.75">
      <c r="A1988" t="s">
        <v>151</v>
      </c>
      <c r="B1988">
        <v>2017</v>
      </c>
      <c r="C1988" t="s">
        <v>17</v>
      </c>
      <c r="D1988">
        <v>3282</v>
      </c>
      <c r="E1988" t="s">
        <v>440</v>
      </c>
      <c r="F1988" s="4">
        <v>6517</v>
      </c>
      <c r="G1988" s="4">
        <v>6921</v>
      </c>
      <c r="H1988" s="4">
        <v>2307</v>
      </c>
      <c r="I1988" s="4">
        <v>4614</v>
      </c>
      <c r="J1988" s="4">
        <v>13438</v>
      </c>
    </row>
    <row r="1989" spans="1:10" x14ac:dyDescent="0.75">
      <c r="A1989" t="s">
        <v>151</v>
      </c>
      <c r="B1989">
        <v>2017</v>
      </c>
      <c r="C1989" t="s">
        <v>17</v>
      </c>
      <c r="D1989">
        <v>6839</v>
      </c>
      <c r="E1989" t="s">
        <v>485</v>
      </c>
      <c r="F1989" s="4">
        <v>12756</v>
      </c>
      <c r="G1989" s="4">
        <v>647</v>
      </c>
      <c r="H1989" s="4">
        <v>202</v>
      </c>
      <c r="I1989" s="4">
        <v>445</v>
      </c>
      <c r="J1989" s="4">
        <v>13403</v>
      </c>
    </row>
    <row r="1990" spans="1:10" x14ac:dyDescent="0.75">
      <c r="A1990" t="s">
        <v>151</v>
      </c>
      <c r="B1990">
        <v>2017</v>
      </c>
      <c r="C1990" t="s">
        <v>17</v>
      </c>
      <c r="D1990">
        <v>6891</v>
      </c>
      <c r="E1990" t="s">
        <v>495</v>
      </c>
      <c r="F1990" s="4">
        <v>9433</v>
      </c>
      <c r="G1990" s="4">
        <v>2615</v>
      </c>
      <c r="H1990" s="4">
        <v>321</v>
      </c>
      <c r="I1990" s="4">
        <v>2294</v>
      </c>
      <c r="J1990" s="4">
        <v>12048</v>
      </c>
    </row>
    <row r="1991" spans="1:10" x14ac:dyDescent="0.75">
      <c r="A1991" t="s">
        <v>151</v>
      </c>
      <c r="B1991">
        <v>2017</v>
      </c>
      <c r="C1991" t="s">
        <v>17</v>
      </c>
      <c r="D1991">
        <v>6861</v>
      </c>
      <c r="E1991" t="s">
        <v>489</v>
      </c>
      <c r="F1991" s="4">
        <v>4021</v>
      </c>
      <c r="G1991" s="4">
        <v>7932</v>
      </c>
      <c r="H1991" s="4">
        <v>7902</v>
      </c>
      <c r="I1991" s="4">
        <v>30</v>
      </c>
      <c r="J1991" s="4">
        <v>11953</v>
      </c>
    </row>
    <row r="1992" spans="1:10" x14ac:dyDescent="0.75">
      <c r="A1992" t="s">
        <v>151</v>
      </c>
      <c r="B1992">
        <v>2017</v>
      </c>
      <c r="C1992" t="s">
        <v>17</v>
      </c>
      <c r="D1992">
        <v>5370</v>
      </c>
      <c r="E1992" t="s">
        <v>466</v>
      </c>
      <c r="F1992" s="4">
        <v>879</v>
      </c>
      <c r="G1992" s="4">
        <v>10972</v>
      </c>
      <c r="H1992" s="4">
        <v>10101</v>
      </c>
      <c r="I1992" s="4">
        <v>871</v>
      </c>
      <c r="J1992" s="4">
        <v>11851</v>
      </c>
    </row>
    <row r="1993" spans="1:10" x14ac:dyDescent="0.75">
      <c r="A1993" t="s">
        <v>151</v>
      </c>
      <c r="B1993">
        <v>2017</v>
      </c>
      <c r="C1993" t="s">
        <v>17</v>
      </c>
      <c r="D1993">
        <v>4782</v>
      </c>
      <c r="E1993" t="s">
        <v>414</v>
      </c>
      <c r="F1993" s="4">
        <v>48</v>
      </c>
      <c r="G1993" s="4">
        <v>11717</v>
      </c>
      <c r="H1993" s="4">
        <v>1691</v>
      </c>
      <c r="I1993" s="4">
        <v>10026</v>
      </c>
      <c r="J1993" s="4">
        <v>11765</v>
      </c>
    </row>
    <row r="1994" spans="1:10" x14ac:dyDescent="0.75">
      <c r="A1994" t="s">
        <v>151</v>
      </c>
      <c r="B1994">
        <v>2017</v>
      </c>
      <c r="C1994" t="s">
        <v>17</v>
      </c>
      <c r="D1994">
        <v>5421</v>
      </c>
      <c r="E1994" t="s">
        <v>467</v>
      </c>
      <c r="F1994" s="4">
        <v>46</v>
      </c>
      <c r="G1994" s="4">
        <v>11515</v>
      </c>
      <c r="H1994" s="4">
        <v>953</v>
      </c>
      <c r="I1994" s="4">
        <v>10562</v>
      </c>
      <c r="J1994" s="4">
        <v>11561</v>
      </c>
    </row>
    <row r="1995" spans="1:10" x14ac:dyDescent="0.75">
      <c r="A1995" t="s">
        <v>151</v>
      </c>
      <c r="B1995">
        <v>2017</v>
      </c>
      <c r="C1995" t="s">
        <v>17</v>
      </c>
      <c r="D1995">
        <v>3291</v>
      </c>
      <c r="E1995" t="s">
        <v>444</v>
      </c>
      <c r="F1995" s="4">
        <v>3446</v>
      </c>
      <c r="G1995" s="4">
        <v>7879</v>
      </c>
      <c r="H1995" s="4">
        <v>1565</v>
      </c>
      <c r="I1995" s="4">
        <v>6314</v>
      </c>
      <c r="J1995" s="4">
        <v>11325</v>
      </c>
    </row>
    <row r="1996" spans="1:10" x14ac:dyDescent="0.75">
      <c r="A1996" t="s">
        <v>151</v>
      </c>
      <c r="B1996">
        <v>2017</v>
      </c>
      <c r="C1996" t="s">
        <v>17</v>
      </c>
      <c r="D1996">
        <v>5330</v>
      </c>
      <c r="E1996" t="s">
        <v>385</v>
      </c>
      <c r="F1996" s="4">
        <v>2426</v>
      </c>
      <c r="G1996" s="4">
        <v>7994</v>
      </c>
      <c r="H1996" s="4">
        <v>7495</v>
      </c>
      <c r="I1996" s="4">
        <v>499</v>
      </c>
      <c r="J1996" s="4">
        <v>10420</v>
      </c>
    </row>
    <row r="1997" spans="1:10" x14ac:dyDescent="0.75">
      <c r="A1997" t="s">
        <v>151</v>
      </c>
      <c r="B1997">
        <v>2017</v>
      </c>
      <c r="C1997" t="s">
        <v>17</v>
      </c>
      <c r="D1997">
        <v>6817</v>
      </c>
      <c r="E1997" t="s">
        <v>481</v>
      </c>
      <c r="F1997" s="4">
        <v>7583</v>
      </c>
      <c r="G1997" s="4">
        <v>1346</v>
      </c>
      <c r="H1997" s="4">
        <v>382</v>
      </c>
      <c r="I1997" s="4">
        <v>964</v>
      </c>
      <c r="J1997" s="4">
        <v>8929</v>
      </c>
    </row>
    <row r="1998" spans="1:10" x14ac:dyDescent="0.75">
      <c r="A1998" t="s">
        <v>151</v>
      </c>
      <c r="B1998">
        <v>2017</v>
      </c>
      <c r="C1998" t="s">
        <v>17</v>
      </c>
      <c r="D1998">
        <v>7300</v>
      </c>
      <c r="E1998" t="s">
        <v>501</v>
      </c>
      <c r="F1998" s="4">
        <v>0</v>
      </c>
      <c r="G1998" s="4">
        <v>8882</v>
      </c>
      <c r="H1998" s="4">
        <v>8769</v>
      </c>
      <c r="I1998" s="4">
        <v>113</v>
      </c>
      <c r="J1998" s="4">
        <v>8882</v>
      </c>
    </row>
    <row r="1999" spans="1:10" x14ac:dyDescent="0.75">
      <c r="A1999" t="s">
        <v>151</v>
      </c>
      <c r="B1999">
        <v>2017</v>
      </c>
      <c r="C1999" t="s">
        <v>17</v>
      </c>
      <c r="D1999">
        <v>3110</v>
      </c>
      <c r="E1999" t="s">
        <v>405</v>
      </c>
      <c r="F1999" s="4">
        <v>7366</v>
      </c>
      <c r="G1999" s="4">
        <v>265</v>
      </c>
      <c r="H1999" s="4">
        <v>140</v>
      </c>
      <c r="I1999" s="4">
        <v>125</v>
      </c>
      <c r="J1999" s="4">
        <v>7631</v>
      </c>
    </row>
    <row r="2000" spans="1:10" x14ac:dyDescent="0.75">
      <c r="A2000" t="s">
        <v>151</v>
      </c>
      <c r="B2000">
        <v>2017</v>
      </c>
      <c r="C2000" t="s">
        <v>17</v>
      </c>
      <c r="D2000">
        <v>3260</v>
      </c>
      <c r="E2000" t="s">
        <v>436</v>
      </c>
      <c r="F2000" s="4">
        <v>0</v>
      </c>
      <c r="G2000" s="4">
        <v>7385</v>
      </c>
      <c r="H2000" s="4">
        <v>4454</v>
      </c>
      <c r="I2000" s="4">
        <v>2931</v>
      </c>
      <c r="J2000" s="4">
        <v>7385</v>
      </c>
    </row>
    <row r="2001" spans="1:10" x14ac:dyDescent="0.75">
      <c r="A2001" t="s">
        <v>151</v>
      </c>
      <c r="B2001">
        <v>2017</v>
      </c>
      <c r="C2001" t="s">
        <v>17</v>
      </c>
      <c r="D2001">
        <v>3230</v>
      </c>
      <c r="E2001" t="s">
        <v>434</v>
      </c>
      <c r="F2001" s="4">
        <v>47</v>
      </c>
      <c r="G2001" s="4">
        <v>6597</v>
      </c>
      <c r="H2001" s="4">
        <v>1462</v>
      </c>
      <c r="I2001" s="4">
        <v>5135</v>
      </c>
      <c r="J2001" s="4">
        <v>6644</v>
      </c>
    </row>
    <row r="2002" spans="1:10" x14ac:dyDescent="0.75">
      <c r="A2002" t="s">
        <v>151</v>
      </c>
      <c r="B2002">
        <v>2017</v>
      </c>
      <c r="C2002" t="s">
        <v>17</v>
      </c>
      <c r="D2002">
        <v>3250</v>
      </c>
      <c r="E2002" t="s">
        <v>435</v>
      </c>
      <c r="F2002" s="4">
        <v>0</v>
      </c>
      <c r="G2002" s="4">
        <v>6130</v>
      </c>
      <c r="H2002" s="4">
        <v>3701</v>
      </c>
      <c r="I2002" s="4">
        <v>2429</v>
      </c>
      <c r="J2002" s="4">
        <v>6130</v>
      </c>
    </row>
    <row r="2003" spans="1:10" x14ac:dyDescent="0.75">
      <c r="A2003" t="s">
        <v>151</v>
      </c>
      <c r="B2003">
        <v>2017</v>
      </c>
      <c r="C2003" t="s">
        <v>17</v>
      </c>
      <c r="D2003">
        <v>7800</v>
      </c>
      <c r="E2003" t="s">
        <v>507</v>
      </c>
      <c r="F2003" s="4">
        <v>5726</v>
      </c>
      <c r="G2003" s="4">
        <v>0</v>
      </c>
      <c r="H2003" s="4">
        <v>0</v>
      </c>
      <c r="I2003" s="4">
        <v>0</v>
      </c>
      <c r="J2003" s="4">
        <v>5726</v>
      </c>
    </row>
    <row r="2004" spans="1:10" x14ac:dyDescent="0.75">
      <c r="A2004" t="s">
        <v>151</v>
      </c>
      <c r="B2004">
        <v>2017</v>
      </c>
      <c r="C2004" t="s">
        <v>17</v>
      </c>
      <c r="D2004">
        <v>6899</v>
      </c>
      <c r="E2004" t="s">
        <v>498</v>
      </c>
      <c r="F2004" s="4">
        <v>3932</v>
      </c>
      <c r="G2004" s="4">
        <v>949</v>
      </c>
      <c r="H2004" s="4">
        <v>123</v>
      </c>
      <c r="I2004" s="4">
        <v>826</v>
      </c>
      <c r="J2004" s="4">
        <v>4881</v>
      </c>
    </row>
    <row r="2005" spans="1:10" x14ac:dyDescent="0.75">
      <c r="A2005" t="s">
        <v>151</v>
      </c>
      <c r="B2005">
        <v>2017</v>
      </c>
      <c r="C2005" t="s">
        <v>17</v>
      </c>
      <c r="D2005">
        <v>3292</v>
      </c>
      <c r="E2005" t="s">
        <v>413</v>
      </c>
      <c r="F2005" s="4">
        <v>1165</v>
      </c>
      <c r="G2005" s="4">
        <v>3421</v>
      </c>
      <c r="H2005" s="4">
        <v>1728</v>
      </c>
      <c r="I2005" s="4">
        <v>1693</v>
      </c>
      <c r="J2005" s="4">
        <v>4586</v>
      </c>
    </row>
    <row r="2006" spans="1:10" x14ac:dyDescent="0.75">
      <c r="A2006" t="s">
        <v>151</v>
      </c>
      <c r="B2006">
        <v>2017</v>
      </c>
      <c r="C2006" t="s">
        <v>17</v>
      </c>
      <c r="D2006">
        <v>5390</v>
      </c>
      <c r="E2006" t="s">
        <v>418</v>
      </c>
      <c r="F2006" s="4">
        <v>22</v>
      </c>
      <c r="G2006" s="4">
        <v>4080</v>
      </c>
      <c r="H2006" s="4">
        <v>2550</v>
      </c>
      <c r="I2006" s="4">
        <v>1530</v>
      </c>
      <c r="J2006" s="4">
        <v>4102</v>
      </c>
    </row>
    <row r="2007" spans="1:10" x14ac:dyDescent="0.75">
      <c r="A2007" t="s">
        <v>151</v>
      </c>
      <c r="B2007">
        <v>2017</v>
      </c>
      <c r="C2007" t="s">
        <v>17</v>
      </c>
      <c r="D2007">
        <v>3293</v>
      </c>
      <c r="E2007" t="s">
        <v>445</v>
      </c>
      <c r="F2007" s="4">
        <v>0</v>
      </c>
      <c r="G2007" s="4">
        <v>3896</v>
      </c>
      <c r="H2007" s="4">
        <v>3312</v>
      </c>
      <c r="I2007" s="4">
        <v>584</v>
      </c>
      <c r="J2007" s="4">
        <v>3896</v>
      </c>
    </row>
    <row r="2008" spans="1:10" x14ac:dyDescent="0.75">
      <c r="A2008" t="s">
        <v>151</v>
      </c>
      <c r="B2008">
        <v>2017</v>
      </c>
      <c r="C2008" t="s">
        <v>17</v>
      </c>
      <c r="D2008">
        <v>4310</v>
      </c>
      <c r="E2008" t="s">
        <v>453</v>
      </c>
      <c r="F2008" s="4">
        <v>0</v>
      </c>
      <c r="G2008" s="4">
        <v>3826</v>
      </c>
      <c r="H2008" s="4">
        <v>3739</v>
      </c>
      <c r="I2008" s="4">
        <v>87</v>
      </c>
      <c r="J2008" s="4">
        <v>3826</v>
      </c>
    </row>
    <row r="2009" spans="1:10" x14ac:dyDescent="0.75">
      <c r="A2009" t="s">
        <v>151</v>
      </c>
      <c r="B2009">
        <v>2017</v>
      </c>
      <c r="C2009" t="s">
        <v>17</v>
      </c>
      <c r="D2009">
        <v>4150</v>
      </c>
      <c r="E2009" t="s">
        <v>450</v>
      </c>
      <c r="F2009" s="4">
        <v>0</v>
      </c>
      <c r="G2009" s="4">
        <v>3698</v>
      </c>
      <c r="H2009" s="4">
        <v>3662</v>
      </c>
      <c r="I2009" s="4">
        <v>36</v>
      </c>
      <c r="J2009" s="4">
        <v>3698</v>
      </c>
    </row>
    <row r="2010" spans="1:10" x14ac:dyDescent="0.75">
      <c r="A2010" t="s">
        <v>151</v>
      </c>
      <c r="B2010">
        <v>2017</v>
      </c>
      <c r="C2010" t="s">
        <v>17</v>
      </c>
      <c r="D2010">
        <v>6888</v>
      </c>
      <c r="E2010" t="s">
        <v>494</v>
      </c>
      <c r="F2010" s="4">
        <v>3162</v>
      </c>
      <c r="G2010" s="4">
        <v>483</v>
      </c>
      <c r="H2010" s="4">
        <v>311</v>
      </c>
      <c r="I2010" s="4">
        <v>172</v>
      </c>
      <c r="J2010" s="4">
        <v>3645</v>
      </c>
    </row>
    <row r="2011" spans="1:10" x14ac:dyDescent="0.75">
      <c r="A2011" t="s">
        <v>151</v>
      </c>
      <c r="B2011">
        <v>2017</v>
      </c>
      <c r="C2011" t="s">
        <v>17</v>
      </c>
      <c r="D2011">
        <v>6521</v>
      </c>
      <c r="E2011" t="s">
        <v>476</v>
      </c>
      <c r="F2011" s="4">
        <v>78</v>
      </c>
      <c r="G2011" s="4">
        <v>3028</v>
      </c>
      <c r="H2011" s="4">
        <v>0</v>
      </c>
      <c r="I2011" s="4">
        <v>3028</v>
      </c>
      <c r="J2011" s="4">
        <v>3106</v>
      </c>
    </row>
    <row r="2012" spans="1:10" x14ac:dyDescent="0.75">
      <c r="A2012" t="s">
        <v>151</v>
      </c>
      <c r="B2012">
        <v>2017</v>
      </c>
      <c r="C2012" t="s">
        <v>17</v>
      </c>
      <c r="D2012">
        <v>5110</v>
      </c>
      <c r="E2012" t="s">
        <v>460</v>
      </c>
      <c r="F2012" s="4">
        <v>0</v>
      </c>
      <c r="G2012" s="4">
        <v>2987</v>
      </c>
      <c r="H2012" s="4">
        <v>2973</v>
      </c>
      <c r="I2012" s="4">
        <v>14</v>
      </c>
      <c r="J2012" s="4">
        <v>2987</v>
      </c>
    </row>
    <row r="2013" spans="1:10" x14ac:dyDescent="0.75">
      <c r="A2013" t="s">
        <v>151</v>
      </c>
      <c r="B2013">
        <v>2017</v>
      </c>
      <c r="C2013" t="s">
        <v>17</v>
      </c>
      <c r="D2013">
        <v>2350</v>
      </c>
      <c r="E2013" t="s">
        <v>404</v>
      </c>
      <c r="F2013" s="4">
        <v>2502</v>
      </c>
      <c r="G2013" s="4">
        <v>475</v>
      </c>
      <c r="H2013" s="4">
        <v>50</v>
      </c>
      <c r="I2013" s="4">
        <v>425</v>
      </c>
      <c r="J2013" s="4">
        <v>2977</v>
      </c>
    </row>
    <row r="2014" spans="1:10" x14ac:dyDescent="0.75">
      <c r="A2014" t="s">
        <v>151</v>
      </c>
      <c r="B2014">
        <v>2017</v>
      </c>
      <c r="C2014" t="s">
        <v>17</v>
      </c>
      <c r="D2014">
        <v>2990</v>
      </c>
      <c r="E2014" t="s">
        <v>432</v>
      </c>
      <c r="F2014" s="4">
        <v>53</v>
      </c>
      <c r="G2014" s="4">
        <v>2866</v>
      </c>
      <c r="H2014" s="4">
        <v>2866</v>
      </c>
      <c r="I2014" s="4">
        <v>0</v>
      </c>
      <c r="J2014" s="4">
        <v>2919</v>
      </c>
    </row>
    <row r="2015" spans="1:10" x14ac:dyDescent="0.75">
      <c r="A2015" t="s">
        <v>151</v>
      </c>
      <c r="B2015">
        <v>2017</v>
      </c>
      <c r="C2015" t="s">
        <v>17</v>
      </c>
      <c r="D2015">
        <v>2429</v>
      </c>
      <c r="E2015" t="s">
        <v>375</v>
      </c>
      <c r="F2015" s="4">
        <v>2874</v>
      </c>
      <c r="G2015" s="4">
        <v>0</v>
      </c>
      <c r="H2015" s="4">
        <v>0</v>
      </c>
      <c r="I2015" s="4">
        <v>0</v>
      </c>
      <c r="J2015" s="4">
        <v>2874</v>
      </c>
    </row>
    <row r="2016" spans="1:10" x14ac:dyDescent="0.75">
      <c r="A2016" t="s">
        <v>151</v>
      </c>
      <c r="B2016">
        <v>2017</v>
      </c>
      <c r="C2016" t="s">
        <v>17</v>
      </c>
      <c r="D2016">
        <v>3240</v>
      </c>
      <c r="E2016" t="s">
        <v>410</v>
      </c>
      <c r="F2016" s="4">
        <v>0</v>
      </c>
      <c r="G2016" s="4">
        <v>2816</v>
      </c>
      <c r="H2016" s="4">
        <v>1365</v>
      </c>
      <c r="I2016" s="4">
        <v>1451</v>
      </c>
      <c r="J2016" s="4">
        <v>2816</v>
      </c>
    </row>
    <row r="2017" spans="1:10" x14ac:dyDescent="0.75">
      <c r="A2017" t="s">
        <v>151</v>
      </c>
      <c r="B2017">
        <v>2017</v>
      </c>
      <c r="C2017" t="s">
        <v>17</v>
      </c>
      <c r="D2017">
        <v>4190</v>
      </c>
      <c r="E2017" t="s">
        <v>452</v>
      </c>
      <c r="F2017" s="4">
        <v>1116</v>
      </c>
      <c r="G2017" s="4">
        <v>1159</v>
      </c>
      <c r="H2017" s="4">
        <v>1073</v>
      </c>
      <c r="I2017" s="4">
        <v>86</v>
      </c>
      <c r="J2017" s="4">
        <v>2275</v>
      </c>
    </row>
    <row r="2018" spans="1:10" x14ac:dyDescent="0.75">
      <c r="A2018" t="s">
        <v>151</v>
      </c>
      <c r="B2018">
        <v>2017</v>
      </c>
      <c r="C2018" t="s">
        <v>17</v>
      </c>
      <c r="D2018">
        <v>6590</v>
      </c>
      <c r="E2018" t="s">
        <v>394</v>
      </c>
      <c r="F2018" s="4">
        <v>1418</v>
      </c>
      <c r="G2018" s="4">
        <v>542</v>
      </c>
      <c r="H2018" s="4">
        <v>99</v>
      </c>
      <c r="I2018" s="4">
        <v>443</v>
      </c>
      <c r="J2018" s="4">
        <v>1960</v>
      </c>
    </row>
    <row r="2019" spans="1:10" x14ac:dyDescent="0.75">
      <c r="A2019" t="s">
        <v>151</v>
      </c>
      <c r="B2019">
        <v>2017</v>
      </c>
      <c r="C2019" t="s">
        <v>17</v>
      </c>
      <c r="D2019">
        <v>6893</v>
      </c>
      <c r="E2019" t="s">
        <v>496</v>
      </c>
      <c r="F2019" s="4">
        <v>0</v>
      </c>
      <c r="G2019" s="4">
        <v>1860</v>
      </c>
      <c r="H2019" s="4">
        <v>1047</v>
      </c>
      <c r="I2019" s="4">
        <v>813</v>
      </c>
      <c r="J2019" s="4">
        <v>1860</v>
      </c>
    </row>
    <row r="2020" spans="1:10" x14ac:dyDescent="0.75">
      <c r="A2020" t="s">
        <v>151</v>
      </c>
      <c r="B2020">
        <v>2017</v>
      </c>
      <c r="C2020" t="s">
        <v>17</v>
      </c>
      <c r="D2020">
        <v>6344</v>
      </c>
      <c r="E2020" t="s">
        <v>392</v>
      </c>
      <c r="F2020" s="4">
        <v>24</v>
      </c>
      <c r="G2020" s="4">
        <v>1721</v>
      </c>
      <c r="H2020" s="4">
        <v>83</v>
      </c>
      <c r="I2020" s="4">
        <v>1638</v>
      </c>
      <c r="J2020" s="4">
        <v>1745</v>
      </c>
    </row>
    <row r="2021" spans="1:10" x14ac:dyDescent="0.75">
      <c r="A2021" t="s">
        <v>151</v>
      </c>
      <c r="B2021">
        <v>2017</v>
      </c>
      <c r="C2021" t="s">
        <v>17</v>
      </c>
      <c r="D2021">
        <v>3273</v>
      </c>
      <c r="E2021" t="s">
        <v>411</v>
      </c>
      <c r="F2021" s="4">
        <v>1623</v>
      </c>
      <c r="G2021" s="4">
        <v>42</v>
      </c>
      <c r="H2021" s="4">
        <v>0</v>
      </c>
      <c r="I2021" s="4">
        <v>42</v>
      </c>
      <c r="J2021" s="4">
        <v>1665</v>
      </c>
    </row>
    <row r="2022" spans="1:10" x14ac:dyDescent="0.75">
      <c r="A2022" t="s">
        <v>151</v>
      </c>
      <c r="B2022">
        <v>2017</v>
      </c>
      <c r="C2022" t="s">
        <v>17</v>
      </c>
      <c r="D2022">
        <v>3297</v>
      </c>
      <c r="E2022" t="s">
        <v>446</v>
      </c>
      <c r="F2022" s="4">
        <v>0</v>
      </c>
      <c r="G2022" s="4">
        <v>1532</v>
      </c>
      <c r="H2022" s="4">
        <v>108</v>
      </c>
      <c r="I2022" s="4">
        <v>1424</v>
      </c>
      <c r="J2022" s="4">
        <v>1532</v>
      </c>
    </row>
    <row r="2023" spans="1:10" x14ac:dyDescent="0.75">
      <c r="A2023" t="s">
        <v>151</v>
      </c>
      <c r="B2023">
        <v>2017</v>
      </c>
      <c r="C2023" t="s">
        <v>17</v>
      </c>
      <c r="D2023">
        <v>7230</v>
      </c>
      <c r="E2023" t="s">
        <v>387</v>
      </c>
      <c r="F2023" s="4">
        <v>91</v>
      </c>
      <c r="G2023" s="4">
        <v>1403</v>
      </c>
      <c r="H2023" s="4">
        <v>430</v>
      </c>
      <c r="I2023" s="4">
        <v>973</v>
      </c>
      <c r="J2023" s="4">
        <v>1494</v>
      </c>
    </row>
    <row r="2024" spans="1:10" x14ac:dyDescent="0.75">
      <c r="A2024" t="s">
        <v>151</v>
      </c>
      <c r="B2024">
        <v>2017</v>
      </c>
      <c r="C2024" t="s">
        <v>17</v>
      </c>
      <c r="D2024">
        <v>7220</v>
      </c>
      <c r="E2024" t="s">
        <v>500</v>
      </c>
      <c r="F2024" s="4">
        <v>21</v>
      </c>
      <c r="G2024" s="4">
        <v>1231</v>
      </c>
      <c r="H2024" s="4">
        <v>905</v>
      </c>
      <c r="I2024" s="4">
        <v>326</v>
      </c>
      <c r="J2024" s="4">
        <v>1252</v>
      </c>
    </row>
    <row r="2025" spans="1:10" x14ac:dyDescent="0.75">
      <c r="A2025" t="s">
        <v>151</v>
      </c>
      <c r="B2025">
        <v>2017</v>
      </c>
      <c r="C2025" t="s">
        <v>17</v>
      </c>
      <c r="D2025">
        <v>6838</v>
      </c>
      <c r="E2025" t="s">
        <v>484</v>
      </c>
      <c r="F2025" s="4">
        <v>46</v>
      </c>
      <c r="G2025" s="4">
        <v>1198</v>
      </c>
      <c r="H2025" s="4">
        <v>0</v>
      </c>
      <c r="I2025" s="4">
        <v>1198</v>
      </c>
      <c r="J2025" s="4">
        <v>1244</v>
      </c>
    </row>
    <row r="2026" spans="1:10" x14ac:dyDescent="0.75">
      <c r="A2026" t="s">
        <v>151</v>
      </c>
      <c r="B2026">
        <v>2017</v>
      </c>
      <c r="C2026" t="s">
        <v>17</v>
      </c>
      <c r="D2026">
        <v>3279</v>
      </c>
      <c r="E2026" t="s">
        <v>422</v>
      </c>
      <c r="F2026" s="4">
        <v>0</v>
      </c>
      <c r="G2026" s="4">
        <v>1180</v>
      </c>
      <c r="H2026" s="4">
        <v>262</v>
      </c>
      <c r="I2026" s="4">
        <v>918</v>
      </c>
      <c r="J2026" s="4">
        <v>1180</v>
      </c>
    </row>
    <row r="2027" spans="1:10" x14ac:dyDescent="0.75">
      <c r="A2027" t="s">
        <v>151</v>
      </c>
      <c r="B2027">
        <v>2017</v>
      </c>
      <c r="C2027" t="s">
        <v>17</v>
      </c>
      <c r="D2027">
        <v>5312</v>
      </c>
      <c r="E2027" t="s">
        <v>416</v>
      </c>
      <c r="F2027" s="4">
        <v>0</v>
      </c>
      <c r="G2027" s="4">
        <v>1113</v>
      </c>
      <c r="H2027" s="4">
        <v>984</v>
      </c>
      <c r="I2027" s="4">
        <v>129</v>
      </c>
      <c r="J2027" s="4">
        <v>1113</v>
      </c>
    </row>
    <row r="2028" spans="1:10" x14ac:dyDescent="0.75">
      <c r="A2028" t="s">
        <v>151</v>
      </c>
      <c r="B2028">
        <v>2017</v>
      </c>
      <c r="C2028" t="s">
        <v>17</v>
      </c>
      <c r="D2028">
        <v>2640</v>
      </c>
      <c r="E2028" t="s">
        <v>431</v>
      </c>
      <c r="F2028" s="4">
        <v>893</v>
      </c>
      <c r="G2028" s="4">
        <v>130</v>
      </c>
      <c r="H2028" s="4">
        <v>46</v>
      </c>
      <c r="I2028" s="4">
        <v>84</v>
      </c>
      <c r="J2028" s="4">
        <v>1023</v>
      </c>
    </row>
    <row r="2029" spans="1:10" x14ac:dyDescent="0.75">
      <c r="A2029" t="s">
        <v>151</v>
      </c>
      <c r="B2029">
        <v>2017</v>
      </c>
      <c r="C2029" t="s">
        <v>17</v>
      </c>
      <c r="D2029">
        <v>4783</v>
      </c>
      <c r="E2029" t="s">
        <v>382</v>
      </c>
      <c r="F2029" s="4">
        <v>14</v>
      </c>
      <c r="G2029" s="4">
        <v>743</v>
      </c>
      <c r="H2029" s="4">
        <v>549</v>
      </c>
      <c r="I2029" s="4">
        <v>194</v>
      </c>
      <c r="J2029" s="4">
        <v>757</v>
      </c>
    </row>
    <row r="2030" spans="1:10" x14ac:dyDescent="0.75">
      <c r="A2030" t="s">
        <v>151</v>
      </c>
      <c r="B2030">
        <v>2017</v>
      </c>
      <c r="C2030" t="s">
        <v>17</v>
      </c>
      <c r="D2030">
        <v>3283</v>
      </c>
      <c r="E2030" t="s">
        <v>441</v>
      </c>
      <c r="F2030" s="4">
        <v>0</v>
      </c>
      <c r="G2030" s="4">
        <v>608</v>
      </c>
      <c r="H2030" s="4">
        <v>356</v>
      </c>
      <c r="I2030" s="4">
        <v>252</v>
      </c>
      <c r="J2030" s="4">
        <v>608</v>
      </c>
    </row>
    <row r="2031" spans="1:10" x14ac:dyDescent="0.75">
      <c r="A2031" t="s">
        <v>151</v>
      </c>
      <c r="B2031">
        <v>2017</v>
      </c>
      <c r="C2031" t="s">
        <v>17</v>
      </c>
      <c r="D2031">
        <v>6894</v>
      </c>
      <c r="E2031" t="s">
        <v>497</v>
      </c>
      <c r="F2031" s="4">
        <v>0</v>
      </c>
      <c r="G2031" s="4">
        <v>608</v>
      </c>
      <c r="H2031" s="4">
        <v>582</v>
      </c>
      <c r="I2031" s="4">
        <v>26</v>
      </c>
      <c r="J2031" s="4">
        <v>608</v>
      </c>
    </row>
    <row r="2032" spans="1:10" x14ac:dyDescent="0.75">
      <c r="A2032" t="s">
        <v>151</v>
      </c>
      <c r="B2032">
        <v>2017</v>
      </c>
      <c r="C2032" t="s">
        <v>17</v>
      </c>
      <c r="D2032">
        <v>5429</v>
      </c>
      <c r="E2032" t="s">
        <v>429</v>
      </c>
      <c r="F2032" s="4">
        <v>0</v>
      </c>
      <c r="G2032" s="4">
        <v>418</v>
      </c>
      <c r="H2032" s="4">
        <v>220</v>
      </c>
      <c r="I2032" s="4">
        <v>198</v>
      </c>
      <c r="J2032" s="4">
        <v>418</v>
      </c>
    </row>
    <row r="2033" spans="1:10" x14ac:dyDescent="0.75">
      <c r="A2033" t="s">
        <v>151</v>
      </c>
      <c r="B2033">
        <v>2017</v>
      </c>
      <c r="C2033" t="s">
        <v>17</v>
      </c>
      <c r="D2033">
        <v>6781</v>
      </c>
      <c r="E2033" t="s">
        <v>479</v>
      </c>
      <c r="F2033" s="4">
        <v>0</v>
      </c>
      <c r="G2033" s="4">
        <v>298</v>
      </c>
      <c r="H2033" s="4">
        <v>0</v>
      </c>
      <c r="I2033" s="4">
        <v>298</v>
      </c>
      <c r="J2033" s="4">
        <v>298</v>
      </c>
    </row>
    <row r="2034" spans="1:10" x14ac:dyDescent="0.75">
      <c r="A2034" t="s">
        <v>151</v>
      </c>
      <c r="B2034">
        <v>2017</v>
      </c>
      <c r="C2034" t="s">
        <v>17</v>
      </c>
      <c r="D2034">
        <v>6746</v>
      </c>
      <c r="E2034" t="s">
        <v>477</v>
      </c>
      <c r="F2034" s="4">
        <v>0</v>
      </c>
      <c r="G2034" s="4">
        <v>244</v>
      </c>
      <c r="H2034" s="4">
        <v>223</v>
      </c>
      <c r="I2034" s="4">
        <v>21</v>
      </c>
      <c r="J2034" s="4">
        <v>244</v>
      </c>
    </row>
    <row r="2035" spans="1:10" x14ac:dyDescent="0.75">
      <c r="A2035" t="s">
        <v>151</v>
      </c>
      <c r="B2035">
        <v>2017</v>
      </c>
      <c r="C2035" t="s">
        <v>17</v>
      </c>
      <c r="D2035">
        <v>5315</v>
      </c>
      <c r="E2035" t="s">
        <v>417</v>
      </c>
      <c r="F2035" s="4">
        <v>0</v>
      </c>
      <c r="G2035" s="4">
        <v>213</v>
      </c>
      <c r="H2035" s="4">
        <v>211</v>
      </c>
      <c r="I2035" s="4">
        <v>2</v>
      </c>
      <c r="J2035" s="4">
        <v>213</v>
      </c>
    </row>
    <row r="2036" spans="1:10" x14ac:dyDescent="0.75">
      <c r="A2036" t="s">
        <v>151</v>
      </c>
      <c r="B2036">
        <v>2017</v>
      </c>
      <c r="C2036" t="s">
        <v>17</v>
      </c>
      <c r="D2036">
        <v>4110</v>
      </c>
      <c r="E2036" t="s">
        <v>449</v>
      </c>
      <c r="F2036" s="4">
        <v>0</v>
      </c>
      <c r="G2036" s="4">
        <v>194</v>
      </c>
      <c r="H2036" s="4">
        <v>194</v>
      </c>
      <c r="I2036" s="4">
        <v>0</v>
      </c>
      <c r="J2036" s="4">
        <v>194</v>
      </c>
    </row>
    <row r="2037" spans="1:10" x14ac:dyDescent="0.75">
      <c r="A2037" t="s">
        <v>151</v>
      </c>
      <c r="B2037">
        <v>2017</v>
      </c>
      <c r="C2037" t="s">
        <v>17</v>
      </c>
      <c r="D2037">
        <v>3120</v>
      </c>
      <c r="E2037" t="s">
        <v>406</v>
      </c>
      <c r="F2037" s="4">
        <v>150</v>
      </c>
      <c r="G2037" s="4">
        <v>1</v>
      </c>
      <c r="H2037" s="4">
        <v>0</v>
      </c>
      <c r="I2037" s="4">
        <v>1</v>
      </c>
      <c r="J2037" s="4">
        <v>151</v>
      </c>
    </row>
    <row r="2038" spans="1:10" x14ac:dyDescent="0.75">
      <c r="A2038" t="s">
        <v>151</v>
      </c>
      <c r="B2038">
        <v>2017</v>
      </c>
      <c r="C2038" t="s">
        <v>17</v>
      </c>
      <c r="D2038">
        <v>6865</v>
      </c>
      <c r="E2038" t="s">
        <v>490</v>
      </c>
      <c r="F2038" s="4">
        <v>0</v>
      </c>
      <c r="G2038" s="4">
        <v>141</v>
      </c>
      <c r="H2038" s="4">
        <v>141</v>
      </c>
      <c r="I2038" s="4">
        <v>0</v>
      </c>
      <c r="J2038" s="4">
        <v>141</v>
      </c>
    </row>
    <row r="2039" spans="1:10" x14ac:dyDescent="0.75">
      <c r="A2039" t="s">
        <v>151</v>
      </c>
      <c r="B2039">
        <v>2017</v>
      </c>
      <c r="C2039" t="s">
        <v>17</v>
      </c>
      <c r="D2039">
        <v>3271</v>
      </c>
      <c r="E2039" t="s">
        <v>437</v>
      </c>
      <c r="F2039" s="4">
        <v>0</v>
      </c>
      <c r="G2039" s="4">
        <v>132</v>
      </c>
      <c r="H2039" s="4">
        <v>0</v>
      </c>
      <c r="I2039" s="4">
        <v>132</v>
      </c>
      <c r="J2039" s="4">
        <v>132</v>
      </c>
    </row>
    <row r="2040" spans="1:10" x14ac:dyDescent="0.75">
      <c r="A2040" t="s">
        <v>151</v>
      </c>
      <c r="B2040">
        <v>2017</v>
      </c>
      <c r="C2040" t="s">
        <v>17</v>
      </c>
      <c r="D2040">
        <v>5210</v>
      </c>
      <c r="E2040" t="s">
        <v>463</v>
      </c>
      <c r="F2040" s="4">
        <v>0</v>
      </c>
      <c r="G2040" s="4">
        <v>126</v>
      </c>
      <c r="H2040" s="4">
        <v>0</v>
      </c>
      <c r="I2040" s="4">
        <v>126</v>
      </c>
      <c r="J2040" s="4">
        <v>126</v>
      </c>
    </row>
    <row r="2041" spans="1:10" x14ac:dyDescent="0.75">
      <c r="A2041" t="s">
        <v>151</v>
      </c>
      <c r="B2041">
        <v>2017</v>
      </c>
      <c r="C2041" t="s">
        <v>17</v>
      </c>
      <c r="D2041">
        <v>4690</v>
      </c>
      <c r="E2041" t="s">
        <v>428</v>
      </c>
      <c r="F2041" s="4">
        <v>0</v>
      </c>
      <c r="G2041" s="4">
        <v>117</v>
      </c>
      <c r="H2041" s="4">
        <v>87</v>
      </c>
      <c r="I2041" s="4">
        <v>30</v>
      </c>
      <c r="J2041" s="4">
        <v>117</v>
      </c>
    </row>
    <row r="2042" spans="1:10" x14ac:dyDescent="0.75">
      <c r="A2042" t="s">
        <v>151</v>
      </c>
      <c r="B2042">
        <v>2017</v>
      </c>
      <c r="C2042" t="s">
        <v>17</v>
      </c>
      <c r="D2042">
        <v>3211</v>
      </c>
      <c r="E2042" t="s">
        <v>433</v>
      </c>
      <c r="F2042" s="4">
        <v>115</v>
      </c>
      <c r="G2042" s="4">
        <v>0</v>
      </c>
      <c r="H2042" s="4">
        <v>0</v>
      </c>
      <c r="I2042" s="4">
        <v>0</v>
      </c>
      <c r="J2042" s="4">
        <v>115</v>
      </c>
    </row>
    <row r="2043" spans="1:10" x14ac:dyDescent="0.75">
      <c r="A2043" t="s">
        <v>151</v>
      </c>
      <c r="B2043">
        <v>2017</v>
      </c>
      <c r="C2043" t="s">
        <v>17</v>
      </c>
      <c r="D2043">
        <v>8900</v>
      </c>
      <c r="E2043" t="s">
        <v>506</v>
      </c>
      <c r="F2043" s="4">
        <v>109</v>
      </c>
      <c r="G2043" s="4">
        <v>0</v>
      </c>
      <c r="H2043" s="4">
        <v>0</v>
      </c>
      <c r="I2043" s="4">
        <v>0</v>
      </c>
      <c r="J2043" s="4">
        <v>109</v>
      </c>
    </row>
    <row r="2044" spans="1:10" x14ac:dyDescent="0.75">
      <c r="A2044" t="s">
        <v>151</v>
      </c>
      <c r="B2044">
        <v>2017</v>
      </c>
      <c r="C2044" t="s">
        <v>17</v>
      </c>
      <c r="D2044">
        <v>6522</v>
      </c>
      <c r="E2044" t="s">
        <v>393</v>
      </c>
      <c r="F2044" s="4">
        <v>0</v>
      </c>
      <c r="G2044" s="4">
        <v>97</v>
      </c>
      <c r="H2044" s="4">
        <v>47</v>
      </c>
      <c r="I2044" s="4">
        <v>50</v>
      </c>
      <c r="J2044" s="4">
        <v>97</v>
      </c>
    </row>
    <row r="2045" spans="1:10" x14ac:dyDescent="0.75">
      <c r="A2045" t="s">
        <v>151</v>
      </c>
      <c r="B2045">
        <v>2017</v>
      </c>
      <c r="C2045" t="s">
        <v>17</v>
      </c>
      <c r="D2045">
        <v>5320</v>
      </c>
      <c r="E2045" t="s">
        <v>384</v>
      </c>
      <c r="F2045" s="4">
        <v>0</v>
      </c>
      <c r="G2045" s="4">
        <v>75</v>
      </c>
      <c r="H2045" s="4">
        <v>4</v>
      </c>
      <c r="I2045" s="4">
        <v>71</v>
      </c>
      <c r="J2045" s="4">
        <v>75</v>
      </c>
    </row>
    <row r="2046" spans="1:10" x14ac:dyDescent="0.75">
      <c r="A2046" t="s">
        <v>151</v>
      </c>
      <c r="B2046">
        <v>2017</v>
      </c>
      <c r="C2046" t="s">
        <v>17</v>
      </c>
      <c r="D2046">
        <v>4338</v>
      </c>
      <c r="E2046" t="s">
        <v>509</v>
      </c>
      <c r="F2046" s="4">
        <v>48</v>
      </c>
      <c r="G2046" s="4">
        <v>0</v>
      </c>
      <c r="H2046" s="4">
        <v>0</v>
      </c>
      <c r="I2046" s="4">
        <v>0</v>
      </c>
      <c r="J2046" s="4">
        <v>48</v>
      </c>
    </row>
    <row r="2047" spans="1:10" x14ac:dyDescent="0.75">
      <c r="A2047" t="s">
        <v>151</v>
      </c>
      <c r="B2047">
        <v>2017</v>
      </c>
      <c r="C2047" t="s">
        <v>17</v>
      </c>
      <c r="D2047">
        <v>6872</v>
      </c>
      <c r="E2047" t="s">
        <v>492</v>
      </c>
      <c r="F2047" s="4">
        <v>0</v>
      </c>
      <c r="G2047" s="4">
        <v>35</v>
      </c>
      <c r="H2047" s="4">
        <v>35</v>
      </c>
      <c r="I2047" s="4">
        <v>0</v>
      </c>
      <c r="J2047" s="4">
        <v>35</v>
      </c>
    </row>
    <row r="2048" spans="1:10" x14ac:dyDescent="0.75">
      <c r="A2048" t="s">
        <v>151</v>
      </c>
      <c r="B2048">
        <v>2017</v>
      </c>
      <c r="C2048" t="s">
        <v>17</v>
      </c>
      <c r="D2048">
        <v>2410</v>
      </c>
      <c r="E2048" t="s">
        <v>430</v>
      </c>
      <c r="F2048" s="4">
        <v>0</v>
      </c>
      <c r="G2048" s="4">
        <v>29</v>
      </c>
      <c r="H2048" s="4">
        <v>1</v>
      </c>
      <c r="I2048" s="4">
        <v>28</v>
      </c>
      <c r="J2048" s="4">
        <v>29</v>
      </c>
    </row>
    <row r="2049" spans="1:10" x14ac:dyDescent="0.75">
      <c r="A2049" t="s">
        <v>151</v>
      </c>
      <c r="B2049">
        <v>2017</v>
      </c>
      <c r="C2049" t="s">
        <v>17</v>
      </c>
      <c r="D2049">
        <v>6241</v>
      </c>
      <c r="E2049" t="s">
        <v>391</v>
      </c>
      <c r="F2049" s="4">
        <v>0</v>
      </c>
      <c r="G2049" s="4">
        <v>25</v>
      </c>
      <c r="H2049" s="4">
        <v>25</v>
      </c>
      <c r="I2049" s="4">
        <v>0</v>
      </c>
      <c r="J2049" s="4">
        <v>25</v>
      </c>
    </row>
    <row r="2050" spans="1:10" x14ac:dyDescent="0.75">
      <c r="A2050" t="s">
        <v>151</v>
      </c>
      <c r="B2050">
        <v>2017</v>
      </c>
      <c r="C2050" t="s">
        <v>17</v>
      </c>
      <c r="D2050">
        <v>6445</v>
      </c>
      <c r="E2050" t="s">
        <v>474</v>
      </c>
      <c r="F2050" s="4">
        <v>20</v>
      </c>
      <c r="G2050" s="4">
        <v>0</v>
      </c>
      <c r="H2050" s="4">
        <v>0</v>
      </c>
      <c r="I2050" s="4">
        <v>0</v>
      </c>
      <c r="J2050" s="4">
        <v>20</v>
      </c>
    </row>
    <row r="2051" spans="1:10" x14ac:dyDescent="0.75">
      <c r="A2051" t="s">
        <v>151</v>
      </c>
      <c r="B2051">
        <v>2017</v>
      </c>
      <c r="C2051" t="s">
        <v>17</v>
      </c>
      <c r="D2051">
        <v>6534</v>
      </c>
      <c r="E2051" t="s">
        <v>508</v>
      </c>
      <c r="F2051" s="4">
        <v>0</v>
      </c>
      <c r="G2051" s="4">
        <v>20</v>
      </c>
      <c r="H2051" s="4">
        <v>0</v>
      </c>
      <c r="I2051" s="4">
        <v>20</v>
      </c>
      <c r="J2051" s="4">
        <v>20</v>
      </c>
    </row>
    <row r="2052" spans="1:10" x14ac:dyDescent="0.75">
      <c r="A2052" t="s">
        <v>151</v>
      </c>
      <c r="B2052">
        <v>2017</v>
      </c>
      <c r="C2052" t="s">
        <v>17</v>
      </c>
      <c r="D2052">
        <v>3281</v>
      </c>
      <c r="E2052" t="s">
        <v>439</v>
      </c>
      <c r="F2052" s="4">
        <v>0</v>
      </c>
      <c r="G2052" s="4">
        <v>18</v>
      </c>
      <c r="H2052" s="4">
        <v>0</v>
      </c>
      <c r="I2052" s="4">
        <v>18</v>
      </c>
      <c r="J2052" s="4">
        <v>18</v>
      </c>
    </row>
    <row r="2053" spans="1:10" x14ac:dyDescent="0.75">
      <c r="A2053" t="s">
        <v>151</v>
      </c>
      <c r="B2053">
        <v>2017</v>
      </c>
      <c r="C2053" t="s">
        <v>17</v>
      </c>
      <c r="D2053">
        <v>4515</v>
      </c>
      <c r="E2053" t="s">
        <v>455</v>
      </c>
      <c r="F2053" s="4">
        <v>0</v>
      </c>
      <c r="G2053" s="4">
        <v>7</v>
      </c>
      <c r="H2053" s="4">
        <v>7</v>
      </c>
      <c r="I2053" s="4">
        <v>0</v>
      </c>
      <c r="J2053" s="4">
        <v>7</v>
      </c>
    </row>
    <row r="2054" spans="1:10" x14ac:dyDescent="0.75">
      <c r="A2054" t="s">
        <v>151</v>
      </c>
      <c r="B2054">
        <v>2017</v>
      </c>
      <c r="C2054" t="s">
        <v>17</v>
      </c>
      <c r="D2054">
        <v>3130</v>
      </c>
      <c r="E2054" t="s">
        <v>407</v>
      </c>
      <c r="F2054" s="4">
        <v>0</v>
      </c>
      <c r="G2054" s="4">
        <v>5</v>
      </c>
      <c r="H2054" s="4">
        <v>5</v>
      </c>
      <c r="I2054" s="4">
        <v>0</v>
      </c>
      <c r="J2054" s="4">
        <v>5</v>
      </c>
    </row>
    <row r="2055" spans="1:10" x14ac:dyDescent="0.75">
      <c r="A2055" t="s">
        <v>151</v>
      </c>
      <c r="B2055">
        <v>2017</v>
      </c>
      <c r="C2055" t="s">
        <v>17</v>
      </c>
      <c r="D2055">
        <v>4327</v>
      </c>
      <c r="E2055" t="s">
        <v>454</v>
      </c>
      <c r="F2055" s="4">
        <v>0</v>
      </c>
      <c r="G2055" s="4">
        <v>3</v>
      </c>
      <c r="H2055" s="4">
        <v>0</v>
      </c>
      <c r="I2055" s="4">
        <v>3</v>
      </c>
      <c r="J2055" s="4">
        <v>3</v>
      </c>
    </row>
    <row r="2056" spans="1:10" x14ac:dyDescent="0.75">
      <c r="A2056" t="s">
        <v>151</v>
      </c>
      <c r="B2056">
        <v>2017</v>
      </c>
      <c r="C2056" t="s">
        <v>17</v>
      </c>
      <c r="D2056">
        <v>4630</v>
      </c>
      <c r="E2056" t="s">
        <v>456</v>
      </c>
      <c r="F2056" s="4">
        <v>0</v>
      </c>
      <c r="G2056" s="4">
        <v>2</v>
      </c>
      <c r="H2056" s="4">
        <v>0</v>
      </c>
      <c r="I2056" s="4">
        <v>2</v>
      </c>
      <c r="J2056" s="4">
        <v>2</v>
      </c>
    </row>
    <row r="2057" spans="1:10" x14ac:dyDescent="0.75">
      <c r="A2057" t="s">
        <v>163</v>
      </c>
      <c r="B2057">
        <v>2344</v>
      </c>
      <c r="C2057" t="s">
        <v>205</v>
      </c>
      <c r="D2057">
        <v>5220</v>
      </c>
      <c r="E2057" t="s">
        <v>401</v>
      </c>
      <c r="F2057" s="4">
        <v>1963997</v>
      </c>
      <c r="G2057" s="4">
        <v>0</v>
      </c>
      <c r="H2057" s="4">
        <v>0</v>
      </c>
      <c r="I2057" s="4">
        <v>0</v>
      </c>
      <c r="J2057" s="4">
        <v>1963997</v>
      </c>
    </row>
    <row r="2058" spans="1:10" x14ac:dyDescent="0.75">
      <c r="A2058" t="s">
        <v>163</v>
      </c>
      <c r="B2058">
        <v>2344</v>
      </c>
      <c r="C2058" t="s">
        <v>205</v>
      </c>
      <c r="D2058">
        <v>4331</v>
      </c>
      <c r="E2058" t="s">
        <v>390</v>
      </c>
      <c r="F2058" s="4">
        <v>1223795</v>
      </c>
      <c r="G2058" s="4">
        <v>0</v>
      </c>
      <c r="H2058" s="4">
        <v>0</v>
      </c>
      <c r="I2058" s="4">
        <v>0</v>
      </c>
      <c r="J2058" s="4">
        <v>1223795</v>
      </c>
    </row>
    <row r="2059" spans="1:10" x14ac:dyDescent="0.75">
      <c r="A2059" t="s">
        <v>163</v>
      </c>
      <c r="B2059">
        <v>2344</v>
      </c>
      <c r="C2059" t="s">
        <v>205</v>
      </c>
      <c r="D2059">
        <v>2540</v>
      </c>
      <c r="E2059" t="s">
        <v>377</v>
      </c>
      <c r="F2059" s="4">
        <v>230504</v>
      </c>
      <c r="G2059" s="4">
        <v>0</v>
      </c>
      <c r="H2059" s="4">
        <v>0</v>
      </c>
      <c r="I2059" s="4">
        <v>0</v>
      </c>
      <c r="J2059" s="4">
        <v>230504</v>
      </c>
    </row>
    <row r="2060" spans="1:10" x14ac:dyDescent="0.75">
      <c r="A2060" t="s">
        <v>163</v>
      </c>
      <c r="B2060">
        <v>2344</v>
      </c>
      <c r="C2060" t="s">
        <v>205</v>
      </c>
      <c r="D2060">
        <v>6344</v>
      </c>
      <c r="E2060" t="s">
        <v>392</v>
      </c>
      <c r="F2060" s="4">
        <v>139567</v>
      </c>
      <c r="G2060" s="4">
        <v>0</v>
      </c>
      <c r="H2060" s="4">
        <v>0</v>
      </c>
      <c r="I2060" s="4">
        <v>0</v>
      </c>
      <c r="J2060" s="4">
        <v>139567</v>
      </c>
    </row>
    <row r="2061" spans="1:10" x14ac:dyDescent="0.75">
      <c r="A2061" t="s">
        <v>163</v>
      </c>
      <c r="B2061">
        <v>2344</v>
      </c>
      <c r="C2061" t="s">
        <v>205</v>
      </c>
      <c r="D2061">
        <v>4322</v>
      </c>
      <c r="E2061" t="s">
        <v>398</v>
      </c>
      <c r="F2061" s="4">
        <v>122243</v>
      </c>
      <c r="G2061" s="4">
        <v>0</v>
      </c>
      <c r="H2061" s="4">
        <v>0</v>
      </c>
      <c r="I2061" s="4">
        <v>0</v>
      </c>
      <c r="J2061" s="4">
        <v>122243</v>
      </c>
    </row>
    <row r="2062" spans="1:10" x14ac:dyDescent="0.75">
      <c r="A2062" t="s">
        <v>163</v>
      </c>
      <c r="B2062">
        <v>2344</v>
      </c>
      <c r="C2062" t="s">
        <v>205</v>
      </c>
      <c r="D2062">
        <v>4410</v>
      </c>
      <c r="E2062" t="s">
        <v>399</v>
      </c>
      <c r="F2062" s="4">
        <v>53588</v>
      </c>
      <c r="G2062" s="4">
        <v>0</v>
      </c>
      <c r="H2062" s="4">
        <v>0</v>
      </c>
      <c r="I2062" s="4">
        <v>0</v>
      </c>
      <c r="J2062" s="4">
        <v>53588</v>
      </c>
    </row>
    <row r="2063" spans="1:10" x14ac:dyDescent="0.75">
      <c r="A2063" t="s">
        <v>163</v>
      </c>
      <c r="B2063">
        <v>2344</v>
      </c>
      <c r="C2063" t="s">
        <v>205</v>
      </c>
      <c r="D2063">
        <v>6522</v>
      </c>
      <c r="E2063" t="s">
        <v>393</v>
      </c>
      <c r="F2063" s="4">
        <v>35631</v>
      </c>
      <c r="G2063" s="4">
        <v>0</v>
      </c>
      <c r="H2063" s="4">
        <v>0</v>
      </c>
      <c r="I2063" s="4">
        <v>0</v>
      </c>
      <c r="J2063" s="4">
        <v>35631</v>
      </c>
    </row>
    <row r="2064" spans="1:10" x14ac:dyDescent="0.75">
      <c r="A2064" t="s">
        <v>163</v>
      </c>
      <c r="B2064">
        <v>2344</v>
      </c>
      <c r="C2064" t="s">
        <v>205</v>
      </c>
      <c r="D2064">
        <v>4860</v>
      </c>
      <c r="E2064" t="s">
        <v>400</v>
      </c>
      <c r="F2064" s="4">
        <v>19400</v>
      </c>
      <c r="G2064" s="4">
        <v>0</v>
      </c>
      <c r="H2064" s="4">
        <v>0</v>
      </c>
      <c r="I2064" s="4">
        <v>0</v>
      </c>
      <c r="J2064" s="4">
        <v>19400</v>
      </c>
    </row>
    <row r="2065" spans="1:10" x14ac:dyDescent="0.75">
      <c r="A2065" t="s">
        <v>163</v>
      </c>
      <c r="B2065">
        <v>2344</v>
      </c>
      <c r="C2065" t="s">
        <v>205</v>
      </c>
      <c r="D2065">
        <v>4650</v>
      </c>
      <c r="E2065" t="s">
        <v>457</v>
      </c>
      <c r="F2065" s="4">
        <v>7899</v>
      </c>
      <c r="G2065" s="4">
        <v>0</v>
      </c>
      <c r="H2065" s="4">
        <v>0</v>
      </c>
      <c r="I2065" s="4">
        <v>0</v>
      </c>
      <c r="J2065" s="4">
        <v>7899</v>
      </c>
    </row>
    <row r="2066" spans="1:10" x14ac:dyDescent="0.75">
      <c r="A2066" t="s">
        <v>163</v>
      </c>
      <c r="B2066">
        <v>2344</v>
      </c>
      <c r="C2066" t="s">
        <v>205</v>
      </c>
      <c r="D2066">
        <v>5210</v>
      </c>
      <c r="E2066" t="s">
        <v>463</v>
      </c>
      <c r="F2066" s="4">
        <v>5393</v>
      </c>
      <c r="G2066" s="4">
        <v>0</v>
      </c>
      <c r="H2066" s="4">
        <v>0</v>
      </c>
      <c r="I2066" s="4">
        <v>0</v>
      </c>
      <c r="J2066" s="4">
        <v>5393</v>
      </c>
    </row>
    <row r="2067" spans="1:10" x14ac:dyDescent="0.75">
      <c r="A2067" t="s">
        <v>163</v>
      </c>
      <c r="B2067">
        <v>2344</v>
      </c>
      <c r="C2067" t="s">
        <v>205</v>
      </c>
      <c r="D2067">
        <v>5429</v>
      </c>
      <c r="E2067" t="s">
        <v>429</v>
      </c>
      <c r="F2067" s="4">
        <v>3352</v>
      </c>
      <c r="G2067" s="4">
        <v>0</v>
      </c>
      <c r="H2067" s="4">
        <v>0</v>
      </c>
      <c r="I2067" s="4">
        <v>0</v>
      </c>
      <c r="J2067" s="4">
        <v>3352</v>
      </c>
    </row>
    <row r="2068" spans="1:10" x14ac:dyDescent="0.75">
      <c r="A2068" t="s">
        <v>163</v>
      </c>
      <c r="B2068">
        <v>2344</v>
      </c>
      <c r="C2068" t="s">
        <v>205</v>
      </c>
      <c r="D2068">
        <v>6590</v>
      </c>
      <c r="E2068" t="s">
        <v>394</v>
      </c>
      <c r="F2068" s="4">
        <v>1676</v>
      </c>
      <c r="G2068" s="4">
        <v>0</v>
      </c>
      <c r="H2068" s="4">
        <v>0</v>
      </c>
      <c r="I2068" s="4">
        <v>0</v>
      </c>
      <c r="J2068" s="4">
        <v>1676</v>
      </c>
    </row>
    <row r="2069" spans="1:10" x14ac:dyDescent="0.75">
      <c r="A2069" t="s">
        <v>163</v>
      </c>
      <c r="B2069">
        <v>2344</v>
      </c>
      <c r="C2069" t="s">
        <v>205</v>
      </c>
      <c r="D2069">
        <v>2340</v>
      </c>
      <c r="E2069" t="s">
        <v>369</v>
      </c>
      <c r="F2069" s="4">
        <v>1645</v>
      </c>
      <c r="G2069" s="4">
        <v>0</v>
      </c>
      <c r="H2069" s="4">
        <v>0</v>
      </c>
      <c r="I2069" s="4">
        <v>0</v>
      </c>
      <c r="J2069" s="4">
        <v>1645</v>
      </c>
    </row>
    <row r="2070" spans="1:10" x14ac:dyDescent="0.75">
      <c r="A2070" t="s">
        <v>151</v>
      </c>
      <c r="B2070">
        <v>4711</v>
      </c>
      <c r="C2070" t="s">
        <v>291</v>
      </c>
      <c r="D2070">
        <v>4161</v>
      </c>
      <c r="E2070" t="s">
        <v>421</v>
      </c>
      <c r="F2070" s="4">
        <v>282528</v>
      </c>
      <c r="G2070" s="4">
        <v>0</v>
      </c>
      <c r="H2070" s="4">
        <v>0</v>
      </c>
      <c r="I2070" s="4">
        <v>0</v>
      </c>
      <c r="J2070" s="4">
        <v>282528</v>
      </c>
    </row>
    <row r="2071" spans="1:10" x14ac:dyDescent="0.75">
      <c r="A2071" t="s">
        <v>151</v>
      </c>
      <c r="B2071">
        <v>4711</v>
      </c>
      <c r="C2071" t="s">
        <v>291</v>
      </c>
      <c r="D2071">
        <v>5190</v>
      </c>
      <c r="E2071" t="s">
        <v>462</v>
      </c>
      <c r="F2071" s="4">
        <v>19800</v>
      </c>
      <c r="G2071" s="4">
        <v>0</v>
      </c>
      <c r="H2071" s="4">
        <v>0</v>
      </c>
      <c r="I2071" s="4">
        <v>0</v>
      </c>
      <c r="J2071" s="4">
        <v>19800</v>
      </c>
    </row>
    <row r="2072" spans="1:10" x14ac:dyDescent="0.75">
      <c r="A2072" t="s">
        <v>151</v>
      </c>
      <c r="B2072">
        <v>4711</v>
      </c>
      <c r="C2072" t="s">
        <v>291</v>
      </c>
      <c r="D2072">
        <v>4170</v>
      </c>
      <c r="E2072" t="s">
        <v>424</v>
      </c>
      <c r="F2072" s="4">
        <v>1700</v>
      </c>
      <c r="G2072" s="4">
        <v>0</v>
      </c>
      <c r="H2072" s="4">
        <v>0</v>
      </c>
      <c r="I2072" s="4">
        <v>0</v>
      </c>
      <c r="J2072" s="4">
        <v>1700</v>
      </c>
    </row>
    <row r="2073" spans="1:10" x14ac:dyDescent="0.75">
      <c r="A2073" t="s">
        <v>163</v>
      </c>
      <c r="B2073">
        <v>7711</v>
      </c>
      <c r="C2073" t="s">
        <v>177</v>
      </c>
      <c r="D2073">
        <v>4331</v>
      </c>
      <c r="E2073" t="s">
        <v>390</v>
      </c>
      <c r="F2073" s="4">
        <v>2103143</v>
      </c>
      <c r="G2073" s="4">
        <v>0</v>
      </c>
      <c r="H2073" s="4">
        <v>0</v>
      </c>
      <c r="I2073" s="4">
        <v>0</v>
      </c>
      <c r="J2073" s="4">
        <v>2103143</v>
      </c>
    </row>
    <row r="2074" spans="1:10" x14ac:dyDescent="0.75">
      <c r="A2074" t="s">
        <v>163</v>
      </c>
      <c r="B2074">
        <v>7711</v>
      </c>
      <c r="C2074" t="s">
        <v>177</v>
      </c>
      <c r="D2074">
        <v>2540</v>
      </c>
      <c r="E2074" t="s">
        <v>377</v>
      </c>
      <c r="F2074" s="4">
        <v>1878109</v>
      </c>
      <c r="G2074" s="4">
        <v>0</v>
      </c>
      <c r="H2074" s="4">
        <v>0</v>
      </c>
      <c r="I2074" s="4">
        <v>0</v>
      </c>
      <c r="J2074" s="4">
        <v>1878109</v>
      </c>
    </row>
    <row r="2075" spans="1:10" x14ac:dyDescent="0.75">
      <c r="A2075" t="s">
        <v>163</v>
      </c>
      <c r="B2075">
        <v>7711</v>
      </c>
      <c r="C2075" t="s">
        <v>177</v>
      </c>
      <c r="D2075">
        <v>2330</v>
      </c>
      <c r="E2075" t="s">
        <v>368</v>
      </c>
      <c r="F2075" s="4">
        <v>1167745</v>
      </c>
      <c r="G2075" s="4">
        <v>0</v>
      </c>
      <c r="H2075" s="4">
        <v>0</v>
      </c>
      <c r="I2075" s="4">
        <v>0</v>
      </c>
      <c r="J2075" s="4">
        <v>1167745</v>
      </c>
    </row>
    <row r="2076" spans="1:10" x14ac:dyDescent="0.75">
      <c r="A2076" t="s">
        <v>163</v>
      </c>
      <c r="B2076">
        <v>7711</v>
      </c>
      <c r="C2076" t="s">
        <v>177</v>
      </c>
      <c r="D2076">
        <v>4338</v>
      </c>
      <c r="E2076" t="s">
        <v>509</v>
      </c>
      <c r="F2076" s="4">
        <v>621938</v>
      </c>
      <c r="G2076" s="4">
        <v>0</v>
      </c>
      <c r="H2076" s="4">
        <v>0</v>
      </c>
      <c r="I2076" s="4">
        <v>0</v>
      </c>
      <c r="J2076" s="4">
        <v>621938</v>
      </c>
    </row>
    <row r="2077" spans="1:10" x14ac:dyDescent="0.75">
      <c r="A2077" t="s">
        <v>163</v>
      </c>
      <c r="B2077">
        <v>7711</v>
      </c>
      <c r="C2077" t="s">
        <v>177</v>
      </c>
      <c r="D2077">
        <v>2430</v>
      </c>
      <c r="E2077" t="s">
        <v>376</v>
      </c>
      <c r="F2077" s="4">
        <v>418275</v>
      </c>
      <c r="G2077" s="4">
        <v>0</v>
      </c>
      <c r="H2077" s="4">
        <v>0</v>
      </c>
      <c r="I2077" s="4">
        <v>0</v>
      </c>
      <c r="J2077" s="4">
        <v>418275</v>
      </c>
    </row>
    <row r="2078" spans="1:10" x14ac:dyDescent="0.75">
      <c r="A2078" t="s">
        <v>163</v>
      </c>
      <c r="B2078">
        <v>7711</v>
      </c>
      <c r="C2078" t="s">
        <v>177</v>
      </c>
      <c r="D2078">
        <v>5220</v>
      </c>
      <c r="E2078" t="s">
        <v>401</v>
      </c>
      <c r="F2078" s="4">
        <v>390693</v>
      </c>
      <c r="G2078" s="4">
        <v>0</v>
      </c>
      <c r="H2078" s="4">
        <v>0</v>
      </c>
      <c r="I2078" s="4">
        <v>0</v>
      </c>
      <c r="J2078" s="4">
        <v>390693</v>
      </c>
    </row>
    <row r="2079" spans="1:10" x14ac:dyDescent="0.75">
      <c r="A2079" t="s">
        <v>163</v>
      </c>
      <c r="B2079">
        <v>7711</v>
      </c>
      <c r="C2079" t="s">
        <v>177</v>
      </c>
      <c r="D2079">
        <v>3219</v>
      </c>
      <c r="E2079" t="s">
        <v>378</v>
      </c>
      <c r="F2079" s="4">
        <v>381415</v>
      </c>
      <c r="G2079" s="4">
        <v>0</v>
      </c>
      <c r="H2079" s="4">
        <v>0</v>
      </c>
      <c r="I2079" s="4">
        <v>0</v>
      </c>
      <c r="J2079" s="4">
        <v>381415</v>
      </c>
    </row>
    <row r="2080" spans="1:10" x14ac:dyDescent="0.75">
      <c r="A2080" t="s">
        <v>163</v>
      </c>
      <c r="B2080">
        <v>7711</v>
      </c>
      <c r="C2080" t="s">
        <v>177</v>
      </c>
      <c r="D2080">
        <v>2429</v>
      </c>
      <c r="E2080" t="s">
        <v>375</v>
      </c>
      <c r="F2080" s="4">
        <v>327706</v>
      </c>
      <c r="G2080" s="4">
        <v>0</v>
      </c>
      <c r="H2080" s="4">
        <v>0</v>
      </c>
      <c r="I2080" s="4">
        <v>0</v>
      </c>
      <c r="J2080" s="4">
        <v>327706</v>
      </c>
    </row>
    <row r="2081" spans="1:10" x14ac:dyDescent="0.75">
      <c r="A2081" t="s">
        <v>163</v>
      </c>
      <c r="B2081">
        <v>7711</v>
      </c>
      <c r="C2081" t="s">
        <v>177</v>
      </c>
      <c r="D2081">
        <v>2340</v>
      </c>
      <c r="E2081" t="s">
        <v>369</v>
      </c>
      <c r="F2081" s="4">
        <v>304374</v>
      </c>
      <c r="G2081" s="4">
        <v>0</v>
      </c>
      <c r="H2081" s="4">
        <v>0</v>
      </c>
      <c r="I2081" s="4">
        <v>0</v>
      </c>
      <c r="J2081" s="4">
        <v>304374</v>
      </c>
    </row>
    <row r="2082" spans="1:10" x14ac:dyDescent="0.75">
      <c r="A2082" t="s">
        <v>163</v>
      </c>
      <c r="B2082">
        <v>7711</v>
      </c>
      <c r="C2082" t="s">
        <v>177</v>
      </c>
      <c r="D2082">
        <v>6782</v>
      </c>
      <c r="E2082" t="s">
        <v>396</v>
      </c>
      <c r="F2082" s="4">
        <v>216877</v>
      </c>
      <c r="G2082" s="4">
        <v>0</v>
      </c>
      <c r="H2082" s="4">
        <v>0</v>
      </c>
      <c r="I2082" s="4">
        <v>0</v>
      </c>
      <c r="J2082" s="4">
        <v>216877</v>
      </c>
    </row>
    <row r="2083" spans="1:10" x14ac:dyDescent="0.75">
      <c r="A2083" t="s">
        <v>163</v>
      </c>
      <c r="B2083">
        <v>7711</v>
      </c>
      <c r="C2083" t="s">
        <v>177</v>
      </c>
      <c r="D2083">
        <v>6653</v>
      </c>
      <c r="E2083" t="s">
        <v>395</v>
      </c>
      <c r="F2083" s="4">
        <v>181601</v>
      </c>
      <c r="G2083" s="4">
        <v>0</v>
      </c>
      <c r="H2083" s="4">
        <v>0</v>
      </c>
      <c r="I2083" s="4">
        <v>0</v>
      </c>
      <c r="J2083" s="4">
        <v>181601</v>
      </c>
    </row>
    <row r="2084" spans="1:10" x14ac:dyDescent="0.75">
      <c r="A2084" t="s">
        <v>163</v>
      </c>
      <c r="B2084">
        <v>7711</v>
      </c>
      <c r="C2084" t="s">
        <v>177</v>
      </c>
      <c r="D2084">
        <v>3220</v>
      </c>
      <c r="E2084" t="s">
        <v>370</v>
      </c>
      <c r="F2084" s="4">
        <v>151843</v>
      </c>
      <c r="G2084" s="4">
        <v>0</v>
      </c>
      <c r="H2084" s="4">
        <v>0</v>
      </c>
      <c r="I2084" s="4">
        <v>0</v>
      </c>
      <c r="J2084" s="4">
        <v>151843</v>
      </c>
    </row>
    <row r="2085" spans="1:10" x14ac:dyDescent="0.75">
      <c r="A2085" t="s">
        <v>163</v>
      </c>
      <c r="B2085">
        <v>7711</v>
      </c>
      <c r="C2085" t="s">
        <v>177</v>
      </c>
      <c r="D2085">
        <v>3274</v>
      </c>
      <c r="E2085" t="s">
        <v>438</v>
      </c>
      <c r="F2085" s="4">
        <v>98323</v>
      </c>
      <c r="G2085" s="4">
        <v>0</v>
      </c>
      <c r="H2085" s="4">
        <v>0</v>
      </c>
      <c r="I2085" s="4">
        <v>0</v>
      </c>
      <c r="J2085" s="4">
        <v>98323</v>
      </c>
    </row>
    <row r="2086" spans="1:10" x14ac:dyDescent="0.75">
      <c r="A2086" t="s">
        <v>163</v>
      </c>
      <c r="B2086">
        <v>7711</v>
      </c>
      <c r="C2086" t="s">
        <v>177</v>
      </c>
      <c r="D2086">
        <v>2211</v>
      </c>
      <c r="E2086" t="s">
        <v>367</v>
      </c>
      <c r="F2086" s="4">
        <v>91761</v>
      </c>
      <c r="G2086" s="4">
        <v>0</v>
      </c>
      <c r="H2086" s="4">
        <v>0</v>
      </c>
      <c r="I2086" s="4">
        <v>0</v>
      </c>
      <c r="J2086" s="4">
        <v>91761</v>
      </c>
    </row>
    <row r="2087" spans="1:10" x14ac:dyDescent="0.75">
      <c r="A2087" t="s">
        <v>163</v>
      </c>
      <c r="B2087">
        <v>7711</v>
      </c>
      <c r="C2087" t="s">
        <v>177</v>
      </c>
      <c r="D2087">
        <v>2350</v>
      </c>
      <c r="E2087" t="s">
        <v>404</v>
      </c>
      <c r="F2087" s="4">
        <v>87742</v>
      </c>
      <c r="G2087" s="4">
        <v>0</v>
      </c>
      <c r="H2087" s="4">
        <v>0</v>
      </c>
      <c r="I2087" s="4">
        <v>0</v>
      </c>
      <c r="J2087" s="4">
        <v>87742</v>
      </c>
    </row>
    <row r="2088" spans="1:10" x14ac:dyDescent="0.75">
      <c r="A2088" t="s">
        <v>163</v>
      </c>
      <c r="B2088">
        <v>7711</v>
      </c>
      <c r="C2088" t="s">
        <v>177</v>
      </c>
      <c r="D2088">
        <v>3299</v>
      </c>
      <c r="E2088" t="s">
        <v>448</v>
      </c>
      <c r="F2088" s="4">
        <v>72922</v>
      </c>
      <c r="G2088" s="4">
        <v>0</v>
      </c>
      <c r="H2088" s="4">
        <v>0</v>
      </c>
      <c r="I2088" s="4">
        <v>0</v>
      </c>
      <c r="J2088" s="4">
        <v>72922</v>
      </c>
    </row>
    <row r="2089" spans="1:10" x14ac:dyDescent="0.75">
      <c r="A2089" t="s">
        <v>163</v>
      </c>
      <c r="B2089">
        <v>7711</v>
      </c>
      <c r="C2089" t="s">
        <v>177</v>
      </c>
      <c r="D2089">
        <v>4420</v>
      </c>
      <c r="E2089" t="s">
        <v>381</v>
      </c>
      <c r="F2089" s="4">
        <v>71215</v>
      </c>
      <c r="G2089" s="4">
        <v>0</v>
      </c>
      <c r="H2089" s="4">
        <v>0</v>
      </c>
      <c r="I2089" s="4">
        <v>0</v>
      </c>
      <c r="J2089" s="4">
        <v>71215</v>
      </c>
    </row>
    <row r="2090" spans="1:10" x14ac:dyDescent="0.75">
      <c r="A2090" t="s">
        <v>163</v>
      </c>
      <c r="B2090">
        <v>7711</v>
      </c>
      <c r="C2090" t="s">
        <v>177</v>
      </c>
      <c r="D2090">
        <v>3276</v>
      </c>
      <c r="E2090" t="s">
        <v>379</v>
      </c>
      <c r="F2090" s="4">
        <v>71007</v>
      </c>
      <c r="G2090" s="4">
        <v>0</v>
      </c>
      <c r="H2090" s="4">
        <v>0</v>
      </c>
      <c r="I2090" s="4">
        <v>0</v>
      </c>
      <c r="J2090" s="4">
        <v>71007</v>
      </c>
    </row>
    <row r="2091" spans="1:10" x14ac:dyDescent="0.75">
      <c r="A2091" t="s">
        <v>163</v>
      </c>
      <c r="B2091">
        <v>7711</v>
      </c>
      <c r="C2091" t="s">
        <v>177</v>
      </c>
      <c r="D2091">
        <v>3260</v>
      </c>
      <c r="E2091" t="s">
        <v>436</v>
      </c>
      <c r="F2091" s="4">
        <v>67443</v>
      </c>
      <c r="G2091" s="4">
        <v>0</v>
      </c>
      <c r="H2091" s="4">
        <v>0</v>
      </c>
      <c r="I2091" s="4">
        <v>0</v>
      </c>
      <c r="J2091" s="4">
        <v>67443</v>
      </c>
    </row>
    <row r="2092" spans="1:10" x14ac:dyDescent="0.75">
      <c r="A2092" t="s">
        <v>163</v>
      </c>
      <c r="B2092">
        <v>7711</v>
      </c>
      <c r="C2092" t="s">
        <v>177</v>
      </c>
      <c r="D2092">
        <v>5330</v>
      </c>
      <c r="E2092" t="s">
        <v>385</v>
      </c>
      <c r="F2092" s="4">
        <v>65731</v>
      </c>
      <c r="G2092" s="4">
        <v>0</v>
      </c>
      <c r="H2092" s="4">
        <v>0</v>
      </c>
      <c r="I2092" s="4">
        <v>0</v>
      </c>
      <c r="J2092" s="4">
        <v>65731</v>
      </c>
    </row>
    <row r="2093" spans="1:10" x14ac:dyDescent="0.75">
      <c r="A2093" t="s">
        <v>163</v>
      </c>
      <c r="B2093">
        <v>7711</v>
      </c>
      <c r="C2093" t="s">
        <v>177</v>
      </c>
      <c r="D2093">
        <v>6344</v>
      </c>
      <c r="E2093" t="s">
        <v>392</v>
      </c>
      <c r="F2093" s="4">
        <v>55923</v>
      </c>
      <c r="G2093" s="4">
        <v>0</v>
      </c>
      <c r="H2093" s="4">
        <v>0</v>
      </c>
      <c r="I2093" s="4">
        <v>0</v>
      </c>
      <c r="J2093" s="4">
        <v>55923</v>
      </c>
    </row>
    <row r="2094" spans="1:10" x14ac:dyDescent="0.75">
      <c r="A2094" t="s">
        <v>163</v>
      </c>
      <c r="B2094">
        <v>7711</v>
      </c>
      <c r="C2094" t="s">
        <v>177</v>
      </c>
      <c r="D2094">
        <v>5360</v>
      </c>
      <c r="E2094" t="s">
        <v>465</v>
      </c>
      <c r="F2094" s="4">
        <v>52448</v>
      </c>
      <c r="G2094" s="4">
        <v>0</v>
      </c>
      <c r="H2094" s="4">
        <v>0</v>
      </c>
      <c r="I2094" s="4">
        <v>0</v>
      </c>
      <c r="J2094" s="4">
        <v>52448</v>
      </c>
    </row>
    <row r="2095" spans="1:10" x14ac:dyDescent="0.75">
      <c r="A2095" t="s">
        <v>163</v>
      </c>
      <c r="B2095">
        <v>7711</v>
      </c>
      <c r="C2095" t="s">
        <v>177</v>
      </c>
      <c r="D2095">
        <v>5312</v>
      </c>
      <c r="E2095" t="s">
        <v>416</v>
      </c>
      <c r="F2095" s="4">
        <v>47857</v>
      </c>
      <c r="G2095" s="4">
        <v>0</v>
      </c>
      <c r="H2095" s="4">
        <v>0</v>
      </c>
      <c r="I2095" s="4">
        <v>0</v>
      </c>
      <c r="J2095" s="4">
        <v>47857</v>
      </c>
    </row>
    <row r="2096" spans="1:10" x14ac:dyDescent="0.75">
      <c r="A2096" t="s">
        <v>163</v>
      </c>
      <c r="B2096">
        <v>7711</v>
      </c>
      <c r="C2096" t="s">
        <v>177</v>
      </c>
      <c r="D2096">
        <v>3212</v>
      </c>
      <c r="E2096" t="s">
        <v>409</v>
      </c>
      <c r="F2096" s="4">
        <v>44264</v>
      </c>
      <c r="G2096" s="4">
        <v>0</v>
      </c>
      <c r="H2096" s="4">
        <v>0</v>
      </c>
      <c r="I2096" s="4">
        <v>0</v>
      </c>
      <c r="J2096" s="4">
        <v>44264</v>
      </c>
    </row>
    <row r="2097" spans="1:10" x14ac:dyDescent="0.75">
      <c r="A2097" t="s">
        <v>163</v>
      </c>
      <c r="B2097">
        <v>7711</v>
      </c>
      <c r="C2097" t="s">
        <v>177</v>
      </c>
      <c r="D2097">
        <v>3110</v>
      </c>
      <c r="E2097" t="s">
        <v>405</v>
      </c>
      <c r="F2097" s="4">
        <v>30029</v>
      </c>
      <c r="G2097" s="4">
        <v>0</v>
      </c>
      <c r="H2097" s="4">
        <v>0</v>
      </c>
      <c r="I2097" s="4">
        <v>0</v>
      </c>
      <c r="J2097" s="4">
        <v>30029</v>
      </c>
    </row>
    <row r="2098" spans="1:10" x14ac:dyDescent="0.75">
      <c r="A2098" t="s">
        <v>163</v>
      </c>
      <c r="B2098">
        <v>7711</v>
      </c>
      <c r="C2098" t="s">
        <v>177</v>
      </c>
      <c r="D2098">
        <v>4161</v>
      </c>
      <c r="E2098" t="s">
        <v>421</v>
      </c>
      <c r="F2098" s="4">
        <v>25564</v>
      </c>
      <c r="G2098" s="4">
        <v>0</v>
      </c>
      <c r="H2098" s="4">
        <v>0</v>
      </c>
      <c r="I2098" s="4">
        <v>0</v>
      </c>
      <c r="J2098" s="4">
        <v>25564</v>
      </c>
    </row>
    <row r="2099" spans="1:10" x14ac:dyDescent="0.75">
      <c r="A2099" t="s">
        <v>163</v>
      </c>
      <c r="B2099">
        <v>7711</v>
      </c>
      <c r="C2099" t="s">
        <v>177</v>
      </c>
      <c r="D2099">
        <v>2990</v>
      </c>
      <c r="E2099" t="s">
        <v>432</v>
      </c>
      <c r="F2099" s="4">
        <v>21342</v>
      </c>
      <c r="G2099" s="4">
        <v>0</v>
      </c>
      <c r="H2099" s="4">
        <v>0</v>
      </c>
      <c r="I2099" s="4">
        <v>0</v>
      </c>
      <c r="J2099" s="4">
        <v>21342</v>
      </c>
    </row>
    <row r="2100" spans="1:10" x14ac:dyDescent="0.75">
      <c r="A2100" t="s">
        <v>163</v>
      </c>
      <c r="B2100">
        <v>7711</v>
      </c>
      <c r="C2100" t="s">
        <v>177</v>
      </c>
      <c r="D2100">
        <v>4783</v>
      </c>
      <c r="E2100" t="s">
        <v>382</v>
      </c>
      <c r="F2100" s="4">
        <v>13957</v>
      </c>
      <c r="G2100" s="4">
        <v>0</v>
      </c>
      <c r="H2100" s="4">
        <v>0</v>
      </c>
      <c r="I2100" s="4">
        <v>0</v>
      </c>
      <c r="J2100" s="4">
        <v>13957</v>
      </c>
    </row>
    <row r="2101" spans="1:10" x14ac:dyDescent="0.75">
      <c r="A2101" t="s">
        <v>163</v>
      </c>
      <c r="B2101">
        <v>7711</v>
      </c>
      <c r="C2101" t="s">
        <v>177</v>
      </c>
      <c r="D2101">
        <v>2100</v>
      </c>
      <c r="E2101" t="s">
        <v>403</v>
      </c>
      <c r="F2101" s="4">
        <v>12632</v>
      </c>
      <c r="G2101" s="4">
        <v>0</v>
      </c>
      <c r="H2101" s="4">
        <v>0</v>
      </c>
      <c r="I2101" s="4">
        <v>0</v>
      </c>
      <c r="J2101" s="4">
        <v>12632</v>
      </c>
    </row>
    <row r="2102" spans="1:10" x14ac:dyDescent="0.75">
      <c r="A2102" t="s">
        <v>163</v>
      </c>
      <c r="B2102">
        <v>7711</v>
      </c>
      <c r="C2102" t="s">
        <v>177</v>
      </c>
      <c r="D2102">
        <v>6522</v>
      </c>
      <c r="E2102" t="s">
        <v>393</v>
      </c>
      <c r="F2102" s="4">
        <v>12034</v>
      </c>
      <c r="G2102" s="4">
        <v>0</v>
      </c>
      <c r="H2102" s="4">
        <v>0</v>
      </c>
      <c r="I2102" s="4">
        <v>0</v>
      </c>
      <c r="J2102" s="4">
        <v>12034</v>
      </c>
    </row>
    <row r="2103" spans="1:10" x14ac:dyDescent="0.75">
      <c r="A2103" t="s">
        <v>163</v>
      </c>
      <c r="B2103">
        <v>7711</v>
      </c>
      <c r="C2103" t="s">
        <v>177</v>
      </c>
      <c r="D2103">
        <v>1200</v>
      </c>
      <c r="E2103" t="s">
        <v>402</v>
      </c>
      <c r="F2103" s="4">
        <v>10775</v>
      </c>
      <c r="G2103" s="4">
        <v>0</v>
      </c>
      <c r="H2103" s="4">
        <v>0</v>
      </c>
      <c r="I2103" s="4">
        <v>0</v>
      </c>
      <c r="J2103" s="4">
        <v>10775</v>
      </c>
    </row>
    <row r="2104" spans="1:10" x14ac:dyDescent="0.75">
      <c r="A2104" t="s">
        <v>163</v>
      </c>
      <c r="B2104">
        <v>7711</v>
      </c>
      <c r="C2104" t="s">
        <v>177</v>
      </c>
      <c r="D2104">
        <v>5480</v>
      </c>
      <c r="E2104" t="s">
        <v>386</v>
      </c>
      <c r="F2104" s="4">
        <v>10628</v>
      </c>
      <c r="G2104" s="4">
        <v>0</v>
      </c>
      <c r="H2104" s="4">
        <v>0</v>
      </c>
      <c r="I2104" s="4">
        <v>0</v>
      </c>
      <c r="J2104" s="4">
        <v>10628</v>
      </c>
    </row>
    <row r="2105" spans="1:10" x14ac:dyDescent="0.75">
      <c r="A2105" t="s">
        <v>163</v>
      </c>
      <c r="B2105">
        <v>7711</v>
      </c>
      <c r="C2105" t="s">
        <v>177</v>
      </c>
      <c r="D2105">
        <v>3230</v>
      </c>
      <c r="E2105" t="s">
        <v>434</v>
      </c>
      <c r="F2105" s="4">
        <v>10593</v>
      </c>
      <c r="G2105" s="4">
        <v>0</v>
      </c>
      <c r="H2105" s="4">
        <v>0</v>
      </c>
      <c r="I2105" s="4">
        <v>0</v>
      </c>
      <c r="J2105" s="4">
        <v>10593</v>
      </c>
    </row>
    <row r="2106" spans="1:10" x14ac:dyDescent="0.75">
      <c r="A2106" t="s">
        <v>163</v>
      </c>
      <c r="B2106">
        <v>7711</v>
      </c>
      <c r="C2106" t="s">
        <v>177</v>
      </c>
      <c r="D2106">
        <v>7600</v>
      </c>
      <c r="E2106" t="s">
        <v>503</v>
      </c>
      <c r="F2106" s="4">
        <v>10351</v>
      </c>
      <c r="G2106" s="4">
        <v>0</v>
      </c>
      <c r="H2106" s="4">
        <v>0</v>
      </c>
      <c r="I2106" s="4">
        <v>0</v>
      </c>
      <c r="J2106" s="4">
        <v>10351</v>
      </c>
    </row>
    <row r="2107" spans="1:10" x14ac:dyDescent="0.75">
      <c r="A2107" t="s">
        <v>163</v>
      </c>
      <c r="B2107">
        <v>7711</v>
      </c>
      <c r="C2107" t="s">
        <v>177</v>
      </c>
      <c r="D2107">
        <v>3279</v>
      </c>
      <c r="E2107" t="s">
        <v>422</v>
      </c>
      <c r="F2107" s="4">
        <v>6159</v>
      </c>
      <c r="G2107" s="4">
        <v>0</v>
      </c>
      <c r="H2107" s="4">
        <v>0</v>
      </c>
      <c r="I2107" s="4">
        <v>0</v>
      </c>
      <c r="J2107" s="4">
        <v>6159</v>
      </c>
    </row>
    <row r="2108" spans="1:10" x14ac:dyDescent="0.75">
      <c r="A2108" t="s">
        <v>163</v>
      </c>
      <c r="B2108">
        <v>7711</v>
      </c>
      <c r="C2108" t="s">
        <v>177</v>
      </c>
      <c r="D2108">
        <v>4782</v>
      </c>
      <c r="E2108" t="s">
        <v>414</v>
      </c>
      <c r="F2108" s="4">
        <v>4695</v>
      </c>
      <c r="G2108" s="4">
        <v>0</v>
      </c>
      <c r="H2108" s="4">
        <v>0</v>
      </c>
      <c r="I2108" s="4">
        <v>0</v>
      </c>
      <c r="J2108" s="4">
        <v>4695</v>
      </c>
    </row>
    <row r="2109" spans="1:10" x14ac:dyDescent="0.75">
      <c r="A2109" t="s">
        <v>163</v>
      </c>
      <c r="B2109">
        <v>7711</v>
      </c>
      <c r="C2109" t="s">
        <v>177</v>
      </c>
      <c r="D2109">
        <v>4335</v>
      </c>
      <c r="E2109" t="s">
        <v>372</v>
      </c>
      <c r="F2109" s="4">
        <v>4527</v>
      </c>
      <c r="G2109" s="4">
        <v>0</v>
      </c>
      <c r="H2109" s="4">
        <v>0</v>
      </c>
      <c r="I2109" s="4">
        <v>0</v>
      </c>
      <c r="J2109" s="4">
        <v>4527</v>
      </c>
    </row>
    <row r="2110" spans="1:10" x14ac:dyDescent="0.75">
      <c r="A2110" t="s">
        <v>163</v>
      </c>
      <c r="B2110">
        <v>7711</v>
      </c>
      <c r="C2110" t="s">
        <v>177</v>
      </c>
      <c r="D2110">
        <v>4860</v>
      </c>
      <c r="E2110" t="s">
        <v>400</v>
      </c>
      <c r="F2110" s="4">
        <v>3157</v>
      </c>
      <c r="G2110" s="4">
        <v>0</v>
      </c>
      <c r="H2110" s="4">
        <v>0</v>
      </c>
      <c r="I2110" s="4">
        <v>0</v>
      </c>
      <c r="J2110" s="4">
        <v>3157</v>
      </c>
    </row>
    <row r="2111" spans="1:10" x14ac:dyDescent="0.75">
      <c r="A2111" t="s">
        <v>163</v>
      </c>
      <c r="B2111">
        <v>7711</v>
      </c>
      <c r="C2111" t="s">
        <v>177</v>
      </c>
      <c r="D2111">
        <v>5315</v>
      </c>
      <c r="E2111" t="s">
        <v>417</v>
      </c>
      <c r="F2111" s="4">
        <v>1653</v>
      </c>
      <c r="G2111" s="4">
        <v>0</v>
      </c>
      <c r="H2111" s="4">
        <v>0</v>
      </c>
      <c r="I2111" s="4">
        <v>0</v>
      </c>
      <c r="J2111" s="4">
        <v>1653</v>
      </c>
    </row>
    <row r="2112" spans="1:10" x14ac:dyDescent="0.75">
      <c r="A2112" t="s">
        <v>163</v>
      </c>
      <c r="B2112">
        <v>7711</v>
      </c>
      <c r="C2112" t="s">
        <v>177</v>
      </c>
      <c r="D2112">
        <v>4322</v>
      </c>
      <c r="E2112" t="s">
        <v>398</v>
      </c>
      <c r="F2112" s="4">
        <v>1652</v>
      </c>
      <c r="G2112" s="4">
        <v>0</v>
      </c>
      <c r="H2112" s="4">
        <v>0</v>
      </c>
      <c r="I2112" s="4">
        <v>0</v>
      </c>
      <c r="J2112" s="4">
        <v>1652</v>
      </c>
    </row>
    <row r="2113" spans="1:10" x14ac:dyDescent="0.75">
      <c r="A2113" t="s">
        <v>163</v>
      </c>
      <c r="B2113">
        <v>7711</v>
      </c>
      <c r="C2113" t="s">
        <v>177</v>
      </c>
      <c r="D2113">
        <v>5370</v>
      </c>
      <c r="E2113" t="s">
        <v>466</v>
      </c>
      <c r="F2113" s="4">
        <v>1477</v>
      </c>
      <c r="G2113" s="4">
        <v>0</v>
      </c>
      <c r="H2113" s="4">
        <v>0</v>
      </c>
      <c r="I2113" s="4">
        <v>0</v>
      </c>
      <c r="J2113" s="4">
        <v>1477</v>
      </c>
    </row>
    <row r="2114" spans="1:10" x14ac:dyDescent="0.75">
      <c r="A2114" t="s">
        <v>151</v>
      </c>
      <c r="B2114">
        <v>4823</v>
      </c>
      <c r="C2114" t="s">
        <v>48</v>
      </c>
      <c r="D2114">
        <v>7900</v>
      </c>
      <c r="E2114" t="s">
        <v>388</v>
      </c>
      <c r="F2114" s="4">
        <v>234721</v>
      </c>
      <c r="G2114" s="4">
        <v>0</v>
      </c>
      <c r="H2114" s="4">
        <v>0</v>
      </c>
      <c r="I2114" s="4">
        <v>0</v>
      </c>
      <c r="J2114" s="4">
        <v>234721</v>
      </c>
    </row>
    <row r="2115" spans="1:10" x14ac:dyDescent="0.75">
      <c r="A2115" t="s">
        <v>151</v>
      </c>
      <c r="B2115">
        <v>4823</v>
      </c>
      <c r="C2115" t="s">
        <v>48</v>
      </c>
      <c r="D2115">
        <v>4331</v>
      </c>
      <c r="E2115" t="s">
        <v>390</v>
      </c>
      <c r="F2115" s="4">
        <v>221119</v>
      </c>
      <c r="G2115" s="4">
        <v>0</v>
      </c>
      <c r="H2115" s="4">
        <v>0</v>
      </c>
      <c r="I2115" s="4">
        <v>0</v>
      </c>
      <c r="J2115" s="4">
        <v>221119</v>
      </c>
    </row>
    <row r="2116" spans="1:10" x14ac:dyDescent="0.75">
      <c r="A2116" t="s">
        <v>151</v>
      </c>
      <c r="B2116">
        <v>4823</v>
      </c>
      <c r="C2116" t="s">
        <v>48</v>
      </c>
      <c r="D2116">
        <v>6887</v>
      </c>
      <c r="E2116" t="s">
        <v>505</v>
      </c>
      <c r="F2116" s="4">
        <v>65447</v>
      </c>
      <c r="G2116" s="4">
        <v>0</v>
      </c>
      <c r="H2116" s="4">
        <v>0</v>
      </c>
      <c r="I2116" s="4">
        <v>0</v>
      </c>
      <c r="J2116" s="4">
        <v>65447</v>
      </c>
    </row>
    <row r="2117" spans="1:10" x14ac:dyDescent="0.75">
      <c r="A2117" t="s">
        <v>151</v>
      </c>
      <c r="B2117">
        <v>4823</v>
      </c>
      <c r="C2117" t="s">
        <v>48</v>
      </c>
      <c r="D2117">
        <v>4690</v>
      </c>
      <c r="E2117" t="s">
        <v>428</v>
      </c>
      <c r="F2117" s="4">
        <v>0</v>
      </c>
      <c r="G2117" s="4">
        <v>56331</v>
      </c>
      <c r="H2117" s="4">
        <v>0</v>
      </c>
      <c r="I2117" s="4">
        <v>56331</v>
      </c>
      <c r="J2117" s="4">
        <v>56331</v>
      </c>
    </row>
    <row r="2118" spans="1:10" x14ac:dyDescent="0.75">
      <c r="A2118" t="s">
        <v>151</v>
      </c>
      <c r="B2118">
        <v>4823</v>
      </c>
      <c r="C2118" t="s">
        <v>48</v>
      </c>
      <c r="D2118">
        <v>6889</v>
      </c>
      <c r="E2118" t="s">
        <v>420</v>
      </c>
      <c r="F2118" s="4">
        <v>24286</v>
      </c>
      <c r="G2118" s="4">
        <v>0</v>
      </c>
      <c r="H2118" s="4">
        <v>0</v>
      </c>
      <c r="I2118" s="4">
        <v>0</v>
      </c>
      <c r="J2118" s="4">
        <v>24286</v>
      </c>
    </row>
    <row r="2119" spans="1:10" x14ac:dyDescent="0.75">
      <c r="A2119" t="s">
        <v>151</v>
      </c>
      <c r="B2119">
        <v>4823</v>
      </c>
      <c r="C2119" t="s">
        <v>48</v>
      </c>
      <c r="D2119">
        <v>2430</v>
      </c>
      <c r="E2119" t="s">
        <v>376</v>
      </c>
      <c r="F2119" s="4">
        <v>24259</v>
      </c>
      <c r="G2119" s="4">
        <v>0</v>
      </c>
      <c r="H2119" s="4">
        <v>0</v>
      </c>
      <c r="I2119" s="4">
        <v>0</v>
      </c>
      <c r="J2119" s="4">
        <v>24259</v>
      </c>
    </row>
    <row r="2120" spans="1:10" x14ac:dyDescent="0.75">
      <c r="A2120" t="s">
        <v>151</v>
      </c>
      <c r="B2120">
        <v>4823</v>
      </c>
      <c r="C2120" t="s">
        <v>48</v>
      </c>
      <c r="D2120">
        <v>2211</v>
      </c>
      <c r="E2120" t="s">
        <v>367</v>
      </c>
      <c r="F2120" s="4">
        <v>12211</v>
      </c>
      <c r="G2120" s="4">
        <v>11700</v>
      </c>
      <c r="H2120" s="4">
        <v>11700</v>
      </c>
      <c r="I2120" s="4">
        <v>0</v>
      </c>
      <c r="J2120" s="4">
        <v>23911</v>
      </c>
    </row>
    <row r="2121" spans="1:10" x14ac:dyDescent="0.75">
      <c r="A2121" t="s">
        <v>151</v>
      </c>
      <c r="B2121">
        <v>4823</v>
      </c>
      <c r="C2121" t="s">
        <v>48</v>
      </c>
      <c r="D2121">
        <v>7400</v>
      </c>
      <c r="E2121" t="s">
        <v>502</v>
      </c>
      <c r="F2121" s="4">
        <v>20863</v>
      </c>
      <c r="G2121" s="4">
        <v>0</v>
      </c>
      <c r="H2121" s="4">
        <v>0</v>
      </c>
      <c r="I2121" s="4">
        <v>0</v>
      </c>
      <c r="J2121" s="4">
        <v>20863</v>
      </c>
    </row>
    <row r="2122" spans="1:10" x14ac:dyDescent="0.75">
      <c r="A2122" t="s">
        <v>151</v>
      </c>
      <c r="B2122">
        <v>4823</v>
      </c>
      <c r="C2122" t="s">
        <v>48</v>
      </c>
      <c r="D2122">
        <v>5360</v>
      </c>
      <c r="E2122" t="s">
        <v>465</v>
      </c>
      <c r="F2122" s="4">
        <v>19016</v>
      </c>
      <c r="G2122" s="4">
        <v>0</v>
      </c>
      <c r="H2122" s="4">
        <v>0</v>
      </c>
      <c r="I2122" s="4">
        <v>0</v>
      </c>
      <c r="J2122" s="4">
        <v>19016</v>
      </c>
    </row>
    <row r="2123" spans="1:10" x14ac:dyDescent="0.75">
      <c r="A2123" t="s">
        <v>151</v>
      </c>
      <c r="B2123">
        <v>4823</v>
      </c>
      <c r="C2123" t="s">
        <v>48</v>
      </c>
      <c r="D2123">
        <v>7210</v>
      </c>
      <c r="E2123" t="s">
        <v>426</v>
      </c>
      <c r="F2123" s="4">
        <v>16316</v>
      </c>
      <c r="G2123" s="4">
        <v>0</v>
      </c>
      <c r="H2123" s="4">
        <v>0</v>
      </c>
      <c r="I2123" s="4">
        <v>0</v>
      </c>
      <c r="J2123" s="4">
        <v>16316</v>
      </c>
    </row>
    <row r="2124" spans="1:10" x14ac:dyDescent="0.75">
      <c r="A2124" t="s">
        <v>151</v>
      </c>
      <c r="B2124">
        <v>4823</v>
      </c>
      <c r="C2124" t="s">
        <v>48</v>
      </c>
      <c r="D2124">
        <v>6885</v>
      </c>
      <c r="E2124" t="s">
        <v>493</v>
      </c>
      <c r="F2124" s="4">
        <v>15483</v>
      </c>
      <c r="G2124" s="4">
        <v>0</v>
      </c>
      <c r="H2124" s="4">
        <v>0</v>
      </c>
      <c r="I2124" s="4">
        <v>0</v>
      </c>
      <c r="J2124" s="4">
        <v>15483</v>
      </c>
    </row>
    <row r="2125" spans="1:10" x14ac:dyDescent="0.75">
      <c r="A2125" t="s">
        <v>151</v>
      </c>
      <c r="B2125">
        <v>4823</v>
      </c>
      <c r="C2125" t="s">
        <v>48</v>
      </c>
      <c r="D2125">
        <v>7110</v>
      </c>
      <c r="E2125" t="s">
        <v>371</v>
      </c>
      <c r="F2125" s="4">
        <v>14582</v>
      </c>
      <c r="G2125" s="4">
        <v>0</v>
      </c>
      <c r="H2125" s="4">
        <v>0</v>
      </c>
      <c r="I2125" s="4">
        <v>0</v>
      </c>
      <c r="J2125" s="4">
        <v>14582</v>
      </c>
    </row>
    <row r="2126" spans="1:10" x14ac:dyDescent="0.75">
      <c r="A2126" t="s">
        <v>151</v>
      </c>
      <c r="B2126">
        <v>4823</v>
      </c>
      <c r="C2126" t="s">
        <v>48</v>
      </c>
      <c r="D2126">
        <v>3299</v>
      </c>
      <c r="E2126" t="s">
        <v>448</v>
      </c>
      <c r="F2126" s="4">
        <v>13617</v>
      </c>
      <c r="G2126" s="4">
        <v>0</v>
      </c>
      <c r="H2126" s="4">
        <v>0</v>
      </c>
      <c r="I2126" s="4">
        <v>0</v>
      </c>
      <c r="J2126" s="4">
        <v>13617</v>
      </c>
    </row>
    <row r="2127" spans="1:10" x14ac:dyDescent="0.75">
      <c r="A2127" t="s">
        <v>151</v>
      </c>
      <c r="B2127">
        <v>4823</v>
      </c>
      <c r="C2127" t="s">
        <v>48</v>
      </c>
      <c r="D2127">
        <v>4783</v>
      </c>
      <c r="E2127" t="s">
        <v>382</v>
      </c>
      <c r="F2127" s="4">
        <v>13175</v>
      </c>
      <c r="G2127" s="4">
        <v>0</v>
      </c>
      <c r="H2127" s="4">
        <v>0</v>
      </c>
      <c r="I2127" s="4">
        <v>0</v>
      </c>
      <c r="J2127" s="4">
        <v>13175</v>
      </c>
    </row>
    <row r="2128" spans="1:10" x14ac:dyDescent="0.75">
      <c r="A2128" t="s">
        <v>151</v>
      </c>
      <c r="B2128">
        <v>4823</v>
      </c>
      <c r="C2128" t="s">
        <v>48</v>
      </c>
      <c r="D2128">
        <v>2330</v>
      </c>
      <c r="E2128" t="s">
        <v>368</v>
      </c>
      <c r="F2128" s="4">
        <v>3396</v>
      </c>
      <c r="G2128" s="4">
        <v>7605</v>
      </c>
      <c r="H2128" s="4">
        <v>7605</v>
      </c>
      <c r="I2128" s="4">
        <v>0</v>
      </c>
      <c r="J2128" s="4">
        <v>11001</v>
      </c>
    </row>
    <row r="2129" spans="1:10" x14ac:dyDescent="0.75">
      <c r="A2129" t="s">
        <v>151</v>
      </c>
      <c r="B2129">
        <v>4823</v>
      </c>
      <c r="C2129" t="s">
        <v>48</v>
      </c>
      <c r="D2129">
        <v>3293</v>
      </c>
      <c r="E2129" t="s">
        <v>445</v>
      </c>
      <c r="F2129" s="4">
        <v>10095</v>
      </c>
      <c r="G2129" s="4">
        <v>0</v>
      </c>
      <c r="H2129" s="4">
        <v>0</v>
      </c>
      <c r="I2129" s="4">
        <v>0</v>
      </c>
      <c r="J2129" s="4">
        <v>10095</v>
      </c>
    </row>
    <row r="2130" spans="1:10" x14ac:dyDescent="0.75">
      <c r="A2130" t="s">
        <v>151</v>
      </c>
      <c r="B2130">
        <v>4823</v>
      </c>
      <c r="C2130" t="s">
        <v>48</v>
      </c>
      <c r="D2130">
        <v>4189</v>
      </c>
      <c r="E2130" t="s">
        <v>451</v>
      </c>
      <c r="F2130" s="4">
        <v>9412</v>
      </c>
      <c r="G2130" s="4">
        <v>0</v>
      </c>
      <c r="H2130" s="4">
        <v>0</v>
      </c>
      <c r="I2130" s="4">
        <v>0</v>
      </c>
      <c r="J2130" s="4">
        <v>9412</v>
      </c>
    </row>
    <row r="2131" spans="1:10" x14ac:dyDescent="0.75">
      <c r="A2131" t="s">
        <v>151</v>
      </c>
      <c r="B2131">
        <v>4823</v>
      </c>
      <c r="C2131" t="s">
        <v>48</v>
      </c>
      <c r="D2131">
        <v>2990</v>
      </c>
      <c r="E2131" t="s">
        <v>432</v>
      </c>
      <c r="F2131" s="4">
        <v>8092</v>
      </c>
      <c r="G2131" s="4">
        <v>0</v>
      </c>
      <c r="H2131" s="4">
        <v>0</v>
      </c>
      <c r="I2131" s="4">
        <v>0</v>
      </c>
      <c r="J2131" s="4">
        <v>8092</v>
      </c>
    </row>
    <row r="2132" spans="1:10" x14ac:dyDescent="0.75">
      <c r="A2132" t="s">
        <v>151</v>
      </c>
      <c r="B2132">
        <v>4823</v>
      </c>
      <c r="C2132" t="s">
        <v>48</v>
      </c>
      <c r="D2132">
        <v>8900</v>
      </c>
      <c r="E2132" t="s">
        <v>506</v>
      </c>
      <c r="F2132" s="4">
        <v>5862</v>
      </c>
      <c r="G2132" s="4">
        <v>0</v>
      </c>
      <c r="H2132" s="4">
        <v>0</v>
      </c>
      <c r="I2132" s="4">
        <v>0</v>
      </c>
      <c r="J2132" s="4">
        <v>5862</v>
      </c>
    </row>
    <row r="2133" spans="1:10" x14ac:dyDescent="0.75">
      <c r="A2133" t="s">
        <v>151</v>
      </c>
      <c r="B2133">
        <v>4823</v>
      </c>
      <c r="C2133" t="s">
        <v>48</v>
      </c>
      <c r="D2133">
        <v>6134</v>
      </c>
      <c r="E2133" t="s">
        <v>470</v>
      </c>
      <c r="F2133" s="4">
        <v>5684</v>
      </c>
      <c r="G2133" s="4">
        <v>24</v>
      </c>
      <c r="H2133" s="4">
        <v>24</v>
      </c>
      <c r="I2133" s="4">
        <v>0</v>
      </c>
      <c r="J2133" s="4">
        <v>5708</v>
      </c>
    </row>
    <row r="2134" spans="1:10" x14ac:dyDescent="0.75">
      <c r="A2134" t="s">
        <v>151</v>
      </c>
      <c r="B2134">
        <v>4823</v>
      </c>
      <c r="C2134" t="s">
        <v>48</v>
      </c>
      <c r="D2134">
        <v>2221</v>
      </c>
      <c r="E2134" t="s">
        <v>374</v>
      </c>
      <c r="F2134" s="4">
        <v>630</v>
      </c>
      <c r="G2134" s="4">
        <v>4755</v>
      </c>
      <c r="H2134" s="4">
        <v>4755</v>
      </c>
      <c r="I2134" s="4">
        <v>0</v>
      </c>
      <c r="J2134" s="4">
        <v>5385</v>
      </c>
    </row>
    <row r="2135" spans="1:10" x14ac:dyDescent="0.75">
      <c r="A2135" t="s">
        <v>151</v>
      </c>
      <c r="B2135">
        <v>4823</v>
      </c>
      <c r="C2135" t="s">
        <v>48</v>
      </c>
      <c r="D2135">
        <v>6782</v>
      </c>
      <c r="E2135" t="s">
        <v>396</v>
      </c>
      <c r="F2135" s="4">
        <v>4731</v>
      </c>
      <c r="G2135" s="4">
        <v>0</v>
      </c>
      <c r="H2135" s="4">
        <v>0</v>
      </c>
      <c r="I2135" s="4">
        <v>0</v>
      </c>
      <c r="J2135" s="4">
        <v>4731</v>
      </c>
    </row>
    <row r="2136" spans="1:10" x14ac:dyDescent="0.75">
      <c r="A2136" t="s">
        <v>151</v>
      </c>
      <c r="B2136">
        <v>4823</v>
      </c>
      <c r="C2136" t="s">
        <v>48</v>
      </c>
      <c r="D2136">
        <v>5480</v>
      </c>
      <c r="E2136" t="s">
        <v>386</v>
      </c>
      <c r="F2136" s="4">
        <v>4440</v>
      </c>
      <c r="G2136" s="4">
        <v>0</v>
      </c>
      <c r="H2136" s="4">
        <v>0</v>
      </c>
      <c r="I2136" s="4">
        <v>0</v>
      </c>
      <c r="J2136" s="4">
        <v>4440</v>
      </c>
    </row>
    <row r="2137" spans="1:10" x14ac:dyDescent="0.75">
      <c r="A2137" t="s">
        <v>151</v>
      </c>
      <c r="B2137">
        <v>4823</v>
      </c>
      <c r="C2137" t="s">
        <v>48</v>
      </c>
      <c r="D2137">
        <v>5290</v>
      </c>
      <c r="E2137" t="s">
        <v>415</v>
      </c>
      <c r="F2137" s="4">
        <v>3906</v>
      </c>
      <c r="G2137" s="4">
        <v>0</v>
      </c>
      <c r="H2137" s="4">
        <v>0</v>
      </c>
      <c r="I2137" s="4">
        <v>0</v>
      </c>
      <c r="J2137" s="4">
        <v>3906</v>
      </c>
    </row>
    <row r="2138" spans="1:10" x14ac:dyDescent="0.75">
      <c r="A2138" t="s">
        <v>151</v>
      </c>
      <c r="B2138">
        <v>4823</v>
      </c>
      <c r="C2138" t="s">
        <v>48</v>
      </c>
      <c r="D2138">
        <v>7120</v>
      </c>
      <c r="E2138" t="s">
        <v>499</v>
      </c>
      <c r="F2138" s="4">
        <v>3843</v>
      </c>
      <c r="G2138" s="4">
        <v>0</v>
      </c>
      <c r="H2138" s="4">
        <v>0</v>
      </c>
      <c r="I2138" s="4">
        <v>0</v>
      </c>
      <c r="J2138" s="4">
        <v>3843</v>
      </c>
    </row>
    <row r="2139" spans="1:10" x14ac:dyDescent="0.75">
      <c r="A2139" t="s">
        <v>151</v>
      </c>
      <c r="B2139">
        <v>4823</v>
      </c>
      <c r="C2139" t="s">
        <v>48</v>
      </c>
      <c r="D2139">
        <v>5190</v>
      </c>
      <c r="E2139" t="s">
        <v>462</v>
      </c>
      <c r="F2139" s="4">
        <v>3703</v>
      </c>
      <c r="G2139" s="4">
        <v>0</v>
      </c>
      <c r="H2139" s="4">
        <v>0</v>
      </c>
      <c r="I2139" s="4">
        <v>0</v>
      </c>
      <c r="J2139" s="4">
        <v>3703</v>
      </c>
    </row>
    <row r="2140" spans="1:10" x14ac:dyDescent="0.75">
      <c r="A2140" t="s">
        <v>151</v>
      </c>
      <c r="B2140">
        <v>4823</v>
      </c>
      <c r="C2140" t="s">
        <v>48</v>
      </c>
      <c r="D2140">
        <v>4420</v>
      </c>
      <c r="E2140" t="s">
        <v>381</v>
      </c>
      <c r="F2140" s="4">
        <v>3329</v>
      </c>
      <c r="G2140" s="4">
        <v>0</v>
      </c>
      <c r="H2140" s="4">
        <v>0</v>
      </c>
      <c r="I2140" s="4">
        <v>0</v>
      </c>
      <c r="J2140" s="4">
        <v>3329</v>
      </c>
    </row>
    <row r="2141" spans="1:10" x14ac:dyDescent="0.75">
      <c r="A2141" t="s">
        <v>151</v>
      </c>
      <c r="B2141">
        <v>4823</v>
      </c>
      <c r="C2141" t="s">
        <v>48</v>
      </c>
      <c r="D2141">
        <v>5370</v>
      </c>
      <c r="E2141" t="s">
        <v>466</v>
      </c>
      <c r="F2141" s="4">
        <v>2068</v>
      </c>
      <c r="G2141" s="4">
        <v>0</v>
      </c>
      <c r="H2141" s="4">
        <v>0</v>
      </c>
      <c r="I2141" s="4">
        <v>0</v>
      </c>
      <c r="J2141" s="4">
        <v>2068</v>
      </c>
    </row>
    <row r="2142" spans="1:10" x14ac:dyDescent="0.75">
      <c r="A2142" t="s">
        <v>151</v>
      </c>
      <c r="B2142">
        <v>4823</v>
      </c>
      <c r="C2142" t="s">
        <v>48</v>
      </c>
      <c r="D2142">
        <v>4225</v>
      </c>
      <c r="E2142" t="s">
        <v>380</v>
      </c>
      <c r="F2142" s="4">
        <v>1942</v>
      </c>
      <c r="G2142" s="4">
        <v>0</v>
      </c>
      <c r="H2142" s="4">
        <v>0</v>
      </c>
      <c r="I2142" s="4">
        <v>0</v>
      </c>
      <c r="J2142" s="4">
        <v>1942</v>
      </c>
    </row>
    <row r="2143" spans="1:10" x14ac:dyDescent="0.75">
      <c r="A2143" t="s">
        <v>151</v>
      </c>
      <c r="B2143">
        <v>4823</v>
      </c>
      <c r="C2143" t="s">
        <v>48</v>
      </c>
      <c r="D2143">
        <v>3282</v>
      </c>
      <c r="E2143" t="s">
        <v>440</v>
      </c>
      <c r="F2143" s="4">
        <v>1409</v>
      </c>
      <c r="G2143" s="4">
        <v>0</v>
      </c>
      <c r="H2143" s="4">
        <v>0</v>
      </c>
      <c r="I2143" s="4">
        <v>0</v>
      </c>
      <c r="J2143" s="4">
        <v>1409</v>
      </c>
    </row>
    <row r="2144" spans="1:10" x14ac:dyDescent="0.75">
      <c r="A2144" t="s">
        <v>151</v>
      </c>
      <c r="B2144">
        <v>4823</v>
      </c>
      <c r="C2144" t="s">
        <v>48</v>
      </c>
      <c r="D2144">
        <v>7500</v>
      </c>
      <c r="E2144" t="s">
        <v>427</v>
      </c>
      <c r="F2144" s="4">
        <v>1363</v>
      </c>
      <c r="G2144" s="4">
        <v>0</v>
      </c>
      <c r="H2144" s="4">
        <v>0</v>
      </c>
      <c r="I2144" s="4">
        <v>0</v>
      </c>
      <c r="J2144" s="4">
        <v>1363</v>
      </c>
    </row>
    <row r="2145" spans="1:10" x14ac:dyDescent="0.75">
      <c r="A2145" t="s">
        <v>151</v>
      </c>
      <c r="B2145">
        <v>4823</v>
      </c>
      <c r="C2145" t="s">
        <v>48</v>
      </c>
      <c r="D2145">
        <v>5540</v>
      </c>
      <c r="E2145" t="s">
        <v>469</v>
      </c>
      <c r="F2145" s="4">
        <v>1244</v>
      </c>
      <c r="G2145" s="4">
        <v>0</v>
      </c>
      <c r="H2145" s="4">
        <v>0</v>
      </c>
      <c r="I2145" s="4">
        <v>0</v>
      </c>
      <c r="J2145" s="4">
        <v>1244</v>
      </c>
    </row>
    <row r="2146" spans="1:10" x14ac:dyDescent="0.75">
      <c r="A2146" t="s">
        <v>151</v>
      </c>
      <c r="B2146">
        <v>4823</v>
      </c>
      <c r="C2146" t="s">
        <v>48</v>
      </c>
      <c r="D2146">
        <v>5240</v>
      </c>
      <c r="E2146" t="s">
        <v>464</v>
      </c>
      <c r="F2146" s="4">
        <v>1136</v>
      </c>
      <c r="G2146" s="4">
        <v>0</v>
      </c>
      <c r="H2146" s="4">
        <v>0</v>
      </c>
      <c r="I2146" s="4">
        <v>0</v>
      </c>
      <c r="J2146" s="4">
        <v>1136</v>
      </c>
    </row>
    <row r="2147" spans="1:10" x14ac:dyDescent="0.75">
      <c r="A2147" t="s">
        <v>151</v>
      </c>
      <c r="B2147">
        <v>4823</v>
      </c>
      <c r="C2147" t="s">
        <v>48</v>
      </c>
      <c r="D2147">
        <v>7230</v>
      </c>
      <c r="E2147" t="s">
        <v>387</v>
      </c>
      <c r="F2147" s="4">
        <v>903</v>
      </c>
      <c r="G2147" s="4">
        <v>0</v>
      </c>
      <c r="H2147" s="4">
        <v>0</v>
      </c>
      <c r="I2147" s="4">
        <v>0</v>
      </c>
      <c r="J2147" s="4">
        <v>903</v>
      </c>
    </row>
    <row r="2148" spans="1:10" x14ac:dyDescent="0.75">
      <c r="A2148" t="s">
        <v>151</v>
      </c>
      <c r="B2148">
        <v>4823</v>
      </c>
      <c r="C2148" t="s">
        <v>48</v>
      </c>
      <c r="D2148">
        <v>7600</v>
      </c>
      <c r="E2148" t="s">
        <v>503</v>
      </c>
      <c r="F2148" s="4">
        <v>741</v>
      </c>
      <c r="G2148" s="4">
        <v>0</v>
      </c>
      <c r="H2148" s="4">
        <v>0</v>
      </c>
      <c r="I2148" s="4">
        <v>0</v>
      </c>
      <c r="J2148" s="4">
        <v>741</v>
      </c>
    </row>
    <row r="2149" spans="1:10" x14ac:dyDescent="0.75">
      <c r="A2149" t="s">
        <v>151</v>
      </c>
      <c r="B2149">
        <v>4823</v>
      </c>
      <c r="C2149" t="s">
        <v>48</v>
      </c>
      <c r="D2149">
        <v>6136</v>
      </c>
      <c r="E2149" t="s">
        <v>471</v>
      </c>
      <c r="F2149" s="4">
        <v>581</v>
      </c>
      <c r="G2149" s="4">
        <v>0</v>
      </c>
      <c r="H2149" s="4">
        <v>0</v>
      </c>
      <c r="I2149" s="4">
        <v>0</v>
      </c>
      <c r="J2149" s="4">
        <v>581</v>
      </c>
    </row>
    <row r="2150" spans="1:10" x14ac:dyDescent="0.75">
      <c r="A2150" t="s">
        <v>151</v>
      </c>
      <c r="B2150">
        <v>4823</v>
      </c>
      <c r="C2150" t="s">
        <v>48</v>
      </c>
      <c r="D2150">
        <v>2340</v>
      </c>
      <c r="E2150" t="s">
        <v>369</v>
      </c>
      <c r="F2150" s="4">
        <v>368</v>
      </c>
      <c r="G2150" s="4">
        <v>0</v>
      </c>
      <c r="H2150" s="4">
        <v>0</v>
      </c>
      <c r="I2150" s="4">
        <v>0</v>
      </c>
      <c r="J2150" s="4">
        <v>368</v>
      </c>
    </row>
    <row r="2151" spans="1:10" x14ac:dyDescent="0.75">
      <c r="A2151" t="s">
        <v>151</v>
      </c>
      <c r="B2151">
        <v>4823</v>
      </c>
      <c r="C2151" t="s">
        <v>48</v>
      </c>
      <c r="D2151">
        <v>6899</v>
      </c>
      <c r="E2151" t="s">
        <v>498</v>
      </c>
      <c r="F2151" s="4">
        <v>291</v>
      </c>
      <c r="G2151" s="4">
        <v>0</v>
      </c>
      <c r="H2151" s="4">
        <v>0</v>
      </c>
      <c r="I2151" s="4">
        <v>0</v>
      </c>
      <c r="J2151" s="4">
        <v>291</v>
      </c>
    </row>
    <row r="2152" spans="1:10" x14ac:dyDescent="0.75">
      <c r="A2152" t="s">
        <v>151</v>
      </c>
      <c r="B2152">
        <v>4823</v>
      </c>
      <c r="C2152" t="s">
        <v>48</v>
      </c>
      <c r="D2152">
        <v>7220</v>
      </c>
      <c r="E2152" t="s">
        <v>500</v>
      </c>
      <c r="F2152" s="4">
        <v>281</v>
      </c>
      <c r="G2152" s="4">
        <v>0</v>
      </c>
      <c r="H2152" s="4">
        <v>0</v>
      </c>
      <c r="I2152" s="4">
        <v>0</v>
      </c>
      <c r="J2152" s="4">
        <v>281</v>
      </c>
    </row>
    <row r="2153" spans="1:10" x14ac:dyDescent="0.75">
      <c r="A2153" t="s">
        <v>151</v>
      </c>
      <c r="B2153">
        <v>4823</v>
      </c>
      <c r="C2153" t="s">
        <v>48</v>
      </c>
      <c r="D2153">
        <v>3220</v>
      </c>
      <c r="E2153" t="s">
        <v>370</v>
      </c>
      <c r="F2153" s="4">
        <v>250</v>
      </c>
      <c r="G2153" s="4">
        <v>0</v>
      </c>
      <c r="H2153" s="4">
        <v>0</v>
      </c>
      <c r="I2153" s="4">
        <v>0</v>
      </c>
      <c r="J2153" s="4">
        <v>250</v>
      </c>
    </row>
    <row r="2154" spans="1:10" x14ac:dyDescent="0.75">
      <c r="A2154" t="s">
        <v>151</v>
      </c>
      <c r="B2154">
        <v>4823</v>
      </c>
      <c r="C2154" t="s">
        <v>48</v>
      </c>
      <c r="D2154">
        <v>6835</v>
      </c>
      <c r="E2154" t="s">
        <v>483</v>
      </c>
      <c r="F2154" s="4">
        <v>145</v>
      </c>
      <c r="G2154" s="4">
        <v>0</v>
      </c>
      <c r="H2154" s="4">
        <v>0</v>
      </c>
      <c r="I2154" s="4">
        <v>0</v>
      </c>
      <c r="J2154" s="4">
        <v>145</v>
      </c>
    </row>
    <row r="2155" spans="1:10" x14ac:dyDescent="0.75">
      <c r="A2155" t="s">
        <v>151</v>
      </c>
      <c r="B2155">
        <v>4823</v>
      </c>
      <c r="C2155" t="s">
        <v>48</v>
      </c>
      <c r="D2155">
        <v>3286</v>
      </c>
      <c r="E2155" t="s">
        <v>423</v>
      </c>
      <c r="F2155" s="4">
        <v>99</v>
      </c>
      <c r="G2155" s="4">
        <v>0</v>
      </c>
      <c r="H2155" s="4">
        <v>0</v>
      </c>
      <c r="I2155" s="4">
        <v>0</v>
      </c>
      <c r="J2155" s="4">
        <v>99</v>
      </c>
    </row>
    <row r="2156" spans="1:10" x14ac:dyDescent="0.75">
      <c r="A2156" t="s">
        <v>151</v>
      </c>
      <c r="B2156">
        <v>4823</v>
      </c>
      <c r="C2156" t="s">
        <v>48</v>
      </c>
      <c r="D2156">
        <v>5330</v>
      </c>
      <c r="E2156" t="s">
        <v>385</v>
      </c>
      <c r="F2156" s="4">
        <v>84</v>
      </c>
      <c r="G2156" s="4">
        <v>0</v>
      </c>
      <c r="H2156" s="4">
        <v>0</v>
      </c>
      <c r="I2156" s="4">
        <v>0</v>
      </c>
      <c r="J2156" s="4">
        <v>84</v>
      </c>
    </row>
    <row r="2157" spans="1:10" x14ac:dyDescent="0.75">
      <c r="A2157" t="s">
        <v>151</v>
      </c>
      <c r="B2157">
        <v>4410</v>
      </c>
      <c r="C2157" t="s">
        <v>51</v>
      </c>
      <c r="D2157">
        <v>7800</v>
      </c>
      <c r="E2157" t="s">
        <v>507</v>
      </c>
      <c r="F2157" s="4">
        <v>2628136</v>
      </c>
      <c r="G2157" s="4">
        <v>0</v>
      </c>
      <c r="H2157" s="4">
        <v>0</v>
      </c>
      <c r="I2157" s="4">
        <v>0</v>
      </c>
      <c r="J2157" s="4">
        <v>2628136</v>
      </c>
    </row>
    <row r="2158" spans="1:10" x14ac:dyDescent="0.75">
      <c r="A2158" t="s">
        <v>151</v>
      </c>
      <c r="B2158">
        <v>4410</v>
      </c>
      <c r="C2158" t="s">
        <v>51</v>
      </c>
      <c r="D2158">
        <v>7900</v>
      </c>
      <c r="E2158" t="s">
        <v>388</v>
      </c>
      <c r="F2158" s="4">
        <v>213541</v>
      </c>
      <c r="G2158" s="4">
        <v>3</v>
      </c>
      <c r="H2158" s="4">
        <v>3</v>
      </c>
      <c r="I2158" s="4">
        <v>0</v>
      </c>
      <c r="J2158" s="4">
        <v>213544</v>
      </c>
    </row>
    <row r="2159" spans="1:10" x14ac:dyDescent="0.75">
      <c r="A2159" t="s">
        <v>151</v>
      </c>
      <c r="B2159">
        <v>4410</v>
      </c>
      <c r="C2159" t="s">
        <v>51</v>
      </c>
      <c r="D2159">
        <v>2221</v>
      </c>
      <c r="E2159" t="s">
        <v>374</v>
      </c>
      <c r="F2159" s="4">
        <v>193278</v>
      </c>
      <c r="G2159" s="4">
        <v>0</v>
      </c>
      <c r="H2159" s="4">
        <v>0</v>
      </c>
      <c r="I2159" s="4">
        <v>0</v>
      </c>
      <c r="J2159" s="4">
        <v>193278</v>
      </c>
    </row>
    <row r="2160" spans="1:10" x14ac:dyDescent="0.75">
      <c r="A2160" t="s">
        <v>151</v>
      </c>
      <c r="B2160">
        <v>4410</v>
      </c>
      <c r="C2160" t="s">
        <v>51</v>
      </c>
      <c r="D2160">
        <v>7210</v>
      </c>
      <c r="E2160" t="s">
        <v>426</v>
      </c>
      <c r="F2160" s="4">
        <v>177966</v>
      </c>
      <c r="G2160" s="4">
        <v>0</v>
      </c>
      <c r="H2160" s="4">
        <v>0</v>
      </c>
      <c r="I2160" s="4">
        <v>0</v>
      </c>
      <c r="J2160" s="4">
        <v>177966</v>
      </c>
    </row>
    <row r="2161" spans="1:10" x14ac:dyDescent="0.75">
      <c r="A2161" t="s">
        <v>151</v>
      </c>
      <c r="B2161">
        <v>4410</v>
      </c>
      <c r="C2161" t="s">
        <v>51</v>
      </c>
      <c r="D2161">
        <v>2330</v>
      </c>
      <c r="E2161" t="s">
        <v>368</v>
      </c>
      <c r="F2161" s="4">
        <v>161916</v>
      </c>
      <c r="G2161" s="4">
        <v>0</v>
      </c>
      <c r="H2161" s="4">
        <v>0</v>
      </c>
      <c r="I2161" s="4">
        <v>0</v>
      </c>
      <c r="J2161" s="4">
        <v>161916</v>
      </c>
    </row>
    <row r="2162" spans="1:10" x14ac:dyDescent="0.75">
      <c r="A2162" t="s">
        <v>151</v>
      </c>
      <c r="B2162">
        <v>4410</v>
      </c>
      <c r="C2162" t="s">
        <v>51</v>
      </c>
      <c r="D2162">
        <v>2211</v>
      </c>
      <c r="E2162" t="s">
        <v>367</v>
      </c>
      <c r="F2162" s="4">
        <v>142452</v>
      </c>
      <c r="G2162" s="4">
        <v>2382</v>
      </c>
      <c r="H2162" s="4">
        <v>2382</v>
      </c>
      <c r="I2162" s="4">
        <v>0</v>
      </c>
      <c r="J2162" s="4">
        <v>144834</v>
      </c>
    </row>
    <row r="2163" spans="1:10" x14ac:dyDescent="0.75">
      <c r="A2163" t="s">
        <v>151</v>
      </c>
      <c r="B2163">
        <v>4410</v>
      </c>
      <c r="C2163" t="s">
        <v>51</v>
      </c>
      <c r="D2163">
        <v>6889</v>
      </c>
      <c r="E2163" t="s">
        <v>420</v>
      </c>
      <c r="F2163" s="4">
        <v>74137</v>
      </c>
      <c r="G2163" s="4">
        <v>0</v>
      </c>
      <c r="H2163" s="4">
        <v>0</v>
      </c>
      <c r="I2163" s="4">
        <v>0</v>
      </c>
      <c r="J2163" s="4">
        <v>74137</v>
      </c>
    </row>
    <row r="2164" spans="1:10" x14ac:dyDescent="0.75">
      <c r="A2164" t="s">
        <v>151</v>
      </c>
      <c r="B2164">
        <v>4410</v>
      </c>
      <c r="C2164" t="s">
        <v>51</v>
      </c>
      <c r="D2164">
        <v>2340</v>
      </c>
      <c r="E2164" t="s">
        <v>369</v>
      </c>
      <c r="F2164" s="4">
        <v>51417</v>
      </c>
      <c r="G2164" s="4">
        <v>0</v>
      </c>
      <c r="H2164" s="4">
        <v>0</v>
      </c>
      <c r="I2164" s="4">
        <v>0</v>
      </c>
      <c r="J2164" s="4">
        <v>51417</v>
      </c>
    </row>
    <row r="2165" spans="1:10" x14ac:dyDescent="0.75">
      <c r="A2165" t="s">
        <v>151</v>
      </c>
      <c r="B2165">
        <v>4410</v>
      </c>
      <c r="C2165" t="s">
        <v>51</v>
      </c>
      <c r="D2165">
        <v>2640</v>
      </c>
      <c r="E2165" t="s">
        <v>431</v>
      </c>
      <c r="F2165" s="4">
        <v>13998</v>
      </c>
      <c r="G2165" s="4">
        <v>31224</v>
      </c>
      <c r="H2165" s="4">
        <v>31224</v>
      </c>
      <c r="I2165" s="4">
        <v>0</v>
      </c>
      <c r="J2165" s="4">
        <v>45222</v>
      </c>
    </row>
    <row r="2166" spans="1:10" x14ac:dyDescent="0.75">
      <c r="A2166" t="s">
        <v>151</v>
      </c>
      <c r="B2166">
        <v>4410</v>
      </c>
      <c r="C2166" t="s">
        <v>51</v>
      </c>
      <c r="D2166">
        <v>7400</v>
      </c>
      <c r="E2166" t="s">
        <v>502</v>
      </c>
      <c r="F2166" s="4">
        <v>32042</v>
      </c>
      <c r="G2166" s="4">
        <v>0</v>
      </c>
      <c r="H2166" s="4">
        <v>0</v>
      </c>
      <c r="I2166" s="4">
        <v>0</v>
      </c>
      <c r="J2166" s="4">
        <v>32042</v>
      </c>
    </row>
    <row r="2167" spans="1:10" x14ac:dyDescent="0.75">
      <c r="A2167" t="s">
        <v>151</v>
      </c>
      <c r="B2167">
        <v>4410</v>
      </c>
      <c r="C2167" t="s">
        <v>51</v>
      </c>
      <c r="D2167">
        <v>5220</v>
      </c>
      <c r="E2167" t="s">
        <v>401</v>
      </c>
      <c r="F2167" s="4">
        <v>30217</v>
      </c>
      <c r="G2167" s="4">
        <v>0</v>
      </c>
      <c r="H2167" s="4">
        <v>0</v>
      </c>
      <c r="I2167" s="4">
        <v>0</v>
      </c>
      <c r="J2167" s="4">
        <v>30217</v>
      </c>
    </row>
    <row r="2168" spans="1:10" x14ac:dyDescent="0.75">
      <c r="A2168" t="s">
        <v>151</v>
      </c>
      <c r="B2168">
        <v>4410</v>
      </c>
      <c r="C2168" t="s">
        <v>51</v>
      </c>
      <c r="D2168">
        <v>6885</v>
      </c>
      <c r="E2168" t="s">
        <v>493</v>
      </c>
      <c r="F2168" s="4">
        <v>22328</v>
      </c>
      <c r="G2168" s="4">
        <v>0</v>
      </c>
      <c r="H2168" s="4">
        <v>0</v>
      </c>
      <c r="I2168" s="4">
        <v>0</v>
      </c>
      <c r="J2168" s="4">
        <v>22328</v>
      </c>
    </row>
    <row r="2169" spans="1:10" x14ac:dyDescent="0.75">
      <c r="A2169" t="s">
        <v>151</v>
      </c>
      <c r="B2169">
        <v>4410</v>
      </c>
      <c r="C2169" t="s">
        <v>51</v>
      </c>
      <c r="D2169">
        <v>4189</v>
      </c>
      <c r="E2169" t="s">
        <v>451</v>
      </c>
      <c r="F2169" s="4">
        <v>11514</v>
      </c>
      <c r="G2169" s="4">
        <v>0</v>
      </c>
      <c r="H2169" s="4">
        <v>0</v>
      </c>
      <c r="I2169" s="4">
        <v>0</v>
      </c>
      <c r="J2169" s="4">
        <v>11514</v>
      </c>
    </row>
    <row r="2170" spans="1:10" x14ac:dyDescent="0.75">
      <c r="A2170" t="s">
        <v>151</v>
      </c>
      <c r="B2170">
        <v>4410</v>
      </c>
      <c r="C2170" t="s">
        <v>51</v>
      </c>
      <c r="D2170">
        <v>3220</v>
      </c>
      <c r="E2170" t="s">
        <v>370</v>
      </c>
      <c r="F2170" s="4">
        <v>10860</v>
      </c>
      <c r="G2170" s="4">
        <v>0</v>
      </c>
      <c r="H2170" s="4">
        <v>0</v>
      </c>
      <c r="I2170" s="4">
        <v>0</v>
      </c>
      <c r="J2170" s="4">
        <v>10860</v>
      </c>
    </row>
    <row r="2171" spans="1:10" x14ac:dyDescent="0.75">
      <c r="A2171" t="s">
        <v>151</v>
      </c>
      <c r="B2171">
        <v>4410</v>
      </c>
      <c r="C2171" t="s">
        <v>51</v>
      </c>
      <c r="D2171">
        <v>4331</v>
      </c>
      <c r="E2171" t="s">
        <v>390</v>
      </c>
      <c r="F2171" s="4">
        <v>0</v>
      </c>
      <c r="G2171" s="4">
        <v>9921</v>
      </c>
      <c r="H2171" s="4">
        <v>9921</v>
      </c>
      <c r="I2171" s="4">
        <v>0</v>
      </c>
      <c r="J2171" s="4">
        <v>9921</v>
      </c>
    </row>
    <row r="2172" spans="1:10" x14ac:dyDescent="0.75">
      <c r="A2172" t="s">
        <v>151</v>
      </c>
      <c r="B2172">
        <v>4410</v>
      </c>
      <c r="C2172" t="s">
        <v>51</v>
      </c>
      <c r="D2172">
        <v>6887</v>
      </c>
      <c r="E2172" t="s">
        <v>505</v>
      </c>
      <c r="F2172" s="4">
        <v>7431</v>
      </c>
      <c r="G2172" s="4">
        <v>0</v>
      </c>
      <c r="H2172" s="4">
        <v>0</v>
      </c>
      <c r="I2172" s="4">
        <v>0</v>
      </c>
      <c r="J2172" s="4">
        <v>7431</v>
      </c>
    </row>
    <row r="2173" spans="1:10" x14ac:dyDescent="0.75">
      <c r="A2173" t="s">
        <v>151</v>
      </c>
      <c r="B2173">
        <v>4410</v>
      </c>
      <c r="C2173" t="s">
        <v>51</v>
      </c>
      <c r="D2173">
        <v>6654</v>
      </c>
      <c r="E2173" t="s">
        <v>419</v>
      </c>
      <c r="F2173" s="4">
        <v>7225</v>
      </c>
      <c r="G2173" s="4">
        <v>0</v>
      </c>
      <c r="H2173" s="4">
        <v>0</v>
      </c>
      <c r="I2173" s="4">
        <v>0</v>
      </c>
      <c r="J2173" s="4">
        <v>7225</v>
      </c>
    </row>
    <row r="2174" spans="1:10" x14ac:dyDescent="0.75">
      <c r="A2174" t="s">
        <v>151</v>
      </c>
      <c r="B2174">
        <v>4410</v>
      </c>
      <c r="C2174" t="s">
        <v>51</v>
      </c>
      <c r="D2174">
        <v>4420</v>
      </c>
      <c r="E2174" t="s">
        <v>381</v>
      </c>
      <c r="F2174" s="4">
        <v>5920</v>
      </c>
      <c r="G2174" s="4">
        <v>0</v>
      </c>
      <c r="H2174" s="4">
        <v>0</v>
      </c>
      <c r="I2174" s="4">
        <v>0</v>
      </c>
      <c r="J2174" s="4">
        <v>5920</v>
      </c>
    </row>
    <row r="2175" spans="1:10" x14ac:dyDescent="0.75">
      <c r="A2175" t="s">
        <v>151</v>
      </c>
      <c r="B2175">
        <v>4410</v>
      </c>
      <c r="C2175" t="s">
        <v>51</v>
      </c>
      <c r="D2175">
        <v>6782</v>
      </c>
      <c r="E2175" t="s">
        <v>396</v>
      </c>
      <c r="F2175" s="4">
        <v>5277</v>
      </c>
      <c r="G2175" s="4">
        <v>0</v>
      </c>
      <c r="H2175" s="4">
        <v>0</v>
      </c>
      <c r="I2175" s="4">
        <v>0</v>
      </c>
      <c r="J2175" s="4">
        <v>5277</v>
      </c>
    </row>
    <row r="2176" spans="1:10" x14ac:dyDescent="0.75">
      <c r="A2176" t="s">
        <v>151</v>
      </c>
      <c r="B2176">
        <v>4410</v>
      </c>
      <c r="C2176" t="s">
        <v>51</v>
      </c>
      <c r="D2176">
        <v>4225</v>
      </c>
      <c r="E2176" t="s">
        <v>380</v>
      </c>
      <c r="F2176" s="4">
        <v>5006</v>
      </c>
      <c r="G2176" s="4">
        <v>0</v>
      </c>
      <c r="H2176" s="4">
        <v>0</v>
      </c>
      <c r="I2176" s="4">
        <v>0</v>
      </c>
      <c r="J2176" s="4">
        <v>5006</v>
      </c>
    </row>
    <row r="2177" spans="1:10" x14ac:dyDescent="0.75">
      <c r="A2177" t="s">
        <v>151</v>
      </c>
      <c r="B2177">
        <v>4410</v>
      </c>
      <c r="C2177" t="s">
        <v>51</v>
      </c>
      <c r="D2177">
        <v>5480</v>
      </c>
      <c r="E2177" t="s">
        <v>386</v>
      </c>
      <c r="F2177" s="4">
        <v>4054</v>
      </c>
      <c r="G2177" s="4">
        <v>0</v>
      </c>
      <c r="H2177" s="4">
        <v>0</v>
      </c>
      <c r="I2177" s="4">
        <v>0</v>
      </c>
      <c r="J2177" s="4">
        <v>4054</v>
      </c>
    </row>
    <row r="2178" spans="1:10" x14ac:dyDescent="0.75">
      <c r="A2178" t="s">
        <v>151</v>
      </c>
      <c r="B2178">
        <v>4410</v>
      </c>
      <c r="C2178" t="s">
        <v>51</v>
      </c>
      <c r="D2178">
        <v>2100</v>
      </c>
      <c r="E2178" t="s">
        <v>403</v>
      </c>
      <c r="F2178" s="4">
        <v>0</v>
      </c>
      <c r="G2178" s="4">
        <v>3142</v>
      </c>
      <c r="H2178" s="4">
        <v>3142</v>
      </c>
      <c r="I2178" s="4">
        <v>0</v>
      </c>
      <c r="J2178" s="4">
        <v>3142</v>
      </c>
    </row>
    <row r="2179" spans="1:10" x14ac:dyDescent="0.75">
      <c r="A2179" t="s">
        <v>151</v>
      </c>
      <c r="B2179">
        <v>4410</v>
      </c>
      <c r="C2179" t="s">
        <v>51</v>
      </c>
      <c r="D2179">
        <v>6781</v>
      </c>
      <c r="E2179" t="s">
        <v>479</v>
      </c>
      <c r="F2179" s="4">
        <v>2950</v>
      </c>
      <c r="G2179" s="4">
        <v>0</v>
      </c>
      <c r="H2179" s="4">
        <v>0</v>
      </c>
      <c r="I2179" s="4">
        <v>0</v>
      </c>
      <c r="J2179" s="4">
        <v>2950</v>
      </c>
    </row>
    <row r="2180" spans="1:10" x14ac:dyDescent="0.75">
      <c r="A2180" t="s">
        <v>151</v>
      </c>
      <c r="B2180">
        <v>4410</v>
      </c>
      <c r="C2180" t="s">
        <v>51</v>
      </c>
      <c r="D2180">
        <v>7110</v>
      </c>
      <c r="E2180" t="s">
        <v>371</v>
      </c>
      <c r="F2180" s="4">
        <v>1939</v>
      </c>
      <c r="G2180" s="4">
        <v>0</v>
      </c>
      <c r="H2180" s="4">
        <v>0</v>
      </c>
      <c r="I2180" s="4">
        <v>0</v>
      </c>
      <c r="J2180" s="4">
        <v>1939</v>
      </c>
    </row>
    <row r="2181" spans="1:10" x14ac:dyDescent="0.75">
      <c r="A2181" t="s">
        <v>151</v>
      </c>
      <c r="B2181">
        <v>4410</v>
      </c>
      <c r="C2181" t="s">
        <v>51</v>
      </c>
      <c r="D2181">
        <v>3190</v>
      </c>
      <c r="E2181" t="s">
        <v>408</v>
      </c>
      <c r="F2181" s="4">
        <v>1891</v>
      </c>
      <c r="G2181" s="4">
        <v>0</v>
      </c>
      <c r="H2181" s="4">
        <v>0</v>
      </c>
      <c r="I2181" s="4">
        <v>0</v>
      </c>
      <c r="J2181" s="4">
        <v>1891</v>
      </c>
    </row>
    <row r="2182" spans="1:10" x14ac:dyDescent="0.75">
      <c r="A2182" t="s">
        <v>151</v>
      </c>
      <c r="B2182">
        <v>4410</v>
      </c>
      <c r="C2182" t="s">
        <v>51</v>
      </c>
      <c r="D2182">
        <v>5540</v>
      </c>
      <c r="E2182" t="s">
        <v>469</v>
      </c>
      <c r="F2182" s="4">
        <v>1883</v>
      </c>
      <c r="G2182" s="4">
        <v>0</v>
      </c>
      <c r="H2182" s="4">
        <v>0</v>
      </c>
      <c r="I2182" s="4">
        <v>0</v>
      </c>
      <c r="J2182" s="4">
        <v>1883</v>
      </c>
    </row>
    <row r="2183" spans="1:10" x14ac:dyDescent="0.75">
      <c r="A2183" t="s">
        <v>151</v>
      </c>
      <c r="B2183">
        <v>4410</v>
      </c>
      <c r="C2183" t="s">
        <v>51</v>
      </c>
      <c r="D2183">
        <v>6899</v>
      </c>
      <c r="E2183" t="s">
        <v>498</v>
      </c>
      <c r="F2183" s="4">
        <v>1774</v>
      </c>
      <c r="G2183" s="4">
        <v>0</v>
      </c>
      <c r="H2183" s="4">
        <v>0</v>
      </c>
      <c r="I2183" s="4">
        <v>0</v>
      </c>
      <c r="J2183" s="4">
        <v>1774</v>
      </c>
    </row>
    <row r="2184" spans="1:10" x14ac:dyDescent="0.75">
      <c r="A2184" t="s">
        <v>151</v>
      </c>
      <c r="B2184">
        <v>4410</v>
      </c>
      <c r="C2184" t="s">
        <v>51</v>
      </c>
      <c r="D2184">
        <v>6839</v>
      </c>
      <c r="E2184" t="s">
        <v>485</v>
      </c>
      <c r="F2184" s="4">
        <v>1673</v>
      </c>
      <c r="G2184" s="4">
        <v>0</v>
      </c>
      <c r="H2184" s="4">
        <v>0</v>
      </c>
      <c r="I2184" s="4">
        <v>0</v>
      </c>
      <c r="J2184" s="4">
        <v>1673</v>
      </c>
    </row>
    <row r="2185" spans="1:10" x14ac:dyDescent="0.75">
      <c r="A2185" t="s">
        <v>151</v>
      </c>
      <c r="B2185">
        <v>4410</v>
      </c>
      <c r="C2185" t="s">
        <v>51</v>
      </c>
      <c r="D2185">
        <v>5370</v>
      </c>
      <c r="E2185" t="s">
        <v>466</v>
      </c>
      <c r="F2185" s="4">
        <v>1563</v>
      </c>
      <c r="G2185" s="4">
        <v>0</v>
      </c>
      <c r="H2185" s="4">
        <v>0</v>
      </c>
      <c r="I2185" s="4">
        <v>0</v>
      </c>
      <c r="J2185" s="4">
        <v>1563</v>
      </c>
    </row>
    <row r="2186" spans="1:10" x14ac:dyDescent="0.75">
      <c r="A2186" t="s">
        <v>151</v>
      </c>
      <c r="B2186">
        <v>4410</v>
      </c>
      <c r="C2186" t="s">
        <v>51</v>
      </c>
      <c r="D2186">
        <v>7120</v>
      </c>
      <c r="E2186" t="s">
        <v>499</v>
      </c>
      <c r="F2186" s="4">
        <v>1328</v>
      </c>
      <c r="G2186" s="4">
        <v>0</v>
      </c>
      <c r="H2186" s="4">
        <v>0</v>
      </c>
      <c r="I2186" s="4">
        <v>0</v>
      </c>
      <c r="J2186" s="4">
        <v>1328</v>
      </c>
    </row>
    <row r="2187" spans="1:10" x14ac:dyDescent="0.75">
      <c r="A2187" t="s">
        <v>151</v>
      </c>
      <c r="B2187">
        <v>4410</v>
      </c>
      <c r="C2187" t="s">
        <v>51</v>
      </c>
      <c r="D2187">
        <v>9900</v>
      </c>
      <c r="E2187" t="s">
        <v>389</v>
      </c>
      <c r="F2187" s="4">
        <v>0</v>
      </c>
      <c r="G2187" s="4">
        <v>1017</v>
      </c>
      <c r="H2187" s="4">
        <v>1017</v>
      </c>
      <c r="I2187" s="4">
        <v>0</v>
      </c>
      <c r="J2187" s="4">
        <v>1017</v>
      </c>
    </row>
    <row r="2188" spans="1:10" x14ac:dyDescent="0.75">
      <c r="A2188" t="s">
        <v>151</v>
      </c>
      <c r="B2188">
        <v>4410</v>
      </c>
      <c r="C2188" t="s">
        <v>51</v>
      </c>
      <c r="D2188">
        <v>3299</v>
      </c>
      <c r="E2188" t="s">
        <v>448</v>
      </c>
      <c r="F2188" s="4">
        <v>1000</v>
      </c>
      <c r="G2188" s="4">
        <v>0</v>
      </c>
      <c r="H2188" s="4">
        <v>0</v>
      </c>
      <c r="I2188" s="4">
        <v>0</v>
      </c>
      <c r="J2188" s="4">
        <v>1000</v>
      </c>
    </row>
    <row r="2189" spans="1:10" x14ac:dyDescent="0.75">
      <c r="A2189" t="s">
        <v>151</v>
      </c>
      <c r="B2189">
        <v>4410</v>
      </c>
      <c r="C2189" t="s">
        <v>51</v>
      </c>
      <c r="D2189">
        <v>5190</v>
      </c>
      <c r="E2189" t="s">
        <v>462</v>
      </c>
      <c r="F2189" s="4">
        <v>863</v>
      </c>
      <c r="G2189" s="4">
        <v>0</v>
      </c>
      <c r="H2189" s="4">
        <v>0</v>
      </c>
      <c r="I2189" s="4">
        <v>0</v>
      </c>
      <c r="J2189" s="4">
        <v>863</v>
      </c>
    </row>
    <row r="2190" spans="1:10" x14ac:dyDescent="0.75">
      <c r="A2190" t="s">
        <v>151</v>
      </c>
      <c r="B2190">
        <v>4410</v>
      </c>
      <c r="C2190" t="s">
        <v>51</v>
      </c>
      <c r="D2190">
        <v>6442</v>
      </c>
      <c r="E2190" t="s">
        <v>472</v>
      </c>
      <c r="F2190" s="4">
        <v>844</v>
      </c>
      <c r="G2190" s="4">
        <v>0</v>
      </c>
      <c r="H2190" s="4">
        <v>0</v>
      </c>
      <c r="I2190" s="4">
        <v>0</v>
      </c>
      <c r="J2190" s="4">
        <v>844</v>
      </c>
    </row>
    <row r="2191" spans="1:10" x14ac:dyDescent="0.75">
      <c r="A2191" t="s">
        <v>151</v>
      </c>
      <c r="B2191">
        <v>4410</v>
      </c>
      <c r="C2191" t="s">
        <v>51</v>
      </c>
      <c r="D2191">
        <v>6811</v>
      </c>
      <c r="E2191" t="s">
        <v>480</v>
      </c>
      <c r="F2191" s="4">
        <v>709</v>
      </c>
      <c r="G2191" s="4">
        <v>0</v>
      </c>
      <c r="H2191" s="4">
        <v>0</v>
      </c>
      <c r="I2191" s="4">
        <v>0</v>
      </c>
      <c r="J2191" s="4">
        <v>709</v>
      </c>
    </row>
    <row r="2192" spans="1:10" x14ac:dyDescent="0.75">
      <c r="A2192" t="s">
        <v>151</v>
      </c>
      <c r="B2192">
        <v>4410</v>
      </c>
      <c r="C2192" t="s">
        <v>51</v>
      </c>
      <c r="D2192">
        <v>7600</v>
      </c>
      <c r="E2192" t="s">
        <v>503</v>
      </c>
      <c r="F2192" s="4">
        <v>557</v>
      </c>
      <c r="G2192" s="4">
        <v>0</v>
      </c>
      <c r="H2192" s="4">
        <v>0</v>
      </c>
      <c r="I2192" s="4">
        <v>0</v>
      </c>
      <c r="J2192" s="4">
        <v>557</v>
      </c>
    </row>
    <row r="2193" spans="1:10" x14ac:dyDescent="0.75">
      <c r="A2193" t="s">
        <v>151</v>
      </c>
      <c r="B2193">
        <v>4410</v>
      </c>
      <c r="C2193" t="s">
        <v>51</v>
      </c>
      <c r="D2193">
        <v>5360</v>
      </c>
      <c r="E2193" t="s">
        <v>465</v>
      </c>
      <c r="F2193" s="4">
        <v>484</v>
      </c>
      <c r="G2193" s="4">
        <v>0</v>
      </c>
      <c r="H2193" s="4">
        <v>0</v>
      </c>
      <c r="I2193" s="4">
        <v>0</v>
      </c>
      <c r="J2193" s="4">
        <v>484</v>
      </c>
    </row>
    <row r="2194" spans="1:10" x14ac:dyDescent="0.75">
      <c r="A2194" t="s">
        <v>151</v>
      </c>
      <c r="B2194">
        <v>4410</v>
      </c>
      <c r="C2194" t="s">
        <v>51</v>
      </c>
      <c r="D2194">
        <v>5290</v>
      </c>
      <c r="E2194" t="s">
        <v>415</v>
      </c>
      <c r="F2194" s="4">
        <v>207</v>
      </c>
      <c r="G2194" s="4">
        <v>0</v>
      </c>
      <c r="H2194" s="4">
        <v>0</v>
      </c>
      <c r="I2194" s="4">
        <v>0</v>
      </c>
      <c r="J2194" s="4">
        <v>207</v>
      </c>
    </row>
    <row r="2195" spans="1:10" x14ac:dyDescent="0.75">
      <c r="A2195" t="s">
        <v>151</v>
      </c>
      <c r="B2195">
        <v>4410</v>
      </c>
      <c r="C2195" t="s">
        <v>51</v>
      </c>
      <c r="D2195">
        <v>2990</v>
      </c>
      <c r="E2195" t="s">
        <v>432</v>
      </c>
      <c r="F2195" s="4">
        <v>205</v>
      </c>
      <c r="G2195" s="4">
        <v>0</v>
      </c>
      <c r="H2195" s="4">
        <v>0</v>
      </c>
      <c r="I2195" s="4">
        <v>0</v>
      </c>
      <c r="J2195" s="4">
        <v>205</v>
      </c>
    </row>
    <row r="2196" spans="1:10" x14ac:dyDescent="0.75">
      <c r="A2196" t="s">
        <v>151</v>
      </c>
      <c r="B2196">
        <v>4410</v>
      </c>
      <c r="C2196" t="s">
        <v>51</v>
      </c>
      <c r="D2196">
        <v>6822</v>
      </c>
      <c r="E2196" t="s">
        <v>482</v>
      </c>
      <c r="F2196" s="4">
        <v>191</v>
      </c>
      <c r="G2196" s="4">
        <v>0</v>
      </c>
      <c r="H2196" s="4">
        <v>0</v>
      </c>
      <c r="I2196" s="4">
        <v>0</v>
      </c>
      <c r="J2196" s="4">
        <v>191</v>
      </c>
    </row>
    <row r="2197" spans="1:10" x14ac:dyDescent="0.75">
      <c r="A2197" t="s">
        <v>151</v>
      </c>
      <c r="B2197">
        <v>4410</v>
      </c>
      <c r="C2197" t="s">
        <v>51</v>
      </c>
      <c r="D2197">
        <v>2350</v>
      </c>
      <c r="E2197" t="s">
        <v>404</v>
      </c>
      <c r="F2197" s="4">
        <v>133</v>
      </c>
      <c r="G2197" s="4">
        <v>0</v>
      </c>
      <c r="H2197" s="4">
        <v>0</v>
      </c>
      <c r="I2197" s="4">
        <v>0</v>
      </c>
      <c r="J2197" s="4">
        <v>133</v>
      </c>
    </row>
    <row r="2198" spans="1:10" x14ac:dyDescent="0.75">
      <c r="A2198" t="s">
        <v>151</v>
      </c>
      <c r="B2198">
        <v>4410</v>
      </c>
      <c r="C2198" t="s">
        <v>51</v>
      </c>
      <c r="D2198">
        <v>5240</v>
      </c>
      <c r="E2198" t="s">
        <v>464</v>
      </c>
      <c r="F2198" s="4">
        <v>91</v>
      </c>
      <c r="G2198" s="4">
        <v>0</v>
      </c>
      <c r="H2198" s="4">
        <v>0</v>
      </c>
      <c r="I2198" s="4">
        <v>0</v>
      </c>
      <c r="J2198" s="4">
        <v>91</v>
      </c>
    </row>
    <row r="2199" spans="1:10" x14ac:dyDescent="0.75">
      <c r="A2199" t="s">
        <v>151</v>
      </c>
      <c r="B2199">
        <v>4410</v>
      </c>
      <c r="C2199" t="s">
        <v>51</v>
      </c>
      <c r="D2199">
        <v>7230</v>
      </c>
      <c r="E2199" t="s">
        <v>387</v>
      </c>
      <c r="F2199" s="4">
        <v>69</v>
      </c>
      <c r="G2199" s="4">
        <v>0</v>
      </c>
      <c r="H2199" s="4">
        <v>0</v>
      </c>
      <c r="I2199" s="4">
        <v>0</v>
      </c>
      <c r="J2199" s="4">
        <v>69</v>
      </c>
    </row>
    <row r="2200" spans="1:10" x14ac:dyDescent="0.75">
      <c r="A2200" t="s">
        <v>151</v>
      </c>
      <c r="B2200">
        <v>4410</v>
      </c>
      <c r="C2200" t="s">
        <v>51</v>
      </c>
      <c r="D2200">
        <v>7500</v>
      </c>
      <c r="E2200" t="s">
        <v>427</v>
      </c>
      <c r="F2200" s="4">
        <v>47</v>
      </c>
      <c r="G2200" s="4">
        <v>0</v>
      </c>
      <c r="H2200" s="4">
        <v>0</v>
      </c>
      <c r="I2200" s="4">
        <v>0</v>
      </c>
      <c r="J2200" s="4">
        <v>47</v>
      </c>
    </row>
    <row r="2201" spans="1:10" x14ac:dyDescent="0.75">
      <c r="A2201" t="s">
        <v>151</v>
      </c>
      <c r="B2201">
        <v>4410</v>
      </c>
      <c r="C2201" t="s">
        <v>51</v>
      </c>
      <c r="D2201">
        <v>6871</v>
      </c>
      <c r="E2201" t="s">
        <v>491</v>
      </c>
      <c r="F2201" s="4">
        <v>34</v>
      </c>
      <c r="G2201" s="4">
        <v>0</v>
      </c>
      <c r="H2201" s="4">
        <v>0</v>
      </c>
      <c r="I2201" s="4">
        <v>0</v>
      </c>
      <c r="J2201" s="4">
        <v>34</v>
      </c>
    </row>
    <row r="2202" spans="1:10" x14ac:dyDescent="0.75">
      <c r="A2202" t="s">
        <v>151</v>
      </c>
      <c r="B2202">
        <v>4410</v>
      </c>
      <c r="C2202" t="s">
        <v>51</v>
      </c>
      <c r="D2202">
        <v>3282</v>
      </c>
      <c r="E2202" t="s">
        <v>440</v>
      </c>
      <c r="F2202" s="4">
        <v>31</v>
      </c>
      <c r="G2202" s="4">
        <v>0</v>
      </c>
      <c r="H2202" s="4">
        <v>0</v>
      </c>
      <c r="I2202" s="4">
        <v>0</v>
      </c>
      <c r="J2202" s="4">
        <v>31</v>
      </c>
    </row>
    <row r="2203" spans="1:10" x14ac:dyDescent="0.75">
      <c r="A2203" t="s">
        <v>151</v>
      </c>
      <c r="B2203">
        <v>4410</v>
      </c>
      <c r="C2203" t="s">
        <v>51</v>
      </c>
      <c r="D2203">
        <v>3291</v>
      </c>
      <c r="E2203" t="s">
        <v>444</v>
      </c>
      <c r="F2203" s="4">
        <v>31</v>
      </c>
      <c r="G2203" s="4">
        <v>0</v>
      </c>
      <c r="H2203" s="4">
        <v>0</v>
      </c>
      <c r="I2203" s="4">
        <v>0</v>
      </c>
      <c r="J2203" s="4">
        <v>31</v>
      </c>
    </row>
    <row r="2204" spans="1:10" x14ac:dyDescent="0.75">
      <c r="A2204" t="s">
        <v>151</v>
      </c>
      <c r="B2204">
        <v>4410</v>
      </c>
      <c r="C2204" t="s">
        <v>51</v>
      </c>
      <c r="D2204">
        <v>6134</v>
      </c>
      <c r="E2204" t="s">
        <v>470</v>
      </c>
      <c r="F2204" s="4">
        <v>8</v>
      </c>
      <c r="G2204" s="4">
        <v>0</v>
      </c>
      <c r="H2204" s="4">
        <v>0</v>
      </c>
      <c r="I2204" s="4">
        <v>0</v>
      </c>
      <c r="J2204" s="4">
        <v>8</v>
      </c>
    </row>
    <row r="2205" spans="1:10" x14ac:dyDescent="0.75">
      <c r="A2205" t="s">
        <v>151</v>
      </c>
      <c r="B2205">
        <v>4410</v>
      </c>
      <c r="C2205" t="s">
        <v>51</v>
      </c>
      <c r="D2205">
        <v>3293</v>
      </c>
      <c r="E2205" t="s">
        <v>445</v>
      </c>
      <c r="F2205" s="4">
        <v>4</v>
      </c>
      <c r="G2205" s="4">
        <v>0</v>
      </c>
      <c r="H2205" s="4">
        <v>0</v>
      </c>
      <c r="I2205" s="4">
        <v>0</v>
      </c>
      <c r="J2205" s="4">
        <v>4</v>
      </c>
    </row>
    <row r="2206" spans="1:10" x14ac:dyDescent="0.75">
      <c r="A2206" t="s">
        <v>151</v>
      </c>
      <c r="B2206">
        <v>4410</v>
      </c>
      <c r="C2206" t="s">
        <v>51</v>
      </c>
      <c r="D2206">
        <v>7220</v>
      </c>
      <c r="E2206" t="s">
        <v>500</v>
      </c>
      <c r="F2206" s="4">
        <v>3</v>
      </c>
      <c r="G2206" s="4">
        <v>0</v>
      </c>
      <c r="H2206" s="4">
        <v>0</v>
      </c>
      <c r="I2206" s="4">
        <v>0</v>
      </c>
      <c r="J2206" s="4">
        <v>3</v>
      </c>
    </row>
    <row r="2207" spans="1:10" x14ac:dyDescent="0.75">
      <c r="A2207" t="s">
        <v>151</v>
      </c>
      <c r="B2207">
        <v>4410</v>
      </c>
      <c r="C2207" t="s">
        <v>51</v>
      </c>
      <c r="D2207">
        <v>3285</v>
      </c>
      <c r="E2207" t="s">
        <v>443</v>
      </c>
      <c r="F2207" s="4">
        <v>1</v>
      </c>
      <c r="G2207" s="4">
        <v>0</v>
      </c>
      <c r="H2207" s="4">
        <v>0</v>
      </c>
      <c r="I2207" s="4">
        <v>0</v>
      </c>
      <c r="J2207" s="4">
        <v>1</v>
      </c>
    </row>
    <row r="2208" spans="1:10" x14ac:dyDescent="0.75">
      <c r="A2208" t="s">
        <v>151</v>
      </c>
      <c r="B2208">
        <v>4798</v>
      </c>
      <c r="C2208" t="s">
        <v>75</v>
      </c>
      <c r="D2208">
        <v>6887</v>
      </c>
      <c r="E2208" t="s">
        <v>505</v>
      </c>
      <c r="F2208" s="4">
        <v>5003</v>
      </c>
      <c r="G2208" s="4">
        <v>0</v>
      </c>
      <c r="H2208" s="4">
        <v>0</v>
      </c>
      <c r="I2208" s="4">
        <v>0</v>
      </c>
      <c r="J2208" s="4">
        <v>5003</v>
      </c>
    </row>
    <row r="2209" spans="1:10" x14ac:dyDescent="0.75">
      <c r="A2209" t="s">
        <v>151</v>
      </c>
      <c r="B2209">
        <v>4798</v>
      </c>
      <c r="C2209" t="s">
        <v>75</v>
      </c>
      <c r="D2209">
        <v>7900</v>
      </c>
      <c r="E2209" t="s">
        <v>388</v>
      </c>
      <c r="F2209" s="4">
        <v>4418</v>
      </c>
      <c r="G2209" s="4">
        <v>0</v>
      </c>
      <c r="H2209" s="4">
        <v>0</v>
      </c>
      <c r="I2209" s="4">
        <v>0</v>
      </c>
      <c r="J2209" s="4">
        <v>4418</v>
      </c>
    </row>
    <row r="2210" spans="1:10" x14ac:dyDescent="0.75">
      <c r="A2210" t="s">
        <v>151</v>
      </c>
      <c r="B2210">
        <v>4798</v>
      </c>
      <c r="C2210" t="s">
        <v>75</v>
      </c>
      <c r="D2210">
        <v>7400</v>
      </c>
      <c r="E2210" t="s">
        <v>502</v>
      </c>
      <c r="F2210" s="4">
        <v>1607</v>
      </c>
      <c r="G2210" s="4">
        <v>0</v>
      </c>
      <c r="H2210" s="4">
        <v>0</v>
      </c>
      <c r="I2210" s="4">
        <v>0</v>
      </c>
      <c r="J2210" s="4">
        <v>1607</v>
      </c>
    </row>
    <row r="2211" spans="1:10" x14ac:dyDescent="0.75">
      <c r="A2211" t="s">
        <v>151</v>
      </c>
      <c r="B2211">
        <v>4798</v>
      </c>
      <c r="C2211" t="s">
        <v>75</v>
      </c>
      <c r="D2211">
        <v>6134</v>
      </c>
      <c r="E2211" t="s">
        <v>470</v>
      </c>
      <c r="F2211" s="4">
        <v>1290</v>
      </c>
      <c r="G2211" s="4">
        <v>0</v>
      </c>
      <c r="H2211" s="4">
        <v>0</v>
      </c>
      <c r="I2211" s="4">
        <v>0</v>
      </c>
      <c r="J2211" s="4">
        <v>1290</v>
      </c>
    </row>
    <row r="2212" spans="1:10" x14ac:dyDescent="0.75">
      <c r="A2212" t="s">
        <v>151</v>
      </c>
      <c r="B2212">
        <v>4798</v>
      </c>
      <c r="C2212" t="s">
        <v>75</v>
      </c>
      <c r="D2212">
        <v>2211</v>
      </c>
      <c r="E2212" t="s">
        <v>367</v>
      </c>
      <c r="F2212" s="4">
        <v>568</v>
      </c>
      <c r="G2212" s="4">
        <v>0</v>
      </c>
      <c r="H2212" s="4">
        <v>0</v>
      </c>
      <c r="I2212" s="4">
        <v>0</v>
      </c>
      <c r="J2212" s="4">
        <v>568</v>
      </c>
    </row>
    <row r="2213" spans="1:10" x14ac:dyDescent="0.75">
      <c r="A2213" t="s">
        <v>151</v>
      </c>
      <c r="B2213">
        <v>4798</v>
      </c>
      <c r="C2213" t="s">
        <v>75</v>
      </c>
      <c r="D2213">
        <v>7210</v>
      </c>
      <c r="E2213" t="s">
        <v>426</v>
      </c>
      <c r="F2213" s="4">
        <v>558</v>
      </c>
      <c r="G2213" s="4">
        <v>0</v>
      </c>
      <c r="H2213" s="4">
        <v>0</v>
      </c>
      <c r="I2213" s="4">
        <v>0</v>
      </c>
      <c r="J2213" s="4">
        <v>558</v>
      </c>
    </row>
    <row r="2214" spans="1:10" x14ac:dyDescent="0.75">
      <c r="A2214" t="s">
        <v>151</v>
      </c>
      <c r="B2214">
        <v>4798</v>
      </c>
      <c r="C2214" t="s">
        <v>75</v>
      </c>
      <c r="D2214">
        <v>2430</v>
      </c>
      <c r="E2214" t="s">
        <v>376</v>
      </c>
      <c r="F2214" s="4">
        <v>549</v>
      </c>
      <c r="G2214" s="4">
        <v>0</v>
      </c>
      <c r="H2214" s="4">
        <v>0</v>
      </c>
      <c r="I2214" s="4">
        <v>0</v>
      </c>
      <c r="J2214" s="4">
        <v>549</v>
      </c>
    </row>
    <row r="2215" spans="1:10" x14ac:dyDescent="0.75">
      <c r="A2215" t="s">
        <v>151</v>
      </c>
      <c r="B2215">
        <v>4798</v>
      </c>
      <c r="C2215" t="s">
        <v>75</v>
      </c>
      <c r="D2215">
        <v>6782</v>
      </c>
      <c r="E2215" t="s">
        <v>396</v>
      </c>
      <c r="F2215" s="4">
        <v>535</v>
      </c>
      <c r="G2215" s="4">
        <v>0</v>
      </c>
      <c r="H2215" s="4">
        <v>0</v>
      </c>
      <c r="I2215" s="4">
        <v>0</v>
      </c>
      <c r="J2215" s="4">
        <v>535</v>
      </c>
    </row>
    <row r="2216" spans="1:10" x14ac:dyDescent="0.75">
      <c r="A2216" t="s">
        <v>151</v>
      </c>
      <c r="B2216">
        <v>4798</v>
      </c>
      <c r="C2216" t="s">
        <v>75</v>
      </c>
      <c r="D2216">
        <v>2990</v>
      </c>
      <c r="E2216" t="s">
        <v>432</v>
      </c>
      <c r="F2216" s="4">
        <v>530</v>
      </c>
      <c r="G2216" s="4">
        <v>0</v>
      </c>
      <c r="H2216" s="4">
        <v>0</v>
      </c>
      <c r="I2216" s="4">
        <v>0</v>
      </c>
      <c r="J2216" s="4">
        <v>530</v>
      </c>
    </row>
    <row r="2217" spans="1:10" x14ac:dyDescent="0.75">
      <c r="A2217" t="s">
        <v>151</v>
      </c>
      <c r="B2217">
        <v>4798</v>
      </c>
      <c r="C2217" t="s">
        <v>75</v>
      </c>
      <c r="D2217">
        <v>6889</v>
      </c>
      <c r="E2217" t="s">
        <v>420</v>
      </c>
      <c r="F2217" s="4">
        <v>513</v>
      </c>
      <c r="G2217" s="4">
        <v>0</v>
      </c>
      <c r="H2217" s="4">
        <v>0</v>
      </c>
      <c r="I2217" s="4">
        <v>0</v>
      </c>
      <c r="J2217" s="4">
        <v>513</v>
      </c>
    </row>
    <row r="2218" spans="1:10" x14ac:dyDescent="0.75">
      <c r="A2218" t="s">
        <v>151</v>
      </c>
      <c r="B2218">
        <v>4798</v>
      </c>
      <c r="C2218" t="s">
        <v>75</v>
      </c>
      <c r="D2218">
        <v>5480</v>
      </c>
      <c r="E2218" t="s">
        <v>386</v>
      </c>
      <c r="F2218" s="4">
        <v>472</v>
      </c>
      <c r="G2218" s="4">
        <v>0</v>
      </c>
      <c r="H2218" s="4">
        <v>0</v>
      </c>
      <c r="I2218" s="4">
        <v>0</v>
      </c>
      <c r="J2218" s="4">
        <v>472</v>
      </c>
    </row>
    <row r="2219" spans="1:10" x14ac:dyDescent="0.75">
      <c r="A2219" t="s">
        <v>151</v>
      </c>
      <c r="B2219">
        <v>4798</v>
      </c>
      <c r="C2219" t="s">
        <v>75</v>
      </c>
      <c r="D2219">
        <v>5190</v>
      </c>
      <c r="E2219" t="s">
        <v>462</v>
      </c>
      <c r="F2219" s="4">
        <v>445</v>
      </c>
      <c r="G2219" s="4">
        <v>0</v>
      </c>
      <c r="H2219" s="4">
        <v>0</v>
      </c>
      <c r="I2219" s="4">
        <v>0</v>
      </c>
      <c r="J2219" s="4">
        <v>445</v>
      </c>
    </row>
    <row r="2220" spans="1:10" x14ac:dyDescent="0.75">
      <c r="A2220" t="s">
        <v>151</v>
      </c>
      <c r="B2220">
        <v>4798</v>
      </c>
      <c r="C2220" t="s">
        <v>75</v>
      </c>
      <c r="D2220">
        <v>5360</v>
      </c>
      <c r="E2220" t="s">
        <v>465</v>
      </c>
      <c r="F2220" s="4">
        <v>441</v>
      </c>
      <c r="G2220" s="4">
        <v>0</v>
      </c>
      <c r="H2220" s="4">
        <v>0</v>
      </c>
      <c r="I2220" s="4">
        <v>0</v>
      </c>
      <c r="J2220" s="4">
        <v>441</v>
      </c>
    </row>
    <row r="2221" spans="1:10" x14ac:dyDescent="0.75">
      <c r="A2221" t="s">
        <v>151</v>
      </c>
      <c r="B2221">
        <v>4798</v>
      </c>
      <c r="C2221" t="s">
        <v>75</v>
      </c>
      <c r="D2221">
        <v>7110</v>
      </c>
      <c r="E2221" t="s">
        <v>371</v>
      </c>
      <c r="F2221" s="4">
        <v>415</v>
      </c>
      <c r="G2221" s="4">
        <v>0</v>
      </c>
      <c r="H2221" s="4">
        <v>0</v>
      </c>
      <c r="I2221" s="4">
        <v>0</v>
      </c>
      <c r="J2221" s="4">
        <v>415</v>
      </c>
    </row>
    <row r="2222" spans="1:10" x14ac:dyDescent="0.75">
      <c r="A2222" t="s">
        <v>151</v>
      </c>
      <c r="B2222">
        <v>4798</v>
      </c>
      <c r="C2222" t="s">
        <v>75</v>
      </c>
      <c r="D2222">
        <v>8900</v>
      </c>
      <c r="E2222" t="s">
        <v>506</v>
      </c>
      <c r="F2222" s="4">
        <v>326</v>
      </c>
      <c r="G2222" s="4">
        <v>0</v>
      </c>
      <c r="H2222" s="4">
        <v>0</v>
      </c>
      <c r="I2222" s="4">
        <v>0</v>
      </c>
      <c r="J2222" s="4">
        <v>326</v>
      </c>
    </row>
    <row r="2223" spans="1:10" x14ac:dyDescent="0.75">
      <c r="A2223" t="s">
        <v>151</v>
      </c>
      <c r="B2223">
        <v>4798</v>
      </c>
      <c r="C2223" t="s">
        <v>75</v>
      </c>
      <c r="D2223">
        <v>4189</v>
      </c>
      <c r="E2223" t="s">
        <v>451</v>
      </c>
      <c r="F2223" s="4">
        <v>320</v>
      </c>
      <c r="G2223" s="4">
        <v>0</v>
      </c>
      <c r="H2223" s="4">
        <v>0</v>
      </c>
      <c r="I2223" s="4">
        <v>0</v>
      </c>
      <c r="J2223" s="4">
        <v>320</v>
      </c>
    </row>
    <row r="2224" spans="1:10" x14ac:dyDescent="0.75">
      <c r="A2224" t="s">
        <v>151</v>
      </c>
      <c r="B2224">
        <v>4798</v>
      </c>
      <c r="C2224" t="s">
        <v>75</v>
      </c>
      <c r="D2224">
        <v>7120</v>
      </c>
      <c r="E2224" t="s">
        <v>499</v>
      </c>
      <c r="F2224" s="4">
        <v>312</v>
      </c>
      <c r="G2224" s="4">
        <v>0</v>
      </c>
      <c r="H2224" s="4">
        <v>0</v>
      </c>
      <c r="I2224" s="4">
        <v>0</v>
      </c>
      <c r="J2224" s="4">
        <v>312</v>
      </c>
    </row>
    <row r="2225" spans="1:10" x14ac:dyDescent="0.75">
      <c r="A2225" t="s">
        <v>151</v>
      </c>
      <c r="B2225">
        <v>4798</v>
      </c>
      <c r="C2225" t="s">
        <v>75</v>
      </c>
      <c r="D2225">
        <v>6885</v>
      </c>
      <c r="E2225" t="s">
        <v>493</v>
      </c>
      <c r="F2225" s="4">
        <v>286</v>
      </c>
      <c r="G2225" s="4">
        <v>0</v>
      </c>
      <c r="H2225" s="4">
        <v>0</v>
      </c>
      <c r="I2225" s="4">
        <v>0</v>
      </c>
      <c r="J2225" s="4">
        <v>286</v>
      </c>
    </row>
    <row r="2226" spans="1:10" x14ac:dyDescent="0.75">
      <c r="A2226" t="s">
        <v>151</v>
      </c>
      <c r="B2226">
        <v>4798</v>
      </c>
      <c r="C2226" t="s">
        <v>75</v>
      </c>
      <c r="D2226">
        <v>5290</v>
      </c>
      <c r="E2226" t="s">
        <v>415</v>
      </c>
      <c r="F2226" s="4">
        <v>278</v>
      </c>
      <c r="G2226" s="4">
        <v>0</v>
      </c>
      <c r="H2226" s="4">
        <v>0</v>
      </c>
      <c r="I2226" s="4">
        <v>0</v>
      </c>
      <c r="J2226" s="4">
        <v>278</v>
      </c>
    </row>
    <row r="2227" spans="1:10" x14ac:dyDescent="0.75">
      <c r="A2227" t="s">
        <v>151</v>
      </c>
      <c r="B2227">
        <v>4798</v>
      </c>
      <c r="C2227" t="s">
        <v>75</v>
      </c>
      <c r="D2227">
        <v>4783</v>
      </c>
      <c r="E2227" t="s">
        <v>382</v>
      </c>
      <c r="F2227" s="4">
        <v>222</v>
      </c>
      <c r="G2227" s="4">
        <v>0</v>
      </c>
      <c r="H2227" s="4">
        <v>0</v>
      </c>
      <c r="I2227" s="4">
        <v>0</v>
      </c>
      <c r="J2227" s="4">
        <v>222</v>
      </c>
    </row>
    <row r="2228" spans="1:10" x14ac:dyDescent="0.75">
      <c r="A2228" t="s">
        <v>151</v>
      </c>
      <c r="B2228">
        <v>4798</v>
      </c>
      <c r="C2228" t="s">
        <v>75</v>
      </c>
      <c r="D2228">
        <v>4331</v>
      </c>
      <c r="E2228" t="s">
        <v>390</v>
      </c>
      <c r="F2228" s="4">
        <v>211</v>
      </c>
      <c r="G2228" s="4">
        <v>0</v>
      </c>
      <c r="H2228" s="4">
        <v>0</v>
      </c>
      <c r="I2228" s="4">
        <v>0</v>
      </c>
      <c r="J2228" s="4">
        <v>211</v>
      </c>
    </row>
    <row r="2229" spans="1:10" x14ac:dyDescent="0.75">
      <c r="A2229" t="s">
        <v>151</v>
      </c>
      <c r="B2229">
        <v>4798</v>
      </c>
      <c r="C2229" t="s">
        <v>75</v>
      </c>
      <c r="D2229">
        <v>3299</v>
      </c>
      <c r="E2229" t="s">
        <v>448</v>
      </c>
      <c r="F2229" s="4">
        <v>175</v>
      </c>
      <c r="G2229" s="4">
        <v>0</v>
      </c>
      <c r="H2229" s="4">
        <v>0</v>
      </c>
      <c r="I2229" s="4">
        <v>0</v>
      </c>
      <c r="J2229" s="4">
        <v>175</v>
      </c>
    </row>
    <row r="2230" spans="1:10" x14ac:dyDescent="0.75">
      <c r="A2230" t="s">
        <v>151</v>
      </c>
      <c r="B2230">
        <v>4798</v>
      </c>
      <c r="C2230" t="s">
        <v>75</v>
      </c>
      <c r="D2230">
        <v>7230</v>
      </c>
      <c r="E2230" t="s">
        <v>387</v>
      </c>
      <c r="F2230" s="4">
        <v>130</v>
      </c>
      <c r="G2230" s="4">
        <v>0</v>
      </c>
      <c r="H2230" s="4">
        <v>0</v>
      </c>
      <c r="I2230" s="4">
        <v>0</v>
      </c>
      <c r="J2230" s="4">
        <v>130</v>
      </c>
    </row>
    <row r="2231" spans="1:10" x14ac:dyDescent="0.75">
      <c r="A2231" t="s">
        <v>151</v>
      </c>
      <c r="B2231">
        <v>4798</v>
      </c>
      <c r="C2231" t="s">
        <v>75</v>
      </c>
      <c r="D2231">
        <v>7500</v>
      </c>
      <c r="E2231" t="s">
        <v>427</v>
      </c>
      <c r="F2231" s="4">
        <v>128</v>
      </c>
      <c r="G2231" s="4">
        <v>0</v>
      </c>
      <c r="H2231" s="4">
        <v>0</v>
      </c>
      <c r="I2231" s="4">
        <v>0</v>
      </c>
      <c r="J2231" s="4">
        <v>128</v>
      </c>
    </row>
    <row r="2232" spans="1:10" x14ac:dyDescent="0.75">
      <c r="A2232" t="s">
        <v>151</v>
      </c>
      <c r="B2232">
        <v>4798</v>
      </c>
      <c r="C2232" t="s">
        <v>75</v>
      </c>
      <c r="D2232">
        <v>3282</v>
      </c>
      <c r="E2232" t="s">
        <v>440</v>
      </c>
      <c r="F2232" s="4">
        <v>66</v>
      </c>
      <c r="G2232" s="4">
        <v>0</v>
      </c>
      <c r="H2232" s="4">
        <v>0</v>
      </c>
      <c r="I2232" s="4">
        <v>0</v>
      </c>
      <c r="J2232" s="4">
        <v>66</v>
      </c>
    </row>
    <row r="2233" spans="1:10" x14ac:dyDescent="0.75">
      <c r="A2233" t="s">
        <v>151</v>
      </c>
      <c r="B2233">
        <v>4798</v>
      </c>
      <c r="C2233" t="s">
        <v>75</v>
      </c>
      <c r="D2233">
        <v>5370</v>
      </c>
      <c r="E2233" t="s">
        <v>466</v>
      </c>
      <c r="F2233" s="4">
        <v>39</v>
      </c>
      <c r="G2233" s="4">
        <v>0</v>
      </c>
      <c r="H2233" s="4">
        <v>0</v>
      </c>
      <c r="I2233" s="4">
        <v>0</v>
      </c>
      <c r="J2233" s="4">
        <v>39</v>
      </c>
    </row>
    <row r="2234" spans="1:10" x14ac:dyDescent="0.75">
      <c r="A2234" t="s">
        <v>151</v>
      </c>
      <c r="B2234">
        <v>4798</v>
      </c>
      <c r="C2234" t="s">
        <v>75</v>
      </c>
      <c r="D2234">
        <v>7220</v>
      </c>
      <c r="E2234" t="s">
        <v>500</v>
      </c>
      <c r="F2234" s="4">
        <v>37</v>
      </c>
      <c r="G2234" s="4">
        <v>0</v>
      </c>
      <c r="H2234" s="4">
        <v>0</v>
      </c>
      <c r="I2234" s="4">
        <v>0</v>
      </c>
      <c r="J2234" s="4">
        <v>37</v>
      </c>
    </row>
    <row r="2235" spans="1:10" x14ac:dyDescent="0.75">
      <c r="A2235" t="s">
        <v>151</v>
      </c>
      <c r="B2235">
        <v>4798</v>
      </c>
      <c r="C2235" t="s">
        <v>75</v>
      </c>
      <c r="D2235">
        <v>5240</v>
      </c>
      <c r="E2235" t="s">
        <v>464</v>
      </c>
      <c r="F2235" s="4">
        <v>34</v>
      </c>
      <c r="G2235" s="4">
        <v>0</v>
      </c>
      <c r="H2235" s="4">
        <v>0</v>
      </c>
      <c r="I2235" s="4">
        <v>0</v>
      </c>
      <c r="J2235" s="4">
        <v>34</v>
      </c>
    </row>
    <row r="2236" spans="1:10" x14ac:dyDescent="0.75">
      <c r="A2236" t="s">
        <v>151</v>
      </c>
      <c r="B2236">
        <v>4798</v>
      </c>
      <c r="C2236" t="s">
        <v>75</v>
      </c>
      <c r="D2236">
        <v>5540</v>
      </c>
      <c r="E2236" t="s">
        <v>469</v>
      </c>
      <c r="F2236" s="4">
        <v>31</v>
      </c>
      <c r="G2236" s="4">
        <v>0</v>
      </c>
      <c r="H2236" s="4">
        <v>0</v>
      </c>
      <c r="I2236" s="4">
        <v>0</v>
      </c>
      <c r="J2236" s="4">
        <v>31</v>
      </c>
    </row>
    <row r="2237" spans="1:10" x14ac:dyDescent="0.75">
      <c r="A2237" t="s">
        <v>151</v>
      </c>
      <c r="B2237">
        <v>4798</v>
      </c>
      <c r="C2237" t="s">
        <v>75</v>
      </c>
      <c r="D2237">
        <v>2340</v>
      </c>
      <c r="E2237" t="s">
        <v>369</v>
      </c>
      <c r="F2237" s="4">
        <v>5</v>
      </c>
      <c r="G2237" s="4">
        <v>0</v>
      </c>
      <c r="H2237" s="4">
        <v>0</v>
      </c>
      <c r="I2237" s="4">
        <v>0</v>
      </c>
      <c r="J2237" s="4">
        <v>5</v>
      </c>
    </row>
    <row r="2238" spans="1:10" x14ac:dyDescent="0.75">
      <c r="A2238" t="s">
        <v>151</v>
      </c>
      <c r="B2238">
        <v>4798</v>
      </c>
      <c r="C2238" t="s">
        <v>75</v>
      </c>
      <c r="D2238">
        <v>3220</v>
      </c>
      <c r="E2238" t="s">
        <v>370</v>
      </c>
      <c r="F2238" s="4">
        <v>4</v>
      </c>
      <c r="G2238" s="4">
        <v>0</v>
      </c>
      <c r="H2238" s="4">
        <v>0</v>
      </c>
      <c r="I2238" s="4">
        <v>0</v>
      </c>
      <c r="J2238" s="4">
        <v>4</v>
      </c>
    </row>
    <row r="2239" spans="1:10" x14ac:dyDescent="0.75">
      <c r="A2239" t="s">
        <v>151</v>
      </c>
      <c r="B2239">
        <v>4798</v>
      </c>
      <c r="C2239" t="s">
        <v>75</v>
      </c>
      <c r="D2239">
        <v>6899</v>
      </c>
      <c r="E2239" t="s">
        <v>498</v>
      </c>
      <c r="F2239" s="4">
        <v>4</v>
      </c>
      <c r="G2239" s="4">
        <v>0</v>
      </c>
      <c r="H2239" s="4">
        <v>0</v>
      </c>
      <c r="I2239" s="4">
        <v>0</v>
      </c>
      <c r="J2239" s="4">
        <v>4</v>
      </c>
    </row>
    <row r="2240" spans="1:10" x14ac:dyDescent="0.75">
      <c r="A2240" t="s">
        <v>151</v>
      </c>
      <c r="B2240">
        <v>4798</v>
      </c>
      <c r="C2240" t="s">
        <v>75</v>
      </c>
      <c r="D2240">
        <v>5330</v>
      </c>
      <c r="E2240" t="s">
        <v>385</v>
      </c>
      <c r="F2240" s="4">
        <v>2</v>
      </c>
      <c r="G2240" s="4">
        <v>0</v>
      </c>
      <c r="H2240" s="4">
        <v>0</v>
      </c>
      <c r="I2240" s="4">
        <v>0</v>
      </c>
      <c r="J2240" s="4">
        <v>2</v>
      </c>
    </row>
    <row r="2241" spans="1:10" x14ac:dyDescent="0.75">
      <c r="A2241" t="s">
        <v>151</v>
      </c>
      <c r="B2241">
        <v>4993</v>
      </c>
      <c r="C2241" t="s">
        <v>115</v>
      </c>
      <c r="D2241">
        <v>2330</v>
      </c>
      <c r="E2241" t="s">
        <v>368</v>
      </c>
      <c r="F2241" s="4">
        <v>2152</v>
      </c>
      <c r="G2241" s="4">
        <v>0</v>
      </c>
      <c r="H2241" s="4">
        <v>0</v>
      </c>
      <c r="I2241" s="4">
        <v>0</v>
      </c>
      <c r="J2241" s="4">
        <v>2152</v>
      </c>
    </row>
    <row r="2242" spans="1:10" x14ac:dyDescent="0.75">
      <c r="A2242" t="s">
        <v>151</v>
      </c>
      <c r="B2242">
        <v>4993</v>
      </c>
      <c r="C2242" t="s">
        <v>115</v>
      </c>
      <c r="D2242">
        <v>2211</v>
      </c>
      <c r="E2242" t="s">
        <v>367</v>
      </c>
      <c r="F2242" s="4">
        <v>153</v>
      </c>
      <c r="G2242" s="4">
        <v>0</v>
      </c>
      <c r="H2242" s="4">
        <v>0</v>
      </c>
      <c r="I2242" s="4">
        <v>0</v>
      </c>
      <c r="J2242" s="4">
        <v>153</v>
      </c>
    </row>
    <row r="2243" spans="1:10" x14ac:dyDescent="0.75">
      <c r="A2243" t="s">
        <v>151</v>
      </c>
      <c r="B2243">
        <v>4993</v>
      </c>
      <c r="C2243" t="s">
        <v>115</v>
      </c>
      <c r="D2243">
        <v>7900</v>
      </c>
      <c r="E2243" t="s">
        <v>388</v>
      </c>
      <c r="F2243" s="4">
        <v>140</v>
      </c>
      <c r="G2243" s="4">
        <v>0</v>
      </c>
      <c r="H2243" s="4">
        <v>0</v>
      </c>
      <c r="I2243" s="4">
        <v>0</v>
      </c>
      <c r="J2243" s="4">
        <v>140</v>
      </c>
    </row>
    <row r="2244" spans="1:10" x14ac:dyDescent="0.75">
      <c r="A2244" t="s">
        <v>151</v>
      </c>
      <c r="B2244">
        <v>4993</v>
      </c>
      <c r="C2244" t="s">
        <v>115</v>
      </c>
      <c r="D2244">
        <v>7210</v>
      </c>
      <c r="E2244" t="s">
        <v>426</v>
      </c>
      <c r="F2244" s="4">
        <v>36</v>
      </c>
      <c r="G2244" s="4">
        <v>0</v>
      </c>
      <c r="H2244" s="4">
        <v>0</v>
      </c>
      <c r="I2244" s="4">
        <v>0</v>
      </c>
      <c r="J2244" s="4">
        <v>36</v>
      </c>
    </row>
    <row r="2245" spans="1:10" x14ac:dyDescent="0.75">
      <c r="A2245" t="s">
        <v>151</v>
      </c>
      <c r="B2245">
        <v>4993</v>
      </c>
      <c r="C2245" t="s">
        <v>115</v>
      </c>
      <c r="D2245">
        <v>5540</v>
      </c>
      <c r="E2245" t="s">
        <v>469</v>
      </c>
      <c r="F2245" s="4">
        <v>32</v>
      </c>
      <c r="G2245" s="4">
        <v>0</v>
      </c>
      <c r="H2245" s="4">
        <v>0</v>
      </c>
      <c r="I2245" s="4">
        <v>0</v>
      </c>
      <c r="J2245" s="4">
        <v>32</v>
      </c>
    </row>
    <row r="2246" spans="1:10" x14ac:dyDescent="0.75">
      <c r="A2246" t="s">
        <v>151</v>
      </c>
      <c r="B2246">
        <v>4993</v>
      </c>
      <c r="C2246" t="s">
        <v>115</v>
      </c>
      <c r="D2246">
        <v>2990</v>
      </c>
      <c r="E2246" t="s">
        <v>432</v>
      </c>
      <c r="F2246" s="4">
        <v>28</v>
      </c>
      <c r="G2246" s="4">
        <v>0</v>
      </c>
      <c r="H2246" s="4">
        <v>0</v>
      </c>
      <c r="I2246" s="4">
        <v>0</v>
      </c>
      <c r="J2246" s="4">
        <v>28</v>
      </c>
    </row>
    <row r="2247" spans="1:10" x14ac:dyDescent="0.75">
      <c r="A2247" t="s">
        <v>151</v>
      </c>
      <c r="B2247">
        <v>4993</v>
      </c>
      <c r="C2247" t="s">
        <v>115</v>
      </c>
      <c r="D2247">
        <v>7400</v>
      </c>
      <c r="E2247" t="s">
        <v>502</v>
      </c>
      <c r="F2247" s="4">
        <v>14</v>
      </c>
      <c r="G2247" s="4">
        <v>0</v>
      </c>
      <c r="H2247" s="4">
        <v>0</v>
      </c>
      <c r="I2247" s="4">
        <v>0</v>
      </c>
      <c r="J2247" s="4">
        <v>14</v>
      </c>
    </row>
    <row r="2248" spans="1:10" x14ac:dyDescent="0.75">
      <c r="A2248" t="s">
        <v>151</v>
      </c>
      <c r="B2248">
        <v>4993</v>
      </c>
      <c r="C2248" t="s">
        <v>115</v>
      </c>
      <c r="D2248">
        <v>5480</v>
      </c>
      <c r="E2248" t="s">
        <v>386</v>
      </c>
      <c r="F2248" s="4">
        <v>12</v>
      </c>
      <c r="G2248" s="4">
        <v>0</v>
      </c>
      <c r="H2248" s="4">
        <v>0</v>
      </c>
      <c r="I2248" s="4">
        <v>0</v>
      </c>
      <c r="J2248" s="4">
        <v>12</v>
      </c>
    </row>
    <row r="2249" spans="1:10" x14ac:dyDescent="0.75">
      <c r="A2249" t="s">
        <v>151</v>
      </c>
      <c r="B2249">
        <v>4993</v>
      </c>
      <c r="C2249" t="s">
        <v>115</v>
      </c>
      <c r="D2249">
        <v>4189</v>
      </c>
      <c r="E2249" t="s">
        <v>451</v>
      </c>
      <c r="F2249" s="4">
        <v>10</v>
      </c>
      <c r="G2249" s="4">
        <v>0</v>
      </c>
      <c r="H2249" s="4">
        <v>0</v>
      </c>
      <c r="I2249" s="4">
        <v>0</v>
      </c>
      <c r="J2249" s="4">
        <v>10</v>
      </c>
    </row>
    <row r="2250" spans="1:10" x14ac:dyDescent="0.75">
      <c r="A2250" t="s">
        <v>151</v>
      </c>
      <c r="B2250">
        <v>4993</v>
      </c>
      <c r="C2250" t="s">
        <v>115</v>
      </c>
      <c r="D2250">
        <v>3299</v>
      </c>
      <c r="E2250" t="s">
        <v>448</v>
      </c>
      <c r="F2250" s="4">
        <v>8</v>
      </c>
      <c r="G2250" s="4">
        <v>0</v>
      </c>
      <c r="H2250" s="4">
        <v>0</v>
      </c>
      <c r="I2250" s="4">
        <v>0</v>
      </c>
      <c r="J2250" s="4">
        <v>8</v>
      </c>
    </row>
    <row r="2251" spans="1:10" x14ac:dyDescent="0.75">
      <c r="A2251" t="s">
        <v>151</v>
      </c>
      <c r="B2251">
        <v>4993</v>
      </c>
      <c r="C2251" t="s">
        <v>115</v>
      </c>
      <c r="D2251">
        <v>7120</v>
      </c>
      <c r="E2251" t="s">
        <v>499</v>
      </c>
      <c r="F2251" s="4">
        <v>4</v>
      </c>
      <c r="G2251" s="4">
        <v>0</v>
      </c>
      <c r="H2251" s="4">
        <v>0</v>
      </c>
      <c r="I2251" s="4">
        <v>0</v>
      </c>
      <c r="J2251" s="4">
        <v>4</v>
      </c>
    </row>
    <row r="2252" spans="1:10" x14ac:dyDescent="0.75">
      <c r="A2252" t="s">
        <v>151</v>
      </c>
      <c r="B2252">
        <v>4993</v>
      </c>
      <c r="C2252" t="s">
        <v>115</v>
      </c>
      <c r="D2252">
        <v>5360</v>
      </c>
      <c r="E2252" t="s">
        <v>465</v>
      </c>
      <c r="F2252" s="4">
        <v>2</v>
      </c>
      <c r="G2252" s="4">
        <v>0</v>
      </c>
      <c r="H2252" s="4">
        <v>0</v>
      </c>
      <c r="I2252" s="4">
        <v>0</v>
      </c>
      <c r="J2252" s="4">
        <v>2</v>
      </c>
    </row>
    <row r="2253" spans="1:10" x14ac:dyDescent="0.75">
      <c r="A2253" t="s">
        <v>151</v>
      </c>
      <c r="B2253">
        <v>4458</v>
      </c>
      <c r="C2253" t="s">
        <v>187</v>
      </c>
      <c r="D2253">
        <v>2100</v>
      </c>
      <c r="E2253" t="s">
        <v>403</v>
      </c>
      <c r="F2253" s="4">
        <v>778539</v>
      </c>
      <c r="G2253" s="4">
        <v>2612651</v>
      </c>
      <c r="H2253" s="4">
        <v>2612651</v>
      </c>
      <c r="I2253" s="4">
        <v>0</v>
      </c>
      <c r="J2253" s="4">
        <v>3391190</v>
      </c>
    </row>
    <row r="2254" spans="1:10" x14ac:dyDescent="0.75">
      <c r="A2254" t="s">
        <v>151</v>
      </c>
      <c r="B2254">
        <v>4458</v>
      </c>
      <c r="C2254" t="s">
        <v>187</v>
      </c>
      <c r="D2254">
        <v>2211</v>
      </c>
      <c r="E2254" t="s">
        <v>367</v>
      </c>
      <c r="F2254" s="4">
        <v>516995</v>
      </c>
      <c r="G2254" s="4">
        <v>474046</v>
      </c>
      <c r="H2254" s="4">
        <v>474046</v>
      </c>
      <c r="I2254" s="4">
        <v>0</v>
      </c>
      <c r="J2254" s="4">
        <v>991041</v>
      </c>
    </row>
    <row r="2255" spans="1:10" x14ac:dyDescent="0.75">
      <c r="A2255" t="s">
        <v>151</v>
      </c>
      <c r="B2255">
        <v>4458</v>
      </c>
      <c r="C2255" t="s">
        <v>187</v>
      </c>
      <c r="D2255">
        <v>2221</v>
      </c>
      <c r="E2255" t="s">
        <v>374</v>
      </c>
      <c r="F2255" s="4">
        <v>309955</v>
      </c>
      <c r="G2255" s="4">
        <v>397242</v>
      </c>
      <c r="H2255" s="4">
        <v>397242</v>
      </c>
      <c r="I2255" s="4">
        <v>0</v>
      </c>
      <c r="J2255" s="4">
        <v>707197</v>
      </c>
    </row>
    <row r="2256" spans="1:10" x14ac:dyDescent="0.75">
      <c r="A2256" t="s">
        <v>151</v>
      </c>
      <c r="B2256">
        <v>4458</v>
      </c>
      <c r="C2256" t="s">
        <v>187</v>
      </c>
      <c r="D2256">
        <v>1100</v>
      </c>
      <c r="E2256" t="s">
        <v>397</v>
      </c>
      <c r="F2256" s="4">
        <v>0</v>
      </c>
      <c r="G2256" s="4">
        <v>543359</v>
      </c>
      <c r="H2256" s="4">
        <v>543359</v>
      </c>
      <c r="I2256" s="4">
        <v>0</v>
      </c>
      <c r="J2256" s="4">
        <v>543359</v>
      </c>
    </row>
    <row r="2257" spans="1:10" x14ac:dyDescent="0.75">
      <c r="A2257" t="s">
        <v>151</v>
      </c>
      <c r="B2257">
        <v>4458</v>
      </c>
      <c r="C2257" t="s">
        <v>187</v>
      </c>
      <c r="D2257">
        <v>5220</v>
      </c>
      <c r="E2257" t="s">
        <v>401</v>
      </c>
      <c r="F2257" s="4">
        <v>86420</v>
      </c>
      <c r="G2257" s="4">
        <v>320310</v>
      </c>
      <c r="H2257" s="4">
        <v>320310</v>
      </c>
      <c r="I2257" s="4">
        <v>0</v>
      </c>
      <c r="J2257" s="4">
        <v>406730</v>
      </c>
    </row>
    <row r="2258" spans="1:10" x14ac:dyDescent="0.75">
      <c r="A2258" t="s">
        <v>151</v>
      </c>
      <c r="B2258">
        <v>4458</v>
      </c>
      <c r="C2258" t="s">
        <v>187</v>
      </c>
      <c r="D2258">
        <v>2330</v>
      </c>
      <c r="E2258" t="s">
        <v>368</v>
      </c>
      <c r="F2258" s="4">
        <v>387031</v>
      </c>
      <c r="G2258" s="4">
        <v>19601</v>
      </c>
      <c r="H2258" s="4">
        <v>19601</v>
      </c>
      <c r="I2258" s="4">
        <v>0</v>
      </c>
      <c r="J2258" s="4">
        <v>406632</v>
      </c>
    </row>
    <row r="2259" spans="1:10" x14ac:dyDescent="0.75">
      <c r="A2259" t="s">
        <v>151</v>
      </c>
      <c r="B2259">
        <v>4458</v>
      </c>
      <c r="C2259" t="s">
        <v>187</v>
      </c>
      <c r="D2259">
        <v>4331</v>
      </c>
      <c r="E2259" t="s">
        <v>390</v>
      </c>
      <c r="F2259" s="4">
        <v>0</v>
      </c>
      <c r="G2259" s="4">
        <v>194579</v>
      </c>
      <c r="H2259" s="4">
        <v>194579</v>
      </c>
      <c r="I2259" s="4">
        <v>0</v>
      </c>
      <c r="J2259" s="4">
        <v>194579</v>
      </c>
    </row>
    <row r="2260" spans="1:10" x14ac:dyDescent="0.75">
      <c r="A2260" t="s">
        <v>151</v>
      </c>
      <c r="B2260">
        <v>4458</v>
      </c>
      <c r="C2260" t="s">
        <v>187</v>
      </c>
      <c r="D2260">
        <v>2340</v>
      </c>
      <c r="E2260" t="s">
        <v>369</v>
      </c>
      <c r="F2260" s="4">
        <v>142889</v>
      </c>
      <c r="G2260" s="4">
        <v>0</v>
      </c>
      <c r="H2260" s="4">
        <v>0</v>
      </c>
      <c r="I2260" s="4">
        <v>0</v>
      </c>
      <c r="J2260" s="4">
        <v>142889</v>
      </c>
    </row>
    <row r="2261" spans="1:10" x14ac:dyDescent="0.75">
      <c r="A2261" t="s">
        <v>151</v>
      </c>
      <c r="B2261">
        <v>4458</v>
      </c>
      <c r="C2261" t="s">
        <v>187</v>
      </c>
      <c r="D2261">
        <v>4420</v>
      </c>
      <c r="E2261" t="s">
        <v>381</v>
      </c>
      <c r="F2261" s="4">
        <v>0</v>
      </c>
      <c r="G2261" s="4">
        <v>120058</v>
      </c>
      <c r="H2261" s="4">
        <v>0</v>
      </c>
      <c r="I2261" s="4">
        <v>120058</v>
      </c>
      <c r="J2261" s="4">
        <v>120058</v>
      </c>
    </row>
    <row r="2262" spans="1:10" x14ac:dyDescent="0.75">
      <c r="A2262" t="s">
        <v>151</v>
      </c>
      <c r="B2262">
        <v>4458</v>
      </c>
      <c r="C2262" t="s">
        <v>187</v>
      </c>
      <c r="D2262">
        <v>2350</v>
      </c>
      <c r="E2262" t="s">
        <v>404</v>
      </c>
      <c r="F2262" s="4">
        <v>1762</v>
      </c>
      <c r="G2262" s="4">
        <v>54847</v>
      </c>
      <c r="H2262" s="4">
        <v>3</v>
      </c>
      <c r="I2262" s="4">
        <v>54844</v>
      </c>
      <c r="J2262" s="4">
        <v>56609</v>
      </c>
    </row>
    <row r="2263" spans="1:10" x14ac:dyDescent="0.75">
      <c r="A2263" t="s">
        <v>151</v>
      </c>
      <c r="B2263">
        <v>4458</v>
      </c>
      <c r="C2263" t="s">
        <v>187</v>
      </c>
      <c r="D2263">
        <v>2640</v>
      </c>
      <c r="E2263" t="s">
        <v>431</v>
      </c>
      <c r="F2263" s="4">
        <v>23487</v>
      </c>
      <c r="G2263" s="4">
        <v>4334</v>
      </c>
      <c r="H2263" s="4">
        <v>4334</v>
      </c>
      <c r="I2263" s="4">
        <v>0</v>
      </c>
      <c r="J2263" s="4">
        <v>27821</v>
      </c>
    </row>
    <row r="2264" spans="1:10" x14ac:dyDescent="0.75">
      <c r="A2264" t="s">
        <v>151</v>
      </c>
      <c r="B2264">
        <v>4458</v>
      </c>
      <c r="C2264" t="s">
        <v>187</v>
      </c>
      <c r="D2264">
        <v>4900</v>
      </c>
      <c r="E2264" t="s">
        <v>383</v>
      </c>
      <c r="F2264" s="4">
        <v>0</v>
      </c>
      <c r="G2264" s="4">
        <v>25519</v>
      </c>
      <c r="H2264" s="4">
        <v>25519</v>
      </c>
      <c r="I2264" s="4">
        <v>0</v>
      </c>
      <c r="J2264" s="4">
        <v>25519</v>
      </c>
    </row>
    <row r="2265" spans="1:10" x14ac:dyDescent="0.75">
      <c r="A2265" t="s">
        <v>151</v>
      </c>
      <c r="B2265">
        <v>4458</v>
      </c>
      <c r="C2265" t="s">
        <v>187</v>
      </c>
      <c r="D2265">
        <v>3220</v>
      </c>
      <c r="E2265" t="s">
        <v>370</v>
      </c>
      <c r="F2265" s="4">
        <v>15754</v>
      </c>
      <c r="G2265" s="4">
        <v>0</v>
      </c>
      <c r="H2265" s="4">
        <v>0</v>
      </c>
      <c r="I2265" s="4">
        <v>0</v>
      </c>
      <c r="J2265" s="4">
        <v>15754</v>
      </c>
    </row>
    <row r="2266" spans="1:10" x14ac:dyDescent="0.75">
      <c r="A2266" t="s">
        <v>151</v>
      </c>
      <c r="B2266">
        <v>4458</v>
      </c>
      <c r="C2266" t="s">
        <v>187</v>
      </c>
      <c r="D2266">
        <v>6888</v>
      </c>
      <c r="E2266" t="s">
        <v>494</v>
      </c>
      <c r="F2266" s="4">
        <v>0</v>
      </c>
      <c r="G2266" s="4">
        <v>5282</v>
      </c>
      <c r="H2266" s="4">
        <v>5282</v>
      </c>
      <c r="I2266" s="4">
        <v>0</v>
      </c>
      <c r="J2266" s="4">
        <v>5282</v>
      </c>
    </row>
    <row r="2267" spans="1:10" x14ac:dyDescent="0.75">
      <c r="A2267" t="s">
        <v>151</v>
      </c>
      <c r="B2267">
        <v>4458</v>
      </c>
      <c r="C2267" t="s">
        <v>187</v>
      </c>
      <c r="D2267">
        <v>6811</v>
      </c>
      <c r="E2267" t="s">
        <v>480</v>
      </c>
      <c r="F2267" s="4">
        <v>0</v>
      </c>
      <c r="G2267" s="4">
        <v>3</v>
      </c>
      <c r="H2267" s="4">
        <v>3</v>
      </c>
      <c r="I2267" s="4">
        <v>0</v>
      </c>
      <c r="J2267" s="4">
        <v>3</v>
      </c>
    </row>
    <row r="2268" spans="1:10" x14ac:dyDescent="0.75">
      <c r="A2268" t="s">
        <v>151</v>
      </c>
      <c r="B2268">
        <v>4458</v>
      </c>
      <c r="C2268" t="s">
        <v>187</v>
      </c>
      <c r="D2268">
        <v>6885</v>
      </c>
      <c r="E2268" t="s">
        <v>493</v>
      </c>
      <c r="F2268" s="4">
        <v>0</v>
      </c>
      <c r="G2268" s="4">
        <v>3</v>
      </c>
      <c r="H2268" s="4">
        <v>3</v>
      </c>
      <c r="I2268" s="4">
        <v>0</v>
      </c>
      <c r="J2268" s="4">
        <v>3</v>
      </c>
    </row>
    <row r="2269" spans="1:10" x14ac:dyDescent="0.75">
      <c r="A2269" t="s">
        <v>151</v>
      </c>
      <c r="B2269">
        <v>4458</v>
      </c>
      <c r="C2269" t="s">
        <v>187</v>
      </c>
      <c r="D2269">
        <v>6654</v>
      </c>
      <c r="E2269" t="s">
        <v>419</v>
      </c>
      <c r="F2269" s="4">
        <v>0</v>
      </c>
      <c r="G2269" s="4">
        <v>1</v>
      </c>
      <c r="H2269" s="4">
        <v>1</v>
      </c>
      <c r="I2269" s="4">
        <v>0</v>
      </c>
      <c r="J2269" s="4">
        <v>1</v>
      </c>
    </row>
    <row r="2270" spans="1:10" x14ac:dyDescent="0.75">
      <c r="A2270" t="s">
        <v>163</v>
      </c>
      <c r="B2270">
        <v>2385</v>
      </c>
      <c r="C2270" t="s">
        <v>244</v>
      </c>
      <c r="D2270">
        <v>4331</v>
      </c>
      <c r="E2270" t="s">
        <v>390</v>
      </c>
      <c r="F2270" s="4">
        <v>1189827</v>
      </c>
      <c r="G2270" s="4">
        <v>0</v>
      </c>
      <c r="H2270" s="4">
        <v>0</v>
      </c>
      <c r="I2270" s="4">
        <v>0</v>
      </c>
      <c r="J2270" s="4">
        <v>1189827</v>
      </c>
    </row>
    <row r="2271" spans="1:10" x14ac:dyDescent="0.75">
      <c r="A2271" t="s">
        <v>163</v>
      </c>
      <c r="B2271">
        <v>2385</v>
      </c>
      <c r="C2271" t="s">
        <v>244</v>
      </c>
      <c r="D2271">
        <v>2430</v>
      </c>
      <c r="E2271" t="s">
        <v>376</v>
      </c>
      <c r="F2271" s="4">
        <v>65290</v>
      </c>
      <c r="G2271" s="4">
        <v>0</v>
      </c>
      <c r="H2271" s="4">
        <v>0</v>
      </c>
      <c r="I2271" s="4">
        <v>0</v>
      </c>
      <c r="J2271" s="4">
        <v>65290</v>
      </c>
    </row>
    <row r="2272" spans="1:10" x14ac:dyDescent="0.75">
      <c r="A2272" t="s">
        <v>163</v>
      </c>
      <c r="B2272">
        <v>2385</v>
      </c>
      <c r="C2272" t="s">
        <v>244</v>
      </c>
      <c r="D2272">
        <v>4860</v>
      </c>
      <c r="E2272" t="s">
        <v>400</v>
      </c>
      <c r="F2272" s="4">
        <v>12461</v>
      </c>
      <c r="G2272" s="4">
        <v>0</v>
      </c>
      <c r="H2272" s="4">
        <v>0</v>
      </c>
      <c r="I2272" s="4">
        <v>0</v>
      </c>
      <c r="J2272" s="4">
        <v>12461</v>
      </c>
    </row>
    <row r="2273" spans="1:10" x14ac:dyDescent="0.75">
      <c r="A2273" t="s">
        <v>163</v>
      </c>
      <c r="B2273">
        <v>2385</v>
      </c>
      <c r="C2273" t="s">
        <v>244</v>
      </c>
      <c r="D2273">
        <v>4335</v>
      </c>
      <c r="E2273" t="s">
        <v>372</v>
      </c>
      <c r="F2273" s="4">
        <v>10089</v>
      </c>
      <c r="G2273" s="4">
        <v>0</v>
      </c>
      <c r="H2273" s="4">
        <v>0</v>
      </c>
      <c r="I2273" s="4">
        <v>0</v>
      </c>
      <c r="J2273" s="4">
        <v>10089</v>
      </c>
    </row>
    <row r="2274" spans="1:10" x14ac:dyDescent="0.75">
      <c r="A2274" t="s">
        <v>163</v>
      </c>
      <c r="B2274">
        <v>2307</v>
      </c>
      <c r="C2274" t="s">
        <v>193</v>
      </c>
      <c r="D2274">
        <v>1100</v>
      </c>
      <c r="E2274" t="s">
        <v>397</v>
      </c>
      <c r="F2274" s="4">
        <v>3646373</v>
      </c>
      <c r="G2274" s="4">
        <v>0</v>
      </c>
      <c r="H2274" s="4">
        <v>0</v>
      </c>
      <c r="I2274" s="4">
        <v>0</v>
      </c>
      <c r="J2274" s="4">
        <v>3646373</v>
      </c>
    </row>
    <row r="2275" spans="1:10" x14ac:dyDescent="0.75">
      <c r="A2275" t="s">
        <v>163</v>
      </c>
      <c r="B2275">
        <v>2307</v>
      </c>
      <c r="C2275" t="s">
        <v>193</v>
      </c>
      <c r="D2275">
        <v>4322</v>
      </c>
      <c r="E2275" t="s">
        <v>398</v>
      </c>
      <c r="F2275" s="4">
        <v>710893</v>
      </c>
      <c r="G2275" s="4">
        <v>0</v>
      </c>
      <c r="H2275" s="4">
        <v>0</v>
      </c>
      <c r="I2275" s="4">
        <v>0</v>
      </c>
      <c r="J2275" s="4">
        <v>710893</v>
      </c>
    </row>
    <row r="2276" spans="1:10" x14ac:dyDescent="0.75">
      <c r="A2276" t="s">
        <v>163</v>
      </c>
      <c r="B2276">
        <v>2307</v>
      </c>
      <c r="C2276" t="s">
        <v>193</v>
      </c>
      <c r="D2276">
        <v>4331</v>
      </c>
      <c r="E2276" t="s">
        <v>390</v>
      </c>
      <c r="F2276" s="4">
        <v>560771</v>
      </c>
      <c r="G2276" s="4">
        <v>0</v>
      </c>
      <c r="H2276" s="4">
        <v>0</v>
      </c>
      <c r="I2276" s="4">
        <v>0</v>
      </c>
      <c r="J2276" s="4">
        <v>560771</v>
      </c>
    </row>
    <row r="2277" spans="1:10" x14ac:dyDescent="0.75">
      <c r="A2277" t="s">
        <v>163</v>
      </c>
      <c r="B2277">
        <v>2307</v>
      </c>
      <c r="C2277" t="s">
        <v>193</v>
      </c>
      <c r="D2277">
        <v>6344</v>
      </c>
      <c r="E2277" t="s">
        <v>392</v>
      </c>
      <c r="F2277" s="4">
        <v>346626</v>
      </c>
      <c r="G2277" s="4">
        <v>0</v>
      </c>
      <c r="H2277" s="4">
        <v>0</v>
      </c>
      <c r="I2277" s="4">
        <v>0</v>
      </c>
      <c r="J2277" s="4">
        <v>346626</v>
      </c>
    </row>
    <row r="2278" spans="1:10" x14ac:dyDescent="0.75">
      <c r="A2278" t="s">
        <v>163</v>
      </c>
      <c r="B2278">
        <v>2307</v>
      </c>
      <c r="C2278" t="s">
        <v>193</v>
      </c>
      <c r="D2278">
        <v>6522</v>
      </c>
      <c r="E2278" t="s">
        <v>393</v>
      </c>
      <c r="F2278" s="4">
        <v>210977</v>
      </c>
      <c r="G2278" s="4">
        <v>0</v>
      </c>
      <c r="H2278" s="4">
        <v>0</v>
      </c>
      <c r="I2278" s="4">
        <v>0</v>
      </c>
      <c r="J2278" s="4">
        <v>210977</v>
      </c>
    </row>
    <row r="2279" spans="1:10" x14ac:dyDescent="0.75">
      <c r="A2279" t="s">
        <v>163</v>
      </c>
      <c r="B2279">
        <v>2307</v>
      </c>
      <c r="C2279" t="s">
        <v>193</v>
      </c>
      <c r="D2279">
        <v>4860</v>
      </c>
      <c r="E2279" t="s">
        <v>400</v>
      </c>
      <c r="F2279" s="4">
        <v>72146</v>
      </c>
      <c r="G2279" s="4">
        <v>0</v>
      </c>
      <c r="H2279" s="4">
        <v>0</v>
      </c>
      <c r="I2279" s="4">
        <v>0</v>
      </c>
      <c r="J2279" s="4">
        <v>72146</v>
      </c>
    </row>
    <row r="2280" spans="1:10" x14ac:dyDescent="0.75">
      <c r="A2280" t="s">
        <v>163</v>
      </c>
      <c r="B2280">
        <v>2307</v>
      </c>
      <c r="C2280" t="s">
        <v>193</v>
      </c>
      <c r="D2280">
        <v>5330</v>
      </c>
      <c r="E2280" t="s">
        <v>385</v>
      </c>
      <c r="F2280" s="4">
        <v>51642</v>
      </c>
      <c r="G2280" s="4">
        <v>0</v>
      </c>
      <c r="H2280" s="4">
        <v>0</v>
      </c>
      <c r="I2280" s="4">
        <v>0</v>
      </c>
      <c r="J2280" s="4">
        <v>51642</v>
      </c>
    </row>
    <row r="2281" spans="1:10" x14ac:dyDescent="0.75">
      <c r="A2281" t="s">
        <v>163</v>
      </c>
      <c r="B2281">
        <v>2307</v>
      </c>
      <c r="C2281" t="s">
        <v>193</v>
      </c>
      <c r="D2281">
        <v>6241</v>
      </c>
      <c r="E2281" t="s">
        <v>391</v>
      </c>
      <c r="F2281" s="4">
        <v>45787</v>
      </c>
      <c r="G2281" s="4">
        <v>0</v>
      </c>
      <c r="H2281" s="4">
        <v>0</v>
      </c>
      <c r="I2281" s="4">
        <v>0</v>
      </c>
      <c r="J2281" s="4">
        <v>45787</v>
      </c>
    </row>
    <row r="2282" spans="1:10" x14ac:dyDescent="0.75">
      <c r="A2282" t="s">
        <v>163</v>
      </c>
      <c r="B2282">
        <v>2307</v>
      </c>
      <c r="C2282" t="s">
        <v>193</v>
      </c>
      <c r="D2282">
        <v>4323</v>
      </c>
      <c r="E2282" t="s">
        <v>373</v>
      </c>
      <c r="F2282" s="4">
        <v>38243</v>
      </c>
      <c r="G2282" s="4">
        <v>0</v>
      </c>
      <c r="H2282" s="4">
        <v>0</v>
      </c>
      <c r="I2282" s="4">
        <v>0</v>
      </c>
      <c r="J2282" s="4">
        <v>38243</v>
      </c>
    </row>
    <row r="2283" spans="1:10" x14ac:dyDescent="0.75">
      <c r="A2283" t="s">
        <v>163</v>
      </c>
      <c r="B2283">
        <v>2307</v>
      </c>
      <c r="C2283" t="s">
        <v>193</v>
      </c>
      <c r="D2283">
        <v>3130</v>
      </c>
      <c r="E2283" t="s">
        <v>407</v>
      </c>
      <c r="F2283" s="4">
        <v>36018</v>
      </c>
      <c r="G2283" s="4">
        <v>0</v>
      </c>
      <c r="H2283" s="4">
        <v>0</v>
      </c>
      <c r="I2283" s="4">
        <v>0</v>
      </c>
      <c r="J2283" s="4">
        <v>36018</v>
      </c>
    </row>
    <row r="2284" spans="1:10" x14ac:dyDescent="0.75">
      <c r="A2284" t="s">
        <v>163</v>
      </c>
      <c r="B2284">
        <v>2307</v>
      </c>
      <c r="C2284" t="s">
        <v>193</v>
      </c>
      <c r="D2284">
        <v>3190</v>
      </c>
      <c r="E2284" t="s">
        <v>408</v>
      </c>
      <c r="F2284" s="4">
        <v>15203</v>
      </c>
      <c r="G2284" s="4">
        <v>0</v>
      </c>
      <c r="H2284" s="4">
        <v>0</v>
      </c>
      <c r="I2284" s="4">
        <v>0</v>
      </c>
      <c r="J2284" s="4">
        <v>15203</v>
      </c>
    </row>
    <row r="2285" spans="1:10" x14ac:dyDescent="0.75">
      <c r="A2285" t="s">
        <v>163</v>
      </c>
      <c r="B2285">
        <v>2307</v>
      </c>
      <c r="C2285" t="s">
        <v>193</v>
      </c>
      <c r="D2285">
        <v>3110</v>
      </c>
      <c r="E2285" t="s">
        <v>405</v>
      </c>
      <c r="F2285" s="4">
        <v>9355</v>
      </c>
      <c r="G2285" s="4">
        <v>0</v>
      </c>
      <c r="H2285" s="4">
        <v>0</v>
      </c>
      <c r="I2285" s="4">
        <v>0</v>
      </c>
      <c r="J2285" s="4">
        <v>9355</v>
      </c>
    </row>
    <row r="2286" spans="1:10" x14ac:dyDescent="0.75">
      <c r="A2286" t="s">
        <v>163</v>
      </c>
      <c r="B2286">
        <v>2307</v>
      </c>
      <c r="C2286" t="s">
        <v>193</v>
      </c>
      <c r="D2286">
        <v>3120</v>
      </c>
      <c r="E2286" t="s">
        <v>406</v>
      </c>
      <c r="F2286" s="4">
        <v>6405</v>
      </c>
      <c r="G2286" s="4">
        <v>0</v>
      </c>
      <c r="H2286" s="4">
        <v>0</v>
      </c>
      <c r="I2286" s="4">
        <v>0</v>
      </c>
      <c r="J2286" s="4">
        <v>6405</v>
      </c>
    </row>
    <row r="2287" spans="1:10" x14ac:dyDescent="0.75">
      <c r="A2287" t="s">
        <v>163</v>
      </c>
      <c r="B2287">
        <v>2307</v>
      </c>
      <c r="C2287" t="s">
        <v>193</v>
      </c>
      <c r="D2287">
        <v>5390</v>
      </c>
      <c r="E2287" t="s">
        <v>418</v>
      </c>
      <c r="F2287" s="4">
        <v>1351</v>
      </c>
      <c r="G2287" s="4">
        <v>0</v>
      </c>
      <c r="H2287" s="4">
        <v>0</v>
      </c>
      <c r="I2287" s="4">
        <v>0</v>
      </c>
      <c r="J2287" s="4">
        <v>1351</v>
      </c>
    </row>
    <row r="2288" spans="1:10" x14ac:dyDescent="0.75">
      <c r="A2288" t="s">
        <v>151</v>
      </c>
      <c r="B2288">
        <v>4453</v>
      </c>
      <c r="C2288" t="s">
        <v>79</v>
      </c>
      <c r="D2288">
        <v>7800</v>
      </c>
      <c r="E2288" t="s">
        <v>507</v>
      </c>
      <c r="F2288" s="4">
        <v>137473</v>
      </c>
      <c r="G2288" s="4">
        <v>0</v>
      </c>
      <c r="H2288" s="4">
        <v>0</v>
      </c>
      <c r="I2288" s="4">
        <v>0</v>
      </c>
      <c r="J2288" s="4">
        <v>137473</v>
      </c>
    </row>
    <row r="2289" spans="1:10" x14ac:dyDescent="0.75">
      <c r="A2289" t="s">
        <v>151</v>
      </c>
      <c r="B2289">
        <v>4453</v>
      </c>
      <c r="C2289" t="s">
        <v>79</v>
      </c>
      <c r="D2289">
        <v>7900</v>
      </c>
      <c r="E2289" t="s">
        <v>388</v>
      </c>
      <c r="F2289" s="4">
        <v>22788</v>
      </c>
      <c r="G2289" s="4">
        <v>0</v>
      </c>
      <c r="H2289" s="4">
        <v>0</v>
      </c>
      <c r="I2289" s="4">
        <v>0</v>
      </c>
      <c r="J2289" s="4">
        <v>22788</v>
      </c>
    </row>
    <row r="2290" spans="1:10" x14ac:dyDescent="0.75">
      <c r="A2290" t="s">
        <v>151</v>
      </c>
      <c r="B2290">
        <v>4453</v>
      </c>
      <c r="C2290" t="s">
        <v>79</v>
      </c>
      <c r="D2290">
        <v>7210</v>
      </c>
      <c r="E2290" t="s">
        <v>426</v>
      </c>
      <c r="F2290" s="4">
        <v>9997</v>
      </c>
      <c r="G2290" s="4">
        <v>0</v>
      </c>
      <c r="H2290" s="4">
        <v>0</v>
      </c>
      <c r="I2290" s="4">
        <v>0</v>
      </c>
      <c r="J2290" s="4">
        <v>9997</v>
      </c>
    </row>
    <row r="2291" spans="1:10" x14ac:dyDescent="0.75">
      <c r="A2291" t="s">
        <v>151</v>
      </c>
      <c r="B2291">
        <v>4453</v>
      </c>
      <c r="C2291" t="s">
        <v>79</v>
      </c>
      <c r="D2291">
        <v>6889</v>
      </c>
      <c r="E2291" t="s">
        <v>420</v>
      </c>
      <c r="F2291" s="4">
        <v>1251</v>
      </c>
      <c r="G2291" s="4">
        <v>0</v>
      </c>
      <c r="H2291" s="4">
        <v>0</v>
      </c>
      <c r="I2291" s="4">
        <v>0</v>
      </c>
      <c r="J2291" s="4">
        <v>1251</v>
      </c>
    </row>
    <row r="2292" spans="1:10" x14ac:dyDescent="0.75">
      <c r="A2292" t="s">
        <v>151</v>
      </c>
      <c r="B2292">
        <v>4453</v>
      </c>
      <c r="C2292" t="s">
        <v>79</v>
      </c>
      <c r="D2292">
        <v>5480</v>
      </c>
      <c r="E2292" t="s">
        <v>386</v>
      </c>
      <c r="F2292" s="4">
        <v>945</v>
      </c>
      <c r="G2292" s="4">
        <v>0</v>
      </c>
      <c r="H2292" s="4">
        <v>0</v>
      </c>
      <c r="I2292" s="4">
        <v>0</v>
      </c>
      <c r="J2292" s="4">
        <v>945</v>
      </c>
    </row>
    <row r="2293" spans="1:10" x14ac:dyDescent="0.75">
      <c r="A2293" t="s">
        <v>151</v>
      </c>
      <c r="B2293">
        <v>4453</v>
      </c>
      <c r="C2293" t="s">
        <v>79</v>
      </c>
      <c r="D2293">
        <v>6887</v>
      </c>
      <c r="E2293" t="s">
        <v>505</v>
      </c>
      <c r="F2293" s="4">
        <v>711</v>
      </c>
      <c r="G2293" s="4">
        <v>0</v>
      </c>
      <c r="H2293" s="4">
        <v>0</v>
      </c>
      <c r="I2293" s="4">
        <v>0</v>
      </c>
      <c r="J2293" s="4">
        <v>711</v>
      </c>
    </row>
    <row r="2294" spans="1:10" x14ac:dyDescent="0.75">
      <c r="A2294" t="s">
        <v>151</v>
      </c>
      <c r="B2294">
        <v>4453</v>
      </c>
      <c r="C2294" t="s">
        <v>79</v>
      </c>
      <c r="D2294">
        <v>5370</v>
      </c>
      <c r="E2294" t="s">
        <v>466</v>
      </c>
      <c r="F2294" s="4">
        <v>210</v>
      </c>
      <c r="G2294" s="4">
        <v>0</v>
      </c>
      <c r="H2294" s="4">
        <v>0</v>
      </c>
      <c r="I2294" s="4">
        <v>0</v>
      </c>
      <c r="J2294" s="4">
        <v>210</v>
      </c>
    </row>
    <row r="2295" spans="1:10" x14ac:dyDescent="0.75">
      <c r="A2295" t="s">
        <v>151</v>
      </c>
      <c r="B2295">
        <v>4453</v>
      </c>
      <c r="C2295" t="s">
        <v>79</v>
      </c>
      <c r="D2295">
        <v>5540</v>
      </c>
      <c r="E2295" t="s">
        <v>469</v>
      </c>
      <c r="F2295" s="4">
        <v>189</v>
      </c>
      <c r="G2295" s="4">
        <v>0</v>
      </c>
      <c r="H2295" s="4">
        <v>0</v>
      </c>
      <c r="I2295" s="4">
        <v>0</v>
      </c>
      <c r="J2295" s="4">
        <v>189</v>
      </c>
    </row>
    <row r="2296" spans="1:10" x14ac:dyDescent="0.75">
      <c r="A2296" t="s">
        <v>151</v>
      </c>
      <c r="B2296">
        <v>4453</v>
      </c>
      <c r="C2296" t="s">
        <v>79</v>
      </c>
      <c r="D2296">
        <v>4189</v>
      </c>
      <c r="E2296" t="s">
        <v>451</v>
      </c>
      <c r="F2296" s="4">
        <v>58</v>
      </c>
      <c r="G2296" s="4">
        <v>0</v>
      </c>
      <c r="H2296" s="4">
        <v>0</v>
      </c>
      <c r="I2296" s="4">
        <v>0</v>
      </c>
      <c r="J2296" s="4">
        <v>58</v>
      </c>
    </row>
    <row r="2297" spans="1:10" x14ac:dyDescent="0.75">
      <c r="A2297" t="s">
        <v>151</v>
      </c>
      <c r="B2297">
        <v>4453</v>
      </c>
      <c r="C2297" t="s">
        <v>79</v>
      </c>
      <c r="D2297">
        <v>5290</v>
      </c>
      <c r="E2297" t="s">
        <v>415</v>
      </c>
      <c r="F2297" s="4">
        <v>54</v>
      </c>
      <c r="G2297" s="4">
        <v>0</v>
      </c>
      <c r="H2297" s="4">
        <v>0</v>
      </c>
      <c r="I2297" s="4">
        <v>0</v>
      </c>
      <c r="J2297" s="4">
        <v>54</v>
      </c>
    </row>
    <row r="2298" spans="1:10" x14ac:dyDescent="0.75">
      <c r="A2298" t="s">
        <v>151</v>
      </c>
      <c r="B2298">
        <v>4453</v>
      </c>
      <c r="C2298" t="s">
        <v>79</v>
      </c>
      <c r="D2298">
        <v>4420</v>
      </c>
      <c r="E2298" t="s">
        <v>381</v>
      </c>
      <c r="F2298" s="4">
        <v>44</v>
      </c>
      <c r="G2298" s="4">
        <v>0</v>
      </c>
      <c r="H2298" s="4">
        <v>0</v>
      </c>
      <c r="I2298" s="4">
        <v>0</v>
      </c>
      <c r="J2298" s="4">
        <v>44</v>
      </c>
    </row>
    <row r="2299" spans="1:10" x14ac:dyDescent="0.75">
      <c r="A2299" t="s">
        <v>151</v>
      </c>
      <c r="B2299">
        <v>4453</v>
      </c>
      <c r="C2299" t="s">
        <v>79</v>
      </c>
      <c r="D2299">
        <v>5220</v>
      </c>
      <c r="E2299" t="s">
        <v>401</v>
      </c>
      <c r="F2299" s="4">
        <v>29</v>
      </c>
      <c r="G2299" s="4">
        <v>0</v>
      </c>
      <c r="H2299" s="4">
        <v>0</v>
      </c>
      <c r="I2299" s="4">
        <v>0</v>
      </c>
      <c r="J2299" s="4">
        <v>29</v>
      </c>
    </row>
    <row r="2300" spans="1:10" x14ac:dyDescent="0.75">
      <c r="A2300" t="s">
        <v>151</v>
      </c>
      <c r="B2300">
        <v>4453</v>
      </c>
      <c r="C2300" t="s">
        <v>79</v>
      </c>
      <c r="D2300">
        <v>6839</v>
      </c>
      <c r="E2300" t="s">
        <v>485</v>
      </c>
      <c r="F2300" s="4">
        <v>9</v>
      </c>
      <c r="G2300" s="4">
        <v>0</v>
      </c>
      <c r="H2300" s="4">
        <v>0</v>
      </c>
      <c r="I2300" s="4">
        <v>0</v>
      </c>
      <c r="J2300" s="4">
        <v>9</v>
      </c>
    </row>
    <row r="2301" spans="1:10" x14ac:dyDescent="0.75">
      <c r="A2301" t="s">
        <v>151</v>
      </c>
      <c r="B2301">
        <v>4415</v>
      </c>
      <c r="C2301" t="s">
        <v>88</v>
      </c>
      <c r="D2301">
        <v>7800</v>
      </c>
      <c r="E2301" t="s">
        <v>507</v>
      </c>
      <c r="F2301" s="4">
        <v>43918</v>
      </c>
      <c r="G2301" s="4">
        <v>0</v>
      </c>
      <c r="H2301" s="4">
        <v>0</v>
      </c>
      <c r="I2301" s="4">
        <v>0</v>
      </c>
      <c r="J2301" s="4">
        <v>43918</v>
      </c>
    </row>
    <row r="2302" spans="1:10" x14ac:dyDescent="0.75">
      <c r="A2302" t="s">
        <v>151</v>
      </c>
      <c r="B2302">
        <v>4415</v>
      </c>
      <c r="C2302" t="s">
        <v>88</v>
      </c>
      <c r="D2302">
        <v>7900</v>
      </c>
      <c r="E2302" t="s">
        <v>388</v>
      </c>
      <c r="F2302" s="4">
        <v>19320</v>
      </c>
      <c r="G2302" s="4">
        <v>0</v>
      </c>
      <c r="H2302" s="4">
        <v>0</v>
      </c>
      <c r="I2302" s="4">
        <v>0</v>
      </c>
      <c r="J2302" s="4">
        <v>19320</v>
      </c>
    </row>
    <row r="2303" spans="1:10" x14ac:dyDescent="0.75">
      <c r="A2303" t="s">
        <v>151</v>
      </c>
      <c r="B2303">
        <v>4415</v>
      </c>
      <c r="C2303" t="s">
        <v>88</v>
      </c>
      <c r="D2303">
        <v>2330</v>
      </c>
      <c r="E2303" t="s">
        <v>368</v>
      </c>
      <c r="F2303" s="4">
        <v>9164</v>
      </c>
      <c r="G2303" s="4">
        <v>0</v>
      </c>
      <c r="H2303" s="4">
        <v>0</v>
      </c>
      <c r="I2303" s="4">
        <v>0</v>
      </c>
      <c r="J2303" s="4">
        <v>9164</v>
      </c>
    </row>
    <row r="2304" spans="1:10" x14ac:dyDescent="0.75">
      <c r="A2304" t="s">
        <v>151</v>
      </c>
      <c r="B2304">
        <v>4415</v>
      </c>
      <c r="C2304" t="s">
        <v>88</v>
      </c>
      <c r="D2304">
        <v>7210</v>
      </c>
      <c r="E2304" t="s">
        <v>426</v>
      </c>
      <c r="F2304" s="4">
        <v>9013</v>
      </c>
      <c r="G2304" s="4">
        <v>0</v>
      </c>
      <c r="H2304" s="4">
        <v>0</v>
      </c>
      <c r="I2304" s="4">
        <v>0</v>
      </c>
      <c r="J2304" s="4">
        <v>9013</v>
      </c>
    </row>
    <row r="2305" spans="1:10" x14ac:dyDescent="0.75">
      <c r="A2305" t="s">
        <v>151</v>
      </c>
      <c r="B2305">
        <v>4415</v>
      </c>
      <c r="C2305" t="s">
        <v>88</v>
      </c>
      <c r="D2305">
        <v>6887</v>
      </c>
      <c r="E2305" t="s">
        <v>505</v>
      </c>
      <c r="F2305" s="4">
        <v>2908</v>
      </c>
      <c r="G2305" s="4">
        <v>0</v>
      </c>
      <c r="H2305" s="4">
        <v>0</v>
      </c>
      <c r="I2305" s="4">
        <v>0</v>
      </c>
      <c r="J2305" s="4">
        <v>2908</v>
      </c>
    </row>
    <row r="2306" spans="1:10" x14ac:dyDescent="0.75">
      <c r="A2306" t="s">
        <v>151</v>
      </c>
      <c r="B2306">
        <v>4415</v>
      </c>
      <c r="C2306" t="s">
        <v>88</v>
      </c>
      <c r="D2306">
        <v>6889</v>
      </c>
      <c r="E2306" t="s">
        <v>420</v>
      </c>
      <c r="F2306" s="4">
        <v>2107</v>
      </c>
      <c r="G2306" s="4">
        <v>0</v>
      </c>
      <c r="H2306" s="4">
        <v>0</v>
      </c>
      <c r="I2306" s="4">
        <v>0</v>
      </c>
      <c r="J2306" s="4">
        <v>2107</v>
      </c>
    </row>
    <row r="2307" spans="1:10" x14ac:dyDescent="0.75">
      <c r="A2307" t="s">
        <v>151</v>
      </c>
      <c r="B2307">
        <v>4415</v>
      </c>
      <c r="C2307" t="s">
        <v>88</v>
      </c>
      <c r="D2307">
        <v>5480</v>
      </c>
      <c r="E2307" t="s">
        <v>386</v>
      </c>
      <c r="F2307" s="4">
        <v>1377</v>
      </c>
      <c r="G2307" s="4">
        <v>0</v>
      </c>
      <c r="H2307" s="4">
        <v>0</v>
      </c>
      <c r="I2307" s="4">
        <v>0</v>
      </c>
      <c r="J2307" s="4">
        <v>1377</v>
      </c>
    </row>
    <row r="2308" spans="1:10" x14ac:dyDescent="0.75">
      <c r="A2308" t="s">
        <v>151</v>
      </c>
      <c r="B2308">
        <v>4415</v>
      </c>
      <c r="C2308" t="s">
        <v>88</v>
      </c>
      <c r="D2308">
        <v>2211</v>
      </c>
      <c r="E2308" t="s">
        <v>367</v>
      </c>
      <c r="F2308" s="4">
        <v>366</v>
      </c>
      <c r="G2308" s="4">
        <v>0</v>
      </c>
      <c r="H2308" s="4">
        <v>0</v>
      </c>
      <c r="I2308" s="4">
        <v>0</v>
      </c>
      <c r="J2308" s="4">
        <v>366</v>
      </c>
    </row>
    <row r="2309" spans="1:10" x14ac:dyDescent="0.75">
      <c r="A2309" t="s">
        <v>151</v>
      </c>
      <c r="B2309">
        <v>4415</v>
      </c>
      <c r="C2309" t="s">
        <v>88</v>
      </c>
      <c r="D2309">
        <v>5540</v>
      </c>
      <c r="E2309" t="s">
        <v>469</v>
      </c>
      <c r="F2309" s="4">
        <v>184</v>
      </c>
      <c r="G2309" s="4">
        <v>0</v>
      </c>
      <c r="H2309" s="4">
        <v>0</v>
      </c>
      <c r="I2309" s="4">
        <v>0</v>
      </c>
      <c r="J2309" s="4">
        <v>184</v>
      </c>
    </row>
    <row r="2310" spans="1:10" x14ac:dyDescent="0.75">
      <c r="A2310" t="s">
        <v>151</v>
      </c>
      <c r="B2310">
        <v>4415</v>
      </c>
      <c r="C2310" t="s">
        <v>88</v>
      </c>
      <c r="D2310">
        <v>5290</v>
      </c>
      <c r="E2310" t="s">
        <v>415</v>
      </c>
      <c r="F2310" s="4">
        <v>101</v>
      </c>
      <c r="G2310" s="4">
        <v>0</v>
      </c>
      <c r="H2310" s="4">
        <v>0</v>
      </c>
      <c r="I2310" s="4">
        <v>0</v>
      </c>
      <c r="J2310" s="4">
        <v>101</v>
      </c>
    </row>
    <row r="2311" spans="1:10" x14ac:dyDescent="0.75">
      <c r="A2311" t="s">
        <v>151</v>
      </c>
      <c r="B2311">
        <v>4415</v>
      </c>
      <c r="C2311" t="s">
        <v>88</v>
      </c>
      <c r="D2311">
        <v>6839</v>
      </c>
      <c r="E2311" t="s">
        <v>485</v>
      </c>
      <c r="F2311" s="4">
        <v>100</v>
      </c>
      <c r="G2311" s="4">
        <v>0</v>
      </c>
      <c r="H2311" s="4">
        <v>0</v>
      </c>
      <c r="I2311" s="4">
        <v>0</v>
      </c>
      <c r="J2311" s="4">
        <v>100</v>
      </c>
    </row>
    <row r="2312" spans="1:10" x14ac:dyDescent="0.75">
      <c r="A2312" t="s">
        <v>151</v>
      </c>
      <c r="B2312">
        <v>4415</v>
      </c>
      <c r="C2312" t="s">
        <v>88</v>
      </c>
      <c r="D2312">
        <v>5370</v>
      </c>
      <c r="E2312" t="s">
        <v>466</v>
      </c>
      <c r="F2312" s="4">
        <v>75</v>
      </c>
      <c r="G2312" s="4">
        <v>0</v>
      </c>
      <c r="H2312" s="4">
        <v>0</v>
      </c>
      <c r="I2312" s="4">
        <v>0</v>
      </c>
      <c r="J2312" s="4">
        <v>75</v>
      </c>
    </row>
    <row r="2313" spans="1:10" x14ac:dyDescent="0.75">
      <c r="A2313" t="s">
        <v>151</v>
      </c>
      <c r="B2313">
        <v>4415</v>
      </c>
      <c r="C2313" t="s">
        <v>88</v>
      </c>
      <c r="D2313">
        <v>4189</v>
      </c>
      <c r="E2313" t="s">
        <v>451</v>
      </c>
      <c r="F2313" s="4">
        <v>44</v>
      </c>
      <c r="G2313" s="4">
        <v>0</v>
      </c>
      <c r="H2313" s="4">
        <v>0</v>
      </c>
      <c r="I2313" s="4">
        <v>0</v>
      </c>
      <c r="J2313" s="4">
        <v>44</v>
      </c>
    </row>
    <row r="2314" spans="1:10" x14ac:dyDescent="0.75">
      <c r="A2314" t="s">
        <v>151</v>
      </c>
      <c r="B2314">
        <v>4415</v>
      </c>
      <c r="C2314" t="s">
        <v>88</v>
      </c>
      <c r="D2314">
        <v>4420</v>
      </c>
      <c r="E2314" t="s">
        <v>381</v>
      </c>
      <c r="F2314" s="4">
        <v>44</v>
      </c>
      <c r="G2314" s="4">
        <v>0</v>
      </c>
      <c r="H2314" s="4">
        <v>0</v>
      </c>
      <c r="I2314" s="4">
        <v>0</v>
      </c>
      <c r="J2314" s="4">
        <v>44</v>
      </c>
    </row>
    <row r="2315" spans="1:10" x14ac:dyDescent="0.75">
      <c r="A2315" t="s">
        <v>151</v>
      </c>
      <c r="B2315">
        <v>4415</v>
      </c>
      <c r="C2315" t="s">
        <v>88</v>
      </c>
      <c r="D2315">
        <v>5220</v>
      </c>
      <c r="E2315" t="s">
        <v>401</v>
      </c>
      <c r="F2315" s="4">
        <v>17</v>
      </c>
      <c r="G2315" s="4">
        <v>0</v>
      </c>
      <c r="H2315" s="4">
        <v>0</v>
      </c>
      <c r="I2315" s="4">
        <v>0</v>
      </c>
      <c r="J2315" s="4">
        <v>17</v>
      </c>
    </row>
    <row r="2316" spans="1:10" x14ac:dyDescent="0.75">
      <c r="A2316" t="s">
        <v>151</v>
      </c>
      <c r="B2316">
        <v>4415</v>
      </c>
      <c r="C2316" t="s">
        <v>88</v>
      </c>
      <c r="D2316">
        <v>5240</v>
      </c>
      <c r="E2316" t="s">
        <v>464</v>
      </c>
      <c r="F2316" s="4">
        <v>7</v>
      </c>
      <c r="G2316" s="4">
        <v>0</v>
      </c>
      <c r="H2316" s="4">
        <v>0</v>
      </c>
      <c r="I2316" s="4">
        <v>0</v>
      </c>
      <c r="J2316" s="4">
        <v>7</v>
      </c>
    </row>
    <row r="2317" spans="1:10" x14ac:dyDescent="0.75">
      <c r="A2317" t="s">
        <v>151</v>
      </c>
      <c r="B2317">
        <v>4405</v>
      </c>
      <c r="C2317" t="s">
        <v>52</v>
      </c>
      <c r="D2317">
        <v>7800</v>
      </c>
      <c r="E2317" t="s">
        <v>507</v>
      </c>
      <c r="F2317" s="4">
        <v>1625925</v>
      </c>
      <c r="G2317" s="4">
        <v>0</v>
      </c>
      <c r="H2317" s="4">
        <v>0</v>
      </c>
      <c r="I2317" s="4">
        <v>0</v>
      </c>
      <c r="J2317" s="4">
        <v>1625925</v>
      </c>
    </row>
    <row r="2318" spans="1:10" x14ac:dyDescent="0.75">
      <c r="A2318" t="s">
        <v>151</v>
      </c>
      <c r="B2318">
        <v>4405</v>
      </c>
      <c r="C2318" t="s">
        <v>52</v>
      </c>
      <c r="D2318">
        <v>7900</v>
      </c>
      <c r="E2318" t="s">
        <v>388</v>
      </c>
      <c r="F2318" s="4">
        <v>176985</v>
      </c>
      <c r="G2318" s="4">
        <v>0</v>
      </c>
      <c r="H2318" s="4">
        <v>0</v>
      </c>
      <c r="I2318" s="4">
        <v>0</v>
      </c>
      <c r="J2318" s="4">
        <v>176985</v>
      </c>
    </row>
    <row r="2319" spans="1:10" x14ac:dyDescent="0.75">
      <c r="A2319" t="s">
        <v>151</v>
      </c>
      <c r="B2319">
        <v>4405</v>
      </c>
      <c r="C2319" t="s">
        <v>52</v>
      </c>
      <c r="D2319">
        <v>6889</v>
      </c>
      <c r="E2319" t="s">
        <v>420</v>
      </c>
      <c r="F2319" s="4">
        <v>83770</v>
      </c>
      <c r="G2319" s="4">
        <v>0</v>
      </c>
      <c r="H2319" s="4">
        <v>0</v>
      </c>
      <c r="I2319" s="4">
        <v>0</v>
      </c>
      <c r="J2319" s="4">
        <v>83770</v>
      </c>
    </row>
    <row r="2320" spans="1:10" x14ac:dyDescent="0.75">
      <c r="A2320" t="s">
        <v>151</v>
      </c>
      <c r="B2320">
        <v>4405</v>
      </c>
      <c r="C2320" t="s">
        <v>52</v>
      </c>
      <c r="D2320">
        <v>7400</v>
      </c>
      <c r="E2320" t="s">
        <v>502</v>
      </c>
      <c r="F2320" s="4">
        <v>71416</v>
      </c>
      <c r="G2320" s="4">
        <v>0</v>
      </c>
      <c r="H2320" s="4">
        <v>0</v>
      </c>
      <c r="I2320" s="4">
        <v>0</v>
      </c>
      <c r="J2320" s="4">
        <v>71416</v>
      </c>
    </row>
    <row r="2321" spans="1:10" x14ac:dyDescent="0.75">
      <c r="A2321" t="s">
        <v>151</v>
      </c>
      <c r="B2321">
        <v>4405</v>
      </c>
      <c r="C2321" t="s">
        <v>52</v>
      </c>
      <c r="D2321">
        <v>7210</v>
      </c>
      <c r="E2321" t="s">
        <v>426</v>
      </c>
      <c r="F2321" s="4">
        <v>53114</v>
      </c>
      <c r="G2321" s="4">
        <v>0</v>
      </c>
      <c r="H2321" s="4">
        <v>0</v>
      </c>
      <c r="I2321" s="4">
        <v>0</v>
      </c>
      <c r="J2321" s="4">
        <v>53114</v>
      </c>
    </row>
    <row r="2322" spans="1:10" x14ac:dyDescent="0.75">
      <c r="A2322" t="s">
        <v>151</v>
      </c>
      <c r="B2322">
        <v>4405</v>
      </c>
      <c r="C2322" t="s">
        <v>52</v>
      </c>
      <c r="D2322">
        <v>2211</v>
      </c>
      <c r="E2322" t="s">
        <v>367</v>
      </c>
      <c r="F2322" s="4">
        <v>52176</v>
      </c>
      <c r="G2322" s="4">
        <v>0</v>
      </c>
      <c r="H2322" s="4">
        <v>0</v>
      </c>
      <c r="I2322" s="4">
        <v>0</v>
      </c>
      <c r="J2322" s="4">
        <v>52176</v>
      </c>
    </row>
    <row r="2323" spans="1:10" x14ac:dyDescent="0.75">
      <c r="A2323" t="s">
        <v>151</v>
      </c>
      <c r="B2323">
        <v>4405</v>
      </c>
      <c r="C2323" t="s">
        <v>52</v>
      </c>
      <c r="D2323">
        <v>2221</v>
      </c>
      <c r="E2323" t="s">
        <v>374</v>
      </c>
      <c r="F2323" s="4">
        <v>47689</v>
      </c>
      <c r="G2323" s="4">
        <v>0</v>
      </c>
      <c r="H2323" s="4">
        <v>0</v>
      </c>
      <c r="I2323" s="4">
        <v>0</v>
      </c>
      <c r="J2323" s="4">
        <v>47689</v>
      </c>
    </row>
    <row r="2324" spans="1:10" x14ac:dyDescent="0.75">
      <c r="A2324" t="s">
        <v>151</v>
      </c>
      <c r="B2324">
        <v>4405</v>
      </c>
      <c r="C2324" t="s">
        <v>52</v>
      </c>
      <c r="D2324">
        <v>4189</v>
      </c>
      <c r="E2324" t="s">
        <v>451</v>
      </c>
      <c r="F2324" s="4">
        <v>29968</v>
      </c>
      <c r="G2324" s="4">
        <v>0</v>
      </c>
      <c r="H2324" s="4">
        <v>0</v>
      </c>
      <c r="I2324" s="4">
        <v>0</v>
      </c>
      <c r="J2324" s="4">
        <v>29968</v>
      </c>
    </row>
    <row r="2325" spans="1:10" x14ac:dyDescent="0.75">
      <c r="A2325" t="s">
        <v>151</v>
      </c>
      <c r="B2325">
        <v>4405</v>
      </c>
      <c r="C2325" t="s">
        <v>52</v>
      </c>
      <c r="D2325">
        <v>5220</v>
      </c>
      <c r="E2325" t="s">
        <v>401</v>
      </c>
      <c r="F2325" s="4">
        <v>25858</v>
      </c>
      <c r="G2325" s="4">
        <v>0</v>
      </c>
      <c r="H2325" s="4">
        <v>0</v>
      </c>
      <c r="I2325" s="4">
        <v>0</v>
      </c>
      <c r="J2325" s="4">
        <v>25858</v>
      </c>
    </row>
    <row r="2326" spans="1:10" x14ac:dyDescent="0.75">
      <c r="A2326" t="s">
        <v>151</v>
      </c>
      <c r="B2326">
        <v>4405</v>
      </c>
      <c r="C2326" t="s">
        <v>52</v>
      </c>
      <c r="D2326">
        <v>6885</v>
      </c>
      <c r="E2326" t="s">
        <v>493</v>
      </c>
      <c r="F2326" s="4">
        <v>20616</v>
      </c>
      <c r="G2326" s="4">
        <v>0</v>
      </c>
      <c r="H2326" s="4">
        <v>0</v>
      </c>
      <c r="I2326" s="4">
        <v>0</v>
      </c>
      <c r="J2326" s="4">
        <v>20616</v>
      </c>
    </row>
    <row r="2327" spans="1:10" x14ac:dyDescent="0.75">
      <c r="A2327" t="s">
        <v>151</v>
      </c>
      <c r="B2327">
        <v>4405</v>
      </c>
      <c r="C2327" t="s">
        <v>52</v>
      </c>
      <c r="D2327">
        <v>7110</v>
      </c>
      <c r="E2327" t="s">
        <v>371</v>
      </c>
      <c r="F2327" s="4">
        <v>18785</v>
      </c>
      <c r="G2327" s="4">
        <v>0</v>
      </c>
      <c r="H2327" s="4">
        <v>0</v>
      </c>
      <c r="I2327" s="4">
        <v>0</v>
      </c>
      <c r="J2327" s="4">
        <v>18785</v>
      </c>
    </row>
    <row r="2328" spans="1:10" x14ac:dyDescent="0.75">
      <c r="A2328" t="s">
        <v>151</v>
      </c>
      <c r="B2328">
        <v>4405</v>
      </c>
      <c r="C2328" t="s">
        <v>52</v>
      </c>
      <c r="D2328">
        <v>4420</v>
      </c>
      <c r="E2328" t="s">
        <v>381</v>
      </c>
      <c r="F2328" s="4">
        <v>12821</v>
      </c>
      <c r="G2328" s="4">
        <v>0</v>
      </c>
      <c r="H2328" s="4">
        <v>0</v>
      </c>
      <c r="I2328" s="4">
        <v>0</v>
      </c>
      <c r="J2328" s="4">
        <v>12821</v>
      </c>
    </row>
    <row r="2329" spans="1:10" x14ac:dyDescent="0.75">
      <c r="A2329" t="s">
        <v>151</v>
      </c>
      <c r="B2329">
        <v>4405</v>
      </c>
      <c r="C2329" t="s">
        <v>52</v>
      </c>
      <c r="D2329">
        <v>6654</v>
      </c>
      <c r="E2329" t="s">
        <v>419</v>
      </c>
      <c r="F2329" s="4">
        <v>12208</v>
      </c>
      <c r="G2329" s="4">
        <v>0</v>
      </c>
      <c r="H2329" s="4">
        <v>0</v>
      </c>
      <c r="I2329" s="4">
        <v>0</v>
      </c>
      <c r="J2329" s="4">
        <v>12208</v>
      </c>
    </row>
    <row r="2330" spans="1:10" x14ac:dyDescent="0.75">
      <c r="A2330" t="s">
        <v>151</v>
      </c>
      <c r="B2330">
        <v>4405</v>
      </c>
      <c r="C2330" t="s">
        <v>52</v>
      </c>
      <c r="D2330">
        <v>6782</v>
      </c>
      <c r="E2330" t="s">
        <v>396</v>
      </c>
      <c r="F2330" s="4">
        <v>11299</v>
      </c>
      <c r="G2330" s="4">
        <v>0</v>
      </c>
      <c r="H2330" s="4">
        <v>0</v>
      </c>
      <c r="I2330" s="4">
        <v>0</v>
      </c>
      <c r="J2330" s="4">
        <v>11299</v>
      </c>
    </row>
    <row r="2331" spans="1:10" x14ac:dyDescent="0.75">
      <c r="A2331" t="s">
        <v>151</v>
      </c>
      <c r="B2331">
        <v>4405</v>
      </c>
      <c r="C2331" t="s">
        <v>52</v>
      </c>
      <c r="D2331">
        <v>3190</v>
      </c>
      <c r="E2331" t="s">
        <v>408</v>
      </c>
      <c r="F2331" s="4">
        <v>10594</v>
      </c>
      <c r="G2331" s="4">
        <v>0</v>
      </c>
      <c r="H2331" s="4">
        <v>0</v>
      </c>
      <c r="I2331" s="4">
        <v>0</v>
      </c>
      <c r="J2331" s="4">
        <v>10594</v>
      </c>
    </row>
    <row r="2332" spans="1:10" x14ac:dyDescent="0.75">
      <c r="A2332" t="s">
        <v>151</v>
      </c>
      <c r="B2332">
        <v>4405</v>
      </c>
      <c r="C2332" t="s">
        <v>52</v>
      </c>
      <c r="D2332">
        <v>3220</v>
      </c>
      <c r="E2332" t="s">
        <v>370</v>
      </c>
      <c r="F2332" s="4">
        <v>8126</v>
      </c>
      <c r="G2332" s="4">
        <v>0</v>
      </c>
      <c r="H2332" s="4">
        <v>0</v>
      </c>
      <c r="I2332" s="4">
        <v>0</v>
      </c>
      <c r="J2332" s="4">
        <v>8126</v>
      </c>
    </row>
    <row r="2333" spans="1:10" x14ac:dyDescent="0.75">
      <c r="A2333" t="s">
        <v>151</v>
      </c>
      <c r="B2333">
        <v>4405</v>
      </c>
      <c r="C2333" t="s">
        <v>52</v>
      </c>
      <c r="D2333">
        <v>6781</v>
      </c>
      <c r="E2333" t="s">
        <v>479</v>
      </c>
      <c r="F2333" s="4">
        <v>7651</v>
      </c>
      <c r="G2333" s="4">
        <v>0</v>
      </c>
      <c r="H2333" s="4">
        <v>0</v>
      </c>
      <c r="I2333" s="4">
        <v>0</v>
      </c>
      <c r="J2333" s="4">
        <v>7651</v>
      </c>
    </row>
    <row r="2334" spans="1:10" x14ac:dyDescent="0.75">
      <c r="A2334" t="s">
        <v>151</v>
      </c>
      <c r="B2334">
        <v>4405</v>
      </c>
      <c r="C2334" t="s">
        <v>52</v>
      </c>
      <c r="D2334">
        <v>6839</v>
      </c>
      <c r="E2334" t="s">
        <v>485</v>
      </c>
      <c r="F2334" s="4">
        <v>7281</v>
      </c>
      <c r="G2334" s="4">
        <v>0</v>
      </c>
      <c r="H2334" s="4">
        <v>0</v>
      </c>
      <c r="I2334" s="4">
        <v>0</v>
      </c>
      <c r="J2334" s="4">
        <v>7281</v>
      </c>
    </row>
    <row r="2335" spans="1:10" x14ac:dyDescent="0.75">
      <c r="A2335" t="s">
        <v>151</v>
      </c>
      <c r="B2335">
        <v>4405</v>
      </c>
      <c r="C2335" t="s">
        <v>52</v>
      </c>
      <c r="D2335">
        <v>4225</v>
      </c>
      <c r="E2335" t="s">
        <v>380</v>
      </c>
      <c r="F2335" s="4">
        <v>6458</v>
      </c>
      <c r="G2335" s="4">
        <v>0</v>
      </c>
      <c r="H2335" s="4">
        <v>0</v>
      </c>
      <c r="I2335" s="4">
        <v>0</v>
      </c>
      <c r="J2335" s="4">
        <v>6458</v>
      </c>
    </row>
    <row r="2336" spans="1:10" x14ac:dyDescent="0.75">
      <c r="A2336" t="s">
        <v>151</v>
      </c>
      <c r="B2336">
        <v>4405</v>
      </c>
      <c r="C2336" t="s">
        <v>52</v>
      </c>
      <c r="D2336">
        <v>6899</v>
      </c>
      <c r="E2336" t="s">
        <v>498</v>
      </c>
      <c r="F2336" s="4">
        <v>6448</v>
      </c>
      <c r="G2336" s="4">
        <v>0</v>
      </c>
      <c r="H2336" s="4">
        <v>0</v>
      </c>
      <c r="I2336" s="4">
        <v>0</v>
      </c>
      <c r="J2336" s="4">
        <v>6448</v>
      </c>
    </row>
    <row r="2337" spans="1:10" x14ac:dyDescent="0.75">
      <c r="A2337" t="s">
        <v>151</v>
      </c>
      <c r="B2337">
        <v>4405</v>
      </c>
      <c r="C2337" t="s">
        <v>52</v>
      </c>
      <c r="D2337">
        <v>6887</v>
      </c>
      <c r="E2337" t="s">
        <v>505</v>
      </c>
      <c r="F2337" s="4">
        <v>4010</v>
      </c>
      <c r="G2337" s="4">
        <v>0</v>
      </c>
      <c r="H2337" s="4">
        <v>0</v>
      </c>
      <c r="I2337" s="4">
        <v>0</v>
      </c>
      <c r="J2337" s="4">
        <v>4010</v>
      </c>
    </row>
    <row r="2338" spans="1:10" x14ac:dyDescent="0.75">
      <c r="A2338" t="s">
        <v>151</v>
      </c>
      <c r="B2338">
        <v>4405</v>
      </c>
      <c r="C2338" t="s">
        <v>52</v>
      </c>
      <c r="D2338">
        <v>3299</v>
      </c>
      <c r="E2338" t="s">
        <v>448</v>
      </c>
      <c r="F2338" s="4">
        <v>3919</v>
      </c>
      <c r="G2338" s="4">
        <v>0</v>
      </c>
      <c r="H2338" s="4">
        <v>0</v>
      </c>
      <c r="I2338" s="4">
        <v>0</v>
      </c>
      <c r="J2338" s="4">
        <v>3919</v>
      </c>
    </row>
    <row r="2339" spans="1:10" x14ac:dyDescent="0.75">
      <c r="A2339" t="s">
        <v>151</v>
      </c>
      <c r="B2339">
        <v>4405</v>
      </c>
      <c r="C2339" t="s">
        <v>52</v>
      </c>
      <c r="D2339">
        <v>6747</v>
      </c>
      <c r="E2339" t="s">
        <v>478</v>
      </c>
      <c r="F2339" s="4">
        <v>3412</v>
      </c>
      <c r="G2339" s="4">
        <v>0</v>
      </c>
      <c r="H2339" s="4">
        <v>0</v>
      </c>
      <c r="I2339" s="4">
        <v>0</v>
      </c>
      <c r="J2339" s="4">
        <v>3412</v>
      </c>
    </row>
    <row r="2340" spans="1:10" x14ac:dyDescent="0.75">
      <c r="A2340" t="s">
        <v>151</v>
      </c>
      <c r="B2340">
        <v>4405</v>
      </c>
      <c r="C2340" t="s">
        <v>52</v>
      </c>
      <c r="D2340">
        <v>5190</v>
      </c>
      <c r="E2340" t="s">
        <v>462</v>
      </c>
      <c r="F2340" s="4">
        <v>2352</v>
      </c>
      <c r="G2340" s="4">
        <v>0</v>
      </c>
      <c r="H2340" s="4">
        <v>0</v>
      </c>
      <c r="I2340" s="4">
        <v>0</v>
      </c>
      <c r="J2340" s="4">
        <v>2352</v>
      </c>
    </row>
    <row r="2341" spans="1:10" x14ac:dyDescent="0.75">
      <c r="A2341" t="s">
        <v>151</v>
      </c>
      <c r="B2341">
        <v>4405</v>
      </c>
      <c r="C2341" t="s">
        <v>52</v>
      </c>
      <c r="D2341">
        <v>6442</v>
      </c>
      <c r="E2341" t="s">
        <v>472</v>
      </c>
      <c r="F2341" s="4">
        <v>2295</v>
      </c>
      <c r="G2341" s="4">
        <v>0</v>
      </c>
      <c r="H2341" s="4">
        <v>0</v>
      </c>
      <c r="I2341" s="4">
        <v>0</v>
      </c>
      <c r="J2341" s="4">
        <v>2295</v>
      </c>
    </row>
    <row r="2342" spans="1:10" x14ac:dyDescent="0.75">
      <c r="A2342" t="s">
        <v>151</v>
      </c>
      <c r="B2342">
        <v>4405</v>
      </c>
      <c r="C2342" t="s">
        <v>52</v>
      </c>
      <c r="D2342">
        <v>7120</v>
      </c>
      <c r="E2342" t="s">
        <v>499</v>
      </c>
      <c r="F2342" s="4">
        <v>1850</v>
      </c>
      <c r="G2342" s="4">
        <v>0</v>
      </c>
      <c r="H2342" s="4">
        <v>0</v>
      </c>
      <c r="I2342" s="4">
        <v>0</v>
      </c>
      <c r="J2342" s="4">
        <v>1850</v>
      </c>
    </row>
    <row r="2343" spans="1:10" x14ac:dyDescent="0.75">
      <c r="A2343" t="s">
        <v>151</v>
      </c>
      <c r="B2343">
        <v>4405</v>
      </c>
      <c r="C2343" t="s">
        <v>52</v>
      </c>
      <c r="D2343">
        <v>6811</v>
      </c>
      <c r="E2343" t="s">
        <v>480</v>
      </c>
      <c r="F2343" s="4">
        <v>1799</v>
      </c>
      <c r="G2343" s="4">
        <v>0</v>
      </c>
      <c r="H2343" s="4">
        <v>0</v>
      </c>
      <c r="I2343" s="4">
        <v>0</v>
      </c>
      <c r="J2343" s="4">
        <v>1799</v>
      </c>
    </row>
    <row r="2344" spans="1:10" x14ac:dyDescent="0.75">
      <c r="A2344" t="s">
        <v>151</v>
      </c>
      <c r="B2344">
        <v>4405</v>
      </c>
      <c r="C2344" t="s">
        <v>52</v>
      </c>
      <c r="D2344">
        <v>5480</v>
      </c>
      <c r="E2344" t="s">
        <v>386</v>
      </c>
      <c r="F2344" s="4">
        <v>1757</v>
      </c>
      <c r="G2344" s="4">
        <v>0</v>
      </c>
      <c r="H2344" s="4">
        <v>0</v>
      </c>
      <c r="I2344" s="4">
        <v>0</v>
      </c>
      <c r="J2344" s="4">
        <v>1757</v>
      </c>
    </row>
    <row r="2345" spans="1:10" x14ac:dyDescent="0.75">
      <c r="A2345" t="s">
        <v>151</v>
      </c>
      <c r="B2345">
        <v>4405</v>
      </c>
      <c r="C2345" t="s">
        <v>52</v>
      </c>
      <c r="D2345">
        <v>5540</v>
      </c>
      <c r="E2345" t="s">
        <v>469</v>
      </c>
      <c r="F2345" s="4">
        <v>1050</v>
      </c>
      <c r="G2345" s="4">
        <v>0</v>
      </c>
      <c r="H2345" s="4">
        <v>0</v>
      </c>
      <c r="I2345" s="4">
        <v>0</v>
      </c>
      <c r="J2345" s="4">
        <v>1050</v>
      </c>
    </row>
    <row r="2346" spans="1:10" x14ac:dyDescent="0.75">
      <c r="A2346" t="s">
        <v>151</v>
      </c>
      <c r="B2346">
        <v>4405</v>
      </c>
      <c r="C2346" t="s">
        <v>52</v>
      </c>
      <c r="D2346">
        <v>5370</v>
      </c>
      <c r="E2346" t="s">
        <v>466</v>
      </c>
      <c r="F2346" s="4">
        <v>1044</v>
      </c>
      <c r="G2346" s="4">
        <v>0</v>
      </c>
      <c r="H2346" s="4">
        <v>0</v>
      </c>
      <c r="I2346" s="4">
        <v>0</v>
      </c>
      <c r="J2346" s="4">
        <v>1044</v>
      </c>
    </row>
    <row r="2347" spans="1:10" x14ac:dyDescent="0.75">
      <c r="A2347" t="s">
        <v>151</v>
      </c>
      <c r="B2347">
        <v>4405</v>
      </c>
      <c r="C2347" t="s">
        <v>52</v>
      </c>
      <c r="D2347">
        <v>5360</v>
      </c>
      <c r="E2347" t="s">
        <v>465</v>
      </c>
      <c r="F2347" s="4">
        <v>504</v>
      </c>
      <c r="G2347" s="4">
        <v>0</v>
      </c>
      <c r="H2347" s="4">
        <v>0</v>
      </c>
      <c r="I2347" s="4">
        <v>0</v>
      </c>
      <c r="J2347" s="4">
        <v>504</v>
      </c>
    </row>
    <row r="2348" spans="1:10" x14ac:dyDescent="0.75">
      <c r="A2348" t="s">
        <v>151</v>
      </c>
      <c r="B2348">
        <v>4405</v>
      </c>
      <c r="C2348" t="s">
        <v>52</v>
      </c>
      <c r="D2348">
        <v>2350</v>
      </c>
      <c r="E2348" t="s">
        <v>404</v>
      </c>
      <c r="F2348" s="4">
        <v>492</v>
      </c>
      <c r="G2348" s="4">
        <v>0</v>
      </c>
      <c r="H2348" s="4">
        <v>0</v>
      </c>
      <c r="I2348" s="4">
        <v>0</v>
      </c>
      <c r="J2348" s="4">
        <v>492</v>
      </c>
    </row>
    <row r="2349" spans="1:10" x14ac:dyDescent="0.75">
      <c r="A2349" t="s">
        <v>151</v>
      </c>
      <c r="B2349">
        <v>4405</v>
      </c>
      <c r="C2349" t="s">
        <v>52</v>
      </c>
      <c r="D2349">
        <v>6871</v>
      </c>
      <c r="E2349" t="s">
        <v>491</v>
      </c>
      <c r="F2349" s="4">
        <v>490</v>
      </c>
      <c r="G2349" s="4">
        <v>0</v>
      </c>
      <c r="H2349" s="4">
        <v>0</v>
      </c>
      <c r="I2349" s="4">
        <v>0</v>
      </c>
      <c r="J2349" s="4">
        <v>490</v>
      </c>
    </row>
    <row r="2350" spans="1:10" x14ac:dyDescent="0.75">
      <c r="A2350" t="s">
        <v>151</v>
      </c>
      <c r="B2350">
        <v>4405</v>
      </c>
      <c r="C2350" t="s">
        <v>52</v>
      </c>
      <c r="D2350">
        <v>2990</v>
      </c>
      <c r="E2350" t="s">
        <v>432</v>
      </c>
      <c r="F2350" s="4">
        <v>206</v>
      </c>
      <c r="G2350" s="4">
        <v>0</v>
      </c>
      <c r="H2350" s="4">
        <v>0</v>
      </c>
      <c r="I2350" s="4">
        <v>0</v>
      </c>
      <c r="J2350" s="4">
        <v>206</v>
      </c>
    </row>
    <row r="2351" spans="1:10" x14ac:dyDescent="0.75">
      <c r="A2351" t="s">
        <v>151</v>
      </c>
      <c r="B2351">
        <v>4405</v>
      </c>
      <c r="C2351" t="s">
        <v>52</v>
      </c>
      <c r="D2351">
        <v>7500</v>
      </c>
      <c r="E2351" t="s">
        <v>427</v>
      </c>
      <c r="F2351" s="4">
        <v>186</v>
      </c>
      <c r="G2351" s="4">
        <v>0</v>
      </c>
      <c r="H2351" s="4">
        <v>0</v>
      </c>
      <c r="I2351" s="4">
        <v>0</v>
      </c>
      <c r="J2351" s="4">
        <v>186</v>
      </c>
    </row>
    <row r="2352" spans="1:10" x14ac:dyDescent="0.75">
      <c r="A2352" t="s">
        <v>151</v>
      </c>
      <c r="B2352">
        <v>4405</v>
      </c>
      <c r="C2352" t="s">
        <v>52</v>
      </c>
      <c r="D2352">
        <v>6822</v>
      </c>
      <c r="E2352" t="s">
        <v>482</v>
      </c>
      <c r="F2352" s="4">
        <v>172</v>
      </c>
      <c r="G2352" s="4">
        <v>0</v>
      </c>
      <c r="H2352" s="4">
        <v>0</v>
      </c>
      <c r="I2352" s="4">
        <v>0</v>
      </c>
      <c r="J2352" s="4">
        <v>172</v>
      </c>
    </row>
    <row r="2353" spans="1:10" x14ac:dyDescent="0.75">
      <c r="A2353" t="s">
        <v>151</v>
      </c>
      <c r="B2353">
        <v>4405</v>
      </c>
      <c r="C2353" t="s">
        <v>52</v>
      </c>
      <c r="D2353">
        <v>7600</v>
      </c>
      <c r="E2353" t="s">
        <v>503</v>
      </c>
      <c r="F2353" s="4">
        <v>140</v>
      </c>
      <c r="G2353" s="4">
        <v>0</v>
      </c>
      <c r="H2353" s="4">
        <v>0</v>
      </c>
      <c r="I2353" s="4">
        <v>0</v>
      </c>
      <c r="J2353" s="4">
        <v>140</v>
      </c>
    </row>
    <row r="2354" spans="1:10" x14ac:dyDescent="0.75">
      <c r="A2354" t="s">
        <v>151</v>
      </c>
      <c r="B2354">
        <v>4405</v>
      </c>
      <c r="C2354" t="s">
        <v>52</v>
      </c>
      <c r="D2354">
        <v>5290</v>
      </c>
      <c r="E2354" t="s">
        <v>415</v>
      </c>
      <c r="F2354" s="4">
        <v>112</v>
      </c>
      <c r="G2354" s="4">
        <v>0</v>
      </c>
      <c r="H2354" s="4">
        <v>0</v>
      </c>
      <c r="I2354" s="4">
        <v>0</v>
      </c>
      <c r="J2354" s="4">
        <v>112</v>
      </c>
    </row>
    <row r="2355" spans="1:10" x14ac:dyDescent="0.75">
      <c r="A2355" t="s">
        <v>151</v>
      </c>
      <c r="B2355">
        <v>4405</v>
      </c>
      <c r="C2355" t="s">
        <v>52</v>
      </c>
      <c r="D2355">
        <v>5240</v>
      </c>
      <c r="E2355" t="s">
        <v>464</v>
      </c>
      <c r="F2355" s="4">
        <v>78</v>
      </c>
      <c r="G2355" s="4">
        <v>0</v>
      </c>
      <c r="H2355" s="4">
        <v>0</v>
      </c>
      <c r="I2355" s="4">
        <v>0</v>
      </c>
      <c r="J2355" s="4">
        <v>78</v>
      </c>
    </row>
    <row r="2356" spans="1:10" x14ac:dyDescent="0.75">
      <c r="A2356" t="s">
        <v>151</v>
      </c>
      <c r="B2356">
        <v>4405</v>
      </c>
      <c r="C2356" t="s">
        <v>52</v>
      </c>
      <c r="D2356">
        <v>3285</v>
      </c>
      <c r="E2356" t="s">
        <v>443</v>
      </c>
      <c r="F2356" s="4">
        <v>76</v>
      </c>
      <c r="G2356" s="4">
        <v>0</v>
      </c>
      <c r="H2356" s="4">
        <v>0</v>
      </c>
      <c r="I2356" s="4">
        <v>0</v>
      </c>
      <c r="J2356" s="4">
        <v>76</v>
      </c>
    </row>
    <row r="2357" spans="1:10" x14ac:dyDescent="0.75">
      <c r="A2357" t="s">
        <v>151</v>
      </c>
      <c r="B2357">
        <v>4405</v>
      </c>
      <c r="C2357" t="s">
        <v>52</v>
      </c>
      <c r="D2357">
        <v>3282</v>
      </c>
      <c r="E2357" t="s">
        <v>440</v>
      </c>
      <c r="F2357" s="4">
        <v>67</v>
      </c>
      <c r="G2357" s="4">
        <v>0</v>
      </c>
      <c r="H2357" s="4">
        <v>0</v>
      </c>
      <c r="I2357" s="4">
        <v>0</v>
      </c>
      <c r="J2357" s="4">
        <v>67</v>
      </c>
    </row>
    <row r="2358" spans="1:10" x14ac:dyDescent="0.75">
      <c r="A2358" t="s">
        <v>151</v>
      </c>
      <c r="B2358">
        <v>4405</v>
      </c>
      <c r="C2358" t="s">
        <v>52</v>
      </c>
      <c r="D2358">
        <v>4900</v>
      </c>
      <c r="E2358" t="s">
        <v>383</v>
      </c>
      <c r="F2358" s="4">
        <v>62</v>
      </c>
      <c r="G2358" s="4">
        <v>0</v>
      </c>
      <c r="H2358" s="4">
        <v>0</v>
      </c>
      <c r="I2358" s="4">
        <v>0</v>
      </c>
      <c r="J2358" s="4">
        <v>62</v>
      </c>
    </row>
    <row r="2359" spans="1:10" x14ac:dyDescent="0.75">
      <c r="A2359" t="s">
        <v>151</v>
      </c>
      <c r="B2359">
        <v>4405</v>
      </c>
      <c r="C2359" t="s">
        <v>52</v>
      </c>
      <c r="D2359">
        <v>3286</v>
      </c>
      <c r="E2359" t="s">
        <v>423</v>
      </c>
      <c r="F2359" s="4">
        <v>28</v>
      </c>
      <c r="G2359" s="4">
        <v>0</v>
      </c>
      <c r="H2359" s="4">
        <v>0</v>
      </c>
      <c r="I2359" s="4">
        <v>0</v>
      </c>
      <c r="J2359" s="4">
        <v>28</v>
      </c>
    </row>
    <row r="2360" spans="1:10" x14ac:dyDescent="0.75">
      <c r="A2360" t="s">
        <v>151</v>
      </c>
      <c r="B2360">
        <v>4405</v>
      </c>
      <c r="C2360" t="s">
        <v>52</v>
      </c>
      <c r="D2360">
        <v>6134</v>
      </c>
      <c r="E2360" t="s">
        <v>470</v>
      </c>
      <c r="F2360" s="4">
        <v>21</v>
      </c>
      <c r="G2360" s="4">
        <v>0</v>
      </c>
      <c r="H2360" s="4">
        <v>0</v>
      </c>
      <c r="I2360" s="4">
        <v>0</v>
      </c>
      <c r="J2360" s="4">
        <v>21</v>
      </c>
    </row>
    <row r="2361" spans="1:10" x14ac:dyDescent="0.75">
      <c r="A2361" t="s">
        <v>151</v>
      </c>
      <c r="B2361">
        <v>4405</v>
      </c>
      <c r="C2361" t="s">
        <v>52</v>
      </c>
      <c r="D2361">
        <v>7230</v>
      </c>
      <c r="E2361" t="s">
        <v>387</v>
      </c>
      <c r="F2361" s="4">
        <v>20</v>
      </c>
      <c r="G2361" s="4">
        <v>0</v>
      </c>
      <c r="H2361" s="4">
        <v>0</v>
      </c>
      <c r="I2361" s="4">
        <v>0</v>
      </c>
      <c r="J2361" s="4">
        <v>20</v>
      </c>
    </row>
    <row r="2362" spans="1:10" x14ac:dyDescent="0.75">
      <c r="A2362" t="s">
        <v>151</v>
      </c>
      <c r="B2362">
        <v>4405</v>
      </c>
      <c r="C2362" t="s">
        <v>52</v>
      </c>
      <c r="D2362">
        <v>7220</v>
      </c>
      <c r="E2362" t="s">
        <v>500</v>
      </c>
      <c r="F2362" s="4">
        <v>14</v>
      </c>
      <c r="G2362" s="4">
        <v>0</v>
      </c>
      <c r="H2362" s="4">
        <v>0</v>
      </c>
      <c r="I2362" s="4">
        <v>0</v>
      </c>
      <c r="J2362" s="4">
        <v>14</v>
      </c>
    </row>
    <row r="2363" spans="1:10" x14ac:dyDescent="0.75">
      <c r="A2363" t="s">
        <v>151</v>
      </c>
      <c r="B2363">
        <v>4405</v>
      </c>
      <c r="C2363" t="s">
        <v>52</v>
      </c>
      <c r="D2363">
        <v>6858</v>
      </c>
      <c r="E2363" t="s">
        <v>488</v>
      </c>
      <c r="F2363" s="4">
        <v>11</v>
      </c>
      <c r="G2363" s="4">
        <v>0</v>
      </c>
      <c r="H2363" s="4">
        <v>0</v>
      </c>
      <c r="I2363" s="4">
        <v>0</v>
      </c>
      <c r="J2363" s="4">
        <v>11</v>
      </c>
    </row>
    <row r="2364" spans="1:10" x14ac:dyDescent="0.75">
      <c r="A2364" t="s">
        <v>160</v>
      </c>
      <c r="B2364">
        <v>3787</v>
      </c>
      <c r="C2364" t="s">
        <v>348</v>
      </c>
      <c r="D2364">
        <v>4335</v>
      </c>
      <c r="E2364" t="s">
        <v>372</v>
      </c>
      <c r="F2364" s="4">
        <v>1304</v>
      </c>
      <c r="G2364" s="4">
        <v>0</v>
      </c>
      <c r="H2364" s="4">
        <v>0</v>
      </c>
      <c r="I2364" s="4">
        <v>0</v>
      </c>
      <c r="J2364" s="4">
        <v>1304</v>
      </c>
    </row>
    <row r="2365" spans="1:10" x14ac:dyDescent="0.75">
      <c r="A2365" t="s">
        <v>160</v>
      </c>
      <c r="B2365">
        <v>3787</v>
      </c>
      <c r="C2365" t="s">
        <v>348</v>
      </c>
      <c r="D2365">
        <v>7110</v>
      </c>
      <c r="E2365" t="s">
        <v>371</v>
      </c>
      <c r="F2365" s="4">
        <v>140</v>
      </c>
      <c r="G2365" s="4">
        <v>0</v>
      </c>
      <c r="H2365" s="4">
        <v>0</v>
      </c>
      <c r="I2365" s="4">
        <v>0</v>
      </c>
      <c r="J2365" s="4">
        <v>140</v>
      </c>
    </row>
    <row r="2366" spans="1:10" x14ac:dyDescent="0.75">
      <c r="A2366" t="s">
        <v>151</v>
      </c>
      <c r="B2366">
        <v>4827</v>
      </c>
      <c r="C2366" t="s">
        <v>50</v>
      </c>
      <c r="D2366">
        <v>7900</v>
      </c>
      <c r="E2366" t="s">
        <v>388</v>
      </c>
      <c r="F2366" s="4">
        <v>161330</v>
      </c>
      <c r="G2366" s="4">
        <v>0</v>
      </c>
      <c r="H2366" s="4">
        <v>0</v>
      </c>
      <c r="I2366" s="4">
        <v>0</v>
      </c>
      <c r="J2366" s="4">
        <v>161330</v>
      </c>
    </row>
    <row r="2367" spans="1:10" x14ac:dyDescent="0.75">
      <c r="A2367" t="s">
        <v>151</v>
      </c>
      <c r="B2367">
        <v>4827</v>
      </c>
      <c r="C2367" t="s">
        <v>50</v>
      </c>
      <c r="D2367">
        <v>6134</v>
      </c>
      <c r="E2367" t="s">
        <v>470</v>
      </c>
      <c r="F2367" s="4">
        <v>90814</v>
      </c>
      <c r="G2367" s="4">
        <v>10</v>
      </c>
      <c r="H2367" s="4">
        <v>10</v>
      </c>
      <c r="I2367" s="4">
        <v>0</v>
      </c>
      <c r="J2367" s="4">
        <v>90824</v>
      </c>
    </row>
    <row r="2368" spans="1:10" x14ac:dyDescent="0.75">
      <c r="A2368" t="s">
        <v>151</v>
      </c>
      <c r="B2368">
        <v>4827</v>
      </c>
      <c r="C2368" t="s">
        <v>50</v>
      </c>
      <c r="D2368">
        <v>4331</v>
      </c>
      <c r="E2368" t="s">
        <v>390</v>
      </c>
      <c r="F2368" s="4">
        <v>68692</v>
      </c>
      <c r="G2368" s="4">
        <v>0</v>
      </c>
      <c r="H2368" s="4">
        <v>0</v>
      </c>
      <c r="I2368" s="4">
        <v>0</v>
      </c>
      <c r="J2368" s="4">
        <v>68692</v>
      </c>
    </row>
    <row r="2369" spans="1:10" x14ac:dyDescent="0.75">
      <c r="A2369" t="s">
        <v>151</v>
      </c>
      <c r="B2369">
        <v>4827</v>
      </c>
      <c r="C2369" t="s">
        <v>50</v>
      </c>
      <c r="D2369">
        <v>6887</v>
      </c>
      <c r="E2369" t="s">
        <v>505</v>
      </c>
      <c r="F2369" s="4">
        <v>52235</v>
      </c>
      <c r="G2369" s="4">
        <v>0</v>
      </c>
      <c r="H2369" s="4">
        <v>0</v>
      </c>
      <c r="I2369" s="4">
        <v>0</v>
      </c>
      <c r="J2369" s="4">
        <v>52235</v>
      </c>
    </row>
    <row r="2370" spans="1:10" x14ac:dyDescent="0.75">
      <c r="A2370" t="s">
        <v>151</v>
      </c>
      <c r="B2370">
        <v>4827</v>
      </c>
      <c r="C2370" t="s">
        <v>50</v>
      </c>
      <c r="D2370">
        <v>8900</v>
      </c>
      <c r="E2370" t="s">
        <v>506</v>
      </c>
      <c r="F2370" s="4">
        <v>29039</v>
      </c>
      <c r="G2370" s="4">
        <v>0</v>
      </c>
      <c r="H2370" s="4">
        <v>0</v>
      </c>
      <c r="I2370" s="4">
        <v>0</v>
      </c>
      <c r="J2370" s="4">
        <v>29039</v>
      </c>
    </row>
    <row r="2371" spans="1:10" x14ac:dyDescent="0.75">
      <c r="A2371" t="s">
        <v>151</v>
      </c>
      <c r="B2371">
        <v>4827</v>
      </c>
      <c r="C2371" t="s">
        <v>50</v>
      </c>
      <c r="D2371">
        <v>7400</v>
      </c>
      <c r="E2371" t="s">
        <v>502</v>
      </c>
      <c r="F2371" s="4">
        <v>26226</v>
      </c>
      <c r="G2371" s="4">
        <v>0</v>
      </c>
      <c r="H2371" s="4">
        <v>0</v>
      </c>
      <c r="I2371" s="4">
        <v>0</v>
      </c>
      <c r="J2371" s="4">
        <v>26226</v>
      </c>
    </row>
    <row r="2372" spans="1:10" x14ac:dyDescent="0.75">
      <c r="A2372" t="s">
        <v>151</v>
      </c>
      <c r="B2372">
        <v>4827</v>
      </c>
      <c r="C2372" t="s">
        <v>50</v>
      </c>
      <c r="D2372">
        <v>2330</v>
      </c>
      <c r="E2372" t="s">
        <v>368</v>
      </c>
      <c r="F2372" s="4">
        <v>1835</v>
      </c>
      <c r="G2372" s="4">
        <v>23872</v>
      </c>
      <c r="H2372" s="4">
        <v>23872</v>
      </c>
      <c r="I2372" s="4">
        <v>0</v>
      </c>
      <c r="J2372" s="4">
        <v>25707</v>
      </c>
    </row>
    <row r="2373" spans="1:10" x14ac:dyDescent="0.75">
      <c r="A2373" t="s">
        <v>151</v>
      </c>
      <c r="B2373">
        <v>4827</v>
      </c>
      <c r="C2373" t="s">
        <v>50</v>
      </c>
      <c r="D2373">
        <v>2211</v>
      </c>
      <c r="E2373" t="s">
        <v>367</v>
      </c>
      <c r="F2373" s="4">
        <v>9372</v>
      </c>
      <c r="G2373" s="4">
        <v>11765</v>
      </c>
      <c r="H2373" s="4">
        <v>11765</v>
      </c>
      <c r="I2373" s="4">
        <v>0</v>
      </c>
      <c r="J2373" s="4">
        <v>21137</v>
      </c>
    </row>
    <row r="2374" spans="1:10" x14ac:dyDescent="0.75">
      <c r="A2374" t="s">
        <v>151</v>
      </c>
      <c r="B2374">
        <v>4827</v>
      </c>
      <c r="C2374" t="s">
        <v>50</v>
      </c>
      <c r="D2374">
        <v>6889</v>
      </c>
      <c r="E2374" t="s">
        <v>420</v>
      </c>
      <c r="F2374" s="4">
        <v>13886</v>
      </c>
      <c r="G2374" s="4">
        <v>0</v>
      </c>
      <c r="H2374" s="4">
        <v>0</v>
      </c>
      <c r="I2374" s="4">
        <v>0</v>
      </c>
      <c r="J2374" s="4">
        <v>13886</v>
      </c>
    </row>
    <row r="2375" spans="1:10" x14ac:dyDescent="0.75">
      <c r="A2375" t="s">
        <v>151</v>
      </c>
      <c r="B2375">
        <v>4827</v>
      </c>
      <c r="C2375" t="s">
        <v>50</v>
      </c>
      <c r="D2375">
        <v>7210</v>
      </c>
      <c r="E2375" t="s">
        <v>426</v>
      </c>
      <c r="F2375" s="4">
        <v>13654</v>
      </c>
      <c r="G2375" s="4">
        <v>0</v>
      </c>
      <c r="H2375" s="4">
        <v>0</v>
      </c>
      <c r="I2375" s="4">
        <v>0</v>
      </c>
      <c r="J2375" s="4">
        <v>13654</v>
      </c>
    </row>
    <row r="2376" spans="1:10" x14ac:dyDescent="0.75">
      <c r="A2376" t="s">
        <v>151</v>
      </c>
      <c r="B2376">
        <v>4827</v>
      </c>
      <c r="C2376" t="s">
        <v>50</v>
      </c>
      <c r="D2376">
        <v>6885</v>
      </c>
      <c r="E2376" t="s">
        <v>493</v>
      </c>
      <c r="F2376" s="4">
        <v>13134</v>
      </c>
      <c r="G2376" s="4">
        <v>0</v>
      </c>
      <c r="H2376" s="4">
        <v>0</v>
      </c>
      <c r="I2376" s="4">
        <v>0</v>
      </c>
      <c r="J2376" s="4">
        <v>13134</v>
      </c>
    </row>
    <row r="2377" spans="1:10" x14ac:dyDescent="0.75">
      <c r="A2377" t="s">
        <v>151</v>
      </c>
      <c r="B2377">
        <v>4827</v>
      </c>
      <c r="C2377" t="s">
        <v>50</v>
      </c>
      <c r="D2377">
        <v>2430</v>
      </c>
      <c r="E2377" t="s">
        <v>376</v>
      </c>
      <c r="F2377" s="4">
        <v>10639</v>
      </c>
      <c r="G2377" s="4">
        <v>0</v>
      </c>
      <c r="H2377" s="4">
        <v>0</v>
      </c>
      <c r="I2377" s="4">
        <v>0</v>
      </c>
      <c r="J2377" s="4">
        <v>10639</v>
      </c>
    </row>
    <row r="2378" spans="1:10" x14ac:dyDescent="0.75">
      <c r="A2378" t="s">
        <v>151</v>
      </c>
      <c r="B2378">
        <v>4827</v>
      </c>
      <c r="C2378" t="s">
        <v>50</v>
      </c>
      <c r="D2378">
        <v>7110</v>
      </c>
      <c r="E2378" t="s">
        <v>371</v>
      </c>
      <c r="F2378" s="4">
        <v>9486</v>
      </c>
      <c r="G2378" s="4">
        <v>0</v>
      </c>
      <c r="H2378" s="4">
        <v>0</v>
      </c>
      <c r="I2378" s="4">
        <v>0</v>
      </c>
      <c r="J2378" s="4">
        <v>9486</v>
      </c>
    </row>
    <row r="2379" spans="1:10" x14ac:dyDescent="0.75">
      <c r="A2379" t="s">
        <v>151</v>
      </c>
      <c r="B2379">
        <v>4827</v>
      </c>
      <c r="C2379" t="s">
        <v>50</v>
      </c>
      <c r="D2379">
        <v>5360</v>
      </c>
      <c r="E2379" t="s">
        <v>465</v>
      </c>
      <c r="F2379" s="4">
        <v>8093</v>
      </c>
      <c r="G2379" s="4">
        <v>0</v>
      </c>
      <c r="H2379" s="4">
        <v>0</v>
      </c>
      <c r="I2379" s="4">
        <v>0</v>
      </c>
      <c r="J2379" s="4">
        <v>8093</v>
      </c>
    </row>
    <row r="2380" spans="1:10" x14ac:dyDescent="0.75">
      <c r="A2380" t="s">
        <v>151</v>
      </c>
      <c r="B2380">
        <v>4827</v>
      </c>
      <c r="C2380" t="s">
        <v>50</v>
      </c>
      <c r="D2380">
        <v>5480</v>
      </c>
      <c r="E2380" t="s">
        <v>386</v>
      </c>
      <c r="F2380" s="4">
        <v>7537</v>
      </c>
      <c r="G2380" s="4">
        <v>0</v>
      </c>
      <c r="H2380" s="4">
        <v>0</v>
      </c>
      <c r="I2380" s="4">
        <v>0</v>
      </c>
      <c r="J2380" s="4">
        <v>7537</v>
      </c>
    </row>
    <row r="2381" spans="1:10" x14ac:dyDescent="0.75">
      <c r="A2381" t="s">
        <v>151</v>
      </c>
      <c r="B2381">
        <v>4827</v>
      </c>
      <c r="C2381" t="s">
        <v>50</v>
      </c>
      <c r="D2381">
        <v>6782</v>
      </c>
      <c r="E2381" t="s">
        <v>396</v>
      </c>
      <c r="F2381" s="4">
        <v>7401</v>
      </c>
      <c r="G2381" s="4">
        <v>0</v>
      </c>
      <c r="H2381" s="4">
        <v>0</v>
      </c>
      <c r="I2381" s="4">
        <v>0</v>
      </c>
      <c r="J2381" s="4">
        <v>7401</v>
      </c>
    </row>
    <row r="2382" spans="1:10" x14ac:dyDescent="0.75">
      <c r="A2382" t="s">
        <v>151</v>
      </c>
      <c r="B2382">
        <v>4827</v>
      </c>
      <c r="C2382" t="s">
        <v>50</v>
      </c>
      <c r="D2382">
        <v>3299</v>
      </c>
      <c r="E2382" t="s">
        <v>448</v>
      </c>
      <c r="F2382" s="4">
        <v>6761</v>
      </c>
      <c r="G2382" s="4">
        <v>0</v>
      </c>
      <c r="H2382" s="4">
        <v>0</v>
      </c>
      <c r="I2382" s="4">
        <v>0</v>
      </c>
      <c r="J2382" s="4">
        <v>6761</v>
      </c>
    </row>
    <row r="2383" spans="1:10" x14ac:dyDescent="0.75">
      <c r="A2383" t="s">
        <v>151</v>
      </c>
      <c r="B2383">
        <v>4827</v>
      </c>
      <c r="C2383" t="s">
        <v>50</v>
      </c>
      <c r="D2383">
        <v>4189</v>
      </c>
      <c r="E2383" t="s">
        <v>451</v>
      </c>
      <c r="F2383" s="4">
        <v>6690</v>
      </c>
      <c r="G2383" s="4">
        <v>0</v>
      </c>
      <c r="H2383" s="4">
        <v>0</v>
      </c>
      <c r="I2383" s="4">
        <v>0</v>
      </c>
      <c r="J2383" s="4">
        <v>6690</v>
      </c>
    </row>
    <row r="2384" spans="1:10" x14ac:dyDescent="0.75">
      <c r="A2384" t="s">
        <v>151</v>
      </c>
      <c r="B2384">
        <v>4827</v>
      </c>
      <c r="C2384" t="s">
        <v>50</v>
      </c>
      <c r="D2384">
        <v>4783</v>
      </c>
      <c r="E2384" t="s">
        <v>382</v>
      </c>
      <c r="F2384" s="4">
        <v>6117</v>
      </c>
      <c r="G2384" s="4">
        <v>0</v>
      </c>
      <c r="H2384" s="4">
        <v>0</v>
      </c>
      <c r="I2384" s="4">
        <v>0</v>
      </c>
      <c r="J2384" s="4">
        <v>6117</v>
      </c>
    </row>
    <row r="2385" spans="1:10" x14ac:dyDescent="0.75">
      <c r="A2385" t="s">
        <v>151</v>
      </c>
      <c r="B2385">
        <v>4827</v>
      </c>
      <c r="C2385" t="s">
        <v>50</v>
      </c>
      <c r="D2385">
        <v>2221</v>
      </c>
      <c r="E2385" t="s">
        <v>374</v>
      </c>
      <c r="F2385" s="4">
        <v>1233</v>
      </c>
      <c r="G2385" s="4">
        <v>4596</v>
      </c>
      <c r="H2385" s="4">
        <v>4596</v>
      </c>
      <c r="I2385" s="4">
        <v>0</v>
      </c>
      <c r="J2385" s="4">
        <v>5829</v>
      </c>
    </row>
    <row r="2386" spans="1:10" x14ac:dyDescent="0.75">
      <c r="A2386" t="s">
        <v>151</v>
      </c>
      <c r="B2386">
        <v>4827</v>
      </c>
      <c r="C2386" t="s">
        <v>50</v>
      </c>
      <c r="D2386">
        <v>4420</v>
      </c>
      <c r="E2386" t="s">
        <v>381</v>
      </c>
      <c r="F2386" s="4">
        <v>4997</v>
      </c>
      <c r="G2386" s="4">
        <v>0</v>
      </c>
      <c r="H2386" s="4">
        <v>0</v>
      </c>
      <c r="I2386" s="4">
        <v>0</v>
      </c>
      <c r="J2386" s="4">
        <v>4997</v>
      </c>
    </row>
    <row r="2387" spans="1:10" x14ac:dyDescent="0.75">
      <c r="A2387" t="s">
        <v>151</v>
      </c>
      <c r="B2387">
        <v>4827</v>
      </c>
      <c r="C2387" t="s">
        <v>50</v>
      </c>
      <c r="D2387">
        <v>2990</v>
      </c>
      <c r="E2387" t="s">
        <v>432</v>
      </c>
      <c r="F2387" s="4">
        <v>4501</v>
      </c>
      <c r="G2387" s="4">
        <v>0</v>
      </c>
      <c r="H2387" s="4">
        <v>0</v>
      </c>
      <c r="I2387" s="4">
        <v>0</v>
      </c>
      <c r="J2387" s="4">
        <v>4501</v>
      </c>
    </row>
    <row r="2388" spans="1:10" x14ac:dyDescent="0.75">
      <c r="A2388" t="s">
        <v>151</v>
      </c>
      <c r="B2388">
        <v>4827</v>
      </c>
      <c r="C2388" t="s">
        <v>50</v>
      </c>
      <c r="D2388">
        <v>5190</v>
      </c>
      <c r="E2388" t="s">
        <v>462</v>
      </c>
      <c r="F2388" s="4">
        <v>3972</v>
      </c>
      <c r="G2388" s="4">
        <v>0</v>
      </c>
      <c r="H2388" s="4">
        <v>0</v>
      </c>
      <c r="I2388" s="4">
        <v>0</v>
      </c>
      <c r="J2388" s="4">
        <v>3972</v>
      </c>
    </row>
    <row r="2389" spans="1:10" x14ac:dyDescent="0.75">
      <c r="A2389" t="s">
        <v>151</v>
      </c>
      <c r="B2389">
        <v>4827</v>
      </c>
      <c r="C2389" t="s">
        <v>50</v>
      </c>
      <c r="D2389">
        <v>7120</v>
      </c>
      <c r="E2389" t="s">
        <v>499</v>
      </c>
      <c r="F2389" s="4">
        <v>3086</v>
      </c>
      <c r="G2389" s="4">
        <v>0</v>
      </c>
      <c r="H2389" s="4">
        <v>0</v>
      </c>
      <c r="I2389" s="4">
        <v>0</v>
      </c>
      <c r="J2389" s="4">
        <v>3086</v>
      </c>
    </row>
    <row r="2390" spans="1:10" x14ac:dyDescent="0.75">
      <c r="A2390" t="s">
        <v>151</v>
      </c>
      <c r="B2390">
        <v>4827</v>
      </c>
      <c r="C2390" t="s">
        <v>50</v>
      </c>
      <c r="D2390">
        <v>5290</v>
      </c>
      <c r="E2390" t="s">
        <v>415</v>
      </c>
      <c r="F2390" s="4">
        <v>2339</v>
      </c>
      <c r="G2390" s="4">
        <v>0</v>
      </c>
      <c r="H2390" s="4">
        <v>0</v>
      </c>
      <c r="I2390" s="4">
        <v>0</v>
      </c>
      <c r="J2390" s="4">
        <v>2339</v>
      </c>
    </row>
    <row r="2391" spans="1:10" x14ac:dyDescent="0.75">
      <c r="A2391" t="s">
        <v>151</v>
      </c>
      <c r="B2391">
        <v>4827</v>
      </c>
      <c r="C2391" t="s">
        <v>50</v>
      </c>
      <c r="D2391">
        <v>4225</v>
      </c>
      <c r="E2391" t="s">
        <v>380</v>
      </c>
      <c r="F2391" s="4">
        <v>2178</v>
      </c>
      <c r="G2391" s="4">
        <v>0</v>
      </c>
      <c r="H2391" s="4">
        <v>0</v>
      </c>
      <c r="I2391" s="4">
        <v>0</v>
      </c>
      <c r="J2391" s="4">
        <v>2178</v>
      </c>
    </row>
    <row r="2392" spans="1:10" x14ac:dyDescent="0.75">
      <c r="A2392" t="s">
        <v>151</v>
      </c>
      <c r="B2392">
        <v>4827</v>
      </c>
      <c r="C2392" t="s">
        <v>50</v>
      </c>
      <c r="D2392">
        <v>3293</v>
      </c>
      <c r="E2392" t="s">
        <v>445</v>
      </c>
      <c r="F2392" s="4">
        <v>2138</v>
      </c>
      <c r="G2392" s="4">
        <v>0</v>
      </c>
      <c r="H2392" s="4">
        <v>0</v>
      </c>
      <c r="I2392" s="4">
        <v>0</v>
      </c>
      <c r="J2392" s="4">
        <v>2138</v>
      </c>
    </row>
    <row r="2393" spans="1:10" x14ac:dyDescent="0.75">
      <c r="A2393" t="s">
        <v>151</v>
      </c>
      <c r="B2393">
        <v>4827</v>
      </c>
      <c r="C2393" t="s">
        <v>50</v>
      </c>
      <c r="D2393">
        <v>6136</v>
      </c>
      <c r="E2393" t="s">
        <v>471</v>
      </c>
      <c r="F2393" s="4">
        <v>1809</v>
      </c>
      <c r="G2393" s="4">
        <v>0</v>
      </c>
      <c r="H2393" s="4">
        <v>0</v>
      </c>
      <c r="I2393" s="4">
        <v>0</v>
      </c>
      <c r="J2393" s="4">
        <v>1809</v>
      </c>
    </row>
    <row r="2394" spans="1:10" x14ac:dyDescent="0.75">
      <c r="A2394" t="s">
        <v>151</v>
      </c>
      <c r="B2394">
        <v>4827</v>
      </c>
      <c r="C2394" t="s">
        <v>50</v>
      </c>
      <c r="D2394">
        <v>7500</v>
      </c>
      <c r="E2394" t="s">
        <v>427</v>
      </c>
      <c r="F2394" s="4">
        <v>1507</v>
      </c>
      <c r="G2394" s="4">
        <v>0</v>
      </c>
      <c r="H2394" s="4">
        <v>0</v>
      </c>
      <c r="I2394" s="4">
        <v>0</v>
      </c>
      <c r="J2394" s="4">
        <v>1507</v>
      </c>
    </row>
    <row r="2395" spans="1:10" x14ac:dyDescent="0.75">
      <c r="A2395" t="s">
        <v>151</v>
      </c>
      <c r="B2395">
        <v>4827</v>
      </c>
      <c r="C2395" t="s">
        <v>50</v>
      </c>
      <c r="D2395">
        <v>7230</v>
      </c>
      <c r="E2395" t="s">
        <v>387</v>
      </c>
      <c r="F2395" s="4">
        <v>1483</v>
      </c>
      <c r="G2395" s="4">
        <v>0</v>
      </c>
      <c r="H2395" s="4">
        <v>0</v>
      </c>
      <c r="I2395" s="4">
        <v>0</v>
      </c>
      <c r="J2395" s="4">
        <v>1483</v>
      </c>
    </row>
    <row r="2396" spans="1:10" x14ac:dyDescent="0.75">
      <c r="A2396" t="s">
        <v>151</v>
      </c>
      <c r="B2396">
        <v>4827</v>
      </c>
      <c r="C2396" t="s">
        <v>50</v>
      </c>
      <c r="D2396">
        <v>5370</v>
      </c>
      <c r="E2396" t="s">
        <v>466</v>
      </c>
      <c r="F2396" s="4">
        <v>1162</v>
      </c>
      <c r="G2396" s="4">
        <v>0</v>
      </c>
      <c r="H2396" s="4">
        <v>0</v>
      </c>
      <c r="I2396" s="4">
        <v>0</v>
      </c>
      <c r="J2396" s="4">
        <v>1162</v>
      </c>
    </row>
    <row r="2397" spans="1:10" x14ac:dyDescent="0.75">
      <c r="A2397" t="s">
        <v>151</v>
      </c>
      <c r="B2397">
        <v>4827</v>
      </c>
      <c r="C2397" t="s">
        <v>50</v>
      </c>
      <c r="D2397">
        <v>5540</v>
      </c>
      <c r="E2397" t="s">
        <v>469</v>
      </c>
      <c r="F2397" s="4">
        <v>947</v>
      </c>
      <c r="G2397" s="4">
        <v>0</v>
      </c>
      <c r="H2397" s="4">
        <v>0</v>
      </c>
      <c r="I2397" s="4">
        <v>0</v>
      </c>
      <c r="J2397" s="4">
        <v>947</v>
      </c>
    </row>
    <row r="2398" spans="1:10" x14ac:dyDescent="0.75">
      <c r="A2398" t="s">
        <v>151</v>
      </c>
      <c r="B2398">
        <v>4827</v>
      </c>
      <c r="C2398" t="s">
        <v>50</v>
      </c>
      <c r="D2398">
        <v>5240</v>
      </c>
      <c r="E2398" t="s">
        <v>464</v>
      </c>
      <c r="F2398" s="4">
        <v>942</v>
      </c>
      <c r="G2398" s="4">
        <v>0</v>
      </c>
      <c r="H2398" s="4">
        <v>0</v>
      </c>
      <c r="I2398" s="4">
        <v>0</v>
      </c>
      <c r="J2398" s="4">
        <v>942</v>
      </c>
    </row>
    <row r="2399" spans="1:10" x14ac:dyDescent="0.75">
      <c r="A2399" t="s">
        <v>151</v>
      </c>
      <c r="B2399">
        <v>4827</v>
      </c>
      <c r="C2399" t="s">
        <v>50</v>
      </c>
      <c r="D2399">
        <v>7220</v>
      </c>
      <c r="E2399" t="s">
        <v>500</v>
      </c>
      <c r="F2399" s="4">
        <v>879</v>
      </c>
      <c r="G2399" s="4">
        <v>0</v>
      </c>
      <c r="H2399" s="4">
        <v>0</v>
      </c>
      <c r="I2399" s="4">
        <v>0</v>
      </c>
      <c r="J2399" s="4">
        <v>879</v>
      </c>
    </row>
    <row r="2400" spans="1:10" x14ac:dyDescent="0.75">
      <c r="A2400" t="s">
        <v>151</v>
      </c>
      <c r="B2400">
        <v>4827</v>
      </c>
      <c r="C2400" t="s">
        <v>50</v>
      </c>
      <c r="D2400">
        <v>3282</v>
      </c>
      <c r="E2400" t="s">
        <v>440</v>
      </c>
      <c r="F2400" s="4">
        <v>778</v>
      </c>
      <c r="G2400" s="4">
        <v>0</v>
      </c>
      <c r="H2400" s="4">
        <v>0</v>
      </c>
      <c r="I2400" s="4">
        <v>0</v>
      </c>
      <c r="J2400" s="4">
        <v>778</v>
      </c>
    </row>
    <row r="2401" spans="1:10" x14ac:dyDescent="0.75">
      <c r="A2401" t="s">
        <v>151</v>
      </c>
      <c r="B2401">
        <v>4827</v>
      </c>
      <c r="C2401" t="s">
        <v>50</v>
      </c>
      <c r="D2401">
        <v>6835</v>
      </c>
      <c r="E2401" t="s">
        <v>483</v>
      </c>
      <c r="F2401" s="4">
        <v>562</v>
      </c>
      <c r="G2401" s="4">
        <v>0</v>
      </c>
      <c r="H2401" s="4">
        <v>0</v>
      </c>
      <c r="I2401" s="4">
        <v>0</v>
      </c>
      <c r="J2401" s="4">
        <v>562</v>
      </c>
    </row>
    <row r="2402" spans="1:10" x14ac:dyDescent="0.75">
      <c r="A2402" t="s">
        <v>151</v>
      </c>
      <c r="B2402">
        <v>4827</v>
      </c>
      <c r="C2402" t="s">
        <v>50</v>
      </c>
      <c r="D2402">
        <v>7600</v>
      </c>
      <c r="E2402" t="s">
        <v>503</v>
      </c>
      <c r="F2402" s="4">
        <v>467</v>
      </c>
      <c r="G2402" s="4">
        <v>0</v>
      </c>
      <c r="H2402" s="4">
        <v>0</v>
      </c>
      <c r="I2402" s="4">
        <v>0</v>
      </c>
      <c r="J2402" s="4">
        <v>467</v>
      </c>
    </row>
    <row r="2403" spans="1:10" x14ac:dyDescent="0.75">
      <c r="A2403" t="s">
        <v>151</v>
      </c>
      <c r="B2403">
        <v>4827</v>
      </c>
      <c r="C2403" t="s">
        <v>50</v>
      </c>
      <c r="D2403">
        <v>2340</v>
      </c>
      <c r="E2403" t="s">
        <v>369</v>
      </c>
      <c r="F2403" s="4">
        <v>237</v>
      </c>
      <c r="G2403" s="4">
        <v>0</v>
      </c>
      <c r="H2403" s="4">
        <v>0</v>
      </c>
      <c r="I2403" s="4">
        <v>0</v>
      </c>
      <c r="J2403" s="4">
        <v>237</v>
      </c>
    </row>
    <row r="2404" spans="1:10" x14ac:dyDescent="0.75">
      <c r="A2404" t="s">
        <v>151</v>
      </c>
      <c r="B2404">
        <v>4827</v>
      </c>
      <c r="C2404" t="s">
        <v>50</v>
      </c>
      <c r="D2404">
        <v>3286</v>
      </c>
      <c r="E2404" t="s">
        <v>423</v>
      </c>
      <c r="F2404" s="4">
        <v>218</v>
      </c>
      <c r="G2404" s="4">
        <v>0</v>
      </c>
      <c r="H2404" s="4">
        <v>0</v>
      </c>
      <c r="I2404" s="4">
        <v>0</v>
      </c>
      <c r="J2404" s="4">
        <v>218</v>
      </c>
    </row>
    <row r="2405" spans="1:10" x14ac:dyDescent="0.75">
      <c r="A2405" t="s">
        <v>151</v>
      </c>
      <c r="B2405">
        <v>4827</v>
      </c>
      <c r="C2405" t="s">
        <v>50</v>
      </c>
      <c r="D2405">
        <v>6899</v>
      </c>
      <c r="E2405" t="s">
        <v>498</v>
      </c>
      <c r="F2405" s="4">
        <v>139</v>
      </c>
      <c r="G2405" s="4">
        <v>0</v>
      </c>
      <c r="H2405" s="4">
        <v>0</v>
      </c>
      <c r="I2405" s="4">
        <v>0</v>
      </c>
      <c r="J2405" s="4">
        <v>139</v>
      </c>
    </row>
    <row r="2406" spans="1:10" x14ac:dyDescent="0.75">
      <c r="A2406" t="s">
        <v>151</v>
      </c>
      <c r="B2406">
        <v>4827</v>
      </c>
      <c r="C2406" t="s">
        <v>50</v>
      </c>
      <c r="D2406">
        <v>3220</v>
      </c>
      <c r="E2406" t="s">
        <v>370</v>
      </c>
      <c r="F2406" s="4">
        <v>122</v>
      </c>
      <c r="G2406" s="4">
        <v>0</v>
      </c>
      <c r="H2406" s="4">
        <v>0</v>
      </c>
      <c r="I2406" s="4">
        <v>0</v>
      </c>
      <c r="J2406" s="4">
        <v>122</v>
      </c>
    </row>
    <row r="2407" spans="1:10" x14ac:dyDescent="0.75">
      <c r="A2407" t="s">
        <v>151</v>
      </c>
      <c r="B2407">
        <v>4827</v>
      </c>
      <c r="C2407" t="s">
        <v>50</v>
      </c>
      <c r="D2407">
        <v>5330</v>
      </c>
      <c r="E2407" t="s">
        <v>385</v>
      </c>
      <c r="F2407" s="4">
        <v>66</v>
      </c>
      <c r="G2407" s="4">
        <v>0</v>
      </c>
      <c r="H2407" s="4">
        <v>0</v>
      </c>
      <c r="I2407" s="4">
        <v>0</v>
      </c>
      <c r="J2407" s="4">
        <v>66</v>
      </c>
    </row>
    <row r="2408" spans="1:10" x14ac:dyDescent="0.75">
      <c r="A2408" t="s">
        <v>151</v>
      </c>
      <c r="B2408">
        <v>4827</v>
      </c>
      <c r="C2408" t="s">
        <v>50</v>
      </c>
      <c r="D2408">
        <v>4170</v>
      </c>
      <c r="E2408" t="s">
        <v>424</v>
      </c>
      <c r="F2408" s="4">
        <v>2</v>
      </c>
      <c r="G2408" s="4">
        <v>0</v>
      </c>
      <c r="H2408" s="4">
        <v>0</v>
      </c>
      <c r="I2408" s="4">
        <v>0</v>
      </c>
      <c r="J2408" s="4">
        <v>2</v>
      </c>
    </row>
    <row r="2409" spans="1:10" x14ac:dyDescent="0.75">
      <c r="A2409" t="s">
        <v>151</v>
      </c>
      <c r="B2409">
        <v>1988</v>
      </c>
      <c r="C2409" t="s">
        <v>323</v>
      </c>
      <c r="D2409">
        <v>2221</v>
      </c>
      <c r="E2409" t="s">
        <v>374</v>
      </c>
      <c r="F2409" s="4">
        <v>47347</v>
      </c>
      <c r="G2409" s="4">
        <v>0</v>
      </c>
      <c r="H2409" s="4">
        <v>0</v>
      </c>
      <c r="I2409" s="4">
        <v>0</v>
      </c>
      <c r="J2409" s="4">
        <v>47347</v>
      </c>
    </row>
    <row r="2410" spans="1:10" x14ac:dyDescent="0.75">
      <c r="A2410" t="s">
        <v>151</v>
      </c>
      <c r="B2410">
        <v>5001</v>
      </c>
      <c r="C2410" t="s">
        <v>96</v>
      </c>
      <c r="D2410">
        <v>6134</v>
      </c>
      <c r="E2410" t="s">
        <v>470</v>
      </c>
      <c r="F2410" s="4">
        <v>12700</v>
      </c>
      <c r="G2410" s="4">
        <v>0</v>
      </c>
      <c r="H2410" s="4">
        <v>0</v>
      </c>
      <c r="I2410" s="4">
        <v>0</v>
      </c>
      <c r="J2410" s="4">
        <v>12700</v>
      </c>
    </row>
    <row r="2411" spans="1:10" x14ac:dyDescent="0.75">
      <c r="A2411" t="s">
        <v>151</v>
      </c>
      <c r="B2411">
        <v>5001</v>
      </c>
      <c r="C2411" t="s">
        <v>96</v>
      </c>
      <c r="D2411">
        <v>7900</v>
      </c>
      <c r="E2411" t="s">
        <v>388</v>
      </c>
      <c r="F2411" s="4">
        <v>3626</v>
      </c>
      <c r="G2411" s="4">
        <v>0</v>
      </c>
      <c r="H2411" s="4">
        <v>0</v>
      </c>
      <c r="I2411" s="4">
        <v>0</v>
      </c>
      <c r="J2411" s="4">
        <v>3626</v>
      </c>
    </row>
    <row r="2412" spans="1:10" x14ac:dyDescent="0.75">
      <c r="A2412" t="s">
        <v>151</v>
      </c>
      <c r="B2412">
        <v>5001</v>
      </c>
      <c r="C2412" t="s">
        <v>96</v>
      </c>
      <c r="D2412">
        <v>4783</v>
      </c>
      <c r="E2412" t="s">
        <v>382</v>
      </c>
      <c r="F2412" s="4">
        <v>559</v>
      </c>
      <c r="G2412" s="4">
        <v>0</v>
      </c>
      <c r="H2412" s="4">
        <v>0</v>
      </c>
      <c r="I2412" s="4">
        <v>0</v>
      </c>
      <c r="J2412" s="4">
        <v>559</v>
      </c>
    </row>
    <row r="2413" spans="1:10" x14ac:dyDescent="0.75">
      <c r="A2413" t="s">
        <v>151</v>
      </c>
      <c r="B2413">
        <v>5001</v>
      </c>
      <c r="C2413" t="s">
        <v>96</v>
      </c>
      <c r="D2413">
        <v>5190</v>
      </c>
      <c r="E2413" t="s">
        <v>462</v>
      </c>
      <c r="F2413" s="4">
        <v>347</v>
      </c>
      <c r="G2413" s="4">
        <v>0</v>
      </c>
      <c r="H2413" s="4">
        <v>0</v>
      </c>
      <c r="I2413" s="4">
        <v>0</v>
      </c>
      <c r="J2413" s="4">
        <v>347</v>
      </c>
    </row>
    <row r="2414" spans="1:10" x14ac:dyDescent="0.75">
      <c r="A2414" t="s">
        <v>151</v>
      </c>
      <c r="B2414">
        <v>5001</v>
      </c>
      <c r="C2414" t="s">
        <v>96</v>
      </c>
      <c r="D2414">
        <v>7400</v>
      </c>
      <c r="E2414" t="s">
        <v>502</v>
      </c>
      <c r="F2414" s="4">
        <v>88</v>
      </c>
      <c r="G2414" s="4">
        <v>0</v>
      </c>
      <c r="H2414" s="4">
        <v>0</v>
      </c>
      <c r="I2414" s="4">
        <v>0</v>
      </c>
      <c r="J2414" s="4">
        <v>88</v>
      </c>
    </row>
    <row r="2415" spans="1:10" x14ac:dyDescent="0.75">
      <c r="A2415" t="s">
        <v>151</v>
      </c>
      <c r="B2415">
        <v>5001</v>
      </c>
      <c r="C2415" t="s">
        <v>96</v>
      </c>
      <c r="D2415">
        <v>7110</v>
      </c>
      <c r="E2415" t="s">
        <v>371</v>
      </c>
      <c r="F2415" s="4">
        <v>6</v>
      </c>
      <c r="G2415" s="4">
        <v>0</v>
      </c>
      <c r="H2415" s="4">
        <v>0</v>
      </c>
      <c r="I2415" s="4">
        <v>0</v>
      </c>
      <c r="J2415" s="4">
        <v>6</v>
      </c>
    </row>
    <row r="2416" spans="1:10" x14ac:dyDescent="0.75">
      <c r="A2416" t="s">
        <v>151</v>
      </c>
      <c r="B2416">
        <v>5001</v>
      </c>
      <c r="C2416" t="s">
        <v>96</v>
      </c>
      <c r="D2416">
        <v>7210</v>
      </c>
      <c r="E2416" t="s">
        <v>426</v>
      </c>
      <c r="F2416" s="4">
        <v>2</v>
      </c>
      <c r="G2416" s="4">
        <v>0</v>
      </c>
      <c r="H2416" s="4">
        <v>0</v>
      </c>
      <c r="I2416" s="4">
        <v>0</v>
      </c>
      <c r="J2416" s="4">
        <v>2</v>
      </c>
    </row>
    <row r="2417" spans="1:10" x14ac:dyDescent="0.75">
      <c r="A2417" t="s">
        <v>151</v>
      </c>
      <c r="B2417">
        <v>4998</v>
      </c>
      <c r="C2417" t="s">
        <v>95</v>
      </c>
      <c r="D2417">
        <v>4690</v>
      </c>
      <c r="E2417" t="s">
        <v>428</v>
      </c>
      <c r="F2417" s="4">
        <v>1238490</v>
      </c>
      <c r="G2417" s="4">
        <v>0</v>
      </c>
      <c r="H2417" s="4">
        <v>0</v>
      </c>
      <c r="I2417" s="4">
        <v>0</v>
      </c>
      <c r="J2417" s="4">
        <v>1238490</v>
      </c>
    </row>
    <row r="2418" spans="1:10" x14ac:dyDescent="0.75">
      <c r="A2418" t="s">
        <v>151</v>
      </c>
      <c r="B2418">
        <v>4998</v>
      </c>
      <c r="C2418" t="s">
        <v>95</v>
      </c>
      <c r="D2418">
        <v>2330</v>
      </c>
      <c r="E2418" t="s">
        <v>368</v>
      </c>
      <c r="F2418" s="4">
        <v>0</v>
      </c>
      <c r="G2418" s="4">
        <v>5470</v>
      </c>
      <c r="H2418" s="4">
        <v>5470</v>
      </c>
      <c r="I2418" s="4">
        <v>0</v>
      </c>
      <c r="J2418" s="4">
        <v>5470</v>
      </c>
    </row>
    <row r="2419" spans="1:10" x14ac:dyDescent="0.75">
      <c r="A2419" t="s">
        <v>151</v>
      </c>
      <c r="B2419">
        <v>4998</v>
      </c>
      <c r="C2419" t="s">
        <v>95</v>
      </c>
      <c r="D2419">
        <v>7900</v>
      </c>
      <c r="E2419" t="s">
        <v>388</v>
      </c>
      <c r="F2419" s="4">
        <v>1633</v>
      </c>
      <c r="G2419" s="4">
        <v>0</v>
      </c>
      <c r="H2419" s="4">
        <v>0</v>
      </c>
      <c r="I2419" s="4">
        <v>0</v>
      </c>
      <c r="J2419" s="4">
        <v>1633</v>
      </c>
    </row>
    <row r="2420" spans="1:10" x14ac:dyDescent="0.75">
      <c r="A2420" t="s">
        <v>151</v>
      </c>
      <c r="B2420">
        <v>4998</v>
      </c>
      <c r="C2420" t="s">
        <v>95</v>
      </c>
      <c r="D2420">
        <v>5210</v>
      </c>
      <c r="E2420" t="s">
        <v>463</v>
      </c>
      <c r="F2420" s="4">
        <v>0</v>
      </c>
      <c r="G2420" s="4">
        <v>1581</v>
      </c>
      <c r="H2420" s="4">
        <v>1581</v>
      </c>
      <c r="I2420" s="4">
        <v>0</v>
      </c>
      <c r="J2420" s="4">
        <v>1581</v>
      </c>
    </row>
    <row r="2421" spans="1:10" x14ac:dyDescent="0.75">
      <c r="A2421" t="s">
        <v>151</v>
      </c>
      <c r="B2421">
        <v>4998</v>
      </c>
      <c r="C2421" t="s">
        <v>95</v>
      </c>
      <c r="D2421">
        <v>3110</v>
      </c>
      <c r="E2421" t="s">
        <v>405</v>
      </c>
      <c r="F2421" s="4">
        <v>0</v>
      </c>
      <c r="G2421" s="4">
        <v>1055</v>
      </c>
      <c r="H2421" s="4">
        <v>1055</v>
      </c>
      <c r="I2421" s="4">
        <v>0</v>
      </c>
      <c r="J2421" s="4">
        <v>1055</v>
      </c>
    </row>
    <row r="2422" spans="1:10" x14ac:dyDescent="0.75">
      <c r="A2422" t="s">
        <v>151</v>
      </c>
      <c r="B2422">
        <v>4998</v>
      </c>
      <c r="C2422" t="s">
        <v>95</v>
      </c>
      <c r="D2422">
        <v>4900</v>
      </c>
      <c r="E2422" t="s">
        <v>383</v>
      </c>
      <c r="F2422" s="4">
        <v>0</v>
      </c>
      <c r="G2422" s="4">
        <v>699</v>
      </c>
      <c r="H2422" s="4">
        <v>699</v>
      </c>
      <c r="I2422" s="4">
        <v>0</v>
      </c>
      <c r="J2422" s="4">
        <v>699</v>
      </c>
    </row>
    <row r="2423" spans="1:10" x14ac:dyDescent="0.75">
      <c r="A2423" t="s">
        <v>151</v>
      </c>
      <c r="B2423">
        <v>4998</v>
      </c>
      <c r="C2423" t="s">
        <v>95</v>
      </c>
      <c r="D2423">
        <v>7400</v>
      </c>
      <c r="E2423" t="s">
        <v>502</v>
      </c>
      <c r="F2423" s="4">
        <v>506</v>
      </c>
      <c r="G2423" s="4">
        <v>0</v>
      </c>
      <c r="H2423" s="4">
        <v>0</v>
      </c>
      <c r="I2423" s="4">
        <v>0</v>
      </c>
      <c r="J2423" s="4">
        <v>506</v>
      </c>
    </row>
    <row r="2424" spans="1:10" x14ac:dyDescent="0.75">
      <c r="A2424" t="s">
        <v>151</v>
      </c>
      <c r="B2424">
        <v>4998</v>
      </c>
      <c r="C2424" t="s">
        <v>95</v>
      </c>
      <c r="D2424">
        <v>3250</v>
      </c>
      <c r="E2424" t="s">
        <v>435</v>
      </c>
      <c r="F2424" s="4">
        <v>0</v>
      </c>
      <c r="G2424" s="4">
        <v>381</v>
      </c>
      <c r="H2424" s="4">
        <v>381</v>
      </c>
      <c r="I2424" s="4">
        <v>0</v>
      </c>
      <c r="J2424" s="4">
        <v>381</v>
      </c>
    </row>
    <row r="2425" spans="1:10" x14ac:dyDescent="0.75">
      <c r="A2425" t="s">
        <v>151</v>
      </c>
      <c r="B2425">
        <v>4998</v>
      </c>
      <c r="C2425" t="s">
        <v>95</v>
      </c>
      <c r="D2425">
        <v>2211</v>
      </c>
      <c r="E2425" t="s">
        <v>367</v>
      </c>
      <c r="F2425" s="4">
        <v>178</v>
      </c>
      <c r="G2425" s="4">
        <v>0</v>
      </c>
      <c r="H2425" s="4">
        <v>0</v>
      </c>
      <c r="I2425" s="4">
        <v>0</v>
      </c>
      <c r="J2425" s="4">
        <v>178</v>
      </c>
    </row>
    <row r="2426" spans="1:10" x14ac:dyDescent="0.75">
      <c r="A2426" t="s">
        <v>151</v>
      </c>
      <c r="B2426">
        <v>4998</v>
      </c>
      <c r="C2426" t="s">
        <v>95</v>
      </c>
      <c r="D2426">
        <v>2221</v>
      </c>
      <c r="E2426" t="s">
        <v>374</v>
      </c>
      <c r="F2426" s="4">
        <v>178</v>
      </c>
      <c r="G2426" s="4">
        <v>0</v>
      </c>
      <c r="H2426" s="4">
        <v>0</v>
      </c>
      <c r="I2426" s="4">
        <v>0</v>
      </c>
      <c r="J2426" s="4">
        <v>178</v>
      </c>
    </row>
    <row r="2427" spans="1:10" x14ac:dyDescent="0.75">
      <c r="A2427" t="s">
        <v>151</v>
      </c>
      <c r="B2427">
        <v>4998</v>
      </c>
      <c r="C2427" t="s">
        <v>95</v>
      </c>
      <c r="D2427">
        <v>5360</v>
      </c>
      <c r="E2427" t="s">
        <v>465</v>
      </c>
      <c r="F2427" s="4">
        <v>126</v>
      </c>
      <c r="G2427" s="4">
        <v>0</v>
      </c>
      <c r="H2427" s="4">
        <v>0</v>
      </c>
      <c r="I2427" s="4">
        <v>0</v>
      </c>
      <c r="J2427" s="4">
        <v>126</v>
      </c>
    </row>
    <row r="2428" spans="1:10" x14ac:dyDescent="0.75">
      <c r="A2428" t="s">
        <v>151</v>
      </c>
      <c r="B2428">
        <v>4998</v>
      </c>
      <c r="C2428" t="s">
        <v>95</v>
      </c>
      <c r="D2428">
        <v>4331</v>
      </c>
      <c r="E2428" t="s">
        <v>390</v>
      </c>
      <c r="F2428" s="4">
        <v>60</v>
      </c>
      <c r="G2428" s="4">
        <v>0</v>
      </c>
      <c r="H2428" s="4">
        <v>0</v>
      </c>
      <c r="I2428" s="4">
        <v>0</v>
      </c>
      <c r="J2428" s="4">
        <v>60</v>
      </c>
    </row>
    <row r="2429" spans="1:10" x14ac:dyDescent="0.75">
      <c r="A2429" t="s">
        <v>151</v>
      </c>
      <c r="B2429">
        <v>4998</v>
      </c>
      <c r="C2429" t="s">
        <v>95</v>
      </c>
      <c r="D2429">
        <v>4189</v>
      </c>
      <c r="E2429" t="s">
        <v>451</v>
      </c>
      <c r="F2429" s="4">
        <v>18</v>
      </c>
      <c r="G2429" s="4">
        <v>0</v>
      </c>
      <c r="H2429" s="4">
        <v>0</v>
      </c>
      <c r="I2429" s="4">
        <v>0</v>
      </c>
      <c r="J2429" s="4">
        <v>18</v>
      </c>
    </row>
    <row r="2430" spans="1:10" x14ac:dyDescent="0.75">
      <c r="A2430" t="s">
        <v>151</v>
      </c>
      <c r="B2430">
        <v>4998</v>
      </c>
      <c r="C2430" t="s">
        <v>95</v>
      </c>
      <c r="D2430">
        <v>7210</v>
      </c>
      <c r="E2430" t="s">
        <v>426</v>
      </c>
      <c r="F2430" s="4">
        <v>15</v>
      </c>
      <c r="G2430" s="4">
        <v>0</v>
      </c>
      <c r="H2430" s="4">
        <v>0</v>
      </c>
      <c r="I2430" s="4">
        <v>0</v>
      </c>
      <c r="J2430" s="4">
        <v>15</v>
      </c>
    </row>
    <row r="2431" spans="1:10" x14ac:dyDescent="0.75">
      <c r="A2431" t="s">
        <v>151</v>
      </c>
      <c r="B2431">
        <v>4998</v>
      </c>
      <c r="C2431" t="s">
        <v>95</v>
      </c>
      <c r="D2431">
        <v>7110</v>
      </c>
      <c r="E2431" t="s">
        <v>371</v>
      </c>
      <c r="F2431" s="4">
        <v>9</v>
      </c>
      <c r="G2431" s="4">
        <v>0</v>
      </c>
      <c r="H2431" s="4">
        <v>0</v>
      </c>
      <c r="I2431" s="4">
        <v>0</v>
      </c>
      <c r="J2431" s="4">
        <v>9</v>
      </c>
    </row>
    <row r="2432" spans="1:10" x14ac:dyDescent="0.75">
      <c r="A2432" t="s">
        <v>151</v>
      </c>
      <c r="B2432">
        <v>4998</v>
      </c>
      <c r="C2432" t="s">
        <v>95</v>
      </c>
      <c r="D2432">
        <v>5240</v>
      </c>
      <c r="E2432" t="s">
        <v>464</v>
      </c>
      <c r="F2432" s="4">
        <v>4</v>
      </c>
      <c r="G2432" s="4">
        <v>0</v>
      </c>
      <c r="H2432" s="4">
        <v>0</v>
      </c>
      <c r="I2432" s="4">
        <v>0</v>
      </c>
      <c r="J2432" s="4">
        <v>4</v>
      </c>
    </row>
    <row r="2433" spans="1:10" x14ac:dyDescent="0.75">
      <c r="A2433" t="s">
        <v>151</v>
      </c>
      <c r="B2433">
        <v>4903</v>
      </c>
      <c r="C2433" t="s">
        <v>328</v>
      </c>
      <c r="D2433">
        <v>4170</v>
      </c>
      <c r="E2433" t="s">
        <v>424</v>
      </c>
      <c r="F2433" s="4">
        <v>0</v>
      </c>
      <c r="G2433" s="4">
        <v>27807</v>
      </c>
      <c r="H2433" s="4">
        <v>0</v>
      </c>
      <c r="I2433" s="4">
        <v>27807</v>
      </c>
      <c r="J2433" s="4">
        <v>27807</v>
      </c>
    </row>
    <row r="2434" spans="1:10" x14ac:dyDescent="0.75">
      <c r="A2434" t="s">
        <v>163</v>
      </c>
      <c r="B2434">
        <v>2373</v>
      </c>
      <c r="C2434" t="s">
        <v>310</v>
      </c>
      <c r="D2434">
        <v>2430</v>
      </c>
      <c r="E2434" t="s">
        <v>376</v>
      </c>
      <c r="F2434" s="4">
        <v>87457</v>
      </c>
      <c r="G2434" s="4">
        <v>0</v>
      </c>
      <c r="H2434" s="4">
        <v>0</v>
      </c>
      <c r="I2434" s="4">
        <v>0</v>
      </c>
      <c r="J2434" s="4">
        <v>87457</v>
      </c>
    </row>
    <row r="2435" spans="1:10" x14ac:dyDescent="0.75">
      <c r="A2435" t="s">
        <v>163</v>
      </c>
      <c r="B2435">
        <v>2373</v>
      </c>
      <c r="C2435" t="s">
        <v>310</v>
      </c>
      <c r="D2435">
        <v>4335</v>
      </c>
      <c r="E2435" t="s">
        <v>372</v>
      </c>
      <c r="F2435" s="4">
        <v>2880</v>
      </c>
      <c r="G2435" s="4">
        <v>0</v>
      </c>
      <c r="H2435" s="4">
        <v>0</v>
      </c>
      <c r="I2435" s="4">
        <v>0</v>
      </c>
      <c r="J2435" s="4">
        <v>2880</v>
      </c>
    </row>
    <row r="2436" spans="1:10" x14ac:dyDescent="0.75">
      <c r="A2436" t="s">
        <v>163</v>
      </c>
      <c r="B2436">
        <v>2373</v>
      </c>
      <c r="C2436" t="s">
        <v>310</v>
      </c>
      <c r="D2436">
        <v>2540</v>
      </c>
      <c r="E2436" t="s">
        <v>377</v>
      </c>
      <c r="F2436" s="4">
        <v>2338</v>
      </c>
      <c r="G2436" s="4">
        <v>0</v>
      </c>
      <c r="H2436" s="4">
        <v>0</v>
      </c>
      <c r="I2436" s="4">
        <v>0</v>
      </c>
      <c r="J2436" s="4">
        <v>2338</v>
      </c>
    </row>
    <row r="2437" spans="1:10" x14ac:dyDescent="0.75">
      <c r="A2437" t="s">
        <v>151</v>
      </c>
      <c r="B2437">
        <v>4906</v>
      </c>
      <c r="C2437" t="s">
        <v>69</v>
      </c>
      <c r="D2437">
        <v>6134</v>
      </c>
      <c r="E2437" t="s">
        <v>470</v>
      </c>
      <c r="F2437" s="4">
        <v>45363</v>
      </c>
      <c r="G2437" s="4">
        <v>3951</v>
      </c>
      <c r="H2437" s="4">
        <v>0</v>
      </c>
      <c r="I2437" s="4">
        <v>3951</v>
      </c>
      <c r="J2437" s="4">
        <v>49314</v>
      </c>
    </row>
    <row r="2438" spans="1:10" x14ac:dyDescent="0.75">
      <c r="A2438" t="s">
        <v>151</v>
      </c>
      <c r="B2438">
        <v>4906</v>
      </c>
      <c r="C2438" t="s">
        <v>69</v>
      </c>
      <c r="D2438">
        <v>7900</v>
      </c>
      <c r="E2438" t="s">
        <v>388</v>
      </c>
      <c r="F2438" s="4">
        <v>33772</v>
      </c>
      <c r="G2438" s="4">
        <v>0</v>
      </c>
      <c r="H2438" s="4">
        <v>0</v>
      </c>
      <c r="I2438" s="4">
        <v>0</v>
      </c>
      <c r="J2438" s="4">
        <v>33772</v>
      </c>
    </row>
    <row r="2439" spans="1:10" x14ac:dyDescent="0.75">
      <c r="A2439" t="s">
        <v>151</v>
      </c>
      <c r="B2439">
        <v>4906</v>
      </c>
      <c r="C2439" t="s">
        <v>69</v>
      </c>
      <c r="D2439">
        <v>2330</v>
      </c>
      <c r="E2439" t="s">
        <v>368</v>
      </c>
      <c r="F2439" s="4">
        <v>28912</v>
      </c>
      <c r="G2439" s="4">
        <v>0</v>
      </c>
      <c r="H2439" s="4">
        <v>0</v>
      </c>
      <c r="I2439" s="4">
        <v>0</v>
      </c>
      <c r="J2439" s="4">
        <v>28912</v>
      </c>
    </row>
    <row r="2440" spans="1:10" x14ac:dyDescent="0.75">
      <c r="A2440" t="s">
        <v>151</v>
      </c>
      <c r="B2440">
        <v>4906</v>
      </c>
      <c r="C2440" t="s">
        <v>69</v>
      </c>
      <c r="D2440">
        <v>2221</v>
      </c>
      <c r="E2440" t="s">
        <v>374</v>
      </c>
      <c r="F2440" s="4">
        <v>25566</v>
      </c>
      <c r="G2440" s="4">
        <v>0</v>
      </c>
      <c r="H2440" s="4">
        <v>0</v>
      </c>
      <c r="I2440" s="4">
        <v>0</v>
      </c>
      <c r="J2440" s="4">
        <v>25566</v>
      </c>
    </row>
    <row r="2441" spans="1:10" x14ac:dyDescent="0.75">
      <c r="A2441" t="s">
        <v>151</v>
      </c>
      <c r="B2441">
        <v>4906</v>
      </c>
      <c r="C2441" t="s">
        <v>69</v>
      </c>
      <c r="D2441">
        <v>2211</v>
      </c>
      <c r="E2441" t="s">
        <v>367</v>
      </c>
      <c r="F2441" s="4">
        <v>11647</v>
      </c>
      <c r="G2441" s="4">
        <v>0</v>
      </c>
      <c r="H2441" s="4">
        <v>0</v>
      </c>
      <c r="I2441" s="4">
        <v>0</v>
      </c>
      <c r="J2441" s="4">
        <v>11647</v>
      </c>
    </row>
    <row r="2442" spans="1:10" x14ac:dyDescent="0.75">
      <c r="A2442" t="s">
        <v>151</v>
      </c>
      <c r="B2442">
        <v>4906</v>
      </c>
      <c r="C2442" t="s">
        <v>69</v>
      </c>
      <c r="D2442">
        <v>6889</v>
      </c>
      <c r="E2442" t="s">
        <v>420</v>
      </c>
      <c r="F2442" s="4">
        <v>10270</v>
      </c>
      <c r="G2442" s="4">
        <v>0</v>
      </c>
      <c r="H2442" s="4">
        <v>0</v>
      </c>
      <c r="I2442" s="4">
        <v>0</v>
      </c>
      <c r="J2442" s="4">
        <v>10270</v>
      </c>
    </row>
    <row r="2443" spans="1:10" x14ac:dyDescent="0.75">
      <c r="A2443" t="s">
        <v>151</v>
      </c>
      <c r="B2443">
        <v>4906</v>
      </c>
      <c r="C2443" t="s">
        <v>69</v>
      </c>
      <c r="D2443">
        <v>7110</v>
      </c>
      <c r="E2443" t="s">
        <v>371</v>
      </c>
      <c r="F2443" s="4">
        <v>8492</v>
      </c>
      <c r="G2443" s="4">
        <v>0</v>
      </c>
      <c r="H2443" s="4">
        <v>0</v>
      </c>
      <c r="I2443" s="4">
        <v>0</v>
      </c>
      <c r="J2443" s="4">
        <v>8492</v>
      </c>
    </row>
    <row r="2444" spans="1:10" x14ac:dyDescent="0.75">
      <c r="A2444" t="s">
        <v>151</v>
      </c>
      <c r="B2444">
        <v>4906</v>
      </c>
      <c r="C2444" t="s">
        <v>69</v>
      </c>
      <c r="D2444">
        <v>6835</v>
      </c>
      <c r="E2444" t="s">
        <v>483</v>
      </c>
      <c r="F2444" s="4">
        <v>5178</v>
      </c>
      <c r="G2444" s="4">
        <v>21</v>
      </c>
      <c r="H2444" s="4">
        <v>0</v>
      </c>
      <c r="I2444" s="4">
        <v>21</v>
      </c>
      <c r="J2444" s="4">
        <v>5199</v>
      </c>
    </row>
    <row r="2445" spans="1:10" x14ac:dyDescent="0.75">
      <c r="A2445" t="s">
        <v>151</v>
      </c>
      <c r="B2445">
        <v>4906</v>
      </c>
      <c r="C2445" t="s">
        <v>69</v>
      </c>
      <c r="D2445">
        <v>7400</v>
      </c>
      <c r="E2445" t="s">
        <v>502</v>
      </c>
      <c r="F2445" s="4">
        <v>4339</v>
      </c>
      <c r="G2445" s="4">
        <v>0</v>
      </c>
      <c r="H2445" s="4">
        <v>0</v>
      </c>
      <c r="I2445" s="4">
        <v>0</v>
      </c>
      <c r="J2445" s="4">
        <v>4339</v>
      </c>
    </row>
    <row r="2446" spans="1:10" x14ac:dyDescent="0.75">
      <c r="A2446" t="s">
        <v>151</v>
      </c>
      <c r="B2446">
        <v>4906</v>
      </c>
      <c r="C2446" t="s">
        <v>69</v>
      </c>
      <c r="D2446">
        <v>6136</v>
      </c>
      <c r="E2446" t="s">
        <v>471</v>
      </c>
      <c r="F2446" s="4">
        <v>3692</v>
      </c>
      <c r="G2446" s="4">
        <v>0</v>
      </c>
      <c r="H2446" s="4">
        <v>0</v>
      </c>
      <c r="I2446" s="4">
        <v>0</v>
      </c>
      <c r="J2446" s="4">
        <v>3692</v>
      </c>
    </row>
    <row r="2447" spans="1:10" x14ac:dyDescent="0.75">
      <c r="A2447" t="s">
        <v>151</v>
      </c>
      <c r="B2447">
        <v>4906</v>
      </c>
      <c r="C2447" t="s">
        <v>69</v>
      </c>
      <c r="D2447">
        <v>6887</v>
      </c>
      <c r="E2447" t="s">
        <v>505</v>
      </c>
      <c r="F2447" s="4">
        <v>3628</v>
      </c>
      <c r="G2447" s="4">
        <v>0</v>
      </c>
      <c r="H2447" s="4">
        <v>0</v>
      </c>
      <c r="I2447" s="4">
        <v>0</v>
      </c>
      <c r="J2447" s="4">
        <v>3628</v>
      </c>
    </row>
    <row r="2448" spans="1:10" x14ac:dyDescent="0.75">
      <c r="A2448" t="s">
        <v>151</v>
      </c>
      <c r="B2448">
        <v>4906</v>
      </c>
      <c r="C2448" t="s">
        <v>69</v>
      </c>
      <c r="D2448">
        <v>5190</v>
      </c>
      <c r="E2448" t="s">
        <v>462</v>
      </c>
      <c r="F2448" s="4">
        <v>2517</v>
      </c>
      <c r="G2448" s="4">
        <v>0</v>
      </c>
      <c r="H2448" s="4">
        <v>0</v>
      </c>
      <c r="I2448" s="4">
        <v>0</v>
      </c>
      <c r="J2448" s="4">
        <v>2517</v>
      </c>
    </row>
    <row r="2449" spans="1:10" x14ac:dyDescent="0.75">
      <c r="A2449" t="s">
        <v>151</v>
      </c>
      <c r="B2449">
        <v>4906</v>
      </c>
      <c r="C2449" t="s">
        <v>69</v>
      </c>
      <c r="D2449">
        <v>6782</v>
      </c>
      <c r="E2449" t="s">
        <v>396</v>
      </c>
      <c r="F2449" s="4">
        <v>1832</v>
      </c>
      <c r="G2449" s="4">
        <v>0</v>
      </c>
      <c r="H2449" s="4">
        <v>0</v>
      </c>
      <c r="I2449" s="4">
        <v>0</v>
      </c>
      <c r="J2449" s="4">
        <v>1832</v>
      </c>
    </row>
    <row r="2450" spans="1:10" x14ac:dyDescent="0.75">
      <c r="A2450" t="s">
        <v>151</v>
      </c>
      <c r="B2450">
        <v>4906</v>
      </c>
      <c r="C2450" t="s">
        <v>69</v>
      </c>
      <c r="D2450">
        <v>7210</v>
      </c>
      <c r="E2450" t="s">
        <v>426</v>
      </c>
      <c r="F2450" s="4">
        <v>1453</v>
      </c>
      <c r="G2450" s="4">
        <v>0</v>
      </c>
      <c r="H2450" s="4">
        <v>0</v>
      </c>
      <c r="I2450" s="4">
        <v>0</v>
      </c>
      <c r="J2450" s="4">
        <v>1453</v>
      </c>
    </row>
    <row r="2451" spans="1:10" x14ac:dyDescent="0.75">
      <c r="A2451" t="s">
        <v>151</v>
      </c>
      <c r="B2451">
        <v>4906</v>
      </c>
      <c r="C2451" t="s">
        <v>69</v>
      </c>
      <c r="D2451">
        <v>4783</v>
      </c>
      <c r="E2451" t="s">
        <v>382</v>
      </c>
      <c r="F2451" s="4">
        <v>1413</v>
      </c>
      <c r="G2451" s="4">
        <v>0</v>
      </c>
      <c r="H2451" s="4">
        <v>0</v>
      </c>
      <c r="I2451" s="4">
        <v>0</v>
      </c>
      <c r="J2451" s="4">
        <v>1413</v>
      </c>
    </row>
    <row r="2452" spans="1:10" x14ac:dyDescent="0.75">
      <c r="A2452" t="s">
        <v>151</v>
      </c>
      <c r="B2452">
        <v>4906</v>
      </c>
      <c r="C2452" t="s">
        <v>69</v>
      </c>
      <c r="D2452">
        <v>4420</v>
      </c>
      <c r="E2452" t="s">
        <v>381</v>
      </c>
      <c r="F2452" s="4">
        <v>1242</v>
      </c>
      <c r="G2452" s="4">
        <v>0</v>
      </c>
      <c r="H2452" s="4">
        <v>0</v>
      </c>
      <c r="I2452" s="4">
        <v>0</v>
      </c>
      <c r="J2452" s="4">
        <v>1242</v>
      </c>
    </row>
    <row r="2453" spans="1:10" x14ac:dyDescent="0.75">
      <c r="A2453" t="s">
        <v>151</v>
      </c>
      <c r="B2453">
        <v>4906</v>
      </c>
      <c r="C2453" t="s">
        <v>69</v>
      </c>
      <c r="D2453">
        <v>4189</v>
      </c>
      <c r="E2453" t="s">
        <v>451</v>
      </c>
      <c r="F2453" s="4">
        <v>965</v>
      </c>
      <c r="G2453" s="4">
        <v>0</v>
      </c>
      <c r="H2453" s="4">
        <v>0</v>
      </c>
      <c r="I2453" s="4">
        <v>0</v>
      </c>
      <c r="J2453" s="4">
        <v>965</v>
      </c>
    </row>
    <row r="2454" spans="1:10" x14ac:dyDescent="0.75">
      <c r="A2454" t="s">
        <v>151</v>
      </c>
      <c r="B2454">
        <v>4906</v>
      </c>
      <c r="C2454" t="s">
        <v>69</v>
      </c>
      <c r="D2454">
        <v>5480</v>
      </c>
      <c r="E2454" t="s">
        <v>386</v>
      </c>
      <c r="F2454" s="4">
        <v>765</v>
      </c>
      <c r="G2454" s="4">
        <v>0</v>
      </c>
      <c r="H2454" s="4">
        <v>0</v>
      </c>
      <c r="I2454" s="4">
        <v>0</v>
      </c>
      <c r="J2454" s="4">
        <v>765</v>
      </c>
    </row>
    <row r="2455" spans="1:10" x14ac:dyDescent="0.75">
      <c r="A2455" t="s">
        <v>151</v>
      </c>
      <c r="B2455">
        <v>4906</v>
      </c>
      <c r="C2455" t="s">
        <v>69</v>
      </c>
      <c r="D2455">
        <v>3299</v>
      </c>
      <c r="E2455" t="s">
        <v>448</v>
      </c>
      <c r="F2455" s="4">
        <v>755</v>
      </c>
      <c r="G2455" s="4">
        <v>0</v>
      </c>
      <c r="H2455" s="4">
        <v>0</v>
      </c>
      <c r="I2455" s="4">
        <v>0</v>
      </c>
      <c r="J2455" s="4">
        <v>755</v>
      </c>
    </row>
    <row r="2456" spans="1:10" x14ac:dyDescent="0.75">
      <c r="A2456" t="s">
        <v>151</v>
      </c>
      <c r="B2456">
        <v>4906</v>
      </c>
      <c r="C2456" t="s">
        <v>69</v>
      </c>
      <c r="D2456">
        <v>4225</v>
      </c>
      <c r="E2456" t="s">
        <v>380</v>
      </c>
      <c r="F2456" s="4">
        <v>707</v>
      </c>
      <c r="G2456" s="4">
        <v>0</v>
      </c>
      <c r="H2456" s="4">
        <v>0</v>
      </c>
      <c r="I2456" s="4">
        <v>0</v>
      </c>
      <c r="J2456" s="4">
        <v>707</v>
      </c>
    </row>
    <row r="2457" spans="1:10" x14ac:dyDescent="0.75">
      <c r="A2457" t="s">
        <v>151</v>
      </c>
      <c r="B2457">
        <v>4906</v>
      </c>
      <c r="C2457" t="s">
        <v>69</v>
      </c>
      <c r="D2457">
        <v>6747</v>
      </c>
      <c r="E2457" t="s">
        <v>478</v>
      </c>
      <c r="F2457" s="4">
        <v>324</v>
      </c>
      <c r="G2457" s="4">
        <v>0</v>
      </c>
      <c r="H2457" s="4">
        <v>0</v>
      </c>
      <c r="I2457" s="4">
        <v>0</v>
      </c>
      <c r="J2457" s="4">
        <v>324</v>
      </c>
    </row>
    <row r="2458" spans="1:10" x14ac:dyDescent="0.75">
      <c r="A2458" t="s">
        <v>151</v>
      </c>
      <c r="B2458">
        <v>4906</v>
      </c>
      <c r="C2458" t="s">
        <v>69</v>
      </c>
      <c r="D2458">
        <v>3276</v>
      </c>
      <c r="E2458" t="s">
        <v>379</v>
      </c>
      <c r="F2458" s="4">
        <v>316</v>
      </c>
      <c r="G2458" s="4">
        <v>0</v>
      </c>
      <c r="H2458" s="4">
        <v>0</v>
      </c>
      <c r="I2458" s="4">
        <v>0</v>
      </c>
      <c r="J2458" s="4">
        <v>316</v>
      </c>
    </row>
    <row r="2459" spans="1:10" x14ac:dyDescent="0.75">
      <c r="A2459" t="s">
        <v>151</v>
      </c>
      <c r="B2459">
        <v>4906</v>
      </c>
      <c r="C2459" t="s">
        <v>69</v>
      </c>
      <c r="D2459">
        <v>7120</v>
      </c>
      <c r="E2459" t="s">
        <v>499</v>
      </c>
      <c r="F2459" s="4">
        <v>312</v>
      </c>
      <c r="G2459" s="4">
        <v>0</v>
      </c>
      <c r="H2459" s="4">
        <v>0</v>
      </c>
      <c r="I2459" s="4">
        <v>0</v>
      </c>
      <c r="J2459" s="4">
        <v>312</v>
      </c>
    </row>
    <row r="2460" spans="1:10" x14ac:dyDescent="0.75">
      <c r="A2460" t="s">
        <v>151</v>
      </c>
      <c r="B2460">
        <v>4906</v>
      </c>
      <c r="C2460" t="s">
        <v>69</v>
      </c>
      <c r="D2460">
        <v>2990</v>
      </c>
      <c r="E2460" t="s">
        <v>432</v>
      </c>
      <c r="F2460" s="4">
        <v>255</v>
      </c>
      <c r="G2460" s="4">
        <v>0</v>
      </c>
      <c r="H2460" s="4">
        <v>0</v>
      </c>
      <c r="I2460" s="4">
        <v>0</v>
      </c>
      <c r="J2460" s="4">
        <v>255</v>
      </c>
    </row>
    <row r="2461" spans="1:10" x14ac:dyDescent="0.75">
      <c r="A2461" t="s">
        <v>151</v>
      </c>
      <c r="B2461">
        <v>4906</v>
      </c>
      <c r="C2461" t="s">
        <v>69</v>
      </c>
      <c r="D2461">
        <v>6885</v>
      </c>
      <c r="E2461" t="s">
        <v>493</v>
      </c>
      <c r="F2461" s="4">
        <v>187</v>
      </c>
      <c r="G2461" s="4">
        <v>0</v>
      </c>
      <c r="H2461" s="4">
        <v>0</v>
      </c>
      <c r="I2461" s="4">
        <v>0</v>
      </c>
      <c r="J2461" s="4">
        <v>187</v>
      </c>
    </row>
    <row r="2462" spans="1:10" x14ac:dyDescent="0.75">
      <c r="A2462" t="s">
        <v>151</v>
      </c>
      <c r="B2462">
        <v>4906</v>
      </c>
      <c r="C2462" t="s">
        <v>69</v>
      </c>
      <c r="D2462">
        <v>6899</v>
      </c>
      <c r="E2462" t="s">
        <v>498</v>
      </c>
      <c r="F2462" s="4">
        <v>170</v>
      </c>
      <c r="G2462" s="4">
        <v>0</v>
      </c>
      <c r="H2462" s="4">
        <v>0</v>
      </c>
      <c r="I2462" s="4">
        <v>0</v>
      </c>
      <c r="J2462" s="4">
        <v>170</v>
      </c>
    </row>
    <row r="2463" spans="1:10" x14ac:dyDescent="0.75">
      <c r="A2463" t="s">
        <v>151</v>
      </c>
      <c r="B2463">
        <v>4906</v>
      </c>
      <c r="C2463" t="s">
        <v>69</v>
      </c>
      <c r="D2463">
        <v>6838</v>
      </c>
      <c r="E2463" t="s">
        <v>484</v>
      </c>
      <c r="F2463" s="4">
        <v>159</v>
      </c>
      <c r="G2463" s="4">
        <v>0</v>
      </c>
      <c r="H2463" s="4">
        <v>0</v>
      </c>
      <c r="I2463" s="4">
        <v>0</v>
      </c>
      <c r="J2463" s="4">
        <v>159</v>
      </c>
    </row>
    <row r="2464" spans="1:10" x14ac:dyDescent="0.75">
      <c r="A2464" t="s">
        <v>151</v>
      </c>
      <c r="B2464">
        <v>4906</v>
      </c>
      <c r="C2464" t="s">
        <v>69</v>
      </c>
      <c r="D2464">
        <v>7230</v>
      </c>
      <c r="E2464" t="s">
        <v>387</v>
      </c>
      <c r="F2464" s="4">
        <v>142</v>
      </c>
      <c r="G2464" s="4">
        <v>0</v>
      </c>
      <c r="H2464" s="4">
        <v>0</v>
      </c>
      <c r="I2464" s="4">
        <v>0</v>
      </c>
      <c r="J2464" s="4">
        <v>142</v>
      </c>
    </row>
    <row r="2465" spans="1:10" x14ac:dyDescent="0.75">
      <c r="A2465" t="s">
        <v>151</v>
      </c>
      <c r="B2465">
        <v>4906</v>
      </c>
      <c r="C2465" t="s">
        <v>69</v>
      </c>
      <c r="D2465">
        <v>6781</v>
      </c>
      <c r="E2465" t="s">
        <v>479</v>
      </c>
      <c r="F2465" s="4">
        <v>120</v>
      </c>
      <c r="G2465" s="4">
        <v>0</v>
      </c>
      <c r="H2465" s="4">
        <v>0</v>
      </c>
      <c r="I2465" s="4">
        <v>0</v>
      </c>
      <c r="J2465" s="4">
        <v>120</v>
      </c>
    </row>
    <row r="2466" spans="1:10" x14ac:dyDescent="0.75">
      <c r="A2466" t="s">
        <v>151</v>
      </c>
      <c r="B2466">
        <v>4906</v>
      </c>
      <c r="C2466" t="s">
        <v>69</v>
      </c>
      <c r="D2466">
        <v>5360</v>
      </c>
      <c r="E2466" t="s">
        <v>465</v>
      </c>
      <c r="F2466" s="4">
        <v>60</v>
      </c>
      <c r="G2466" s="4">
        <v>0</v>
      </c>
      <c r="H2466" s="4">
        <v>0</v>
      </c>
      <c r="I2466" s="4">
        <v>0</v>
      </c>
      <c r="J2466" s="4">
        <v>60</v>
      </c>
    </row>
    <row r="2467" spans="1:10" x14ac:dyDescent="0.75">
      <c r="A2467" t="s">
        <v>151</v>
      </c>
      <c r="B2467">
        <v>4906</v>
      </c>
      <c r="C2467" t="s">
        <v>69</v>
      </c>
      <c r="D2467">
        <v>5540</v>
      </c>
      <c r="E2467" t="s">
        <v>469</v>
      </c>
      <c r="F2467" s="4">
        <v>35</v>
      </c>
      <c r="G2467" s="4">
        <v>0</v>
      </c>
      <c r="H2467" s="4">
        <v>0</v>
      </c>
      <c r="I2467" s="4">
        <v>0</v>
      </c>
      <c r="J2467" s="4">
        <v>35</v>
      </c>
    </row>
    <row r="2468" spans="1:10" x14ac:dyDescent="0.75">
      <c r="A2468" t="s">
        <v>151</v>
      </c>
      <c r="B2468">
        <v>4906</v>
      </c>
      <c r="C2468" t="s">
        <v>69</v>
      </c>
      <c r="D2468">
        <v>2350</v>
      </c>
      <c r="E2468" t="s">
        <v>404</v>
      </c>
      <c r="F2468" s="4">
        <v>31</v>
      </c>
      <c r="G2468" s="4">
        <v>0</v>
      </c>
      <c r="H2468" s="4">
        <v>0</v>
      </c>
      <c r="I2468" s="4">
        <v>0</v>
      </c>
      <c r="J2468" s="4">
        <v>31</v>
      </c>
    </row>
    <row r="2469" spans="1:10" x14ac:dyDescent="0.75">
      <c r="A2469" t="s">
        <v>151</v>
      </c>
      <c r="B2469">
        <v>4906</v>
      </c>
      <c r="C2469" t="s">
        <v>69</v>
      </c>
      <c r="D2469">
        <v>6861</v>
      </c>
      <c r="E2469" t="s">
        <v>489</v>
      </c>
      <c r="F2469" s="4">
        <v>22</v>
      </c>
      <c r="G2469" s="4">
        <v>0</v>
      </c>
      <c r="H2469" s="4">
        <v>0</v>
      </c>
      <c r="I2469" s="4">
        <v>0</v>
      </c>
      <c r="J2469" s="4">
        <v>22</v>
      </c>
    </row>
    <row r="2470" spans="1:10" x14ac:dyDescent="0.75">
      <c r="A2470" t="s">
        <v>151</v>
      </c>
      <c r="B2470">
        <v>4906</v>
      </c>
      <c r="C2470" t="s">
        <v>69</v>
      </c>
      <c r="D2470">
        <v>5110</v>
      </c>
      <c r="E2470" t="s">
        <v>460</v>
      </c>
      <c r="F2470" s="4">
        <v>21</v>
      </c>
      <c r="G2470" s="4">
        <v>0</v>
      </c>
      <c r="H2470" s="4">
        <v>0</v>
      </c>
      <c r="I2470" s="4">
        <v>0</v>
      </c>
      <c r="J2470" s="4">
        <v>21</v>
      </c>
    </row>
    <row r="2471" spans="1:10" x14ac:dyDescent="0.75">
      <c r="A2471" t="s">
        <v>151</v>
      </c>
      <c r="B2471">
        <v>4906</v>
      </c>
      <c r="C2471" t="s">
        <v>69</v>
      </c>
      <c r="D2471">
        <v>2640</v>
      </c>
      <c r="E2471" t="s">
        <v>431</v>
      </c>
      <c r="F2471" s="4">
        <v>20</v>
      </c>
      <c r="G2471" s="4">
        <v>0</v>
      </c>
      <c r="H2471" s="4">
        <v>0</v>
      </c>
      <c r="I2471" s="4">
        <v>0</v>
      </c>
      <c r="J2471" s="4">
        <v>20</v>
      </c>
    </row>
    <row r="2472" spans="1:10" x14ac:dyDescent="0.75">
      <c r="A2472" t="s">
        <v>151</v>
      </c>
      <c r="B2472">
        <v>4906</v>
      </c>
      <c r="C2472" t="s">
        <v>69</v>
      </c>
      <c r="D2472">
        <v>6811</v>
      </c>
      <c r="E2472" t="s">
        <v>480</v>
      </c>
      <c r="F2472" s="4">
        <v>14</v>
      </c>
      <c r="G2472" s="4">
        <v>0</v>
      </c>
      <c r="H2472" s="4">
        <v>0</v>
      </c>
      <c r="I2472" s="4">
        <v>0</v>
      </c>
      <c r="J2472" s="4">
        <v>14</v>
      </c>
    </row>
    <row r="2473" spans="1:10" x14ac:dyDescent="0.75">
      <c r="A2473" t="s">
        <v>151</v>
      </c>
      <c r="B2473">
        <v>4906</v>
      </c>
      <c r="C2473" t="s">
        <v>69</v>
      </c>
      <c r="D2473">
        <v>5370</v>
      </c>
      <c r="E2473" t="s">
        <v>466</v>
      </c>
      <c r="F2473" s="4">
        <v>13</v>
      </c>
      <c r="G2473" s="4">
        <v>0</v>
      </c>
      <c r="H2473" s="4">
        <v>0</v>
      </c>
      <c r="I2473" s="4">
        <v>0</v>
      </c>
      <c r="J2473" s="4">
        <v>13</v>
      </c>
    </row>
    <row r="2474" spans="1:10" x14ac:dyDescent="0.75">
      <c r="A2474" t="s">
        <v>151</v>
      </c>
      <c r="B2474">
        <v>4906</v>
      </c>
      <c r="C2474" t="s">
        <v>69</v>
      </c>
      <c r="D2474">
        <v>4331</v>
      </c>
      <c r="E2474" t="s">
        <v>390</v>
      </c>
      <c r="F2474" s="4">
        <v>7</v>
      </c>
      <c r="G2474" s="4">
        <v>0</v>
      </c>
      <c r="H2474" s="4">
        <v>0</v>
      </c>
      <c r="I2474" s="4">
        <v>0</v>
      </c>
      <c r="J2474" s="4">
        <v>7</v>
      </c>
    </row>
    <row r="2475" spans="1:10" x14ac:dyDescent="0.75">
      <c r="A2475" t="s">
        <v>151</v>
      </c>
      <c r="B2475">
        <v>4906</v>
      </c>
      <c r="C2475" t="s">
        <v>69</v>
      </c>
      <c r="D2475">
        <v>3190</v>
      </c>
      <c r="E2475" t="s">
        <v>408</v>
      </c>
      <c r="F2475" s="4">
        <v>5</v>
      </c>
      <c r="G2475" s="4">
        <v>0</v>
      </c>
      <c r="H2475" s="4">
        <v>0</v>
      </c>
      <c r="I2475" s="4">
        <v>0</v>
      </c>
      <c r="J2475" s="4">
        <v>5</v>
      </c>
    </row>
    <row r="2476" spans="1:10" x14ac:dyDescent="0.75">
      <c r="A2476" t="s">
        <v>151</v>
      </c>
      <c r="B2476">
        <v>4906</v>
      </c>
      <c r="C2476" t="s">
        <v>69</v>
      </c>
      <c r="D2476">
        <v>5290</v>
      </c>
      <c r="E2476" t="s">
        <v>415</v>
      </c>
      <c r="F2476" s="4">
        <v>3</v>
      </c>
      <c r="G2476" s="4">
        <v>0</v>
      </c>
      <c r="H2476" s="4">
        <v>0</v>
      </c>
      <c r="I2476" s="4">
        <v>0</v>
      </c>
      <c r="J2476" s="4">
        <v>3</v>
      </c>
    </row>
    <row r="2477" spans="1:10" x14ac:dyDescent="0.75">
      <c r="A2477" t="s">
        <v>151</v>
      </c>
      <c r="B2477">
        <v>4906</v>
      </c>
      <c r="C2477" t="s">
        <v>69</v>
      </c>
      <c r="D2477">
        <v>5240</v>
      </c>
      <c r="E2477" t="s">
        <v>464</v>
      </c>
      <c r="F2477" s="4">
        <v>2</v>
      </c>
      <c r="G2477" s="4">
        <v>0</v>
      </c>
      <c r="H2477" s="4">
        <v>0</v>
      </c>
      <c r="I2477" s="4">
        <v>0</v>
      </c>
      <c r="J2477" s="4">
        <v>2</v>
      </c>
    </row>
    <row r="2478" spans="1:10" x14ac:dyDescent="0.75">
      <c r="A2478" t="s">
        <v>151</v>
      </c>
      <c r="B2478">
        <v>4906</v>
      </c>
      <c r="C2478" t="s">
        <v>69</v>
      </c>
      <c r="D2478">
        <v>3220</v>
      </c>
      <c r="E2478" t="s">
        <v>370</v>
      </c>
      <c r="F2478" s="4">
        <v>1</v>
      </c>
      <c r="G2478" s="4">
        <v>0</v>
      </c>
      <c r="H2478" s="4">
        <v>0</v>
      </c>
      <c r="I2478" s="4">
        <v>0</v>
      </c>
      <c r="J2478" s="4">
        <v>1</v>
      </c>
    </row>
    <row r="2479" spans="1:10" x14ac:dyDescent="0.75">
      <c r="A2479" t="s">
        <v>151</v>
      </c>
      <c r="B2479">
        <v>4906</v>
      </c>
      <c r="C2479" t="s">
        <v>69</v>
      </c>
      <c r="D2479">
        <v>3282</v>
      </c>
      <c r="E2479" t="s">
        <v>440</v>
      </c>
      <c r="F2479" s="4">
        <v>1</v>
      </c>
      <c r="G2479" s="4">
        <v>0</v>
      </c>
      <c r="H2479" s="4">
        <v>0</v>
      </c>
      <c r="I2479" s="4">
        <v>0</v>
      </c>
      <c r="J2479" s="4">
        <v>1</v>
      </c>
    </row>
    <row r="2480" spans="1:10" x14ac:dyDescent="0.75">
      <c r="A2480" t="s">
        <v>151</v>
      </c>
      <c r="B2480">
        <v>4906</v>
      </c>
      <c r="C2480" t="s">
        <v>69</v>
      </c>
      <c r="D2480">
        <v>7500</v>
      </c>
      <c r="E2480" t="s">
        <v>427</v>
      </c>
      <c r="F2480" s="4">
        <v>1</v>
      </c>
      <c r="G2480" s="4">
        <v>0</v>
      </c>
      <c r="H2480" s="4">
        <v>0</v>
      </c>
      <c r="I2480" s="4">
        <v>0</v>
      </c>
      <c r="J2480" s="4">
        <v>1</v>
      </c>
    </row>
    <row r="2481" spans="1:10" x14ac:dyDescent="0.75">
      <c r="A2481" t="s">
        <v>151</v>
      </c>
      <c r="B2481">
        <v>2248</v>
      </c>
      <c r="C2481" t="s">
        <v>159</v>
      </c>
      <c r="D2481">
        <v>2640</v>
      </c>
      <c r="E2481" t="s">
        <v>431</v>
      </c>
      <c r="F2481" s="4">
        <v>24750</v>
      </c>
      <c r="G2481" s="4">
        <v>13239030</v>
      </c>
      <c r="H2481" s="4">
        <v>0</v>
      </c>
      <c r="I2481" s="4">
        <v>13239030</v>
      </c>
      <c r="J2481" s="4">
        <v>13263780</v>
      </c>
    </row>
    <row r="2482" spans="1:10" x14ac:dyDescent="0.75">
      <c r="A2482" t="s">
        <v>151</v>
      </c>
      <c r="B2482">
        <v>2248</v>
      </c>
      <c r="C2482" t="s">
        <v>159</v>
      </c>
      <c r="D2482">
        <v>2330</v>
      </c>
      <c r="E2482" t="s">
        <v>368</v>
      </c>
      <c r="F2482" s="4">
        <v>4694029</v>
      </c>
      <c r="G2482" s="4">
        <v>4201060</v>
      </c>
      <c r="H2482" s="4">
        <v>4710</v>
      </c>
      <c r="I2482" s="4">
        <v>4196350</v>
      </c>
      <c r="J2482" s="4">
        <v>8895089</v>
      </c>
    </row>
    <row r="2483" spans="1:10" x14ac:dyDescent="0.75">
      <c r="A2483" t="s">
        <v>151</v>
      </c>
      <c r="B2483">
        <v>2248</v>
      </c>
      <c r="C2483" t="s">
        <v>159</v>
      </c>
      <c r="D2483">
        <v>2100</v>
      </c>
      <c r="E2483" t="s">
        <v>403</v>
      </c>
      <c r="F2483" s="4">
        <v>4705558</v>
      </c>
      <c r="G2483" s="4">
        <v>1232009</v>
      </c>
      <c r="H2483" s="4">
        <v>1232009</v>
      </c>
      <c r="I2483" s="4">
        <v>0</v>
      </c>
      <c r="J2483" s="4">
        <v>5937567</v>
      </c>
    </row>
    <row r="2484" spans="1:10" x14ac:dyDescent="0.75">
      <c r="A2484" t="s">
        <v>151</v>
      </c>
      <c r="B2484">
        <v>2248</v>
      </c>
      <c r="C2484" t="s">
        <v>159</v>
      </c>
      <c r="D2484">
        <v>2211</v>
      </c>
      <c r="E2484" t="s">
        <v>367</v>
      </c>
      <c r="F2484" s="4">
        <v>3517745</v>
      </c>
      <c r="G2484" s="4">
        <v>1689307</v>
      </c>
      <c r="H2484" s="4">
        <v>11124</v>
      </c>
      <c r="I2484" s="4">
        <v>1678183</v>
      </c>
      <c r="J2484" s="4">
        <v>5207052</v>
      </c>
    </row>
    <row r="2485" spans="1:10" x14ac:dyDescent="0.75">
      <c r="A2485" t="s">
        <v>151</v>
      </c>
      <c r="B2485">
        <v>2248</v>
      </c>
      <c r="C2485" t="s">
        <v>159</v>
      </c>
      <c r="D2485">
        <v>2221</v>
      </c>
      <c r="E2485" t="s">
        <v>374</v>
      </c>
      <c r="F2485" s="4">
        <v>1297216</v>
      </c>
      <c r="G2485" s="4">
        <v>745326</v>
      </c>
      <c r="H2485" s="4">
        <v>0</v>
      </c>
      <c r="I2485" s="4">
        <v>745326</v>
      </c>
      <c r="J2485" s="4">
        <v>2042542</v>
      </c>
    </row>
    <row r="2486" spans="1:10" x14ac:dyDescent="0.75">
      <c r="A2486" t="s">
        <v>151</v>
      </c>
      <c r="B2486">
        <v>2248</v>
      </c>
      <c r="C2486" t="s">
        <v>159</v>
      </c>
      <c r="D2486">
        <v>2540</v>
      </c>
      <c r="E2486" t="s">
        <v>377</v>
      </c>
      <c r="F2486" s="4">
        <v>570165</v>
      </c>
      <c r="G2486" s="4">
        <v>1090398</v>
      </c>
      <c r="H2486" s="4">
        <v>38883</v>
      </c>
      <c r="I2486" s="4">
        <v>1051515</v>
      </c>
      <c r="J2486" s="4">
        <v>1660563</v>
      </c>
    </row>
    <row r="2487" spans="1:10" x14ac:dyDescent="0.75">
      <c r="A2487" t="s">
        <v>151</v>
      </c>
      <c r="B2487">
        <v>2248</v>
      </c>
      <c r="C2487" t="s">
        <v>159</v>
      </c>
      <c r="D2487">
        <v>3274</v>
      </c>
      <c r="E2487" t="s">
        <v>438</v>
      </c>
      <c r="F2487" s="4">
        <v>286951</v>
      </c>
      <c r="G2487" s="4">
        <v>1312696</v>
      </c>
      <c r="H2487" s="4">
        <v>0</v>
      </c>
      <c r="I2487" s="4">
        <v>1312696</v>
      </c>
      <c r="J2487" s="4">
        <v>1599647</v>
      </c>
    </row>
    <row r="2488" spans="1:10" x14ac:dyDescent="0.75">
      <c r="A2488" t="s">
        <v>151</v>
      </c>
      <c r="B2488">
        <v>2248</v>
      </c>
      <c r="C2488" t="s">
        <v>159</v>
      </c>
      <c r="D2488">
        <v>2429</v>
      </c>
      <c r="E2488" t="s">
        <v>375</v>
      </c>
      <c r="F2488" s="4">
        <v>1474190</v>
      </c>
      <c r="G2488" s="4">
        <v>73744</v>
      </c>
      <c r="H2488" s="4">
        <v>0</v>
      </c>
      <c r="I2488" s="4">
        <v>73744</v>
      </c>
      <c r="J2488" s="4">
        <v>1547934</v>
      </c>
    </row>
    <row r="2489" spans="1:10" x14ac:dyDescent="0.75">
      <c r="A2489" t="s">
        <v>151</v>
      </c>
      <c r="B2489">
        <v>2248</v>
      </c>
      <c r="C2489" t="s">
        <v>159</v>
      </c>
      <c r="D2489">
        <v>3219</v>
      </c>
      <c r="E2489" t="s">
        <v>378</v>
      </c>
      <c r="F2489" s="4">
        <v>877108</v>
      </c>
      <c r="G2489" s="4">
        <v>478848</v>
      </c>
      <c r="H2489" s="4">
        <v>0</v>
      </c>
      <c r="I2489" s="4">
        <v>478848</v>
      </c>
      <c r="J2489" s="4">
        <v>1355956</v>
      </c>
    </row>
    <row r="2490" spans="1:10" x14ac:dyDescent="0.75">
      <c r="A2490" t="s">
        <v>151</v>
      </c>
      <c r="B2490">
        <v>2248</v>
      </c>
      <c r="C2490" t="s">
        <v>159</v>
      </c>
      <c r="D2490">
        <v>4322</v>
      </c>
      <c r="E2490" t="s">
        <v>398</v>
      </c>
      <c r="F2490" s="4">
        <v>527402</v>
      </c>
      <c r="G2490" s="4">
        <v>752434</v>
      </c>
      <c r="H2490" s="4">
        <v>752434</v>
      </c>
      <c r="I2490" s="4">
        <v>0</v>
      </c>
      <c r="J2490" s="4">
        <v>1279836</v>
      </c>
    </row>
    <row r="2491" spans="1:10" x14ac:dyDescent="0.75">
      <c r="A2491" t="s">
        <v>151</v>
      </c>
      <c r="B2491">
        <v>2248</v>
      </c>
      <c r="C2491" t="s">
        <v>159</v>
      </c>
      <c r="D2491">
        <v>2340</v>
      </c>
      <c r="E2491" t="s">
        <v>369</v>
      </c>
      <c r="F2491" s="4">
        <v>1199200</v>
      </c>
      <c r="G2491" s="4">
        <v>0</v>
      </c>
      <c r="H2491" s="4">
        <v>0</v>
      </c>
      <c r="I2491" s="4">
        <v>0</v>
      </c>
      <c r="J2491" s="4">
        <v>1199200</v>
      </c>
    </row>
    <row r="2492" spans="1:10" x14ac:dyDescent="0.75">
      <c r="A2492" t="s">
        <v>151</v>
      </c>
      <c r="B2492">
        <v>2248</v>
      </c>
      <c r="C2492" t="s">
        <v>159</v>
      </c>
      <c r="D2492">
        <v>2350</v>
      </c>
      <c r="E2492" t="s">
        <v>404</v>
      </c>
      <c r="F2492" s="4">
        <v>622555</v>
      </c>
      <c r="G2492" s="4">
        <v>63663</v>
      </c>
      <c r="H2492" s="4">
        <v>6433</v>
      </c>
      <c r="I2492" s="4">
        <v>57230</v>
      </c>
      <c r="J2492" s="4">
        <v>686218</v>
      </c>
    </row>
    <row r="2493" spans="1:10" x14ac:dyDescent="0.75">
      <c r="A2493" t="s">
        <v>151</v>
      </c>
      <c r="B2493">
        <v>2248</v>
      </c>
      <c r="C2493" t="s">
        <v>159</v>
      </c>
      <c r="D2493">
        <v>3220</v>
      </c>
      <c r="E2493" t="s">
        <v>370</v>
      </c>
      <c r="F2493" s="4">
        <v>179545</v>
      </c>
      <c r="G2493" s="4">
        <v>499919</v>
      </c>
      <c r="H2493" s="4">
        <v>0</v>
      </c>
      <c r="I2493" s="4">
        <v>499919</v>
      </c>
      <c r="J2493" s="4">
        <v>679464</v>
      </c>
    </row>
    <row r="2494" spans="1:10" x14ac:dyDescent="0.75">
      <c r="A2494" t="s">
        <v>151</v>
      </c>
      <c r="B2494">
        <v>2248</v>
      </c>
      <c r="C2494" t="s">
        <v>159</v>
      </c>
      <c r="D2494">
        <v>2430</v>
      </c>
      <c r="E2494" t="s">
        <v>376</v>
      </c>
      <c r="F2494" s="4">
        <v>425781</v>
      </c>
      <c r="G2494" s="4">
        <v>0</v>
      </c>
      <c r="H2494" s="4">
        <v>0</v>
      </c>
      <c r="I2494" s="4">
        <v>0</v>
      </c>
      <c r="J2494" s="4">
        <v>425781</v>
      </c>
    </row>
    <row r="2495" spans="1:10" x14ac:dyDescent="0.75">
      <c r="A2495" t="s">
        <v>151</v>
      </c>
      <c r="B2495">
        <v>2248</v>
      </c>
      <c r="C2495" t="s">
        <v>159</v>
      </c>
      <c r="D2495">
        <v>4900</v>
      </c>
      <c r="E2495" t="s">
        <v>383</v>
      </c>
      <c r="F2495" s="4">
        <v>9045</v>
      </c>
      <c r="G2495" s="4">
        <v>335413</v>
      </c>
      <c r="H2495" s="4">
        <v>335413</v>
      </c>
      <c r="I2495" s="4">
        <v>0</v>
      </c>
      <c r="J2495" s="4">
        <v>344458</v>
      </c>
    </row>
    <row r="2496" spans="1:10" x14ac:dyDescent="0.75">
      <c r="A2496" t="s">
        <v>151</v>
      </c>
      <c r="B2496">
        <v>2248</v>
      </c>
      <c r="C2496" t="s">
        <v>159</v>
      </c>
      <c r="D2496">
        <v>1200</v>
      </c>
      <c r="E2496" t="s">
        <v>402</v>
      </c>
      <c r="F2496" s="4">
        <v>308067</v>
      </c>
      <c r="G2496" s="4">
        <v>35023</v>
      </c>
      <c r="H2496" s="4">
        <v>0</v>
      </c>
      <c r="I2496" s="4">
        <v>35023</v>
      </c>
      <c r="J2496" s="4">
        <v>343090</v>
      </c>
    </row>
    <row r="2497" spans="1:10" x14ac:dyDescent="0.75">
      <c r="A2497" t="s">
        <v>151</v>
      </c>
      <c r="B2497">
        <v>2248</v>
      </c>
      <c r="C2497" t="s">
        <v>159</v>
      </c>
      <c r="D2497">
        <v>5220</v>
      </c>
      <c r="E2497" t="s">
        <v>401</v>
      </c>
      <c r="F2497" s="4">
        <v>224934</v>
      </c>
      <c r="G2497" s="4">
        <v>0</v>
      </c>
      <c r="H2497" s="4">
        <v>0</v>
      </c>
      <c r="I2497" s="4">
        <v>0</v>
      </c>
      <c r="J2497" s="4">
        <v>224934</v>
      </c>
    </row>
    <row r="2498" spans="1:10" x14ac:dyDescent="0.75">
      <c r="A2498" t="s">
        <v>151</v>
      </c>
      <c r="B2498">
        <v>2248</v>
      </c>
      <c r="C2498" t="s">
        <v>159</v>
      </c>
      <c r="D2498">
        <v>4331</v>
      </c>
      <c r="E2498" t="s">
        <v>390</v>
      </c>
      <c r="F2498" s="4">
        <v>142572</v>
      </c>
      <c r="G2498" s="4">
        <v>53937</v>
      </c>
      <c r="H2498" s="4">
        <v>53937</v>
      </c>
      <c r="I2498" s="4">
        <v>0</v>
      </c>
      <c r="J2498" s="4">
        <v>196509</v>
      </c>
    </row>
    <row r="2499" spans="1:10" x14ac:dyDescent="0.75">
      <c r="A2499" t="s">
        <v>151</v>
      </c>
      <c r="B2499">
        <v>2248</v>
      </c>
      <c r="C2499" t="s">
        <v>159</v>
      </c>
      <c r="D2499">
        <v>3212</v>
      </c>
      <c r="E2499" t="s">
        <v>409</v>
      </c>
      <c r="F2499" s="4">
        <v>170980</v>
      </c>
      <c r="G2499" s="4">
        <v>0</v>
      </c>
      <c r="H2499" s="4">
        <v>0</v>
      </c>
      <c r="I2499" s="4">
        <v>0</v>
      </c>
      <c r="J2499" s="4">
        <v>170980</v>
      </c>
    </row>
    <row r="2500" spans="1:10" x14ac:dyDescent="0.75">
      <c r="A2500" t="s">
        <v>151</v>
      </c>
      <c r="B2500">
        <v>2248</v>
      </c>
      <c r="C2500" t="s">
        <v>159</v>
      </c>
      <c r="D2500">
        <v>6442</v>
      </c>
      <c r="E2500" t="s">
        <v>472</v>
      </c>
      <c r="F2500" s="4">
        <v>0</v>
      </c>
      <c r="G2500" s="4">
        <v>154687</v>
      </c>
      <c r="H2500" s="4">
        <v>0</v>
      </c>
      <c r="I2500" s="4">
        <v>154687</v>
      </c>
      <c r="J2500" s="4">
        <v>154687</v>
      </c>
    </row>
    <row r="2501" spans="1:10" x14ac:dyDescent="0.75">
      <c r="A2501" t="s">
        <v>151</v>
      </c>
      <c r="B2501">
        <v>2248</v>
      </c>
      <c r="C2501" t="s">
        <v>159</v>
      </c>
      <c r="D2501">
        <v>3299</v>
      </c>
      <c r="E2501" t="s">
        <v>448</v>
      </c>
      <c r="F2501" s="4">
        <v>149568</v>
      </c>
      <c r="G2501" s="4">
        <v>2057</v>
      </c>
      <c r="H2501" s="4">
        <v>0</v>
      </c>
      <c r="I2501" s="4">
        <v>2057</v>
      </c>
      <c r="J2501" s="4">
        <v>151625</v>
      </c>
    </row>
    <row r="2502" spans="1:10" x14ac:dyDescent="0.75">
      <c r="A2502" t="s">
        <v>151</v>
      </c>
      <c r="B2502">
        <v>2248</v>
      </c>
      <c r="C2502" t="s">
        <v>159</v>
      </c>
      <c r="D2502">
        <v>3276</v>
      </c>
      <c r="E2502" t="s">
        <v>379</v>
      </c>
      <c r="F2502" s="4">
        <v>29668</v>
      </c>
      <c r="G2502" s="4">
        <v>104570</v>
      </c>
      <c r="H2502" s="4">
        <v>47093</v>
      </c>
      <c r="I2502" s="4">
        <v>57477</v>
      </c>
      <c r="J2502" s="4">
        <v>134238</v>
      </c>
    </row>
    <row r="2503" spans="1:10" x14ac:dyDescent="0.75">
      <c r="A2503" t="s">
        <v>151</v>
      </c>
      <c r="B2503">
        <v>2248</v>
      </c>
      <c r="C2503" t="s">
        <v>159</v>
      </c>
      <c r="D2503">
        <v>3272</v>
      </c>
      <c r="E2503" t="s">
        <v>504</v>
      </c>
      <c r="F2503" s="4">
        <v>117871</v>
      </c>
      <c r="G2503" s="4">
        <v>0</v>
      </c>
      <c r="H2503" s="4">
        <v>0</v>
      </c>
      <c r="I2503" s="4">
        <v>0</v>
      </c>
      <c r="J2503" s="4">
        <v>117871</v>
      </c>
    </row>
    <row r="2504" spans="1:10" x14ac:dyDescent="0.75">
      <c r="A2504" t="s">
        <v>151</v>
      </c>
      <c r="B2504">
        <v>2248</v>
      </c>
      <c r="C2504" t="s">
        <v>159</v>
      </c>
      <c r="D2504">
        <v>4420</v>
      </c>
      <c r="E2504" t="s">
        <v>381</v>
      </c>
      <c r="F2504" s="4">
        <v>98882</v>
      </c>
      <c r="G2504" s="4">
        <v>0</v>
      </c>
      <c r="H2504" s="4">
        <v>0</v>
      </c>
      <c r="I2504" s="4">
        <v>0</v>
      </c>
      <c r="J2504" s="4">
        <v>98882</v>
      </c>
    </row>
    <row r="2505" spans="1:10" x14ac:dyDescent="0.75">
      <c r="A2505" t="s">
        <v>151</v>
      </c>
      <c r="B2505">
        <v>2248</v>
      </c>
      <c r="C2505" t="s">
        <v>159</v>
      </c>
      <c r="D2505">
        <v>4189</v>
      </c>
      <c r="E2505" t="s">
        <v>451</v>
      </c>
      <c r="F2505" s="4">
        <v>0</v>
      </c>
      <c r="G2505" s="4">
        <v>74584</v>
      </c>
      <c r="H2505" s="4">
        <v>74584</v>
      </c>
      <c r="I2505" s="4">
        <v>0</v>
      </c>
      <c r="J2505" s="4">
        <v>74584</v>
      </c>
    </row>
    <row r="2506" spans="1:10" x14ac:dyDescent="0.75">
      <c r="A2506" t="s">
        <v>151</v>
      </c>
      <c r="B2506">
        <v>2248</v>
      </c>
      <c r="C2506" t="s">
        <v>159</v>
      </c>
      <c r="D2506">
        <v>7110</v>
      </c>
      <c r="E2506" t="s">
        <v>371</v>
      </c>
      <c r="F2506" s="4">
        <v>34632</v>
      </c>
      <c r="G2506" s="4">
        <v>31082</v>
      </c>
      <c r="H2506" s="4">
        <v>30664</v>
      </c>
      <c r="I2506" s="4">
        <v>418</v>
      </c>
      <c r="J2506" s="4">
        <v>65714</v>
      </c>
    </row>
    <row r="2507" spans="1:10" x14ac:dyDescent="0.75">
      <c r="A2507" t="s">
        <v>151</v>
      </c>
      <c r="B2507">
        <v>2248</v>
      </c>
      <c r="C2507" t="s">
        <v>159</v>
      </c>
      <c r="D2507">
        <v>3275</v>
      </c>
      <c r="E2507" t="s">
        <v>412</v>
      </c>
      <c r="F2507" s="4">
        <v>64721</v>
      </c>
      <c r="G2507" s="4">
        <v>0</v>
      </c>
      <c r="H2507" s="4">
        <v>0</v>
      </c>
      <c r="I2507" s="4">
        <v>0</v>
      </c>
      <c r="J2507" s="4">
        <v>64721</v>
      </c>
    </row>
    <row r="2508" spans="1:10" x14ac:dyDescent="0.75">
      <c r="A2508" t="s">
        <v>151</v>
      </c>
      <c r="B2508">
        <v>2248</v>
      </c>
      <c r="C2508" t="s">
        <v>159</v>
      </c>
      <c r="D2508">
        <v>4860</v>
      </c>
      <c r="E2508" t="s">
        <v>400</v>
      </c>
      <c r="F2508" s="4">
        <v>15369</v>
      </c>
      <c r="G2508" s="4">
        <v>40799</v>
      </c>
      <c r="H2508" s="4">
        <v>40799</v>
      </c>
      <c r="I2508" s="4">
        <v>0</v>
      </c>
      <c r="J2508" s="4">
        <v>56168</v>
      </c>
    </row>
    <row r="2509" spans="1:10" x14ac:dyDescent="0.75">
      <c r="A2509" t="s">
        <v>151</v>
      </c>
      <c r="B2509">
        <v>2248</v>
      </c>
      <c r="C2509" t="s">
        <v>159</v>
      </c>
      <c r="D2509">
        <v>7900</v>
      </c>
      <c r="E2509" t="s">
        <v>388</v>
      </c>
      <c r="F2509" s="4">
        <v>3316</v>
      </c>
      <c r="G2509" s="4">
        <v>45257</v>
      </c>
      <c r="H2509" s="4">
        <v>13488</v>
      </c>
      <c r="I2509" s="4">
        <v>31769</v>
      </c>
      <c r="J2509" s="4">
        <v>48573</v>
      </c>
    </row>
    <row r="2510" spans="1:10" x14ac:dyDescent="0.75">
      <c r="A2510" t="s">
        <v>151</v>
      </c>
      <c r="B2510">
        <v>2248</v>
      </c>
      <c r="C2510" t="s">
        <v>159</v>
      </c>
      <c r="D2510">
        <v>3286</v>
      </c>
      <c r="E2510" t="s">
        <v>423</v>
      </c>
      <c r="F2510" s="4">
        <v>0</v>
      </c>
      <c r="G2510" s="4">
        <v>48286</v>
      </c>
      <c r="H2510" s="4">
        <v>0</v>
      </c>
      <c r="I2510" s="4">
        <v>48286</v>
      </c>
      <c r="J2510" s="4">
        <v>48286</v>
      </c>
    </row>
    <row r="2511" spans="1:10" x14ac:dyDescent="0.75">
      <c r="A2511" t="s">
        <v>151</v>
      </c>
      <c r="B2511">
        <v>2248</v>
      </c>
      <c r="C2511" t="s">
        <v>159</v>
      </c>
      <c r="D2511">
        <v>3190</v>
      </c>
      <c r="E2511" t="s">
        <v>408</v>
      </c>
      <c r="F2511" s="4">
        <v>42083</v>
      </c>
      <c r="G2511" s="4">
        <v>0</v>
      </c>
      <c r="H2511" s="4">
        <v>0</v>
      </c>
      <c r="I2511" s="4">
        <v>0</v>
      </c>
      <c r="J2511" s="4">
        <v>42083</v>
      </c>
    </row>
    <row r="2512" spans="1:10" x14ac:dyDescent="0.75">
      <c r="A2512" t="s">
        <v>151</v>
      </c>
      <c r="B2512">
        <v>2248</v>
      </c>
      <c r="C2512" t="s">
        <v>159</v>
      </c>
      <c r="D2512">
        <v>5540</v>
      </c>
      <c r="E2512" t="s">
        <v>469</v>
      </c>
      <c r="F2512" s="4">
        <v>0</v>
      </c>
      <c r="G2512" s="4">
        <v>29406</v>
      </c>
      <c r="H2512" s="4">
        <v>29406</v>
      </c>
      <c r="I2512" s="4">
        <v>0</v>
      </c>
      <c r="J2512" s="4">
        <v>29406</v>
      </c>
    </row>
    <row r="2513" spans="1:10" x14ac:dyDescent="0.75">
      <c r="A2513" t="s">
        <v>151</v>
      </c>
      <c r="B2513">
        <v>2248</v>
      </c>
      <c r="C2513" t="s">
        <v>159</v>
      </c>
      <c r="D2513">
        <v>3271</v>
      </c>
      <c r="E2513" t="s">
        <v>437</v>
      </c>
      <c r="F2513" s="4">
        <v>24636</v>
      </c>
      <c r="G2513" s="4">
        <v>0</v>
      </c>
      <c r="H2513" s="4">
        <v>0</v>
      </c>
      <c r="I2513" s="4">
        <v>0</v>
      </c>
      <c r="J2513" s="4">
        <v>24636</v>
      </c>
    </row>
    <row r="2514" spans="1:10" x14ac:dyDescent="0.75">
      <c r="A2514" t="s">
        <v>151</v>
      </c>
      <c r="B2514">
        <v>2248</v>
      </c>
      <c r="C2514" t="s">
        <v>159</v>
      </c>
      <c r="D2514">
        <v>3260</v>
      </c>
      <c r="E2514" t="s">
        <v>436</v>
      </c>
      <c r="F2514" s="4">
        <v>4990</v>
      </c>
      <c r="G2514" s="4">
        <v>17471</v>
      </c>
      <c r="H2514" s="4">
        <v>0</v>
      </c>
      <c r="I2514" s="4">
        <v>17471</v>
      </c>
      <c r="J2514" s="4">
        <v>22461</v>
      </c>
    </row>
    <row r="2515" spans="1:10" x14ac:dyDescent="0.75">
      <c r="A2515" t="s">
        <v>151</v>
      </c>
      <c r="B2515">
        <v>2248</v>
      </c>
      <c r="C2515" t="s">
        <v>159</v>
      </c>
      <c r="D2515">
        <v>5429</v>
      </c>
      <c r="E2515" t="s">
        <v>429</v>
      </c>
      <c r="F2515" s="4">
        <v>0</v>
      </c>
      <c r="G2515" s="4">
        <v>21550</v>
      </c>
      <c r="H2515" s="4">
        <v>21550</v>
      </c>
      <c r="I2515" s="4">
        <v>0</v>
      </c>
      <c r="J2515" s="4">
        <v>21550</v>
      </c>
    </row>
    <row r="2516" spans="1:10" x14ac:dyDescent="0.75">
      <c r="A2516" t="s">
        <v>151</v>
      </c>
      <c r="B2516">
        <v>2248</v>
      </c>
      <c r="C2516" t="s">
        <v>159</v>
      </c>
      <c r="D2516">
        <v>4690</v>
      </c>
      <c r="E2516" t="s">
        <v>428</v>
      </c>
      <c r="F2516" s="4">
        <v>0</v>
      </c>
      <c r="G2516" s="4">
        <v>20981</v>
      </c>
      <c r="H2516" s="4">
        <v>20981</v>
      </c>
      <c r="I2516" s="4">
        <v>0</v>
      </c>
      <c r="J2516" s="4">
        <v>20981</v>
      </c>
    </row>
    <row r="2517" spans="1:10" x14ac:dyDescent="0.75">
      <c r="A2517" t="s">
        <v>151</v>
      </c>
      <c r="B2517">
        <v>2248</v>
      </c>
      <c r="C2517" t="s">
        <v>159</v>
      </c>
      <c r="D2517">
        <v>3211</v>
      </c>
      <c r="E2517" t="s">
        <v>433</v>
      </c>
      <c r="F2517" s="4">
        <v>14540</v>
      </c>
      <c r="G2517" s="4">
        <v>0</v>
      </c>
      <c r="H2517" s="4">
        <v>0</v>
      </c>
      <c r="I2517" s="4">
        <v>0</v>
      </c>
      <c r="J2517" s="4">
        <v>14540</v>
      </c>
    </row>
    <row r="2518" spans="1:10" x14ac:dyDescent="0.75">
      <c r="A2518" t="s">
        <v>151</v>
      </c>
      <c r="B2518">
        <v>2248</v>
      </c>
      <c r="C2518" t="s">
        <v>159</v>
      </c>
      <c r="D2518">
        <v>2990</v>
      </c>
      <c r="E2518" t="s">
        <v>432</v>
      </c>
      <c r="F2518" s="4">
        <v>12956</v>
      </c>
      <c r="G2518" s="4">
        <v>41</v>
      </c>
      <c r="H2518" s="4">
        <v>41</v>
      </c>
      <c r="I2518" s="4">
        <v>0</v>
      </c>
      <c r="J2518" s="4">
        <v>12997</v>
      </c>
    </row>
    <row r="2519" spans="1:10" x14ac:dyDescent="0.75">
      <c r="A2519" t="s">
        <v>151</v>
      </c>
      <c r="B2519">
        <v>2248</v>
      </c>
      <c r="C2519" t="s">
        <v>159</v>
      </c>
      <c r="D2519">
        <v>9900</v>
      </c>
      <c r="E2519" t="s">
        <v>389</v>
      </c>
      <c r="F2519" s="4">
        <v>0</v>
      </c>
      <c r="G2519" s="4">
        <v>10487</v>
      </c>
      <c r="H2519" s="4">
        <v>10487</v>
      </c>
      <c r="I2519" s="4">
        <v>0</v>
      </c>
      <c r="J2519" s="4">
        <v>10487</v>
      </c>
    </row>
    <row r="2520" spans="1:10" x14ac:dyDescent="0.75">
      <c r="A2520" t="s">
        <v>151</v>
      </c>
      <c r="B2520">
        <v>2248</v>
      </c>
      <c r="C2520" t="s">
        <v>159</v>
      </c>
      <c r="D2520">
        <v>5190</v>
      </c>
      <c r="E2520" t="s">
        <v>462</v>
      </c>
      <c r="F2520" s="4">
        <v>0</v>
      </c>
      <c r="G2520" s="4">
        <v>10484</v>
      </c>
      <c r="H2520" s="4">
        <v>10482</v>
      </c>
      <c r="I2520" s="4">
        <v>2</v>
      </c>
      <c r="J2520" s="4">
        <v>10484</v>
      </c>
    </row>
    <row r="2521" spans="1:10" x14ac:dyDescent="0.75">
      <c r="A2521" t="s">
        <v>151</v>
      </c>
      <c r="B2521">
        <v>2248</v>
      </c>
      <c r="C2521" t="s">
        <v>159</v>
      </c>
      <c r="D2521">
        <v>2410</v>
      </c>
      <c r="E2521" t="s">
        <v>430</v>
      </c>
      <c r="F2521" s="4">
        <v>8246</v>
      </c>
      <c r="G2521" s="4">
        <v>0</v>
      </c>
      <c r="H2521" s="4">
        <v>0</v>
      </c>
      <c r="I2521" s="4">
        <v>0</v>
      </c>
      <c r="J2521" s="4">
        <v>8246</v>
      </c>
    </row>
    <row r="2522" spans="1:10" x14ac:dyDescent="0.75">
      <c r="A2522" t="s">
        <v>151</v>
      </c>
      <c r="B2522">
        <v>2248</v>
      </c>
      <c r="C2522" t="s">
        <v>159</v>
      </c>
      <c r="D2522">
        <v>4335</v>
      </c>
      <c r="E2522" t="s">
        <v>372</v>
      </c>
      <c r="F2522" s="4">
        <v>7473</v>
      </c>
      <c r="G2522" s="4">
        <v>0</v>
      </c>
      <c r="H2522" s="4">
        <v>0</v>
      </c>
      <c r="I2522" s="4">
        <v>0</v>
      </c>
      <c r="J2522" s="4">
        <v>7473</v>
      </c>
    </row>
    <row r="2523" spans="1:10" x14ac:dyDescent="0.75">
      <c r="A2523" t="s">
        <v>151</v>
      </c>
      <c r="B2523">
        <v>2248</v>
      </c>
      <c r="C2523" t="s">
        <v>159</v>
      </c>
      <c r="D2523">
        <v>5480</v>
      </c>
      <c r="E2523" t="s">
        <v>386</v>
      </c>
      <c r="F2523" s="4">
        <v>0</v>
      </c>
      <c r="G2523" s="4">
        <v>5246</v>
      </c>
      <c r="H2523" s="4">
        <v>5246</v>
      </c>
      <c r="I2523" s="4">
        <v>0</v>
      </c>
      <c r="J2523" s="4">
        <v>5246</v>
      </c>
    </row>
    <row r="2524" spans="1:10" x14ac:dyDescent="0.75">
      <c r="A2524" t="s">
        <v>151</v>
      </c>
      <c r="B2524">
        <v>2248</v>
      </c>
      <c r="C2524" t="s">
        <v>159</v>
      </c>
      <c r="D2524">
        <v>6889</v>
      </c>
      <c r="E2524" t="s">
        <v>420</v>
      </c>
      <c r="F2524" s="4">
        <v>0</v>
      </c>
      <c r="G2524" s="4">
        <v>3065</v>
      </c>
      <c r="H2524" s="4">
        <v>3065</v>
      </c>
      <c r="I2524" s="4">
        <v>0</v>
      </c>
      <c r="J2524" s="4">
        <v>3065</v>
      </c>
    </row>
    <row r="2525" spans="1:10" x14ac:dyDescent="0.75">
      <c r="A2525" t="s">
        <v>151</v>
      </c>
      <c r="B2525">
        <v>2248</v>
      </c>
      <c r="C2525" t="s">
        <v>159</v>
      </c>
      <c r="D2525">
        <v>7400</v>
      </c>
      <c r="E2525" t="s">
        <v>502</v>
      </c>
      <c r="F2525" s="4">
        <v>0</v>
      </c>
      <c r="G2525" s="4">
        <v>2819</v>
      </c>
      <c r="H2525" s="4">
        <v>2819</v>
      </c>
      <c r="I2525" s="4">
        <v>0</v>
      </c>
      <c r="J2525" s="4">
        <v>2819</v>
      </c>
    </row>
    <row r="2526" spans="1:10" x14ac:dyDescent="0.75">
      <c r="A2526" t="s">
        <v>151</v>
      </c>
      <c r="B2526">
        <v>2248</v>
      </c>
      <c r="C2526" t="s">
        <v>159</v>
      </c>
      <c r="D2526">
        <v>3230</v>
      </c>
      <c r="E2526" t="s">
        <v>434</v>
      </c>
      <c r="F2526" s="4">
        <v>0</v>
      </c>
      <c r="G2526" s="4">
        <v>2342</v>
      </c>
      <c r="H2526" s="4">
        <v>0</v>
      </c>
      <c r="I2526" s="4">
        <v>2342</v>
      </c>
      <c r="J2526" s="4">
        <v>2342</v>
      </c>
    </row>
    <row r="2527" spans="1:10" x14ac:dyDescent="0.75">
      <c r="A2527" t="s">
        <v>151</v>
      </c>
      <c r="B2527">
        <v>2248</v>
      </c>
      <c r="C2527" t="s">
        <v>159</v>
      </c>
      <c r="D2527">
        <v>7120</v>
      </c>
      <c r="E2527" t="s">
        <v>499</v>
      </c>
      <c r="F2527" s="4">
        <v>0</v>
      </c>
      <c r="G2527" s="4">
        <v>1956</v>
      </c>
      <c r="H2527" s="4">
        <v>1690</v>
      </c>
      <c r="I2527" s="4">
        <v>266</v>
      </c>
      <c r="J2527" s="4">
        <v>1956</v>
      </c>
    </row>
    <row r="2528" spans="1:10" x14ac:dyDescent="0.75">
      <c r="A2528" t="s">
        <v>151</v>
      </c>
      <c r="B2528">
        <v>2248</v>
      </c>
      <c r="C2528" t="s">
        <v>159</v>
      </c>
      <c r="D2528">
        <v>6344</v>
      </c>
      <c r="E2528" t="s">
        <v>392</v>
      </c>
      <c r="F2528" s="4">
        <v>1501</v>
      </c>
      <c r="G2528" s="4">
        <v>0</v>
      </c>
      <c r="H2528" s="4">
        <v>0</v>
      </c>
      <c r="I2528" s="4">
        <v>0</v>
      </c>
      <c r="J2528" s="4">
        <v>1501</v>
      </c>
    </row>
    <row r="2529" spans="1:10" x14ac:dyDescent="0.75">
      <c r="A2529" t="s">
        <v>151</v>
      </c>
      <c r="B2529">
        <v>2248</v>
      </c>
      <c r="C2529" t="s">
        <v>159</v>
      </c>
      <c r="D2529">
        <v>4225</v>
      </c>
      <c r="E2529" t="s">
        <v>380</v>
      </c>
      <c r="F2529" s="4">
        <v>0</v>
      </c>
      <c r="G2529" s="4">
        <v>1319</v>
      </c>
      <c r="H2529" s="4">
        <v>1319</v>
      </c>
      <c r="I2529" s="4">
        <v>0</v>
      </c>
      <c r="J2529" s="4">
        <v>1319</v>
      </c>
    </row>
    <row r="2530" spans="1:10" x14ac:dyDescent="0.75">
      <c r="A2530" t="s">
        <v>151</v>
      </c>
      <c r="B2530">
        <v>2248</v>
      </c>
      <c r="C2530" t="s">
        <v>159</v>
      </c>
      <c r="D2530">
        <v>7220</v>
      </c>
      <c r="E2530" t="s">
        <v>500</v>
      </c>
      <c r="F2530" s="4">
        <v>0</v>
      </c>
      <c r="G2530" s="4">
        <v>1009</v>
      </c>
      <c r="H2530" s="4">
        <v>1009</v>
      </c>
      <c r="I2530" s="4">
        <v>0</v>
      </c>
      <c r="J2530" s="4">
        <v>1009</v>
      </c>
    </row>
    <row r="2531" spans="1:10" x14ac:dyDescent="0.75">
      <c r="A2531" t="s">
        <v>151</v>
      </c>
      <c r="B2531">
        <v>2248</v>
      </c>
      <c r="C2531" t="s">
        <v>159</v>
      </c>
      <c r="D2531">
        <v>5422</v>
      </c>
      <c r="E2531" t="s">
        <v>468</v>
      </c>
      <c r="F2531" s="4">
        <v>0</v>
      </c>
      <c r="G2531" s="4">
        <v>296</v>
      </c>
      <c r="H2531" s="4">
        <v>296</v>
      </c>
      <c r="I2531" s="4">
        <v>0</v>
      </c>
      <c r="J2531" s="4">
        <v>296</v>
      </c>
    </row>
    <row r="2532" spans="1:10" x14ac:dyDescent="0.75">
      <c r="A2532" t="s">
        <v>151</v>
      </c>
      <c r="B2532">
        <v>2248</v>
      </c>
      <c r="C2532" t="s">
        <v>159</v>
      </c>
      <c r="D2532">
        <v>5370</v>
      </c>
      <c r="E2532" t="s">
        <v>466</v>
      </c>
      <c r="F2532" s="4">
        <v>50</v>
      </c>
      <c r="G2532" s="4">
        <v>0</v>
      </c>
      <c r="H2532" s="4">
        <v>0</v>
      </c>
      <c r="I2532" s="4">
        <v>0</v>
      </c>
      <c r="J2532" s="4">
        <v>50</v>
      </c>
    </row>
    <row r="2533" spans="1:10" x14ac:dyDescent="0.75">
      <c r="A2533" t="s">
        <v>151</v>
      </c>
      <c r="B2533">
        <v>2248</v>
      </c>
      <c r="C2533" t="s">
        <v>159</v>
      </c>
      <c r="D2533">
        <v>7600</v>
      </c>
      <c r="E2533" t="s">
        <v>503</v>
      </c>
      <c r="F2533" s="4">
        <v>0</v>
      </c>
      <c r="G2533" s="4">
        <v>35</v>
      </c>
      <c r="H2533" s="4">
        <v>35</v>
      </c>
      <c r="I2533" s="4">
        <v>0</v>
      </c>
      <c r="J2533" s="4">
        <v>35</v>
      </c>
    </row>
    <row r="2534" spans="1:10" x14ac:dyDescent="0.75">
      <c r="A2534" t="s">
        <v>151</v>
      </c>
      <c r="B2534">
        <v>2248</v>
      </c>
      <c r="C2534" t="s">
        <v>159</v>
      </c>
      <c r="D2534">
        <v>7230</v>
      </c>
      <c r="E2534" t="s">
        <v>387</v>
      </c>
      <c r="F2534" s="4">
        <v>0</v>
      </c>
      <c r="G2534" s="4">
        <v>21</v>
      </c>
      <c r="H2534" s="4">
        <v>21</v>
      </c>
      <c r="I2534" s="4">
        <v>0</v>
      </c>
      <c r="J2534" s="4">
        <v>21</v>
      </c>
    </row>
    <row r="2535" spans="1:10" x14ac:dyDescent="0.75">
      <c r="A2535" t="s">
        <v>151</v>
      </c>
      <c r="B2535">
        <v>2248</v>
      </c>
      <c r="C2535" t="s">
        <v>159</v>
      </c>
      <c r="D2535">
        <v>7210</v>
      </c>
      <c r="E2535" t="s">
        <v>426</v>
      </c>
      <c r="F2535" s="4">
        <v>0</v>
      </c>
      <c r="G2535" s="4">
        <v>1</v>
      </c>
      <c r="H2535" s="4">
        <v>1</v>
      </c>
      <c r="I2535" s="4">
        <v>0</v>
      </c>
      <c r="J2535" s="4">
        <v>1</v>
      </c>
    </row>
    <row r="2536" spans="1:10" x14ac:dyDescent="0.75">
      <c r="A2536" t="s">
        <v>163</v>
      </c>
      <c r="B2536">
        <v>2446</v>
      </c>
      <c r="C2536" t="s">
        <v>253</v>
      </c>
      <c r="D2536">
        <v>6522</v>
      </c>
      <c r="E2536" t="s">
        <v>393</v>
      </c>
      <c r="F2536" s="4">
        <v>417637</v>
      </c>
      <c r="G2536" s="4">
        <v>0</v>
      </c>
      <c r="H2536" s="4">
        <v>0</v>
      </c>
      <c r="I2536" s="4">
        <v>0</v>
      </c>
      <c r="J2536" s="4">
        <v>417637</v>
      </c>
    </row>
    <row r="2537" spans="1:10" x14ac:dyDescent="0.75">
      <c r="A2537" t="s">
        <v>163</v>
      </c>
      <c r="B2537">
        <v>2446</v>
      </c>
      <c r="C2537" t="s">
        <v>253</v>
      </c>
      <c r="D2537">
        <v>6344</v>
      </c>
      <c r="E2537" t="s">
        <v>392</v>
      </c>
      <c r="F2537" s="4">
        <v>247445</v>
      </c>
      <c r="G2537" s="4">
        <v>0</v>
      </c>
      <c r="H2537" s="4">
        <v>0</v>
      </c>
      <c r="I2537" s="4">
        <v>0</v>
      </c>
      <c r="J2537" s="4">
        <v>247445</v>
      </c>
    </row>
    <row r="2538" spans="1:10" x14ac:dyDescent="0.75">
      <c r="A2538" t="s">
        <v>163</v>
      </c>
      <c r="B2538">
        <v>2446</v>
      </c>
      <c r="C2538" t="s">
        <v>253</v>
      </c>
      <c r="D2538">
        <v>4331</v>
      </c>
      <c r="E2538" t="s">
        <v>390</v>
      </c>
      <c r="F2538" s="4">
        <v>113198</v>
      </c>
      <c r="G2538" s="4">
        <v>0</v>
      </c>
      <c r="H2538" s="4">
        <v>0</v>
      </c>
      <c r="I2538" s="4">
        <v>0</v>
      </c>
      <c r="J2538" s="4">
        <v>113198</v>
      </c>
    </row>
    <row r="2539" spans="1:10" x14ac:dyDescent="0.75">
      <c r="A2539" t="s">
        <v>163</v>
      </c>
      <c r="B2539">
        <v>2446</v>
      </c>
      <c r="C2539" t="s">
        <v>253</v>
      </c>
      <c r="D2539">
        <v>3110</v>
      </c>
      <c r="E2539" t="s">
        <v>405</v>
      </c>
      <c r="F2539" s="4">
        <v>93123</v>
      </c>
      <c r="G2539" s="4">
        <v>0</v>
      </c>
      <c r="H2539" s="4">
        <v>0</v>
      </c>
      <c r="I2539" s="4">
        <v>0</v>
      </c>
      <c r="J2539" s="4">
        <v>93123</v>
      </c>
    </row>
    <row r="2540" spans="1:10" x14ac:dyDescent="0.75">
      <c r="A2540" t="s">
        <v>163</v>
      </c>
      <c r="B2540">
        <v>2446</v>
      </c>
      <c r="C2540" t="s">
        <v>253</v>
      </c>
      <c r="D2540">
        <v>4322</v>
      </c>
      <c r="E2540" t="s">
        <v>398</v>
      </c>
      <c r="F2540" s="4">
        <v>47043</v>
      </c>
      <c r="G2540" s="4">
        <v>0</v>
      </c>
      <c r="H2540" s="4">
        <v>0</v>
      </c>
      <c r="I2540" s="4">
        <v>0</v>
      </c>
      <c r="J2540" s="4">
        <v>47043</v>
      </c>
    </row>
    <row r="2541" spans="1:10" x14ac:dyDescent="0.75">
      <c r="A2541" t="s">
        <v>163</v>
      </c>
      <c r="B2541">
        <v>2446</v>
      </c>
      <c r="C2541" t="s">
        <v>253</v>
      </c>
      <c r="D2541">
        <v>3130</v>
      </c>
      <c r="E2541" t="s">
        <v>407</v>
      </c>
      <c r="F2541" s="4">
        <v>20539</v>
      </c>
      <c r="G2541" s="4">
        <v>0</v>
      </c>
      <c r="H2541" s="4">
        <v>0</v>
      </c>
      <c r="I2541" s="4">
        <v>0</v>
      </c>
      <c r="J2541" s="4">
        <v>20539</v>
      </c>
    </row>
    <row r="2542" spans="1:10" x14ac:dyDescent="0.75">
      <c r="A2542" t="s">
        <v>163</v>
      </c>
      <c r="B2542">
        <v>2446</v>
      </c>
      <c r="C2542" t="s">
        <v>253</v>
      </c>
      <c r="D2542">
        <v>6442</v>
      </c>
      <c r="E2542" t="s">
        <v>472</v>
      </c>
      <c r="F2542" s="4">
        <v>18487</v>
      </c>
      <c r="G2542" s="4">
        <v>0</v>
      </c>
      <c r="H2542" s="4">
        <v>0</v>
      </c>
      <c r="I2542" s="4">
        <v>0</v>
      </c>
      <c r="J2542" s="4">
        <v>18487</v>
      </c>
    </row>
    <row r="2543" spans="1:10" x14ac:dyDescent="0.75">
      <c r="A2543" t="s">
        <v>163</v>
      </c>
      <c r="B2543">
        <v>2446</v>
      </c>
      <c r="C2543" t="s">
        <v>253</v>
      </c>
      <c r="D2543">
        <v>6654</v>
      </c>
      <c r="E2543" t="s">
        <v>419</v>
      </c>
      <c r="F2543" s="4">
        <v>18259</v>
      </c>
      <c r="G2543" s="4">
        <v>0</v>
      </c>
      <c r="H2543" s="4">
        <v>0</v>
      </c>
      <c r="I2543" s="4">
        <v>0</v>
      </c>
      <c r="J2543" s="4">
        <v>18259</v>
      </c>
    </row>
    <row r="2544" spans="1:10" x14ac:dyDescent="0.75">
      <c r="A2544" t="s">
        <v>163</v>
      </c>
      <c r="B2544">
        <v>2446</v>
      </c>
      <c r="C2544" t="s">
        <v>253</v>
      </c>
      <c r="D2544">
        <v>3190</v>
      </c>
      <c r="E2544" t="s">
        <v>408</v>
      </c>
      <c r="F2544" s="4">
        <v>8813</v>
      </c>
      <c r="G2544" s="4">
        <v>0</v>
      </c>
      <c r="H2544" s="4">
        <v>0</v>
      </c>
      <c r="I2544" s="4">
        <v>0</v>
      </c>
      <c r="J2544" s="4">
        <v>8813</v>
      </c>
    </row>
    <row r="2545" spans="1:10" x14ac:dyDescent="0.75">
      <c r="A2545" t="s">
        <v>163</v>
      </c>
      <c r="B2545">
        <v>2446</v>
      </c>
      <c r="C2545" t="s">
        <v>253</v>
      </c>
      <c r="D2545">
        <v>3120</v>
      </c>
      <c r="E2545" t="s">
        <v>406</v>
      </c>
      <c r="F2545" s="4">
        <v>8227</v>
      </c>
      <c r="G2545" s="4">
        <v>0</v>
      </c>
      <c r="H2545" s="4">
        <v>0</v>
      </c>
      <c r="I2545" s="4">
        <v>0</v>
      </c>
      <c r="J2545" s="4">
        <v>8227</v>
      </c>
    </row>
    <row r="2546" spans="1:10" x14ac:dyDescent="0.75">
      <c r="A2546" t="s">
        <v>163</v>
      </c>
      <c r="B2546">
        <v>2446</v>
      </c>
      <c r="C2546" t="s">
        <v>253</v>
      </c>
      <c r="D2546">
        <v>6590</v>
      </c>
      <c r="E2546" t="s">
        <v>394</v>
      </c>
      <c r="F2546" s="4">
        <v>7681</v>
      </c>
      <c r="G2546" s="4">
        <v>0</v>
      </c>
      <c r="H2546" s="4">
        <v>0</v>
      </c>
      <c r="I2546" s="4">
        <v>0</v>
      </c>
      <c r="J2546" s="4">
        <v>7681</v>
      </c>
    </row>
    <row r="2547" spans="1:10" x14ac:dyDescent="0.75">
      <c r="A2547" t="s">
        <v>163</v>
      </c>
      <c r="B2547">
        <v>2446</v>
      </c>
      <c r="C2547" t="s">
        <v>253</v>
      </c>
      <c r="D2547">
        <v>6241</v>
      </c>
      <c r="E2547" t="s">
        <v>391</v>
      </c>
      <c r="F2547" s="4">
        <v>6689</v>
      </c>
      <c r="G2547" s="4">
        <v>0</v>
      </c>
      <c r="H2547" s="4">
        <v>0</v>
      </c>
      <c r="I2547" s="4">
        <v>0</v>
      </c>
      <c r="J2547" s="4">
        <v>6689</v>
      </c>
    </row>
    <row r="2548" spans="1:10" x14ac:dyDescent="0.75">
      <c r="A2548" t="s">
        <v>160</v>
      </c>
      <c r="B2548">
        <v>3716</v>
      </c>
      <c r="C2548" t="s">
        <v>358</v>
      </c>
      <c r="D2548">
        <v>7110</v>
      </c>
      <c r="E2548" t="s">
        <v>371</v>
      </c>
      <c r="F2548" s="4">
        <v>100</v>
      </c>
      <c r="G2548" s="4">
        <v>0</v>
      </c>
      <c r="H2548" s="4">
        <v>0</v>
      </c>
      <c r="I2548" s="4">
        <v>0</v>
      </c>
      <c r="J2548" s="4">
        <v>100</v>
      </c>
    </row>
    <row r="2549" spans="1:10" x14ac:dyDescent="0.75">
      <c r="A2549" t="s">
        <v>163</v>
      </c>
      <c r="B2549">
        <v>6111</v>
      </c>
      <c r="C2549" t="s">
        <v>271</v>
      </c>
      <c r="D2549">
        <v>5220</v>
      </c>
      <c r="E2549" t="s">
        <v>401</v>
      </c>
      <c r="F2549" s="4">
        <v>192357</v>
      </c>
      <c r="G2549" s="4">
        <v>0</v>
      </c>
      <c r="H2549" s="4">
        <v>0</v>
      </c>
      <c r="I2549" s="4">
        <v>0</v>
      </c>
      <c r="J2549" s="4">
        <v>192357</v>
      </c>
    </row>
    <row r="2550" spans="1:10" x14ac:dyDescent="0.75">
      <c r="A2550" t="s">
        <v>163</v>
      </c>
      <c r="B2550">
        <v>6111</v>
      </c>
      <c r="C2550" t="s">
        <v>271</v>
      </c>
      <c r="D2550">
        <v>4310</v>
      </c>
      <c r="E2550" t="s">
        <v>453</v>
      </c>
      <c r="F2550" s="4">
        <v>114957</v>
      </c>
      <c r="G2550" s="4">
        <v>0</v>
      </c>
      <c r="H2550" s="4">
        <v>0</v>
      </c>
      <c r="I2550" s="4">
        <v>0</v>
      </c>
      <c r="J2550" s="4">
        <v>114957</v>
      </c>
    </row>
    <row r="2551" spans="1:10" x14ac:dyDescent="0.75">
      <c r="A2551" t="s">
        <v>163</v>
      </c>
      <c r="B2551">
        <v>6111</v>
      </c>
      <c r="C2551" t="s">
        <v>271</v>
      </c>
      <c r="D2551">
        <v>4331</v>
      </c>
      <c r="E2551" t="s">
        <v>390</v>
      </c>
      <c r="F2551" s="4">
        <v>87121</v>
      </c>
      <c r="G2551" s="4">
        <v>0</v>
      </c>
      <c r="H2551" s="4">
        <v>0</v>
      </c>
      <c r="I2551" s="4">
        <v>0</v>
      </c>
      <c r="J2551" s="4">
        <v>87121</v>
      </c>
    </row>
    <row r="2552" spans="1:10" x14ac:dyDescent="0.75">
      <c r="A2552" t="s">
        <v>163</v>
      </c>
      <c r="B2552">
        <v>6111</v>
      </c>
      <c r="C2552" t="s">
        <v>271</v>
      </c>
      <c r="D2552">
        <v>5330</v>
      </c>
      <c r="E2552" t="s">
        <v>385</v>
      </c>
      <c r="F2552" s="4">
        <v>43595</v>
      </c>
      <c r="G2552" s="4">
        <v>0</v>
      </c>
      <c r="H2552" s="4">
        <v>0</v>
      </c>
      <c r="I2552" s="4">
        <v>0</v>
      </c>
      <c r="J2552" s="4">
        <v>43595</v>
      </c>
    </row>
    <row r="2553" spans="1:10" x14ac:dyDescent="0.75">
      <c r="A2553" t="s">
        <v>163</v>
      </c>
      <c r="B2553">
        <v>6111</v>
      </c>
      <c r="C2553" t="s">
        <v>271</v>
      </c>
      <c r="D2553">
        <v>5422</v>
      </c>
      <c r="E2553" t="s">
        <v>468</v>
      </c>
      <c r="F2553" s="4">
        <v>42374</v>
      </c>
      <c r="G2553" s="4">
        <v>0</v>
      </c>
      <c r="H2553" s="4">
        <v>0</v>
      </c>
      <c r="I2553" s="4">
        <v>0</v>
      </c>
      <c r="J2553" s="4">
        <v>42374</v>
      </c>
    </row>
    <row r="2554" spans="1:10" x14ac:dyDescent="0.75">
      <c r="A2554" t="s">
        <v>163</v>
      </c>
      <c r="B2554">
        <v>6111</v>
      </c>
      <c r="C2554" t="s">
        <v>271</v>
      </c>
      <c r="D2554">
        <v>3110</v>
      </c>
      <c r="E2554" t="s">
        <v>405</v>
      </c>
      <c r="F2554" s="4">
        <v>34588</v>
      </c>
      <c r="G2554" s="4">
        <v>0</v>
      </c>
      <c r="H2554" s="4">
        <v>0</v>
      </c>
      <c r="I2554" s="4">
        <v>0</v>
      </c>
      <c r="J2554" s="4">
        <v>34588</v>
      </c>
    </row>
    <row r="2555" spans="1:10" x14ac:dyDescent="0.75">
      <c r="A2555" t="s">
        <v>163</v>
      </c>
      <c r="B2555">
        <v>6111</v>
      </c>
      <c r="C2555" t="s">
        <v>271</v>
      </c>
      <c r="D2555">
        <v>4322</v>
      </c>
      <c r="E2555" t="s">
        <v>398</v>
      </c>
      <c r="F2555" s="4">
        <v>32529</v>
      </c>
      <c r="G2555" s="4">
        <v>0</v>
      </c>
      <c r="H2555" s="4">
        <v>0</v>
      </c>
      <c r="I2555" s="4">
        <v>0</v>
      </c>
      <c r="J2555" s="4">
        <v>32529</v>
      </c>
    </row>
    <row r="2556" spans="1:10" x14ac:dyDescent="0.75">
      <c r="A2556" t="s">
        <v>163</v>
      </c>
      <c r="B2556">
        <v>6111</v>
      </c>
      <c r="C2556" t="s">
        <v>271</v>
      </c>
      <c r="D2556">
        <v>5390</v>
      </c>
      <c r="E2556" t="s">
        <v>418</v>
      </c>
      <c r="F2556" s="4">
        <v>30241</v>
      </c>
      <c r="G2556" s="4">
        <v>0</v>
      </c>
      <c r="H2556" s="4">
        <v>0</v>
      </c>
      <c r="I2556" s="4">
        <v>0</v>
      </c>
      <c r="J2556" s="4">
        <v>30241</v>
      </c>
    </row>
    <row r="2557" spans="1:10" x14ac:dyDescent="0.75">
      <c r="A2557" t="s">
        <v>163</v>
      </c>
      <c r="B2557">
        <v>6111</v>
      </c>
      <c r="C2557" t="s">
        <v>271</v>
      </c>
      <c r="D2557">
        <v>4420</v>
      </c>
      <c r="E2557" t="s">
        <v>381</v>
      </c>
      <c r="F2557" s="4">
        <v>27876</v>
      </c>
      <c r="G2557" s="4">
        <v>0</v>
      </c>
      <c r="H2557" s="4">
        <v>0</v>
      </c>
      <c r="I2557" s="4">
        <v>0</v>
      </c>
      <c r="J2557" s="4">
        <v>27876</v>
      </c>
    </row>
    <row r="2558" spans="1:10" x14ac:dyDescent="0.75">
      <c r="A2558" t="s">
        <v>163</v>
      </c>
      <c r="B2558">
        <v>6111</v>
      </c>
      <c r="C2558" t="s">
        <v>271</v>
      </c>
      <c r="D2558">
        <v>3130</v>
      </c>
      <c r="E2558" t="s">
        <v>407</v>
      </c>
      <c r="F2558" s="4">
        <v>17949</v>
      </c>
      <c r="G2558" s="4">
        <v>0</v>
      </c>
      <c r="H2558" s="4">
        <v>0</v>
      </c>
      <c r="I2558" s="4">
        <v>0</v>
      </c>
      <c r="J2558" s="4">
        <v>17949</v>
      </c>
    </row>
    <row r="2559" spans="1:10" x14ac:dyDescent="0.75">
      <c r="A2559" t="s">
        <v>163</v>
      </c>
      <c r="B2559">
        <v>6111</v>
      </c>
      <c r="C2559" t="s">
        <v>271</v>
      </c>
      <c r="D2559">
        <v>3120</v>
      </c>
      <c r="E2559" t="s">
        <v>406</v>
      </c>
      <c r="F2559" s="4">
        <v>7813</v>
      </c>
      <c r="G2559" s="4">
        <v>0</v>
      </c>
      <c r="H2559" s="4">
        <v>0</v>
      </c>
      <c r="I2559" s="4">
        <v>0</v>
      </c>
      <c r="J2559" s="4">
        <v>7813</v>
      </c>
    </row>
    <row r="2560" spans="1:10" x14ac:dyDescent="0.75">
      <c r="A2560" t="s">
        <v>163</v>
      </c>
      <c r="B2560">
        <v>6111</v>
      </c>
      <c r="C2560" t="s">
        <v>271</v>
      </c>
      <c r="D2560">
        <v>5480</v>
      </c>
      <c r="E2560" t="s">
        <v>386</v>
      </c>
      <c r="F2560" s="4">
        <v>4772</v>
      </c>
      <c r="G2560" s="4">
        <v>0</v>
      </c>
      <c r="H2560" s="4">
        <v>0</v>
      </c>
      <c r="I2560" s="4">
        <v>0</v>
      </c>
      <c r="J2560" s="4">
        <v>4772</v>
      </c>
    </row>
    <row r="2561" spans="1:10" x14ac:dyDescent="0.75">
      <c r="A2561" t="s">
        <v>163</v>
      </c>
      <c r="B2561">
        <v>6111</v>
      </c>
      <c r="C2561" t="s">
        <v>271</v>
      </c>
      <c r="D2561">
        <v>3276</v>
      </c>
      <c r="E2561" t="s">
        <v>379</v>
      </c>
      <c r="F2561" s="4">
        <v>3278</v>
      </c>
      <c r="G2561" s="4">
        <v>0</v>
      </c>
      <c r="H2561" s="4">
        <v>0</v>
      </c>
      <c r="I2561" s="4">
        <v>0</v>
      </c>
      <c r="J2561" s="4">
        <v>3278</v>
      </c>
    </row>
    <row r="2562" spans="1:10" x14ac:dyDescent="0.75">
      <c r="A2562" t="s">
        <v>163</v>
      </c>
      <c r="B2562">
        <v>6111</v>
      </c>
      <c r="C2562" t="s">
        <v>271</v>
      </c>
      <c r="D2562">
        <v>2330</v>
      </c>
      <c r="E2562" t="s">
        <v>368</v>
      </c>
      <c r="F2562" s="4">
        <v>2966</v>
      </c>
      <c r="G2562" s="4">
        <v>0</v>
      </c>
      <c r="H2562" s="4">
        <v>0</v>
      </c>
      <c r="I2562" s="4">
        <v>0</v>
      </c>
      <c r="J2562" s="4">
        <v>2966</v>
      </c>
    </row>
    <row r="2563" spans="1:10" x14ac:dyDescent="0.75">
      <c r="A2563" t="s">
        <v>163</v>
      </c>
      <c r="B2563">
        <v>6111</v>
      </c>
      <c r="C2563" t="s">
        <v>271</v>
      </c>
      <c r="D2563">
        <v>2350</v>
      </c>
      <c r="E2563" t="s">
        <v>404</v>
      </c>
      <c r="F2563" s="4">
        <v>2932</v>
      </c>
      <c r="G2563" s="4">
        <v>0</v>
      </c>
      <c r="H2563" s="4">
        <v>0</v>
      </c>
      <c r="I2563" s="4">
        <v>0</v>
      </c>
      <c r="J2563" s="4">
        <v>2932</v>
      </c>
    </row>
    <row r="2564" spans="1:10" x14ac:dyDescent="0.75">
      <c r="A2564" t="s">
        <v>163</v>
      </c>
      <c r="B2564">
        <v>6111</v>
      </c>
      <c r="C2564" t="s">
        <v>271</v>
      </c>
      <c r="D2564">
        <v>4410</v>
      </c>
      <c r="E2564" t="s">
        <v>399</v>
      </c>
      <c r="F2564" s="4">
        <v>2908</v>
      </c>
      <c r="G2564" s="4">
        <v>0</v>
      </c>
      <c r="H2564" s="4">
        <v>0</v>
      </c>
      <c r="I2564" s="4">
        <v>0</v>
      </c>
      <c r="J2564" s="4">
        <v>2908</v>
      </c>
    </row>
    <row r="2565" spans="1:10" x14ac:dyDescent="0.75">
      <c r="A2565" t="s">
        <v>163</v>
      </c>
      <c r="B2565">
        <v>6111</v>
      </c>
      <c r="C2565" t="s">
        <v>271</v>
      </c>
      <c r="D2565">
        <v>5370</v>
      </c>
      <c r="E2565" t="s">
        <v>466</v>
      </c>
      <c r="F2565" s="4">
        <v>1553</v>
      </c>
      <c r="G2565" s="4">
        <v>0</v>
      </c>
      <c r="H2565" s="4">
        <v>0</v>
      </c>
      <c r="I2565" s="4">
        <v>0</v>
      </c>
      <c r="J2565" s="4">
        <v>1553</v>
      </c>
    </row>
    <row r="2566" spans="1:10" x14ac:dyDescent="0.75">
      <c r="A2566" t="s">
        <v>163</v>
      </c>
      <c r="B2566">
        <v>6111</v>
      </c>
      <c r="C2566" t="s">
        <v>271</v>
      </c>
      <c r="D2566">
        <v>3275</v>
      </c>
      <c r="E2566" t="s">
        <v>412</v>
      </c>
      <c r="F2566" s="4">
        <v>1461</v>
      </c>
      <c r="G2566" s="4">
        <v>0</v>
      </c>
      <c r="H2566" s="4">
        <v>0</v>
      </c>
      <c r="I2566" s="4">
        <v>0</v>
      </c>
      <c r="J2566" s="4">
        <v>1461</v>
      </c>
    </row>
    <row r="2567" spans="1:10" x14ac:dyDescent="0.75">
      <c r="A2567" t="s">
        <v>160</v>
      </c>
      <c r="B2567">
        <v>3235</v>
      </c>
      <c r="C2567" t="s">
        <v>261</v>
      </c>
      <c r="D2567">
        <v>4322</v>
      </c>
      <c r="E2567" t="s">
        <v>398</v>
      </c>
      <c r="F2567" s="4">
        <v>752318</v>
      </c>
      <c r="G2567" s="4">
        <v>0</v>
      </c>
      <c r="H2567" s="4">
        <v>0</v>
      </c>
      <c r="I2567" s="4">
        <v>0</v>
      </c>
      <c r="J2567" s="4">
        <v>752318</v>
      </c>
    </row>
    <row r="2568" spans="1:10" x14ac:dyDescent="0.75">
      <c r="A2568" t="s">
        <v>160</v>
      </c>
      <c r="B2568">
        <v>3235</v>
      </c>
      <c r="C2568" t="s">
        <v>261</v>
      </c>
      <c r="D2568">
        <v>4783</v>
      </c>
      <c r="E2568" t="s">
        <v>382</v>
      </c>
      <c r="F2568" s="4">
        <v>17457</v>
      </c>
      <c r="G2568" s="4">
        <v>36156</v>
      </c>
      <c r="H2568" s="4">
        <v>36156</v>
      </c>
      <c r="I2568" s="4">
        <v>0</v>
      </c>
      <c r="J2568" s="4">
        <v>53613</v>
      </c>
    </row>
    <row r="2569" spans="1:10" x14ac:dyDescent="0.75">
      <c r="A2569" t="s">
        <v>160</v>
      </c>
      <c r="B2569">
        <v>3235</v>
      </c>
      <c r="C2569" t="s">
        <v>261</v>
      </c>
      <c r="D2569">
        <v>2540</v>
      </c>
      <c r="E2569" t="s">
        <v>377</v>
      </c>
      <c r="F2569" s="4">
        <v>0</v>
      </c>
      <c r="G2569" s="4">
        <v>28109</v>
      </c>
      <c r="H2569" s="4">
        <v>0</v>
      </c>
      <c r="I2569" s="4">
        <v>28109</v>
      </c>
      <c r="J2569" s="4">
        <v>28109</v>
      </c>
    </row>
    <row r="2570" spans="1:10" x14ac:dyDescent="0.75">
      <c r="A2570" t="s">
        <v>160</v>
      </c>
      <c r="B2570">
        <v>3235</v>
      </c>
      <c r="C2570" t="s">
        <v>261</v>
      </c>
      <c r="D2570">
        <v>3260</v>
      </c>
      <c r="E2570" t="s">
        <v>436</v>
      </c>
      <c r="F2570" s="4">
        <v>0</v>
      </c>
      <c r="G2570" s="4">
        <v>27558</v>
      </c>
      <c r="H2570" s="4">
        <v>27558</v>
      </c>
      <c r="I2570" s="4">
        <v>0</v>
      </c>
      <c r="J2570" s="4">
        <v>27558</v>
      </c>
    </row>
    <row r="2571" spans="1:10" x14ac:dyDescent="0.75">
      <c r="A2571" t="s">
        <v>160</v>
      </c>
      <c r="B2571">
        <v>3235</v>
      </c>
      <c r="C2571" t="s">
        <v>261</v>
      </c>
      <c r="D2571">
        <v>4331</v>
      </c>
      <c r="E2571" t="s">
        <v>390</v>
      </c>
      <c r="F2571" s="4">
        <v>0</v>
      </c>
      <c r="G2571" s="4">
        <v>24030</v>
      </c>
      <c r="H2571" s="4">
        <v>24030</v>
      </c>
      <c r="I2571" s="4">
        <v>0</v>
      </c>
      <c r="J2571" s="4">
        <v>24030</v>
      </c>
    </row>
    <row r="2572" spans="1:10" x14ac:dyDescent="0.75">
      <c r="A2572" t="s">
        <v>160</v>
      </c>
      <c r="B2572">
        <v>3235</v>
      </c>
      <c r="C2572" t="s">
        <v>261</v>
      </c>
      <c r="D2572">
        <v>3130</v>
      </c>
      <c r="E2572" t="s">
        <v>407</v>
      </c>
      <c r="F2572" s="4">
        <v>0</v>
      </c>
      <c r="G2572" s="4">
        <v>6614</v>
      </c>
      <c r="H2572" s="4">
        <v>6614</v>
      </c>
      <c r="I2572" s="4">
        <v>0</v>
      </c>
      <c r="J2572" s="4">
        <v>6614</v>
      </c>
    </row>
    <row r="2573" spans="1:10" x14ac:dyDescent="0.75">
      <c r="A2573" t="s">
        <v>160</v>
      </c>
      <c r="B2573">
        <v>3235</v>
      </c>
      <c r="C2573" t="s">
        <v>261</v>
      </c>
      <c r="D2573">
        <v>3276</v>
      </c>
      <c r="E2573" t="s">
        <v>379</v>
      </c>
      <c r="F2573" s="4">
        <v>0</v>
      </c>
      <c r="G2573" s="4">
        <v>4409</v>
      </c>
      <c r="H2573" s="4">
        <v>4409</v>
      </c>
      <c r="I2573" s="4">
        <v>0</v>
      </c>
      <c r="J2573" s="4">
        <v>4409</v>
      </c>
    </row>
    <row r="2574" spans="1:10" x14ac:dyDescent="0.75">
      <c r="A2574" t="s">
        <v>163</v>
      </c>
      <c r="B2574">
        <v>2333</v>
      </c>
      <c r="C2574" t="s">
        <v>181</v>
      </c>
      <c r="D2574">
        <v>4331</v>
      </c>
      <c r="E2574" t="s">
        <v>390</v>
      </c>
      <c r="F2574" s="4">
        <v>2344401</v>
      </c>
      <c r="G2574" s="4">
        <v>0</v>
      </c>
      <c r="H2574" s="4">
        <v>0</v>
      </c>
      <c r="I2574" s="4">
        <v>0</v>
      </c>
      <c r="J2574" s="4">
        <v>2344401</v>
      </c>
    </row>
    <row r="2575" spans="1:10" x14ac:dyDescent="0.75">
      <c r="A2575" t="s">
        <v>163</v>
      </c>
      <c r="B2575">
        <v>2333</v>
      </c>
      <c r="C2575" t="s">
        <v>181</v>
      </c>
      <c r="D2575">
        <v>2211</v>
      </c>
      <c r="E2575" t="s">
        <v>367</v>
      </c>
      <c r="F2575" s="4">
        <v>1733210</v>
      </c>
      <c r="G2575" s="4">
        <v>0</v>
      </c>
      <c r="H2575" s="4">
        <v>0</v>
      </c>
      <c r="I2575" s="4">
        <v>0</v>
      </c>
      <c r="J2575" s="4">
        <v>1733210</v>
      </c>
    </row>
    <row r="2576" spans="1:10" x14ac:dyDescent="0.75">
      <c r="A2576" t="s">
        <v>163</v>
      </c>
      <c r="B2576">
        <v>2333</v>
      </c>
      <c r="C2576" t="s">
        <v>181</v>
      </c>
      <c r="D2576">
        <v>1100</v>
      </c>
      <c r="E2576" t="s">
        <v>397</v>
      </c>
      <c r="F2576" s="4">
        <v>1391291</v>
      </c>
      <c r="G2576" s="4">
        <v>0</v>
      </c>
      <c r="H2576" s="4">
        <v>0</v>
      </c>
      <c r="I2576" s="4">
        <v>0</v>
      </c>
      <c r="J2576" s="4">
        <v>1391291</v>
      </c>
    </row>
    <row r="2577" spans="1:10" x14ac:dyDescent="0.75">
      <c r="A2577" t="s">
        <v>163</v>
      </c>
      <c r="B2577">
        <v>2333</v>
      </c>
      <c r="C2577" t="s">
        <v>181</v>
      </c>
      <c r="D2577">
        <v>2330</v>
      </c>
      <c r="E2577" t="s">
        <v>368</v>
      </c>
      <c r="F2577" s="4">
        <v>624760</v>
      </c>
      <c r="G2577" s="4">
        <v>0</v>
      </c>
      <c r="H2577" s="4">
        <v>0</v>
      </c>
      <c r="I2577" s="4">
        <v>0</v>
      </c>
      <c r="J2577" s="4">
        <v>624760</v>
      </c>
    </row>
    <row r="2578" spans="1:10" x14ac:dyDescent="0.75">
      <c r="A2578" t="s">
        <v>163</v>
      </c>
      <c r="B2578">
        <v>2333</v>
      </c>
      <c r="C2578" t="s">
        <v>181</v>
      </c>
      <c r="D2578">
        <v>2221</v>
      </c>
      <c r="E2578" t="s">
        <v>374</v>
      </c>
      <c r="F2578" s="4">
        <v>425019</v>
      </c>
      <c r="G2578" s="4">
        <v>0</v>
      </c>
      <c r="H2578" s="4">
        <v>0</v>
      </c>
      <c r="I2578" s="4">
        <v>0</v>
      </c>
      <c r="J2578" s="4">
        <v>425019</v>
      </c>
    </row>
    <row r="2579" spans="1:10" x14ac:dyDescent="0.75">
      <c r="A2579" t="s">
        <v>163</v>
      </c>
      <c r="B2579">
        <v>2333</v>
      </c>
      <c r="C2579" t="s">
        <v>181</v>
      </c>
      <c r="D2579">
        <v>5220</v>
      </c>
      <c r="E2579" t="s">
        <v>401</v>
      </c>
      <c r="F2579" s="4">
        <v>376783</v>
      </c>
      <c r="G2579" s="4">
        <v>0</v>
      </c>
      <c r="H2579" s="4">
        <v>0</v>
      </c>
      <c r="I2579" s="4">
        <v>0</v>
      </c>
      <c r="J2579" s="4">
        <v>376783</v>
      </c>
    </row>
    <row r="2580" spans="1:10" x14ac:dyDescent="0.75">
      <c r="A2580" t="s">
        <v>163</v>
      </c>
      <c r="B2580">
        <v>2333</v>
      </c>
      <c r="C2580" t="s">
        <v>181</v>
      </c>
      <c r="D2580">
        <v>4420</v>
      </c>
      <c r="E2580" t="s">
        <v>381</v>
      </c>
      <c r="F2580" s="4">
        <v>370202</v>
      </c>
      <c r="G2580" s="4">
        <v>0</v>
      </c>
      <c r="H2580" s="4">
        <v>0</v>
      </c>
      <c r="I2580" s="4">
        <v>0</v>
      </c>
      <c r="J2580" s="4">
        <v>370202</v>
      </c>
    </row>
    <row r="2581" spans="1:10" x14ac:dyDescent="0.75">
      <c r="A2581" t="s">
        <v>163</v>
      </c>
      <c r="B2581">
        <v>2333</v>
      </c>
      <c r="C2581" t="s">
        <v>181</v>
      </c>
      <c r="D2581">
        <v>4322</v>
      </c>
      <c r="E2581" t="s">
        <v>398</v>
      </c>
      <c r="F2581" s="4">
        <v>338021</v>
      </c>
      <c r="G2581" s="4">
        <v>0</v>
      </c>
      <c r="H2581" s="4">
        <v>0</v>
      </c>
      <c r="I2581" s="4">
        <v>0</v>
      </c>
      <c r="J2581" s="4">
        <v>338021</v>
      </c>
    </row>
    <row r="2582" spans="1:10" x14ac:dyDescent="0.75">
      <c r="A2582" t="s">
        <v>163</v>
      </c>
      <c r="B2582">
        <v>2333</v>
      </c>
      <c r="C2582" t="s">
        <v>181</v>
      </c>
      <c r="D2582">
        <v>4323</v>
      </c>
      <c r="E2582" t="s">
        <v>373</v>
      </c>
      <c r="F2582" s="4">
        <v>301801</v>
      </c>
      <c r="G2582" s="4">
        <v>0</v>
      </c>
      <c r="H2582" s="4">
        <v>0</v>
      </c>
      <c r="I2582" s="4">
        <v>0</v>
      </c>
      <c r="J2582" s="4">
        <v>301801</v>
      </c>
    </row>
    <row r="2583" spans="1:10" x14ac:dyDescent="0.75">
      <c r="A2583" t="s">
        <v>163</v>
      </c>
      <c r="B2583">
        <v>2333</v>
      </c>
      <c r="C2583" t="s">
        <v>181</v>
      </c>
      <c r="D2583">
        <v>3220</v>
      </c>
      <c r="E2583" t="s">
        <v>370</v>
      </c>
      <c r="F2583" s="4">
        <v>162391</v>
      </c>
      <c r="G2583" s="4">
        <v>0</v>
      </c>
      <c r="H2583" s="4">
        <v>0</v>
      </c>
      <c r="I2583" s="4">
        <v>0</v>
      </c>
      <c r="J2583" s="4">
        <v>162391</v>
      </c>
    </row>
    <row r="2584" spans="1:10" x14ac:dyDescent="0.75">
      <c r="A2584" t="s">
        <v>163</v>
      </c>
      <c r="B2584">
        <v>2333</v>
      </c>
      <c r="C2584" t="s">
        <v>181</v>
      </c>
      <c r="D2584">
        <v>3219</v>
      </c>
      <c r="E2584" t="s">
        <v>378</v>
      </c>
      <c r="F2584" s="4">
        <v>63394</v>
      </c>
      <c r="G2584" s="4">
        <v>0</v>
      </c>
      <c r="H2584" s="4">
        <v>0</v>
      </c>
      <c r="I2584" s="4">
        <v>0</v>
      </c>
      <c r="J2584" s="4">
        <v>63394</v>
      </c>
    </row>
    <row r="2585" spans="1:10" x14ac:dyDescent="0.75">
      <c r="A2585" t="s">
        <v>163</v>
      </c>
      <c r="B2585">
        <v>2333</v>
      </c>
      <c r="C2585" t="s">
        <v>181</v>
      </c>
      <c r="D2585">
        <v>2430</v>
      </c>
      <c r="E2585" t="s">
        <v>376</v>
      </c>
      <c r="F2585" s="4">
        <v>50415</v>
      </c>
      <c r="G2585" s="4">
        <v>0</v>
      </c>
      <c r="H2585" s="4">
        <v>0</v>
      </c>
      <c r="I2585" s="4">
        <v>0</v>
      </c>
      <c r="J2585" s="4">
        <v>50415</v>
      </c>
    </row>
    <row r="2586" spans="1:10" x14ac:dyDescent="0.75">
      <c r="A2586" t="s">
        <v>163</v>
      </c>
      <c r="B2586">
        <v>2333</v>
      </c>
      <c r="C2586" t="s">
        <v>181</v>
      </c>
      <c r="D2586">
        <v>4650</v>
      </c>
      <c r="E2586" t="s">
        <v>457</v>
      </c>
      <c r="F2586" s="4">
        <v>44210</v>
      </c>
      <c r="G2586" s="4">
        <v>0</v>
      </c>
      <c r="H2586" s="4">
        <v>0</v>
      </c>
      <c r="I2586" s="4">
        <v>0</v>
      </c>
      <c r="J2586" s="4">
        <v>44210</v>
      </c>
    </row>
    <row r="2587" spans="1:10" x14ac:dyDescent="0.75">
      <c r="A2587" t="s">
        <v>163</v>
      </c>
      <c r="B2587">
        <v>2333</v>
      </c>
      <c r="C2587" t="s">
        <v>181</v>
      </c>
      <c r="D2587">
        <v>3110</v>
      </c>
      <c r="E2587" t="s">
        <v>405</v>
      </c>
      <c r="F2587" s="4">
        <v>38560</v>
      </c>
      <c r="G2587" s="4">
        <v>0</v>
      </c>
      <c r="H2587" s="4">
        <v>0</v>
      </c>
      <c r="I2587" s="4">
        <v>0</v>
      </c>
      <c r="J2587" s="4">
        <v>38560</v>
      </c>
    </row>
    <row r="2588" spans="1:10" x14ac:dyDescent="0.75">
      <c r="A2588" t="s">
        <v>163</v>
      </c>
      <c r="B2588">
        <v>2333</v>
      </c>
      <c r="C2588" t="s">
        <v>181</v>
      </c>
      <c r="D2588">
        <v>2350</v>
      </c>
      <c r="E2588" t="s">
        <v>404</v>
      </c>
      <c r="F2588" s="4">
        <v>37658</v>
      </c>
      <c r="G2588" s="4">
        <v>0</v>
      </c>
      <c r="H2588" s="4">
        <v>0</v>
      </c>
      <c r="I2588" s="4">
        <v>0</v>
      </c>
      <c r="J2588" s="4">
        <v>37658</v>
      </c>
    </row>
    <row r="2589" spans="1:10" x14ac:dyDescent="0.75">
      <c r="A2589" t="s">
        <v>163</v>
      </c>
      <c r="B2589">
        <v>2333</v>
      </c>
      <c r="C2589" t="s">
        <v>181</v>
      </c>
      <c r="D2589">
        <v>4900</v>
      </c>
      <c r="E2589" t="s">
        <v>383</v>
      </c>
      <c r="F2589" s="4">
        <v>37454</v>
      </c>
      <c r="G2589" s="4">
        <v>0</v>
      </c>
      <c r="H2589" s="4">
        <v>0</v>
      </c>
      <c r="I2589" s="4">
        <v>0</v>
      </c>
      <c r="J2589" s="4">
        <v>37454</v>
      </c>
    </row>
    <row r="2590" spans="1:10" x14ac:dyDescent="0.75">
      <c r="A2590" t="s">
        <v>163</v>
      </c>
      <c r="B2590">
        <v>2333</v>
      </c>
      <c r="C2590" t="s">
        <v>181</v>
      </c>
      <c r="D2590">
        <v>3276</v>
      </c>
      <c r="E2590" t="s">
        <v>379</v>
      </c>
      <c r="F2590" s="4">
        <v>34790</v>
      </c>
      <c r="G2590" s="4">
        <v>0</v>
      </c>
      <c r="H2590" s="4">
        <v>0</v>
      </c>
      <c r="I2590" s="4">
        <v>0</v>
      </c>
      <c r="J2590" s="4">
        <v>34790</v>
      </c>
    </row>
    <row r="2591" spans="1:10" x14ac:dyDescent="0.75">
      <c r="A2591" t="s">
        <v>163</v>
      </c>
      <c r="B2591">
        <v>2333</v>
      </c>
      <c r="C2591" t="s">
        <v>181</v>
      </c>
      <c r="D2591">
        <v>1200</v>
      </c>
      <c r="E2591" t="s">
        <v>402</v>
      </c>
      <c r="F2591" s="4">
        <v>32829</v>
      </c>
      <c r="G2591" s="4">
        <v>0</v>
      </c>
      <c r="H2591" s="4">
        <v>0</v>
      </c>
      <c r="I2591" s="4">
        <v>0</v>
      </c>
      <c r="J2591" s="4">
        <v>32829</v>
      </c>
    </row>
    <row r="2592" spans="1:10" x14ac:dyDescent="0.75">
      <c r="A2592" t="s">
        <v>163</v>
      </c>
      <c r="B2592">
        <v>2333</v>
      </c>
      <c r="C2592" t="s">
        <v>181</v>
      </c>
      <c r="D2592">
        <v>4860</v>
      </c>
      <c r="E2592" t="s">
        <v>400</v>
      </c>
      <c r="F2592" s="4">
        <v>29392</v>
      </c>
      <c r="G2592" s="4">
        <v>0</v>
      </c>
      <c r="H2592" s="4">
        <v>0</v>
      </c>
      <c r="I2592" s="4">
        <v>0</v>
      </c>
      <c r="J2592" s="4">
        <v>29392</v>
      </c>
    </row>
    <row r="2593" spans="1:10" x14ac:dyDescent="0.75">
      <c r="A2593" t="s">
        <v>163</v>
      </c>
      <c r="B2593">
        <v>2333</v>
      </c>
      <c r="C2593" t="s">
        <v>181</v>
      </c>
      <c r="D2593">
        <v>5315</v>
      </c>
      <c r="E2593" t="s">
        <v>417</v>
      </c>
      <c r="F2593" s="4">
        <v>26986</v>
      </c>
      <c r="G2593" s="4">
        <v>0</v>
      </c>
      <c r="H2593" s="4">
        <v>0</v>
      </c>
      <c r="I2593" s="4">
        <v>0</v>
      </c>
      <c r="J2593" s="4">
        <v>26986</v>
      </c>
    </row>
    <row r="2594" spans="1:10" x14ac:dyDescent="0.75">
      <c r="A2594" t="s">
        <v>163</v>
      </c>
      <c r="B2594">
        <v>2333</v>
      </c>
      <c r="C2594" t="s">
        <v>181</v>
      </c>
      <c r="D2594">
        <v>4782</v>
      </c>
      <c r="E2594" t="s">
        <v>414</v>
      </c>
      <c r="F2594" s="4">
        <v>23680</v>
      </c>
      <c r="G2594" s="4">
        <v>0</v>
      </c>
      <c r="H2594" s="4">
        <v>0</v>
      </c>
      <c r="I2594" s="4">
        <v>0</v>
      </c>
      <c r="J2594" s="4">
        <v>23680</v>
      </c>
    </row>
    <row r="2595" spans="1:10" x14ac:dyDescent="0.75">
      <c r="A2595" t="s">
        <v>163</v>
      </c>
      <c r="B2595">
        <v>2333</v>
      </c>
      <c r="C2595" t="s">
        <v>181</v>
      </c>
      <c r="D2595">
        <v>2100</v>
      </c>
      <c r="E2595" t="s">
        <v>403</v>
      </c>
      <c r="F2595" s="4">
        <v>22021</v>
      </c>
      <c r="G2595" s="4">
        <v>0</v>
      </c>
      <c r="H2595" s="4">
        <v>0</v>
      </c>
      <c r="I2595" s="4">
        <v>0</v>
      </c>
      <c r="J2595" s="4">
        <v>22021</v>
      </c>
    </row>
    <row r="2596" spans="1:10" x14ac:dyDescent="0.75">
      <c r="A2596" t="s">
        <v>163</v>
      </c>
      <c r="B2596">
        <v>2333</v>
      </c>
      <c r="C2596" t="s">
        <v>181</v>
      </c>
      <c r="D2596">
        <v>3274</v>
      </c>
      <c r="E2596" t="s">
        <v>438</v>
      </c>
      <c r="F2596" s="4">
        <v>18332</v>
      </c>
      <c r="G2596" s="4">
        <v>0</v>
      </c>
      <c r="H2596" s="4">
        <v>0</v>
      </c>
      <c r="I2596" s="4">
        <v>0</v>
      </c>
      <c r="J2596" s="4">
        <v>18332</v>
      </c>
    </row>
    <row r="2597" spans="1:10" x14ac:dyDescent="0.75">
      <c r="A2597" t="s">
        <v>163</v>
      </c>
      <c r="B2597">
        <v>2333</v>
      </c>
      <c r="C2597" t="s">
        <v>181</v>
      </c>
      <c r="D2597">
        <v>3190</v>
      </c>
      <c r="E2597" t="s">
        <v>408</v>
      </c>
      <c r="F2597" s="4">
        <v>17529</v>
      </c>
      <c r="G2597" s="4">
        <v>0</v>
      </c>
      <c r="H2597" s="4">
        <v>0</v>
      </c>
      <c r="I2597" s="4">
        <v>0</v>
      </c>
      <c r="J2597" s="4">
        <v>17529</v>
      </c>
    </row>
    <row r="2598" spans="1:10" x14ac:dyDescent="0.75">
      <c r="A2598" t="s">
        <v>163</v>
      </c>
      <c r="B2598">
        <v>2333</v>
      </c>
      <c r="C2598" t="s">
        <v>181</v>
      </c>
      <c r="D2598">
        <v>5330</v>
      </c>
      <c r="E2598" t="s">
        <v>385</v>
      </c>
      <c r="F2598" s="4">
        <v>16287</v>
      </c>
      <c r="G2598" s="4">
        <v>0</v>
      </c>
      <c r="H2598" s="4">
        <v>0</v>
      </c>
      <c r="I2598" s="4">
        <v>0</v>
      </c>
      <c r="J2598" s="4">
        <v>16287</v>
      </c>
    </row>
    <row r="2599" spans="1:10" x14ac:dyDescent="0.75">
      <c r="A2599" t="s">
        <v>163</v>
      </c>
      <c r="B2599">
        <v>2333</v>
      </c>
      <c r="C2599" t="s">
        <v>181</v>
      </c>
      <c r="D2599">
        <v>3275</v>
      </c>
      <c r="E2599" t="s">
        <v>412</v>
      </c>
      <c r="F2599" s="4">
        <v>15029</v>
      </c>
      <c r="G2599" s="4">
        <v>0</v>
      </c>
      <c r="H2599" s="4">
        <v>0</v>
      </c>
      <c r="I2599" s="4">
        <v>0</v>
      </c>
      <c r="J2599" s="4">
        <v>15029</v>
      </c>
    </row>
    <row r="2600" spans="1:10" x14ac:dyDescent="0.75">
      <c r="A2600" t="s">
        <v>163</v>
      </c>
      <c r="B2600">
        <v>2333</v>
      </c>
      <c r="C2600" t="s">
        <v>181</v>
      </c>
      <c r="D2600">
        <v>3130</v>
      </c>
      <c r="E2600" t="s">
        <v>407</v>
      </c>
      <c r="F2600" s="4">
        <v>14112</v>
      </c>
      <c r="G2600" s="4">
        <v>0</v>
      </c>
      <c r="H2600" s="4">
        <v>0</v>
      </c>
      <c r="I2600" s="4">
        <v>0</v>
      </c>
      <c r="J2600" s="4">
        <v>14112</v>
      </c>
    </row>
    <row r="2601" spans="1:10" x14ac:dyDescent="0.75">
      <c r="A2601" t="s">
        <v>163</v>
      </c>
      <c r="B2601">
        <v>2333</v>
      </c>
      <c r="C2601" t="s">
        <v>181</v>
      </c>
      <c r="D2601">
        <v>2340</v>
      </c>
      <c r="E2601" t="s">
        <v>369</v>
      </c>
      <c r="F2601" s="4">
        <v>12566</v>
      </c>
      <c r="G2601" s="4">
        <v>0</v>
      </c>
      <c r="H2601" s="4">
        <v>0</v>
      </c>
      <c r="I2601" s="4">
        <v>0</v>
      </c>
      <c r="J2601" s="4">
        <v>12566</v>
      </c>
    </row>
    <row r="2602" spans="1:10" x14ac:dyDescent="0.75">
      <c r="A2602" t="s">
        <v>163</v>
      </c>
      <c r="B2602">
        <v>2333</v>
      </c>
      <c r="C2602" t="s">
        <v>181</v>
      </c>
      <c r="D2602">
        <v>4161</v>
      </c>
      <c r="E2602" t="s">
        <v>421</v>
      </c>
      <c r="F2602" s="4">
        <v>10684</v>
      </c>
      <c r="G2602" s="4">
        <v>0</v>
      </c>
      <c r="H2602" s="4">
        <v>0</v>
      </c>
      <c r="I2602" s="4">
        <v>0</v>
      </c>
      <c r="J2602" s="4">
        <v>10684</v>
      </c>
    </row>
    <row r="2603" spans="1:10" x14ac:dyDescent="0.75">
      <c r="A2603" t="s">
        <v>163</v>
      </c>
      <c r="B2603">
        <v>2333</v>
      </c>
      <c r="C2603" t="s">
        <v>181</v>
      </c>
      <c r="D2603">
        <v>4410</v>
      </c>
      <c r="E2603" t="s">
        <v>399</v>
      </c>
      <c r="F2603" s="4">
        <v>5912</v>
      </c>
      <c r="G2603" s="4">
        <v>0</v>
      </c>
      <c r="H2603" s="4">
        <v>0</v>
      </c>
      <c r="I2603" s="4">
        <v>0</v>
      </c>
      <c r="J2603" s="4">
        <v>5912</v>
      </c>
    </row>
    <row r="2604" spans="1:10" x14ac:dyDescent="0.75">
      <c r="A2604" t="s">
        <v>163</v>
      </c>
      <c r="B2604">
        <v>2333</v>
      </c>
      <c r="C2604" t="s">
        <v>181</v>
      </c>
      <c r="D2604">
        <v>5312</v>
      </c>
      <c r="E2604" t="s">
        <v>416</v>
      </c>
      <c r="F2604" s="4">
        <v>2787</v>
      </c>
      <c r="G2604" s="4">
        <v>0</v>
      </c>
      <c r="H2604" s="4">
        <v>0</v>
      </c>
      <c r="I2604" s="4">
        <v>0</v>
      </c>
      <c r="J2604" s="4">
        <v>2787</v>
      </c>
    </row>
    <row r="2605" spans="1:10" x14ac:dyDescent="0.75">
      <c r="A2605" t="s">
        <v>163</v>
      </c>
      <c r="B2605">
        <v>2333</v>
      </c>
      <c r="C2605" t="s">
        <v>181</v>
      </c>
      <c r="D2605">
        <v>5390</v>
      </c>
      <c r="E2605" t="s">
        <v>418</v>
      </c>
      <c r="F2605" s="4">
        <v>2768</v>
      </c>
      <c r="G2605" s="4">
        <v>0</v>
      </c>
      <c r="H2605" s="4">
        <v>0</v>
      </c>
      <c r="I2605" s="4">
        <v>0</v>
      </c>
      <c r="J2605" s="4">
        <v>2768</v>
      </c>
    </row>
    <row r="2606" spans="1:10" x14ac:dyDescent="0.75">
      <c r="A2606" t="s">
        <v>163</v>
      </c>
      <c r="B2606">
        <v>2333</v>
      </c>
      <c r="C2606" t="s">
        <v>181</v>
      </c>
      <c r="D2606">
        <v>2540</v>
      </c>
      <c r="E2606" t="s">
        <v>377</v>
      </c>
      <c r="F2606" s="4">
        <v>1937</v>
      </c>
      <c r="G2606" s="4">
        <v>0</v>
      </c>
      <c r="H2606" s="4">
        <v>0</v>
      </c>
      <c r="I2606" s="4">
        <v>0</v>
      </c>
      <c r="J2606" s="4">
        <v>1937</v>
      </c>
    </row>
    <row r="2607" spans="1:10" x14ac:dyDescent="0.75">
      <c r="A2607" t="s">
        <v>163</v>
      </c>
      <c r="B2607">
        <v>2333</v>
      </c>
      <c r="C2607" t="s">
        <v>181</v>
      </c>
      <c r="D2607">
        <v>6522</v>
      </c>
      <c r="E2607" t="s">
        <v>393</v>
      </c>
      <c r="F2607" s="4">
        <v>1912</v>
      </c>
      <c r="G2607" s="4">
        <v>0</v>
      </c>
      <c r="H2607" s="4">
        <v>0</v>
      </c>
      <c r="I2607" s="4">
        <v>0</v>
      </c>
      <c r="J2607" s="4">
        <v>1912</v>
      </c>
    </row>
    <row r="2608" spans="1:10" x14ac:dyDescent="0.75">
      <c r="A2608" t="s">
        <v>163</v>
      </c>
      <c r="B2608">
        <v>2333</v>
      </c>
      <c r="C2608" t="s">
        <v>181</v>
      </c>
      <c r="D2608">
        <v>7900</v>
      </c>
      <c r="E2608" t="s">
        <v>388</v>
      </c>
      <c r="F2608" s="4">
        <v>1636</v>
      </c>
      <c r="G2608" s="4">
        <v>0</v>
      </c>
      <c r="H2608" s="4">
        <v>0</v>
      </c>
      <c r="I2608" s="4">
        <v>0</v>
      </c>
      <c r="J2608" s="4">
        <v>1636</v>
      </c>
    </row>
    <row r="2609" spans="1:10" x14ac:dyDescent="0.75">
      <c r="A2609" t="s">
        <v>163</v>
      </c>
      <c r="B2609">
        <v>2333</v>
      </c>
      <c r="C2609" t="s">
        <v>181</v>
      </c>
      <c r="D2609">
        <v>5360</v>
      </c>
      <c r="E2609" t="s">
        <v>465</v>
      </c>
      <c r="F2609" s="4">
        <v>1575</v>
      </c>
      <c r="G2609" s="4">
        <v>0</v>
      </c>
      <c r="H2609" s="4">
        <v>0</v>
      </c>
      <c r="I2609" s="4">
        <v>0</v>
      </c>
      <c r="J2609" s="4">
        <v>1575</v>
      </c>
    </row>
    <row r="2610" spans="1:10" x14ac:dyDescent="0.75">
      <c r="A2610" t="s">
        <v>163</v>
      </c>
      <c r="B2610">
        <v>2333</v>
      </c>
      <c r="C2610" t="s">
        <v>181</v>
      </c>
      <c r="D2610">
        <v>3279</v>
      </c>
      <c r="E2610" t="s">
        <v>422</v>
      </c>
      <c r="F2610" s="4">
        <v>840</v>
      </c>
      <c r="G2610" s="4">
        <v>0</v>
      </c>
      <c r="H2610" s="4">
        <v>0</v>
      </c>
      <c r="I2610" s="4">
        <v>0</v>
      </c>
      <c r="J2610" s="4">
        <v>840</v>
      </c>
    </row>
    <row r="2611" spans="1:10" x14ac:dyDescent="0.75">
      <c r="A2611" t="s">
        <v>163</v>
      </c>
      <c r="B2611">
        <v>2303</v>
      </c>
      <c r="C2611" t="s">
        <v>275</v>
      </c>
      <c r="D2611">
        <v>5312</v>
      </c>
      <c r="E2611" t="s">
        <v>416</v>
      </c>
      <c r="F2611" s="4">
        <v>194108</v>
      </c>
      <c r="G2611" s="4">
        <v>0</v>
      </c>
      <c r="H2611" s="4">
        <v>0</v>
      </c>
      <c r="I2611" s="4">
        <v>0</v>
      </c>
      <c r="J2611" s="4">
        <v>194108</v>
      </c>
    </row>
    <row r="2612" spans="1:10" x14ac:dyDescent="0.75">
      <c r="A2612" t="s">
        <v>163</v>
      </c>
      <c r="B2612">
        <v>2303</v>
      </c>
      <c r="C2612" t="s">
        <v>275</v>
      </c>
      <c r="D2612">
        <v>4420</v>
      </c>
      <c r="E2612" t="s">
        <v>381</v>
      </c>
      <c r="F2612" s="4">
        <v>141637</v>
      </c>
      <c r="G2612" s="4">
        <v>0</v>
      </c>
      <c r="H2612" s="4">
        <v>0</v>
      </c>
      <c r="I2612" s="4">
        <v>0</v>
      </c>
      <c r="J2612" s="4">
        <v>141637</v>
      </c>
    </row>
    <row r="2613" spans="1:10" x14ac:dyDescent="0.75">
      <c r="A2613" t="s">
        <v>163</v>
      </c>
      <c r="B2613">
        <v>2303</v>
      </c>
      <c r="C2613" t="s">
        <v>275</v>
      </c>
      <c r="D2613">
        <v>4161</v>
      </c>
      <c r="E2613" t="s">
        <v>421</v>
      </c>
      <c r="F2613" s="4">
        <v>65413</v>
      </c>
      <c r="G2613" s="4">
        <v>0</v>
      </c>
      <c r="H2613" s="4">
        <v>0</v>
      </c>
      <c r="I2613" s="4">
        <v>0</v>
      </c>
      <c r="J2613" s="4">
        <v>65413</v>
      </c>
    </row>
    <row r="2614" spans="1:10" x14ac:dyDescent="0.75">
      <c r="A2614" t="s">
        <v>163</v>
      </c>
      <c r="B2614">
        <v>2303</v>
      </c>
      <c r="C2614" t="s">
        <v>275</v>
      </c>
      <c r="D2614">
        <v>1100</v>
      </c>
      <c r="E2614" t="s">
        <v>397</v>
      </c>
      <c r="F2614" s="4">
        <v>34558</v>
      </c>
      <c r="G2614" s="4">
        <v>0</v>
      </c>
      <c r="H2614" s="4">
        <v>0</v>
      </c>
      <c r="I2614" s="4">
        <v>0</v>
      </c>
      <c r="J2614" s="4">
        <v>34558</v>
      </c>
    </row>
    <row r="2615" spans="1:10" x14ac:dyDescent="0.75">
      <c r="A2615" t="s">
        <v>163</v>
      </c>
      <c r="B2615">
        <v>2303</v>
      </c>
      <c r="C2615" t="s">
        <v>275</v>
      </c>
      <c r="D2615">
        <v>3274</v>
      </c>
      <c r="E2615" t="s">
        <v>438</v>
      </c>
      <c r="F2615" s="4">
        <v>31085</v>
      </c>
      <c r="G2615" s="4">
        <v>0</v>
      </c>
      <c r="H2615" s="4">
        <v>0</v>
      </c>
      <c r="I2615" s="4">
        <v>0</v>
      </c>
      <c r="J2615" s="4">
        <v>31085</v>
      </c>
    </row>
    <row r="2616" spans="1:10" x14ac:dyDescent="0.75">
      <c r="A2616" t="s">
        <v>163</v>
      </c>
      <c r="B2616">
        <v>2303</v>
      </c>
      <c r="C2616" t="s">
        <v>275</v>
      </c>
      <c r="D2616">
        <v>4331</v>
      </c>
      <c r="E2616" t="s">
        <v>390</v>
      </c>
      <c r="F2616" s="4">
        <v>25400</v>
      </c>
      <c r="G2616" s="4">
        <v>0</v>
      </c>
      <c r="H2616" s="4">
        <v>0</v>
      </c>
      <c r="I2616" s="4">
        <v>0</v>
      </c>
      <c r="J2616" s="4">
        <v>25400</v>
      </c>
    </row>
    <row r="2617" spans="1:10" x14ac:dyDescent="0.75">
      <c r="A2617" t="s">
        <v>163</v>
      </c>
      <c r="B2617">
        <v>2303</v>
      </c>
      <c r="C2617" t="s">
        <v>275</v>
      </c>
      <c r="D2617">
        <v>4410</v>
      </c>
      <c r="E2617" t="s">
        <v>399</v>
      </c>
      <c r="F2617" s="4">
        <v>22290</v>
      </c>
      <c r="G2617" s="4">
        <v>0</v>
      </c>
      <c r="H2617" s="4">
        <v>0</v>
      </c>
      <c r="I2617" s="4">
        <v>0</v>
      </c>
      <c r="J2617" s="4">
        <v>22290</v>
      </c>
    </row>
    <row r="2618" spans="1:10" x14ac:dyDescent="0.75">
      <c r="A2618" t="s">
        <v>163</v>
      </c>
      <c r="B2618">
        <v>2303</v>
      </c>
      <c r="C2618" t="s">
        <v>275</v>
      </c>
      <c r="D2618">
        <v>5330</v>
      </c>
      <c r="E2618" t="s">
        <v>385</v>
      </c>
      <c r="F2618" s="4">
        <v>16813</v>
      </c>
      <c r="G2618" s="4">
        <v>0</v>
      </c>
      <c r="H2618" s="4">
        <v>0</v>
      </c>
      <c r="I2618" s="4">
        <v>0</v>
      </c>
      <c r="J2618" s="4">
        <v>16813</v>
      </c>
    </row>
    <row r="2619" spans="1:10" x14ac:dyDescent="0.75">
      <c r="A2619" t="s">
        <v>163</v>
      </c>
      <c r="B2619">
        <v>2303</v>
      </c>
      <c r="C2619" t="s">
        <v>275</v>
      </c>
      <c r="D2619">
        <v>5320</v>
      </c>
      <c r="E2619" t="s">
        <v>384</v>
      </c>
      <c r="F2619" s="4">
        <v>14500</v>
      </c>
      <c r="G2619" s="4">
        <v>0</v>
      </c>
      <c r="H2619" s="4">
        <v>0</v>
      </c>
      <c r="I2619" s="4">
        <v>0</v>
      </c>
      <c r="J2619" s="4">
        <v>14500</v>
      </c>
    </row>
    <row r="2620" spans="1:10" x14ac:dyDescent="0.75">
      <c r="A2620" t="s">
        <v>163</v>
      </c>
      <c r="B2620">
        <v>2303</v>
      </c>
      <c r="C2620" t="s">
        <v>275</v>
      </c>
      <c r="D2620">
        <v>4335</v>
      </c>
      <c r="E2620" t="s">
        <v>372</v>
      </c>
      <c r="F2620" s="4">
        <v>6050</v>
      </c>
      <c r="G2620" s="4">
        <v>0</v>
      </c>
      <c r="H2620" s="4">
        <v>0</v>
      </c>
      <c r="I2620" s="4">
        <v>0</v>
      </c>
      <c r="J2620" s="4">
        <v>6050</v>
      </c>
    </row>
    <row r="2621" spans="1:10" x14ac:dyDescent="0.75">
      <c r="A2621" t="s">
        <v>163</v>
      </c>
      <c r="B2621">
        <v>2303</v>
      </c>
      <c r="C2621" t="s">
        <v>275</v>
      </c>
      <c r="D2621">
        <v>4783</v>
      </c>
      <c r="E2621" t="s">
        <v>382</v>
      </c>
      <c r="F2621" s="4">
        <v>4600</v>
      </c>
      <c r="G2621" s="4">
        <v>0</v>
      </c>
      <c r="H2621" s="4">
        <v>0</v>
      </c>
      <c r="I2621" s="4">
        <v>0</v>
      </c>
      <c r="J2621" s="4">
        <v>4600</v>
      </c>
    </row>
    <row r="2622" spans="1:10" x14ac:dyDescent="0.75">
      <c r="A2622" t="s">
        <v>163</v>
      </c>
      <c r="B2622">
        <v>2303</v>
      </c>
      <c r="C2622" t="s">
        <v>275</v>
      </c>
      <c r="D2622">
        <v>4170</v>
      </c>
      <c r="E2622" t="s">
        <v>424</v>
      </c>
      <c r="F2622" s="4">
        <v>4300</v>
      </c>
      <c r="G2622" s="4">
        <v>0</v>
      </c>
      <c r="H2622" s="4">
        <v>0</v>
      </c>
      <c r="I2622" s="4">
        <v>0</v>
      </c>
      <c r="J2622" s="4">
        <v>4300</v>
      </c>
    </row>
    <row r="2623" spans="1:10" x14ac:dyDescent="0.75">
      <c r="A2623" t="s">
        <v>163</v>
      </c>
      <c r="B2623">
        <v>2303</v>
      </c>
      <c r="C2623" t="s">
        <v>275</v>
      </c>
      <c r="D2623">
        <v>4860</v>
      </c>
      <c r="E2623" t="s">
        <v>400</v>
      </c>
      <c r="F2623" s="4">
        <v>2836</v>
      </c>
      <c r="G2623" s="4">
        <v>0</v>
      </c>
      <c r="H2623" s="4">
        <v>0</v>
      </c>
      <c r="I2623" s="4">
        <v>0</v>
      </c>
      <c r="J2623" s="4">
        <v>2836</v>
      </c>
    </row>
    <row r="2624" spans="1:10" x14ac:dyDescent="0.75">
      <c r="A2624" t="s">
        <v>163</v>
      </c>
      <c r="B2624">
        <v>2303</v>
      </c>
      <c r="C2624" t="s">
        <v>275</v>
      </c>
      <c r="D2624">
        <v>3273</v>
      </c>
      <c r="E2624" t="s">
        <v>411</v>
      </c>
      <c r="F2624" s="4">
        <v>1700</v>
      </c>
      <c r="G2624" s="4">
        <v>0</v>
      </c>
      <c r="H2624" s="4">
        <v>0</v>
      </c>
      <c r="I2624" s="4">
        <v>0</v>
      </c>
      <c r="J2624" s="4">
        <v>1700</v>
      </c>
    </row>
    <row r="2625" spans="1:10" x14ac:dyDescent="0.75">
      <c r="A2625" t="s">
        <v>163</v>
      </c>
      <c r="B2625">
        <v>2303</v>
      </c>
      <c r="C2625" t="s">
        <v>275</v>
      </c>
      <c r="D2625">
        <v>1200</v>
      </c>
      <c r="E2625" t="s">
        <v>402</v>
      </c>
      <c r="F2625" s="4">
        <v>1587</v>
      </c>
      <c r="G2625" s="4">
        <v>0</v>
      </c>
      <c r="H2625" s="4">
        <v>0</v>
      </c>
      <c r="I2625" s="4">
        <v>0</v>
      </c>
      <c r="J2625" s="4">
        <v>1587</v>
      </c>
    </row>
    <row r="2626" spans="1:10" x14ac:dyDescent="0.75">
      <c r="A2626" t="s">
        <v>163</v>
      </c>
      <c r="B2626">
        <v>2303</v>
      </c>
      <c r="C2626" t="s">
        <v>275</v>
      </c>
      <c r="D2626">
        <v>5315</v>
      </c>
      <c r="E2626" t="s">
        <v>417</v>
      </c>
      <c r="F2626" s="4">
        <v>1500</v>
      </c>
      <c r="G2626" s="4">
        <v>0</v>
      </c>
      <c r="H2626" s="4">
        <v>0</v>
      </c>
      <c r="I2626" s="4">
        <v>0</v>
      </c>
      <c r="J2626" s="4">
        <v>1500</v>
      </c>
    </row>
    <row r="2627" spans="1:10" x14ac:dyDescent="0.75">
      <c r="A2627" t="s">
        <v>163</v>
      </c>
      <c r="B2627">
        <v>2303</v>
      </c>
      <c r="C2627" t="s">
        <v>275</v>
      </c>
      <c r="D2627">
        <v>3275</v>
      </c>
      <c r="E2627" t="s">
        <v>412</v>
      </c>
      <c r="F2627" s="4">
        <v>1489</v>
      </c>
      <c r="G2627" s="4">
        <v>0</v>
      </c>
      <c r="H2627" s="4">
        <v>0</v>
      </c>
      <c r="I2627" s="4">
        <v>0</v>
      </c>
      <c r="J2627" s="4">
        <v>1489</v>
      </c>
    </row>
    <row r="2628" spans="1:10" x14ac:dyDescent="0.75">
      <c r="A2628" t="s">
        <v>160</v>
      </c>
      <c r="B2628">
        <v>3783</v>
      </c>
      <c r="C2628" t="s">
        <v>288</v>
      </c>
      <c r="D2628">
        <v>3276</v>
      </c>
      <c r="E2628" t="s">
        <v>379</v>
      </c>
      <c r="F2628" s="4">
        <v>219284</v>
      </c>
      <c r="G2628" s="4">
        <v>0</v>
      </c>
      <c r="H2628" s="4">
        <v>0</v>
      </c>
      <c r="I2628" s="4">
        <v>0</v>
      </c>
      <c r="J2628" s="4">
        <v>219284</v>
      </c>
    </row>
    <row r="2629" spans="1:10" x14ac:dyDescent="0.75">
      <c r="A2629" t="s">
        <v>160</v>
      </c>
      <c r="B2629">
        <v>3783</v>
      </c>
      <c r="C2629" t="s">
        <v>288</v>
      </c>
      <c r="D2629">
        <v>4322</v>
      </c>
      <c r="E2629" t="s">
        <v>398</v>
      </c>
      <c r="F2629" s="4">
        <v>93363</v>
      </c>
      <c r="G2629" s="4">
        <v>0</v>
      </c>
      <c r="H2629" s="4">
        <v>0</v>
      </c>
      <c r="I2629" s="4">
        <v>0</v>
      </c>
      <c r="J2629" s="4">
        <v>93363</v>
      </c>
    </row>
    <row r="2630" spans="1:10" x14ac:dyDescent="0.75">
      <c r="A2630" t="s">
        <v>160</v>
      </c>
      <c r="B2630">
        <v>3783</v>
      </c>
      <c r="C2630" t="s">
        <v>288</v>
      </c>
      <c r="D2630">
        <v>4860</v>
      </c>
      <c r="E2630" t="s">
        <v>400</v>
      </c>
      <c r="F2630" s="4">
        <v>42445</v>
      </c>
      <c r="G2630" s="4">
        <v>0</v>
      </c>
      <c r="H2630" s="4">
        <v>0</v>
      </c>
      <c r="I2630" s="4">
        <v>0</v>
      </c>
      <c r="J2630" s="4">
        <v>42445</v>
      </c>
    </row>
    <row r="2631" spans="1:10" x14ac:dyDescent="0.75">
      <c r="A2631" t="s">
        <v>160</v>
      </c>
      <c r="B2631">
        <v>3783</v>
      </c>
      <c r="C2631" t="s">
        <v>288</v>
      </c>
      <c r="D2631">
        <v>4335</v>
      </c>
      <c r="E2631" t="s">
        <v>372</v>
      </c>
      <c r="F2631" s="4">
        <v>4903</v>
      </c>
      <c r="G2631" s="4">
        <v>0</v>
      </c>
      <c r="H2631" s="4">
        <v>0</v>
      </c>
      <c r="I2631" s="4">
        <v>0</v>
      </c>
      <c r="J2631" s="4">
        <v>4903</v>
      </c>
    </row>
    <row r="2632" spans="1:10" x14ac:dyDescent="0.75">
      <c r="A2632" t="s">
        <v>160</v>
      </c>
      <c r="B2632">
        <v>3783</v>
      </c>
      <c r="C2632" t="s">
        <v>288</v>
      </c>
      <c r="D2632">
        <v>4420</v>
      </c>
      <c r="E2632" t="s">
        <v>381</v>
      </c>
      <c r="F2632" s="4">
        <v>80</v>
      </c>
      <c r="G2632" s="4">
        <v>0</v>
      </c>
      <c r="H2632" s="4">
        <v>0</v>
      </c>
      <c r="I2632" s="4">
        <v>0</v>
      </c>
      <c r="J2632" s="4">
        <v>80</v>
      </c>
    </row>
    <row r="2633" spans="1:10" x14ac:dyDescent="0.75">
      <c r="A2633" t="s">
        <v>160</v>
      </c>
      <c r="B2633">
        <v>3637</v>
      </c>
      <c r="C2633" t="s">
        <v>311</v>
      </c>
      <c r="D2633">
        <v>4322</v>
      </c>
      <c r="E2633" t="s">
        <v>398</v>
      </c>
      <c r="F2633" s="4">
        <v>48521</v>
      </c>
      <c r="G2633" s="4">
        <v>0</v>
      </c>
      <c r="H2633" s="4">
        <v>0</v>
      </c>
      <c r="I2633" s="4">
        <v>0</v>
      </c>
      <c r="J2633" s="4">
        <v>48521</v>
      </c>
    </row>
    <row r="2634" spans="1:10" x14ac:dyDescent="0.75">
      <c r="A2634" t="s">
        <v>160</v>
      </c>
      <c r="B2634">
        <v>3637</v>
      </c>
      <c r="C2634" t="s">
        <v>311</v>
      </c>
      <c r="D2634">
        <v>7900</v>
      </c>
      <c r="E2634" t="s">
        <v>388</v>
      </c>
      <c r="F2634" s="4">
        <v>25261</v>
      </c>
      <c r="G2634" s="4">
        <v>0</v>
      </c>
      <c r="H2634" s="4">
        <v>0</v>
      </c>
      <c r="I2634" s="4">
        <v>0</v>
      </c>
      <c r="J2634" s="4">
        <v>25261</v>
      </c>
    </row>
    <row r="2635" spans="1:10" x14ac:dyDescent="0.75">
      <c r="A2635" t="s">
        <v>160</v>
      </c>
      <c r="B2635">
        <v>3637</v>
      </c>
      <c r="C2635" t="s">
        <v>311</v>
      </c>
      <c r="D2635">
        <v>4331</v>
      </c>
      <c r="E2635" t="s">
        <v>390</v>
      </c>
      <c r="F2635" s="4">
        <v>13540</v>
      </c>
      <c r="G2635" s="4">
        <v>0</v>
      </c>
      <c r="H2635" s="4">
        <v>0</v>
      </c>
      <c r="I2635" s="4">
        <v>0</v>
      </c>
      <c r="J2635" s="4">
        <v>13540</v>
      </c>
    </row>
    <row r="2636" spans="1:10" x14ac:dyDescent="0.75">
      <c r="A2636" t="s">
        <v>160</v>
      </c>
      <c r="B2636">
        <v>3637</v>
      </c>
      <c r="C2636" t="s">
        <v>311</v>
      </c>
      <c r="D2636">
        <v>5290</v>
      </c>
      <c r="E2636" t="s">
        <v>415</v>
      </c>
      <c r="F2636" s="4">
        <v>85</v>
      </c>
      <c r="G2636" s="4">
        <v>0</v>
      </c>
      <c r="H2636" s="4">
        <v>0</v>
      </c>
      <c r="I2636" s="4">
        <v>0</v>
      </c>
      <c r="J2636" s="4">
        <v>85</v>
      </c>
    </row>
    <row r="2637" spans="1:10" x14ac:dyDescent="0.75">
      <c r="A2637" t="s">
        <v>163</v>
      </c>
      <c r="B2637">
        <v>2265</v>
      </c>
      <c r="C2637" t="s">
        <v>264</v>
      </c>
      <c r="D2637">
        <v>6522</v>
      </c>
      <c r="E2637" t="s">
        <v>393</v>
      </c>
      <c r="F2637" s="4">
        <v>217279</v>
      </c>
      <c r="G2637" s="4">
        <v>0</v>
      </c>
      <c r="H2637" s="4">
        <v>0</v>
      </c>
      <c r="I2637" s="4">
        <v>0</v>
      </c>
      <c r="J2637" s="4">
        <v>217279</v>
      </c>
    </row>
    <row r="2638" spans="1:10" x14ac:dyDescent="0.75">
      <c r="A2638" t="s">
        <v>163</v>
      </c>
      <c r="B2638">
        <v>2265</v>
      </c>
      <c r="C2638" t="s">
        <v>264</v>
      </c>
      <c r="D2638">
        <v>6344</v>
      </c>
      <c r="E2638" t="s">
        <v>392</v>
      </c>
      <c r="F2638" s="4">
        <v>208504</v>
      </c>
      <c r="G2638" s="4">
        <v>0</v>
      </c>
      <c r="H2638" s="4">
        <v>0</v>
      </c>
      <c r="I2638" s="4">
        <v>0</v>
      </c>
      <c r="J2638" s="4">
        <v>208504</v>
      </c>
    </row>
    <row r="2639" spans="1:10" x14ac:dyDescent="0.75">
      <c r="A2639" t="s">
        <v>163</v>
      </c>
      <c r="B2639">
        <v>2265</v>
      </c>
      <c r="C2639" t="s">
        <v>264</v>
      </c>
      <c r="D2639">
        <v>4331</v>
      </c>
      <c r="E2639" t="s">
        <v>390</v>
      </c>
      <c r="F2639" s="4">
        <v>125231</v>
      </c>
      <c r="G2639" s="4">
        <v>0</v>
      </c>
      <c r="H2639" s="4">
        <v>0</v>
      </c>
      <c r="I2639" s="4">
        <v>0</v>
      </c>
      <c r="J2639" s="4">
        <v>125231</v>
      </c>
    </row>
    <row r="2640" spans="1:10" x14ac:dyDescent="0.75">
      <c r="A2640" t="s">
        <v>163</v>
      </c>
      <c r="B2640">
        <v>2265</v>
      </c>
      <c r="C2640" t="s">
        <v>264</v>
      </c>
      <c r="D2640">
        <v>4335</v>
      </c>
      <c r="E2640" t="s">
        <v>372</v>
      </c>
      <c r="F2640" s="4">
        <v>111032</v>
      </c>
      <c r="G2640" s="4">
        <v>0</v>
      </c>
      <c r="H2640" s="4">
        <v>0</v>
      </c>
      <c r="I2640" s="4">
        <v>0</v>
      </c>
      <c r="J2640" s="4">
        <v>111032</v>
      </c>
    </row>
    <row r="2641" spans="1:10" x14ac:dyDescent="0.75">
      <c r="A2641" t="s">
        <v>163</v>
      </c>
      <c r="B2641">
        <v>2265</v>
      </c>
      <c r="C2641" t="s">
        <v>264</v>
      </c>
      <c r="D2641">
        <v>4322</v>
      </c>
      <c r="E2641" t="s">
        <v>398</v>
      </c>
      <c r="F2641" s="4">
        <v>85144</v>
      </c>
      <c r="G2641" s="4">
        <v>0</v>
      </c>
      <c r="H2641" s="4">
        <v>0</v>
      </c>
      <c r="I2641" s="4">
        <v>0</v>
      </c>
      <c r="J2641" s="4">
        <v>85144</v>
      </c>
    </row>
    <row r="2642" spans="1:10" x14ac:dyDescent="0.75">
      <c r="A2642" t="s">
        <v>163</v>
      </c>
      <c r="B2642">
        <v>2265</v>
      </c>
      <c r="C2642" t="s">
        <v>264</v>
      </c>
      <c r="D2642">
        <v>3110</v>
      </c>
      <c r="E2642" t="s">
        <v>405</v>
      </c>
      <c r="F2642" s="4">
        <v>61756</v>
      </c>
      <c r="G2642" s="4">
        <v>0</v>
      </c>
      <c r="H2642" s="4">
        <v>0</v>
      </c>
      <c r="I2642" s="4">
        <v>0</v>
      </c>
      <c r="J2642" s="4">
        <v>61756</v>
      </c>
    </row>
    <row r="2643" spans="1:10" x14ac:dyDescent="0.75">
      <c r="A2643" t="s">
        <v>163</v>
      </c>
      <c r="B2643">
        <v>2265</v>
      </c>
      <c r="C2643" t="s">
        <v>264</v>
      </c>
      <c r="D2643">
        <v>6442</v>
      </c>
      <c r="E2643" t="s">
        <v>472</v>
      </c>
      <c r="F2643" s="4">
        <v>11319</v>
      </c>
      <c r="G2643" s="4">
        <v>0</v>
      </c>
      <c r="H2643" s="4">
        <v>0</v>
      </c>
      <c r="I2643" s="4">
        <v>0</v>
      </c>
      <c r="J2643" s="4">
        <v>11319</v>
      </c>
    </row>
    <row r="2644" spans="1:10" x14ac:dyDescent="0.75">
      <c r="A2644" t="s">
        <v>163</v>
      </c>
      <c r="B2644">
        <v>2265</v>
      </c>
      <c r="C2644" t="s">
        <v>264</v>
      </c>
      <c r="D2644">
        <v>6654</v>
      </c>
      <c r="E2644" t="s">
        <v>419</v>
      </c>
      <c r="F2644" s="4">
        <v>10130</v>
      </c>
      <c r="G2644" s="4">
        <v>0</v>
      </c>
      <c r="H2644" s="4">
        <v>0</v>
      </c>
      <c r="I2644" s="4">
        <v>0</v>
      </c>
      <c r="J2644" s="4">
        <v>10130</v>
      </c>
    </row>
    <row r="2645" spans="1:10" x14ac:dyDescent="0.75">
      <c r="A2645" t="s">
        <v>163</v>
      </c>
      <c r="B2645">
        <v>2265</v>
      </c>
      <c r="C2645" t="s">
        <v>264</v>
      </c>
      <c r="D2645">
        <v>5330</v>
      </c>
      <c r="E2645" t="s">
        <v>385</v>
      </c>
      <c r="F2645" s="4">
        <v>3449</v>
      </c>
      <c r="G2645" s="4">
        <v>0</v>
      </c>
      <c r="H2645" s="4">
        <v>0</v>
      </c>
      <c r="I2645" s="4">
        <v>0</v>
      </c>
      <c r="J2645" s="4">
        <v>3449</v>
      </c>
    </row>
    <row r="2646" spans="1:10" x14ac:dyDescent="0.75">
      <c r="A2646" t="s">
        <v>163</v>
      </c>
      <c r="B2646">
        <v>2265</v>
      </c>
      <c r="C2646" t="s">
        <v>264</v>
      </c>
      <c r="D2646">
        <v>5312</v>
      </c>
      <c r="E2646" t="s">
        <v>416</v>
      </c>
      <c r="F2646" s="4">
        <v>1955</v>
      </c>
      <c r="G2646" s="4">
        <v>0</v>
      </c>
      <c r="H2646" s="4">
        <v>0</v>
      </c>
      <c r="I2646" s="4">
        <v>0</v>
      </c>
      <c r="J2646" s="4">
        <v>1955</v>
      </c>
    </row>
    <row r="2647" spans="1:10" x14ac:dyDescent="0.75">
      <c r="A2647" t="s">
        <v>163</v>
      </c>
      <c r="B2647">
        <v>2265</v>
      </c>
      <c r="C2647" t="s">
        <v>264</v>
      </c>
      <c r="D2647">
        <v>3130</v>
      </c>
      <c r="E2647" t="s">
        <v>407</v>
      </c>
      <c r="F2647" s="4">
        <v>1646</v>
      </c>
      <c r="G2647" s="4">
        <v>0</v>
      </c>
      <c r="H2647" s="4">
        <v>0</v>
      </c>
      <c r="I2647" s="4">
        <v>0</v>
      </c>
      <c r="J2647" s="4">
        <v>1646</v>
      </c>
    </row>
    <row r="2648" spans="1:10" x14ac:dyDescent="0.75">
      <c r="A2648" t="s">
        <v>163</v>
      </c>
      <c r="B2648">
        <v>2265</v>
      </c>
      <c r="C2648" t="s">
        <v>264</v>
      </c>
      <c r="D2648">
        <v>2330</v>
      </c>
      <c r="E2648" t="s">
        <v>368</v>
      </c>
      <c r="F2648" s="4">
        <v>1112</v>
      </c>
      <c r="G2648" s="4">
        <v>0</v>
      </c>
      <c r="H2648" s="4">
        <v>0</v>
      </c>
      <c r="I2648" s="4">
        <v>0</v>
      </c>
      <c r="J2648" s="4">
        <v>1112</v>
      </c>
    </row>
    <row r="2649" spans="1:10" x14ac:dyDescent="0.75">
      <c r="A2649" t="s">
        <v>151</v>
      </c>
      <c r="B2649">
        <v>2437</v>
      </c>
      <c r="C2649" t="s">
        <v>197</v>
      </c>
      <c r="D2649">
        <v>4327</v>
      </c>
      <c r="E2649" t="s">
        <v>454</v>
      </c>
      <c r="F2649" s="4">
        <v>0</v>
      </c>
      <c r="G2649" s="4">
        <v>780951</v>
      </c>
      <c r="H2649" s="4">
        <v>780951</v>
      </c>
      <c r="I2649" s="4">
        <v>0</v>
      </c>
      <c r="J2649" s="4">
        <v>780951</v>
      </c>
    </row>
    <row r="2650" spans="1:10" x14ac:dyDescent="0.75">
      <c r="A2650" t="s">
        <v>151</v>
      </c>
      <c r="B2650">
        <v>2437</v>
      </c>
      <c r="C2650" t="s">
        <v>197</v>
      </c>
      <c r="D2650">
        <v>2211</v>
      </c>
      <c r="E2650" t="s">
        <v>367</v>
      </c>
      <c r="F2650" s="4">
        <v>764685</v>
      </c>
      <c r="G2650" s="4">
        <v>0</v>
      </c>
      <c r="H2650" s="4">
        <v>0</v>
      </c>
      <c r="I2650" s="4">
        <v>0</v>
      </c>
      <c r="J2650" s="4">
        <v>764685</v>
      </c>
    </row>
    <row r="2651" spans="1:10" x14ac:dyDescent="0.75">
      <c r="A2651" t="s">
        <v>151</v>
      </c>
      <c r="B2651">
        <v>2437</v>
      </c>
      <c r="C2651" t="s">
        <v>197</v>
      </c>
      <c r="D2651">
        <v>4331</v>
      </c>
      <c r="E2651" t="s">
        <v>390</v>
      </c>
      <c r="F2651" s="4">
        <v>0</v>
      </c>
      <c r="G2651" s="4">
        <v>673579</v>
      </c>
      <c r="H2651" s="4">
        <v>673579</v>
      </c>
      <c r="I2651" s="4">
        <v>0</v>
      </c>
      <c r="J2651" s="4">
        <v>673579</v>
      </c>
    </row>
    <row r="2652" spans="1:10" x14ac:dyDescent="0.75">
      <c r="A2652" t="s">
        <v>151</v>
      </c>
      <c r="B2652">
        <v>2437</v>
      </c>
      <c r="C2652" t="s">
        <v>197</v>
      </c>
      <c r="D2652">
        <v>6858</v>
      </c>
      <c r="E2652" t="s">
        <v>488</v>
      </c>
      <c r="F2652" s="4">
        <v>0</v>
      </c>
      <c r="G2652" s="4">
        <v>461264</v>
      </c>
      <c r="H2652" s="4">
        <v>461264</v>
      </c>
      <c r="I2652" s="4">
        <v>0</v>
      </c>
      <c r="J2652" s="4">
        <v>461264</v>
      </c>
    </row>
    <row r="2653" spans="1:10" x14ac:dyDescent="0.75">
      <c r="A2653" t="s">
        <v>151</v>
      </c>
      <c r="B2653">
        <v>2437</v>
      </c>
      <c r="C2653" t="s">
        <v>197</v>
      </c>
      <c r="D2653">
        <v>4322</v>
      </c>
      <c r="E2653" t="s">
        <v>398</v>
      </c>
      <c r="F2653" s="4">
        <v>0</v>
      </c>
      <c r="G2653" s="4">
        <v>360525</v>
      </c>
      <c r="H2653" s="4">
        <v>360525</v>
      </c>
      <c r="I2653" s="4">
        <v>0</v>
      </c>
      <c r="J2653" s="4">
        <v>360525</v>
      </c>
    </row>
    <row r="2654" spans="1:10" x14ac:dyDescent="0.75">
      <c r="A2654" t="s">
        <v>151</v>
      </c>
      <c r="B2654">
        <v>2437</v>
      </c>
      <c r="C2654" t="s">
        <v>197</v>
      </c>
      <c r="D2654">
        <v>2330</v>
      </c>
      <c r="E2654" t="s">
        <v>368</v>
      </c>
      <c r="F2654" s="4">
        <v>206814</v>
      </c>
      <c r="G2654" s="4">
        <v>14090</v>
      </c>
      <c r="H2654" s="4">
        <v>14090</v>
      </c>
      <c r="I2654" s="4">
        <v>0</v>
      </c>
      <c r="J2654" s="4">
        <v>220904</v>
      </c>
    </row>
    <row r="2655" spans="1:10" x14ac:dyDescent="0.75">
      <c r="A2655" t="s">
        <v>151</v>
      </c>
      <c r="B2655">
        <v>2437</v>
      </c>
      <c r="C2655" t="s">
        <v>197</v>
      </c>
      <c r="D2655">
        <v>6856</v>
      </c>
      <c r="E2655" t="s">
        <v>486</v>
      </c>
      <c r="F2655" s="4">
        <v>0</v>
      </c>
      <c r="G2655" s="4">
        <v>194757</v>
      </c>
      <c r="H2655" s="4">
        <v>192543</v>
      </c>
      <c r="I2655" s="4">
        <v>2214</v>
      </c>
      <c r="J2655" s="4">
        <v>194757</v>
      </c>
    </row>
    <row r="2656" spans="1:10" x14ac:dyDescent="0.75">
      <c r="A2656" t="s">
        <v>151</v>
      </c>
      <c r="B2656">
        <v>2437</v>
      </c>
      <c r="C2656" t="s">
        <v>197</v>
      </c>
      <c r="D2656">
        <v>4225</v>
      </c>
      <c r="E2656" t="s">
        <v>380</v>
      </c>
      <c r="F2656" s="4">
        <v>0</v>
      </c>
      <c r="G2656" s="4">
        <v>161037</v>
      </c>
      <c r="H2656" s="4">
        <v>161037</v>
      </c>
      <c r="I2656" s="4">
        <v>0</v>
      </c>
      <c r="J2656" s="4">
        <v>161037</v>
      </c>
    </row>
    <row r="2657" spans="1:10" x14ac:dyDescent="0.75">
      <c r="A2657" t="s">
        <v>151</v>
      </c>
      <c r="B2657">
        <v>2437</v>
      </c>
      <c r="C2657" t="s">
        <v>197</v>
      </c>
      <c r="D2657">
        <v>6857</v>
      </c>
      <c r="E2657" t="s">
        <v>487</v>
      </c>
      <c r="F2657" s="4">
        <v>0</v>
      </c>
      <c r="G2657" s="4">
        <v>155242</v>
      </c>
      <c r="H2657" s="4">
        <v>154181</v>
      </c>
      <c r="I2657" s="4">
        <v>1061</v>
      </c>
      <c r="J2657" s="4">
        <v>155242</v>
      </c>
    </row>
    <row r="2658" spans="1:10" x14ac:dyDescent="0.75">
      <c r="A2658" t="s">
        <v>151</v>
      </c>
      <c r="B2658">
        <v>2437</v>
      </c>
      <c r="C2658" t="s">
        <v>197</v>
      </c>
      <c r="D2658">
        <v>4189</v>
      </c>
      <c r="E2658" t="s">
        <v>451</v>
      </c>
      <c r="F2658" s="4">
        <v>0</v>
      </c>
      <c r="G2658" s="4">
        <v>117522</v>
      </c>
      <c r="H2658" s="4">
        <v>117522</v>
      </c>
      <c r="I2658" s="4">
        <v>0</v>
      </c>
      <c r="J2658" s="4">
        <v>117522</v>
      </c>
    </row>
    <row r="2659" spans="1:10" x14ac:dyDescent="0.75">
      <c r="A2659" t="s">
        <v>151</v>
      </c>
      <c r="B2659">
        <v>2437</v>
      </c>
      <c r="C2659" t="s">
        <v>197</v>
      </c>
      <c r="D2659">
        <v>4420</v>
      </c>
      <c r="E2659" t="s">
        <v>381</v>
      </c>
      <c r="F2659" s="4">
        <v>0</v>
      </c>
      <c r="G2659" s="4">
        <v>106621</v>
      </c>
      <c r="H2659" s="4">
        <v>0</v>
      </c>
      <c r="I2659" s="4">
        <v>106621</v>
      </c>
      <c r="J2659" s="4">
        <v>106621</v>
      </c>
    </row>
    <row r="2660" spans="1:10" x14ac:dyDescent="0.75">
      <c r="A2660" t="s">
        <v>151</v>
      </c>
      <c r="B2660">
        <v>2437</v>
      </c>
      <c r="C2660" t="s">
        <v>197</v>
      </c>
      <c r="D2660">
        <v>3220</v>
      </c>
      <c r="E2660" t="s">
        <v>370</v>
      </c>
      <c r="F2660" s="4">
        <v>85467</v>
      </c>
      <c r="G2660" s="4">
        <v>1084</v>
      </c>
      <c r="H2660" s="4">
        <v>1084</v>
      </c>
      <c r="I2660" s="4">
        <v>0</v>
      </c>
      <c r="J2660" s="4">
        <v>86551</v>
      </c>
    </row>
    <row r="2661" spans="1:10" x14ac:dyDescent="0.75">
      <c r="A2661" t="s">
        <v>151</v>
      </c>
      <c r="B2661">
        <v>2437</v>
      </c>
      <c r="C2661" t="s">
        <v>197</v>
      </c>
      <c r="D2661">
        <v>2430</v>
      </c>
      <c r="E2661" t="s">
        <v>376</v>
      </c>
      <c r="F2661" s="4">
        <v>86406</v>
      </c>
      <c r="G2661" s="4">
        <v>0</v>
      </c>
      <c r="H2661" s="4">
        <v>0</v>
      </c>
      <c r="I2661" s="4">
        <v>0</v>
      </c>
      <c r="J2661" s="4">
        <v>86406</v>
      </c>
    </row>
    <row r="2662" spans="1:10" x14ac:dyDescent="0.75">
      <c r="A2662" t="s">
        <v>151</v>
      </c>
      <c r="B2662">
        <v>2437</v>
      </c>
      <c r="C2662" t="s">
        <v>197</v>
      </c>
      <c r="D2662">
        <v>4783</v>
      </c>
      <c r="E2662" t="s">
        <v>382</v>
      </c>
      <c r="F2662" s="4">
        <v>0</v>
      </c>
      <c r="G2662" s="4">
        <v>80809</v>
      </c>
      <c r="H2662" s="4">
        <v>80785</v>
      </c>
      <c r="I2662" s="4">
        <v>24</v>
      </c>
      <c r="J2662" s="4">
        <v>80809</v>
      </c>
    </row>
    <row r="2663" spans="1:10" x14ac:dyDescent="0.75">
      <c r="A2663" t="s">
        <v>151</v>
      </c>
      <c r="B2663">
        <v>2437</v>
      </c>
      <c r="C2663" t="s">
        <v>197</v>
      </c>
      <c r="D2663">
        <v>3276</v>
      </c>
      <c r="E2663" t="s">
        <v>379</v>
      </c>
      <c r="F2663" s="4">
        <v>0</v>
      </c>
      <c r="G2663" s="4">
        <v>79927</v>
      </c>
      <c r="H2663" s="4">
        <v>79927</v>
      </c>
      <c r="I2663" s="4">
        <v>0</v>
      </c>
      <c r="J2663" s="4">
        <v>79927</v>
      </c>
    </row>
    <row r="2664" spans="1:10" x14ac:dyDescent="0.75">
      <c r="A2664" t="s">
        <v>151</v>
      </c>
      <c r="B2664">
        <v>2437</v>
      </c>
      <c r="C2664" t="s">
        <v>197</v>
      </c>
      <c r="D2664">
        <v>5220</v>
      </c>
      <c r="E2664" t="s">
        <v>401</v>
      </c>
      <c r="F2664" s="4">
        <v>0</v>
      </c>
      <c r="G2664" s="4">
        <v>73856</v>
      </c>
      <c r="H2664" s="4">
        <v>73856</v>
      </c>
      <c r="I2664" s="4">
        <v>0</v>
      </c>
      <c r="J2664" s="4">
        <v>73856</v>
      </c>
    </row>
    <row r="2665" spans="1:10" x14ac:dyDescent="0.75">
      <c r="A2665" t="s">
        <v>151</v>
      </c>
      <c r="B2665">
        <v>2437</v>
      </c>
      <c r="C2665" t="s">
        <v>197</v>
      </c>
      <c r="D2665">
        <v>5540</v>
      </c>
      <c r="E2665" t="s">
        <v>469</v>
      </c>
      <c r="F2665" s="4">
        <v>0</v>
      </c>
      <c r="G2665" s="4">
        <v>73657</v>
      </c>
      <c r="H2665" s="4">
        <v>73657</v>
      </c>
      <c r="I2665" s="4">
        <v>0</v>
      </c>
      <c r="J2665" s="4">
        <v>73657</v>
      </c>
    </row>
    <row r="2666" spans="1:10" x14ac:dyDescent="0.75">
      <c r="A2666" t="s">
        <v>151</v>
      </c>
      <c r="B2666">
        <v>2437</v>
      </c>
      <c r="C2666" t="s">
        <v>197</v>
      </c>
      <c r="D2666">
        <v>5422</v>
      </c>
      <c r="E2666" t="s">
        <v>468</v>
      </c>
      <c r="F2666" s="4">
        <v>0</v>
      </c>
      <c r="G2666" s="4">
        <v>69593</v>
      </c>
      <c r="H2666" s="4">
        <v>69593</v>
      </c>
      <c r="I2666" s="4">
        <v>0</v>
      </c>
      <c r="J2666" s="4">
        <v>69593</v>
      </c>
    </row>
    <row r="2667" spans="1:10" x14ac:dyDescent="0.75">
      <c r="A2667" t="s">
        <v>151</v>
      </c>
      <c r="B2667">
        <v>2437</v>
      </c>
      <c r="C2667" t="s">
        <v>197</v>
      </c>
      <c r="D2667">
        <v>4860</v>
      </c>
      <c r="E2667" t="s">
        <v>400</v>
      </c>
      <c r="F2667" s="4">
        <v>0</v>
      </c>
      <c r="G2667" s="4">
        <v>56769</v>
      </c>
      <c r="H2667" s="4">
        <v>56769</v>
      </c>
      <c r="I2667" s="4">
        <v>0</v>
      </c>
      <c r="J2667" s="4">
        <v>56769</v>
      </c>
    </row>
    <row r="2668" spans="1:10" x14ac:dyDescent="0.75">
      <c r="A2668" t="s">
        <v>151</v>
      </c>
      <c r="B2668">
        <v>2437</v>
      </c>
      <c r="C2668" t="s">
        <v>197</v>
      </c>
      <c r="D2668">
        <v>2340</v>
      </c>
      <c r="E2668" t="s">
        <v>369</v>
      </c>
      <c r="F2668" s="4">
        <v>55347</v>
      </c>
      <c r="G2668" s="4">
        <v>21</v>
      </c>
      <c r="H2668" s="4">
        <v>21</v>
      </c>
      <c r="I2668" s="4">
        <v>0</v>
      </c>
      <c r="J2668" s="4">
        <v>55368</v>
      </c>
    </row>
    <row r="2669" spans="1:10" x14ac:dyDescent="0.75">
      <c r="A2669" t="s">
        <v>151</v>
      </c>
      <c r="B2669">
        <v>2437</v>
      </c>
      <c r="C2669" t="s">
        <v>197</v>
      </c>
      <c r="D2669">
        <v>4690</v>
      </c>
      <c r="E2669" t="s">
        <v>428</v>
      </c>
      <c r="F2669" s="4">
        <v>0</v>
      </c>
      <c r="G2669" s="4">
        <v>52911</v>
      </c>
      <c r="H2669" s="4">
        <v>52911</v>
      </c>
      <c r="I2669" s="4">
        <v>0</v>
      </c>
      <c r="J2669" s="4">
        <v>52911</v>
      </c>
    </row>
    <row r="2670" spans="1:10" x14ac:dyDescent="0.75">
      <c r="A2670" t="s">
        <v>151</v>
      </c>
      <c r="B2670">
        <v>2437</v>
      </c>
      <c r="C2670" t="s">
        <v>197</v>
      </c>
      <c r="D2670">
        <v>3190</v>
      </c>
      <c r="E2670" t="s">
        <v>408</v>
      </c>
      <c r="F2670" s="4">
        <v>0</v>
      </c>
      <c r="G2670" s="4">
        <v>48538</v>
      </c>
      <c r="H2670" s="4">
        <v>37</v>
      </c>
      <c r="I2670" s="4">
        <v>48501</v>
      </c>
      <c r="J2670" s="4">
        <v>48538</v>
      </c>
    </row>
    <row r="2671" spans="1:10" x14ac:dyDescent="0.75">
      <c r="A2671" t="s">
        <v>151</v>
      </c>
      <c r="B2671">
        <v>2437</v>
      </c>
      <c r="C2671" t="s">
        <v>197</v>
      </c>
      <c r="D2671">
        <v>7500</v>
      </c>
      <c r="E2671" t="s">
        <v>427</v>
      </c>
      <c r="F2671" s="4">
        <v>0</v>
      </c>
      <c r="G2671" s="4">
        <v>39554</v>
      </c>
      <c r="H2671" s="4">
        <v>1245</v>
      </c>
      <c r="I2671" s="4">
        <v>38309</v>
      </c>
      <c r="J2671" s="4">
        <v>39554</v>
      </c>
    </row>
    <row r="2672" spans="1:10" x14ac:dyDescent="0.75">
      <c r="A2672" t="s">
        <v>151</v>
      </c>
      <c r="B2672">
        <v>2437</v>
      </c>
      <c r="C2672" t="s">
        <v>197</v>
      </c>
      <c r="D2672">
        <v>5290</v>
      </c>
      <c r="E2672" t="s">
        <v>415</v>
      </c>
      <c r="F2672" s="4">
        <v>0</v>
      </c>
      <c r="G2672" s="4">
        <v>38766</v>
      </c>
      <c r="H2672" s="4">
        <v>38766</v>
      </c>
      <c r="I2672" s="4">
        <v>0</v>
      </c>
      <c r="J2672" s="4">
        <v>38766</v>
      </c>
    </row>
    <row r="2673" spans="1:10" x14ac:dyDescent="0.75">
      <c r="A2673" t="s">
        <v>151</v>
      </c>
      <c r="B2673">
        <v>2437</v>
      </c>
      <c r="C2673" t="s">
        <v>197</v>
      </c>
      <c r="D2673">
        <v>7120</v>
      </c>
      <c r="E2673" t="s">
        <v>499</v>
      </c>
      <c r="F2673" s="4">
        <v>0</v>
      </c>
      <c r="G2673" s="4">
        <v>20272</v>
      </c>
      <c r="H2673" s="4">
        <v>19822</v>
      </c>
      <c r="I2673" s="4">
        <v>450</v>
      </c>
      <c r="J2673" s="4">
        <v>20272</v>
      </c>
    </row>
    <row r="2674" spans="1:10" x14ac:dyDescent="0.75">
      <c r="A2674" t="s">
        <v>151</v>
      </c>
      <c r="B2674">
        <v>2437</v>
      </c>
      <c r="C2674" t="s">
        <v>197</v>
      </c>
      <c r="D2674">
        <v>6861</v>
      </c>
      <c r="E2674" t="s">
        <v>489</v>
      </c>
      <c r="F2674" s="4">
        <v>0</v>
      </c>
      <c r="G2674" s="4">
        <v>20251</v>
      </c>
      <c r="H2674" s="4">
        <v>20251</v>
      </c>
      <c r="I2674" s="4">
        <v>0</v>
      </c>
      <c r="J2674" s="4">
        <v>20251</v>
      </c>
    </row>
    <row r="2675" spans="1:10" x14ac:dyDescent="0.75">
      <c r="A2675" t="s">
        <v>151</v>
      </c>
      <c r="B2675">
        <v>2437</v>
      </c>
      <c r="C2675" t="s">
        <v>197</v>
      </c>
      <c r="D2675">
        <v>3130</v>
      </c>
      <c r="E2675" t="s">
        <v>407</v>
      </c>
      <c r="F2675" s="4">
        <v>0</v>
      </c>
      <c r="G2675" s="4">
        <v>18130</v>
      </c>
      <c r="H2675" s="4">
        <v>18130</v>
      </c>
      <c r="I2675" s="4">
        <v>0</v>
      </c>
      <c r="J2675" s="4">
        <v>18130</v>
      </c>
    </row>
    <row r="2676" spans="1:10" x14ac:dyDescent="0.75">
      <c r="A2676" t="s">
        <v>151</v>
      </c>
      <c r="B2676">
        <v>2437</v>
      </c>
      <c r="C2676" t="s">
        <v>197</v>
      </c>
      <c r="D2676">
        <v>7110</v>
      </c>
      <c r="E2676" t="s">
        <v>371</v>
      </c>
      <c r="F2676" s="4">
        <v>125</v>
      </c>
      <c r="G2676" s="4">
        <v>15242</v>
      </c>
      <c r="H2676" s="4">
        <v>15160</v>
      </c>
      <c r="I2676" s="4">
        <v>82</v>
      </c>
      <c r="J2676" s="4">
        <v>15367</v>
      </c>
    </row>
    <row r="2677" spans="1:10" x14ac:dyDescent="0.75">
      <c r="A2677" t="s">
        <v>151</v>
      </c>
      <c r="B2677">
        <v>2437</v>
      </c>
      <c r="C2677" t="s">
        <v>197</v>
      </c>
      <c r="D2677">
        <v>3285</v>
      </c>
      <c r="E2677" t="s">
        <v>443</v>
      </c>
      <c r="F2677" s="4">
        <v>0</v>
      </c>
      <c r="G2677" s="4">
        <v>12193</v>
      </c>
      <c r="H2677" s="4">
        <v>12193</v>
      </c>
      <c r="I2677" s="4">
        <v>0</v>
      </c>
      <c r="J2677" s="4">
        <v>12193</v>
      </c>
    </row>
    <row r="2678" spans="1:10" x14ac:dyDescent="0.75">
      <c r="A2678" t="s">
        <v>151</v>
      </c>
      <c r="B2678">
        <v>2437</v>
      </c>
      <c r="C2678" t="s">
        <v>197</v>
      </c>
      <c r="D2678">
        <v>6654</v>
      </c>
      <c r="E2678" t="s">
        <v>419</v>
      </c>
      <c r="F2678" s="4">
        <v>0</v>
      </c>
      <c r="G2678" s="4">
        <v>11879</v>
      </c>
      <c r="H2678" s="4">
        <v>11879</v>
      </c>
      <c r="I2678" s="4">
        <v>0</v>
      </c>
      <c r="J2678" s="4">
        <v>11879</v>
      </c>
    </row>
    <row r="2679" spans="1:10" x14ac:dyDescent="0.75">
      <c r="A2679" t="s">
        <v>151</v>
      </c>
      <c r="B2679">
        <v>2437</v>
      </c>
      <c r="C2679" t="s">
        <v>197</v>
      </c>
      <c r="D2679">
        <v>9900</v>
      </c>
      <c r="E2679" t="s">
        <v>389</v>
      </c>
      <c r="F2679" s="4">
        <v>0</v>
      </c>
      <c r="G2679" s="4">
        <v>10434</v>
      </c>
      <c r="H2679" s="4">
        <v>10272</v>
      </c>
      <c r="I2679" s="4">
        <v>162</v>
      </c>
      <c r="J2679" s="4">
        <v>10434</v>
      </c>
    </row>
    <row r="2680" spans="1:10" x14ac:dyDescent="0.75">
      <c r="A2680" t="s">
        <v>151</v>
      </c>
      <c r="B2680">
        <v>2437</v>
      </c>
      <c r="C2680" t="s">
        <v>197</v>
      </c>
      <c r="D2680">
        <v>7900</v>
      </c>
      <c r="E2680" t="s">
        <v>388</v>
      </c>
      <c r="F2680" s="4">
        <v>0</v>
      </c>
      <c r="G2680" s="4">
        <v>8324</v>
      </c>
      <c r="H2680" s="4">
        <v>8218</v>
      </c>
      <c r="I2680" s="4">
        <v>106</v>
      </c>
      <c r="J2680" s="4">
        <v>8324</v>
      </c>
    </row>
    <row r="2681" spans="1:10" x14ac:dyDescent="0.75">
      <c r="A2681" t="s">
        <v>151</v>
      </c>
      <c r="B2681">
        <v>2437</v>
      </c>
      <c r="C2681" t="s">
        <v>197</v>
      </c>
      <c r="D2681">
        <v>5480</v>
      </c>
      <c r="E2681" t="s">
        <v>386</v>
      </c>
      <c r="F2681" s="4">
        <v>0</v>
      </c>
      <c r="G2681" s="4">
        <v>7079</v>
      </c>
      <c r="H2681" s="4">
        <v>7062</v>
      </c>
      <c r="I2681" s="4">
        <v>17</v>
      </c>
      <c r="J2681" s="4">
        <v>7079</v>
      </c>
    </row>
    <row r="2682" spans="1:10" x14ac:dyDescent="0.75">
      <c r="A2682" t="s">
        <v>151</v>
      </c>
      <c r="B2682">
        <v>2437</v>
      </c>
      <c r="C2682" t="s">
        <v>197</v>
      </c>
      <c r="D2682">
        <v>3110</v>
      </c>
      <c r="E2682" t="s">
        <v>405</v>
      </c>
      <c r="F2682" s="4">
        <v>0</v>
      </c>
      <c r="G2682" s="4">
        <v>6614</v>
      </c>
      <c r="H2682" s="4">
        <v>6614</v>
      </c>
      <c r="I2682" s="4">
        <v>0</v>
      </c>
      <c r="J2682" s="4">
        <v>6614</v>
      </c>
    </row>
    <row r="2683" spans="1:10" x14ac:dyDescent="0.75">
      <c r="A2683" t="s">
        <v>151</v>
      </c>
      <c r="B2683">
        <v>2437</v>
      </c>
      <c r="C2683" t="s">
        <v>197</v>
      </c>
      <c r="D2683">
        <v>5120</v>
      </c>
      <c r="E2683" t="s">
        <v>461</v>
      </c>
      <c r="F2683" s="4">
        <v>0</v>
      </c>
      <c r="G2683" s="4">
        <v>5955</v>
      </c>
      <c r="H2683" s="4">
        <v>1509</v>
      </c>
      <c r="I2683" s="4">
        <v>4446</v>
      </c>
      <c r="J2683" s="4">
        <v>5955</v>
      </c>
    </row>
    <row r="2684" spans="1:10" x14ac:dyDescent="0.75">
      <c r="A2684" t="s">
        <v>151</v>
      </c>
      <c r="B2684">
        <v>2437</v>
      </c>
      <c r="C2684" t="s">
        <v>197</v>
      </c>
      <c r="D2684">
        <v>5360</v>
      </c>
      <c r="E2684" t="s">
        <v>465</v>
      </c>
      <c r="F2684" s="4">
        <v>0</v>
      </c>
      <c r="G2684" s="4">
        <v>5594</v>
      </c>
      <c r="H2684" s="4">
        <v>5594</v>
      </c>
      <c r="I2684" s="4">
        <v>0</v>
      </c>
      <c r="J2684" s="4">
        <v>5594</v>
      </c>
    </row>
    <row r="2685" spans="1:10" x14ac:dyDescent="0.75">
      <c r="A2685" t="s">
        <v>151</v>
      </c>
      <c r="B2685">
        <v>2437</v>
      </c>
      <c r="C2685" t="s">
        <v>197</v>
      </c>
      <c r="D2685">
        <v>7400</v>
      </c>
      <c r="E2685" t="s">
        <v>502</v>
      </c>
      <c r="F2685" s="4">
        <v>0</v>
      </c>
      <c r="G2685" s="4">
        <v>5111</v>
      </c>
      <c r="H2685" s="4">
        <v>5111</v>
      </c>
      <c r="I2685" s="4">
        <v>0</v>
      </c>
      <c r="J2685" s="4">
        <v>5111</v>
      </c>
    </row>
    <row r="2686" spans="1:10" x14ac:dyDescent="0.75">
      <c r="A2686" t="s">
        <v>151</v>
      </c>
      <c r="B2686">
        <v>2437</v>
      </c>
      <c r="C2686" t="s">
        <v>197</v>
      </c>
      <c r="D2686">
        <v>7600</v>
      </c>
      <c r="E2686" t="s">
        <v>503</v>
      </c>
      <c r="F2686" s="4">
        <v>0</v>
      </c>
      <c r="G2686" s="4">
        <v>4980</v>
      </c>
      <c r="H2686" s="4">
        <v>3233</v>
      </c>
      <c r="I2686" s="4">
        <v>1747</v>
      </c>
      <c r="J2686" s="4">
        <v>4980</v>
      </c>
    </row>
    <row r="2687" spans="1:10" x14ac:dyDescent="0.75">
      <c r="A2687" t="s">
        <v>151</v>
      </c>
      <c r="B2687">
        <v>2437</v>
      </c>
      <c r="C2687" t="s">
        <v>197</v>
      </c>
      <c r="D2687">
        <v>5330</v>
      </c>
      <c r="E2687" t="s">
        <v>385</v>
      </c>
      <c r="F2687" s="4">
        <v>0</v>
      </c>
      <c r="G2687" s="4">
        <v>4928</v>
      </c>
      <c r="H2687" s="4">
        <v>4926</v>
      </c>
      <c r="I2687" s="4">
        <v>2</v>
      </c>
      <c r="J2687" s="4">
        <v>4928</v>
      </c>
    </row>
    <row r="2688" spans="1:10" x14ac:dyDescent="0.75">
      <c r="A2688" t="s">
        <v>151</v>
      </c>
      <c r="B2688">
        <v>2437</v>
      </c>
      <c r="C2688" t="s">
        <v>197</v>
      </c>
      <c r="D2688">
        <v>3275</v>
      </c>
      <c r="E2688" t="s">
        <v>412</v>
      </c>
      <c r="F2688" s="4">
        <v>0</v>
      </c>
      <c r="G2688" s="4">
        <v>3877</v>
      </c>
      <c r="H2688" s="4">
        <v>3877</v>
      </c>
      <c r="I2688" s="4">
        <v>0</v>
      </c>
      <c r="J2688" s="4">
        <v>3877</v>
      </c>
    </row>
    <row r="2689" spans="1:10" x14ac:dyDescent="0.75">
      <c r="A2689" t="s">
        <v>151</v>
      </c>
      <c r="B2689">
        <v>2437</v>
      </c>
      <c r="C2689" t="s">
        <v>197</v>
      </c>
      <c r="D2689">
        <v>6885</v>
      </c>
      <c r="E2689" t="s">
        <v>493</v>
      </c>
      <c r="F2689" s="4">
        <v>0</v>
      </c>
      <c r="G2689" s="4">
        <v>3603</v>
      </c>
      <c r="H2689" s="4">
        <v>3603</v>
      </c>
      <c r="I2689" s="4">
        <v>0</v>
      </c>
      <c r="J2689" s="4">
        <v>3603</v>
      </c>
    </row>
    <row r="2690" spans="1:10" x14ac:dyDescent="0.75">
      <c r="A2690" t="s">
        <v>151</v>
      </c>
      <c r="B2690">
        <v>2437</v>
      </c>
      <c r="C2690" t="s">
        <v>197</v>
      </c>
      <c r="D2690">
        <v>5370</v>
      </c>
      <c r="E2690" t="s">
        <v>466</v>
      </c>
      <c r="F2690" s="4">
        <v>168</v>
      </c>
      <c r="G2690" s="4">
        <v>2575</v>
      </c>
      <c r="H2690" s="4">
        <v>2575</v>
      </c>
      <c r="I2690" s="4">
        <v>0</v>
      </c>
      <c r="J2690" s="4">
        <v>2743</v>
      </c>
    </row>
    <row r="2691" spans="1:10" x14ac:dyDescent="0.75">
      <c r="A2691" t="s">
        <v>151</v>
      </c>
      <c r="B2691">
        <v>2437</v>
      </c>
      <c r="C2691" t="s">
        <v>197</v>
      </c>
      <c r="D2691">
        <v>6899</v>
      </c>
      <c r="E2691" t="s">
        <v>498</v>
      </c>
      <c r="F2691" s="4">
        <v>0</v>
      </c>
      <c r="G2691" s="4">
        <v>2122</v>
      </c>
      <c r="H2691" s="4">
        <v>2122</v>
      </c>
      <c r="I2691" s="4">
        <v>0</v>
      </c>
      <c r="J2691" s="4">
        <v>2122</v>
      </c>
    </row>
    <row r="2692" spans="1:10" x14ac:dyDescent="0.75">
      <c r="A2692" t="s">
        <v>151</v>
      </c>
      <c r="B2692">
        <v>2437</v>
      </c>
      <c r="C2692" t="s">
        <v>197</v>
      </c>
      <c r="D2692">
        <v>4680</v>
      </c>
      <c r="E2692" t="s">
        <v>459</v>
      </c>
      <c r="F2692" s="4">
        <v>0</v>
      </c>
      <c r="G2692" s="4">
        <v>1232</v>
      </c>
      <c r="H2692" s="4">
        <v>1232</v>
      </c>
      <c r="I2692" s="4">
        <v>0</v>
      </c>
      <c r="J2692" s="4">
        <v>1232</v>
      </c>
    </row>
    <row r="2693" spans="1:10" x14ac:dyDescent="0.75">
      <c r="A2693" t="s">
        <v>151</v>
      </c>
      <c r="B2693">
        <v>2437</v>
      </c>
      <c r="C2693" t="s">
        <v>197</v>
      </c>
      <c r="D2693">
        <v>6822</v>
      </c>
      <c r="E2693" t="s">
        <v>482</v>
      </c>
      <c r="F2693" s="4">
        <v>0</v>
      </c>
      <c r="G2693" s="4">
        <v>848</v>
      </c>
      <c r="H2693" s="4">
        <v>848</v>
      </c>
      <c r="I2693" s="4">
        <v>0</v>
      </c>
      <c r="J2693" s="4">
        <v>848</v>
      </c>
    </row>
    <row r="2694" spans="1:10" x14ac:dyDescent="0.75">
      <c r="A2694" t="s">
        <v>151</v>
      </c>
      <c r="B2694">
        <v>2437</v>
      </c>
      <c r="C2694" t="s">
        <v>197</v>
      </c>
      <c r="D2694">
        <v>6889</v>
      </c>
      <c r="E2694" t="s">
        <v>420</v>
      </c>
      <c r="F2694" s="4">
        <v>0</v>
      </c>
      <c r="G2694" s="4">
        <v>701</v>
      </c>
      <c r="H2694" s="4">
        <v>701</v>
      </c>
      <c r="I2694" s="4">
        <v>0</v>
      </c>
      <c r="J2694" s="4">
        <v>701</v>
      </c>
    </row>
    <row r="2695" spans="1:10" x14ac:dyDescent="0.75">
      <c r="A2695" t="s">
        <v>151</v>
      </c>
      <c r="B2695">
        <v>2437</v>
      </c>
      <c r="C2695" t="s">
        <v>197</v>
      </c>
      <c r="D2695">
        <v>5210</v>
      </c>
      <c r="E2695" t="s">
        <v>463</v>
      </c>
      <c r="F2695" s="4">
        <v>0</v>
      </c>
      <c r="G2695" s="4">
        <v>700</v>
      </c>
      <c r="H2695" s="4">
        <v>700</v>
      </c>
      <c r="I2695" s="4">
        <v>0</v>
      </c>
      <c r="J2695" s="4">
        <v>700</v>
      </c>
    </row>
    <row r="2696" spans="1:10" x14ac:dyDescent="0.75">
      <c r="A2696" t="s">
        <v>151</v>
      </c>
      <c r="B2696">
        <v>2437</v>
      </c>
      <c r="C2696" t="s">
        <v>197</v>
      </c>
      <c r="D2696">
        <v>3299</v>
      </c>
      <c r="E2696" t="s">
        <v>448</v>
      </c>
      <c r="F2696" s="4">
        <v>0</v>
      </c>
      <c r="G2696" s="4">
        <v>526</v>
      </c>
      <c r="H2696" s="4">
        <v>526</v>
      </c>
      <c r="I2696" s="4">
        <v>0</v>
      </c>
      <c r="J2696" s="4">
        <v>526</v>
      </c>
    </row>
    <row r="2697" spans="1:10" x14ac:dyDescent="0.75">
      <c r="A2697" t="s">
        <v>151</v>
      </c>
      <c r="B2697">
        <v>2437</v>
      </c>
      <c r="C2697" t="s">
        <v>197</v>
      </c>
      <c r="D2697">
        <v>6344</v>
      </c>
      <c r="E2697" t="s">
        <v>392</v>
      </c>
      <c r="F2697" s="4">
        <v>0</v>
      </c>
      <c r="G2697" s="4">
        <v>490</v>
      </c>
      <c r="H2697" s="4">
        <v>490</v>
      </c>
      <c r="I2697" s="4">
        <v>0</v>
      </c>
      <c r="J2697" s="4">
        <v>490</v>
      </c>
    </row>
    <row r="2698" spans="1:10" x14ac:dyDescent="0.75">
      <c r="A2698" t="s">
        <v>151</v>
      </c>
      <c r="B2698">
        <v>2437</v>
      </c>
      <c r="C2698" t="s">
        <v>197</v>
      </c>
      <c r="D2698">
        <v>3219</v>
      </c>
      <c r="E2698" t="s">
        <v>378</v>
      </c>
      <c r="F2698" s="4">
        <v>0</v>
      </c>
      <c r="G2698" s="4">
        <v>481</v>
      </c>
      <c r="H2698" s="4">
        <v>481</v>
      </c>
      <c r="I2698" s="4">
        <v>0</v>
      </c>
      <c r="J2698" s="4">
        <v>481</v>
      </c>
    </row>
    <row r="2699" spans="1:10" x14ac:dyDescent="0.75">
      <c r="A2699" t="s">
        <v>151</v>
      </c>
      <c r="B2699">
        <v>2437</v>
      </c>
      <c r="C2699" t="s">
        <v>197</v>
      </c>
      <c r="D2699">
        <v>7210</v>
      </c>
      <c r="E2699" t="s">
        <v>426</v>
      </c>
      <c r="F2699" s="4">
        <v>0</v>
      </c>
      <c r="G2699" s="4">
        <v>478</v>
      </c>
      <c r="H2699" s="4">
        <v>327</v>
      </c>
      <c r="I2699" s="4">
        <v>151</v>
      </c>
      <c r="J2699" s="4">
        <v>478</v>
      </c>
    </row>
    <row r="2700" spans="1:10" x14ac:dyDescent="0.75">
      <c r="A2700" t="s">
        <v>151</v>
      </c>
      <c r="B2700">
        <v>2437</v>
      </c>
      <c r="C2700" t="s">
        <v>197</v>
      </c>
      <c r="D2700">
        <v>6891</v>
      </c>
      <c r="E2700" t="s">
        <v>495</v>
      </c>
      <c r="F2700" s="4">
        <v>0</v>
      </c>
      <c r="G2700" s="4">
        <v>458</v>
      </c>
      <c r="H2700" s="4">
        <v>458</v>
      </c>
      <c r="I2700" s="4">
        <v>0</v>
      </c>
      <c r="J2700" s="4">
        <v>458</v>
      </c>
    </row>
    <row r="2701" spans="1:10" x14ac:dyDescent="0.75">
      <c r="A2701" t="s">
        <v>151</v>
      </c>
      <c r="B2701">
        <v>2437</v>
      </c>
      <c r="C2701" t="s">
        <v>197</v>
      </c>
      <c r="D2701">
        <v>6653</v>
      </c>
      <c r="E2701" t="s">
        <v>395</v>
      </c>
      <c r="F2701" s="4">
        <v>0</v>
      </c>
      <c r="G2701" s="4">
        <v>430</v>
      </c>
      <c r="H2701" s="4">
        <v>430</v>
      </c>
      <c r="I2701" s="4">
        <v>0</v>
      </c>
      <c r="J2701" s="4">
        <v>430</v>
      </c>
    </row>
    <row r="2702" spans="1:10" x14ac:dyDescent="0.75">
      <c r="A2702" t="s">
        <v>151</v>
      </c>
      <c r="B2702">
        <v>2437</v>
      </c>
      <c r="C2702" t="s">
        <v>197</v>
      </c>
      <c r="D2702">
        <v>4190</v>
      </c>
      <c r="E2702" t="s">
        <v>452</v>
      </c>
      <c r="F2702" s="4">
        <v>0</v>
      </c>
      <c r="G2702" s="4">
        <v>423</v>
      </c>
      <c r="H2702" s="4">
        <v>423</v>
      </c>
      <c r="I2702" s="4">
        <v>0</v>
      </c>
      <c r="J2702" s="4">
        <v>423</v>
      </c>
    </row>
    <row r="2703" spans="1:10" x14ac:dyDescent="0.75">
      <c r="A2703" t="s">
        <v>151</v>
      </c>
      <c r="B2703">
        <v>2437</v>
      </c>
      <c r="C2703" t="s">
        <v>197</v>
      </c>
      <c r="D2703">
        <v>3286</v>
      </c>
      <c r="E2703" t="s">
        <v>423</v>
      </c>
      <c r="F2703" s="4">
        <v>0</v>
      </c>
      <c r="G2703" s="4">
        <v>345</v>
      </c>
      <c r="H2703" s="4">
        <v>345</v>
      </c>
      <c r="I2703" s="4">
        <v>0</v>
      </c>
      <c r="J2703" s="4">
        <v>345</v>
      </c>
    </row>
    <row r="2704" spans="1:10" x14ac:dyDescent="0.75">
      <c r="A2704" t="s">
        <v>151</v>
      </c>
      <c r="B2704">
        <v>2437</v>
      </c>
      <c r="C2704" t="s">
        <v>197</v>
      </c>
      <c r="D2704">
        <v>4310</v>
      </c>
      <c r="E2704" t="s">
        <v>453</v>
      </c>
      <c r="F2704" s="4">
        <v>0</v>
      </c>
      <c r="G2704" s="4">
        <v>328</v>
      </c>
      <c r="H2704" s="4">
        <v>328</v>
      </c>
      <c r="I2704" s="4">
        <v>0</v>
      </c>
      <c r="J2704" s="4">
        <v>328</v>
      </c>
    </row>
    <row r="2705" spans="1:10" x14ac:dyDescent="0.75">
      <c r="A2705" t="s">
        <v>151</v>
      </c>
      <c r="B2705">
        <v>2437</v>
      </c>
      <c r="C2705" t="s">
        <v>197</v>
      </c>
      <c r="D2705">
        <v>6134</v>
      </c>
      <c r="E2705" t="s">
        <v>470</v>
      </c>
      <c r="F2705" s="4">
        <v>0</v>
      </c>
      <c r="G2705" s="4">
        <v>294</v>
      </c>
      <c r="H2705" s="4">
        <v>294</v>
      </c>
      <c r="I2705" s="4">
        <v>0</v>
      </c>
      <c r="J2705" s="4">
        <v>294</v>
      </c>
    </row>
    <row r="2706" spans="1:10" x14ac:dyDescent="0.75">
      <c r="A2706" t="s">
        <v>151</v>
      </c>
      <c r="B2706">
        <v>2437</v>
      </c>
      <c r="C2706" t="s">
        <v>197</v>
      </c>
      <c r="D2706">
        <v>6747</v>
      </c>
      <c r="E2706" t="s">
        <v>478</v>
      </c>
      <c r="F2706" s="4">
        <v>0</v>
      </c>
      <c r="G2706" s="4">
        <v>290</v>
      </c>
      <c r="H2706" s="4">
        <v>290</v>
      </c>
      <c r="I2706" s="4">
        <v>0</v>
      </c>
      <c r="J2706" s="4">
        <v>290</v>
      </c>
    </row>
    <row r="2707" spans="1:10" x14ac:dyDescent="0.75">
      <c r="A2707" t="s">
        <v>151</v>
      </c>
      <c r="B2707">
        <v>2437</v>
      </c>
      <c r="C2707" t="s">
        <v>197</v>
      </c>
      <c r="D2707">
        <v>7230</v>
      </c>
      <c r="E2707" t="s">
        <v>387</v>
      </c>
      <c r="F2707" s="4">
        <v>0</v>
      </c>
      <c r="G2707" s="4">
        <v>287</v>
      </c>
      <c r="H2707" s="4">
        <v>285</v>
      </c>
      <c r="I2707" s="4">
        <v>2</v>
      </c>
      <c r="J2707" s="4">
        <v>287</v>
      </c>
    </row>
    <row r="2708" spans="1:10" x14ac:dyDescent="0.75">
      <c r="A2708" t="s">
        <v>151</v>
      </c>
      <c r="B2708">
        <v>2437</v>
      </c>
      <c r="C2708" t="s">
        <v>197</v>
      </c>
      <c r="D2708">
        <v>6590</v>
      </c>
      <c r="E2708" t="s">
        <v>394</v>
      </c>
      <c r="F2708" s="4">
        <v>0</v>
      </c>
      <c r="G2708" s="4">
        <v>231</v>
      </c>
      <c r="H2708" s="4">
        <v>231</v>
      </c>
      <c r="I2708" s="4">
        <v>0</v>
      </c>
      <c r="J2708" s="4">
        <v>231</v>
      </c>
    </row>
    <row r="2709" spans="1:10" x14ac:dyDescent="0.75">
      <c r="A2709" t="s">
        <v>151</v>
      </c>
      <c r="B2709">
        <v>2437</v>
      </c>
      <c r="C2709" t="s">
        <v>197</v>
      </c>
      <c r="D2709">
        <v>5312</v>
      </c>
      <c r="E2709" t="s">
        <v>416</v>
      </c>
      <c r="F2709" s="4">
        <v>0</v>
      </c>
      <c r="G2709" s="4">
        <v>216</v>
      </c>
      <c r="H2709" s="4">
        <v>216</v>
      </c>
      <c r="I2709" s="4">
        <v>0</v>
      </c>
      <c r="J2709" s="4">
        <v>216</v>
      </c>
    </row>
    <row r="2710" spans="1:10" x14ac:dyDescent="0.75">
      <c r="A2710" t="s">
        <v>151</v>
      </c>
      <c r="B2710">
        <v>2437</v>
      </c>
      <c r="C2710" t="s">
        <v>197</v>
      </c>
      <c r="D2710">
        <v>5315</v>
      </c>
      <c r="E2710" t="s">
        <v>417</v>
      </c>
      <c r="F2710" s="4">
        <v>0</v>
      </c>
      <c r="G2710" s="4">
        <v>212</v>
      </c>
      <c r="H2710" s="4">
        <v>212</v>
      </c>
      <c r="I2710" s="4">
        <v>0</v>
      </c>
      <c r="J2710" s="4">
        <v>212</v>
      </c>
    </row>
    <row r="2711" spans="1:10" x14ac:dyDescent="0.75">
      <c r="A2711" t="s">
        <v>151</v>
      </c>
      <c r="B2711">
        <v>2437</v>
      </c>
      <c r="C2711" t="s">
        <v>197</v>
      </c>
      <c r="D2711">
        <v>3284</v>
      </c>
      <c r="E2711" t="s">
        <v>442</v>
      </c>
      <c r="F2711" s="4">
        <v>0</v>
      </c>
      <c r="G2711" s="4">
        <v>167</v>
      </c>
      <c r="H2711" s="4">
        <v>167</v>
      </c>
      <c r="I2711" s="4">
        <v>0</v>
      </c>
      <c r="J2711" s="4">
        <v>167</v>
      </c>
    </row>
    <row r="2712" spans="1:10" x14ac:dyDescent="0.75">
      <c r="A2712" t="s">
        <v>151</v>
      </c>
      <c r="B2712">
        <v>2437</v>
      </c>
      <c r="C2712" t="s">
        <v>197</v>
      </c>
      <c r="D2712">
        <v>6888</v>
      </c>
      <c r="E2712" t="s">
        <v>494</v>
      </c>
      <c r="F2712" s="4">
        <v>0</v>
      </c>
      <c r="G2712" s="4">
        <v>162</v>
      </c>
      <c r="H2712" s="4">
        <v>162</v>
      </c>
      <c r="I2712" s="4">
        <v>0</v>
      </c>
      <c r="J2712" s="4">
        <v>162</v>
      </c>
    </row>
    <row r="2713" spans="1:10" x14ac:dyDescent="0.75">
      <c r="A2713" t="s">
        <v>151</v>
      </c>
      <c r="B2713">
        <v>2437</v>
      </c>
      <c r="C2713" t="s">
        <v>197</v>
      </c>
      <c r="D2713">
        <v>6781</v>
      </c>
      <c r="E2713" t="s">
        <v>479</v>
      </c>
      <c r="F2713" s="4">
        <v>0</v>
      </c>
      <c r="G2713" s="4">
        <v>146</v>
      </c>
      <c r="H2713" s="4">
        <v>146</v>
      </c>
      <c r="I2713" s="4">
        <v>0</v>
      </c>
      <c r="J2713" s="4">
        <v>146</v>
      </c>
    </row>
    <row r="2714" spans="1:10" x14ac:dyDescent="0.75">
      <c r="A2714" t="s">
        <v>151</v>
      </c>
      <c r="B2714">
        <v>2437</v>
      </c>
      <c r="C2714" t="s">
        <v>197</v>
      </c>
      <c r="D2714">
        <v>3230</v>
      </c>
      <c r="E2714" t="s">
        <v>434</v>
      </c>
      <c r="F2714" s="4">
        <v>0</v>
      </c>
      <c r="G2714" s="4">
        <v>132</v>
      </c>
      <c r="H2714" s="4">
        <v>132</v>
      </c>
      <c r="I2714" s="4">
        <v>0</v>
      </c>
      <c r="J2714" s="4">
        <v>132</v>
      </c>
    </row>
    <row r="2715" spans="1:10" x14ac:dyDescent="0.75">
      <c r="A2715" t="s">
        <v>151</v>
      </c>
      <c r="B2715">
        <v>2437</v>
      </c>
      <c r="C2715" t="s">
        <v>197</v>
      </c>
      <c r="D2715">
        <v>4782</v>
      </c>
      <c r="E2715" t="s">
        <v>414</v>
      </c>
      <c r="F2715" s="4">
        <v>0</v>
      </c>
      <c r="G2715" s="4">
        <v>82</v>
      </c>
      <c r="H2715" s="4">
        <v>82</v>
      </c>
      <c r="I2715" s="4">
        <v>0</v>
      </c>
      <c r="J2715" s="4">
        <v>82</v>
      </c>
    </row>
    <row r="2716" spans="1:10" x14ac:dyDescent="0.75">
      <c r="A2716" t="s">
        <v>151</v>
      </c>
      <c r="B2716">
        <v>2437</v>
      </c>
      <c r="C2716" t="s">
        <v>197</v>
      </c>
      <c r="D2716">
        <v>3260</v>
      </c>
      <c r="E2716" t="s">
        <v>436</v>
      </c>
      <c r="F2716" s="4">
        <v>0</v>
      </c>
      <c r="G2716" s="4">
        <v>77</v>
      </c>
      <c r="H2716" s="4">
        <v>77</v>
      </c>
      <c r="I2716" s="4">
        <v>0</v>
      </c>
      <c r="J2716" s="4">
        <v>77</v>
      </c>
    </row>
    <row r="2717" spans="1:10" x14ac:dyDescent="0.75">
      <c r="A2717" t="s">
        <v>151</v>
      </c>
      <c r="B2717">
        <v>2437</v>
      </c>
      <c r="C2717" t="s">
        <v>197</v>
      </c>
      <c r="D2717">
        <v>3250</v>
      </c>
      <c r="E2717" t="s">
        <v>435</v>
      </c>
      <c r="F2717" s="4">
        <v>0</v>
      </c>
      <c r="G2717" s="4">
        <v>74</v>
      </c>
      <c r="H2717" s="4">
        <v>74</v>
      </c>
      <c r="I2717" s="4">
        <v>0</v>
      </c>
      <c r="J2717" s="4">
        <v>74</v>
      </c>
    </row>
    <row r="2718" spans="1:10" x14ac:dyDescent="0.75">
      <c r="A2718" t="s">
        <v>151</v>
      </c>
      <c r="B2718">
        <v>2437</v>
      </c>
      <c r="C2718" t="s">
        <v>197</v>
      </c>
      <c r="D2718">
        <v>5240</v>
      </c>
      <c r="E2718" t="s">
        <v>464</v>
      </c>
      <c r="F2718" s="4">
        <v>0</v>
      </c>
      <c r="G2718" s="4">
        <v>71</v>
      </c>
      <c r="H2718" s="4">
        <v>71</v>
      </c>
      <c r="I2718" s="4">
        <v>0</v>
      </c>
      <c r="J2718" s="4">
        <v>71</v>
      </c>
    </row>
    <row r="2719" spans="1:10" x14ac:dyDescent="0.75">
      <c r="A2719" t="s">
        <v>151</v>
      </c>
      <c r="B2719">
        <v>2437</v>
      </c>
      <c r="C2719" t="s">
        <v>197</v>
      </c>
      <c r="D2719">
        <v>3279</v>
      </c>
      <c r="E2719" t="s">
        <v>422</v>
      </c>
      <c r="F2719" s="4">
        <v>0</v>
      </c>
      <c r="G2719" s="4">
        <v>69</v>
      </c>
      <c r="H2719" s="4">
        <v>69</v>
      </c>
      <c r="I2719" s="4">
        <v>0</v>
      </c>
      <c r="J2719" s="4">
        <v>69</v>
      </c>
    </row>
    <row r="2720" spans="1:10" x14ac:dyDescent="0.75">
      <c r="A2720" t="s">
        <v>151</v>
      </c>
      <c r="B2720">
        <v>2437</v>
      </c>
      <c r="C2720" t="s">
        <v>197</v>
      </c>
      <c r="D2720">
        <v>6442</v>
      </c>
      <c r="E2720" t="s">
        <v>472</v>
      </c>
      <c r="F2720" s="4">
        <v>0</v>
      </c>
      <c r="G2720" s="4">
        <v>66</v>
      </c>
      <c r="H2720" s="4">
        <v>66</v>
      </c>
      <c r="I2720" s="4">
        <v>0</v>
      </c>
      <c r="J2720" s="4">
        <v>66</v>
      </c>
    </row>
    <row r="2721" spans="1:10" x14ac:dyDescent="0.75">
      <c r="A2721" t="s">
        <v>151</v>
      </c>
      <c r="B2721">
        <v>2437</v>
      </c>
      <c r="C2721" t="s">
        <v>197</v>
      </c>
      <c r="D2721">
        <v>5190</v>
      </c>
      <c r="E2721" t="s">
        <v>462</v>
      </c>
      <c r="F2721" s="4">
        <v>0</v>
      </c>
      <c r="G2721" s="4">
        <v>57</v>
      </c>
      <c r="H2721" s="4">
        <v>57</v>
      </c>
      <c r="I2721" s="4">
        <v>0</v>
      </c>
      <c r="J2721" s="4">
        <v>57</v>
      </c>
    </row>
    <row r="2722" spans="1:10" x14ac:dyDescent="0.75">
      <c r="A2722" t="s">
        <v>151</v>
      </c>
      <c r="B2722">
        <v>2437</v>
      </c>
      <c r="C2722" t="s">
        <v>197</v>
      </c>
      <c r="D2722">
        <v>3240</v>
      </c>
      <c r="E2722" t="s">
        <v>410</v>
      </c>
      <c r="F2722" s="4">
        <v>0</v>
      </c>
      <c r="G2722" s="4">
        <v>52</v>
      </c>
      <c r="H2722" s="4">
        <v>52</v>
      </c>
      <c r="I2722" s="4">
        <v>0</v>
      </c>
      <c r="J2722" s="4">
        <v>52</v>
      </c>
    </row>
    <row r="2723" spans="1:10" x14ac:dyDescent="0.75">
      <c r="A2723" t="s">
        <v>151</v>
      </c>
      <c r="B2723">
        <v>2437</v>
      </c>
      <c r="C2723" t="s">
        <v>197</v>
      </c>
      <c r="D2723">
        <v>3293</v>
      </c>
      <c r="E2723" t="s">
        <v>445</v>
      </c>
      <c r="F2723" s="4">
        <v>0</v>
      </c>
      <c r="G2723" s="4">
        <v>43</v>
      </c>
      <c r="H2723" s="4">
        <v>0</v>
      </c>
      <c r="I2723" s="4">
        <v>43</v>
      </c>
      <c r="J2723" s="4">
        <v>43</v>
      </c>
    </row>
    <row r="2724" spans="1:10" x14ac:dyDescent="0.75">
      <c r="A2724" t="s">
        <v>151</v>
      </c>
      <c r="B2724">
        <v>2437</v>
      </c>
      <c r="C2724" t="s">
        <v>197</v>
      </c>
      <c r="D2724">
        <v>7220</v>
      </c>
      <c r="E2724" t="s">
        <v>500</v>
      </c>
      <c r="F2724" s="4">
        <v>0</v>
      </c>
      <c r="G2724" s="4">
        <v>33</v>
      </c>
      <c r="H2724" s="4">
        <v>33</v>
      </c>
      <c r="I2724" s="4">
        <v>0</v>
      </c>
      <c r="J2724" s="4">
        <v>33</v>
      </c>
    </row>
    <row r="2725" spans="1:10" x14ac:dyDescent="0.75">
      <c r="A2725" t="s">
        <v>151</v>
      </c>
      <c r="B2725">
        <v>2437</v>
      </c>
      <c r="C2725" t="s">
        <v>197</v>
      </c>
      <c r="D2725">
        <v>2100</v>
      </c>
      <c r="E2725" t="s">
        <v>403</v>
      </c>
      <c r="F2725" s="4">
        <v>0</v>
      </c>
      <c r="G2725" s="4">
        <v>20</v>
      </c>
      <c r="H2725" s="4">
        <v>20</v>
      </c>
      <c r="I2725" s="4">
        <v>0</v>
      </c>
      <c r="J2725" s="4">
        <v>20</v>
      </c>
    </row>
    <row r="2726" spans="1:10" x14ac:dyDescent="0.75">
      <c r="A2726" t="s">
        <v>151</v>
      </c>
      <c r="B2726">
        <v>2437</v>
      </c>
      <c r="C2726" t="s">
        <v>197</v>
      </c>
      <c r="D2726">
        <v>6817</v>
      </c>
      <c r="E2726" t="s">
        <v>481</v>
      </c>
      <c r="F2726" s="4">
        <v>0</v>
      </c>
      <c r="G2726" s="4">
        <v>15</v>
      </c>
      <c r="H2726" s="4">
        <v>15</v>
      </c>
      <c r="I2726" s="4">
        <v>0</v>
      </c>
      <c r="J2726" s="4">
        <v>15</v>
      </c>
    </row>
    <row r="2727" spans="1:10" x14ac:dyDescent="0.75">
      <c r="A2727" t="s">
        <v>151</v>
      </c>
      <c r="B2727">
        <v>2437</v>
      </c>
      <c r="C2727" t="s">
        <v>197</v>
      </c>
      <c r="D2727">
        <v>3283</v>
      </c>
      <c r="E2727" t="s">
        <v>441</v>
      </c>
      <c r="F2727" s="4">
        <v>0</v>
      </c>
      <c r="G2727" s="4">
        <v>14</v>
      </c>
      <c r="H2727" s="4">
        <v>14</v>
      </c>
      <c r="I2727" s="4">
        <v>0</v>
      </c>
      <c r="J2727" s="4">
        <v>14</v>
      </c>
    </row>
    <row r="2728" spans="1:10" x14ac:dyDescent="0.75">
      <c r="A2728" t="s">
        <v>151</v>
      </c>
      <c r="B2728">
        <v>2437</v>
      </c>
      <c r="C2728" t="s">
        <v>197</v>
      </c>
      <c r="D2728">
        <v>6835</v>
      </c>
      <c r="E2728" t="s">
        <v>483</v>
      </c>
      <c r="F2728" s="4">
        <v>0</v>
      </c>
      <c r="G2728" s="4">
        <v>11</v>
      </c>
      <c r="H2728" s="4">
        <v>11</v>
      </c>
      <c r="I2728" s="4">
        <v>0</v>
      </c>
      <c r="J2728" s="4">
        <v>11</v>
      </c>
    </row>
    <row r="2729" spans="1:10" x14ac:dyDescent="0.75">
      <c r="A2729" t="s">
        <v>151</v>
      </c>
      <c r="B2729">
        <v>2437</v>
      </c>
      <c r="C2729" t="s">
        <v>197</v>
      </c>
      <c r="D2729">
        <v>6522</v>
      </c>
      <c r="E2729" t="s">
        <v>393</v>
      </c>
      <c r="F2729" s="4">
        <v>0</v>
      </c>
      <c r="G2729" s="4">
        <v>10</v>
      </c>
      <c r="H2729" s="4">
        <v>10</v>
      </c>
      <c r="I2729" s="4">
        <v>0</v>
      </c>
      <c r="J2729" s="4">
        <v>10</v>
      </c>
    </row>
    <row r="2730" spans="1:10" x14ac:dyDescent="0.75">
      <c r="A2730" t="s">
        <v>160</v>
      </c>
      <c r="B2730">
        <v>3782</v>
      </c>
      <c r="C2730" t="s">
        <v>298</v>
      </c>
      <c r="D2730">
        <v>4322</v>
      </c>
      <c r="E2730" t="s">
        <v>398</v>
      </c>
      <c r="F2730" s="4">
        <v>98113</v>
      </c>
      <c r="G2730" s="4">
        <v>0</v>
      </c>
      <c r="H2730" s="4">
        <v>0</v>
      </c>
      <c r="I2730" s="4">
        <v>0</v>
      </c>
      <c r="J2730" s="4">
        <v>98113</v>
      </c>
    </row>
    <row r="2731" spans="1:10" x14ac:dyDescent="0.75">
      <c r="A2731" t="s">
        <v>160</v>
      </c>
      <c r="B2731">
        <v>3782</v>
      </c>
      <c r="C2731" t="s">
        <v>298</v>
      </c>
      <c r="D2731">
        <v>4783</v>
      </c>
      <c r="E2731" t="s">
        <v>382</v>
      </c>
      <c r="F2731" s="4">
        <v>51755</v>
      </c>
      <c r="G2731" s="4">
        <v>0</v>
      </c>
      <c r="H2731" s="4">
        <v>0</v>
      </c>
      <c r="I2731" s="4">
        <v>0</v>
      </c>
      <c r="J2731" s="4">
        <v>51755</v>
      </c>
    </row>
    <row r="2732" spans="1:10" x14ac:dyDescent="0.75">
      <c r="A2732" t="s">
        <v>160</v>
      </c>
      <c r="B2732">
        <v>3782</v>
      </c>
      <c r="C2732" t="s">
        <v>298</v>
      </c>
      <c r="D2732">
        <v>4860</v>
      </c>
      <c r="E2732" t="s">
        <v>400</v>
      </c>
      <c r="F2732" s="4">
        <v>37303</v>
      </c>
      <c r="G2732" s="4">
        <v>0</v>
      </c>
      <c r="H2732" s="4">
        <v>0</v>
      </c>
      <c r="I2732" s="4">
        <v>0</v>
      </c>
      <c r="J2732" s="4">
        <v>37303</v>
      </c>
    </row>
    <row r="2733" spans="1:10" x14ac:dyDescent="0.75">
      <c r="A2733" t="s">
        <v>160</v>
      </c>
      <c r="B2733">
        <v>3782</v>
      </c>
      <c r="C2733" t="s">
        <v>298</v>
      </c>
      <c r="D2733">
        <v>1100</v>
      </c>
      <c r="E2733" t="s">
        <v>397</v>
      </c>
      <c r="F2733" s="4">
        <v>35331</v>
      </c>
      <c r="G2733" s="4">
        <v>0</v>
      </c>
      <c r="H2733" s="4">
        <v>0</v>
      </c>
      <c r="I2733" s="4">
        <v>0</v>
      </c>
      <c r="J2733" s="4">
        <v>35331</v>
      </c>
    </row>
    <row r="2734" spans="1:10" x14ac:dyDescent="0.75">
      <c r="A2734" t="s">
        <v>160</v>
      </c>
      <c r="B2734">
        <v>3782</v>
      </c>
      <c r="C2734" t="s">
        <v>298</v>
      </c>
      <c r="D2734">
        <v>4331</v>
      </c>
      <c r="E2734" t="s">
        <v>390</v>
      </c>
      <c r="F2734" s="4">
        <v>0</v>
      </c>
      <c r="G2734" s="4">
        <v>7496</v>
      </c>
      <c r="H2734" s="4">
        <v>7496</v>
      </c>
      <c r="I2734" s="4">
        <v>0</v>
      </c>
      <c r="J2734" s="4">
        <v>7496</v>
      </c>
    </row>
    <row r="2735" spans="1:10" x14ac:dyDescent="0.75">
      <c r="A2735" t="s">
        <v>160</v>
      </c>
      <c r="B2735">
        <v>3760</v>
      </c>
      <c r="C2735" t="s">
        <v>302</v>
      </c>
      <c r="D2735">
        <v>5220</v>
      </c>
      <c r="E2735" t="s">
        <v>401</v>
      </c>
      <c r="F2735" s="4">
        <v>156907</v>
      </c>
      <c r="G2735" s="4">
        <v>0</v>
      </c>
      <c r="H2735" s="4">
        <v>0</v>
      </c>
      <c r="I2735" s="4">
        <v>0</v>
      </c>
      <c r="J2735" s="4">
        <v>156907</v>
      </c>
    </row>
    <row r="2736" spans="1:10" x14ac:dyDescent="0.75">
      <c r="A2736" t="s">
        <v>160</v>
      </c>
      <c r="B2736">
        <v>3760</v>
      </c>
      <c r="C2736" t="s">
        <v>302</v>
      </c>
      <c r="D2736">
        <v>4310</v>
      </c>
      <c r="E2736" t="s">
        <v>453</v>
      </c>
      <c r="F2736" s="4">
        <v>15205</v>
      </c>
      <c r="G2736" s="4">
        <v>0</v>
      </c>
      <c r="H2736" s="4">
        <v>0</v>
      </c>
      <c r="I2736" s="4">
        <v>0</v>
      </c>
      <c r="J2736" s="4">
        <v>15205</v>
      </c>
    </row>
    <row r="2737" spans="1:10" x14ac:dyDescent="0.75">
      <c r="A2737" t="s">
        <v>160</v>
      </c>
      <c r="B2737">
        <v>3760</v>
      </c>
      <c r="C2737" t="s">
        <v>302</v>
      </c>
      <c r="D2737">
        <v>4322</v>
      </c>
      <c r="E2737" t="s">
        <v>398</v>
      </c>
      <c r="F2737" s="4">
        <v>15080</v>
      </c>
      <c r="G2737" s="4">
        <v>0</v>
      </c>
      <c r="H2737" s="4">
        <v>0</v>
      </c>
      <c r="I2737" s="4">
        <v>0</v>
      </c>
      <c r="J2737" s="4">
        <v>15080</v>
      </c>
    </row>
    <row r="2738" spans="1:10" x14ac:dyDescent="0.75">
      <c r="A2738" t="s">
        <v>160</v>
      </c>
      <c r="B2738">
        <v>3760</v>
      </c>
      <c r="C2738" t="s">
        <v>302</v>
      </c>
      <c r="D2738">
        <v>4335</v>
      </c>
      <c r="E2738" t="s">
        <v>372</v>
      </c>
      <c r="F2738" s="4">
        <v>4903</v>
      </c>
      <c r="G2738" s="4">
        <v>0</v>
      </c>
      <c r="H2738" s="4">
        <v>0</v>
      </c>
      <c r="I2738" s="4">
        <v>0</v>
      </c>
      <c r="J2738" s="4">
        <v>4903</v>
      </c>
    </row>
    <row r="2739" spans="1:10" x14ac:dyDescent="0.75">
      <c r="A2739" t="s">
        <v>160</v>
      </c>
      <c r="B2739">
        <v>3760</v>
      </c>
      <c r="C2739" t="s">
        <v>302</v>
      </c>
      <c r="D2739">
        <v>4420</v>
      </c>
      <c r="E2739" t="s">
        <v>381</v>
      </c>
      <c r="F2739" s="4">
        <v>2050</v>
      </c>
      <c r="G2739" s="4">
        <v>0</v>
      </c>
      <c r="H2739" s="4">
        <v>0</v>
      </c>
      <c r="I2739" s="4">
        <v>0</v>
      </c>
      <c r="J2739" s="4">
        <v>2050</v>
      </c>
    </row>
    <row r="2740" spans="1:10" x14ac:dyDescent="0.75">
      <c r="A2740" t="s">
        <v>160</v>
      </c>
      <c r="B2740">
        <v>3212</v>
      </c>
      <c r="C2740" t="s">
        <v>218</v>
      </c>
      <c r="D2740">
        <v>4322</v>
      </c>
      <c r="E2740" t="s">
        <v>398</v>
      </c>
      <c r="F2740" s="4">
        <v>2494440</v>
      </c>
      <c r="G2740" s="4">
        <v>0</v>
      </c>
      <c r="H2740" s="4">
        <v>0</v>
      </c>
      <c r="I2740" s="4">
        <v>0</v>
      </c>
      <c r="J2740" s="4">
        <v>2494440</v>
      </c>
    </row>
    <row r="2741" spans="1:10" x14ac:dyDescent="0.75">
      <c r="A2741" t="s">
        <v>160</v>
      </c>
      <c r="B2741">
        <v>3212</v>
      </c>
      <c r="C2741" t="s">
        <v>218</v>
      </c>
      <c r="D2741">
        <v>4331</v>
      </c>
      <c r="E2741" t="s">
        <v>390</v>
      </c>
      <c r="F2741" s="4">
        <v>0</v>
      </c>
      <c r="G2741" s="4">
        <v>16500</v>
      </c>
      <c r="H2741" s="4">
        <v>16500</v>
      </c>
      <c r="I2741" s="4">
        <v>0</v>
      </c>
      <c r="J2741" s="4">
        <v>16500</v>
      </c>
    </row>
    <row r="2742" spans="1:10" x14ac:dyDescent="0.75">
      <c r="A2742" t="s">
        <v>160</v>
      </c>
      <c r="B2742">
        <v>3500</v>
      </c>
      <c r="C2742" t="s">
        <v>248</v>
      </c>
      <c r="D2742">
        <v>4322</v>
      </c>
      <c r="E2742" t="s">
        <v>398</v>
      </c>
      <c r="F2742" s="4">
        <v>1202240</v>
      </c>
      <c r="G2742" s="4">
        <v>0</v>
      </c>
      <c r="H2742" s="4">
        <v>0</v>
      </c>
      <c r="I2742" s="4">
        <v>0</v>
      </c>
      <c r="J2742" s="4">
        <v>1202240</v>
      </c>
    </row>
    <row r="2743" spans="1:10" x14ac:dyDescent="0.75">
      <c r="A2743" t="s">
        <v>160</v>
      </c>
      <c r="B2743">
        <v>3500</v>
      </c>
      <c r="C2743" t="s">
        <v>248</v>
      </c>
      <c r="D2743">
        <v>4331</v>
      </c>
      <c r="E2743" t="s">
        <v>390</v>
      </c>
      <c r="F2743" s="4">
        <v>10997</v>
      </c>
      <c r="G2743" s="4">
        <v>8818</v>
      </c>
      <c r="H2743" s="4">
        <v>8818</v>
      </c>
      <c r="I2743" s="4">
        <v>0</v>
      </c>
      <c r="J2743" s="4">
        <v>19815</v>
      </c>
    </row>
    <row r="2744" spans="1:10" x14ac:dyDescent="0.75">
      <c r="A2744" t="s">
        <v>160</v>
      </c>
      <c r="B2744">
        <v>3841</v>
      </c>
      <c r="C2744" t="s">
        <v>189</v>
      </c>
      <c r="D2744">
        <v>4410</v>
      </c>
      <c r="E2744" t="s">
        <v>399</v>
      </c>
      <c r="F2744" s="4">
        <v>5687034</v>
      </c>
      <c r="G2744" s="4">
        <v>0</v>
      </c>
      <c r="H2744" s="4">
        <v>0</v>
      </c>
      <c r="I2744" s="4">
        <v>0</v>
      </c>
      <c r="J2744" s="4">
        <v>5687034</v>
      </c>
    </row>
    <row r="2745" spans="1:10" x14ac:dyDescent="0.75">
      <c r="A2745" t="s">
        <v>160</v>
      </c>
      <c r="B2745">
        <v>3841</v>
      </c>
      <c r="C2745" t="s">
        <v>189</v>
      </c>
      <c r="D2745">
        <v>4322</v>
      </c>
      <c r="E2745" t="s">
        <v>398</v>
      </c>
      <c r="F2745" s="4">
        <v>328196</v>
      </c>
      <c r="G2745" s="4">
        <v>139940</v>
      </c>
      <c r="H2745" s="4">
        <v>139940</v>
      </c>
      <c r="I2745" s="4">
        <v>0</v>
      </c>
      <c r="J2745" s="4">
        <v>468136</v>
      </c>
    </row>
    <row r="2746" spans="1:10" x14ac:dyDescent="0.75">
      <c r="A2746" t="s">
        <v>160</v>
      </c>
      <c r="B2746">
        <v>3841</v>
      </c>
      <c r="C2746" t="s">
        <v>189</v>
      </c>
      <c r="D2746">
        <v>4331</v>
      </c>
      <c r="E2746" t="s">
        <v>390</v>
      </c>
      <c r="F2746" s="4">
        <v>236616</v>
      </c>
      <c r="G2746" s="4">
        <v>0</v>
      </c>
      <c r="H2746" s="4">
        <v>0</v>
      </c>
      <c r="I2746" s="4">
        <v>0</v>
      </c>
      <c r="J2746" s="4">
        <v>236616</v>
      </c>
    </row>
    <row r="2747" spans="1:10" x14ac:dyDescent="0.75">
      <c r="A2747" t="s">
        <v>160</v>
      </c>
      <c r="B2747">
        <v>3841</v>
      </c>
      <c r="C2747" t="s">
        <v>189</v>
      </c>
      <c r="D2747">
        <v>4782</v>
      </c>
      <c r="E2747" t="s">
        <v>414</v>
      </c>
      <c r="F2747" s="4">
        <v>0</v>
      </c>
      <c r="G2747" s="4">
        <v>57812</v>
      </c>
      <c r="H2747" s="4">
        <v>57812</v>
      </c>
      <c r="I2747" s="4">
        <v>0</v>
      </c>
      <c r="J2747" s="4">
        <v>57812</v>
      </c>
    </row>
    <row r="2748" spans="1:10" x14ac:dyDescent="0.75">
      <c r="A2748" t="s">
        <v>160</v>
      </c>
      <c r="B2748">
        <v>3841</v>
      </c>
      <c r="C2748" t="s">
        <v>189</v>
      </c>
      <c r="D2748">
        <v>1100</v>
      </c>
      <c r="E2748" t="s">
        <v>397</v>
      </c>
      <c r="F2748" s="4">
        <v>16628</v>
      </c>
      <c r="G2748" s="4">
        <v>0</v>
      </c>
      <c r="H2748" s="4">
        <v>0</v>
      </c>
      <c r="I2748" s="4">
        <v>0</v>
      </c>
      <c r="J2748" s="4">
        <v>16628</v>
      </c>
    </row>
    <row r="2749" spans="1:10" x14ac:dyDescent="0.75">
      <c r="A2749" t="s">
        <v>160</v>
      </c>
      <c r="B2749">
        <v>3512</v>
      </c>
      <c r="C2749" t="s">
        <v>263</v>
      </c>
      <c r="D2749">
        <v>4322</v>
      </c>
      <c r="E2749" t="s">
        <v>398</v>
      </c>
      <c r="F2749" s="4">
        <v>649550</v>
      </c>
      <c r="G2749" s="4">
        <v>13228</v>
      </c>
      <c r="H2749" s="4">
        <v>13228</v>
      </c>
      <c r="I2749" s="4">
        <v>0</v>
      </c>
      <c r="J2749" s="4">
        <v>662778</v>
      </c>
    </row>
    <row r="2750" spans="1:10" x14ac:dyDescent="0.75">
      <c r="A2750" t="s">
        <v>160</v>
      </c>
      <c r="B2750">
        <v>3512</v>
      </c>
      <c r="C2750" t="s">
        <v>263</v>
      </c>
      <c r="D2750">
        <v>4782</v>
      </c>
      <c r="E2750" t="s">
        <v>414</v>
      </c>
      <c r="F2750" s="4">
        <v>0</v>
      </c>
      <c r="G2750" s="4">
        <v>86576</v>
      </c>
      <c r="H2750" s="4">
        <v>86576</v>
      </c>
      <c r="I2750" s="4">
        <v>0</v>
      </c>
      <c r="J2750" s="4">
        <v>86576</v>
      </c>
    </row>
    <row r="2751" spans="1:10" x14ac:dyDescent="0.75">
      <c r="A2751" t="s">
        <v>160</v>
      </c>
      <c r="B2751">
        <v>3512</v>
      </c>
      <c r="C2751" t="s">
        <v>263</v>
      </c>
      <c r="D2751">
        <v>4331</v>
      </c>
      <c r="E2751" t="s">
        <v>390</v>
      </c>
      <c r="F2751" s="4">
        <v>0</v>
      </c>
      <c r="G2751" s="4">
        <v>80960</v>
      </c>
      <c r="H2751" s="4">
        <v>80960</v>
      </c>
      <c r="I2751" s="4">
        <v>0</v>
      </c>
      <c r="J2751" s="4">
        <v>80960</v>
      </c>
    </row>
    <row r="2752" spans="1:10" x14ac:dyDescent="0.75">
      <c r="A2752" t="s">
        <v>160</v>
      </c>
      <c r="B2752">
        <v>3512</v>
      </c>
      <c r="C2752" t="s">
        <v>263</v>
      </c>
      <c r="D2752">
        <v>4860</v>
      </c>
      <c r="E2752" t="s">
        <v>400</v>
      </c>
      <c r="F2752" s="4">
        <v>0</v>
      </c>
      <c r="G2752" s="4">
        <v>8818</v>
      </c>
      <c r="H2752" s="4">
        <v>8818</v>
      </c>
      <c r="I2752" s="4">
        <v>0</v>
      </c>
      <c r="J2752" s="4">
        <v>8818</v>
      </c>
    </row>
    <row r="2753" spans="1:10" x14ac:dyDescent="0.75">
      <c r="A2753" t="s">
        <v>163</v>
      </c>
      <c r="B2753">
        <v>2316</v>
      </c>
      <c r="C2753" t="s">
        <v>228</v>
      </c>
      <c r="D2753">
        <v>1100</v>
      </c>
      <c r="E2753" t="s">
        <v>397</v>
      </c>
      <c r="F2753" s="4">
        <v>878101</v>
      </c>
      <c r="G2753" s="4">
        <v>0</v>
      </c>
      <c r="H2753" s="4">
        <v>0</v>
      </c>
      <c r="I2753" s="4">
        <v>0</v>
      </c>
      <c r="J2753" s="4">
        <v>878101</v>
      </c>
    </row>
    <row r="2754" spans="1:10" x14ac:dyDescent="0.75">
      <c r="A2754" t="s">
        <v>163</v>
      </c>
      <c r="B2754">
        <v>2316</v>
      </c>
      <c r="C2754" t="s">
        <v>228</v>
      </c>
      <c r="D2754">
        <v>4331</v>
      </c>
      <c r="E2754" t="s">
        <v>390</v>
      </c>
      <c r="F2754" s="4">
        <v>641827</v>
      </c>
      <c r="G2754" s="4">
        <v>0</v>
      </c>
      <c r="H2754" s="4">
        <v>0</v>
      </c>
      <c r="I2754" s="4">
        <v>0</v>
      </c>
      <c r="J2754" s="4">
        <v>641827</v>
      </c>
    </row>
    <row r="2755" spans="1:10" x14ac:dyDescent="0.75">
      <c r="A2755" t="s">
        <v>163</v>
      </c>
      <c r="B2755">
        <v>2316</v>
      </c>
      <c r="C2755" t="s">
        <v>228</v>
      </c>
      <c r="D2755">
        <v>5220</v>
      </c>
      <c r="E2755" t="s">
        <v>401</v>
      </c>
      <c r="F2755" s="4">
        <v>334044</v>
      </c>
      <c r="G2755" s="4">
        <v>0</v>
      </c>
      <c r="H2755" s="4">
        <v>0</v>
      </c>
      <c r="I2755" s="4">
        <v>0</v>
      </c>
      <c r="J2755" s="4">
        <v>334044</v>
      </c>
    </row>
    <row r="2756" spans="1:10" x14ac:dyDescent="0.75">
      <c r="A2756" t="s">
        <v>163</v>
      </c>
      <c r="B2756">
        <v>2316</v>
      </c>
      <c r="C2756" t="s">
        <v>228</v>
      </c>
      <c r="D2756">
        <v>3110</v>
      </c>
      <c r="E2756" t="s">
        <v>405</v>
      </c>
      <c r="F2756" s="4">
        <v>67690</v>
      </c>
      <c r="G2756" s="4">
        <v>0</v>
      </c>
      <c r="H2756" s="4">
        <v>0</v>
      </c>
      <c r="I2756" s="4">
        <v>0</v>
      </c>
      <c r="J2756" s="4">
        <v>67690</v>
      </c>
    </row>
    <row r="2757" spans="1:10" x14ac:dyDescent="0.75">
      <c r="A2757" t="s">
        <v>163</v>
      </c>
      <c r="B2757">
        <v>2316</v>
      </c>
      <c r="C2757" t="s">
        <v>228</v>
      </c>
      <c r="D2757">
        <v>3130</v>
      </c>
      <c r="E2757" t="s">
        <v>407</v>
      </c>
      <c r="F2757" s="4">
        <v>50028</v>
      </c>
      <c r="G2757" s="4">
        <v>0</v>
      </c>
      <c r="H2757" s="4">
        <v>0</v>
      </c>
      <c r="I2757" s="4">
        <v>0</v>
      </c>
      <c r="J2757" s="4">
        <v>50028</v>
      </c>
    </row>
    <row r="2758" spans="1:10" x14ac:dyDescent="0.75">
      <c r="A2758" t="s">
        <v>163</v>
      </c>
      <c r="B2758">
        <v>2316</v>
      </c>
      <c r="C2758" t="s">
        <v>228</v>
      </c>
      <c r="D2758">
        <v>4420</v>
      </c>
      <c r="E2758" t="s">
        <v>381</v>
      </c>
      <c r="F2758" s="4">
        <v>40993</v>
      </c>
      <c r="G2758" s="4">
        <v>0</v>
      </c>
      <c r="H2758" s="4">
        <v>0</v>
      </c>
      <c r="I2758" s="4">
        <v>0</v>
      </c>
      <c r="J2758" s="4">
        <v>40993</v>
      </c>
    </row>
    <row r="2759" spans="1:10" x14ac:dyDescent="0.75">
      <c r="A2759" t="s">
        <v>163</v>
      </c>
      <c r="B2759">
        <v>2316</v>
      </c>
      <c r="C2759" t="s">
        <v>228</v>
      </c>
      <c r="D2759">
        <v>4783</v>
      </c>
      <c r="E2759" t="s">
        <v>382</v>
      </c>
      <c r="F2759" s="4">
        <v>39743</v>
      </c>
      <c r="G2759" s="4">
        <v>0</v>
      </c>
      <c r="H2759" s="4">
        <v>0</v>
      </c>
      <c r="I2759" s="4">
        <v>0</v>
      </c>
      <c r="J2759" s="4">
        <v>39743</v>
      </c>
    </row>
    <row r="2760" spans="1:10" x14ac:dyDescent="0.75">
      <c r="A2760" t="s">
        <v>163</v>
      </c>
      <c r="B2760">
        <v>2316</v>
      </c>
      <c r="C2760" t="s">
        <v>228</v>
      </c>
      <c r="D2760">
        <v>4860</v>
      </c>
      <c r="E2760" t="s">
        <v>400</v>
      </c>
      <c r="F2760" s="4">
        <v>37851</v>
      </c>
      <c r="G2760" s="4">
        <v>0</v>
      </c>
      <c r="H2760" s="4">
        <v>0</v>
      </c>
      <c r="I2760" s="4">
        <v>0</v>
      </c>
      <c r="J2760" s="4">
        <v>37851</v>
      </c>
    </row>
    <row r="2761" spans="1:10" x14ac:dyDescent="0.75">
      <c r="A2761" t="s">
        <v>163</v>
      </c>
      <c r="B2761">
        <v>2316</v>
      </c>
      <c r="C2761" t="s">
        <v>228</v>
      </c>
      <c r="D2761">
        <v>2540</v>
      </c>
      <c r="E2761" t="s">
        <v>377</v>
      </c>
      <c r="F2761" s="4">
        <v>23408</v>
      </c>
      <c r="G2761" s="4">
        <v>0</v>
      </c>
      <c r="H2761" s="4">
        <v>0</v>
      </c>
      <c r="I2761" s="4">
        <v>0</v>
      </c>
      <c r="J2761" s="4">
        <v>23408</v>
      </c>
    </row>
    <row r="2762" spans="1:10" x14ac:dyDescent="0.75">
      <c r="A2762" t="s">
        <v>163</v>
      </c>
      <c r="B2762">
        <v>2316</v>
      </c>
      <c r="C2762" t="s">
        <v>228</v>
      </c>
      <c r="D2762">
        <v>3190</v>
      </c>
      <c r="E2762" t="s">
        <v>408</v>
      </c>
      <c r="F2762" s="4">
        <v>17746</v>
      </c>
      <c r="G2762" s="4">
        <v>0</v>
      </c>
      <c r="H2762" s="4">
        <v>0</v>
      </c>
      <c r="I2762" s="4">
        <v>0</v>
      </c>
      <c r="J2762" s="4">
        <v>17746</v>
      </c>
    </row>
    <row r="2763" spans="1:10" x14ac:dyDescent="0.75">
      <c r="A2763" t="s">
        <v>163</v>
      </c>
      <c r="B2763">
        <v>2316</v>
      </c>
      <c r="C2763" t="s">
        <v>228</v>
      </c>
      <c r="D2763">
        <v>3120</v>
      </c>
      <c r="E2763" t="s">
        <v>406</v>
      </c>
      <c r="F2763" s="4">
        <v>4746</v>
      </c>
      <c r="G2763" s="4">
        <v>0</v>
      </c>
      <c r="H2763" s="4">
        <v>0</v>
      </c>
      <c r="I2763" s="4">
        <v>0</v>
      </c>
      <c r="J2763" s="4">
        <v>4746</v>
      </c>
    </row>
    <row r="2764" spans="1:10" x14ac:dyDescent="0.75">
      <c r="A2764" t="s">
        <v>151</v>
      </c>
      <c r="B2764">
        <v>2154</v>
      </c>
      <c r="C2764" t="s">
        <v>314</v>
      </c>
      <c r="D2764">
        <v>6782</v>
      </c>
      <c r="E2764" t="s">
        <v>396</v>
      </c>
      <c r="F2764" s="4">
        <v>0</v>
      </c>
      <c r="G2764" s="4">
        <v>35284</v>
      </c>
      <c r="H2764" s="4">
        <v>35284</v>
      </c>
      <c r="I2764" s="4">
        <v>0</v>
      </c>
      <c r="J2764" s="4">
        <v>35284</v>
      </c>
    </row>
    <row r="2765" spans="1:10" x14ac:dyDescent="0.75">
      <c r="A2765" t="s">
        <v>151</v>
      </c>
      <c r="B2765">
        <v>2154</v>
      </c>
      <c r="C2765" t="s">
        <v>314</v>
      </c>
      <c r="D2765">
        <v>6865</v>
      </c>
      <c r="E2765" t="s">
        <v>490</v>
      </c>
      <c r="F2765" s="4">
        <v>0</v>
      </c>
      <c r="G2765" s="4">
        <v>17657</v>
      </c>
      <c r="H2765" s="4">
        <v>17657</v>
      </c>
      <c r="I2765" s="4">
        <v>0</v>
      </c>
      <c r="J2765" s="4">
        <v>17657</v>
      </c>
    </row>
    <row r="2766" spans="1:10" x14ac:dyDescent="0.75">
      <c r="A2766" t="s">
        <v>151</v>
      </c>
      <c r="B2766">
        <v>2154</v>
      </c>
      <c r="C2766" t="s">
        <v>314</v>
      </c>
      <c r="D2766">
        <v>2330</v>
      </c>
      <c r="E2766" t="s">
        <v>368</v>
      </c>
      <c r="F2766" s="4">
        <v>10385</v>
      </c>
      <c r="G2766" s="4">
        <v>0</v>
      </c>
      <c r="H2766" s="4">
        <v>0</v>
      </c>
      <c r="I2766" s="4">
        <v>0</v>
      </c>
      <c r="J2766" s="4">
        <v>10385</v>
      </c>
    </row>
    <row r="2767" spans="1:10" x14ac:dyDescent="0.75">
      <c r="A2767" t="s">
        <v>151</v>
      </c>
      <c r="B2767">
        <v>2154</v>
      </c>
      <c r="C2767" t="s">
        <v>314</v>
      </c>
      <c r="D2767">
        <v>6344</v>
      </c>
      <c r="E2767" t="s">
        <v>392</v>
      </c>
      <c r="F2767" s="4">
        <v>0</v>
      </c>
      <c r="G2767" s="4">
        <v>9921</v>
      </c>
      <c r="H2767" s="4">
        <v>9921</v>
      </c>
      <c r="I2767" s="4">
        <v>0</v>
      </c>
      <c r="J2767" s="4">
        <v>9921</v>
      </c>
    </row>
    <row r="2768" spans="1:10" x14ac:dyDescent="0.75">
      <c r="A2768" t="s">
        <v>151</v>
      </c>
      <c r="B2768">
        <v>2154</v>
      </c>
      <c r="C2768" t="s">
        <v>314</v>
      </c>
      <c r="D2768">
        <v>6654</v>
      </c>
      <c r="E2768" t="s">
        <v>419</v>
      </c>
      <c r="F2768" s="4">
        <v>0</v>
      </c>
      <c r="G2768" s="4">
        <v>5512</v>
      </c>
      <c r="H2768" s="4">
        <v>5512</v>
      </c>
      <c r="I2768" s="4">
        <v>0</v>
      </c>
      <c r="J2768" s="4">
        <v>5512</v>
      </c>
    </row>
    <row r="2769" spans="1:10" x14ac:dyDescent="0.75">
      <c r="A2769" t="s">
        <v>163</v>
      </c>
      <c r="B2769">
        <v>2294</v>
      </c>
      <c r="C2769" t="s">
        <v>178</v>
      </c>
      <c r="D2769">
        <v>4322</v>
      </c>
      <c r="E2769" t="s">
        <v>398</v>
      </c>
      <c r="F2769" s="4">
        <v>1684485</v>
      </c>
      <c r="G2769" s="4">
        <v>0</v>
      </c>
      <c r="H2769" s="4">
        <v>0</v>
      </c>
      <c r="I2769" s="4">
        <v>0</v>
      </c>
      <c r="J2769" s="4">
        <v>1684485</v>
      </c>
    </row>
    <row r="2770" spans="1:10" x14ac:dyDescent="0.75">
      <c r="A2770" t="s">
        <v>163</v>
      </c>
      <c r="B2770">
        <v>2294</v>
      </c>
      <c r="C2770" t="s">
        <v>178</v>
      </c>
      <c r="D2770">
        <v>4331</v>
      </c>
      <c r="E2770" t="s">
        <v>390</v>
      </c>
      <c r="F2770" s="4">
        <v>1144005</v>
      </c>
      <c r="G2770" s="4">
        <v>0</v>
      </c>
      <c r="H2770" s="4">
        <v>0</v>
      </c>
      <c r="I2770" s="4">
        <v>0</v>
      </c>
      <c r="J2770" s="4">
        <v>1144005</v>
      </c>
    </row>
    <row r="2771" spans="1:10" x14ac:dyDescent="0.75">
      <c r="A2771" t="s">
        <v>163</v>
      </c>
      <c r="B2771">
        <v>2294</v>
      </c>
      <c r="C2771" t="s">
        <v>178</v>
      </c>
      <c r="D2771">
        <v>2211</v>
      </c>
      <c r="E2771" t="s">
        <v>367</v>
      </c>
      <c r="F2771" s="4">
        <v>970792</v>
      </c>
      <c r="G2771" s="4">
        <v>0</v>
      </c>
      <c r="H2771" s="4">
        <v>0</v>
      </c>
      <c r="I2771" s="4">
        <v>0</v>
      </c>
      <c r="J2771" s="4">
        <v>970792</v>
      </c>
    </row>
    <row r="2772" spans="1:10" x14ac:dyDescent="0.75">
      <c r="A2772" t="s">
        <v>163</v>
      </c>
      <c r="B2772">
        <v>2294</v>
      </c>
      <c r="C2772" t="s">
        <v>178</v>
      </c>
      <c r="D2772">
        <v>5220</v>
      </c>
      <c r="E2772" t="s">
        <v>401</v>
      </c>
      <c r="F2772" s="4">
        <v>913319</v>
      </c>
      <c r="G2772" s="4">
        <v>0</v>
      </c>
      <c r="H2772" s="4">
        <v>0</v>
      </c>
      <c r="I2772" s="4">
        <v>0</v>
      </c>
      <c r="J2772" s="4">
        <v>913319</v>
      </c>
    </row>
    <row r="2773" spans="1:10" x14ac:dyDescent="0.75">
      <c r="A2773" t="s">
        <v>163</v>
      </c>
      <c r="B2773">
        <v>2294</v>
      </c>
      <c r="C2773" t="s">
        <v>178</v>
      </c>
      <c r="D2773">
        <v>6522</v>
      </c>
      <c r="E2773" t="s">
        <v>393</v>
      </c>
      <c r="F2773" s="4">
        <v>631700</v>
      </c>
      <c r="G2773" s="4">
        <v>0</v>
      </c>
      <c r="H2773" s="4">
        <v>0</v>
      </c>
      <c r="I2773" s="4">
        <v>0</v>
      </c>
      <c r="J2773" s="4">
        <v>631700</v>
      </c>
    </row>
    <row r="2774" spans="1:10" x14ac:dyDescent="0.75">
      <c r="A2774" t="s">
        <v>163</v>
      </c>
      <c r="B2774">
        <v>2294</v>
      </c>
      <c r="C2774" t="s">
        <v>178</v>
      </c>
      <c r="D2774">
        <v>2430</v>
      </c>
      <c r="E2774" t="s">
        <v>376</v>
      </c>
      <c r="F2774" s="4">
        <v>420515</v>
      </c>
      <c r="G2774" s="4">
        <v>0</v>
      </c>
      <c r="H2774" s="4">
        <v>0</v>
      </c>
      <c r="I2774" s="4">
        <v>0</v>
      </c>
      <c r="J2774" s="4">
        <v>420515</v>
      </c>
    </row>
    <row r="2775" spans="1:10" x14ac:dyDescent="0.75">
      <c r="A2775" t="s">
        <v>163</v>
      </c>
      <c r="B2775">
        <v>2294</v>
      </c>
      <c r="C2775" t="s">
        <v>178</v>
      </c>
      <c r="D2775">
        <v>6344</v>
      </c>
      <c r="E2775" t="s">
        <v>392</v>
      </c>
      <c r="F2775" s="4">
        <v>400593</v>
      </c>
      <c r="G2775" s="4">
        <v>0</v>
      </c>
      <c r="H2775" s="4">
        <v>0</v>
      </c>
      <c r="I2775" s="4">
        <v>0</v>
      </c>
      <c r="J2775" s="4">
        <v>400593</v>
      </c>
    </row>
    <row r="2776" spans="1:10" x14ac:dyDescent="0.75">
      <c r="A2776" t="s">
        <v>163</v>
      </c>
      <c r="B2776">
        <v>2294</v>
      </c>
      <c r="C2776" t="s">
        <v>178</v>
      </c>
      <c r="D2776">
        <v>3220</v>
      </c>
      <c r="E2776" t="s">
        <v>370</v>
      </c>
      <c r="F2776" s="4">
        <v>340797</v>
      </c>
      <c r="G2776" s="4">
        <v>0</v>
      </c>
      <c r="H2776" s="4">
        <v>0</v>
      </c>
      <c r="I2776" s="4">
        <v>0</v>
      </c>
      <c r="J2776" s="4">
        <v>340797</v>
      </c>
    </row>
    <row r="2777" spans="1:10" x14ac:dyDescent="0.75">
      <c r="A2777" t="s">
        <v>163</v>
      </c>
      <c r="B2777">
        <v>2294</v>
      </c>
      <c r="C2777" t="s">
        <v>178</v>
      </c>
      <c r="D2777">
        <v>2330</v>
      </c>
      <c r="E2777" t="s">
        <v>368</v>
      </c>
      <c r="F2777" s="4">
        <v>278822</v>
      </c>
      <c r="G2777" s="4">
        <v>0</v>
      </c>
      <c r="H2777" s="4">
        <v>0</v>
      </c>
      <c r="I2777" s="4">
        <v>0</v>
      </c>
      <c r="J2777" s="4">
        <v>278822</v>
      </c>
    </row>
    <row r="2778" spans="1:10" x14ac:dyDescent="0.75">
      <c r="A2778" t="s">
        <v>163</v>
      </c>
      <c r="B2778">
        <v>2294</v>
      </c>
      <c r="C2778" t="s">
        <v>178</v>
      </c>
      <c r="D2778">
        <v>3110</v>
      </c>
      <c r="E2778" t="s">
        <v>405</v>
      </c>
      <c r="F2778" s="4">
        <v>266632</v>
      </c>
      <c r="G2778" s="4">
        <v>0</v>
      </c>
      <c r="H2778" s="4">
        <v>0</v>
      </c>
      <c r="I2778" s="4">
        <v>0</v>
      </c>
      <c r="J2778" s="4">
        <v>266632</v>
      </c>
    </row>
    <row r="2779" spans="1:10" x14ac:dyDescent="0.75">
      <c r="A2779" t="s">
        <v>163</v>
      </c>
      <c r="B2779">
        <v>2294</v>
      </c>
      <c r="C2779" t="s">
        <v>178</v>
      </c>
      <c r="D2779">
        <v>4420</v>
      </c>
      <c r="E2779" t="s">
        <v>381</v>
      </c>
      <c r="F2779" s="4">
        <v>242463</v>
      </c>
      <c r="G2779" s="4">
        <v>0</v>
      </c>
      <c r="H2779" s="4">
        <v>0</v>
      </c>
      <c r="I2779" s="4">
        <v>0</v>
      </c>
      <c r="J2779" s="4">
        <v>242463</v>
      </c>
    </row>
    <row r="2780" spans="1:10" x14ac:dyDescent="0.75">
      <c r="A2780" t="s">
        <v>163</v>
      </c>
      <c r="B2780">
        <v>2294</v>
      </c>
      <c r="C2780" t="s">
        <v>178</v>
      </c>
      <c r="D2780">
        <v>2221</v>
      </c>
      <c r="E2780" t="s">
        <v>374</v>
      </c>
      <c r="F2780" s="4">
        <v>242338</v>
      </c>
      <c r="G2780" s="4">
        <v>0</v>
      </c>
      <c r="H2780" s="4">
        <v>0</v>
      </c>
      <c r="I2780" s="4">
        <v>0</v>
      </c>
      <c r="J2780" s="4">
        <v>242338</v>
      </c>
    </row>
    <row r="2781" spans="1:10" x14ac:dyDescent="0.75">
      <c r="A2781" t="s">
        <v>163</v>
      </c>
      <c r="B2781">
        <v>2294</v>
      </c>
      <c r="C2781" t="s">
        <v>178</v>
      </c>
      <c r="D2781">
        <v>2340</v>
      </c>
      <c r="E2781" t="s">
        <v>369</v>
      </c>
      <c r="F2781" s="4">
        <v>193588</v>
      </c>
      <c r="G2781" s="4">
        <v>0</v>
      </c>
      <c r="H2781" s="4">
        <v>0</v>
      </c>
      <c r="I2781" s="4">
        <v>0</v>
      </c>
      <c r="J2781" s="4">
        <v>193588</v>
      </c>
    </row>
    <row r="2782" spans="1:10" x14ac:dyDescent="0.75">
      <c r="A2782" t="s">
        <v>163</v>
      </c>
      <c r="B2782">
        <v>2294</v>
      </c>
      <c r="C2782" t="s">
        <v>178</v>
      </c>
      <c r="D2782">
        <v>3273</v>
      </c>
      <c r="E2782" t="s">
        <v>411</v>
      </c>
      <c r="F2782" s="4">
        <v>102500</v>
      </c>
      <c r="G2782" s="4">
        <v>0</v>
      </c>
      <c r="H2782" s="4">
        <v>0</v>
      </c>
      <c r="I2782" s="4">
        <v>0</v>
      </c>
      <c r="J2782" s="4">
        <v>102500</v>
      </c>
    </row>
    <row r="2783" spans="1:10" x14ac:dyDescent="0.75">
      <c r="A2783" t="s">
        <v>163</v>
      </c>
      <c r="B2783">
        <v>2294</v>
      </c>
      <c r="C2783" t="s">
        <v>178</v>
      </c>
      <c r="D2783">
        <v>3260</v>
      </c>
      <c r="E2783" t="s">
        <v>436</v>
      </c>
      <c r="F2783" s="4">
        <v>101375</v>
      </c>
      <c r="G2783" s="4">
        <v>0</v>
      </c>
      <c r="H2783" s="4">
        <v>0</v>
      </c>
      <c r="I2783" s="4">
        <v>0</v>
      </c>
      <c r="J2783" s="4">
        <v>101375</v>
      </c>
    </row>
    <row r="2784" spans="1:10" x14ac:dyDescent="0.75">
      <c r="A2784" t="s">
        <v>163</v>
      </c>
      <c r="B2784">
        <v>2294</v>
      </c>
      <c r="C2784" t="s">
        <v>178</v>
      </c>
      <c r="D2784">
        <v>3130</v>
      </c>
      <c r="E2784" t="s">
        <v>407</v>
      </c>
      <c r="F2784" s="4">
        <v>101221</v>
      </c>
      <c r="G2784" s="4">
        <v>0</v>
      </c>
      <c r="H2784" s="4">
        <v>0</v>
      </c>
      <c r="I2784" s="4">
        <v>0</v>
      </c>
      <c r="J2784" s="4">
        <v>101221</v>
      </c>
    </row>
    <row r="2785" spans="1:10" x14ac:dyDescent="0.75">
      <c r="A2785" t="s">
        <v>163</v>
      </c>
      <c r="B2785">
        <v>2294</v>
      </c>
      <c r="C2785" t="s">
        <v>178</v>
      </c>
      <c r="D2785">
        <v>2429</v>
      </c>
      <c r="E2785" t="s">
        <v>375</v>
      </c>
      <c r="F2785" s="4">
        <v>96362</v>
      </c>
      <c r="G2785" s="4">
        <v>0</v>
      </c>
      <c r="H2785" s="4">
        <v>0</v>
      </c>
      <c r="I2785" s="4">
        <v>0</v>
      </c>
      <c r="J2785" s="4">
        <v>96362</v>
      </c>
    </row>
    <row r="2786" spans="1:10" x14ac:dyDescent="0.75">
      <c r="A2786" t="s">
        <v>163</v>
      </c>
      <c r="B2786">
        <v>2294</v>
      </c>
      <c r="C2786" t="s">
        <v>178</v>
      </c>
      <c r="D2786">
        <v>6442</v>
      </c>
      <c r="E2786" t="s">
        <v>472</v>
      </c>
      <c r="F2786" s="4">
        <v>86570</v>
      </c>
      <c r="G2786" s="4">
        <v>0</v>
      </c>
      <c r="H2786" s="4">
        <v>0</v>
      </c>
      <c r="I2786" s="4">
        <v>0</v>
      </c>
      <c r="J2786" s="4">
        <v>86570</v>
      </c>
    </row>
    <row r="2787" spans="1:10" x14ac:dyDescent="0.75">
      <c r="A2787" t="s">
        <v>163</v>
      </c>
      <c r="B2787">
        <v>2294</v>
      </c>
      <c r="C2787" t="s">
        <v>178</v>
      </c>
      <c r="D2787">
        <v>4335</v>
      </c>
      <c r="E2787" t="s">
        <v>372</v>
      </c>
      <c r="F2787" s="4">
        <v>79180</v>
      </c>
      <c r="G2787" s="4">
        <v>0</v>
      </c>
      <c r="H2787" s="4">
        <v>0</v>
      </c>
      <c r="I2787" s="4">
        <v>0</v>
      </c>
      <c r="J2787" s="4">
        <v>79180</v>
      </c>
    </row>
    <row r="2788" spans="1:10" x14ac:dyDescent="0.75">
      <c r="A2788" t="s">
        <v>163</v>
      </c>
      <c r="B2788">
        <v>2294</v>
      </c>
      <c r="C2788" t="s">
        <v>178</v>
      </c>
      <c r="D2788">
        <v>5330</v>
      </c>
      <c r="E2788" t="s">
        <v>385</v>
      </c>
      <c r="F2788" s="4">
        <v>78838</v>
      </c>
      <c r="G2788" s="4">
        <v>0</v>
      </c>
      <c r="H2788" s="4">
        <v>0</v>
      </c>
      <c r="I2788" s="4">
        <v>0</v>
      </c>
      <c r="J2788" s="4">
        <v>78838</v>
      </c>
    </row>
    <row r="2789" spans="1:10" x14ac:dyDescent="0.75">
      <c r="A2789" t="s">
        <v>163</v>
      </c>
      <c r="B2789">
        <v>2294</v>
      </c>
      <c r="C2789" t="s">
        <v>178</v>
      </c>
      <c r="D2789">
        <v>3274</v>
      </c>
      <c r="E2789" t="s">
        <v>438</v>
      </c>
      <c r="F2789" s="4">
        <v>78225</v>
      </c>
      <c r="G2789" s="4">
        <v>0</v>
      </c>
      <c r="H2789" s="4">
        <v>0</v>
      </c>
      <c r="I2789" s="4">
        <v>0</v>
      </c>
      <c r="J2789" s="4">
        <v>78225</v>
      </c>
    </row>
    <row r="2790" spans="1:10" x14ac:dyDescent="0.75">
      <c r="A2790" t="s">
        <v>163</v>
      </c>
      <c r="B2790">
        <v>2294</v>
      </c>
      <c r="C2790" t="s">
        <v>178</v>
      </c>
      <c r="D2790">
        <v>5390</v>
      </c>
      <c r="E2790" t="s">
        <v>418</v>
      </c>
      <c r="F2790" s="4">
        <v>70547</v>
      </c>
      <c r="G2790" s="4">
        <v>0</v>
      </c>
      <c r="H2790" s="4">
        <v>0</v>
      </c>
      <c r="I2790" s="4">
        <v>0</v>
      </c>
      <c r="J2790" s="4">
        <v>70547</v>
      </c>
    </row>
    <row r="2791" spans="1:10" x14ac:dyDescent="0.75">
      <c r="A2791" t="s">
        <v>163</v>
      </c>
      <c r="B2791">
        <v>2294</v>
      </c>
      <c r="C2791" t="s">
        <v>178</v>
      </c>
      <c r="D2791">
        <v>6653</v>
      </c>
      <c r="E2791" t="s">
        <v>395</v>
      </c>
      <c r="F2791" s="4">
        <v>67330</v>
      </c>
      <c r="G2791" s="4">
        <v>0</v>
      </c>
      <c r="H2791" s="4">
        <v>0</v>
      </c>
      <c r="I2791" s="4">
        <v>0</v>
      </c>
      <c r="J2791" s="4">
        <v>67330</v>
      </c>
    </row>
    <row r="2792" spans="1:10" x14ac:dyDescent="0.75">
      <c r="A2792" t="s">
        <v>163</v>
      </c>
      <c r="B2792">
        <v>2294</v>
      </c>
      <c r="C2792" t="s">
        <v>178</v>
      </c>
      <c r="D2792">
        <v>5315</v>
      </c>
      <c r="E2792" t="s">
        <v>417</v>
      </c>
      <c r="F2792" s="4">
        <v>63863</v>
      </c>
      <c r="G2792" s="4">
        <v>0</v>
      </c>
      <c r="H2792" s="4">
        <v>0</v>
      </c>
      <c r="I2792" s="4">
        <v>0</v>
      </c>
      <c r="J2792" s="4">
        <v>63863</v>
      </c>
    </row>
    <row r="2793" spans="1:10" x14ac:dyDescent="0.75">
      <c r="A2793" t="s">
        <v>163</v>
      </c>
      <c r="B2793">
        <v>2294</v>
      </c>
      <c r="C2793" t="s">
        <v>178</v>
      </c>
      <c r="D2793">
        <v>6865</v>
      </c>
      <c r="E2793" t="s">
        <v>490</v>
      </c>
      <c r="F2793" s="4">
        <v>54641</v>
      </c>
      <c r="G2793" s="4">
        <v>0</v>
      </c>
      <c r="H2793" s="4">
        <v>0</v>
      </c>
      <c r="I2793" s="4">
        <v>0</v>
      </c>
      <c r="J2793" s="4">
        <v>54641</v>
      </c>
    </row>
    <row r="2794" spans="1:10" x14ac:dyDescent="0.75">
      <c r="A2794" t="s">
        <v>163</v>
      </c>
      <c r="B2794">
        <v>2294</v>
      </c>
      <c r="C2794" t="s">
        <v>178</v>
      </c>
      <c r="D2794">
        <v>6241</v>
      </c>
      <c r="E2794" t="s">
        <v>391</v>
      </c>
      <c r="F2794" s="4">
        <v>52510</v>
      </c>
      <c r="G2794" s="4">
        <v>0</v>
      </c>
      <c r="H2794" s="4">
        <v>0</v>
      </c>
      <c r="I2794" s="4">
        <v>0</v>
      </c>
      <c r="J2794" s="4">
        <v>52510</v>
      </c>
    </row>
    <row r="2795" spans="1:10" x14ac:dyDescent="0.75">
      <c r="A2795" t="s">
        <v>163</v>
      </c>
      <c r="B2795">
        <v>2294</v>
      </c>
      <c r="C2795" t="s">
        <v>178</v>
      </c>
      <c r="D2795">
        <v>6447</v>
      </c>
      <c r="E2795" t="s">
        <v>475</v>
      </c>
      <c r="F2795" s="4">
        <v>51729</v>
      </c>
      <c r="G2795" s="4">
        <v>0</v>
      </c>
      <c r="H2795" s="4">
        <v>0</v>
      </c>
      <c r="I2795" s="4">
        <v>0</v>
      </c>
      <c r="J2795" s="4">
        <v>51729</v>
      </c>
    </row>
    <row r="2796" spans="1:10" x14ac:dyDescent="0.75">
      <c r="A2796" t="s">
        <v>163</v>
      </c>
      <c r="B2796">
        <v>2294</v>
      </c>
      <c r="C2796" t="s">
        <v>178</v>
      </c>
      <c r="D2796">
        <v>5360</v>
      </c>
      <c r="E2796" t="s">
        <v>465</v>
      </c>
      <c r="F2796" s="4">
        <v>41692</v>
      </c>
      <c r="G2796" s="4">
        <v>0</v>
      </c>
      <c r="H2796" s="4">
        <v>0</v>
      </c>
      <c r="I2796" s="4">
        <v>0</v>
      </c>
      <c r="J2796" s="4">
        <v>41692</v>
      </c>
    </row>
    <row r="2797" spans="1:10" x14ac:dyDescent="0.75">
      <c r="A2797" t="s">
        <v>163</v>
      </c>
      <c r="B2797">
        <v>2294</v>
      </c>
      <c r="C2797" t="s">
        <v>178</v>
      </c>
      <c r="D2797">
        <v>5312</v>
      </c>
      <c r="E2797" t="s">
        <v>416</v>
      </c>
      <c r="F2797" s="4">
        <v>40088</v>
      </c>
      <c r="G2797" s="4">
        <v>0</v>
      </c>
      <c r="H2797" s="4">
        <v>0</v>
      </c>
      <c r="I2797" s="4">
        <v>0</v>
      </c>
      <c r="J2797" s="4">
        <v>40088</v>
      </c>
    </row>
    <row r="2798" spans="1:10" x14ac:dyDescent="0.75">
      <c r="A2798" t="s">
        <v>163</v>
      </c>
      <c r="B2798">
        <v>2294</v>
      </c>
      <c r="C2798" t="s">
        <v>178</v>
      </c>
      <c r="D2798">
        <v>3120</v>
      </c>
      <c r="E2798" t="s">
        <v>406</v>
      </c>
      <c r="F2798" s="4">
        <v>33504</v>
      </c>
      <c r="G2798" s="4">
        <v>0</v>
      </c>
      <c r="H2798" s="4">
        <v>0</v>
      </c>
      <c r="I2798" s="4">
        <v>0</v>
      </c>
      <c r="J2798" s="4">
        <v>33504</v>
      </c>
    </row>
    <row r="2799" spans="1:10" x14ac:dyDescent="0.75">
      <c r="A2799" t="s">
        <v>163</v>
      </c>
      <c r="B2799">
        <v>2294</v>
      </c>
      <c r="C2799" t="s">
        <v>178</v>
      </c>
      <c r="D2799">
        <v>3230</v>
      </c>
      <c r="E2799" t="s">
        <v>434</v>
      </c>
      <c r="F2799" s="4">
        <v>26870</v>
      </c>
      <c r="G2799" s="4">
        <v>0</v>
      </c>
      <c r="H2799" s="4">
        <v>0</v>
      </c>
      <c r="I2799" s="4">
        <v>0</v>
      </c>
      <c r="J2799" s="4">
        <v>26870</v>
      </c>
    </row>
    <row r="2800" spans="1:10" x14ac:dyDescent="0.75">
      <c r="A2800" t="s">
        <v>163</v>
      </c>
      <c r="B2800">
        <v>2294</v>
      </c>
      <c r="C2800" t="s">
        <v>178</v>
      </c>
      <c r="D2800">
        <v>6861</v>
      </c>
      <c r="E2800" t="s">
        <v>489</v>
      </c>
      <c r="F2800" s="4">
        <v>22821</v>
      </c>
      <c r="G2800" s="4">
        <v>0</v>
      </c>
      <c r="H2800" s="4">
        <v>0</v>
      </c>
      <c r="I2800" s="4">
        <v>0</v>
      </c>
      <c r="J2800" s="4">
        <v>22821</v>
      </c>
    </row>
    <row r="2801" spans="1:10" x14ac:dyDescent="0.75">
      <c r="A2801" t="s">
        <v>163</v>
      </c>
      <c r="B2801">
        <v>2294</v>
      </c>
      <c r="C2801" t="s">
        <v>178</v>
      </c>
      <c r="D2801">
        <v>3190</v>
      </c>
      <c r="E2801" t="s">
        <v>408</v>
      </c>
      <c r="F2801" s="4">
        <v>18721</v>
      </c>
      <c r="G2801" s="4">
        <v>0</v>
      </c>
      <c r="H2801" s="4">
        <v>0</v>
      </c>
      <c r="I2801" s="4">
        <v>0</v>
      </c>
      <c r="J2801" s="4">
        <v>18721</v>
      </c>
    </row>
    <row r="2802" spans="1:10" x14ac:dyDescent="0.75">
      <c r="A2802" t="s">
        <v>163</v>
      </c>
      <c r="B2802">
        <v>2294</v>
      </c>
      <c r="C2802" t="s">
        <v>178</v>
      </c>
      <c r="D2802">
        <v>3276</v>
      </c>
      <c r="E2802" t="s">
        <v>379</v>
      </c>
      <c r="F2802" s="4">
        <v>12215</v>
      </c>
      <c r="G2802" s="4">
        <v>0</v>
      </c>
      <c r="H2802" s="4">
        <v>0</v>
      </c>
      <c r="I2802" s="4">
        <v>0</v>
      </c>
      <c r="J2802" s="4">
        <v>12215</v>
      </c>
    </row>
    <row r="2803" spans="1:10" x14ac:dyDescent="0.75">
      <c r="A2803" t="s">
        <v>163</v>
      </c>
      <c r="B2803">
        <v>2294</v>
      </c>
      <c r="C2803" t="s">
        <v>178</v>
      </c>
      <c r="D2803">
        <v>4670</v>
      </c>
      <c r="E2803" t="s">
        <v>458</v>
      </c>
      <c r="F2803" s="4">
        <v>9942</v>
      </c>
      <c r="G2803" s="4">
        <v>0</v>
      </c>
      <c r="H2803" s="4">
        <v>0</v>
      </c>
      <c r="I2803" s="4">
        <v>0</v>
      </c>
      <c r="J2803" s="4">
        <v>9942</v>
      </c>
    </row>
    <row r="2804" spans="1:10" x14ac:dyDescent="0.75">
      <c r="A2804" t="s">
        <v>163</v>
      </c>
      <c r="B2804">
        <v>2294</v>
      </c>
      <c r="C2804" t="s">
        <v>178</v>
      </c>
      <c r="D2804">
        <v>6782</v>
      </c>
      <c r="E2804" t="s">
        <v>396</v>
      </c>
      <c r="F2804" s="4">
        <v>9562</v>
      </c>
      <c r="G2804" s="4">
        <v>0</v>
      </c>
      <c r="H2804" s="4">
        <v>0</v>
      </c>
      <c r="I2804" s="4">
        <v>0</v>
      </c>
      <c r="J2804" s="4">
        <v>9562</v>
      </c>
    </row>
    <row r="2805" spans="1:10" x14ac:dyDescent="0.75">
      <c r="A2805" t="s">
        <v>163</v>
      </c>
      <c r="B2805">
        <v>2294</v>
      </c>
      <c r="C2805" t="s">
        <v>178</v>
      </c>
      <c r="D2805">
        <v>4410</v>
      </c>
      <c r="E2805" t="s">
        <v>399</v>
      </c>
      <c r="F2805" s="4">
        <v>6711</v>
      </c>
      <c r="G2805" s="4">
        <v>0</v>
      </c>
      <c r="H2805" s="4">
        <v>0</v>
      </c>
      <c r="I2805" s="4">
        <v>0</v>
      </c>
      <c r="J2805" s="4">
        <v>6711</v>
      </c>
    </row>
    <row r="2806" spans="1:10" x14ac:dyDescent="0.75">
      <c r="A2806" t="s">
        <v>163</v>
      </c>
      <c r="B2806">
        <v>2294</v>
      </c>
      <c r="C2806" t="s">
        <v>178</v>
      </c>
      <c r="D2806">
        <v>4860</v>
      </c>
      <c r="E2806" t="s">
        <v>400</v>
      </c>
      <c r="F2806" s="4">
        <v>6004</v>
      </c>
      <c r="G2806" s="4">
        <v>0</v>
      </c>
      <c r="H2806" s="4">
        <v>0</v>
      </c>
      <c r="I2806" s="4">
        <v>0</v>
      </c>
      <c r="J2806" s="4">
        <v>6004</v>
      </c>
    </row>
    <row r="2807" spans="1:10" x14ac:dyDescent="0.75">
      <c r="A2807" t="s">
        <v>163</v>
      </c>
      <c r="B2807">
        <v>2294</v>
      </c>
      <c r="C2807" t="s">
        <v>178</v>
      </c>
      <c r="D2807">
        <v>4782</v>
      </c>
      <c r="E2807" t="s">
        <v>414</v>
      </c>
      <c r="F2807" s="4">
        <v>5681</v>
      </c>
      <c r="G2807" s="4">
        <v>0</v>
      </c>
      <c r="H2807" s="4">
        <v>0</v>
      </c>
      <c r="I2807" s="4">
        <v>0</v>
      </c>
      <c r="J2807" s="4">
        <v>5681</v>
      </c>
    </row>
    <row r="2808" spans="1:10" x14ac:dyDescent="0.75">
      <c r="A2808" t="s">
        <v>163</v>
      </c>
      <c r="B2808">
        <v>2294</v>
      </c>
      <c r="C2808" t="s">
        <v>178</v>
      </c>
      <c r="D2808">
        <v>4783</v>
      </c>
      <c r="E2808" t="s">
        <v>382</v>
      </c>
      <c r="F2808" s="4">
        <v>5023</v>
      </c>
      <c r="G2808" s="4">
        <v>0</v>
      </c>
      <c r="H2808" s="4">
        <v>0</v>
      </c>
      <c r="I2808" s="4">
        <v>0</v>
      </c>
      <c r="J2808" s="4">
        <v>5023</v>
      </c>
    </row>
    <row r="2809" spans="1:10" x14ac:dyDescent="0.75">
      <c r="A2809" t="s">
        <v>163</v>
      </c>
      <c r="B2809">
        <v>2294</v>
      </c>
      <c r="C2809" t="s">
        <v>178</v>
      </c>
      <c r="D2809">
        <v>4225</v>
      </c>
      <c r="E2809" t="s">
        <v>380</v>
      </c>
      <c r="F2809" s="4">
        <v>4762</v>
      </c>
      <c r="G2809" s="4">
        <v>0</v>
      </c>
      <c r="H2809" s="4">
        <v>0</v>
      </c>
      <c r="I2809" s="4">
        <v>0</v>
      </c>
      <c r="J2809" s="4">
        <v>4762</v>
      </c>
    </row>
    <row r="2810" spans="1:10" x14ac:dyDescent="0.75">
      <c r="A2810" t="s">
        <v>163</v>
      </c>
      <c r="B2810">
        <v>2294</v>
      </c>
      <c r="C2810" t="s">
        <v>178</v>
      </c>
      <c r="D2810">
        <v>2100</v>
      </c>
      <c r="E2810" t="s">
        <v>403</v>
      </c>
      <c r="F2810" s="4">
        <v>3158</v>
      </c>
      <c r="G2810" s="4">
        <v>0</v>
      </c>
      <c r="H2810" s="4">
        <v>0</v>
      </c>
      <c r="I2810" s="4">
        <v>0</v>
      </c>
      <c r="J2810" s="4">
        <v>3158</v>
      </c>
    </row>
    <row r="2811" spans="1:10" x14ac:dyDescent="0.75">
      <c r="A2811" t="s">
        <v>163</v>
      </c>
      <c r="B2811">
        <v>2294</v>
      </c>
      <c r="C2811" t="s">
        <v>178</v>
      </c>
      <c r="D2811">
        <v>3275</v>
      </c>
      <c r="E2811" t="s">
        <v>412</v>
      </c>
      <c r="F2811" s="4">
        <v>2816</v>
      </c>
      <c r="G2811" s="4">
        <v>0</v>
      </c>
      <c r="H2811" s="4">
        <v>0</v>
      </c>
      <c r="I2811" s="4">
        <v>0</v>
      </c>
      <c r="J2811" s="4">
        <v>2816</v>
      </c>
    </row>
    <row r="2812" spans="1:10" x14ac:dyDescent="0.75">
      <c r="A2812" t="s">
        <v>163</v>
      </c>
      <c r="B2812">
        <v>2294</v>
      </c>
      <c r="C2812" t="s">
        <v>178</v>
      </c>
      <c r="D2812">
        <v>4900</v>
      </c>
      <c r="E2812" t="s">
        <v>383</v>
      </c>
      <c r="F2812" s="4">
        <v>1758</v>
      </c>
      <c r="G2812" s="4">
        <v>0</v>
      </c>
      <c r="H2812" s="4">
        <v>0</v>
      </c>
      <c r="I2812" s="4">
        <v>0</v>
      </c>
      <c r="J2812" s="4">
        <v>1758</v>
      </c>
    </row>
    <row r="2813" spans="1:10" x14ac:dyDescent="0.75">
      <c r="A2813" t="s">
        <v>163</v>
      </c>
      <c r="B2813">
        <v>2294</v>
      </c>
      <c r="C2813" t="s">
        <v>178</v>
      </c>
      <c r="D2813">
        <v>4680</v>
      </c>
      <c r="E2813" t="s">
        <v>459</v>
      </c>
      <c r="F2813" s="4">
        <v>1604</v>
      </c>
      <c r="G2813" s="4">
        <v>0</v>
      </c>
      <c r="H2813" s="4">
        <v>0</v>
      </c>
      <c r="I2813" s="4">
        <v>0</v>
      </c>
      <c r="J2813" s="4">
        <v>1604</v>
      </c>
    </row>
    <row r="2814" spans="1:10" x14ac:dyDescent="0.75">
      <c r="A2814" t="s">
        <v>163</v>
      </c>
      <c r="B2814">
        <v>2294</v>
      </c>
      <c r="C2814" t="s">
        <v>178</v>
      </c>
      <c r="D2814">
        <v>2540</v>
      </c>
      <c r="E2814" t="s">
        <v>377</v>
      </c>
      <c r="F2814" s="4">
        <v>1401</v>
      </c>
      <c r="G2814" s="4">
        <v>0</v>
      </c>
      <c r="H2814" s="4">
        <v>0</v>
      </c>
      <c r="I2814" s="4">
        <v>0</v>
      </c>
      <c r="J2814" s="4">
        <v>1401</v>
      </c>
    </row>
    <row r="2815" spans="1:10" x14ac:dyDescent="0.75">
      <c r="A2815" t="s">
        <v>163</v>
      </c>
      <c r="B2815">
        <v>2294</v>
      </c>
      <c r="C2815" t="s">
        <v>178</v>
      </c>
      <c r="D2815">
        <v>1200</v>
      </c>
      <c r="E2815" t="s">
        <v>402</v>
      </c>
      <c r="F2815" s="4">
        <v>1271</v>
      </c>
      <c r="G2815" s="4">
        <v>0</v>
      </c>
      <c r="H2815" s="4">
        <v>0</v>
      </c>
      <c r="I2815" s="4">
        <v>0</v>
      </c>
      <c r="J2815" s="4">
        <v>1271</v>
      </c>
    </row>
    <row r="2816" spans="1:10" x14ac:dyDescent="0.75">
      <c r="A2816" t="s">
        <v>163</v>
      </c>
      <c r="B2816">
        <v>2294</v>
      </c>
      <c r="C2816" t="s">
        <v>178</v>
      </c>
      <c r="D2816">
        <v>5190</v>
      </c>
      <c r="E2816" t="s">
        <v>462</v>
      </c>
      <c r="F2816" s="4">
        <v>687</v>
      </c>
      <c r="G2816" s="4">
        <v>0</v>
      </c>
      <c r="H2816" s="4">
        <v>0</v>
      </c>
      <c r="I2816" s="4">
        <v>0</v>
      </c>
      <c r="J2816" s="4">
        <v>687</v>
      </c>
    </row>
    <row r="2817" spans="1:10" x14ac:dyDescent="0.75">
      <c r="A2817" t="s">
        <v>163</v>
      </c>
      <c r="B2817">
        <v>2294</v>
      </c>
      <c r="C2817" t="s">
        <v>178</v>
      </c>
      <c r="D2817">
        <v>5480</v>
      </c>
      <c r="E2817" t="s">
        <v>386</v>
      </c>
      <c r="F2817" s="4">
        <v>582</v>
      </c>
      <c r="G2817" s="4">
        <v>0</v>
      </c>
      <c r="H2817" s="4">
        <v>0</v>
      </c>
      <c r="I2817" s="4">
        <v>0</v>
      </c>
      <c r="J2817" s="4">
        <v>582</v>
      </c>
    </row>
    <row r="2818" spans="1:10" x14ac:dyDescent="0.75">
      <c r="A2818" t="s">
        <v>151</v>
      </c>
      <c r="B2818">
        <v>4878</v>
      </c>
      <c r="C2818" t="s">
        <v>100</v>
      </c>
      <c r="D2818">
        <v>7900</v>
      </c>
      <c r="E2818" t="s">
        <v>388</v>
      </c>
      <c r="F2818" s="4">
        <v>1310</v>
      </c>
      <c r="G2818" s="4">
        <v>0</v>
      </c>
      <c r="H2818" s="4">
        <v>0</v>
      </c>
      <c r="I2818" s="4">
        <v>0</v>
      </c>
      <c r="J2818" s="4">
        <v>1310</v>
      </c>
    </row>
    <row r="2819" spans="1:10" x14ac:dyDescent="0.75">
      <c r="A2819" t="s">
        <v>151</v>
      </c>
      <c r="B2819">
        <v>4878</v>
      </c>
      <c r="C2819" t="s">
        <v>100</v>
      </c>
      <c r="D2819">
        <v>7400</v>
      </c>
      <c r="E2819" t="s">
        <v>502</v>
      </c>
      <c r="F2819" s="4">
        <v>166</v>
      </c>
      <c r="G2819" s="4">
        <v>0</v>
      </c>
      <c r="H2819" s="4">
        <v>0</v>
      </c>
      <c r="I2819" s="4">
        <v>0</v>
      </c>
      <c r="J2819" s="4">
        <v>166</v>
      </c>
    </row>
    <row r="2820" spans="1:10" x14ac:dyDescent="0.75">
      <c r="A2820" t="s">
        <v>163</v>
      </c>
      <c r="B2820">
        <v>2306</v>
      </c>
      <c r="C2820" t="s">
        <v>170</v>
      </c>
      <c r="D2820">
        <v>6344</v>
      </c>
      <c r="E2820" t="s">
        <v>392</v>
      </c>
      <c r="F2820" s="4">
        <v>6476238</v>
      </c>
      <c r="G2820" s="4">
        <v>0</v>
      </c>
      <c r="H2820" s="4">
        <v>0</v>
      </c>
      <c r="I2820" s="4">
        <v>0</v>
      </c>
      <c r="J2820" s="4">
        <v>6476238</v>
      </c>
    </row>
    <row r="2821" spans="1:10" x14ac:dyDescent="0.75">
      <c r="A2821" t="s">
        <v>163</v>
      </c>
      <c r="B2821">
        <v>2306</v>
      </c>
      <c r="C2821" t="s">
        <v>170</v>
      </c>
      <c r="D2821">
        <v>6522</v>
      </c>
      <c r="E2821" t="s">
        <v>393</v>
      </c>
      <c r="F2821" s="4">
        <v>2544955</v>
      </c>
      <c r="G2821" s="4">
        <v>0</v>
      </c>
      <c r="H2821" s="4">
        <v>0</v>
      </c>
      <c r="I2821" s="4">
        <v>0</v>
      </c>
      <c r="J2821" s="4">
        <v>2544955</v>
      </c>
    </row>
    <row r="2822" spans="1:10" x14ac:dyDescent="0.75">
      <c r="A2822" t="s">
        <v>163</v>
      </c>
      <c r="B2822">
        <v>2306</v>
      </c>
      <c r="C2822" t="s">
        <v>170</v>
      </c>
      <c r="D2822">
        <v>6590</v>
      </c>
      <c r="E2822" t="s">
        <v>394</v>
      </c>
      <c r="F2822" s="4">
        <v>1093650</v>
      </c>
      <c r="G2822" s="4">
        <v>0</v>
      </c>
      <c r="H2822" s="4">
        <v>0</v>
      </c>
      <c r="I2822" s="4">
        <v>0</v>
      </c>
      <c r="J2822" s="4">
        <v>1093650</v>
      </c>
    </row>
    <row r="2823" spans="1:10" x14ac:dyDescent="0.75">
      <c r="A2823" t="s">
        <v>163</v>
      </c>
      <c r="B2823">
        <v>2306</v>
      </c>
      <c r="C2823" t="s">
        <v>170</v>
      </c>
      <c r="D2823">
        <v>5220</v>
      </c>
      <c r="E2823" t="s">
        <v>401</v>
      </c>
      <c r="F2823" s="4">
        <v>1069121</v>
      </c>
      <c r="G2823" s="4">
        <v>0</v>
      </c>
      <c r="H2823" s="4">
        <v>0</v>
      </c>
      <c r="I2823" s="4">
        <v>0</v>
      </c>
      <c r="J2823" s="4">
        <v>1069121</v>
      </c>
    </row>
    <row r="2824" spans="1:10" x14ac:dyDescent="0.75">
      <c r="A2824" t="s">
        <v>163</v>
      </c>
      <c r="B2824">
        <v>2306</v>
      </c>
      <c r="C2824" t="s">
        <v>170</v>
      </c>
      <c r="D2824">
        <v>5312</v>
      </c>
      <c r="E2824" t="s">
        <v>416</v>
      </c>
      <c r="F2824" s="4">
        <v>367533</v>
      </c>
      <c r="G2824" s="4">
        <v>0</v>
      </c>
      <c r="H2824" s="4">
        <v>0</v>
      </c>
      <c r="I2824" s="4">
        <v>0</v>
      </c>
      <c r="J2824" s="4">
        <v>367533</v>
      </c>
    </row>
    <row r="2825" spans="1:10" x14ac:dyDescent="0.75">
      <c r="A2825" t="s">
        <v>163</v>
      </c>
      <c r="B2825">
        <v>2306</v>
      </c>
      <c r="C2825" t="s">
        <v>170</v>
      </c>
      <c r="D2825">
        <v>1100</v>
      </c>
      <c r="E2825" t="s">
        <v>397</v>
      </c>
      <c r="F2825" s="4">
        <v>291204</v>
      </c>
      <c r="G2825" s="4">
        <v>0</v>
      </c>
      <c r="H2825" s="4">
        <v>0</v>
      </c>
      <c r="I2825" s="4">
        <v>0</v>
      </c>
      <c r="J2825" s="4">
        <v>291204</v>
      </c>
    </row>
    <row r="2826" spans="1:10" x14ac:dyDescent="0.75">
      <c r="A2826" t="s">
        <v>163</v>
      </c>
      <c r="B2826">
        <v>2306</v>
      </c>
      <c r="C2826" t="s">
        <v>170</v>
      </c>
      <c r="D2826">
        <v>3190</v>
      </c>
      <c r="E2826" t="s">
        <v>408</v>
      </c>
      <c r="F2826" s="4">
        <v>209006</v>
      </c>
      <c r="G2826" s="4">
        <v>0</v>
      </c>
      <c r="H2826" s="4">
        <v>0</v>
      </c>
      <c r="I2826" s="4">
        <v>0</v>
      </c>
      <c r="J2826" s="4">
        <v>209006</v>
      </c>
    </row>
    <row r="2827" spans="1:10" x14ac:dyDescent="0.75">
      <c r="A2827" t="s">
        <v>163</v>
      </c>
      <c r="B2827">
        <v>2306</v>
      </c>
      <c r="C2827" t="s">
        <v>170</v>
      </c>
      <c r="D2827">
        <v>3110</v>
      </c>
      <c r="E2827" t="s">
        <v>405</v>
      </c>
      <c r="F2827" s="4">
        <v>202942</v>
      </c>
      <c r="G2827" s="4">
        <v>0</v>
      </c>
      <c r="H2827" s="4">
        <v>0</v>
      </c>
      <c r="I2827" s="4">
        <v>0</v>
      </c>
      <c r="J2827" s="4">
        <v>202942</v>
      </c>
    </row>
    <row r="2828" spans="1:10" x14ac:dyDescent="0.75">
      <c r="A2828" t="s">
        <v>163</v>
      </c>
      <c r="B2828">
        <v>2306</v>
      </c>
      <c r="C2828" t="s">
        <v>170</v>
      </c>
      <c r="D2828">
        <v>6653</v>
      </c>
      <c r="E2828" t="s">
        <v>395</v>
      </c>
      <c r="F2828" s="4">
        <v>175621</v>
      </c>
      <c r="G2828" s="4">
        <v>0</v>
      </c>
      <c r="H2828" s="4">
        <v>0</v>
      </c>
      <c r="I2828" s="4">
        <v>0</v>
      </c>
      <c r="J2828" s="4">
        <v>175621</v>
      </c>
    </row>
    <row r="2829" spans="1:10" x14ac:dyDescent="0.75">
      <c r="A2829" t="s">
        <v>163</v>
      </c>
      <c r="B2829">
        <v>2306</v>
      </c>
      <c r="C2829" t="s">
        <v>170</v>
      </c>
      <c r="D2829">
        <v>3273</v>
      </c>
      <c r="E2829" t="s">
        <v>411</v>
      </c>
      <c r="F2829" s="4">
        <v>165512</v>
      </c>
      <c r="G2829" s="4">
        <v>0</v>
      </c>
      <c r="H2829" s="4">
        <v>0</v>
      </c>
      <c r="I2829" s="4">
        <v>0</v>
      </c>
      <c r="J2829" s="4">
        <v>165512</v>
      </c>
    </row>
    <row r="2830" spans="1:10" x14ac:dyDescent="0.75">
      <c r="A2830" t="s">
        <v>163</v>
      </c>
      <c r="B2830">
        <v>2306</v>
      </c>
      <c r="C2830" t="s">
        <v>170</v>
      </c>
      <c r="D2830">
        <v>3130</v>
      </c>
      <c r="E2830" t="s">
        <v>407</v>
      </c>
      <c r="F2830" s="4">
        <v>153430</v>
      </c>
      <c r="G2830" s="4">
        <v>0</v>
      </c>
      <c r="H2830" s="4">
        <v>0</v>
      </c>
      <c r="I2830" s="4">
        <v>0</v>
      </c>
      <c r="J2830" s="4">
        <v>153430</v>
      </c>
    </row>
    <row r="2831" spans="1:10" x14ac:dyDescent="0.75">
      <c r="A2831" t="s">
        <v>163</v>
      </c>
      <c r="B2831">
        <v>2306</v>
      </c>
      <c r="C2831" t="s">
        <v>170</v>
      </c>
      <c r="D2831">
        <v>6241</v>
      </c>
      <c r="E2831" t="s">
        <v>391</v>
      </c>
      <c r="F2831" s="4">
        <v>122634</v>
      </c>
      <c r="G2831" s="4">
        <v>0</v>
      </c>
      <c r="H2831" s="4">
        <v>0</v>
      </c>
      <c r="I2831" s="4">
        <v>0</v>
      </c>
      <c r="J2831" s="4">
        <v>122634</v>
      </c>
    </row>
    <row r="2832" spans="1:10" x14ac:dyDescent="0.75">
      <c r="A2832" t="s">
        <v>163</v>
      </c>
      <c r="B2832">
        <v>2306</v>
      </c>
      <c r="C2832" t="s">
        <v>170</v>
      </c>
      <c r="D2832">
        <v>4783</v>
      </c>
      <c r="E2832" t="s">
        <v>382</v>
      </c>
      <c r="F2832" s="4">
        <v>112400</v>
      </c>
      <c r="G2832" s="4">
        <v>0</v>
      </c>
      <c r="H2832" s="4">
        <v>0</v>
      </c>
      <c r="I2832" s="4">
        <v>0</v>
      </c>
      <c r="J2832" s="4">
        <v>112400</v>
      </c>
    </row>
    <row r="2833" spans="1:10" x14ac:dyDescent="0.75">
      <c r="A2833" t="s">
        <v>163</v>
      </c>
      <c r="B2833">
        <v>2306</v>
      </c>
      <c r="C2833" t="s">
        <v>170</v>
      </c>
      <c r="D2833">
        <v>6782</v>
      </c>
      <c r="E2833" t="s">
        <v>396</v>
      </c>
      <c r="F2833" s="4">
        <v>105747</v>
      </c>
      <c r="G2833" s="4">
        <v>0</v>
      </c>
      <c r="H2833" s="4">
        <v>0</v>
      </c>
      <c r="I2833" s="4">
        <v>0</v>
      </c>
      <c r="J2833" s="4">
        <v>105747</v>
      </c>
    </row>
    <row r="2834" spans="1:10" x14ac:dyDescent="0.75">
      <c r="A2834" t="s">
        <v>163</v>
      </c>
      <c r="B2834">
        <v>2306</v>
      </c>
      <c r="C2834" t="s">
        <v>170</v>
      </c>
      <c r="D2834">
        <v>4322</v>
      </c>
      <c r="E2834" t="s">
        <v>398</v>
      </c>
      <c r="F2834" s="4">
        <v>105399</v>
      </c>
      <c r="G2834" s="4">
        <v>0</v>
      </c>
      <c r="H2834" s="4">
        <v>0</v>
      </c>
      <c r="I2834" s="4">
        <v>0</v>
      </c>
      <c r="J2834" s="4">
        <v>105399</v>
      </c>
    </row>
    <row r="2835" spans="1:10" x14ac:dyDescent="0.75">
      <c r="A2835" t="s">
        <v>163</v>
      </c>
      <c r="B2835">
        <v>2306</v>
      </c>
      <c r="C2835" t="s">
        <v>170</v>
      </c>
      <c r="D2835">
        <v>2540</v>
      </c>
      <c r="E2835" t="s">
        <v>377</v>
      </c>
      <c r="F2835" s="4">
        <v>67869</v>
      </c>
      <c r="G2835" s="4">
        <v>0</v>
      </c>
      <c r="H2835" s="4">
        <v>0</v>
      </c>
      <c r="I2835" s="4">
        <v>0</v>
      </c>
      <c r="J2835" s="4">
        <v>67869</v>
      </c>
    </row>
    <row r="2836" spans="1:10" x14ac:dyDescent="0.75">
      <c r="A2836" t="s">
        <v>163</v>
      </c>
      <c r="B2836">
        <v>2306</v>
      </c>
      <c r="C2836" t="s">
        <v>170</v>
      </c>
      <c r="D2836">
        <v>4670</v>
      </c>
      <c r="E2836" t="s">
        <v>458</v>
      </c>
      <c r="F2836" s="4">
        <v>61347</v>
      </c>
      <c r="G2836" s="4">
        <v>0</v>
      </c>
      <c r="H2836" s="4">
        <v>0</v>
      </c>
      <c r="I2836" s="4">
        <v>0</v>
      </c>
      <c r="J2836" s="4">
        <v>61347</v>
      </c>
    </row>
    <row r="2837" spans="1:10" x14ac:dyDescent="0.75">
      <c r="A2837" t="s">
        <v>163</v>
      </c>
      <c r="B2837">
        <v>2306</v>
      </c>
      <c r="C2837" t="s">
        <v>170</v>
      </c>
      <c r="D2837">
        <v>2430</v>
      </c>
      <c r="E2837" t="s">
        <v>376</v>
      </c>
      <c r="F2837" s="4">
        <v>41258</v>
      </c>
      <c r="G2837" s="4">
        <v>0</v>
      </c>
      <c r="H2837" s="4">
        <v>0</v>
      </c>
      <c r="I2837" s="4">
        <v>0</v>
      </c>
      <c r="J2837" s="4">
        <v>41258</v>
      </c>
    </row>
    <row r="2838" spans="1:10" x14ac:dyDescent="0.75">
      <c r="A2838" t="s">
        <v>163</v>
      </c>
      <c r="B2838">
        <v>2306</v>
      </c>
      <c r="C2838" t="s">
        <v>170</v>
      </c>
      <c r="D2838">
        <v>3120</v>
      </c>
      <c r="E2838" t="s">
        <v>406</v>
      </c>
      <c r="F2838" s="4">
        <v>39826</v>
      </c>
      <c r="G2838" s="4">
        <v>0</v>
      </c>
      <c r="H2838" s="4">
        <v>0</v>
      </c>
      <c r="I2838" s="4">
        <v>0</v>
      </c>
      <c r="J2838" s="4">
        <v>39826</v>
      </c>
    </row>
    <row r="2839" spans="1:10" x14ac:dyDescent="0.75">
      <c r="A2839" t="s">
        <v>163</v>
      </c>
      <c r="B2839">
        <v>2306</v>
      </c>
      <c r="C2839" t="s">
        <v>170</v>
      </c>
      <c r="D2839">
        <v>3276</v>
      </c>
      <c r="E2839" t="s">
        <v>379</v>
      </c>
      <c r="F2839" s="4">
        <v>26917</v>
      </c>
      <c r="G2839" s="4">
        <v>0</v>
      </c>
      <c r="H2839" s="4">
        <v>0</v>
      </c>
      <c r="I2839" s="4">
        <v>0</v>
      </c>
      <c r="J2839" s="4">
        <v>26917</v>
      </c>
    </row>
    <row r="2840" spans="1:10" x14ac:dyDescent="0.75">
      <c r="A2840" t="s">
        <v>163</v>
      </c>
      <c r="B2840">
        <v>2306</v>
      </c>
      <c r="C2840" t="s">
        <v>170</v>
      </c>
      <c r="D2840">
        <v>5320</v>
      </c>
      <c r="E2840" t="s">
        <v>384</v>
      </c>
      <c r="F2840" s="4">
        <v>16150</v>
      </c>
      <c r="G2840" s="4">
        <v>0</v>
      </c>
      <c r="H2840" s="4">
        <v>0</v>
      </c>
      <c r="I2840" s="4">
        <v>0</v>
      </c>
      <c r="J2840" s="4">
        <v>16150</v>
      </c>
    </row>
    <row r="2841" spans="1:10" x14ac:dyDescent="0.75">
      <c r="A2841" t="s">
        <v>163</v>
      </c>
      <c r="B2841">
        <v>2306</v>
      </c>
      <c r="C2841" t="s">
        <v>170</v>
      </c>
      <c r="D2841">
        <v>3219</v>
      </c>
      <c r="E2841" t="s">
        <v>378</v>
      </c>
      <c r="F2841" s="4">
        <v>13714</v>
      </c>
      <c r="G2841" s="4">
        <v>0</v>
      </c>
      <c r="H2841" s="4">
        <v>0</v>
      </c>
      <c r="I2841" s="4">
        <v>0</v>
      </c>
      <c r="J2841" s="4">
        <v>13714</v>
      </c>
    </row>
    <row r="2842" spans="1:10" x14ac:dyDescent="0.75">
      <c r="A2842" t="s">
        <v>163</v>
      </c>
      <c r="B2842">
        <v>2306</v>
      </c>
      <c r="C2842" t="s">
        <v>170</v>
      </c>
      <c r="D2842">
        <v>4650</v>
      </c>
      <c r="E2842" t="s">
        <v>457</v>
      </c>
      <c r="F2842" s="4">
        <v>12985</v>
      </c>
      <c r="G2842" s="4">
        <v>0</v>
      </c>
      <c r="H2842" s="4">
        <v>0</v>
      </c>
      <c r="I2842" s="4">
        <v>0</v>
      </c>
      <c r="J2842" s="4">
        <v>12985</v>
      </c>
    </row>
    <row r="2843" spans="1:10" x14ac:dyDescent="0.75">
      <c r="A2843" t="s">
        <v>163</v>
      </c>
      <c r="B2843">
        <v>2306</v>
      </c>
      <c r="C2843" t="s">
        <v>170</v>
      </c>
      <c r="D2843">
        <v>4410</v>
      </c>
      <c r="E2843" t="s">
        <v>399</v>
      </c>
      <c r="F2843" s="4">
        <v>10568</v>
      </c>
      <c r="G2843" s="4">
        <v>0</v>
      </c>
      <c r="H2843" s="4">
        <v>0</v>
      </c>
      <c r="I2843" s="4">
        <v>0</v>
      </c>
      <c r="J2843" s="4">
        <v>10568</v>
      </c>
    </row>
    <row r="2844" spans="1:10" x14ac:dyDescent="0.75">
      <c r="A2844" t="s">
        <v>163</v>
      </c>
      <c r="B2844">
        <v>2306</v>
      </c>
      <c r="C2844" t="s">
        <v>170</v>
      </c>
      <c r="D2844">
        <v>2330</v>
      </c>
      <c r="E2844" t="s">
        <v>368</v>
      </c>
      <c r="F2844" s="4">
        <v>9877</v>
      </c>
      <c r="G2844" s="4">
        <v>0</v>
      </c>
      <c r="H2844" s="4">
        <v>0</v>
      </c>
      <c r="I2844" s="4">
        <v>0</v>
      </c>
      <c r="J2844" s="4">
        <v>9877</v>
      </c>
    </row>
    <row r="2845" spans="1:10" x14ac:dyDescent="0.75">
      <c r="A2845" t="s">
        <v>163</v>
      </c>
      <c r="B2845">
        <v>2306</v>
      </c>
      <c r="C2845" t="s">
        <v>170</v>
      </c>
      <c r="D2845">
        <v>6654</v>
      </c>
      <c r="E2845" t="s">
        <v>419</v>
      </c>
      <c r="F2845" s="4">
        <v>4729</v>
      </c>
      <c r="G2845" s="4">
        <v>0</v>
      </c>
      <c r="H2845" s="4">
        <v>0</v>
      </c>
      <c r="I2845" s="4">
        <v>0</v>
      </c>
      <c r="J2845" s="4">
        <v>4729</v>
      </c>
    </row>
    <row r="2846" spans="1:10" x14ac:dyDescent="0.75">
      <c r="A2846" t="s">
        <v>163</v>
      </c>
      <c r="B2846">
        <v>2306</v>
      </c>
      <c r="C2846" t="s">
        <v>170</v>
      </c>
      <c r="D2846">
        <v>4331</v>
      </c>
      <c r="E2846" t="s">
        <v>390</v>
      </c>
      <c r="F2846" s="4">
        <v>3980</v>
      </c>
      <c r="G2846" s="4">
        <v>0</v>
      </c>
      <c r="H2846" s="4">
        <v>0</v>
      </c>
      <c r="I2846" s="4">
        <v>0</v>
      </c>
      <c r="J2846" s="4">
        <v>3980</v>
      </c>
    </row>
    <row r="2847" spans="1:10" x14ac:dyDescent="0.75">
      <c r="A2847" t="s">
        <v>163</v>
      </c>
      <c r="B2847">
        <v>2306</v>
      </c>
      <c r="C2847" t="s">
        <v>170</v>
      </c>
      <c r="D2847">
        <v>2340</v>
      </c>
      <c r="E2847" t="s">
        <v>369</v>
      </c>
      <c r="F2847" s="4">
        <v>3808</v>
      </c>
      <c r="G2847" s="4">
        <v>0</v>
      </c>
      <c r="H2847" s="4">
        <v>0</v>
      </c>
      <c r="I2847" s="4">
        <v>0</v>
      </c>
      <c r="J2847" s="4">
        <v>3808</v>
      </c>
    </row>
    <row r="2848" spans="1:10" x14ac:dyDescent="0.75">
      <c r="A2848" t="s">
        <v>163</v>
      </c>
      <c r="B2848">
        <v>2306</v>
      </c>
      <c r="C2848" t="s">
        <v>170</v>
      </c>
      <c r="D2848">
        <v>4900</v>
      </c>
      <c r="E2848" t="s">
        <v>383</v>
      </c>
      <c r="F2848" s="4">
        <v>3242</v>
      </c>
      <c r="G2848" s="4">
        <v>0</v>
      </c>
      <c r="H2848" s="4">
        <v>0</v>
      </c>
      <c r="I2848" s="4">
        <v>0</v>
      </c>
      <c r="J2848" s="4">
        <v>3242</v>
      </c>
    </row>
    <row r="2849" spans="1:10" x14ac:dyDescent="0.75">
      <c r="A2849" t="s">
        <v>163</v>
      </c>
      <c r="B2849">
        <v>2306</v>
      </c>
      <c r="C2849" t="s">
        <v>170</v>
      </c>
      <c r="D2849">
        <v>3275</v>
      </c>
      <c r="E2849" t="s">
        <v>412</v>
      </c>
      <c r="F2849" s="4">
        <v>3171</v>
      </c>
      <c r="G2849" s="4">
        <v>0</v>
      </c>
      <c r="H2849" s="4">
        <v>0</v>
      </c>
      <c r="I2849" s="4">
        <v>0</v>
      </c>
      <c r="J2849" s="4">
        <v>3171</v>
      </c>
    </row>
    <row r="2850" spans="1:10" x14ac:dyDescent="0.75">
      <c r="A2850" t="s">
        <v>163</v>
      </c>
      <c r="B2850">
        <v>2306</v>
      </c>
      <c r="C2850" t="s">
        <v>170</v>
      </c>
      <c r="D2850">
        <v>5315</v>
      </c>
      <c r="E2850" t="s">
        <v>417</v>
      </c>
      <c r="F2850" s="4">
        <v>3023</v>
      </c>
      <c r="G2850" s="4">
        <v>0</v>
      </c>
      <c r="H2850" s="4">
        <v>0</v>
      </c>
      <c r="I2850" s="4">
        <v>0</v>
      </c>
      <c r="J2850" s="4">
        <v>3023</v>
      </c>
    </row>
    <row r="2851" spans="1:10" x14ac:dyDescent="0.75">
      <c r="A2851" t="s">
        <v>163</v>
      </c>
      <c r="B2851">
        <v>2306</v>
      </c>
      <c r="C2851" t="s">
        <v>170</v>
      </c>
      <c r="D2851">
        <v>4161</v>
      </c>
      <c r="E2851" t="s">
        <v>421</v>
      </c>
      <c r="F2851" s="4">
        <v>2073</v>
      </c>
      <c r="G2851" s="4">
        <v>0</v>
      </c>
      <c r="H2851" s="4">
        <v>0</v>
      </c>
      <c r="I2851" s="4">
        <v>0</v>
      </c>
      <c r="J2851" s="4">
        <v>2073</v>
      </c>
    </row>
    <row r="2852" spans="1:10" x14ac:dyDescent="0.75">
      <c r="A2852" t="s">
        <v>163</v>
      </c>
      <c r="B2852">
        <v>2306</v>
      </c>
      <c r="C2852" t="s">
        <v>170</v>
      </c>
      <c r="D2852">
        <v>4782</v>
      </c>
      <c r="E2852" t="s">
        <v>414</v>
      </c>
      <c r="F2852" s="4">
        <v>1601</v>
      </c>
      <c r="G2852" s="4">
        <v>0</v>
      </c>
      <c r="H2852" s="4">
        <v>0</v>
      </c>
      <c r="I2852" s="4">
        <v>0</v>
      </c>
      <c r="J2852" s="4">
        <v>1601</v>
      </c>
    </row>
    <row r="2853" spans="1:10" x14ac:dyDescent="0.75">
      <c r="A2853" t="s">
        <v>163</v>
      </c>
      <c r="B2853">
        <v>2306</v>
      </c>
      <c r="C2853" t="s">
        <v>170</v>
      </c>
      <c r="D2853">
        <v>4420</v>
      </c>
      <c r="E2853" t="s">
        <v>381</v>
      </c>
      <c r="F2853" s="4">
        <v>1600</v>
      </c>
      <c r="G2853" s="4">
        <v>0</v>
      </c>
      <c r="H2853" s="4">
        <v>0</v>
      </c>
      <c r="I2853" s="4">
        <v>0</v>
      </c>
      <c r="J2853" s="4">
        <v>1600</v>
      </c>
    </row>
    <row r="2854" spans="1:10" x14ac:dyDescent="0.75">
      <c r="A2854" t="s">
        <v>163</v>
      </c>
      <c r="B2854">
        <v>2306</v>
      </c>
      <c r="C2854" t="s">
        <v>170</v>
      </c>
      <c r="D2854">
        <v>5429</v>
      </c>
      <c r="E2854" t="s">
        <v>429</v>
      </c>
      <c r="F2854" s="4">
        <v>1537</v>
      </c>
      <c r="G2854" s="4">
        <v>0</v>
      </c>
      <c r="H2854" s="4">
        <v>0</v>
      </c>
      <c r="I2854" s="4">
        <v>0</v>
      </c>
      <c r="J2854" s="4">
        <v>1537</v>
      </c>
    </row>
    <row r="2855" spans="1:10" x14ac:dyDescent="0.75">
      <c r="A2855" t="s">
        <v>163</v>
      </c>
      <c r="B2855">
        <v>2306</v>
      </c>
      <c r="C2855" t="s">
        <v>170</v>
      </c>
      <c r="D2855">
        <v>5422</v>
      </c>
      <c r="E2855" t="s">
        <v>468</v>
      </c>
      <c r="F2855" s="4">
        <v>1519</v>
      </c>
      <c r="G2855" s="4">
        <v>0</v>
      </c>
      <c r="H2855" s="4">
        <v>0</v>
      </c>
      <c r="I2855" s="4">
        <v>0</v>
      </c>
      <c r="J2855" s="4">
        <v>1519</v>
      </c>
    </row>
    <row r="2856" spans="1:10" x14ac:dyDescent="0.75">
      <c r="A2856" t="s">
        <v>163</v>
      </c>
      <c r="B2856">
        <v>2306</v>
      </c>
      <c r="C2856" t="s">
        <v>170</v>
      </c>
      <c r="D2856">
        <v>6747</v>
      </c>
      <c r="E2856" t="s">
        <v>478</v>
      </c>
      <c r="F2856" s="4">
        <v>1513</v>
      </c>
      <c r="G2856" s="4">
        <v>0</v>
      </c>
      <c r="H2856" s="4">
        <v>0</v>
      </c>
      <c r="I2856" s="4">
        <v>0</v>
      </c>
      <c r="J2856" s="4">
        <v>1513</v>
      </c>
    </row>
    <row r="2857" spans="1:10" x14ac:dyDescent="0.75">
      <c r="A2857" t="s">
        <v>163</v>
      </c>
      <c r="B2857">
        <v>2306</v>
      </c>
      <c r="C2857" t="s">
        <v>170</v>
      </c>
      <c r="D2857">
        <v>6887</v>
      </c>
      <c r="E2857" t="s">
        <v>505</v>
      </c>
      <c r="F2857" s="4">
        <v>1352</v>
      </c>
      <c r="G2857" s="4">
        <v>0</v>
      </c>
      <c r="H2857" s="4">
        <v>0</v>
      </c>
      <c r="I2857" s="4">
        <v>0</v>
      </c>
      <c r="J2857" s="4">
        <v>1352</v>
      </c>
    </row>
    <row r="2858" spans="1:10" x14ac:dyDescent="0.75">
      <c r="A2858" t="s">
        <v>160</v>
      </c>
      <c r="B2858">
        <v>3756</v>
      </c>
      <c r="C2858" t="s">
        <v>221</v>
      </c>
      <c r="D2858">
        <v>4783</v>
      </c>
      <c r="E2858" t="s">
        <v>382</v>
      </c>
      <c r="F2858" s="4">
        <v>131648</v>
      </c>
      <c r="G2858" s="4">
        <v>859159</v>
      </c>
      <c r="H2858" s="4">
        <v>859159</v>
      </c>
      <c r="I2858" s="4">
        <v>0</v>
      </c>
      <c r="J2858" s="4">
        <v>990807</v>
      </c>
    </row>
    <row r="2859" spans="1:10" x14ac:dyDescent="0.75">
      <c r="A2859" t="s">
        <v>160</v>
      </c>
      <c r="B2859">
        <v>3756</v>
      </c>
      <c r="C2859" t="s">
        <v>221</v>
      </c>
      <c r="D2859">
        <v>5220</v>
      </c>
      <c r="E2859" t="s">
        <v>401</v>
      </c>
      <c r="F2859" s="4">
        <v>689487</v>
      </c>
      <c r="G2859" s="4">
        <v>0</v>
      </c>
      <c r="H2859" s="4">
        <v>0</v>
      </c>
      <c r="I2859" s="4">
        <v>0</v>
      </c>
      <c r="J2859" s="4">
        <v>689487</v>
      </c>
    </row>
    <row r="2860" spans="1:10" x14ac:dyDescent="0.75">
      <c r="A2860" t="s">
        <v>160</v>
      </c>
      <c r="B2860">
        <v>3756</v>
      </c>
      <c r="C2860" t="s">
        <v>221</v>
      </c>
      <c r="D2860">
        <v>5330</v>
      </c>
      <c r="E2860" t="s">
        <v>385</v>
      </c>
      <c r="F2860" s="4">
        <v>0</v>
      </c>
      <c r="G2860" s="4">
        <v>115245</v>
      </c>
      <c r="H2860" s="4">
        <v>115245</v>
      </c>
      <c r="I2860" s="4">
        <v>0</v>
      </c>
      <c r="J2860" s="4">
        <v>115245</v>
      </c>
    </row>
    <row r="2861" spans="1:10" x14ac:dyDescent="0.75">
      <c r="A2861" t="s">
        <v>160</v>
      </c>
      <c r="B2861">
        <v>3756</v>
      </c>
      <c r="C2861" t="s">
        <v>221</v>
      </c>
      <c r="D2861">
        <v>4860</v>
      </c>
      <c r="E2861" t="s">
        <v>400</v>
      </c>
      <c r="F2861" s="4">
        <v>64443</v>
      </c>
      <c r="G2861" s="4">
        <v>49620</v>
      </c>
      <c r="H2861" s="4">
        <v>49620</v>
      </c>
      <c r="I2861" s="4">
        <v>0</v>
      </c>
      <c r="J2861" s="4">
        <v>114063</v>
      </c>
    </row>
    <row r="2862" spans="1:10" x14ac:dyDescent="0.75">
      <c r="A2862" t="s">
        <v>160</v>
      </c>
      <c r="B2862">
        <v>3756</v>
      </c>
      <c r="C2862" t="s">
        <v>221</v>
      </c>
      <c r="D2862">
        <v>6522</v>
      </c>
      <c r="E2862" t="s">
        <v>393</v>
      </c>
      <c r="F2862" s="4">
        <v>46129</v>
      </c>
      <c r="G2862" s="4">
        <v>49614</v>
      </c>
      <c r="H2862" s="4">
        <v>0</v>
      </c>
      <c r="I2862" s="4">
        <v>49614</v>
      </c>
      <c r="J2862" s="4">
        <v>95743</v>
      </c>
    </row>
    <row r="2863" spans="1:10" x14ac:dyDescent="0.75">
      <c r="A2863" t="s">
        <v>160</v>
      </c>
      <c r="B2863">
        <v>3756</v>
      </c>
      <c r="C2863" t="s">
        <v>221</v>
      </c>
      <c r="D2863">
        <v>2430</v>
      </c>
      <c r="E2863" t="s">
        <v>376</v>
      </c>
      <c r="F2863" s="4">
        <v>89429</v>
      </c>
      <c r="G2863" s="4">
        <v>0</v>
      </c>
      <c r="H2863" s="4">
        <v>0</v>
      </c>
      <c r="I2863" s="4">
        <v>0</v>
      </c>
      <c r="J2863" s="4">
        <v>89429</v>
      </c>
    </row>
    <row r="2864" spans="1:10" x14ac:dyDescent="0.75">
      <c r="A2864" t="s">
        <v>160</v>
      </c>
      <c r="B2864">
        <v>3756</v>
      </c>
      <c r="C2864" t="s">
        <v>221</v>
      </c>
      <c r="D2864">
        <v>4322</v>
      </c>
      <c r="E2864" t="s">
        <v>398</v>
      </c>
      <c r="F2864" s="4">
        <v>76692</v>
      </c>
      <c r="G2864" s="4">
        <v>0</v>
      </c>
      <c r="H2864" s="4">
        <v>0</v>
      </c>
      <c r="I2864" s="4">
        <v>0</v>
      </c>
      <c r="J2864" s="4">
        <v>76692</v>
      </c>
    </row>
    <row r="2865" spans="1:10" x14ac:dyDescent="0.75">
      <c r="A2865" t="s">
        <v>160</v>
      </c>
      <c r="B2865">
        <v>3756</v>
      </c>
      <c r="C2865" t="s">
        <v>221</v>
      </c>
      <c r="D2865">
        <v>4331</v>
      </c>
      <c r="E2865" t="s">
        <v>390</v>
      </c>
      <c r="F2865" s="4">
        <v>56826</v>
      </c>
      <c r="G2865" s="4">
        <v>0</v>
      </c>
      <c r="H2865" s="4">
        <v>0</v>
      </c>
      <c r="I2865" s="4">
        <v>0</v>
      </c>
      <c r="J2865" s="4">
        <v>56826</v>
      </c>
    </row>
    <row r="2866" spans="1:10" x14ac:dyDescent="0.75">
      <c r="A2866" t="s">
        <v>160</v>
      </c>
      <c r="B2866">
        <v>3756</v>
      </c>
      <c r="C2866" t="s">
        <v>221</v>
      </c>
      <c r="D2866">
        <v>6344</v>
      </c>
      <c r="E2866" t="s">
        <v>392</v>
      </c>
      <c r="F2866" s="4">
        <v>51782</v>
      </c>
      <c r="G2866" s="4">
        <v>0</v>
      </c>
      <c r="H2866" s="4">
        <v>0</v>
      </c>
      <c r="I2866" s="4">
        <v>0</v>
      </c>
      <c r="J2866" s="4">
        <v>51782</v>
      </c>
    </row>
    <row r="2867" spans="1:10" x14ac:dyDescent="0.75">
      <c r="A2867" t="s">
        <v>160</v>
      </c>
      <c r="B2867">
        <v>3756</v>
      </c>
      <c r="C2867" t="s">
        <v>221</v>
      </c>
      <c r="D2867">
        <v>5360</v>
      </c>
      <c r="E2867" t="s">
        <v>465</v>
      </c>
      <c r="F2867" s="4">
        <v>0</v>
      </c>
      <c r="G2867" s="4">
        <v>44831</v>
      </c>
      <c r="H2867" s="4">
        <v>44831</v>
      </c>
      <c r="I2867" s="4">
        <v>0</v>
      </c>
      <c r="J2867" s="4">
        <v>44831</v>
      </c>
    </row>
    <row r="2868" spans="1:10" x14ac:dyDescent="0.75">
      <c r="A2868" t="s">
        <v>160</v>
      </c>
      <c r="B2868">
        <v>3756</v>
      </c>
      <c r="C2868" t="s">
        <v>221</v>
      </c>
      <c r="D2868">
        <v>4335</v>
      </c>
      <c r="E2868" t="s">
        <v>372</v>
      </c>
      <c r="F2868" s="4">
        <v>36174</v>
      </c>
      <c r="G2868" s="4">
        <v>0</v>
      </c>
      <c r="H2868" s="4">
        <v>0</v>
      </c>
      <c r="I2868" s="4">
        <v>0</v>
      </c>
      <c r="J2868" s="4">
        <v>36174</v>
      </c>
    </row>
    <row r="2869" spans="1:10" x14ac:dyDescent="0.75">
      <c r="A2869" t="s">
        <v>160</v>
      </c>
      <c r="B2869">
        <v>3756</v>
      </c>
      <c r="C2869" t="s">
        <v>221</v>
      </c>
      <c r="D2869">
        <v>2211</v>
      </c>
      <c r="E2869" t="s">
        <v>367</v>
      </c>
      <c r="F2869" s="4">
        <v>13002</v>
      </c>
      <c r="G2869" s="4">
        <v>22018</v>
      </c>
      <c r="H2869" s="4">
        <v>22018</v>
      </c>
      <c r="I2869" s="4">
        <v>0</v>
      </c>
      <c r="J2869" s="4">
        <v>35020</v>
      </c>
    </row>
    <row r="2870" spans="1:10" x14ac:dyDescent="0.75">
      <c r="A2870" t="s">
        <v>160</v>
      </c>
      <c r="B2870">
        <v>3756</v>
      </c>
      <c r="C2870" t="s">
        <v>221</v>
      </c>
      <c r="D2870">
        <v>6241</v>
      </c>
      <c r="E2870" t="s">
        <v>391</v>
      </c>
      <c r="F2870" s="4">
        <v>12543</v>
      </c>
      <c r="G2870" s="4">
        <v>0</v>
      </c>
      <c r="H2870" s="4">
        <v>0</v>
      </c>
      <c r="I2870" s="4">
        <v>0</v>
      </c>
      <c r="J2870" s="4">
        <v>12543</v>
      </c>
    </row>
    <row r="2871" spans="1:10" x14ac:dyDescent="0.75">
      <c r="A2871" t="s">
        <v>160</v>
      </c>
      <c r="B2871">
        <v>3756</v>
      </c>
      <c r="C2871" t="s">
        <v>221</v>
      </c>
      <c r="D2871">
        <v>2330</v>
      </c>
      <c r="E2871" t="s">
        <v>368</v>
      </c>
      <c r="F2871" s="4">
        <v>0</v>
      </c>
      <c r="G2871" s="4">
        <v>11781</v>
      </c>
      <c r="H2871" s="4">
        <v>11781</v>
      </c>
      <c r="I2871" s="4">
        <v>0</v>
      </c>
      <c r="J2871" s="4">
        <v>11781</v>
      </c>
    </row>
    <row r="2872" spans="1:10" x14ac:dyDescent="0.75">
      <c r="A2872" t="s">
        <v>160</v>
      </c>
      <c r="B2872">
        <v>3756</v>
      </c>
      <c r="C2872" t="s">
        <v>221</v>
      </c>
      <c r="D2872">
        <v>6447</v>
      </c>
      <c r="E2872" t="s">
        <v>475</v>
      </c>
      <c r="F2872" s="4">
        <v>4326</v>
      </c>
      <c r="G2872" s="4">
        <v>0</v>
      </c>
      <c r="H2872" s="4">
        <v>0</v>
      </c>
      <c r="I2872" s="4">
        <v>0</v>
      </c>
      <c r="J2872" s="4">
        <v>4326</v>
      </c>
    </row>
    <row r="2873" spans="1:10" x14ac:dyDescent="0.75">
      <c r="A2873" t="s">
        <v>160</v>
      </c>
      <c r="B2873">
        <v>3756</v>
      </c>
      <c r="C2873" t="s">
        <v>221</v>
      </c>
      <c r="D2873">
        <v>7110</v>
      </c>
      <c r="E2873" t="s">
        <v>371</v>
      </c>
      <c r="F2873" s="4">
        <v>3640</v>
      </c>
      <c r="G2873" s="4">
        <v>167</v>
      </c>
      <c r="H2873" s="4">
        <v>167</v>
      </c>
      <c r="I2873" s="4">
        <v>0</v>
      </c>
      <c r="J2873" s="4">
        <v>3807</v>
      </c>
    </row>
    <row r="2874" spans="1:10" x14ac:dyDescent="0.75">
      <c r="A2874" t="s">
        <v>160</v>
      </c>
      <c r="B2874">
        <v>3756</v>
      </c>
      <c r="C2874" t="s">
        <v>221</v>
      </c>
      <c r="D2874">
        <v>6590</v>
      </c>
      <c r="E2874" t="s">
        <v>394</v>
      </c>
      <c r="F2874" s="4">
        <v>3791</v>
      </c>
      <c r="G2874" s="4">
        <v>0</v>
      </c>
      <c r="H2874" s="4">
        <v>0</v>
      </c>
      <c r="I2874" s="4">
        <v>0</v>
      </c>
      <c r="J2874" s="4">
        <v>3791</v>
      </c>
    </row>
    <row r="2875" spans="1:10" x14ac:dyDescent="0.75">
      <c r="A2875" t="s">
        <v>160</v>
      </c>
      <c r="B2875">
        <v>3756</v>
      </c>
      <c r="C2875" t="s">
        <v>221</v>
      </c>
      <c r="D2875">
        <v>5370</v>
      </c>
      <c r="E2875" t="s">
        <v>466</v>
      </c>
      <c r="F2875" s="4">
        <v>0</v>
      </c>
      <c r="G2875" s="4">
        <v>1656</v>
      </c>
      <c r="H2875" s="4">
        <v>1656</v>
      </c>
      <c r="I2875" s="4">
        <v>0</v>
      </c>
      <c r="J2875" s="4">
        <v>1656</v>
      </c>
    </row>
    <row r="2876" spans="1:10" x14ac:dyDescent="0.75">
      <c r="A2876" t="s">
        <v>160</v>
      </c>
      <c r="B2876">
        <v>3756</v>
      </c>
      <c r="C2876" t="s">
        <v>221</v>
      </c>
      <c r="D2876">
        <v>6782</v>
      </c>
      <c r="E2876" t="s">
        <v>396</v>
      </c>
      <c r="F2876" s="4">
        <v>1594</v>
      </c>
      <c r="G2876" s="4">
        <v>0</v>
      </c>
      <c r="H2876" s="4">
        <v>0</v>
      </c>
      <c r="I2876" s="4">
        <v>0</v>
      </c>
      <c r="J2876" s="4">
        <v>1594</v>
      </c>
    </row>
    <row r="2877" spans="1:10" x14ac:dyDescent="0.75">
      <c r="A2877" t="s">
        <v>160</v>
      </c>
      <c r="B2877">
        <v>3756</v>
      </c>
      <c r="C2877" t="s">
        <v>221</v>
      </c>
      <c r="D2877">
        <v>4420</v>
      </c>
      <c r="E2877" t="s">
        <v>381</v>
      </c>
      <c r="F2877" s="4">
        <v>1580</v>
      </c>
      <c r="G2877" s="4">
        <v>0</v>
      </c>
      <c r="H2877" s="4">
        <v>0</v>
      </c>
      <c r="I2877" s="4">
        <v>0</v>
      </c>
      <c r="J2877" s="4">
        <v>1580</v>
      </c>
    </row>
    <row r="2878" spans="1:10" x14ac:dyDescent="0.75">
      <c r="A2878" t="s">
        <v>160</v>
      </c>
      <c r="B2878">
        <v>3756</v>
      </c>
      <c r="C2878" t="s">
        <v>221</v>
      </c>
      <c r="D2878">
        <v>5312</v>
      </c>
      <c r="E2878" t="s">
        <v>416</v>
      </c>
      <c r="F2878" s="4">
        <v>0</v>
      </c>
      <c r="G2878" s="4">
        <v>1261</v>
      </c>
      <c r="H2878" s="4">
        <v>1261</v>
      </c>
      <c r="I2878" s="4">
        <v>0</v>
      </c>
      <c r="J2878" s="4">
        <v>1261</v>
      </c>
    </row>
    <row r="2879" spans="1:10" x14ac:dyDescent="0.75">
      <c r="A2879" t="s">
        <v>160</v>
      </c>
      <c r="B2879">
        <v>3756</v>
      </c>
      <c r="C2879" t="s">
        <v>221</v>
      </c>
      <c r="D2879">
        <v>7120</v>
      </c>
      <c r="E2879" t="s">
        <v>499</v>
      </c>
      <c r="F2879" s="4">
        <v>0</v>
      </c>
      <c r="G2879" s="4">
        <v>215</v>
      </c>
      <c r="H2879" s="4">
        <v>215</v>
      </c>
      <c r="I2879" s="4">
        <v>0</v>
      </c>
      <c r="J2879" s="4">
        <v>215</v>
      </c>
    </row>
    <row r="2880" spans="1:10" x14ac:dyDescent="0.75">
      <c r="A2880" t="s">
        <v>160</v>
      </c>
      <c r="B2880">
        <v>3756</v>
      </c>
      <c r="C2880" t="s">
        <v>221</v>
      </c>
      <c r="D2880">
        <v>3220</v>
      </c>
      <c r="E2880" t="s">
        <v>370</v>
      </c>
      <c r="F2880" s="4">
        <v>52</v>
      </c>
      <c r="G2880" s="4">
        <v>0</v>
      </c>
      <c r="H2880" s="4">
        <v>0</v>
      </c>
      <c r="I2880" s="4">
        <v>0</v>
      </c>
      <c r="J2880" s="4">
        <v>52</v>
      </c>
    </row>
    <row r="2881" spans="1:10" x14ac:dyDescent="0.75">
      <c r="A2881" t="s">
        <v>160</v>
      </c>
      <c r="B2881">
        <v>3756</v>
      </c>
      <c r="C2881" t="s">
        <v>221</v>
      </c>
      <c r="D2881">
        <v>7900</v>
      </c>
      <c r="E2881" t="s">
        <v>388</v>
      </c>
      <c r="F2881" s="4">
        <v>50</v>
      </c>
      <c r="G2881" s="4">
        <v>0</v>
      </c>
      <c r="H2881" s="4">
        <v>0</v>
      </c>
      <c r="I2881" s="4">
        <v>0</v>
      </c>
      <c r="J2881" s="4">
        <v>50</v>
      </c>
    </row>
    <row r="2882" spans="1:10" x14ac:dyDescent="0.75">
      <c r="A2882" t="s">
        <v>160</v>
      </c>
      <c r="B2882">
        <v>3756</v>
      </c>
      <c r="C2882" t="s">
        <v>221</v>
      </c>
      <c r="D2882">
        <v>5422</v>
      </c>
      <c r="E2882" t="s">
        <v>468</v>
      </c>
      <c r="F2882" s="4">
        <v>0</v>
      </c>
      <c r="G2882" s="4">
        <v>47</v>
      </c>
      <c r="H2882" s="4">
        <v>47</v>
      </c>
      <c r="I2882" s="4">
        <v>0</v>
      </c>
      <c r="J2882" s="4">
        <v>47</v>
      </c>
    </row>
    <row r="2883" spans="1:10" x14ac:dyDescent="0.75">
      <c r="A2883" t="s">
        <v>163</v>
      </c>
      <c r="B2883">
        <v>2284</v>
      </c>
      <c r="C2883" t="s">
        <v>296</v>
      </c>
      <c r="D2883">
        <v>6522</v>
      </c>
      <c r="E2883" t="s">
        <v>393</v>
      </c>
      <c r="F2883" s="4">
        <v>111214</v>
      </c>
      <c r="G2883" s="4">
        <v>0</v>
      </c>
      <c r="H2883" s="4">
        <v>0</v>
      </c>
      <c r="I2883" s="4">
        <v>0</v>
      </c>
      <c r="J2883" s="4">
        <v>111214</v>
      </c>
    </row>
    <row r="2884" spans="1:10" x14ac:dyDescent="0.75">
      <c r="A2884" t="s">
        <v>163</v>
      </c>
      <c r="B2884">
        <v>2284</v>
      </c>
      <c r="C2884" t="s">
        <v>296</v>
      </c>
      <c r="D2884">
        <v>6344</v>
      </c>
      <c r="E2884" t="s">
        <v>392</v>
      </c>
      <c r="F2884" s="4">
        <v>80667</v>
      </c>
      <c r="G2884" s="4">
        <v>0</v>
      </c>
      <c r="H2884" s="4">
        <v>0</v>
      </c>
      <c r="I2884" s="4">
        <v>0</v>
      </c>
      <c r="J2884" s="4">
        <v>80667</v>
      </c>
    </row>
    <row r="2885" spans="1:10" x14ac:dyDescent="0.75">
      <c r="A2885" t="s">
        <v>163</v>
      </c>
      <c r="B2885">
        <v>2284</v>
      </c>
      <c r="C2885" t="s">
        <v>296</v>
      </c>
      <c r="D2885">
        <v>2330</v>
      </c>
      <c r="E2885" t="s">
        <v>368</v>
      </c>
      <c r="F2885" s="4">
        <v>68016</v>
      </c>
      <c r="G2885" s="4">
        <v>0</v>
      </c>
      <c r="H2885" s="4">
        <v>0</v>
      </c>
      <c r="I2885" s="4">
        <v>0</v>
      </c>
      <c r="J2885" s="4">
        <v>68016</v>
      </c>
    </row>
    <row r="2886" spans="1:10" x14ac:dyDescent="0.75">
      <c r="A2886" t="s">
        <v>163</v>
      </c>
      <c r="B2886">
        <v>2284</v>
      </c>
      <c r="C2886" t="s">
        <v>296</v>
      </c>
      <c r="D2886">
        <v>6241</v>
      </c>
      <c r="E2886" t="s">
        <v>391</v>
      </c>
      <c r="F2886" s="4">
        <v>17752</v>
      </c>
      <c r="G2886" s="4">
        <v>0</v>
      </c>
      <c r="H2886" s="4">
        <v>0</v>
      </c>
      <c r="I2886" s="4">
        <v>0</v>
      </c>
      <c r="J2886" s="4">
        <v>17752</v>
      </c>
    </row>
    <row r="2887" spans="1:10" x14ac:dyDescent="0.75">
      <c r="A2887" t="s">
        <v>151</v>
      </c>
      <c r="B2887">
        <v>2032</v>
      </c>
      <c r="C2887" t="s">
        <v>29</v>
      </c>
      <c r="D2887">
        <v>1100</v>
      </c>
      <c r="E2887" t="s">
        <v>397</v>
      </c>
      <c r="F2887" s="4">
        <v>4080827</v>
      </c>
      <c r="G2887" s="4">
        <v>10647095</v>
      </c>
      <c r="H2887" s="4">
        <v>1762080</v>
      </c>
      <c r="I2887" s="4">
        <v>8885015</v>
      </c>
      <c r="J2887" s="4">
        <v>14727922</v>
      </c>
    </row>
    <row r="2888" spans="1:10" x14ac:dyDescent="0.75">
      <c r="A2888" t="s">
        <v>151</v>
      </c>
      <c r="B2888">
        <v>2032</v>
      </c>
      <c r="C2888" t="s">
        <v>29</v>
      </c>
      <c r="D2888">
        <v>2100</v>
      </c>
      <c r="E2888" t="s">
        <v>403</v>
      </c>
      <c r="F2888" s="4">
        <v>4547117</v>
      </c>
      <c r="G2888" s="4">
        <v>5741634</v>
      </c>
      <c r="H2888" s="4">
        <v>5717575</v>
      </c>
      <c r="I2888" s="4">
        <v>24059</v>
      </c>
      <c r="J2888" s="4">
        <v>10288751</v>
      </c>
    </row>
    <row r="2889" spans="1:10" x14ac:dyDescent="0.75">
      <c r="A2889" t="s">
        <v>151</v>
      </c>
      <c r="B2889">
        <v>2032</v>
      </c>
      <c r="C2889" t="s">
        <v>29</v>
      </c>
      <c r="D2889">
        <v>5320</v>
      </c>
      <c r="E2889" t="s">
        <v>384</v>
      </c>
      <c r="F2889" s="4">
        <v>3399259</v>
      </c>
      <c r="G2889" s="4">
        <v>3004426</v>
      </c>
      <c r="H2889" s="4">
        <v>2968571</v>
      </c>
      <c r="I2889" s="4">
        <v>35855</v>
      </c>
      <c r="J2889" s="4">
        <v>6403685</v>
      </c>
    </row>
    <row r="2890" spans="1:10" x14ac:dyDescent="0.75">
      <c r="A2890" t="s">
        <v>151</v>
      </c>
      <c r="B2890">
        <v>2032</v>
      </c>
      <c r="C2890" t="s">
        <v>29</v>
      </c>
      <c r="D2890">
        <v>5312</v>
      </c>
      <c r="E2890" t="s">
        <v>416</v>
      </c>
      <c r="F2890" s="4">
        <v>634632</v>
      </c>
      <c r="G2890" s="4">
        <v>1805781</v>
      </c>
      <c r="H2890" s="4">
        <v>1805741</v>
      </c>
      <c r="I2890" s="4">
        <v>40</v>
      </c>
      <c r="J2890" s="4">
        <v>2440413</v>
      </c>
    </row>
    <row r="2891" spans="1:10" x14ac:dyDescent="0.75">
      <c r="A2891" t="s">
        <v>151</v>
      </c>
      <c r="B2891">
        <v>2032</v>
      </c>
      <c r="C2891" t="s">
        <v>29</v>
      </c>
      <c r="D2891">
        <v>5330</v>
      </c>
      <c r="E2891" t="s">
        <v>385</v>
      </c>
      <c r="F2891" s="4">
        <v>1186767</v>
      </c>
      <c r="G2891" s="4">
        <v>1211831</v>
      </c>
      <c r="H2891" s="4">
        <v>210993</v>
      </c>
      <c r="I2891" s="4">
        <v>1000838</v>
      </c>
      <c r="J2891" s="4">
        <v>2398598</v>
      </c>
    </row>
    <row r="2892" spans="1:10" x14ac:dyDescent="0.75">
      <c r="A2892" t="s">
        <v>151</v>
      </c>
      <c r="B2892">
        <v>2032</v>
      </c>
      <c r="C2892" t="s">
        <v>29</v>
      </c>
      <c r="D2892">
        <v>4225</v>
      </c>
      <c r="E2892" t="s">
        <v>380</v>
      </c>
      <c r="F2892" s="4">
        <v>0</v>
      </c>
      <c r="G2892" s="4">
        <v>1698329</v>
      </c>
      <c r="H2892" s="4">
        <v>551404</v>
      </c>
      <c r="I2892" s="4">
        <v>1146925</v>
      </c>
      <c r="J2892" s="4">
        <v>1698329</v>
      </c>
    </row>
    <row r="2893" spans="1:10" x14ac:dyDescent="0.75">
      <c r="A2893" t="s">
        <v>151</v>
      </c>
      <c r="B2893">
        <v>2032</v>
      </c>
      <c r="C2893" t="s">
        <v>29</v>
      </c>
      <c r="D2893">
        <v>4322</v>
      </c>
      <c r="E2893" t="s">
        <v>398</v>
      </c>
      <c r="F2893" s="4">
        <v>43295</v>
      </c>
      <c r="G2893" s="4">
        <v>948553</v>
      </c>
      <c r="H2893" s="4">
        <v>948553</v>
      </c>
      <c r="I2893" s="4">
        <v>0</v>
      </c>
      <c r="J2893" s="4">
        <v>991848</v>
      </c>
    </row>
    <row r="2894" spans="1:10" x14ac:dyDescent="0.75">
      <c r="A2894" t="s">
        <v>151</v>
      </c>
      <c r="B2894">
        <v>2032</v>
      </c>
      <c r="C2894" t="s">
        <v>29</v>
      </c>
      <c r="D2894">
        <v>2330</v>
      </c>
      <c r="E2894" t="s">
        <v>368</v>
      </c>
      <c r="F2894" s="4">
        <v>347407</v>
      </c>
      <c r="G2894" s="4">
        <v>492942</v>
      </c>
      <c r="H2894" s="4">
        <v>199618</v>
      </c>
      <c r="I2894" s="4">
        <v>293324</v>
      </c>
      <c r="J2894" s="4">
        <v>840349</v>
      </c>
    </row>
    <row r="2895" spans="1:10" x14ac:dyDescent="0.75">
      <c r="A2895" t="s">
        <v>151</v>
      </c>
      <c r="B2895">
        <v>2032</v>
      </c>
      <c r="C2895" t="s">
        <v>29</v>
      </c>
      <c r="D2895">
        <v>7900</v>
      </c>
      <c r="E2895" t="s">
        <v>388</v>
      </c>
      <c r="F2895" s="4">
        <v>349</v>
      </c>
      <c r="G2895" s="4">
        <v>645351</v>
      </c>
      <c r="H2895" s="4">
        <v>590948</v>
      </c>
      <c r="I2895" s="4">
        <v>54403</v>
      </c>
      <c r="J2895" s="4">
        <v>645700</v>
      </c>
    </row>
    <row r="2896" spans="1:10" x14ac:dyDescent="0.75">
      <c r="A2896" t="s">
        <v>151</v>
      </c>
      <c r="B2896">
        <v>2032</v>
      </c>
      <c r="C2896" t="s">
        <v>29</v>
      </c>
      <c r="D2896">
        <v>6522</v>
      </c>
      <c r="E2896" t="s">
        <v>393</v>
      </c>
      <c r="F2896" s="4">
        <v>0</v>
      </c>
      <c r="G2896" s="4">
        <v>638537</v>
      </c>
      <c r="H2896" s="4">
        <v>6</v>
      </c>
      <c r="I2896" s="4">
        <v>638531</v>
      </c>
      <c r="J2896" s="4">
        <v>638537</v>
      </c>
    </row>
    <row r="2897" spans="1:10" x14ac:dyDescent="0.75">
      <c r="A2897" t="s">
        <v>151</v>
      </c>
      <c r="B2897">
        <v>2032</v>
      </c>
      <c r="C2897" t="s">
        <v>29</v>
      </c>
      <c r="D2897">
        <v>4150</v>
      </c>
      <c r="E2897" t="s">
        <v>450</v>
      </c>
      <c r="F2897" s="4">
        <v>0</v>
      </c>
      <c r="G2897" s="4">
        <v>598961</v>
      </c>
      <c r="H2897" s="4">
        <v>80</v>
      </c>
      <c r="I2897" s="4">
        <v>598881</v>
      </c>
      <c r="J2897" s="4">
        <v>598961</v>
      </c>
    </row>
    <row r="2898" spans="1:10" x14ac:dyDescent="0.75">
      <c r="A2898" t="s">
        <v>151</v>
      </c>
      <c r="B2898">
        <v>2032</v>
      </c>
      <c r="C2898" t="s">
        <v>29</v>
      </c>
      <c r="D2898">
        <v>4420</v>
      </c>
      <c r="E2898" t="s">
        <v>381</v>
      </c>
      <c r="F2898" s="4">
        <v>504990</v>
      </c>
      <c r="G2898" s="4">
        <v>86184</v>
      </c>
      <c r="H2898" s="4">
        <v>79690</v>
      </c>
      <c r="I2898" s="4">
        <v>6494</v>
      </c>
      <c r="J2898" s="4">
        <v>591174</v>
      </c>
    </row>
    <row r="2899" spans="1:10" x14ac:dyDescent="0.75">
      <c r="A2899" t="s">
        <v>151</v>
      </c>
      <c r="B2899">
        <v>2032</v>
      </c>
      <c r="C2899" t="s">
        <v>29</v>
      </c>
      <c r="D2899">
        <v>4331</v>
      </c>
      <c r="E2899" t="s">
        <v>390</v>
      </c>
      <c r="F2899" s="4">
        <v>574300</v>
      </c>
      <c r="G2899" s="4">
        <v>168</v>
      </c>
      <c r="H2899" s="4">
        <v>151</v>
      </c>
      <c r="I2899" s="4">
        <v>17</v>
      </c>
      <c r="J2899" s="4">
        <v>574468</v>
      </c>
    </row>
    <row r="2900" spans="1:10" x14ac:dyDescent="0.75">
      <c r="A2900" t="s">
        <v>151</v>
      </c>
      <c r="B2900">
        <v>2032</v>
      </c>
      <c r="C2900" t="s">
        <v>29</v>
      </c>
      <c r="D2900">
        <v>2430</v>
      </c>
      <c r="E2900" t="s">
        <v>376</v>
      </c>
      <c r="F2900" s="4">
        <v>465072</v>
      </c>
      <c r="G2900" s="4">
        <v>5542</v>
      </c>
      <c r="H2900" s="4">
        <v>5542</v>
      </c>
      <c r="I2900" s="4">
        <v>0</v>
      </c>
      <c r="J2900" s="4">
        <v>470614</v>
      </c>
    </row>
    <row r="2901" spans="1:10" x14ac:dyDescent="0.75">
      <c r="A2901" t="s">
        <v>151</v>
      </c>
      <c r="B2901">
        <v>2032</v>
      </c>
      <c r="C2901" t="s">
        <v>29</v>
      </c>
      <c r="D2901">
        <v>3286</v>
      </c>
      <c r="E2901" t="s">
        <v>423</v>
      </c>
      <c r="F2901" s="4">
        <v>0</v>
      </c>
      <c r="G2901" s="4">
        <v>460587</v>
      </c>
      <c r="H2901" s="4">
        <v>94106</v>
      </c>
      <c r="I2901" s="4">
        <v>366481</v>
      </c>
      <c r="J2901" s="4">
        <v>460587</v>
      </c>
    </row>
    <row r="2902" spans="1:10" x14ac:dyDescent="0.75">
      <c r="A2902" t="s">
        <v>151</v>
      </c>
      <c r="B2902">
        <v>2032</v>
      </c>
      <c r="C2902" t="s">
        <v>29</v>
      </c>
      <c r="D2902">
        <v>3211</v>
      </c>
      <c r="E2902" t="s">
        <v>433</v>
      </c>
      <c r="F2902" s="4">
        <v>442409</v>
      </c>
      <c r="G2902" s="4">
        <v>1063</v>
      </c>
      <c r="H2902" s="4">
        <v>599</v>
      </c>
      <c r="I2902" s="4">
        <v>464</v>
      </c>
      <c r="J2902" s="4">
        <v>443472</v>
      </c>
    </row>
    <row r="2903" spans="1:10" x14ac:dyDescent="0.75">
      <c r="A2903" t="s">
        <v>151</v>
      </c>
      <c r="B2903">
        <v>2032</v>
      </c>
      <c r="C2903" t="s">
        <v>29</v>
      </c>
      <c r="D2903">
        <v>3220</v>
      </c>
      <c r="E2903" t="s">
        <v>370</v>
      </c>
      <c r="F2903" s="4">
        <v>229048</v>
      </c>
      <c r="G2903" s="4">
        <v>186761</v>
      </c>
      <c r="H2903" s="4">
        <v>182904</v>
      </c>
      <c r="I2903" s="4">
        <v>3857</v>
      </c>
      <c r="J2903" s="4">
        <v>415809</v>
      </c>
    </row>
    <row r="2904" spans="1:10" x14ac:dyDescent="0.75">
      <c r="A2904" t="s">
        <v>151</v>
      </c>
      <c r="B2904">
        <v>2032</v>
      </c>
      <c r="C2904" t="s">
        <v>29</v>
      </c>
      <c r="D2904">
        <v>7210</v>
      </c>
      <c r="E2904" t="s">
        <v>426</v>
      </c>
      <c r="F2904" s="4">
        <v>0</v>
      </c>
      <c r="G2904" s="4">
        <v>379807</v>
      </c>
      <c r="H2904" s="4">
        <v>373344</v>
      </c>
      <c r="I2904" s="4">
        <v>6463</v>
      </c>
      <c r="J2904" s="4">
        <v>379807</v>
      </c>
    </row>
    <row r="2905" spans="1:10" x14ac:dyDescent="0.75">
      <c r="A2905" t="s">
        <v>151</v>
      </c>
      <c r="B2905">
        <v>2032</v>
      </c>
      <c r="C2905" t="s">
        <v>29</v>
      </c>
      <c r="D2905">
        <v>4189</v>
      </c>
      <c r="E2905" t="s">
        <v>451</v>
      </c>
      <c r="F2905" s="4">
        <v>0</v>
      </c>
      <c r="G2905" s="4">
        <v>323870</v>
      </c>
      <c r="H2905" s="4">
        <v>108587</v>
      </c>
      <c r="I2905" s="4">
        <v>215283</v>
      </c>
      <c r="J2905" s="4">
        <v>323870</v>
      </c>
    </row>
    <row r="2906" spans="1:10" x14ac:dyDescent="0.75">
      <c r="A2906" t="s">
        <v>151</v>
      </c>
      <c r="B2906">
        <v>2032</v>
      </c>
      <c r="C2906" t="s">
        <v>29</v>
      </c>
      <c r="D2906">
        <v>7110</v>
      </c>
      <c r="E2906" t="s">
        <v>371</v>
      </c>
      <c r="F2906" s="4">
        <v>400</v>
      </c>
      <c r="G2906" s="4">
        <v>321610</v>
      </c>
      <c r="H2906" s="4">
        <v>195342</v>
      </c>
      <c r="I2906" s="4">
        <v>126268</v>
      </c>
      <c r="J2906" s="4">
        <v>322010</v>
      </c>
    </row>
    <row r="2907" spans="1:10" x14ac:dyDescent="0.75">
      <c r="A2907" t="s">
        <v>151</v>
      </c>
      <c r="B2907">
        <v>2032</v>
      </c>
      <c r="C2907" t="s">
        <v>29</v>
      </c>
      <c r="D2907">
        <v>2211</v>
      </c>
      <c r="E2907" t="s">
        <v>367</v>
      </c>
      <c r="F2907" s="4">
        <v>265274</v>
      </c>
      <c r="G2907" s="4">
        <v>44859</v>
      </c>
      <c r="H2907" s="4">
        <v>39</v>
      </c>
      <c r="I2907" s="4">
        <v>44820</v>
      </c>
      <c r="J2907" s="4">
        <v>310133</v>
      </c>
    </row>
    <row r="2908" spans="1:10" x14ac:dyDescent="0.75">
      <c r="A2908" t="s">
        <v>151</v>
      </c>
      <c r="B2908">
        <v>2032</v>
      </c>
      <c r="C2908" t="s">
        <v>29</v>
      </c>
      <c r="D2908">
        <v>5220</v>
      </c>
      <c r="E2908" t="s">
        <v>401</v>
      </c>
      <c r="F2908" s="4">
        <v>49378</v>
      </c>
      <c r="G2908" s="4">
        <v>191257</v>
      </c>
      <c r="H2908" s="4">
        <v>191236</v>
      </c>
      <c r="I2908" s="4">
        <v>21</v>
      </c>
      <c r="J2908" s="4">
        <v>240635</v>
      </c>
    </row>
    <row r="2909" spans="1:10" x14ac:dyDescent="0.75">
      <c r="A2909" t="s">
        <v>151</v>
      </c>
      <c r="B2909">
        <v>2032</v>
      </c>
      <c r="C2909" t="s">
        <v>29</v>
      </c>
      <c r="D2909">
        <v>6811</v>
      </c>
      <c r="E2909" t="s">
        <v>480</v>
      </c>
      <c r="F2909" s="4">
        <v>0</v>
      </c>
      <c r="G2909" s="4">
        <v>223538</v>
      </c>
      <c r="H2909" s="4">
        <v>1266</v>
      </c>
      <c r="I2909" s="4">
        <v>222272</v>
      </c>
      <c r="J2909" s="4">
        <v>223538</v>
      </c>
    </row>
    <row r="2910" spans="1:10" x14ac:dyDescent="0.75">
      <c r="A2910" t="s">
        <v>151</v>
      </c>
      <c r="B2910">
        <v>2032</v>
      </c>
      <c r="C2910" t="s">
        <v>29</v>
      </c>
      <c r="D2910">
        <v>5360</v>
      </c>
      <c r="E2910" t="s">
        <v>465</v>
      </c>
      <c r="F2910" s="4">
        <v>9205</v>
      </c>
      <c r="G2910" s="4">
        <v>187669</v>
      </c>
      <c r="H2910" s="4">
        <v>171030</v>
      </c>
      <c r="I2910" s="4">
        <v>16639</v>
      </c>
      <c r="J2910" s="4">
        <v>196874</v>
      </c>
    </row>
    <row r="2911" spans="1:10" x14ac:dyDescent="0.75">
      <c r="A2911" t="s">
        <v>151</v>
      </c>
      <c r="B2911">
        <v>2032</v>
      </c>
      <c r="C2911" t="s">
        <v>29</v>
      </c>
      <c r="D2911">
        <v>5315</v>
      </c>
      <c r="E2911" t="s">
        <v>417</v>
      </c>
      <c r="F2911" s="4">
        <v>59002</v>
      </c>
      <c r="G2911" s="4">
        <v>136900</v>
      </c>
      <c r="H2911" s="4">
        <v>136900</v>
      </c>
      <c r="I2911" s="4">
        <v>0</v>
      </c>
      <c r="J2911" s="4">
        <v>195902</v>
      </c>
    </row>
    <row r="2912" spans="1:10" x14ac:dyDescent="0.75">
      <c r="A2912" t="s">
        <v>151</v>
      </c>
      <c r="B2912">
        <v>2032</v>
      </c>
      <c r="C2912" t="s">
        <v>29</v>
      </c>
      <c r="D2912">
        <v>7120</v>
      </c>
      <c r="E2912" t="s">
        <v>499</v>
      </c>
      <c r="F2912" s="4">
        <v>0</v>
      </c>
      <c r="G2912" s="4">
        <v>185313</v>
      </c>
      <c r="H2912" s="4">
        <v>183985</v>
      </c>
      <c r="I2912" s="4">
        <v>1328</v>
      </c>
      <c r="J2912" s="4">
        <v>185313</v>
      </c>
    </row>
    <row r="2913" spans="1:10" x14ac:dyDescent="0.75">
      <c r="A2913" t="s">
        <v>151</v>
      </c>
      <c r="B2913">
        <v>2032</v>
      </c>
      <c r="C2913" t="s">
        <v>29</v>
      </c>
      <c r="D2913">
        <v>5480</v>
      </c>
      <c r="E2913" t="s">
        <v>386</v>
      </c>
      <c r="F2913" s="4">
        <v>0</v>
      </c>
      <c r="G2913" s="4">
        <v>182371</v>
      </c>
      <c r="H2913" s="4">
        <v>151744</v>
      </c>
      <c r="I2913" s="4">
        <v>30627</v>
      </c>
      <c r="J2913" s="4">
        <v>182371</v>
      </c>
    </row>
    <row r="2914" spans="1:10" x14ac:dyDescent="0.75">
      <c r="A2914" t="s">
        <v>151</v>
      </c>
      <c r="B2914">
        <v>2032</v>
      </c>
      <c r="C2914" t="s">
        <v>29</v>
      </c>
      <c r="D2914">
        <v>7500</v>
      </c>
      <c r="E2914" t="s">
        <v>427</v>
      </c>
      <c r="F2914" s="4">
        <v>0</v>
      </c>
      <c r="G2914" s="4">
        <v>175062</v>
      </c>
      <c r="H2914" s="4">
        <v>154324</v>
      </c>
      <c r="I2914" s="4">
        <v>20738</v>
      </c>
      <c r="J2914" s="4">
        <v>175062</v>
      </c>
    </row>
    <row r="2915" spans="1:10" x14ac:dyDescent="0.75">
      <c r="A2915" t="s">
        <v>151</v>
      </c>
      <c r="B2915">
        <v>2032</v>
      </c>
      <c r="C2915" t="s">
        <v>29</v>
      </c>
      <c r="D2915">
        <v>5120</v>
      </c>
      <c r="E2915" t="s">
        <v>461</v>
      </c>
      <c r="F2915" s="4">
        <v>0</v>
      </c>
      <c r="G2915" s="4">
        <v>169520</v>
      </c>
      <c r="H2915" s="4">
        <v>28098</v>
      </c>
      <c r="I2915" s="4">
        <v>141422</v>
      </c>
      <c r="J2915" s="4">
        <v>169520</v>
      </c>
    </row>
    <row r="2916" spans="1:10" x14ac:dyDescent="0.75">
      <c r="A2916" t="s">
        <v>151</v>
      </c>
      <c r="B2916">
        <v>2032</v>
      </c>
      <c r="C2916" t="s">
        <v>29</v>
      </c>
      <c r="D2916">
        <v>4161</v>
      </c>
      <c r="E2916" t="s">
        <v>421</v>
      </c>
      <c r="F2916" s="4">
        <v>162200</v>
      </c>
      <c r="G2916" s="4">
        <v>528</v>
      </c>
      <c r="H2916" s="4">
        <v>528</v>
      </c>
      <c r="I2916" s="4">
        <v>0</v>
      </c>
      <c r="J2916" s="4">
        <v>162728</v>
      </c>
    </row>
    <row r="2917" spans="1:10" x14ac:dyDescent="0.75">
      <c r="A2917" t="s">
        <v>151</v>
      </c>
      <c r="B2917">
        <v>2032</v>
      </c>
      <c r="C2917" t="s">
        <v>29</v>
      </c>
      <c r="D2917">
        <v>7600</v>
      </c>
      <c r="E2917" t="s">
        <v>503</v>
      </c>
      <c r="F2917" s="4">
        <v>0</v>
      </c>
      <c r="G2917" s="4">
        <v>150997</v>
      </c>
      <c r="H2917" s="4">
        <v>127871</v>
      </c>
      <c r="I2917" s="4">
        <v>23126</v>
      </c>
      <c r="J2917" s="4">
        <v>150997</v>
      </c>
    </row>
    <row r="2918" spans="1:10" x14ac:dyDescent="0.75">
      <c r="A2918" t="s">
        <v>151</v>
      </c>
      <c r="B2918">
        <v>2032</v>
      </c>
      <c r="C2918" t="s">
        <v>29</v>
      </c>
      <c r="D2918">
        <v>2221</v>
      </c>
      <c r="E2918" t="s">
        <v>374</v>
      </c>
      <c r="F2918" s="4">
        <v>13916</v>
      </c>
      <c r="G2918" s="4">
        <v>132413</v>
      </c>
      <c r="H2918" s="4">
        <v>0</v>
      </c>
      <c r="I2918" s="4">
        <v>132413</v>
      </c>
      <c r="J2918" s="4">
        <v>146329</v>
      </c>
    </row>
    <row r="2919" spans="1:10" x14ac:dyDescent="0.75">
      <c r="A2919" t="s">
        <v>151</v>
      </c>
      <c r="B2919">
        <v>2032</v>
      </c>
      <c r="C2919" t="s">
        <v>29</v>
      </c>
      <c r="D2919">
        <v>4170</v>
      </c>
      <c r="E2919" t="s">
        <v>424</v>
      </c>
      <c r="F2919" s="4">
        <v>0</v>
      </c>
      <c r="G2919" s="4">
        <v>144152</v>
      </c>
      <c r="H2919" s="4">
        <v>245</v>
      </c>
      <c r="I2919" s="4">
        <v>143907</v>
      </c>
      <c r="J2919" s="4">
        <v>144152</v>
      </c>
    </row>
    <row r="2920" spans="1:10" x14ac:dyDescent="0.75">
      <c r="A2920" t="s">
        <v>151</v>
      </c>
      <c r="B2920">
        <v>2032</v>
      </c>
      <c r="C2920" t="s">
        <v>29</v>
      </c>
      <c r="D2920">
        <v>5429</v>
      </c>
      <c r="E2920" t="s">
        <v>429</v>
      </c>
      <c r="F2920" s="4">
        <v>0</v>
      </c>
      <c r="G2920" s="4">
        <v>138404</v>
      </c>
      <c r="H2920" s="4">
        <v>138194</v>
      </c>
      <c r="I2920" s="4">
        <v>210</v>
      </c>
      <c r="J2920" s="4">
        <v>138404</v>
      </c>
    </row>
    <row r="2921" spans="1:10" x14ac:dyDescent="0.75">
      <c r="A2921" t="s">
        <v>151</v>
      </c>
      <c r="B2921">
        <v>2032</v>
      </c>
      <c r="C2921" t="s">
        <v>29</v>
      </c>
      <c r="D2921">
        <v>5290</v>
      </c>
      <c r="E2921" t="s">
        <v>415</v>
      </c>
      <c r="F2921" s="4">
        <v>0</v>
      </c>
      <c r="G2921" s="4">
        <v>133465</v>
      </c>
      <c r="H2921" s="4">
        <v>74551</v>
      </c>
      <c r="I2921" s="4">
        <v>58914</v>
      </c>
      <c r="J2921" s="4">
        <v>133465</v>
      </c>
    </row>
    <row r="2922" spans="1:10" x14ac:dyDescent="0.75">
      <c r="A2922" t="s">
        <v>151</v>
      </c>
      <c r="B2922">
        <v>2032</v>
      </c>
      <c r="C2922" t="s">
        <v>29</v>
      </c>
      <c r="D2922">
        <v>2340</v>
      </c>
      <c r="E2922" t="s">
        <v>369</v>
      </c>
      <c r="F2922" s="4">
        <v>129434</v>
      </c>
      <c r="G2922" s="4">
        <v>10</v>
      </c>
      <c r="H2922" s="4">
        <v>10</v>
      </c>
      <c r="I2922" s="4">
        <v>0</v>
      </c>
      <c r="J2922" s="4">
        <v>129444</v>
      </c>
    </row>
    <row r="2923" spans="1:10" x14ac:dyDescent="0.75">
      <c r="A2923" t="s">
        <v>151</v>
      </c>
      <c r="B2923">
        <v>2032</v>
      </c>
      <c r="C2923" t="s">
        <v>29</v>
      </c>
      <c r="D2923">
        <v>3276</v>
      </c>
      <c r="E2923" t="s">
        <v>379</v>
      </c>
      <c r="F2923" s="4">
        <v>10063</v>
      </c>
      <c r="G2923" s="4">
        <v>100387</v>
      </c>
      <c r="H2923" s="4">
        <v>90875</v>
      </c>
      <c r="I2923" s="4">
        <v>9512</v>
      </c>
      <c r="J2923" s="4">
        <v>110450</v>
      </c>
    </row>
    <row r="2924" spans="1:10" x14ac:dyDescent="0.75">
      <c r="A2924" t="s">
        <v>151</v>
      </c>
      <c r="B2924">
        <v>2032</v>
      </c>
      <c r="C2924" t="s">
        <v>29</v>
      </c>
      <c r="D2924">
        <v>5540</v>
      </c>
      <c r="E2924" t="s">
        <v>469</v>
      </c>
      <c r="F2924" s="4">
        <v>0</v>
      </c>
      <c r="G2924" s="4">
        <v>108881</v>
      </c>
      <c r="H2924" s="4">
        <v>90211</v>
      </c>
      <c r="I2924" s="4">
        <v>18670</v>
      </c>
      <c r="J2924" s="4">
        <v>108881</v>
      </c>
    </row>
    <row r="2925" spans="1:10" x14ac:dyDescent="0.75">
      <c r="A2925" t="s">
        <v>151</v>
      </c>
      <c r="B2925">
        <v>2032</v>
      </c>
      <c r="C2925" t="s">
        <v>29</v>
      </c>
      <c r="D2925">
        <v>4410</v>
      </c>
      <c r="E2925" t="s">
        <v>399</v>
      </c>
      <c r="F2925" s="4">
        <v>101168</v>
      </c>
      <c r="G2925" s="4">
        <v>0</v>
      </c>
      <c r="H2925" s="4">
        <v>0</v>
      </c>
      <c r="I2925" s="4">
        <v>0</v>
      </c>
      <c r="J2925" s="4">
        <v>101168</v>
      </c>
    </row>
    <row r="2926" spans="1:10" x14ac:dyDescent="0.75">
      <c r="A2926" t="s">
        <v>151</v>
      </c>
      <c r="B2926">
        <v>2032</v>
      </c>
      <c r="C2926" t="s">
        <v>29</v>
      </c>
      <c r="D2926">
        <v>1200</v>
      </c>
      <c r="E2926" t="s">
        <v>402</v>
      </c>
      <c r="F2926" s="4">
        <v>4700</v>
      </c>
      <c r="G2926" s="4">
        <v>93112</v>
      </c>
      <c r="H2926" s="4">
        <v>0</v>
      </c>
      <c r="I2926" s="4">
        <v>93112</v>
      </c>
      <c r="J2926" s="4">
        <v>97812</v>
      </c>
    </row>
    <row r="2927" spans="1:10" x14ac:dyDescent="0.75">
      <c r="A2927" t="s">
        <v>151</v>
      </c>
      <c r="B2927">
        <v>2032</v>
      </c>
      <c r="C2927" t="s">
        <v>29</v>
      </c>
      <c r="D2927">
        <v>9900</v>
      </c>
      <c r="E2927" t="s">
        <v>389</v>
      </c>
      <c r="F2927" s="4">
        <v>0</v>
      </c>
      <c r="G2927" s="4">
        <v>84964</v>
      </c>
      <c r="H2927" s="4">
        <v>56774</v>
      </c>
      <c r="I2927" s="4">
        <v>28190</v>
      </c>
      <c r="J2927" s="4">
        <v>84964</v>
      </c>
    </row>
    <row r="2928" spans="1:10" x14ac:dyDescent="0.75">
      <c r="A2928" t="s">
        <v>151</v>
      </c>
      <c r="B2928">
        <v>2032</v>
      </c>
      <c r="C2928" t="s">
        <v>29</v>
      </c>
      <c r="D2928">
        <v>4690</v>
      </c>
      <c r="E2928" t="s">
        <v>428</v>
      </c>
      <c r="F2928" s="4">
        <v>1205</v>
      </c>
      <c r="G2928" s="4">
        <v>83153</v>
      </c>
      <c r="H2928" s="4">
        <v>83025</v>
      </c>
      <c r="I2928" s="4">
        <v>128</v>
      </c>
      <c r="J2928" s="4">
        <v>84358</v>
      </c>
    </row>
    <row r="2929" spans="1:10" x14ac:dyDescent="0.75">
      <c r="A2929" t="s">
        <v>151</v>
      </c>
      <c r="B2929">
        <v>2032</v>
      </c>
      <c r="C2929" t="s">
        <v>29</v>
      </c>
      <c r="D2929">
        <v>3275</v>
      </c>
      <c r="E2929" t="s">
        <v>412</v>
      </c>
      <c r="F2929" s="4">
        <v>3100</v>
      </c>
      <c r="G2929" s="4">
        <v>81117</v>
      </c>
      <c r="H2929" s="4">
        <v>45918</v>
      </c>
      <c r="I2929" s="4">
        <v>35199</v>
      </c>
      <c r="J2929" s="4">
        <v>84217</v>
      </c>
    </row>
    <row r="2930" spans="1:10" x14ac:dyDescent="0.75">
      <c r="A2930" t="s">
        <v>151</v>
      </c>
      <c r="B2930">
        <v>2032</v>
      </c>
      <c r="C2930" t="s">
        <v>29</v>
      </c>
      <c r="D2930">
        <v>4680</v>
      </c>
      <c r="E2930" t="s">
        <v>459</v>
      </c>
      <c r="F2930" s="4">
        <v>0</v>
      </c>
      <c r="G2930" s="4">
        <v>77471</v>
      </c>
      <c r="H2930" s="4">
        <v>30639</v>
      </c>
      <c r="I2930" s="4">
        <v>46832</v>
      </c>
      <c r="J2930" s="4">
        <v>77471</v>
      </c>
    </row>
    <row r="2931" spans="1:10" x14ac:dyDescent="0.75">
      <c r="A2931" t="s">
        <v>151</v>
      </c>
      <c r="B2931">
        <v>2032</v>
      </c>
      <c r="C2931" t="s">
        <v>29</v>
      </c>
      <c r="D2931">
        <v>4310</v>
      </c>
      <c r="E2931" t="s">
        <v>453</v>
      </c>
      <c r="F2931" s="4">
        <v>0</v>
      </c>
      <c r="G2931" s="4">
        <v>67455</v>
      </c>
      <c r="H2931" s="4">
        <v>67455</v>
      </c>
      <c r="I2931" s="4">
        <v>0</v>
      </c>
      <c r="J2931" s="4">
        <v>67455</v>
      </c>
    </row>
    <row r="2932" spans="1:10" x14ac:dyDescent="0.75">
      <c r="A2932" t="s">
        <v>151</v>
      </c>
      <c r="B2932">
        <v>2032</v>
      </c>
      <c r="C2932" t="s">
        <v>29</v>
      </c>
      <c r="D2932">
        <v>3284</v>
      </c>
      <c r="E2932" t="s">
        <v>442</v>
      </c>
      <c r="F2932" s="4">
        <v>0</v>
      </c>
      <c r="G2932" s="4">
        <v>67001</v>
      </c>
      <c r="H2932" s="4">
        <v>66914</v>
      </c>
      <c r="I2932" s="4">
        <v>87</v>
      </c>
      <c r="J2932" s="4">
        <v>67001</v>
      </c>
    </row>
    <row r="2933" spans="1:10" x14ac:dyDescent="0.75">
      <c r="A2933" t="s">
        <v>151</v>
      </c>
      <c r="B2933">
        <v>2032</v>
      </c>
      <c r="C2933" t="s">
        <v>29</v>
      </c>
      <c r="D2933">
        <v>4860</v>
      </c>
      <c r="E2933" t="s">
        <v>400</v>
      </c>
      <c r="F2933" s="4">
        <v>43687</v>
      </c>
      <c r="G2933" s="4">
        <v>22057</v>
      </c>
      <c r="H2933" s="4">
        <v>22057</v>
      </c>
      <c r="I2933" s="4">
        <v>0</v>
      </c>
      <c r="J2933" s="4">
        <v>65744</v>
      </c>
    </row>
    <row r="2934" spans="1:10" x14ac:dyDescent="0.75">
      <c r="A2934" t="s">
        <v>151</v>
      </c>
      <c r="B2934">
        <v>2032</v>
      </c>
      <c r="C2934" t="s">
        <v>29</v>
      </c>
      <c r="D2934">
        <v>3298</v>
      </c>
      <c r="E2934" t="s">
        <v>447</v>
      </c>
      <c r="F2934" s="4">
        <v>0</v>
      </c>
      <c r="G2934" s="4">
        <v>63905</v>
      </c>
      <c r="H2934" s="4">
        <v>1681</v>
      </c>
      <c r="I2934" s="4">
        <v>62224</v>
      </c>
      <c r="J2934" s="4">
        <v>63905</v>
      </c>
    </row>
    <row r="2935" spans="1:10" x14ac:dyDescent="0.75">
      <c r="A2935" t="s">
        <v>151</v>
      </c>
      <c r="B2935">
        <v>2032</v>
      </c>
      <c r="C2935" t="s">
        <v>29</v>
      </c>
      <c r="D2935">
        <v>3240</v>
      </c>
      <c r="E2935" t="s">
        <v>410</v>
      </c>
      <c r="F2935" s="4">
        <v>14100</v>
      </c>
      <c r="G2935" s="4">
        <v>47451</v>
      </c>
      <c r="H2935" s="4">
        <v>22804</v>
      </c>
      <c r="I2935" s="4">
        <v>24647</v>
      </c>
      <c r="J2935" s="4">
        <v>61551</v>
      </c>
    </row>
    <row r="2936" spans="1:10" x14ac:dyDescent="0.75">
      <c r="A2936" t="s">
        <v>151</v>
      </c>
      <c r="B2936">
        <v>2032</v>
      </c>
      <c r="C2936" t="s">
        <v>29</v>
      </c>
      <c r="D2936">
        <v>3299</v>
      </c>
      <c r="E2936" t="s">
        <v>448</v>
      </c>
      <c r="F2936" s="4">
        <v>1500</v>
      </c>
      <c r="G2936" s="4">
        <v>52861</v>
      </c>
      <c r="H2936" s="4">
        <v>15747</v>
      </c>
      <c r="I2936" s="4">
        <v>37114</v>
      </c>
      <c r="J2936" s="4">
        <v>54361</v>
      </c>
    </row>
    <row r="2937" spans="1:10" x14ac:dyDescent="0.75">
      <c r="A2937" t="s">
        <v>151</v>
      </c>
      <c r="B2937">
        <v>2032</v>
      </c>
      <c r="C2937" t="s">
        <v>29</v>
      </c>
      <c r="D2937">
        <v>4783</v>
      </c>
      <c r="E2937" t="s">
        <v>382</v>
      </c>
      <c r="F2937" s="4">
        <v>45100</v>
      </c>
      <c r="G2937" s="4">
        <v>3798</v>
      </c>
      <c r="H2937" s="4">
        <v>3779</v>
      </c>
      <c r="I2937" s="4">
        <v>19</v>
      </c>
      <c r="J2937" s="4">
        <v>48898</v>
      </c>
    </row>
    <row r="2938" spans="1:10" x14ac:dyDescent="0.75">
      <c r="A2938" t="s">
        <v>151</v>
      </c>
      <c r="B2938">
        <v>2032</v>
      </c>
      <c r="C2938" t="s">
        <v>29</v>
      </c>
      <c r="D2938">
        <v>5370</v>
      </c>
      <c r="E2938" t="s">
        <v>466</v>
      </c>
      <c r="F2938" s="4">
        <v>2373</v>
      </c>
      <c r="G2938" s="4">
        <v>43718</v>
      </c>
      <c r="H2938" s="4">
        <v>42824</v>
      </c>
      <c r="I2938" s="4">
        <v>894</v>
      </c>
      <c r="J2938" s="4">
        <v>46091</v>
      </c>
    </row>
    <row r="2939" spans="1:10" x14ac:dyDescent="0.75">
      <c r="A2939" t="s">
        <v>151</v>
      </c>
      <c r="B2939">
        <v>2032</v>
      </c>
      <c r="C2939" t="s">
        <v>29</v>
      </c>
      <c r="D2939">
        <v>3230</v>
      </c>
      <c r="E2939" t="s">
        <v>434</v>
      </c>
      <c r="F2939" s="4">
        <v>0</v>
      </c>
      <c r="G2939" s="4">
        <v>43932</v>
      </c>
      <c r="H2939" s="4">
        <v>24248</v>
      </c>
      <c r="I2939" s="4">
        <v>19684</v>
      </c>
      <c r="J2939" s="4">
        <v>43932</v>
      </c>
    </row>
    <row r="2940" spans="1:10" x14ac:dyDescent="0.75">
      <c r="A2940" t="s">
        <v>151</v>
      </c>
      <c r="B2940">
        <v>2032</v>
      </c>
      <c r="C2940" t="s">
        <v>29</v>
      </c>
      <c r="D2940">
        <v>5422</v>
      </c>
      <c r="E2940" t="s">
        <v>468</v>
      </c>
      <c r="F2940" s="4">
        <v>1525</v>
      </c>
      <c r="G2940" s="4">
        <v>32678</v>
      </c>
      <c r="H2940" s="4">
        <v>32225</v>
      </c>
      <c r="I2940" s="4">
        <v>453</v>
      </c>
      <c r="J2940" s="4">
        <v>34203</v>
      </c>
    </row>
    <row r="2941" spans="1:10" x14ac:dyDescent="0.75">
      <c r="A2941" t="s">
        <v>151</v>
      </c>
      <c r="B2941">
        <v>2032</v>
      </c>
      <c r="C2941" t="s">
        <v>29</v>
      </c>
      <c r="D2941">
        <v>3282</v>
      </c>
      <c r="E2941" t="s">
        <v>440</v>
      </c>
      <c r="F2941" s="4">
        <v>0</v>
      </c>
      <c r="G2941" s="4">
        <v>33990</v>
      </c>
      <c r="H2941" s="4">
        <v>11969</v>
      </c>
      <c r="I2941" s="4">
        <v>22021</v>
      </c>
      <c r="J2941" s="4">
        <v>33990</v>
      </c>
    </row>
    <row r="2942" spans="1:10" x14ac:dyDescent="0.75">
      <c r="A2942" t="s">
        <v>151</v>
      </c>
      <c r="B2942">
        <v>2032</v>
      </c>
      <c r="C2942" t="s">
        <v>29</v>
      </c>
      <c r="D2942">
        <v>4782</v>
      </c>
      <c r="E2942" t="s">
        <v>414</v>
      </c>
      <c r="F2942" s="4">
        <v>21852</v>
      </c>
      <c r="G2942" s="4">
        <v>6472</v>
      </c>
      <c r="H2942" s="4">
        <v>1411</v>
      </c>
      <c r="I2942" s="4">
        <v>5061</v>
      </c>
      <c r="J2942" s="4">
        <v>28324</v>
      </c>
    </row>
    <row r="2943" spans="1:10" x14ac:dyDescent="0.75">
      <c r="A2943" t="s">
        <v>151</v>
      </c>
      <c r="B2943">
        <v>2032</v>
      </c>
      <c r="C2943" t="s">
        <v>29</v>
      </c>
      <c r="D2943">
        <v>3274</v>
      </c>
      <c r="E2943" t="s">
        <v>438</v>
      </c>
      <c r="F2943" s="4">
        <v>13174</v>
      </c>
      <c r="G2943" s="4">
        <v>9042</v>
      </c>
      <c r="H2943" s="4">
        <v>8867</v>
      </c>
      <c r="I2943" s="4">
        <v>175</v>
      </c>
      <c r="J2943" s="4">
        <v>22216</v>
      </c>
    </row>
    <row r="2944" spans="1:10" x14ac:dyDescent="0.75">
      <c r="A2944" t="s">
        <v>151</v>
      </c>
      <c r="B2944">
        <v>2032</v>
      </c>
      <c r="C2944" t="s">
        <v>29</v>
      </c>
      <c r="D2944">
        <v>4900</v>
      </c>
      <c r="E2944" t="s">
        <v>383</v>
      </c>
      <c r="F2944" s="4">
        <v>2300</v>
      </c>
      <c r="G2944" s="4">
        <v>19489</v>
      </c>
      <c r="H2944" s="4">
        <v>5252</v>
      </c>
      <c r="I2944" s="4">
        <v>14237</v>
      </c>
      <c r="J2944" s="4">
        <v>21789</v>
      </c>
    </row>
    <row r="2945" spans="1:10" x14ac:dyDescent="0.75">
      <c r="A2945" t="s">
        <v>151</v>
      </c>
      <c r="B2945">
        <v>2032</v>
      </c>
      <c r="C2945" t="s">
        <v>29</v>
      </c>
      <c r="D2945">
        <v>3283</v>
      </c>
      <c r="E2945" t="s">
        <v>441</v>
      </c>
      <c r="F2945" s="4">
        <v>0</v>
      </c>
      <c r="G2945" s="4">
        <v>19806</v>
      </c>
      <c r="H2945" s="4">
        <v>483</v>
      </c>
      <c r="I2945" s="4">
        <v>19323</v>
      </c>
      <c r="J2945" s="4">
        <v>19806</v>
      </c>
    </row>
    <row r="2946" spans="1:10" x14ac:dyDescent="0.75">
      <c r="A2946" t="s">
        <v>151</v>
      </c>
      <c r="B2946">
        <v>2032</v>
      </c>
      <c r="C2946" t="s">
        <v>29</v>
      </c>
      <c r="D2946">
        <v>6885</v>
      </c>
      <c r="E2946" t="s">
        <v>493</v>
      </c>
      <c r="F2946" s="4">
        <v>0</v>
      </c>
      <c r="G2946" s="4">
        <v>18810</v>
      </c>
      <c r="H2946" s="4">
        <v>18741</v>
      </c>
      <c r="I2946" s="4">
        <v>69</v>
      </c>
      <c r="J2946" s="4">
        <v>18810</v>
      </c>
    </row>
    <row r="2947" spans="1:10" x14ac:dyDescent="0.75">
      <c r="A2947" t="s">
        <v>151</v>
      </c>
      <c r="B2947">
        <v>2032</v>
      </c>
      <c r="C2947" t="s">
        <v>29</v>
      </c>
      <c r="D2947">
        <v>6858</v>
      </c>
      <c r="E2947" t="s">
        <v>488</v>
      </c>
      <c r="F2947" s="4">
        <v>0</v>
      </c>
      <c r="G2947" s="4">
        <v>18465</v>
      </c>
      <c r="H2947" s="4">
        <v>1532</v>
      </c>
      <c r="I2947" s="4">
        <v>16933</v>
      </c>
      <c r="J2947" s="4">
        <v>18465</v>
      </c>
    </row>
    <row r="2948" spans="1:10" x14ac:dyDescent="0.75">
      <c r="A2948" t="s">
        <v>151</v>
      </c>
      <c r="B2948">
        <v>2032</v>
      </c>
      <c r="C2948" t="s">
        <v>29</v>
      </c>
      <c r="D2948">
        <v>5190</v>
      </c>
      <c r="E2948" t="s">
        <v>462</v>
      </c>
      <c r="F2948" s="4">
        <v>0</v>
      </c>
      <c r="G2948" s="4">
        <v>18094</v>
      </c>
      <c r="H2948" s="4">
        <v>16371</v>
      </c>
      <c r="I2948" s="4">
        <v>1723</v>
      </c>
      <c r="J2948" s="4">
        <v>18094</v>
      </c>
    </row>
    <row r="2949" spans="1:10" x14ac:dyDescent="0.75">
      <c r="A2949" t="s">
        <v>151</v>
      </c>
      <c r="B2949">
        <v>2032</v>
      </c>
      <c r="C2949" t="s">
        <v>29</v>
      </c>
      <c r="D2949">
        <v>4335</v>
      </c>
      <c r="E2949" t="s">
        <v>372</v>
      </c>
      <c r="F2949" s="4">
        <v>15248</v>
      </c>
      <c r="G2949" s="4">
        <v>0</v>
      </c>
      <c r="H2949" s="4">
        <v>0</v>
      </c>
      <c r="I2949" s="4">
        <v>0</v>
      </c>
      <c r="J2949" s="4">
        <v>15248</v>
      </c>
    </row>
    <row r="2950" spans="1:10" x14ac:dyDescent="0.75">
      <c r="A2950" t="s">
        <v>151</v>
      </c>
      <c r="B2950">
        <v>2032</v>
      </c>
      <c r="C2950" t="s">
        <v>29</v>
      </c>
      <c r="D2950">
        <v>7400</v>
      </c>
      <c r="E2950" t="s">
        <v>502</v>
      </c>
      <c r="F2950" s="4">
        <v>0</v>
      </c>
      <c r="G2950" s="4">
        <v>14587</v>
      </c>
      <c r="H2950" s="4">
        <v>13785</v>
      </c>
      <c r="I2950" s="4">
        <v>802</v>
      </c>
      <c r="J2950" s="4">
        <v>14587</v>
      </c>
    </row>
    <row r="2951" spans="1:10" x14ac:dyDescent="0.75">
      <c r="A2951" t="s">
        <v>151</v>
      </c>
      <c r="B2951">
        <v>2032</v>
      </c>
      <c r="C2951" t="s">
        <v>29</v>
      </c>
      <c r="D2951">
        <v>3250</v>
      </c>
      <c r="E2951" t="s">
        <v>435</v>
      </c>
      <c r="F2951" s="4">
        <v>0</v>
      </c>
      <c r="G2951" s="4">
        <v>13117</v>
      </c>
      <c r="H2951" s="4">
        <v>8530</v>
      </c>
      <c r="I2951" s="4">
        <v>4587</v>
      </c>
      <c r="J2951" s="4">
        <v>13117</v>
      </c>
    </row>
    <row r="2952" spans="1:10" x14ac:dyDescent="0.75">
      <c r="A2952" t="s">
        <v>151</v>
      </c>
      <c r="B2952">
        <v>2032</v>
      </c>
      <c r="C2952" t="s">
        <v>29</v>
      </c>
      <c r="D2952">
        <v>5240</v>
      </c>
      <c r="E2952" t="s">
        <v>464</v>
      </c>
      <c r="F2952" s="4">
        <v>0</v>
      </c>
      <c r="G2952" s="4">
        <v>12773</v>
      </c>
      <c r="H2952" s="4">
        <v>12644</v>
      </c>
      <c r="I2952" s="4">
        <v>129</v>
      </c>
      <c r="J2952" s="4">
        <v>12773</v>
      </c>
    </row>
    <row r="2953" spans="1:10" x14ac:dyDescent="0.75">
      <c r="A2953" t="s">
        <v>151</v>
      </c>
      <c r="B2953">
        <v>2032</v>
      </c>
      <c r="C2953" t="s">
        <v>29</v>
      </c>
      <c r="D2953">
        <v>4650</v>
      </c>
      <c r="E2953" t="s">
        <v>457</v>
      </c>
      <c r="F2953" s="4">
        <v>0</v>
      </c>
      <c r="G2953" s="4">
        <v>12188</v>
      </c>
      <c r="H2953" s="4">
        <v>11673</v>
      </c>
      <c r="I2953" s="4">
        <v>515</v>
      </c>
      <c r="J2953" s="4">
        <v>12188</v>
      </c>
    </row>
    <row r="2954" spans="1:10" x14ac:dyDescent="0.75">
      <c r="A2954" t="s">
        <v>151</v>
      </c>
      <c r="B2954">
        <v>2032</v>
      </c>
      <c r="C2954" t="s">
        <v>29</v>
      </c>
      <c r="D2954">
        <v>6889</v>
      </c>
      <c r="E2954" t="s">
        <v>420</v>
      </c>
      <c r="F2954" s="4">
        <v>0</v>
      </c>
      <c r="G2954" s="4">
        <v>12136</v>
      </c>
      <c r="H2954" s="4">
        <v>5517</v>
      </c>
      <c r="I2954" s="4">
        <v>6619</v>
      </c>
      <c r="J2954" s="4">
        <v>12136</v>
      </c>
    </row>
    <row r="2955" spans="1:10" x14ac:dyDescent="0.75">
      <c r="A2955" t="s">
        <v>151</v>
      </c>
      <c r="B2955">
        <v>2032</v>
      </c>
      <c r="C2955" t="s">
        <v>29</v>
      </c>
      <c r="D2955">
        <v>7220</v>
      </c>
      <c r="E2955" t="s">
        <v>500</v>
      </c>
      <c r="F2955" s="4">
        <v>0</v>
      </c>
      <c r="G2955" s="4">
        <v>11487</v>
      </c>
      <c r="H2955" s="4">
        <v>11421</v>
      </c>
      <c r="I2955" s="4">
        <v>66</v>
      </c>
      <c r="J2955" s="4">
        <v>11487</v>
      </c>
    </row>
    <row r="2956" spans="1:10" x14ac:dyDescent="0.75">
      <c r="A2956" t="s">
        <v>151</v>
      </c>
      <c r="B2956">
        <v>2032</v>
      </c>
      <c r="C2956" t="s">
        <v>29</v>
      </c>
      <c r="D2956">
        <v>6654</v>
      </c>
      <c r="E2956" t="s">
        <v>419</v>
      </c>
      <c r="F2956" s="4">
        <v>0</v>
      </c>
      <c r="G2956" s="4">
        <v>10081</v>
      </c>
      <c r="H2956" s="4">
        <v>4886</v>
      </c>
      <c r="I2956" s="4">
        <v>5195</v>
      </c>
      <c r="J2956" s="4">
        <v>10081</v>
      </c>
    </row>
    <row r="2957" spans="1:10" x14ac:dyDescent="0.75">
      <c r="A2957" t="s">
        <v>151</v>
      </c>
      <c r="B2957">
        <v>2032</v>
      </c>
      <c r="C2957" t="s">
        <v>29</v>
      </c>
      <c r="D2957">
        <v>6134</v>
      </c>
      <c r="E2957" t="s">
        <v>470</v>
      </c>
      <c r="F2957" s="4">
        <v>0</v>
      </c>
      <c r="G2957" s="4">
        <v>9564</v>
      </c>
      <c r="H2957" s="4">
        <v>9379</v>
      </c>
      <c r="I2957" s="4">
        <v>185</v>
      </c>
      <c r="J2957" s="4">
        <v>9564</v>
      </c>
    </row>
    <row r="2958" spans="1:10" x14ac:dyDescent="0.75">
      <c r="A2958" t="s">
        <v>151</v>
      </c>
      <c r="B2958">
        <v>2032</v>
      </c>
      <c r="C2958" t="s">
        <v>29</v>
      </c>
      <c r="D2958">
        <v>3273</v>
      </c>
      <c r="E2958" t="s">
        <v>411</v>
      </c>
      <c r="F2958" s="4">
        <v>9300</v>
      </c>
      <c r="G2958" s="4">
        <v>0</v>
      </c>
      <c r="H2958" s="4">
        <v>0</v>
      </c>
      <c r="I2958" s="4">
        <v>0</v>
      </c>
      <c r="J2958" s="4">
        <v>9300</v>
      </c>
    </row>
    <row r="2959" spans="1:10" x14ac:dyDescent="0.75">
      <c r="A2959" t="s">
        <v>151</v>
      </c>
      <c r="B2959">
        <v>2032</v>
      </c>
      <c r="C2959" t="s">
        <v>29</v>
      </c>
      <c r="D2959">
        <v>5421</v>
      </c>
      <c r="E2959" t="s">
        <v>467</v>
      </c>
      <c r="F2959" s="4">
        <v>0</v>
      </c>
      <c r="G2959" s="4">
        <v>8858</v>
      </c>
      <c r="H2959" s="4">
        <v>7027</v>
      </c>
      <c r="I2959" s="4">
        <v>1831</v>
      </c>
      <c r="J2959" s="4">
        <v>8858</v>
      </c>
    </row>
    <row r="2960" spans="1:10" x14ac:dyDescent="0.75">
      <c r="A2960" t="s">
        <v>151</v>
      </c>
      <c r="B2960">
        <v>2032</v>
      </c>
      <c r="C2960" t="s">
        <v>29</v>
      </c>
      <c r="D2960">
        <v>3297</v>
      </c>
      <c r="E2960" t="s">
        <v>446</v>
      </c>
      <c r="F2960" s="4">
        <v>0</v>
      </c>
      <c r="G2960" s="4">
        <v>8823</v>
      </c>
      <c r="H2960" s="4">
        <v>4060</v>
      </c>
      <c r="I2960" s="4">
        <v>4763</v>
      </c>
      <c r="J2960" s="4">
        <v>8823</v>
      </c>
    </row>
    <row r="2961" spans="1:10" x14ac:dyDescent="0.75">
      <c r="A2961" t="s">
        <v>151</v>
      </c>
      <c r="B2961">
        <v>2032</v>
      </c>
      <c r="C2961" t="s">
        <v>29</v>
      </c>
      <c r="D2961">
        <v>6893</v>
      </c>
      <c r="E2961" t="s">
        <v>496</v>
      </c>
      <c r="F2961" s="4">
        <v>0</v>
      </c>
      <c r="G2961" s="4">
        <v>7776</v>
      </c>
      <c r="H2961" s="4">
        <v>498</v>
      </c>
      <c r="I2961" s="4">
        <v>7278</v>
      </c>
      <c r="J2961" s="4">
        <v>7776</v>
      </c>
    </row>
    <row r="2962" spans="1:10" x14ac:dyDescent="0.75">
      <c r="A2962" t="s">
        <v>151</v>
      </c>
      <c r="B2962">
        <v>2032</v>
      </c>
      <c r="C2962" t="s">
        <v>29</v>
      </c>
      <c r="D2962">
        <v>6521</v>
      </c>
      <c r="E2962" t="s">
        <v>476</v>
      </c>
      <c r="F2962" s="4">
        <v>0</v>
      </c>
      <c r="G2962" s="4">
        <v>7265</v>
      </c>
      <c r="H2962" s="4">
        <v>13</v>
      </c>
      <c r="I2962" s="4">
        <v>7252</v>
      </c>
      <c r="J2962" s="4">
        <v>7265</v>
      </c>
    </row>
    <row r="2963" spans="1:10" x14ac:dyDescent="0.75">
      <c r="A2963" t="s">
        <v>151</v>
      </c>
      <c r="B2963">
        <v>2032</v>
      </c>
      <c r="C2963" t="s">
        <v>29</v>
      </c>
      <c r="D2963">
        <v>3285</v>
      </c>
      <c r="E2963" t="s">
        <v>443</v>
      </c>
      <c r="F2963" s="4">
        <v>0</v>
      </c>
      <c r="G2963" s="4">
        <v>7100</v>
      </c>
      <c r="H2963" s="4">
        <v>6702</v>
      </c>
      <c r="I2963" s="4">
        <v>398</v>
      </c>
      <c r="J2963" s="4">
        <v>7100</v>
      </c>
    </row>
    <row r="2964" spans="1:10" x14ac:dyDescent="0.75">
      <c r="A2964" t="s">
        <v>151</v>
      </c>
      <c r="B2964">
        <v>2032</v>
      </c>
      <c r="C2964" t="s">
        <v>29</v>
      </c>
      <c r="D2964">
        <v>2540</v>
      </c>
      <c r="E2964" t="s">
        <v>377</v>
      </c>
      <c r="F2964" s="4">
        <v>5727</v>
      </c>
      <c r="G2964" s="4">
        <v>1116</v>
      </c>
      <c r="H2964" s="4">
        <v>0</v>
      </c>
      <c r="I2964" s="4">
        <v>1116</v>
      </c>
      <c r="J2964" s="4">
        <v>6843</v>
      </c>
    </row>
    <row r="2965" spans="1:10" x14ac:dyDescent="0.75">
      <c r="A2965" t="s">
        <v>151</v>
      </c>
      <c r="B2965">
        <v>2032</v>
      </c>
      <c r="C2965" t="s">
        <v>29</v>
      </c>
      <c r="D2965">
        <v>6590</v>
      </c>
      <c r="E2965" t="s">
        <v>394</v>
      </c>
      <c r="F2965" s="4">
        <v>3144</v>
      </c>
      <c r="G2965" s="4">
        <v>3589</v>
      </c>
      <c r="H2965" s="4">
        <v>3589</v>
      </c>
      <c r="I2965" s="4">
        <v>0</v>
      </c>
      <c r="J2965" s="4">
        <v>6733</v>
      </c>
    </row>
    <row r="2966" spans="1:10" x14ac:dyDescent="0.75">
      <c r="A2966" t="s">
        <v>151</v>
      </c>
      <c r="B2966">
        <v>2032</v>
      </c>
      <c r="C2966" t="s">
        <v>29</v>
      </c>
      <c r="D2966">
        <v>5390</v>
      </c>
      <c r="E2966" t="s">
        <v>418</v>
      </c>
      <c r="F2966" s="4">
        <v>4606</v>
      </c>
      <c r="G2966" s="4">
        <v>1974</v>
      </c>
      <c r="H2966" s="4">
        <v>1726</v>
      </c>
      <c r="I2966" s="4">
        <v>248</v>
      </c>
      <c r="J2966" s="4">
        <v>6580</v>
      </c>
    </row>
    <row r="2967" spans="1:10" x14ac:dyDescent="0.75">
      <c r="A2967" t="s">
        <v>151</v>
      </c>
      <c r="B2967">
        <v>2032</v>
      </c>
      <c r="C2967" t="s">
        <v>29</v>
      </c>
      <c r="D2967">
        <v>6839</v>
      </c>
      <c r="E2967" t="s">
        <v>485</v>
      </c>
      <c r="F2967" s="4">
        <v>0</v>
      </c>
      <c r="G2967" s="4">
        <v>6116</v>
      </c>
      <c r="H2967" s="4">
        <v>1370</v>
      </c>
      <c r="I2967" s="4">
        <v>4746</v>
      </c>
      <c r="J2967" s="4">
        <v>6116</v>
      </c>
    </row>
    <row r="2968" spans="1:10" x14ac:dyDescent="0.75">
      <c r="A2968" t="s">
        <v>151</v>
      </c>
      <c r="B2968">
        <v>2032</v>
      </c>
      <c r="C2968" t="s">
        <v>29</v>
      </c>
      <c r="D2968">
        <v>6891</v>
      </c>
      <c r="E2968" t="s">
        <v>495</v>
      </c>
      <c r="F2968" s="4">
        <v>0</v>
      </c>
      <c r="G2968" s="4">
        <v>5035</v>
      </c>
      <c r="H2968" s="4">
        <v>4962</v>
      </c>
      <c r="I2968" s="4">
        <v>73</v>
      </c>
      <c r="J2968" s="4">
        <v>5035</v>
      </c>
    </row>
    <row r="2969" spans="1:10" x14ac:dyDescent="0.75">
      <c r="A2969" t="s">
        <v>151</v>
      </c>
      <c r="B2969">
        <v>2032</v>
      </c>
      <c r="C2969" t="s">
        <v>29</v>
      </c>
      <c r="D2969">
        <v>3190</v>
      </c>
      <c r="E2969" t="s">
        <v>408</v>
      </c>
      <c r="F2969" s="4">
        <v>0</v>
      </c>
      <c r="G2969" s="4">
        <v>4662</v>
      </c>
      <c r="H2969" s="4">
        <v>3157</v>
      </c>
      <c r="I2969" s="4">
        <v>1505</v>
      </c>
      <c r="J2969" s="4">
        <v>4662</v>
      </c>
    </row>
    <row r="2970" spans="1:10" x14ac:dyDescent="0.75">
      <c r="A2970" t="s">
        <v>151</v>
      </c>
      <c r="B2970">
        <v>2032</v>
      </c>
      <c r="C2970" t="s">
        <v>29</v>
      </c>
      <c r="D2970">
        <v>6861</v>
      </c>
      <c r="E2970" t="s">
        <v>489</v>
      </c>
      <c r="F2970" s="4">
        <v>0</v>
      </c>
      <c r="G2970" s="4">
        <v>4534</v>
      </c>
      <c r="H2970" s="4">
        <v>4534</v>
      </c>
      <c r="I2970" s="4">
        <v>0</v>
      </c>
      <c r="J2970" s="4">
        <v>4534</v>
      </c>
    </row>
    <row r="2971" spans="1:10" x14ac:dyDescent="0.75">
      <c r="A2971" t="s">
        <v>151</v>
      </c>
      <c r="B2971">
        <v>2032</v>
      </c>
      <c r="C2971" t="s">
        <v>29</v>
      </c>
      <c r="D2971">
        <v>6871</v>
      </c>
      <c r="E2971" t="s">
        <v>491</v>
      </c>
      <c r="F2971" s="4">
        <v>0</v>
      </c>
      <c r="G2971" s="4">
        <v>4151</v>
      </c>
      <c r="H2971" s="4">
        <v>4151</v>
      </c>
      <c r="I2971" s="4">
        <v>0</v>
      </c>
      <c r="J2971" s="4">
        <v>4151</v>
      </c>
    </row>
    <row r="2972" spans="1:10" x14ac:dyDescent="0.75">
      <c r="A2972" t="s">
        <v>151</v>
      </c>
      <c r="B2972">
        <v>2032</v>
      </c>
      <c r="C2972" t="s">
        <v>29</v>
      </c>
      <c r="D2972">
        <v>6782</v>
      </c>
      <c r="E2972" t="s">
        <v>396</v>
      </c>
      <c r="F2972" s="4">
        <v>0</v>
      </c>
      <c r="G2972" s="4">
        <v>4125</v>
      </c>
      <c r="H2972" s="4">
        <v>1999</v>
      </c>
      <c r="I2972" s="4">
        <v>2126</v>
      </c>
      <c r="J2972" s="4">
        <v>4125</v>
      </c>
    </row>
    <row r="2973" spans="1:10" x14ac:dyDescent="0.75">
      <c r="A2973" t="s">
        <v>151</v>
      </c>
      <c r="B2973">
        <v>2032</v>
      </c>
      <c r="C2973" t="s">
        <v>29</v>
      </c>
      <c r="D2973">
        <v>6857</v>
      </c>
      <c r="E2973" t="s">
        <v>487</v>
      </c>
      <c r="F2973" s="4">
        <v>0</v>
      </c>
      <c r="G2973" s="4">
        <v>4097</v>
      </c>
      <c r="H2973" s="4">
        <v>4097</v>
      </c>
      <c r="I2973" s="4">
        <v>0</v>
      </c>
      <c r="J2973" s="4">
        <v>4097</v>
      </c>
    </row>
    <row r="2974" spans="1:10" x14ac:dyDescent="0.75">
      <c r="A2974" t="s">
        <v>151</v>
      </c>
      <c r="B2974">
        <v>2032</v>
      </c>
      <c r="C2974" t="s">
        <v>29</v>
      </c>
      <c r="D2974">
        <v>2429</v>
      </c>
      <c r="E2974" t="s">
        <v>375</v>
      </c>
      <c r="F2974" s="4">
        <v>3755</v>
      </c>
      <c r="G2974" s="4">
        <v>0</v>
      </c>
      <c r="H2974" s="4">
        <v>0</v>
      </c>
      <c r="I2974" s="4">
        <v>0</v>
      </c>
      <c r="J2974" s="4">
        <v>3755</v>
      </c>
    </row>
    <row r="2975" spans="1:10" x14ac:dyDescent="0.75">
      <c r="A2975" t="s">
        <v>151</v>
      </c>
      <c r="B2975">
        <v>2032</v>
      </c>
      <c r="C2975" t="s">
        <v>29</v>
      </c>
      <c r="D2975">
        <v>3219</v>
      </c>
      <c r="E2975" t="s">
        <v>378</v>
      </c>
      <c r="F2975" s="4">
        <v>0</v>
      </c>
      <c r="G2975" s="4">
        <v>3595</v>
      </c>
      <c r="H2975" s="4">
        <v>2285</v>
      </c>
      <c r="I2975" s="4">
        <v>1310</v>
      </c>
      <c r="J2975" s="4">
        <v>3595</v>
      </c>
    </row>
    <row r="2976" spans="1:10" x14ac:dyDescent="0.75">
      <c r="A2976" t="s">
        <v>151</v>
      </c>
      <c r="B2976">
        <v>2032</v>
      </c>
      <c r="C2976" t="s">
        <v>29</v>
      </c>
      <c r="D2976">
        <v>6653</v>
      </c>
      <c r="E2976" t="s">
        <v>395</v>
      </c>
      <c r="F2976" s="4">
        <v>0</v>
      </c>
      <c r="G2976" s="4">
        <v>3160</v>
      </c>
      <c r="H2976" s="4">
        <v>2972</v>
      </c>
      <c r="I2976" s="4">
        <v>188</v>
      </c>
      <c r="J2976" s="4">
        <v>3160</v>
      </c>
    </row>
    <row r="2977" spans="1:10" x14ac:dyDescent="0.75">
      <c r="A2977" t="s">
        <v>151</v>
      </c>
      <c r="B2977">
        <v>2032</v>
      </c>
      <c r="C2977" t="s">
        <v>29</v>
      </c>
      <c r="D2977">
        <v>6822</v>
      </c>
      <c r="E2977" t="s">
        <v>482</v>
      </c>
      <c r="F2977" s="4">
        <v>0</v>
      </c>
      <c r="G2977" s="4">
        <v>2924</v>
      </c>
      <c r="H2977" s="4">
        <v>2775</v>
      </c>
      <c r="I2977" s="4">
        <v>149</v>
      </c>
      <c r="J2977" s="4">
        <v>2924</v>
      </c>
    </row>
    <row r="2978" spans="1:10" x14ac:dyDescent="0.75">
      <c r="A2978" t="s">
        <v>151</v>
      </c>
      <c r="B2978">
        <v>2032</v>
      </c>
      <c r="C2978" t="s">
        <v>29</v>
      </c>
      <c r="D2978">
        <v>6747</v>
      </c>
      <c r="E2978" t="s">
        <v>478</v>
      </c>
      <c r="F2978" s="4">
        <v>0</v>
      </c>
      <c r="G2978" s="4">
        <v>2303</v>
      </c>
      <c r="H2978" s="4">
        <v>1937</v>
      </c>
      <c r="I2978" s="4">
        <v>366</v>
      </c>
      <c r="J2978" s="4">
        <v>2303</v>
      </c>
    </row>
    <row r="2979" spans="1:10" x14ac:dyDescent="0.75">
      <c r="A2979" t="s">
        <v>151</v>
      </c>
      <c r="B2979">
        <v>2032</v>
      </c>
      <c r="C2979" t="s">
        <v>29</v>
      </c>
      <c r="D2979">
        <v>3279</v>
      </c>
      <c r="E2979" t="s">
        <v>422</v>
      </c>
      <c r="F2979" s="4">
        <v>0</v>
      </c>
      <c r="G2979" s="4">
        <v>2281</v>
      </c>
      <c r="H2979" s="4">
        <v>1133</v>
      </c>
      <c r="I2979" s="4">
        <v>1148</v>
      </c>
      <c r="J2979" s="4">
        <v>2281</v>
      </c>
    </row>
    <row r="2980" spans="1:10" x14ac:dyDescent="0.75">
      <c r="A2980" t="s">
        <v>151</v>
      </c>
      <c r="B2980">
        <v>2032</v>
      </c>
      <c r="C2980" t="s">
        <v>29</v>
      </c>
      <c r="D2980">
        <v>3260</v>
      </c>
      <c r="E2980" t="s">
        <v>436</v>
      </c>
      <c r="F2980" s="4">
        <v>0</v>
      </c>
      <c r="G2980" s="4">
        <v>1595</v>
      </c>
      <c r="H2980" s="4">
        <v>1474</v>
      </c>
      <c r="I2980" s="4">
        <v>121</v>
      </c>
      <c r="J2980" s="4">
        <v>1595</v>
      </c>
    </row>
    <row r="2981" spans="1:10" x14ac:dyDescent="0.75">
      <c r="A2981" t="s">
        <v>151</v>
      </c>
      <c r="B2981">
        <v>2032</v>
      </c>
      <c r="C2981" t="s">
        <v>29</v>
      </c>
      <c r="D2981">
        <v>6241</v>
      </c>
      <c r="E2981" t="s">
        <v>391</v>
      </c>
      <c r="F2981" s="4">
        <v>1559</v>
      </c>
      <c r="G2981" s="4">
        <v>0</v>
      </c>
      <c r="H2981" s="4">
        <v>0</v>
      </c>
      <c r="I2981" s="4">
        <v>0</v>
      </c>
      <c r="J2981" s="4">
        <v>1559</v>
      </c>
    </row>
    <row r="2982" spans="1:10" x14ac:dyDescent="0.75">
      <c r="A2982" t="s">
        <v>151</v>
      </c>
      <c r="B2982">
        <v>2032</v>
      </c>
      <c r="C2982" t="s">
        <v>29</v>
      </c>
      <c r="D2982">
        <v>3291</v>
      </c>
      <c r="E2982" t="s">
        <v>444</v>
      </c>
      <c r="F2982" s="4">
        <v>0</v>
      </c>
      <c r="G2982" s="4">
        <v>1491</v>
      </c>
      <c r="H2982" s="4">
        <v>608</v>
      </c>
      <c r="I2982" s="4">
        <v>883</v>
      </c>
      <c r="J2982" s="4">
        <v>1491</v>
      </c>
    </row>
    <row r="2983" spans="1:10" x14ac:dyDescent="0.75">
      <c r="A2983" t="s">
        <v>151</v>
      </c>
      <c r="B2983">
        <v>2032</v>
      </c>
      <c r="C2983" t="s">
        <v>29</v>
      </c>
      <c r="D2983">
        <v>2640</v>
      </c>
      <c r="E2983" t="s">
        <v>431</v>
      </c>
      <c r="F2983" s="4">
        <v>0</v>
      </c>
      <c r="G2983" s="4">
        <v>1317</v>
      </c>
      <c r="H2983" s="4">
        <v>8</v>
      </c>
      <c r="I2983" s="4">
        <v>1309</v>
      </c>
      <c r="J2983" s="4">
        <v>1317</v>
      </c>
    </row>
    <row r="2984" spans="1:10" x14ac:dyDescent="0.75">
      <c r="A2984" t="s">
        <v>151</v>
      </c>
      <c r="B2984">
        <v>2032</v>
      </c>
      <c r="C2984" t="s">
        <v>29</v>
      </c>
      <c r="D2984">
        <v>6136</v>
      </c>
      <c r="E2984" t="s">
        <v>471</v>
      </c>
      <c r="F2984" s="4">
        <v>0</v>
      </c>
      <c r="G2984" s="4">
        <v>1239</v>
      </c>
      <c r="H2984" s="4">
        <v>1239</v>
      </c>
      <c r="I2984" s="4">
        <v>0</v>
      </c>
      <c r="J2984" s="4">
        <v>1239</v>
      </c>
    </row>
    <row r="2985" spans="1:10" x14ac:dyDescent="0.75">
      <c r="A2985" t="s">
        <v>151</v>
      </c>
      <c r="B2985">
        <v>2032</v>
      </c>
      <c r="C2985" t="s">
        <v>29</v>
      </c>
      <c r="D2985">
        <v>6835</v>
      </c>
      <c r="E2985" t="s">
        <v>483</v>
      </c>
      <c r="F2985" s="4">
        <v>0</v>
      </c>
      <c r="G2985" s="4">
        <v>1189</v>
      </c>
      <c r="H2985" s="4">
        <v>1189</v>
      </c>
      <c r="I2985" s="4">
        <v>0</v>
      </c>
      <c r="J2985" s="4">
        <v>1189</v>
      </c>
    </row>
    <row r="2986" spans="1:10" x14ac:dyDescent="0.75">
      <c r="A2986" t="s">
        <v>151</v>
      </c>
      <c r="B2986">
        <v>2032</v>
      </c>
      <c r="C2986" t="s">
        <v>29</v>
      </c>
      <c r="D2986">
        <v>6856</v>
      </c>
      <c r="E2986" t="s">
        <v>486</v>
      </c>
      <c r="F2986" s="4">
        <v>0</v>
      </c>
      <c r="G2986" s="4">
        <v>951</v>
      </c>
      <c r="H2986" s="4">
        <v>951</v>
      </c>
      <c r="I2986" s="4">
        <v>0</v>
      </c>
      <c r="J2986" s="4">
        <v>951</v>
      </c>
    </row>
    <row r="2987" spans="1:10" x14ac:dyDescent="0.75">
      <c r="A2987" t="s">
        <v>151</v>
      </c>
      <c r="B2987">
        <v>2032</v>
      </c>
      <c r="C2987" t="s">
        <v>29</v>
      </c>
      <c r="D2987">
        <v>4190</v>
      </c>
      <c r="E2987" t="s">
        <v>452</v>
      </c>
      <c r="F2987" s="4">
        <v>0</v>
      </c>
      <c r="G2987" s="4">
        <v>832</v>
      </c>
      <c r="H2987" s="4">
        <v>832</v>
      </c>
      <c r="I2987" s="4">
        <v>0</v>
      </c>
      <c r="J2987" s="4">
        <v>832</v>
      </c>
    </row>
    <row r="2988" spans="1:10" x14ac:dyDescent="0.75">
      <c r="A2988" t="s">
        <v>151</v>
      </c>
      <c r="B2988">
        <v>2032</v>
      </c>
      <c r="C2988" t="s">
        <v>29</v>
      </c>
      <c r="D2988">
        <v>5110</v>
      </c>
      <c r="E2988" t="s">
        <v>460</v>
      </c>
      <c r="F2988" s="4">
        <v>0</v>
      </c>
      <c r="G2988" s="4">
        <v>655</v>
      </c>
      <c r="H2988" s="4">
        <v>655</v>
      </c>
      <c r="I2988" s="4">
        <v>0</v>
      </c>
      <c r="J2988" s="4">
        <v>655</v>
      </c>
    </row>
    <row r="2989" spans="1:10" x14ac:dyDescent="0.75">
      <c r="A2989" t="s">
        <v>151</v>
      </c>
      <c r="B2989">
        <v>2032</v>
      </c>
      <c r="C2989" t="s">
        <v>29</v>
      </c>
      <c r="D2989">
        <v>7230</v>
      </c>
      <c r="E2989" t="s">
        <v>387</v>
      </c>
      <c r="F2989" s="4">
        <v>0</v>
      </c>
      <c r="G2989" s="4">
        <v>571</v>
      </c>
      <c r="H2989" s="4">
        <v>527</v>
      </c>
      <c r="I2989" s="4">
        <v>44</v>
      </c>
      <c r="J2989" s="4">
        <v>571</v>
      </c>
    </row>
    <row r="2990" spans="1:10" x14ac:dyDescent="0.75">
      <c r="A2990" t="s">
        <v>151</v>
      </c>
      <c r="B2990">
        <v>2032</v>
      </c>
      <c r="C2990" t="s">
        <v>29</v>
      </c>
      <c r="D2990">
        <v>2990</v>
      </c>
      <c r="E2990" t="s">
        <v>432</v>
      </c>
      <c r="F2990" s="4">
        <v>0</v>
      </c>
      <c r="G2990" s="4">
        <v>499</v>
      </c>
      <c r="H2990" s="4">
        <v>499</v>
      </c>
      <c r="I2990" s="4">
        <v>0</v>
      </c>
      <c r="J2990" s="4">
        <v>499</v>
      </c>
    </row>
    <row r="2991" spans="1:10" x14ac:dyDescent="0.75">
      <c r="A2991" t="s">
        <v>151</v>
      </c>
      <c r="B2991">
        <v>2032</v>
      </c>
      <c r="C2991" t="s">
        <v>29</v>
      </c>
      <c r="D2991">
        <v>3292</v>
      </c>
      <c r="E2991" t="s">
        <v>413</v>
      </c>
      <c r="F2991" s="4">
        <v>0</v>
      </c>
      <c r="G2991" s="4">
        <v>344</v>
      </c>
      <c r="H2991" s="4">
        <v>207</v>
      </c>
      <c r="I2991" s="4">
        <v>137</v>
      </c>
      <c r="J2991" s="4">
        <v>344</v>
      </c>
    </row>
    <row r="2992" spans="1:10" x14ac:dyDescent="0.75">
      <c r="A2992" t="s">
        <v>151</v>
      </c>
      <c r="B2992">
        <v>2032</v>
      </c>
      <c r="C2992" t="s">
        <v>29</v>
      </c>
      <c r="D2992">
        <v>6899</v>
      </c>
      <c r="E2992" t="s">
        <v>498</v>
      </c>
      <c r="F2992" s="4">
        <v>0</v>
      </c>
      <c r="G2992" s="4">
        <v>252</v>
      </c>
      <c r="H2992" s="4">
        <v>246</v>
      </c>
      <c r="I2992" s="4">
        <v>6</v>
      </c>
      <c r="J2992" s="4">
        <v>252</v>
      </c>
    </row>
    <row r="2993" spans="1:10" x14ac:dyDescent="0.75">
      <c r="A2993" t="s">
        <v>151</v>
      </c>
      <c r="B2993">
        <v>2032</v>
      </c>
      <c r="C2993" t="s">
        <v>29</v>
      </c>
      <c r="D2993">
        <v>3293</v>
      </c>
      <c r="E2993" t="s">
        <v>445</v>
      </c>
      <c r="F2993" s="4">
        <v>0</v>
      </c>
      <c r="G2993" s="4">
        <v>241</v>
      </c>
      <c r="H2993" s="4">
        <v>235</v>
      </c>
      <c r="I2993" s="4">
        <v>6</v>
      </c>
      <c r="J2993" s="4">
        <v>241</v>
      </c>
    </row>
    <row r="2994" spans="1:10" x14ac:dyDescent="0.75">
      <c r="A2994" t="s">
        <v>151</v>
      </c>
      <c r="B2994">
        <v>2032</v>
      </c>
      <c r="C2994" t="s">
        <v>29</v>
      </c>
      <c r="D2994">
        <v>6838</v>
      </c>
      <c r="E2994" t="s">
        <v>484</v>
      </c>
      <c r="F2994" s="4">
        <v>0</v>
      </c>
      <c r="G2994" s="4">
        <v>219</v>
      </c>
      <c r="H2994" s="4">
        <v>201</v>
      </c>
      <c r="I2994" s="4">
        <v>18</v>
      </c>
      <c r="J2994" s="4">
        <v>219</v>
      </c>
    </row>
    <row r="2995" spans="1:10" x14ac:dyDescent="0.75">
      <c r="A2995" t="s">
        <v>151</v>
      </c>
      <c r="B2995">
        <v>2032</v>
      </c>
      <c r="C2995" t="s">
        <v>29</v>
      </c>
      <c r="D2995">
        <v>6746</v>
      </c>
      <c r="E2995" t="s">
        <v>477</v>
      </c>
      <c r="F2995" s="4">
        <v>0</v>
      </c>
      <c r="G2995" s="4">
        <v>163</v>
      </c>
      <c r="H2995" s="4">
        <v>163</v>
      </c>
      <c r="I2995" s="4">
        <v>0</v>
      </c>
      <c r="J2995" s="4">
        <v>163</v>
      </c>
    </row>
    <row r="2996" spans="1:10" x14ac:dyDescent="0.75">
      <c r="A2996" t="s">
        <v>151</v>
      </c>
      <c r="B2996">
        <v>2032</v>
      </c>
      <c r="C2996" t="s">
        <v>29</v>
      </c>
      <c r="D2996">
        <v>6817</v>
      </c>
      <c r="E2996" t="s">
        <v>481</v>
      </c>
      <c r="F2996" s="4">
        <v>0</v>
      </c>
      <c r="G2996" s="4">
        <v>75</v>
      </c>
      <c r="H2996" s="4">
        <v>75</v>
      </c>
      <c r="I2996" s="4">
        <v>0</v>
      </c>
      <c r="J2996" s="4">
        <v>75</v>
      </c>
    </row>
    <row r="2997" spans="1:10" x14ac:dyDescent="0.75">
      <c r="A2997" t="s">
        <v>151</v>
      </c>
      <c r="B2997">
        <v>2032</v>
      </c>
      <c r="C2997" t="s">
        <v>29</v>
      </c>
      <c r="D2997">
        <v>6442</v>
      </c>
      <c r="E2997" t="s">
        <v>472</v>
      </c>
      <c r="F2997" s="4">
        <v>0</v>
      </c>
      <c r="G2997" s="4">
        <v>73</v>
      </c>
      <c r="H2997" s="4">
        <v>73</v>
      </c>
      <c r="I2997" s="4">
        <v>0</v>
      </c>
      <c r="J2997" s="4">
        <v>73</v>
      </c>
    </row>
    <row r="2998" spans="1:10" x14ac:dyDescent="0.75">
      <c r="A2998" t="s">
        <v>151</v>
      </c>
      <c r="B2998">
        <v>2032</v>
      </c>
      <c r="C2998" t="s">
        <v>29</v>
      </c>
      <c r="D2998">
        <v>7300</v>
      </c>
      <c r="E2998" t="s">
        <v>501</v>
      </c>
      <c r="F2998" s="4">
        <v>0</v>
      </c>
      <c r="G2998" s="4">
        <v>63</v>
      </c>
      <c r="H2998" s="4">
        <v>63</v>
      </c>
      <c r="I2998" s="4">
        <v>0</v>
      </c>
      <c r="J2998" s="4">
        <v>63</v>
      </c>
    </row>
    <row r="2999" spans="1:10" x14ac:dyDescent="0.75">
      <c r="A2999" t="s">
        <v>151</v>
      </c>
      <c r="B2999">
        <v>2032</v>
      </c>
      <c r="C2999" t="s">
        <v>29</v>
      </c>
      <c r="D2999">
        <v>3110</v>
      </c>
      <c r="E2999" t="s">
        <v>405</v>
      </c>
      <c r="F2999" s="4">
        <v>0</v>
      </c>
      <c r="G2999" s="4">
        <v>54</v>
      </c>
      <c r="H2999" s="4">
        <v>14</v>
      </c>
      <c r="I2999" s="4">
        <v>40</v>
      </c>
      <c r="J2999" s="4">
        <v>54</v>
      </c>
    </row>
    <row r="3000" spans="1:10" x14ac:dyDescent="0.75">
      <c r="A3000" t="s">
        <v>151</v>
      </c>
      <c r="B3000">
        <v>2032</v>
      </c>
      <c r="C3000" t="s">
        <v>29</v>
      </c>
      <c r="D3000">
        <v>6865</v>
      </c>
      <c r="E3000" t="s">
        <v>490</v>
      </c>
      <c r="F3000" s="4">
        <v>0</v>
      </c>
      <c r="G3000" s="4">
        <v>54</v>
      </c>
      <c r="H3000" s="4">
        <v>0</v>
      </c>
      <c r="I3000" s="4">
        <v>54</v>
      </c>
      <c r="J3000" s="4">
        <v>54</v>
      </c>
    </row>
    <row r="3001" spans="1:10" x14ac:dyDescent="0.75">
      <c r="A3001" t="s">
        <v>151</v>
      </c>
      <c r="B3001">
        <v>2032</v>
      </c>
      <c r="C3001" t="s">
        <v>29</v>
      </c>
      <c r="D3001">
        <v>6888</v>
      </c>
      <c r="E3001" t="s">
        <v>494</v>
      </c>
      <c r="F3001" s="4">
        <v>0</v>
      </c>
      <c r="G3001" s="4">
        <v>48</v>
      </c>
      <c r="H3001" s="4">
        <v>48</v>
      </c>
      <c r="I3001" s="4">
        <v>0</v>
      </c>
      <c r="J3001" s="4">
        <v>48</v>
      </c>
    </row>
    <row r="3002" spans="1:10" x14ac:dyDescent="0.75">
      <c r="A3002" t="s">
        <v>151</v>
      </c>
      <c r="B3002">
        <v>2032</v>
      </c>
      <c r="C3002" t="s">
        <v>29</v>
      </c>
      <c r="D3002">
        <v>3130</v>
      </c>
      <c r="E3002" t="s">
        <v>407</v>
      </c>
      <c r="F3002" s="4">
        <v>0</v>
      </c>
      <c r="G3002" s="4">
        <v>46</v>
      </c>
      <c r="H3002" s="4">
        <v>46</v>
      </c>
      <c r="I3002" s="4">
        <v>0</v>
      </c>
      <c r="J3002" s="4">
        <v>46</v>
      </c>
    </row>
    <row r="3003" spans="1:10" x14ac:dyDescent="0.75">
      <c r="A3003" t="s">
        <v>151</v>
      </c>
      <c r="B3003">
        <v>2032</v>
      </c>
      <c r="C3003" t="s">
        <v>29</v>
      </c>
      <c r="D3003">
        <v>2350</v>
      </c>
      <c r="E3003" t="s">
        <v>404</v>
      </c>
      <c r="F3003" s="4">
        <v>0</v>
      </c>
      <c r="G3003" s="4">
        <v>36</v>
      </c>
      <c r="H3003" s="4">
        <v>0</v>
      </c>
      <c r="I3003" s="4">
        <v>36</v>
      </c>
      <c r="J3003" s="4">
        <v>36</v>
      </c>
    </row>
    <row r="3004" spans="1:10" x14ac:dyDescent="0.75">
      <c r="A3004" t="s">
        <v>151</v>
      </c>
      <c r="B3004">
        <v>2032</v>
      </c>
      <c r="C3004" t="s">
        <v>29</v>
      </c>
      <c r="D3004">
        <v>6781</v>
      </c>
      <c r="E3004" t="s">
        <v>479</v>
      </c>
      <c r="F3004" s="4">
        <v>0</v>
      </c>
      <c r="G3004" s="4">
        <v>27</v>
      </c>
      <c r="H3004" s="4">
        <v>1</v>
      </c>
      <c r="I3004" s="4">
        <v>26</v>
      </c>
      <c r="J3004" s="4">
        <v>27</v>
      </c>
    </row>
    <row r="3005" spans="1:10" x14ac:dyDescent="0.75">
      <c r="A3005" t="s">
        <v>151</v>
      </c>
      <c r="B3005">
        <v>2032</v>
      </c>
      <c r="C3005" t="s">
        <v>29</v>
      </c>
      <c r="D3005">
        <v>4110</v>
      </c>
      <c r="E3005" t="s">
        <v>449</v>
      </c>
      <c r="F3005" s="4">
        <v>0</v>
      </c>
      <c r="G3005" s="4">
        <v>23</v>
      </c>
      <c r="H3005" s="4">
        <v>23</v>
      </c>
      <c r="I3005" s="4">
        <v>0</v>
      </c>
      <c r="J3005" s="4">
        <v>23</v>
      </c>
    </row>
    <row r="3006" spans="1:10" x14ac:dyDescent="0.75">
      <c r="A3006" t="s">
        <v>151</v>
      </c>
      <c r="B3006">
        <v>2032</v>
      </c>
      <c r="C3006" t="s">
        <v>29</v>
      </c>
      <c r="D3006">
        <v>4741</v>
      </c>
      <c r="E3006" t="s">
        <v>425</v>
      </c>
      <c r="F3006" s="4">
        <v>0</v>
      </c>
      <c r="G3006" s="4">
        <v>19</v>
      </c>
      <c r="H3006" s="4">
        <v>0</v>
      </c>
      <c r="I3006" s="4">
        <v>19</v>
      </c>
      <c r="J3006" s="4">
        <v>19</v>
      </c>
    </row>
    <row r="3007" spans="1:10" x14ac:dyDescent="0.75">
      <c r="A3007" t="s">
        <v>151</v>
      </c>
      <c r="B3007">
        <v>2032</v>
      </c>
      <c r="C3007" t="s">
        <v>29</v>
      </c>
      <c r="D3007">
        <v>3271</v>
      </c>
      <c r="E3007" t="s">
        <v>437</v>
      </c>
      <c r="F3007" s="4">
        <v>0</v>
      </c>
      <c r="G3007" s="4">
        <v>18</v>
      </c>
      <c r="H3007" s="4">
        <v>18</v>
      </c>
      <c r="I3007" s="4">
        <v>0</v>
      </c>
      <c r="J3007" s="4">
        <v>18</v>
      </c>
    </row>
    <row r="3008" spans="1:10" x14ac:dyDescent="0.75">
      <c r="A3008" t="s">
        <v>151</v>
      </c>
      <c r="B3008">
        <v>2032</v>
      </c>
      <c r="C3008" t="s">
        <v>29</v>
      </c>
      <c r="D3008">
        <v>6344</v>
      </c>
      <c r="E3008" t="s">
        <v>392</v>
      </c>
      <c r="F3008" s="4">
        <v>0</v>
      </c>
      <c r="G3008" s="4">
        <v>13</v>
      </c>
      <c r="H3008" s="4">
        <v>13</v>
      </c>
      <c r="I3008" s="4">
        <v>0</v>
      </c>
      <c r="J3008" s="4">
        <v>13</v>
      </c>
    </row>
    <row r="3009" spans="1:10" x14ac:dyDescent="0.75">
      <c r="A3009" t="s">
        <v>151</v>
      </c>
      <c r="B3009">
        <v>2032</v>
      </c>
      <c r="C3009" t="s">
        <v>29</v>
      </c>
      <c r="D3009">
        <v>6894</v>
      </c>
      <c r="E3009" t="s">
        <v>497</v>
      </c>
      <c r="F3009" s="4">
        <v>0</v>
      </c>
      <c r="G3009" s="4">
        <v>13</v>
      </c>
      <c r="H3009" s="4">
        <v>13</v>
      </c>
      <c r="I3009" s="4">
        <v>0</v>
      </c>
      <c r="J3009" s="4">
        <v>13</v>
      </c>
    </row>
    <row r="3010" spans="1:10" x14ac:dyDescent="0.75">
      <c r="A3010" t="s">
        <v>151</v>
      </c>
      <c r="B3010">
        <v>2032</v>
      </c>
      <c r="C3010" t="s">
        <v>29</v>
      </c>
      <c r="D3010">
        <v>5210</v>
      </c>
      <c r="E3010" t="s">
        <v>463</v>
      </c>
      <c r="F3010" s="4">
        <v>0</v>
      </c>
      <c r="G3010" s="4">
        <v>12</v>
      </c>
      <c r="H3010" s="4">
        <v>12</v>
      </c>
      <c r="I3010" s="4">
        <v>0</v>
      </c>
      <c r="J3010" s="4">
        <v>12</v>
      </c>
    </row>
    <row r="3011" spans="1:10" x14ac:dyDescent="0.75">
      <c r="A3011" t="s">
        <v>151</v>
      </c>
      <c r="B3011">
        <v>2032</v>
      </c>
      <c r="C3011" t="s">
        <v>29</v>
      </c>
      <c r="D3011">
        <v>6443</v>
      </c>
      <c r="E3011" t="s">
        <v>473</v>
      </c>
      <c r="F3011" s="4">
        <v>0</v>
      </c>
      <c r="G3011" s="4">
        <v>9</v>
      </c>
      <c r="H3011" s="4">
        <v>0</v>
      </c>
      <c r="I3011" s="4">
        <v>9</v>
      </c>
      <c r="J3011" s="4">
        <v>9</v>
      </c>
    </row>
    <row r="3012" spans="1:10" x14ac:dyDescent="0.75">
      <c r="A3012" t="s">
        <v>151</v>
      </c>
      <c r="B3012">
        <v>2032</v>
      </c>
      <c r="C3012" t="s">
        <v>29</v>
      </c>
      <c r="D3012">
        <v>4323</v>
      </c>
      <c r="E3012" t="s">
        <v>373</v>
      </c>
      <c r="F3012" s="4">
        <v>0</v>
      </c>
      <c r="G3012" s="4">
        <v>7</v>
      </c>
      <c r="H3012" s="4">
        <v>7</v>
      </c>
      <c r="I3012" s="4">
        <v>0</v>
      </c>
      <c r="J3012" s="4">
        <v>7</v>
      </c>
    </row>
    <row r="3013" spans="1:10" x14ac:dyDescent="0.75">
      <c r="A3013" t="s">
        <v>151</v>
      </c>
      <c r="B3013">
        <v>2032</v>
      </c>
      <c r="C3013" t="s">
        <v>29</v>
      </c>
      <c r="D3013">
        <v>4515</v>
      </c>
      <c r="E3013" t="s">
        <v>455</v>
      </c>
      <c r="F3013" s="4">
        <v>0</v>
      </c>
      <c r="G3013" s="4">
        <v>2</v>
      </c>
      <c r="H3013" s="4">
        <v>2</v>
      </c>
      <c r="I3013" s="4">
        <v>0</v>
      </c>
      <c r="J3013" s="4">
        <v>2</v>
      </c>
    </row>
    <row r="3014" spans="1:10" x14ac:dyDescent="0.75">
      <c r="A3014" t="s">
        <v>160</v>
      </c>
      <c r="B3014">
        <v>3198</v>
      </c>
      <c r="C3014" t="s">
        <v>226</v>
      </c>
      <c r="D3014">
        <v>1100</v>
      </c>
      <c r="E3014" t="s">
        <v>397</v>
      </c>
      <c r="F3014" s="4">
        <v>1666817</v>
      </c>
      <c r="G3014" s="4">
        <v>0</v>
      </c>
      <c r="H3014" s="4">
        <v>0</v>
      </c>
      <c r="I3014" s="4">
        <v>0</v>
      </c>
      <c r="J3014" s="4">
        <v>1666817</v>
      </c>
    </row>
    <row r="3015" spans="1:10" x14ac:dyDescent="0.75">
      <c r="A3015" t="s">
        <v>160</v>
      </c>
      <c r="B3015">
        <v>3198</v>
      </c>
      <c r="C3015" t="s">
        <v>226</v>
      </c>
      <c r="D3015">
        <v>4322</v>
      </c>
      <c r="E3015" t="s">
        <v>398</v>
      </c>
      <c r="F3015" s="4">
        <v>320280</v>
      </c>
      <c r="G3015" s="4">
        <v>0</v>
      </c>
      <c r="H3015" s="4">
        <v>0</v>
      </c>
      <c r="I3015" s="4">
        <v>0</v>
      </c>
      <c r="J3015" s="4">
        <v>320280</v>
      </c>
    </row>
    <row r="3016" spans="1:10" x14ac:dyDescent="0.75">
      <c r="A3016" t="s">
        <v>160</v>
      </c>
      <c r="B3016">
        <v>3198</v>
      </c>
      <c r="C3016" t="s">
        <v>226</v>
      </c>
      <c r="D3016">
        <v>2430</v>
      </c>
      <c r="E3016" t="s">
        <v>376</v>
      </c>
      <c r="F3016" s="4">
        <v>102926</v>
      </c>
      <c r="G3016" s="4">
        <v>0</v>
      </c>
      <c r="H3016" s="4">
        <v>0</v>
      </c>
      <c r="I3016" s="4">
        <v>0</v>
      </c>
      <c r="J3016" s="4">
        <v>102926</v>
      </c>
    </row>
    <row r="3017" spans="1:10" x14ac:dyDescent="0.75">
      <c r="A3017" t="s">
        <v>160</v>
      </c>
      <c r="B3017">
        <v>3198</v>
      </c>
      <c r="C3017" t="s">
        <v>226</v>
      </c>
      <c r="D3017">
        <v>5330</v>
      </c>
      <c r="E3017" t="s">
        <v>385</v>
      </c>
      <c r="F3017" s="4">
        <v>0</v>
      </c>
      <c r="G3017" s="4">
        <v>92803</v>
      </c>
      <c r="H3017" s="4">
        <v>92803</v>
      </c>
      <c r="I3017" s="4">
        <v>0</v>
      </c>
      <c r="J3017" s="4">
        <v>92803</v>
      </c>
    </row>
    <row r="3018" spans="1:10" x14ac:dyDescent="0.75">
      <c r="A3018" t="s">
        <v>160</v>
      </c>
      <c r="B3018">
        <v>3198</v>
      </c>
      <c r="C3018" t="s">
        <v>226</v>
      </c>
      <c r="D3018">
        <v>4860</v>
      </c>
      <c r="E3018" t="s">
        <v>400</v>
      </c>
      <c r="F3018" s="4">
        <v>23470</v>
      </c>
      <c r="G3018" s="4">
        <v>0</v>
      </c>
      <c r="H3018" s="4">
        <v>0</v>
      </c>
      <c r="I3018" s="4">
        <v>0</v>
      </c>
      <c r="J3018" s="4">
        <v>23470</v>
      </c>
    </row>
    <row r="3019" spans="1:10" x14ac:dyDescent="0.75">
      <c r="A3019" t="s">
        <v>160</v>
      </c>
      <c r="B3019">
        <v>3198</v>
      </c>
      <c r="C3019" t="s">
        <v>226</v>
      </c>
      <c r="D3019">
        <v>4323</v>
      </c>
      <c r="E3019" t="s">
        <v>373</v>
      </c>
      <c r="F3019" s="4">
        <v>5074</v>
      </c>
      <c r="G3019" s="4">
        <v>0</v>
      </c>
      <c r="H3019" s="4">
        <v>0</v>
      </c>
      <c r="I3019" s="4">
        <v>0</v>
      </c>
      <c r="J3019" s="4">
        <v>5074</v>
      </c>
    </row>
    <row r="3020" spans="1:10" x14ac:dyDescent="0.75">
      <c r="A3020" t="s">
        <v>160</v>
      </c>
      <c r="B3020">
        <v>3198</v>
      </c>
      <c r="C3020" t="s">
        <v>226</v>
      </c>
      <c r="D3020">
        <v>4900</v>
      </c>
      <c r="E3020" t="s">
        <v>383</v>
      </c>
      <c r="F3020" s="4">
        <v>0</v>
      </c>
      <c r="G3020" s="4">
        <v>4650</v>
      </c>
      <c r="H3020" s="4">
        <v>4650</v>
      </c>
      <c r="I3020" s="4">
        <v>0</v>
      </c>
      <c r="J3020" s="4">
        <v>4650</v>
      </c>
    </row>
    <row r="3021" spans="1:10" x14ac:dyDescent="0.75">
      <c r="A3021" t="s">
        <v>151</v>
      </c>
      <c r="B3021">
        <v>759</v>
      </c>
      <c r="C3021" t="s">
        <v>110</v>
      </c>
      <c r="D3021">
        <v>5312</v>
      </c>
      <c r="E3021" t="s">
        <v>416</v>
      </c>
      <c r="F3021" s="4">
        <v>330250</v>
      </c>
      <c r="G3021" s="4">
        <v>450035</v>
      </c>
      <c r="H3021" s="4">
        <v>450035</v>
      </c>
      <c r="I3021" s="4">
        <v>0</v>
      </c>
      <c r="J3021" s="4">
        <v>780285</v>
      </c>
    </row>
    <row r="3022" spans="1:10" x14ac:dyDescent="0.75">
      <c r="A3022" t="s">
        <v>151</v>
      </c>
      <c r="B3022">
        <v>759</v>
      </c>
      <c r="C3022" t="s">
        <v>110</v>
      </c>
      <c r="D3022">
        <v>3275</v>
      </c>
      <c r="E3022" t="s">
        <v>412</v>
      </c>
      <c r="F3022" s="4">
        <v>292500</v>
      </c>
      <c r="G3022" s="4">
        <v>144612</v>
      </c>
      <c r="H3022" s="4">
        <v>0</v>
      </c>
      <c r="I3022" s="4">
        <v>144612</v>
      </c>
      <c r="J3022" s="4">
        <v>437112</v>
      </c>
    </row>
    <row r="3023" spans="1:10" x14ac:dyDescent="0.75">
      <c r="A3023" t="s">
        <v>151</v>
      </c>
      <c r="B3023">
        <v>759</v>
      </c>
      <c r="C3023" t="s">
        <v>110</v>
      </c>
      <c r="D3023">
        <v>4189</v>
      </c>
      <c r="E3023" t="s">
        <v>451</v>
      </c>
      <c r="F3023" s="4">
        <v>0</v>
      </c>
      <c r="G3023" s="4">
        <v>135551</v>
      </c>
      <c r="H3023" s="4">
        <v>135551</v>
      </c>
      <c r="I3023" s="4">
        <v>0</v>
      </c>
      <c r="J3023" s="4">
        <v>135551</v>
      </c>
    </row>
    <row r="3024" spans="1:10" x14ac:dyDescent="0.75">
      <c r="A3024" t="s">
        <v>151</v>
      </c>
      <c r="B3024">
        <v>759</v>
      </c>
      <c r="C3024" t="s">
        <v>110</v>
      </c>
      <c r="D3024">
        <v>4110</v>
      </c>
      <c r="E3024" t="s">
        <v>449</v>
      </c>
      <c r="F3024" s="4">
        <v>0</v>
      </c>
      <c r="G3024" s="4">
        <v>123753</v>
      </c>
      <c r="H3024" s="4">
        <v>123753</v>
      </c>
      <c r="I3024" s="4">
        <v>0</v>
      </c>
      <c r="J3024" s="4">
        <v>123753</v>
      </c>
    </row>
    <row r="3025" spans="1:10" x14ac:dyDescent="0.75">
      <c r="A3025" t="s">
        <v>151</v>
      </c>
      <c r="B3025">
        <v>759</v>
      </c>
      <c r="C3025" t="s">
        <v>110</v>
      </c>
      <c r="D3025">
        <v>6747</v>
      </c>
      <c r="E3025" t="s">
        <v>478</v>
      </c>
      <c r="F3025" s="4">
        <v>0</v>
      </c>
      <c r="G3025" s="4">
        <v>114402</v>
      </c>
      <c r="H3025" s="4">
        <v>114402</v>
      </c>
      <c r="I3025" s="4">
        <v>0</v>
      </c>
      <c r="J3025" s="4">
        <v>114402</v>
      </c>
    </row>
    <row r="3026" spans="1:10" x14ac:dyDescent="0.75">
      <c r="A3026" t="s">
        <v>151</v>
      </c>
      <c r="B3026">
        <v>759</v>
      </c>
      <c r="C3026" t="s">
        <v>110</v>
      </c>
      <c r="D3026">
        <v>5220</v>
      </c>
      <c r="E3026" t="s">
        <v>401</v>
      </c>
      <c r="F3026" s="4">
        <v>0</v>
      </c>
      <c r="G3026" s="4">
        <v>60748</v>
      </c>
      <c r="H3026" s="4">
        <v>60748</v>
      </c>
      <c r="I3026" s="4">
        <v>0</v>
      </c>
      <c r="J3026" s="4">
        <v>60748</v>
      </c>
    </row>
    <row r="3027" spans="1:10" x14ac:dyDescent="0.75">
      <c r="A3027" t="s">
        <v>151</v>
      </c>
      <c r="B3027">
        <v>759</v>
      </c>
      <c r="C3027" t="s">
        <v>110</v>
      </c>
      <c r="D3027">
        <v>2430</v>
      </c>
      <c r="E3027" t="s">
        <v>376</v>
      </c>
      <c r="F3027" s="4">
        <v>28642</v>
      </c>
      <c r="G3027" s="4">
        <v>6061</v>
      </c>
      <c r="H3027" s="4">
        <v>6061</v>
      </c>
      <c r="I3027" s="4">
        <v>0</v>
      </c>
      <c r="J3027" s="4">
        <v>34703</v>
      </c>
    </row>
    <row r="3028" spans="1:10" x14ac:dyDescent="0.75">
      <c r="A3028" t="s">
        <v>151</v>
      </c>
      <c r="B3028">
        <v>759</v>
      </c>
      <c r="C3028" t="s">
        <v>110</v>
      </c>
      <c r="D3028">
        <v>6522</v>
      </c>
      <c r="E3028" t="s">
        <v>393</v>
      </c>
      <c r="F3028" s="4">
        <v>0</v>
      </c>
      <c r="G3028" s="4">
        <v>34389</v>
      </c>
      <c r="H3028" s="4">
        <v>34389</v>
      </c>
      <c r="I3028" s="4">
        <v>0</v>
      </c>
      <c r="J3028" s="4">
        <v>34389</v>
      </c>
    </row>
    <row r="3029" spans="1:10" x14ac:dyDescent="0.75">
      <c r="A3029" t="s">
        <v>151</v>
      </c>
      <c r="B3029">
        <v>759</v>
      </c>
      <c r="C3029" t="s">
        <v>110</v>
      </c>
      <c r="D3029">
        <v>3130</v>
      </c>
      <c r="E3029" t="s">
        <v>407</v>
      </c>
      <c r="F3029" s="4">
        <v>0</v>
      </c>
      <c r="G3029" s="4">
        <v>27615</v>
      </c>
      <c r="H3029" s="4">
        <v>27615</v>
      </c>
      <c r="I3029" s="4">
        <v>0</v>
      </c>
      <c r="J3029" s="4">
        <v>27615</v>
      </c>
    </row>
    <row r="3030" spans="1:10" x14ac:dyDescent="0.75">
      <c r="A3030" t="s">
        <v>151</v>
      </c>
      <c r="B3030">
        <v>759</v>
      </c>
      <c r="C3030" t="s">
        <v>110</v>
      </c>
      <c r="D3030">
        <v>6654</v>
      </c>
      <c r="E3030" t="s">
        <v>419</v>
      </c>
      <c r="F3030" s="4">
        <v>0</v>
      </c>
      <c r="G3030" s="4">
        <v>25398</v>
      </c>
      <c r="H3030" s="4">
        <v>25398</v>
      </c>
      <c r="I3030" s="4">
        <v>0</v>
      </c>
      <c r="J3030" s="4">
        <v>25398</v>
      </c>
    </row>
    <row r="3031" spans="1:10" x14ac:dyDescent="0.75">
      <c r="A3031" t="s">
        <v>151</v>
      </c>
      <c r="B3031">
        <v>759</v>
      </c>
      <c r="C3031" t="s">
        <v>110</v>
      </c>
      <c r="D3031">
        <v>5330</v>
      </c>
      <c r="E3031" t="s">
        <v>385</v>
      </c>
      <c r="F3031" s="4">
        <v>13691</v>
      </c>
      <c r="G3031" s="4">
        <v>11593</v>
      </c>
      <c r="H3031" s="4">
        <v>11593</v>
      </c>
      <c r="I3031" s="4">
        <v>0</v>
      </c>
      <c r="J3031" s="4">
        <v>25284</v>
      </c>
    </row>
    <row r="3032" spans="1:10" x14ac:dyDescent="0.75">
      <c r="A3032" t="s">
        <v>151</v>
      </c>
      <c r="B3032">
        <v>759</v>
      </c>
      <c r="C3032" t="s">
        <v>110</v>
      </c>
      <c r="D3032">
        <v>3190</v>
      </c>
      <c r="E3032" t="s">
        <v>408</v>
      </c>
      <c r="F3032" s="4">
        <v>16500</v>
      </c>
      <c r="G3032" s="4">
        <v>7165</v>
      </c>
      <c r="H3032" s="4">
        <v>7165</v>
      </c>
      <c r="I3032" s="4">
        <v>0</v>
      </c>
      <c r="J3032" s="4">
        <v>23665</v>
      </c>
    </row>
    <row r="3033" spans="1:10" x14ac:dyDescent="0.75">
      <c r="A3033" t="s">
        <v>151</v>
      </c>
      <c r="B3033">
        <v>759</v>
      </c>
      <c r="C3033" t="s">
        <v>110</v>
      </c>
      <c r="D3033">
        <v>5480</v>
      </c>
      <c r="E3033" t="s">
        <v>386</v>
      </c>
      <c r="F3033" s="4">
        <v>0</v>
      </c>
      <c r="G3033" s="4">
        <v>19673</v>
      </c>
      <c r="H3033" s="4">
        <v>19673</v>
      </c>
      <c r="I3033" s="4">
        <v>0</v>
      </c>
      <c r="J3033" s="4">
        <v>19673</v>
      </c>
    </row>
    <row r="3034" spans="1:10" x14ac:dyDescent="0.75">
      <c r="A3034" t="s">
        <v>151</v>
      </c>
      <c r="B3034">
        <v>759</v>
      </c>
      <c r="C3034" t="s">
        <v>110</v>
      </c>
      <c r="D3034">
        <v>4860</v>
      </c>
      <c r="E3034" t="s">
        <v>400</v>
      </c>
      <c r="F3034" s="4">
        <v>0</v>
      </c>
      <c r="G3034" s="4">
        <v>18225</v>
      </c>
      <c r="H3034" s="4">
        <v>18225</v>
      </c>
      <c r="I3034" s="4">
        <v>0</v>
      </c>
      <c r="J3034" s="4">
        <v>18225</v>
      </c>
    </row>
    <row r="3035" spans="1:10" x14ac:dyDescent="0.75">
      <c r="A3035" t="s">
        <v>151</v>
      </c>
      <c r="B3035">
        <v>759</v>
      </c>
      <c r="C3035" t="s">
        <v>110</v>
      </c>
      <c r="D3035">
        <v>3276</v>
      </c>
      <c r="E3035" t="s">
        <v>379</v>
      </c>
      <c r="F3035" s="4">
        <v>0</v>
      </c>
      <c r="G3035" s="4">
        <v>8231</v>
      </c>
      <c r="H3035" s="4">
        <v>8231</v>
      </c>
      <c r="I3035" s="4">
        <v>0</v>
      </c>
      <c r="J3035" s="4">
        <v>8231</v>
      </c>
    </row>
    <row r="3036" spans="1:10" x14ac:dyDescent="0.75">
      <c r="A3036" t="s">
        <v>151</v>
      </c>
      <c r="B3036">
        <v>759</v>
      </c>
      <c r="C3036" t="s">
        <v>110</v>
      </c>
      <c r="D3036">
        <v>3110</v>
      </c>
      <c r="E3036" t="s">
        <v>405</v>
      </c>
      <c r="F3036" s="4">
        <v>0</v>
      </c>
      <c r="G3036" s="4">
        <v>7699</v>
      </c>
      <c r="H3036" s="4">
        <v>7699</v>
      </c>
      <c r="I3036" s="4">
        <v>0</v>
      </c>
      <c r="J3036" s="4">
        <v>7699</v>
      </c>
    </row>
    <row r="3037" spans="1:10" x14ac:dyDescent="0.75">
      <c r="A3037" t="s">
        <v>151</v>
      </c>
      <c r="B3037">
        <v>759</v>
      </c>
      <c r="C3037" t="s">
        <v>110</v>
      </c>
      <c r="D3037">
        <v>9900</v>
      </c>
      <c r="E3037" t="s">
        <v>389</v>
      </c>
      <c r="F3037" s="4">
        <v>0</v>
      </c>
      <c r="G3037" s="4">
        <v>7281</v>
      </c>
      <c r="H3037" s="4">
        <v>7281</v>
      </c>
      <c r="I3037" s="4">
        <v>0</v>
      </c>
      <c r="J3037" s="4">
        <v>7281</v>
      </c>
    </row>
    <row r="3038" spans="1:10" x14ac:dyDescent="0.75">
      <c r="A3038" t="s">
        <v>151</v>
      </c>
      <c r="B3038">
        <v>759</v>
      </c>
      <c r="C3038" t="s">
        <v>110</v>
      </c>
      <c r="D3038">
        <v>6782</v>
      </c>
      <c r="E3038" t="s">
        <v>396</v>
      </c>
      <c r="F3038" s="4">
        <v>0</v>
      </c>
      <c r="G3038" s="4">
        <v>4616</v>
      </c>
      <c r="H3038" s="4">
        <v>4616</v>
      </c>
      <c r="I3038" s="4">
        <v>0</v>
      </c>
      <c r="J3038" s="4">
        <v>4616</v>
      </c>
    </row>
    <row r="3039" spans="1:10" x14ac:dyDescent="0.75">
      <c r="A3039" t="s">
        <v>151</v>
      </c>
      <c r="B3039">
        <v>759</v>
      </c>
      <c r="C3039" t="s">
        <v>110</v>
      </c>
      <c r="D3039">
        <v>6653</v>
      </c>
      <c r="E3039" t="s">
        <v>395</v>
      </c>
      <c r="F3039" s="4">
        <v>0</v>
      </c>
      <c r="G3039" s="4">
        <v>4277</v>
      </c>
      <c r="H3039" s="4">
        <v>4277</v>
      </c>
      <c r="I3039" s="4">
        <v>0</v>
      </c>
      <c r="J3039" s="4">
        <v>4277</v>
      </c>
    </row>
    <row r="3040" spans="1:10" x14ac:dyDescent="0.75">
      <c r="A3040" t="s">
        <v>151</v>
      </c>
      <c r="B3040">
        <v>759</v>
      </c>
      <c r="C3040" t="s">
        <v>110</v>
      </c>
      <c r="D3040">
        <v>5540</v>
      </c>
      <c r="E3040" t="s">
        <v>469</v>
      </c>
      <c r="F3040" s="4">
        <v>0</v>
      </c>
      <c r="G3040" s="4">
        <v>3755</v>
      </c>
      <c r="H3040" s="4">
        <v>0</v>
      </c>
      <c r="I3040" s="4">
        <v>3755</v>
      </c>
      <c r="J3040" s="4">
        <v>3755</v>
      </c>
    </row>
    <row r="3041" spans="1:10" x14ac:dyDescent="0.75">
      <c r="A3041" t="s">
        <v>151</v>
      </c>
      <c r="B3041">
        <v>759</v>
      </c>
      <c r="C3041" t="s">
        <v>110</v>
      </c>
      <c r="D3041">
        <v>4420</v>
      </c>
      <c r="E3041" t="s">
        <v>381</v>
      </c>
      <c r="F3041" s="4">
        <v>2900</v>
      </c>
      <c r="G3041" s="4">
        <v>0</v>
      </c>
      <c r="H3041" s="4">
        <v>0</v>
      </c>
      <c r="I3041" s="4">
        <v>0</v>
      </c>
      <c r="J3041" s="4">
        <v>2900</v>
      </c>
    </row>
    <row r="3042" spans="1:10" x14ac:dyDescent="0.75">
      <c r="A3042" t="s">
        <v>151</v>
      </c>
      <c r="B3042">
        <v>759</v>
      </c>
      <c r="C3042" t="s">
        <v>110</v>
      </c>
      <c r="D3042">
        <v>6590</v>
      </c>
      <c r="E3042" t="s">
        <v>394</v>
      </c>
      <c r="F3042" s="4">
        <v>0</v>
      </c>
      <c r="G3042" s="4">
        <v>2462</v>
      </c>
      <c r="H3042" s="4">
        <v>2462</v>
      </c>
      <c r="I3042" s="4">
        <v>0</v>
      </c>
      <c r="J3042" s="4">
        <v>2462</v>
      </c>
    </row>
    <row r="3043" spans="1:10" x14ac:dyDescent="0.75">
      <c r="A3043" t="s">
        <v>151</v>
      </c>
      <c r="B3043">
        <v>759</v>
      </c>
      <c r="C3043" t="s">
        <v>110</v>
      </c>
      <c r="D3043">
        <v>3230</v>
      </c>
      <c r="E3043" t="s">
        <v>434</v>
      </c>
      <c r="F3043" s="4">
        <v>0</v>
      </c>
      <c r="G3043" s="4">
        <v>2310</v>
      </c>
      <c r="H3043" s="4">
        <v>0</v>
      </c>
      <c r="I3043" s="4">
        <v>2310</v>
      </c>
      <c r="J3043" s="4">
        <v>2310</v>
      </c>
    </row>
    <row r="3044" spans="1:10" x14ac:dyDescent="0.75">
      <c r="A3044" t="s">
        <v>151</v>
      </c>
      <c r="B3044">
        <v>759</v>
      </c>
      <c r="C3044" t="s">
        <v>110</v>
      </c>
      <c r="D3044">
        <v>7220</v>
      </c>
      <c r="E3044" t="s">
        <v>500</v>
      </c>
      <c r="F3044" s="4">
        <v>0</v>
      </c>
      <c r="G3044" s="4">
        <v>1377</v>
      </c>
      <c r="H3044" s="4">
        <v>0</v>
      </c>
      <c r="I3044" s="4">
        <v>1377</v>
      </c>
      <c r="J3044" s="4">
        <v>1377</v>
      </c>
    </row>
    <row r="3045" spans="1:10" x14ac:dyDescent="0.75">
      <c r="A3045" t="s">
        <v>151</v>
      </c>
      <c r="B3045">
        <v>759</v>
      </c>
      <c r="C3045" t="s">
        <v>110</v>
      </c>
      <c r="D3045">
        <v>3292</v>
      </c>
      <c r="E3045" t="s">
        <v>413</v>
      </c>
      <c r="F3045" s="4">
        <v>0</v>
      </c>
      <c r="G3045" s="4">
        <v>547</v>
      </c>
      <c r="H3045" s="4">
        <v>547</v>
      </c>
      <c r="I3045" s="4">
        <v>0</v>
      </c>
      <c r="J3045" s="4">
        <v>547</v>
      </c>
    </row>
    <row r="3046" spans="1:10" x14ac:dyDescent="0.75">
      <c r="A3046" t="s">
        <v>151</v>
      </c>
      <c r="B3046">
        <v>759</v>
      </c>
      <c r="C3046" t="s">
        <v>110</v>
      </c>
      <c r="D3046">
        <v>7500</v>
      </c>
      <c r="E3046" t="s">
        <v>427</v>
      </c>
      <c r="F3046" s="4">
        <v>0</v>
      </c>
      <c r="G3046" s="4">
        <v>314</v>
      </c>
      <c r="H3046" s="4">
        <v>314</v>
      </c>
      <c r="I3046" s="4">
        <v>0</v>
      </c>
      <c r="J3046" s="4">
        <v>314</v>
      </c>
    </row>
    <row r="3047" spans="1:10" x14ac:dyDescent="0.75">
      <c r="A3047" t="s">
        <v>151</v>
      </c>
      <c r="B3047">
        <v>759</v>
      </c>
      <c r="C3047" t="s">
        <v>110</v>
      </c>
      <c r="D3047">
        <v>7900</v>
      </c>
      <c r="E3047" t="s">
        <v>388</v>
      </c>
      <c r="F3047" s="4">
        <v>0</v>
      </c>
      <c r="G3047" s="4">
        <v>171</v>
      </c>
      <c r="H3047" s="4">
        <v>171</v>
      </c>
      <c r="I3047" s="4">
        <v>0</v>
      </c>
      <c r="J3047" s="4">
        <v>171</v>
      </c>
    </row>
    <row r="3048" spans="1:10" x14ac:dyDescent="0.75">
      <c r="A3048" t="s">
        <v>151</v>
      </c>
      <c r="B3048">
        <v>759</v>
      </c>
      <c r="C3048" t="s">
        <v>110</v>
      </c>
      <c r="D3048">
        <v>7110</v>
      </c>
      <c r="E3048" t="s">
        <v>371</v>
      </c>
      <c r="F3048" s="4">
        <v>0</v>
      </c>
      <c r="G3048" s="4">
        <v>160</v>
      </c>
      <c r="H3048" s="4">
        <v>160</v>
      </c>
      <c r="I3048" s="4">
        <v>0</v>
      </c>
      <c r="J3048" s="4">
        <v>160</v>
      </c>
    </row>
    <row r="3049" spans="1:10" x14ac:dyDescent="0.75">
      <c r="A3049" t="s">
        <v>151</v>
      </c>
      <c r="B3049">
        <v>759</v>
      </c>
      <c r="C3049" t="s">
        <v>110</v>
      </c>
      <c r="D3049">
        <v>4680</v>
      </c>
      <c r="E3049" t="s">
        <v>459</v>
      </c>
      <c r="F3049" s="4">
        <v>0</v>
      </c>
      <c r="G3049" s="4">
        <v>94</v>
      </c>
      <c r="H3049" s="4">
        <v>0</v>
      </c>
      <c r="I3049" s="4">
        <v>94</v>
      </c>
      <c r="J3049" s="4">
        <v>94</v>
      </c>
    </row>
    <row r="3050" spans="1:10" x14ac:dyDescent="0.75">
      <c r="A3050" t="s">
        <v>151</v>
      </c>
      <c r="B3050">
        <v>759</v>
      </c>
      <c r="C3050" t="s">
        <v>110</v>
      </c>
      <c r="D3050">
        <v>7400</v>
      </c>
      <c r="E3050" t="s">
        <v>502</v>
      </c>
      <c r="F3050" s="4">
        <v>0</v>
      </c>
      <c r="G3050" s="4">
        <v>54</v>
      </c>
      <c r="H3050" s="4">
        <v>0</v>
      </c>
      <c r="I3050" s="4">
        <v>54</v>
      </c>
      <c r="J3050" s="4">
        <v>54</v>
      </c>
    </row>
    <row r="3051" spans="1:10" x14ac:dyDescent="0.75">
      <c r="A3051" t="s">
        <v>151</v>
      </c>
      <c r="B3051">
        <v>759</v>
      </c>
      <c r="C3051" t="s">
        <v>110</v>
      </c>
      <c r="D3051">
        <v>7210</v>
      </c>
      <c r="E3051" t="s">
        <v>426</v>
      </c>
      <c r="F3051" s="4">
        <v>0</v>
      </c>
      <c r="G3051" s="4">
        <v>14</v>
      </c>
      <c r="H3051" s="4">
        <v>14</v>
      </c>
      <c r="I3051" s="4">
        <v>0</v>
      </c>
      <c r="J3051" s="4">
        <v>14</v>
      </c>
    </row>
    <row r="3052" spans="1:10" x14ac:dyDescent="0.75">
      <c r="A3052" t="s">
        <v>151</v>
      </c>
      <c r="B3052">
        <v>759</v>
      </c>
      <c r="C3052" t="s">
        <v>110</v>
      </c>
      <c r="D3052">
        <v>3284</v>
      </c>
      <c r="E3052" t="s">
        <v>442</v>
      </c>
      <c r="F3052" s="4">
        <v>0</v>
      </c>
      <c r="G3052" s="4">
        <v>5</v>
      </c>
      <c r="H3052" s="4">
        <v>5</v>
      </c>
      <c r="I3052" s="4">
        <v>0</v>
      </c>
      <c r="J3052" s="4">
        <v>5</v>
      </c>
    </row>
    <row r="3053" spans="1:10" x14ac:dyDescent="0.75">
      <c r="A3053" t="s">
        <v>151</v>
      </c>
      <c r="B3053">
        <v>759</v>
      </c>
      <c r="C3053" t="s">
        <v>110</v>
      </c>
      <c r="D3053">
        <v>3299</v>
      </c>
      <c r="E3053" t="s">
        <v>448</v>
      </c>
      <c r="F3053" s="4">
        <v>0</v>
      </c>
      <c r="G3053" s="4">
        <v>4</v>
      </c>
      <c r="H3053" s="4">
        <v>4</v>
      </c>
      <c r="I3053" s="4">
        <v>0</v>
      </c>
      <c r="J3053" s="4">
        <v>4</v>
      </c>
    </row>
    <row r="3054" spans="1:10" x14ac:dyDescent="0.75">
      <c r="A3054" t="s">
        <v>151</v>
      </c>
      <c r="B3054">
        <v>759</v>
      </c>
      <c r="C3054" t="s">
        <v>110</v>
      </c>
      <c r="D3054">
        <v>3282</v>
      </c>
      <c r="E3054" t="s">
        <v>440</v>
      </c>
      <c r="F3054" s="4">
        <v>0</v>
      </c>
      <c r="G3054" s="4">
        <v>3</v>
      </c>
      <c r="H3054" s="4">
        <v>0</v>
      </c>
      <c r="I3054" s="4">
        <v>3</v>
      </c>
      <c r="J3054" s="4">
        <v>3</v>
      </c>
    </row>
    <row r="3055" spans="1:10" x14ac:dyDescent="0.75">
      <c r="A3055" t="s">
        <v>151</v>
      </c>
      <c r="B3055">
        <v>759</v>
      </c>
      <c r="C3055" t="s">
        <v>110</v>
      </c>
      <c r="D3055">
        <v>7120</v>
      </c>
      <c r="E3055" t="s">
        <v>499</v>
      </c>
      <c r="F3055" s="4">
        <v>0</v>
      </c>
      <c r="G3055" s="4">
        <v>2</v>
      </c>
      <c r="H3055" s="4">
        <v>2</v>
      </c>
      <c r="I3055" s="4">
        <v>0</v>
      </c>
      <c r="J3055" s="4">
        <v>2</v>
      </c>
    </row>
    <row r="3056" spans="1:10" x14ac:dyDescent="0.75">
      <c r="A3056" t="s">
        <v>151</v>
      </c>
      <c r="B3056">
        <v>2087</v>
      </c>
      <c r="C3056" t="s">
        <v>292</v>
      </c>
      <c r="D3056">
        <v>4900</v>
      </c>
      <c r="E3056" t="s">
        <v>383</v>
      </c>
      <c r="F3056" s="4">
        <v>92882</v>
      </c>
      <c r="G3056" s="4">
        <v>0</v>
      </c>
      <c r="H3056" s="4">
        <v>0</v>
      </c>
      <c r="I3056" s="4">
        <v>0</v>
      </c>
      <c r="J3056" s="4">
        <v>92882</v>
      </c>
    </row>
    <row r="3057" spans="1:10" x14ac:dyDescent="0.75">
      <c r="A3057" t="s">
        <v>151</v>
      </c>
      <c r="B3057">
        <v>2087</v>
      </c>
      <c r="C3057" t="s">
        <v>292</v>
      </c>
      <c r="D3057">
        <v>2330</v>
      </c>
      <c r="E3057" t="s">
        <v>368</v>
      </c>
      <c r="F3057" s="4">
        <v>54401</v>
      </c>
      <c r="G3057" s="4">
        <v>0</v>
      </c>
      <c r="H3057" s="4">
        <v>0</v>
      </c>
      <c r="I3057" s="4">
        <v>0</v>
      </c>
      <c r="J3057" s="4">
        <v>54401</v>
      </c>
    </row>
    <row r="3058" spans="1:10" x14ac:dyDescent="0.75">
      <c r="A3058" t="s">
        <v>151</v>
      </c>
      <c r="B3058">
        <v>2087</v>
      </c>
      <c r="C3058" t="s">
        <v>292</v>
      </c>
      <c r="D3058">
        <v>4331</v>
      </c>
      <c r="E3058" t="s">
        <v>390</v>
      </c>
      <c r="F3058" s="4">
        <v>40800</v>
      </c>
      <c r="G3058" s="4">
        <v>0</v>
      </c>
      <c r="H3058" s="4">
        <v>0</v>
      </c>
      <c r="I3058" s="4">
        <v>0</v>
      </c>
      <c r="J3058" s="4">
        <v>40800</v>
      </c>
    </row>
    <row r="3059" spans="1:10" x14ac:dyDescent="0.75">
      <c r="A3059" t="s">
        <v>151</v>
      </c>
      <c r="B3059">
        <v>2087</v>
      </c>
      <c r="C3059" t="s">
        <v>292</v>
      </c>
      <c r="D3059">
        <v>4322</v>
      </c>
      <c r="E3059" t="s">
        <v>398</v>
      </c>
      <c r="F3059" s="4">
        <v>27980</v>
      </c>
      <c r="G3059" s="4">
        <v>0</v>
      </c>
      <c r="H3059" s="4">
        <v>0</v>
      </c>
      <c r="I3059" s="4">
        <v>0</v>
      </c>
      <c r="J3059" s="4">
        <v>27980</v>
      </c>
    </row>
    <row r="3060" spans="1:10" x14ac:dyDescent="0.75">
      <c r="A3060" t="s">
        <v>151</v>
      </c>
      <c r="B3060">
        <v>2087</v>
      </c>
      <c r="C3060" t="s">
        <v>292</v>
      </c>
      <c r="D3060">
        <v>2430</v>
      </c>
      <c r="E3060" t="s">
        <v>376</v>
      </c>
      <c r="F3060" s="4">
        <v>0</v>
      </c>
      <c r="G3060" s="4">
        <v>22933</v>
      </c>
      <c r="H3060" s="4">
        <v>0</v>
      </c>
      <c r="I3060" s="4">
        <v>22933</v>
      </c>
      <c r="J3060" s="4">
        <v>22933</v>
      </c>
    </row>
    <row r="3061" spans="1:10" x14ac:dyDescent="0.75">
      <c r="A3061" t="s">
        <v>151</v>
      </c>
      <c r="B3061">
        <v>2087</v>
      </c>
      <c r="C3061" t="s">
        <v>292</v>
      </c>
      <c r="D3061">
        <v>7900</v>
      </c>
      <c r="E3061" t="s">
        <v>388</v>
      </c>
      <c r="F3061" s="4">
        <v>19215</v>
      </c>
      <c r="G3061" s="4">
        <v>0</v>
      </c>
      <c r="H3061" s="4">
        <v>0</v>
      </c>
      <c r="I3061" s="4">
        <v>0</v>
      </c>
      <c r="J3061" s="4">
        <v>19215</v>
      </c>
    </row>
    <row r="3062" spans="1:10" x14ac:dyDescent="0.75">
      <c r="A3062" t="s">
        <v>151</v>
      </c>
      <c r="B3062">
        <v>2087</v>
      </c>
      <c r="C3062" t="s">
        <v>292</v>
      </c>
      <c r="D3062">
        <v>7110</v>
      </c>
      <c r="E3062" t="s">
        <v>371</v>
      </c>
      <c r="F3062" s="4">
        <v>13570</v>
      </c>
      <c r="G3062" s="4">
        <v>0</v>
      </c>
      <c r="H3062" s="4">
        <v>0</v>
      </c>
      <c r="I3062" s="4">
        <v>0</v>
      </c>
      <c r="J3062" s="4">
        <v>13570</v>
      </c>
    </row>
    <row r="3063" spans="1:10" x14ac:dyDescent="0.75">
      <c r="A3063" t="s">
        <v>151</v>
      </c>
      <c r="B3063">
        <v>2087</v>
      </c>
      <c r="C3063" t="s">
        <v>292</v>
      </c>
      <c r="D3063">
        <v>2100</v>
      </c>
      <c r="E3063" t="s">
        <v>403</v>
      </c>
      <c r="F3063" s="4">
        <v>3503</v>
      </c>
      <c r="G3063" s="4">
        <v>0</v>
      </c>
      <c r="H3063" s="4">
        <v>0</v>
      </c>
      <c r="I3063" s="4">
        <v>0</v>
      </c>
      <c r="J3063" s="4">
        <v>3503</v>
      </c>
    </row>
    <row r="3064" spans="1:10" x14ac:dyDescent="0.75">
      <c r="A3064" t="s">
        <v>151</v>
      </c>
      <c r="B3064">
        <v>2087</v>
      </c>
      <c r="C3064" t="s">
        <v>292</v>
      </c>
      <c r="D3064">
        <v>6838</v>
      </c>
      <c r="E3064" t="s">
        <v>484</v>
      </c>
      <c r="F3064" s="4">
        <v>3400</v>
      </c>
      <c r="G3064" s="4">
        <v>0</v>
      </c>
      <c r="H3064" s="4">
        <v>0</v>
      </c>
      <c r="I3064" s="4">
        <v>0</v>
      </c>
      <c r="J3064" s="4">
        <v>3400</v>
      </c>
    </row>
    <row r="3065" spans="1:10" x14ac:dyDescent="0.75">
      <c r="A3065" t="s">
        <v>151</v>
      </c>
      <c r="B3065">
        <v>2087</v>
      </c>
      <c r="C3065" t="s">
        <v>292</v>
      </c>
      <c r="D3065">
        <v>4783</v>
      </c>
      <c r="E3065" t="s">
        <v>382</v>
      </c>
      <c r="F3065" s="4">
        <v>3221</v>
      </c>
      <c r="G3065" s="4">
        <v>0</v>
      </c>
      <c r="H3065" s="4">
        <v>0</v>
      </c>
      <c r="I3065" s="4">
        <v>0</v>
      </c>
      <c r="J3065" s="4">
        <v>3221</v>
      </c>
    </row>
    <row r="3066" spans="1:10" x14ac:dyDescent="0.75">
      <c r="A3066" t="s">
        <v>151</v>
      </c>
      <c r="B3066">
        <v>2087</v>
      </c>
      <c r="C3066" t="s">
        <v>292</v>
      </c>
      <c r="D3066">
        <v>5330</v>
      </c>
      <c r="E3066" t="s">
        <v>385</v>
      </c>
      <c r="F3066" s="4">
        <v>1450</v>
      </c>
      <c r="G3066" s="4">
        <v>0</v>
      </c>
      <c r="H3066" s="4">
        <v>0</v>
      </c>
      <c r="I3066" s="4">
        <v>0</v>
      </c>
      <c r="J3066" s="4">
        <v>1450</v>
      </c>
    </row>
    <row r="3067" spans="1:10" x14ac:dyDescent="0.75">
      <c r="A3067" t="s">
        <v>151</v>
      </c>
      <c r="B3067">
        <v>2087</v>
      </c>
      <c r="C3067" t="s">
        <v>292</v>
      </c>
      <c r="D3067">
        <v>5370</v>
      </c>
      <c r="E3067" t="s">
        <v>466</v>
      </c>
      <c r="F3067" s="4">
        <v>1449</v>
      </c>
      <c r="G3067" s="4">
        <v>0</v>
      </c>
      <c r="H3067" s="4">
        <v>0</v>
      </c>
      <c r="I3067" s="4">
        <v>0</v>
      </c>
      <c r="J3067" s="4">
        <v>1449</v>
      </c>
    </row>
    <row r="3068" spans="1:10" x14ac:dyDescent="0.75">
      <c r="A3068" t="s">
        <v>151</v>
      </c>
      <c r="B3068">
        <v>2087</v>
      </c>
      <c r="C3068" t="s">
        <v>292</v>
      </c>
      <c r="D3068">
        <v>3211</v>
      </c>
      <c r="E3068" t="s">
        <v>433</v>
      </c>
      <c r="F3068" s="4">
        <v>1360</v>
      </c>
      <c r="G3068" s="4">
        <v>0</v>
      </c>
      <c r="H3068" s="4">
        <v>0</v>
      </c>
      <c r="I3068" s="4">
        <v>0</v>
      </c>
      <c r="J3068" s="4">
        <v>1360</v>
      </c>
    </row>
    <row r="3069" spans="1:10" x14ac:dyDescent="0.75">
      <c r="A3069" t="s">
        <v>151</v>
      </c>
      <c r="B3069">
        <v>2087</v>
      </c>
      <c r="C3069" t="s">
        <v>292</v>
      </c>
      <c r="D3069">
        <v>7210</v>
      </c>
      <c r="E3069" t="s">
        <v>426</v>
      </c>
      <c r="F3069" s="4">
        <v>600</v>
      </c>
      <c r="G3069" s="4">
        <v>0</v>
      </c>
      <c r="H3069" s="4">
        <v>0</v>
      </c>
      <c r="I3069" s="4">
        <v>0</v>
      </c>
      <c r="J3069" s="4">
        <v>600</v>
      </c>
    </row>
    <row r="3070" spans="1:10" x14ac:dyDescent="0.75">
      <c r="A3070" t="s">
        <v>151</v>
      </c>
      <c r="B3070">
        <v>2087</v>
      </c>
      <c r="C3070" t="s">
        <v>292</v>
      </c>
      <c r="D3070">
        <v>5480</v>
      </c>
      <c r="E3070" t="s">
        <v>386</v>
      </c>
      <c r="F3070" s="4">
        <v>250</v>
      </c>
      <c r="G3070" s="4">
        <v>0</v>
      </c>
      <c r="H3070" s="4">
        <v>0</v>
      </c>
      <c r="I3070" s="4">
        <v>0</v>
      </c>
      <c r="J3070" s="4">
        <v>250</v>
      </c>
    </row>
    <row r="3071" spans="1:10" x14ac:dyDescent="0.75">
      <c r="A3071" t="s">
        <v>151</v>
      </c>
      <c r="B3071">
        <v>2087</v>
      </c>
      <c r="C3071" t="s">
        <v>292</v>
      </c>
      <c r="D3071">
        <v>4420</v>
      </c>
      <c r="E3071" t="s">
        <v>381</v>
      </c>
      <c r="F3071" s="4">
        <v>200</v>
      </c>
      <c r="G3071" s="4">
        <v>0</v>
      </c>
      <c r="H3071" s="4">
        <v>0</v>
      </c>
      <c r="I3071" s="4">
        <v>0</v>
      </c>
      <c r="J3071" s="4">
        <v>200</v>
      </c>
    </row>
    <row r="3072" spans="1:10" x14ac:dyDescent="0.75">
      <c r="A3072" t="s">
        <v>160</v>
      </c>
      <c r="B3072">
        <v>3803</v>
      </c>
      <c r="C3072" t="s">
        <v>203</v>
      </c>
      <c r="D3072">
        <v>4322</v>
      </c>
      <c r="E3072" t="s">
        <v>398</v>
      </c>
      <c r="F3072" s="4">
        <v>3906218</v>
      </c>
      <c r="G3072" s="4">
        <v>46000</v>
      </c>
      <c r="H3072" s="4">
        <v>0</v>
      </c>
      <c r="I3072" s="4">
        <v>46000</v>
      </c>
      <c r="J3072" s="4">
        <v>3952218</v>
      </c>
    </row>
    <row r="3073" spans="1:10" x14ac:dyDescent="0.75">
      <c r="A3073" t="s">
        <v>160</v>
      </c>
      <c r="B3073">
        <v>3803</v>
      </c>
      <c r="C3073" t="s">
        <v>203</v>
      </c>
      <c r="D3073">
        <v>4331</v>
      </c>
      <c r="E3073" t="s">
        <v>390</v>
      </c>
      <c r="F3073" s="4">
        <v>213161</v>
      </c>
      <c r="G3073" s="4">
        <v>0</v>
      </c>
      <c r="H3073" s="4">
        <v>0</v>
      </c>
      <c r="I3073" s="4">
        <v>0</v>
      </c>
      <c r="J3073" s="4">
        <v>213161</v>
      </c>
    </row>
    <row r="3074" spans="1:10" x14ac:dyDescent="0.75">
      <c r="A3074" t="s">
        <v>160</v>
      </c>
      <c r="B3074">
        <v>3803</v>
      </c>
      <c r="C3074" t="s">
        <v>203</v>
      </c>
      <c r="D3074">
        <v>7110</v>
      </c>
      <c r="E3074" t="s">
        <v>371</v>
      </c>
      <c r="F3074" s="4">
        <v>200</v>
      </c>
      <c r="G3074" s="4">
        <v>0</v>
      </c>
      <c r="H3074" s="4">
        <v>0</v>
      </c>
      <c r="I3074" s="4">
        <v>0</v>
      </c>
      <c r="J3074" s="4">
        <v>200</v>
      </c>
    </row>
    <row r="3075" spans="1:10" x14ac:dyDescent="0.75">
      <c r="A3075" t="s">
        <v>160</v>
      </c>
      <c r="B3075">
        <v>3843</v>
      </c>
      <c r="C3075" t="s">
        <v>327</v>
      </c>
      <c r="D3075">
        <v>1100</v>
      </c>
      <c r="E3075" t="s">
        <v>397</v>
      </c>
      <c r="F3075" s="4">
        <v>28685</v>
      </c>
      <c r="G3075" s="4">
        <v>0</v>
      </c>
      <c r="H3075" s="4">
        <v>0</v>
      </c>
      <c r="I3075" s="4">
        <v>0</v>
      </c>
      <c r="J3075" s="4">
        <v>28685</v>
      </c>
    </row>
    <row r="3076" spans="1:10" x14ac:dyDescent="0.75">
      <c r="A3076" t="s">
        <v>160</v>
      </c>
      <c r="B3076">
        <v>3700</v>
      </c>
      <c r="C3076" t="s">
        <v>258</v>
      </c>
      <c r="D3076">
        <v>4322</v>
      </c>
      <c r="E3076" t="s">
        <v>398</v>
      </c>
      <c r="F3076" s="4">
        <v>371277</v>
      </c>
      <c r="G3076" s="4">
        <v>128420</v>
      </c>
      <c r="H3076" s="4">
        <v>128420</v>
      </c>
      <c r="I3076" s="4">
        <v>0</v>
      </c>
      <c r="J3076" s="4">
        <v>499697</v>
      </c>
    </row>
    <row r="3077" spans="1:10" x14ac:dyDescent="0.75">
      <c r="A3077" t="s">
        <v>160</v>
      </c>
      <c r="B3077">
        <v>3700</v>
      </c>
      <c r="C3077" t="s">
        <v>258</v>
      </c>
      <c r="D3077">
        <v>4783</v>
      </c>
      <c r="E3077" t="s">
        <v>382</v>
      </c>
      <c r="F3077" s="4">
        <v>85292</v>
      </c>
      <c r="G3077" s="4">
        <v>51554</v>
      </c>
      <c r="H3077" s="4">
        <v>51554</v>
      </c>
      <c r="I3077" s="4">
        <v>0</v>
      </c>
      <c r="J3077" s="4">
        <v>136846</v>
      </c>
    </row>
    <row r="3078" spans="1:10" x14ac:dyDescent="0.75">
      <c r="A3078" t="s">
        <v>160</v>
      </c>
      <c r="B3078">
        <v>3700</v>
      </c>
      <c r="C3078" t="s">
        <v>258</v>
      </c>
      <c r="D3078">
        <v>4331</v>
      </c>
      <c r="E3078" t="s">
        <v>390</v>
      </c>
      <c r="F3078" s="4">
        <v>26492</v>
      </c>
      <c r="G3078" s="4">
        <v>99759</v>
      </c>
      <c r="H3078" s="4">
        <v>99759</v>
      </c>
      <c r="I3078" s="4">
        <v>0</v>
      </c>
      <c r="J3078" s="4">
        <v>126251</v>
      </c>
    </row>
    <row r="3079" spans="1:10" x14ac:dyDescent="0.75">
      <c r="A3079" t="s">
        <v>160</v>
      </c>
      <c r="B3079">
        <v>3700</v>
      </c>
      <c r="C3079" t="s">
        <v>258</v>
      </c>
      <c r="D3079">
        <v>5220</v>
      </c>
      <c r="E3079" t="s">
        <v>401</v>
      </c>
      <c r="F3079" s="4">
        <v>101845</v>
      </c>
      <c r="G3079" s="4">
        <v>0</v>
      </c>
      <c r="H3079" s="4">
        <v>0</v>
      </c>
      <c r="I3079" s="4">
        <v>0</v>
      </c>
      <c r="J3079" s="4">
        <v>101845</v>
      </c>
    </row>
    <row r="3080" spans="1:10" x14ac:dyDescent="0.75">
      <c r="A3080" t="s">
        <v>160</v>
      </c>
      <c r="B3080">
        <v>3700</v>
      </c>
      <c r="C3080" t="s">
        <v>258</v>
      </c>
      <c r="D3080">
        <v>4860</v>
      </c>
      <c r="E3080" t="s">
        <v>400</v>
      </c>
      <c r="F3080" s="4">
        <v>78376</v>
      </c>
      <c r="G3080" s="4">
        <v>0</v>
      </c>
      <c r="H3080" s="4">
        <v>0</v>
      </c>
      <c r="I3080" s="4">
        <v>0</v>
      </c>
      <c r="J3080" s="4">
        <v>78376</v>
      </c>
    </row>
    <row r="3081" spans="1:10" x14ac:dyDescent="0.75">
      <c r="A3081" t="s">
        <v>160</v>
      </c>
      <c r="B3081">
        <v>3700</v>
      </c>
      <c r="C3081" t="s">
        <v>258</v>
      </c>
      <c r="D3081">
        <v>4410</v>
      </c>
      <c r="E3081" t="s">
        <v>399</v>
      </c>
      <c r="F3081" s="4">
        <v>2800</v>
      </c>
      <c r="G3081" s="4">
        <v>0</v>
      </c>
      <c r="H3081" s="4">
        <v>0</v>
      </c>
      <c r="I3081" s="4">
        <v>0</v>
      </c>
      <c r="J3081" s="4">
        <v>2800</v>
      </c>
    </row>
    <row r="3082" spans="1:10" x14ac:dyDescent="0.75">
      <c r="A3082" t="s">
        <v>163</v>
      </c>
      <c r="B3082">
        <v>6110</v>
      </c>
      <c r="C3082" t="s">
        <v>276</v>
      </c>
      <c r="D3082">
        <v>5330</v>
      </c>
      <c r="E3082" t="s">
        <v>385</v>
      </c>
      <c r="F3082" s="4">
        <v>129669</v>
      </c>
      <c r="G3082" s="4">
        <v>0</v>
      </c>
      <c r="H3082" s="4">
        <v>0</v>
      </c>
      <c r="I3082" s="4">
        <v>0</v>
      </c>
      <c r="J3082" s="4">
        <v>129669</v>
      </c>
    </row>
    <row r="3083" spans="1:10" x14ac:dyDescent="0.75">
      <c r="A3083" t="s">
        <v>163</v>
      </c>
      <c r="B3083">
        <v>6110</v>
      </c>
      <c r="C3083" t="s">
        <v>276</v>
      </c>
      <c r="D3083">
        <v>4782</v>
      </c>
      <c r="E3083" t="s">
        <v>414</v>
      </c>
      <c r="F3083" s="4">
        <v>112121</v>
      </c>
      <c r="G3083" s="4">
        <v>0</v>
      </c>
      <c r="H3083" s="4">
        <v>0</v>
      </c>
      <c r="I3083" s="4">
        <v>0</v>
      </c>
      <c r="J3083" s="4">
        <v>112121</v>
      </c>
    </row>
    <row r="3084" spans="1:10" x14ac:dyDescent="0.75">
      <c r="A3084" t="s">
        <v>163</v>
      </c>
      <c r="B3084">
        <v>6110</v>
      </c>
      <c r="C3084" t="s">
        <v>276</v>
      </c>
      <c r="D3084">
        <v>4331</v>
      </c>
      <c r="E3084" t="s">
        <v>390</v>
      </c>
      <c r="F3084" s="4">
        <v>76954</v>
      </c>
      <c r="G3084" s="4">
        <v>0</v>
      </c>
      <c r="H3084" s="4">
        <v>0</v>
      </c>
      <c r="I3084" s="4">
        <v>0</v>
      </c>
      <c r="J3084" s="4">
        <v>76954</v>
      </c>
    </row>
    <row r="3085" spans="1:10" x14ac:dyDescent="0.75">
      <c r="A3085" t="s">
        <v>163</v>
      </c>
      <c r="B3085">
        <v>6110</v>
      </c>
      <c r="C3085" t="s">
        <v>276</v>
      </c>
      <c r="D3085">
        <v>3110</v>
      </c>
      <c r="E3085" t="s">
        <v>405</v>
      </c>
      <c r="F3085" s="4">
        <v>74516</v>
      </c>
      <c r="G3085" s="4">
        <v>0</v>
      </c>
      <c r="H3085" s="4">
        <v>0</v>
      </c>
      <c r="I3085" s="4">
        <v>0</v>
      </c>
      <c r="J3085" s="4">
        <v>74516</v>
      </c>
    </row>
    <row r="3086" spans="1:10" x14ac:dyDescent="0.75">
      <c r="A3086" t="s">
        <v>163</v>
      </c>
      <c r="B3086">
        <v>6110</v>
      </c>
      <c r="C3086" t="s">
        <v>276</v>
      </c>
      <c r="D3086">
        <v>4900</v>
      </c>
      <c r="E3086" t="s">
        <v>383</v>
      </c>
      <c r="F3086" s="4">
        <v>42498</v>
      </c>
      <c r="G3086" s="4">
        <v>0</v>
      </c>
      <c r="H3086" s="4">
        <v>0</v>
      </c>
      <c r="I3086" s="4">
        <v>0</v>
      </c>
      <c r="J3086" s="4">
        <v>42498</v>
      </c>
    </row>
    <row r="3087" spans="1:10" x14ac:dyDescent="0.75">
      <c r="A3087" t="s">
        <v>163</v>
      </c>
      <c r="B3087">
        <v>6110</v>
      </c>
      <c r="C3087" t="s">
        <v>276</v>
      </c>
      <c r="D3087">
        <v>6865</v>
      </c>
      <c r="E3087" t="s">
        <v>490</v>
      </c>
      <c r="F3087" s="4">
        <v>36778</v>
      </c>
      <c r="G3087" s="4">
        <v>0</v>
      </c>
      <c r="H3087" s="4">
        <v>0</v>
      </c>
      <c r="I3087" s="4">
        <v>0</v>
      </c>
      <c r="J3087" s="4">
        <v>36778</v>
      </c>
    </row>
    <row r="3088" spans="1:10" x14ac:dyDescent="0.75">
      <c r="A3088" t="s">
        <v>163</v>
      </c>
      <c r="B3088">
        <v>6110</v>
      </c>
      <c r="C3088" t="s">
        <v>276</v>
      </c>
      <c r="D3088">
        <v>6522</v>
      </c>
      <c r="E3088" t="s">
        <v>393</v>
      </c>
      <c r="F3088" s="4">
        <v>17628</v>
      </c>
      <c r="G3088" s="4">
        <v>0</v>
      </c>
      <c r="H3088" s="4">
        <v>0</v>
      </c>
      <c r="I3088" s="4">
        <v>0</v>
      </c>
      <c r="J3088" s="4">
        <v>17628</v>
      </c>
    </row>
    <row r="3089" spans="1:10" x14ac:dyDescent="0.75">
      <c r="A3089" t="s">
        <v>163</v>
      </c>
      <c r="B3089">
        <v>6110</v>
      </c>
      <c r="C3089" t="s">
        <v>276</v>
      </c>
      <c r="D3089">
        <v>6782</v>
      </c>
      <c r="E3089" t="s">
        <v>396</v>
      </c>
      <c r="F3089" s="4">
        <v>14985</v>
      </c>
      <c r="G3089" s="4">
        <v>0</v>
      </c>
      <c r="H3089" s="4">
        <v>0</v>
      </c>
      <c r="I3089" s="4">
        <v>0</v>
      </c>
      <c r="J3089" s="4">
        <v>14985</v>
      </c>
    </row>
    <row r="3090" spans="1:10" x14ac:dyDescent="0.75">
      <c r="A3090" t="s">
        <v>163</v>
      </c>
      <c r="B3090">
        <v>6110</v>
      </c>
      <c r="C3090" t="s">
        <v>276</v>
      </c>
      <c r="D3090">
        <v>5360</v>
      </c>
      <c r="E3090" t="s">
        <v>465</v>
      </c>
      <c r="F3090" s="4">
        <v>14752</v>
      </c>
      <c r="G3090" s="4">
        <v>0</v>
      </c>
      <c r="H3090" s="4">
        <v>0</v>
      </c>
      <c r="I3090" s="4">
        <v>0</v>
      </c>
      <c r="J3090" s="4">
        <v>14752</v>
      </c>
    </row>
    <row r="3091" spans="1:10" x14ac:dyDescent="0.75">
      <c r="A3091" t="s">
        <v>163</v>
      </c>
      <c r="B3091">
        <v>6110</v>
      </c>
      <c r="C3091" t="s">
        <v>276</v>
      </c>
      <c r="D3091">
        <v>1200</v>
      </c>
      <c r="E3091" t="s">
        <v>402</v>
      </c>
      <c r="F3091" s="4">
        <v>9308</v>
      </c>
      <c r="G3091" s="4">
        <v>0</v>
      </c>
      <c r="H3091" s="4">
        <v>0</v>
      </c>
      <c r="I3091" s="4">
        <v>0</v>
      </c>
      <c r="J3091" s="4">
        <v>9308</v>
      </c>
    </row>
    <row r="3092" spans="1:10" x14ac:dyDescent="0.75">
      <c r="A3092" t="s">
        <v>163</v>
      </c>
      <c r="B3092">
        <v>6110</v>
      </c>
      <c r="C3092" t="s">
        <v>276</v>
      </c>
      <c r="D3092">
        <v>4420</v>
      </c>
      <c r="E3092" t="s">
        <v>381</v>
      </c>
      <c r="F3092" s="4">
        <v>9213</v>
      </c>
      <c r="G3092" s="4">
        <v>0</v>
      </c>
      <c r="H3092" s="4">
        <v>0</v>
      </c>
      <c r="I3092" s="4">
        <v>0</v>
      </c>
      <c r="J3092" s="4">
        <v>9213</v>
      </c>
    </row>
    <row r="3093" spans="1:10" x14ac:dyDescent="0.75">
      <c r="A3093" t="s">
        <v>163</v>
      </c>
      <c r="B3093">
        <v>6110</v>
      </c>
      <c r="C3093" t="s">
        <v>276</v>
      </c>
      <c r="D3093">
        <v>6344</v>
      </c>
      <c r="E3093" t="s">
        <v>392</v>
      </c>
      <c r="F3093" s="4">
        <v>7834</v>
      </c>
      <c r="G3093" s="4">
        <v>0</v>
      </c>
      <c r="H3093" s="4">
        <v>0</v>
      </c>
      <c r="I3093" s="4">
        <v>0</v>
      </c>
      <c r="J3093" s="4">
        <v>7834</v>
      </c>
    </row>
    <row r="3094" spans="1:10" x14ac:dyDescent="0.75">
      <c r="A3094" t="s">
        <v>163</v>
      </c>
      <c r="B3094">
        <v>6110</v>
      </c>
      <c r="C3094" t="s">
        <v>276</v>
      </c>
      <c r="D3094">
        <v>3130</v>
      </c>
      <c r="E3094" t="s">
        <v>407</v>
      </c>
      <c r="F3094" s="4">
        <v>6547</v>
      </c>
      <c r="G3094" s="4">
        <v>0</v>
      </c>
      <c r="H3094" s="4">
        <v>0</v>
      </c>
      <c r="I3094" s="4">
        <v>0</v>
      </c>
      <c r="J3094" s="4">
        <v>6547</v>
      </c>
    </row>
    <row r="3095" spans="1:10" x14ac:dyDescent="0.75">
      <c r="A3095" t="s">
        <v>163</v>
      </c>
      <c r="B3095">
        <v>6110</v>
      </c>
      <c r="C3095" t="s">
        <v>276</v>
      </c>
      <c r="D3095">
        <v>6241</v>
      </c>
      <c r="E3095" t="s">
        <v>391</v>
      </c>
      <c r="F3095" s="4">
        <v>3281</v>
      </c>
      <c r="G3095" s="4">
        <v>0</v>
      </c>
      <c r="H3095" s="4">
        <v>0</v>
      </c>
      <c r="I3095" s="4">
        <v>0</v>
      </c>
      <c r="J3095" s="4">
        <v>3281</v>
      </c>
    </row>
    <row r="3096" spans="1:10" x14ac:dyDescent="0.75">
      <c r="A3096" t="s">
        <v>163</v>
      </c>
      <c r="B3096">
        <v>6110</v>
      </c>
      <c r="C3096" t="s">
        <v>276</v>
      </c>
      <c r="D3096">
        <v>5370</v>
      </c>
      <c r="E3096" t="s">
        <v>466</v>
      </c>
      <c r="F3096" s="4">
        <v>2926</v>
      </c>
      <c r="G3096" s="4">
        <v>0</v>
      </c>
      <c r="H3096" s="4">
        <v>0</v>
      </c>
      <c r="I3096" s="4">
        <v>0</v>
      </c>
      <c r="J3096" s="4">
        <v>2926</v>
      </c>
    </row>
    <row r="3097" spans="1:10" x14ac:dyDescent="0.75">
      <c r="A3097" t="s">
        <v>163</v>
      </c>
      <c r="B3097">
        <v>6110</v>
      </c>
      <c r="C3097" t="s">
        <v>276</v>
      </c>
      <c r="D3097">
        <v>7110</v>
      </c>
      <c r="E3097" t="s">
        <v>371</v>
      </c>
      <c r="F3097" s="4">
        <v>1600</v>
      </c>
      <c r="G3097" s="4">
        <v>0</v>
      </c>
      <c r="H3097" s="4">
        <v>0</v>
      </c>
      <c r="I3097" s="4">
        <v>0</v>
      </c>
      <c r="J3097" s="4">
        <v>1600</v>
      </c>
    </row>
    <row r="3098" spans="1:10" x14ac:dyDescent="0.75">
      <c r="A3098" t="s">
        <v>163</v>
      </c>
      <c r="B3098">
        <v>6110</v>
      </c>
      <c r="C3098" t="s">
        <v>276</v>
      </c>
      <c r="D3098">
        <v>4225</v>
      </c>
      <c r="E3098" t="s">
        <v>380</v>
      </c>
      <c r="F3098" s="4">
        <v>1587</v>
      </c>
      <c r="G3098" s="4">
        <v>0</v>
      </c>
      <c r="H3098" s="4">
        <v>0</v>
      </c>
      <c r="I3098" s="4">
        <v>0</v>
      </c>
      <c r="J3098" s="4">
        <v>1587</v>
      </c>
    </row>
    <row r="3099" spans="1:10" x14ac:dyDescent="0.75">
      <c r="A3099" t="s">
        <v>163</v>
      </c>
      <c r="B3099">
        <v>6110</v>
      </c>
      <c r="C3099" t="s">
        <v>276</v>
      </c>
      <c r="D3099">
        <v>2540</v>
      </c>
      <c r="E3099" t="s">
        <v>377</v>
      </c>
      <c r="F3099" s="4">
        <v>1522</v>
      </c>
      <c r="G3099" s="4">
        <v>0</v>
      </c>
      <c r="H3099" s="4">
        <v>0</v>
      </c>
      <c r="I3099" s="4">
        <v>0</v>
      </c>
      <c r="J3099" s="4">
        <v>1522</v>
      </c>
    </row>
    <row r="3100" spans="1:10" x14ac:dyDescent="0.75">
      <c r="A3100" t="s">
        <v>151</v>
      </c>
      <c r="B3100">
        <v>93</v>
      </c>
      <c r="C3100" t="s">
        <v>335</v>
      </c>
      <c r="D3100">
        <v>4331</v>
      </c>
      <c r="E3100" t="s">
        <v>390</v>
      </c>
      <c r="F3100" s="4">
        <v>6518</v>
      </c>
      <c r="G3100" s="4">
        <v>0</v>
      </c>
      <c r="H3100" s="4">
        <v>0</v>
      </c>
      <c r="I3100" s="4">
        <v>0</v>
      </c>
      <c r="J3100" s="4">
        <v>6518</v>
      </c>
    </row>
    <row r="3101" spans="1:10" x14ac:dyDescent="0.75">
      <c r="A3101" t="s">
        <v>151</v>
      </c>
      <c r="B3101">
        <v>93</v>
      </c>
      <c r="C3101" t="s">
        <v>335</v>
      </c>
      <c r="D3101">
        <v>4515</v>
      </c>
      <c r="E3101" t="s">
        <v>455</v>
      </c>
      <c r="F3101" s="4">
        <v>2428</v>
      </c>
      <c r="G3101" s="4">
        <v>0</v>
      </c>
      <c r="H3101" s="4">
        <v>0</v>
      </c>
      <c r="I3101" s="4">
        <v>0</v>
      </c>
      <c r="J3101" s="4">
        <v>2428</v>
      </c>
    </row>
    <row r="3102" spans="1:10" x14ac:dyDescent="0.75">
      <c r="A3102" t="s">
        <v>151</v>
      </c>
      <c r="B3102">
        <v>93</v>
      </c>
      <c r="C3102" t="s">
        <v>335</v>
      </c>
      <c r="D3102">
        <v>3275</v>
      </c>
      <c r="E3102" t="s">
        <v>412</v>
      </c>
      <c r="F3102" s="4">
        <v>500</v>
      </c>
      <c r="G3102" s="4">
        <v>0</v>
      </c>
      <c r="H3102" s="4">
        <v>0</v>
      </c>
      <c r="I3102" s="4">
        <v>0</v>
      </c>
      <c r="J3102" s="4">
        <v>500</v>
      </c>
    </row>
    <row r="3103" spans="1:10" x14ac:dyDescent="0.75">
      <c r="A3103" t="s">
        <v>151</v>
      </c>
      <c r="B3103">
        <v>93</v>
      </c>
      <c r="C3103" t="s">
        <v>335</v>
      </c>
      <c r="D3103">
        <v>7400</v>
      </c>
      <c r="E3103" t="s">
        <v>502</v>
      </c>
      <c r="F3103" s="4">
        <v>280</v>
      </c>
      <c r="G3103" s="4">
        <v>0</v>
      </c>
      <c r="H3103" s="4">
        <v>0</v>
      </c>
      <c r="I3103" s="4">
        <v>0</v>
      </c>
      <c r="J3103" s="4">
        <v>280</v>
      </c>
    </row>
    <row r="3104" spans="1:10" x14ac:dyDescent="0.75">
      <c r="A3104" t="s">
        <v>151</v>
      </c>
      <c r="B3104">
        <v>93</v>
      </c>
      <c r="C3104" t="s">
        <v>335</v>
      </c>
      <c r="D3104">
        <v>7110</v>
      </c>
      <c r="E3104" t="s">
        <v>371</v>
      </c>
      <c r="F3104" s="4">
        <v>35</v>
      </c>
      <c r="G3104" s="4">
        <v>0</v>
      </c>
      <c r="H3104" s="4">
        <v>0</v>
      </c>
      <c r="I3104" s="4">
        <v>0</v>
      </c>
      <c r="J3104" s="4">
        <v>35</v>
      </c>
    </row>
    <row r="3105" spans="1:10" x14ac:dyDescent="0.75">
      <c r="A3105" t="s">
        <v>163</v>
      </c>
      <c r="B3105">
        <v>2370</v>
      </c>
      <c r="C3105" t="s">
        <v>186</v>
      </c>
      <c r="D3105">
        <v>4331</v>
      </c>
      <c r="E3105" t="s">
        <v>390</v>
      </c>
      <c r="F3105" s="4">
        <v>3598212</v>
      </c>
      <c r="G3105" s="4">
        <v>0</v>
      </c>
      <c r="H3105" s="4">
        <v>0</v>
      </c>
      <c r="I3105" s="4">
        <v>0</v>
      </c>
      <c r="J3105" s="4">
        <v>3598212</v>
      </c>
    </row>
    <row r="3106" spans="1:10" x14ac:dyDescent="0.75">
      <c r="A3106" t="s">
        <v>163</v>
      </c>
      <c r="B3106">
        <v>2370</v>
      </c>
      <c r="C3106" t="s">
        <v>186</v>
      </c>
      <c r="D3106">
        <v>5220</v>
      </c>
      <c r="E3106" t="s">
        <v>401</v>
      </c>
      <c r="F3106" s="4">
        <v>1157816</v>
      </c>
      <c r="G3106" s="4">
        <v>0</v>
      </c>
      <c r="H3106" s="4">
        <v>0</v>
      </c>
      <c r="I3106" s="4">
        <v>0</v>
      </c>
      <c r="J3106" s="4">
        <v>1157816</v>
      </c>
    </row>
    <row r="3107" spans="1:10" x14ac:dyDescent="0.75">
      <c r="A3107" t="s">
        <v>163</v>
      </c>
      <c r="B3107">
        <v>2370</v>
      </c>
      <c r="C3107" t="s">
        <v>186</v>
      </c>
      <c r="D3107">
        <v>2330</v>
      </c>
      <c r="E3107" t="s">
        <v>368</v>
      </c>
      <c r="F3107" s="4">
        <v>834151</v>
      </c>
      <c r="G3107" s="4">
        <v>0</v>
      </c>
      <c r="H3107" s="4">
        <v>0</v>
      </c>
      <c r="I3107" s="4">
        <v>0</v>
      </c>
      <c r="J3107" s="4">
        <v>834151</v>
      </c>
    </row>
    <row r="3108" spans="1:10" x14ac:dyDescent="0.75">
      <c r="A3108" t="s">
        <v>163</v>
      </c>
      <c r="B3108">
        <v>2370</v>
      </c>
      <c r="C3108" t="s">
        <v>186</v>
      </c>
      <c r="D3108">
        <v>2211</v>
      </c>
      <c r="E3108" t="s">
        <v>367</v>
      </c>
      <c r="F3108" s="4">
        <v>809985</v>
      </c>
      <c r="G3108" s="4">
        <v>0</v>
      </c>
      <c r="H3108" s="4">
        <v>0</v>
      </c>
      <c r="I3108" s="4">
        <v>0</v>
      </c>
      <c r="J3108" s="4">
        <v>809985</v>
      </c>
    </row>
    <row r="3109" spans="1:10" x14ac:dyDescent="0.75">
      <c r="A3109" t="s">
        <v>163</v>
      </c>
      <c r="B3109">
        <v>2370</v>
      </c>
      <c r="C3109" t="s">
        <v>186</v>
      </c>
      <c r="D3109">
        <v>4420</v>
      </c>
      <c r="E3109" t="s">
        <v>381</v>
      </c>
      <c r="F3109" s="4">
        <v>302886</v>
      </c>
      <c r="G3109" s="4">
        <v>0</v>
      </c>
      <c r="H3109" s="4">
        <v>0</v>
      </c>
      <c r="I3109" s="4">
        <v>0</v>
      </c>
      <c r="J3109" s="4">
        <v>302886</v>
      </c>
    </row>
    <row r="3110" spans="1:10" x14ac:dyDescent="0.75">
      <c r="A3110" t="s">
        <v>163</v>
      </c>
      <c r="B3110">
        <v>2370</v>
      </c>
      <c r="C3110" t="s">
        <v>186</v>
      </c>
      <c r="D3110">
        <v>2430</v>
      </c>
      <c r="E3110" t="s">
        <v>376</v>
      </c>
      <c r="F3110" s="4">
        <v>196249</v>
      </c>
      <c r="G3110" s="4">
        <v>0</v>
      </c>
      <c r="H3110" s="4">
        <v>0</v>
      </c>
      <c r="I3110" s="4">
        <v>0</v>
      </c>
      <c r="J3110" s="4">
        <v>196249</v>
      </c>
    </row>
    <row r="3111" spans="1:10" x14ac:dyDescent="0.75">
      <c r="A3111" t="s">
        <v>163</v>
      </c>
      <c r="B3111">
        <v>2370</v>
      </c>
      <c r="C3111" t="s">
        <v>186</v>
      </c>
      <c r="D3111">
        <v>3220</v>
      </c>
      <c r="E3111" t="s">
        <v>370</v>
      </c>
      <c r="F3111" s="4">
        <v>139338</v>
      </c>
      <c r="G3111" s="4">
        <v>0</v>
      </c>
      <c r="H3111" s="4">
        <v>0</v>
      </c>
      <c r="I3111" s="4">
        <v>0</v>
      </c>
      <c r="J3111" s="4">
        <v>139338</v>
      </c>
    </row>
    <row r="3112" spans="1:10" x14ac:dyDescent="0.75">
      <c r="A3112" t="s">
        <v>163</v>
      </c>
      <c r="B3112">
        <v>2370</v>
      </c>
      <c r="C3112" t="s">
        <v>186</v>
      </c>
      <c r="D3112">
        <v>3110</v>
      </c>
      <c r="E3112" t="s">
        <v>405</v>
      </c>
      <c r="F3112" s="4">
        <v>113772</v>
      </c>
      <c r="G3112" s="4">
        <v>0</v>
      </c>
      <c r="H3112" s="4">
        <v>0</v>
      </c>
      <c r="I3112" s="4">
        <v>0</v>
      </c>
      <c r="J3112" s="4">
        <v>113772</v>
      </c>
    </row>
    <row r="3113" spans="1:10" x14ac:dyDescent="0.75">
      <c r="A3113" t="s">
        <v>163</v>
      </c>
      <c r="B3113">
        <v>2370</v>
      </c>
      <c r="C3113" t="s">
        <v>186</v>
      </c>
      <c r="D3113">
        <v>4783</v>
      </c>
      <c r="E3113" t="s">
        <v>382</v>
      </c>
      <c r="F3113" s="4">
        <v>95082</v>
      </c>
      <c r="G3113" s="4">
        <v>0</v>
      </c>
      <c r="H3113" s="4">
        <v>0</v>
      </c>
      <c r="I3113" s="4">
        <v>0</v>
      </c>
      <c r="J3113" s="4">
        <v>95082</v>
      </c>
    </row>
    <row r="3114" spans="1:10" x14ac:dyDescent="0.75">
      <c r="A3114" t="s">
        <v>163</v>
      </c>
      <c r="B3114">
        <v>2370</v>
      </c>
      <c r="C3114" t="s">
        <v>186</v>
      </c>
      <c r="D3114">
        <v>5360</v>
      </c>
      <c r="E3114" t="s">
        <v>465</v>
      </c>
      <c r="F3114" s="4">
        <v>81163</v>
      </c>
      <c r="G3114" s="4">
        <v>0</v>
      </c>
      <c r="H3114" s="4">
        <v>0</v>
      </c>
      <c r="I3114" s="4">
        <v>0</v>
      </c>
      <c r="J3114" s="4">
        <v>81163</v>
      </c>
    </row>
    <row r="3115" spans="1:10" x14ac:dyDescent="0.75">
      <c r="A3115" t="s">
        <v>163</v>
      </c>
      <c r="B3115">
        <v>2370</v>
      </c>
      <c r="C3115" t="s">
        <v>186</v>
      </c>
      <c r="D3115">
        <v>5390</v>
      </c>
      <c r="E3115" t="s">
        <v>418</v>
      </c>
      <c r="F3115" s="4">
        <v>54907</v>
      </c>
      <c r="G3115" s="4">
        <v>0</v>
      </c>
      <c r="H3115" s="4">
        <v>0</v>
      </c>
      <c r="I3115" s="4">
        <v>0</v>
      </c>
      <c r="J3115" s="4">
        <v>54907</v>
      </c>
    </row>
    <row r="3116" spans="1:10" x14ac:dyDescent="0.75">
      <c r="A3116" t="s">
        <v>163</v>
      </c>
      <c r="B3116">
        <v>2370</v>
      </c>
      <c r="C3116" t="s">
        <v>186</v>
      </c>
      <c r="D3116">
        <v>3190</v>
      </c>
      <c r="E3116" t="s">
        <v>408</v>
      </c>
      <c r="F3116" s="4">
        <v>46352</v>
      </c>
      <c r="G3116" s="4">
        <v>0</v>
      </c>
      <c r="H3116" s="4">
        <v>0</v>
      </c>
      <c r="I3116" s="4">
        <v>0</v>
      </c>
      <c r="J3116" s="4">
        <v>46352</v>
      </c>
    </row>
    <row r="3117" spans="1:10" x14ac:dyDescent="0.75">
      <c r="A3117" t="s">
        <v>163</v>
      </c>
      <c r="B3117">
        <v>2370</v>
      </c>
      <c r="C3117" t="s">
        <v>186</v>
      </c>
      <c r="D3117">
        <v>4900</v>
      </c>
      <c r="E3117" t="s">
        <v>383</v>
      </c>
      <c r="F3117" s="4">
        <v>45054</v>
      </c>
      <c r="G3117" s="4">
        <v>0</v>
      </c>
      <c r="H3117" s="4">
        <v>0</v>
      </c>
      <c r="I3117" s="4">
        <v>0</v>
      </c>
      <c r="J3117" s="4">
        <v>45054</v>
      </c>
    </row>
    <row r="3118" spans="1:10" x14ac:dyDescent="0.75">
      <c r="A3118" t="s">
        <v>163</v>
      </c>
      <c r="B3118">
        <v>2370</v>
      </c>
      <c r="C3118" t="s">
        <v>186</v>
      </c>
      <c r="D3118">
        <v>3130</v>
      </c>
      <c r="E3118" t="s">
        <v>407</v>
      </c>
      <c r="F3118" s="4">
        <v>38615</v>
      </c>
      <c r="G3118" s="4">
        <v>0</v>
      </c>
      <c r="H3118" s="4">
        <v>0</v>
      </c>
      <c r="I3118" s="4">
        <v>0</v>
      </c>
      <c r="J3118" s="4">
        <v>38615</v>
      </c>
    </row>
    <row r="3119" spans="1:10" x14ac:dyDescent="0.75">
      <c r="A3119" t="s">
        <v>163</v>
      </c>
      <c r="B3119">
        <v>2370</v>
      </c>
      <c r="C3119" t="s">
        <v>186</v>
      </c>
      <c r="D3119">
        <v>4322</v>
      </c>
      <c r="E3119" t="s">
        <v>398</v>
      </c>
      <c r="F3119" s="4">
        <v>17262</v>
      </c>
      <c r="G3119" s="4">
        <v>0</v>
      </c>
      <c r="H3119" s="4">
        <v>0</v>
      </c>
      <c r="I3119" s="4">
        <v>0</v>
      </c>
      <c r="J3119" s="4">
        <v>17262</v>
      </c>
    </row>
    <row r="3120" spans="1:10" x14ac:dyDescent="0.75">
      <c r="A3120" t="s">
        <v>163</v>
      </c>
      <c r="B3120">
        <v>2370</v>
      </c>
      <c r="C3120" t="s">
        <v>186</v>
      </c>
      <c r="D3120">
        <v>2340</v>
      </c>
      <c r="E3120" t="s">
        <v>369</v>
      </c>
      <c r="F3120" s="4">
        <v>9378</v>
      </c>
      <c r="G3120" s="4">
        <v>0</v>
      </c>
      <c r="H3120" s="4">
        <v>0</v>
      </c>
      <c r="I3120" s="4">
        <v>0</v>
      </c>
      <c r="J3120" s="4">
        <v>9378</v>
      </c>
    </row>
    <row r="3121" spans="1:10" x14ac:dyDescent="0.75">
      <c r="A3121" t="s">
        <v>163</v>
      </c>
      <c r="B3121">
        <v>2370</v>
      </c>
      <c r="C3121" t="s">
        <v>186</v>
      </c>
      <c r="D3121">
        <v>5330</v>
      </c>
      <c r="E3121" t="s">
        <v>385</v>
      </c>
      <c r="F3121" s="4">
        <v>6120</v>
      </c>
      <c r="G3121" s="4">
        <v>0</v>
      </c>
      <c r="H3121" s="4">
        <v>0</v>
      </c>
      <c r="I3121" s="4">
        <v>0</v>
      </c>
      <c r="J3121" s="4">
        <v>6120</v>
      </c>
    </row>
    <row r="3122" spans="1:10" x14ac:dyDescent="0.75">
      <c r="A3122" t="s">
        <v>163</v>
      </c>
      <c r="B3122">
        <v>2370</v>
      </c>
      <c r="C3122" t="s">
        <v>186</v>
      </c>
      <c r="D3122">
        <v>2221</v>
      </c>
      <c r="E3122" t="s">
        <v>374</v>
      </c>
      <c r="F3122" s="4">
        <v>4328</v>
      </c>
      <c r="G3122" s="4">
        <v>0</v>
      </c>
      <c r="H3122" s="4">
        <v>0</v>
      </c>
      <c r="I3122" s="4">
        <v>0</v>
      </c>
      <c r="J3122" s="4">
        <v>4328</v>
      </c>
    </row>
    <row r="3123" spans="1:10" x14ac:dyDescent="0.75">
      <c r="A3123" t="s">
        <v>163</v>
      </c>
      <c r="B3123">
        <v>2370</v>
      </c>
      <c r="C3123" t="s">
        <v>186</v>
      </c>
      <c r="D3123">
        <v>3120</v>
      </c>
      <c r="E3123" t="s">
        <v>406</v>
      </c>
      <c r="F3123" s="4">
        <v>3065</v>
      </c>
      <c r="G3123" s="4">
        <v>0</v>
      </c>
      <c r="H3123" s="4">
        <v>0</v>
      </c>
      <c r="I3123" s="4">
        <v>0</v>
      </c>
      <c r="J3123" s="4">
        <v>3065</v>
      </c>
    </row>
    <row r="3124" spans="1:10" x14ac:dyDescent="0.75">
      <c r="A3124" t="s">
        <v>163</v>
      </c>
      <c r="B3124">
        <v>2370</v>
      </c>
      <c r="C3124" t="s">
        <v>186</v>
      </c>
      <c r="D3124">
        <v>4782</v>
      </c>
      <c r="E3124" t="s">
        <v>414</v>
      </c>
      <c r="F3124" s="4">
        <v>1725</v>
      </c>
      <c r="G3124" s="4">
        <v>0</v>
      </c>
      <c r="H3124" s="4">
        <v>0</v>
      </c>
      <c r="I3124" s="4">
        <v>0</v>
      </c>
      <c r="J3124" s="4">
        <v>1725</v>
      </c>
    </row>
    <row r="3125" spans="1:10" x14ac:dyDescent="0.75">
      <c r="A3125" t="s">
        <v>163</v>
      </c>
      <c r="B3125">
        <v>2370</v>
      </c>
      <c r="C3125" t="s">
        <v>186</v>
      </c>
      <c r="D3125">
        <v>3275</v>
      </c>
      <c r="E3125" t="s">
        <v>412</v>
      </c>
      <c r="F3125" s="4">
        <v>1656</v>
      </c>
      <c r="G3125" s="4">
        <v>0</v>
      </c>
      <c r="H3125" s="4">
        <v>0</v>
      </c>
      <c r="I3125" s="4">
        <v>0</v>
      </c>
      <c r="J3125" s="4">
        <v>1656</v>
      </c>
    </row>
    <row r="3126" spans="1:10" x14ac:dyDescent="0.75">
      <c r="A3126" t="s">
        <v>163</v>
      </c>
      <c r="B3126">
        <v>2270</v>
      </c>
      <c r="C3126" t="s">
        <v>269</v>
      </c>
      <c r="D3126">
        <v>3220</v>
      </c>
      <c r="E3126" t="s">
        <v>370</v>
      </c>
      <c r="F3126" s="4">
        <v>145072</v>
      </c>
      <c r="G3126" s="4">
        <v>0</v>
      </c>
      <c r="H3126" s="4">
        <v>0</v>
      </c>
      <c r="I3126" s="4">
        <v>0</v>
      </c>
      <c r="J3126" s="4">
        <v>145072</v>
      </c>
    </row>
    <row r="3127" spans="1:10" x14ac:dyDescent="0.75">
      <c r="A3127" t="s">
        <v>163</v>
      </c>
      <c r="B3127">
        <v>2270</v>
      </c>
      <c r="C3127" t="s">
        <v>269</v>
      </c>
      <c r="D3127">
        <v>2100</v>
      </c>
      <c r="E3127" t="s">
        <v>403</v>
      </c>
      <c r="F3127" s="4">
        <v>138957</v>
      </c>
      <c r="G3127" s="4">
        <v>0</v>
      </c>
      <c r="H3127" s="4">
        <v>0</v>
      </c>
      <c r="I3127" s="4">
        <v>0</v>
      </c>
      <c r="J3127" s="4">
        <v>138957</v>
      </c>
    </row>
    <row r="3128" spans="1:10" x14ac:dyDescent="0.75">
      <c r="A3128" t="s">
        <v>163</v>
      </c>
      <c r="B3128">
        <v>2270</v>
      </c>
      <c r="C3128" t="s">
        <v>269</v>
      </c>
      <c r="D3128">
        <v>2330</v>
      </c>
      <c r="E3128" t="s">
        <v>368</v>
      </c>
      <c r="F3128" s="4">
        <v>76696</v>
      </c>
      <c r="G3128" s="4">
        <v>0</v>
      </c>
      <c r="H3128" s="4">
        <v>0</v>
      </c>
      <c r="I3128" s="4">
        <v>0</v>
      </c>
      <c r="J3128" s="4">
        <v>76696</v>
      </c>
    </row>
    <row r="3129" spans="1:10" x14ac:dyDescent="0.75">
      <c r="A3129" t="s">
        <v>163</v>
      </c>
      <c r="B3129">
        <v>2270</v>
      </c>
      <c r="C3129" t="s">
        <v>269</v>
      </c>
      <c r="D3129">
        <v>6522</v>
      </c>
      <c r="E3129" t="s">
        <v>393</v>
      </c>
      <c r="F3129" s="4">
        <v>59200</v>
      </c>
      <c r="G3129" s="4">
        <v>0</v>
      </c>
      <c r="H3129" s="4">
        <v>0</v>
      </c>
      <c r="I3129" s="4">
        <v>0</v>
      </c>
      <c r="J3129" s="4">
        <v>59200</v>
      </c>
    </row>
    <row r="3130" spans="1:10" x14ac:dyDescent="0.75">
      <c r="A3130" t="s">
        <v>163</v>
      </c>
      <c r="B3130">
        <v>2270</v>
      </c>
      <c r="C3130" t="s">
        <v>269</v>
      </c>
      <c r="D3130">
        <v>2211</v>
      </c>
      <c r="E3130" t="s">
        <v>367</v>
      </c>
      <c r="F3130" s="4">
        <v>54685</v>
      </c>
      <c r="G3130" s="4">
        <v>0</v>
      </c>
      <c r="H3130" s="4">
        <v>0</v>
      </c>
      <c r="I3130" s="4">
        <v>0</v>
      </c>
      <c r="J3130" s="4">
        <v>54685</v>
      </c>
    </row>
    <row r="3131" spans="1:10" x14ac:dyDescent="0.75">
      <c r="A3131" t="s">
        <v>163</v>
      </c>
      <c r="B3131">
        <v>2270</v>
      </c>
      <c r="C3131" t="s">
        <v>269</v>
      </c>
      <c r="D3131">
        <v>5220</v>
      </c>
      <c r="E3131" t="s">
        <v>401</v>
      </c>
      <c r="F3131" s="4">
        <v>40300</v>
      </c>
      <c r="G3131" s="4">
        <v>0</v>
      </c>
      <c r="H3131" s="4">
        <v>0</v>
      </c>
      <c r="I3131" s="4">
        <v>0</v>
      </c>
      <c r="J3131" s="4">
        <v>40300</v>
      </c>
    </row>
    <row r="3132" spans="1:10" x14ac:dyDescent="0.75">
      <c r="A3132" t="s">
        <v>163</v>
      </c>
      <c r="B3132">
        <v>2270</v>
      </c>
      <c r="C3132" t="s">
        <v>269</v>
      </c>
      <c r="D3132">
        <v>6344</v>
      </c>
      <c r="E3132" t="s">
        <v>392</v>
      </c>
      <c r="F3132" s="4">
        <v>37343</v>
      </c>
      <c r="G3132" s="4">
        <v>0</v>
      </c>
      <c r="H3132" s="4">
        <v>0</v>
      </c>
      <c r="I3132" s="4">
        <v>0</v>
      </c>
      <c r="J3132" s="4">
        <v>37343</v>
      </c>
    </row>
    <row r="3133" spans="1:10" x14ac:dyDescent="0.75">
      <c r="A3133" t="s">
        <v>163</v>
      </c>
      <c r="B3133">
        <v>2270</v>
      </c>
      <c r="C3133" t="s">
        <v>269</v>
      </c>
      <c r="D3133">
        <v>3274</v>
      </c>
      <c r="E3133" t="s">
        <v>438</v>
      </c>
      <c r="F3133" s="4">
        <v>25503</v>
      </c>
      <c r="G3133" s="4">
        <v>0</v>
      </c>
      <c r="H3133" s="4">
        <v>0</v>
      </c>
      <c r="I3133" s="4">
        <v>0</v>
      </c>
      <c r="J3133" s="4">
        <v>25503</v>
      </c>
    </row>
    <row r="3134" spans="1:10" x14ac:dyDescent="0.75">
      <c r="A3134" t="s">
        <v>163</v>
      </c>
      <c r="B3134">
        <v>2270</v>
      </c>
      <c r="C3134" t="s">
        <v>269</v>
      </c>
      <c r="D3134">
        <v>6782</v>
      </c>
      <c r="E3134" t="s">
        <v>396</v>
      </c>
      <c r="F3134" s="4">
        <v>23257</v>
      </c>
      <c r="G3134" s="4">
        <v>0</v>
      </c>
      <c r="H3134" s="4">
        <v>0</v>
      </c>
      <c r="I3134" s="4">
        <v>0</v>
      </c>
      <c r="J3134" s="4">
        <v>23257</v>
      </c>
    </row>
    <row r="3135" spans="1:10" x14ac:dyDescent="0.75">
      <c r="A3135" t="s">
        <v>163</v>
      </c>
      <c r="B3135">
        <v>2270</v>
      </c>
      <c r="C3135" t="s">
        <v>269</v>
      </c>
      <c r="D3135">
        <v>3276</v>
      </c>
      <c r="E3135" t="s">
        <v>379</v>
      </c>
      <c r="F3135" s="4">
        <v>16742</v>
      </c>
      <c r="G3135" s="4">
        <v>0</v>
      </c>
      <c r="H3135" s="4">
        <v>0</v>
      </c>
      <c r="I3135" s="4">
        <v>0</v>
      </c>
      <c r="J3135" s="4">
        <v>16742</v>
      </c>
    </row>
    <row r="3136" spans="1:10" x14ac:dyDescent="0.75">
      <c r="A3136" t="s">
        <v>163</v>
      </c>
      <c r="B3136">
        <v>2270</v>
      </c>
      <c r="C3136" t="s">
        <v>269</v>
      </c>
      <c r="D3136">
        <v>4331</v>
      </c>
      <c r="E3136" t="s">
        <v>390</v>
      </c>
      <c r="F3136" s="4">
        <v>14315</v>
      </c>
      <c r="G3136" s="4">
        <v>0</v>
      </c>
      <c r="H3136" s="4">
        <v>0</v>
      </c>
      <c r="I3136" s="4">
        <v>0</v>
      </c>
      <c r="J3136" s="4">
        <v>14315</v>
      </c>
    </row>
    <row r="3137" spans="1:10" x14ac:dyDescent="0.75">
      <c r="A3137" t="s">
        <v>163</v>
      </c>
      <c r="B3137">
        <v>2270</v>
      </c>
      <c r="C3137" t="s">
        <v>269</v>
      </c>
      <c r="D3137">
        <v>4335</v>
      </c>
      <c r="E3137" t="s">
        <v>372</v>
      </c>
      <c r="F3137" s="4">
        <v>12930</v>
      </c>
      <c r="G3137" s="4">
        <v>0</v>
      </c>
      <c r="H3137" s="4">
        <v>0</v>
      </c>
      <c r="I3137" s="4">
        <v>0</v>
      </c>
      <c r="J3137" s="4">
        <v>12930</v>
      </c>
    </row>
    <row r="3138" spans="1:10" x14ac:dyDescent="0.75">
      <c r="A3138" t="s">
        <v>163</v>
      </c>
      <c r="B3138">
        <v>2270</v>
      </c>
      <c r="C3138" t="s">
        <v>269</v>
      </c>
      <c r="D3138">
        <v>4322</v>
      </c>
      <c r="E3138" t="s">
        <v>398</v>
      </c>
      <c r="F3138" s="4">
        <v>12803</v>
      </c>
      <c r="G3138" s="4">
        <v>0</v>
      </c>
      <c r="H3138" s="4">
        <v>0</v>
      </c>
      <c r="I3138" s="4">
        <v>0</v>
      </c>
      <c r="J3138" s="4">
        <v>12803</v>
      </c>
    </row>
    <row r="3139" spans="1:10" x14ac:dyDescent="0.75">
      <c r="A3139" t="s">
        <v>163</v>
      </c>
      <c r="B3139">
        <v>2270</v>
      </c>
      <c r="C3139" t="s">
        <v>269</v>
      </c>
      <c r="D3139">
        <v>3190</v>
      </c>
      <c r="E3139" t="s">
        <v>408</v>
      </c>
      <c r="F3139" s="4">
        <v>7420</v>
      </c>
      <c r="G3139" s="4">
        <v>0</v>
      </c>
      <c r="H3139" s="4">
        <v>0</v>
      </c>
      <c r="I3139" s="4">
        <v>0</v>
      </c>
      <c r="J3139" s="4">
        <v>7420</v>
      </c>
    </row>
    <row r="3140" spans="1:10" x14ac:dyDescent="0.75">
      <c r="A3140" t="s">
        <v>163</v>
      </c>
      <c r="B3140">
        <v>2270</v>
      </c>
      <c r="C3140" t="s">
        <v>269</v>
      </c>
      <c r="D3140">
        <v>6654</v>
      </c>
      <c r="E3140" t="s">
        <v>419</v>
      </c>
      <c r="F3140" s="4">
        <v>6276</v>
      </c>
      <c r="G3140" s="4">
        <v>0</v>
      </c>
      <c r="H3140" s="4">
        <v>0</v>
      </c>
      <c r="I3140" s="4">
        <v>0</v>
      </c>
      <c r="J3140" s="4">
        <v>6276</v>
      </c>
    </row>
    <row r="3141" spans="1:10" x14ac:dyDescent="0.75">
      <c r="A3141" t="s">
        <v>163</v>
      </c>
      <c r="B3141">
        <v>2270</v>
      </c>
      <c r="C3141" t="s">
        <v>269</v>
      </c>
      <c r="D3141">
        <v>3219</v>
      </c>
      <c r="E3141" t="s">
        <v>378</v>
      </c>
      <c r="F3141" s="4">
        <v>5784</v>
      </c>
      <c r="G3141" s="4">
        <v>0</v>
      </c>
      <c r="H3141" s="4">
        <v>0</v>
      </c>
      <c r="I3141" s="4">
        <v>0</v>
      </c>
      <c r="J3141" s="4">
        <v>5784</v>
      </c>
    </row>
    <row r="3142" spans="1:10" x14ac:dyDescent="0.75">
      <c r="A3142" t="s">
        <v>163</v>
      </c>
      <c r="B3142">
        <v>2270</v>
      </c>
      <c r="C3142" t="s">
        <v>269</v>
      </c>
      <c r="D3142">
        <v>6447</v>
      </c>
      <c r="E3142" t="s">
        <v>475</v>
      </c>
      <c r="F3142" s="4">
        <v>5740</v>
      </c>
      <c r="G3142" s="4">
        <v>0</v>
      </c>
      <c r="H3142" s="4">
        <v>0</v>
      </c>
      <c r="I3142" s="4">
        <v>0</v>
      </c>
      <c r="J3142" s="4">
        <v>5740</v>
      </c>
    </row>
    <row r="3143" spans="1:10" x14ac:dyDescent="0.75">
      <c r="A3143" t="s">
        <v>163</v>
      </c>
      <c r="B3143">
        <v>2270</v>
      </c>
      <c r="C3143" t="s">
        <v>269</v>
      </c>
      <c r="D3143">
        <v>2430</v>
      </c>
      <c r="E3143" t="s">
        <v>376</v>
      </c>
      <c r="F3143" s="4">
        <v>3272</v>
      </c>
      <c r="G3143" s="4">
        <v>0</v>
      </c>
      <c r="H3143" s="4">
        <v>0</v>
      </c>
      <c r="I3143" s="4">
        <v>0</v>
      </c>
      <c r="J3143" s="4">
        <v>3272</v>
      </c>
    </row>
    <row r="3144" spans="1:10" x14ac:dyDescent="0.75">
      <c r="A3144" t="s">
        <v>163</v>
      </c>
      <c r="B3144">
        <v>2270</v>
      </c>
      <c r="C3144" t="s">
        <v>269</v>
      </c>
      <c r="D3144">
        <v>6653</v>
      </c>
      <c r="E3144" t="s">
        <v>395</v>
      </c>
      <c r="F3144" s="4">
        <v>3072</v>
      </c>
      <c r="G3144" s="4">
        <v>0</v>
      </c>
      <c r="H3144" s="4">
        <v>0</v>
      </c>
      <c r="I3144" s="4">
        <v>0</v>
      </c>
      <c r="J3144" s="4">
        <v>3072</v>
      </c>
    </row>
    <row r="3145" spans="1:10" x14ac:dyDescent="0.75">
      <c r="A3145" t="s">
        <v>163</v>
      </c>
      <c r="B3145">
        <v>2270</v>
      </c>
      <c r="C3145" t="s">
        <v>269</v>
      </c>
      <c r="D3145">
        <v>2350</v>
      </c>
      <c r="E3145" t="s">
        <v>404</v>
      </c>
      <c r="F3145" s="4">
        <v>2866</v>
      </c>
      <c r="G3145" s="4">
        <v>0</v>
      </c>
      <c r="H3145" s="4">
        <v>0</v>
      </c>
      <c r="I3145" s="4">
        <v>0</v>
      </c>
      <c r="J3145" s="4">
        <v>2866</v>
      </c>
    </row>
    <row r="3146" spans="1:10" x14ac:dyDescent="0.75">
      <c r="A3146" t="s">
        <v>163</v>
      </c>
      <c r="B3146">
        <v>2270</v>
      </c>
      <c r="C3146" t="s">
        <v>269</v>
      </c>
      <c r="D3146">
        <v>2540</v>
      </c>
      <c r="E3146" t="s">
        <v>377</v>
      </c>
      <c r="F3146" s="4">
        <v>2148</v>
      </c>
      <c r="G3146" s="4">
        <v>0</v>
      </c>
      <c r="H3146" s="4">
        <v>0</v>
      </c>
      <c r="I3146" s="4">
        <v>0</v>
      </c>
      <c r="J3146" s="4">
        <v>2148</v>
      </c>
    </row>
    <row r="3147" spans="1:10" x14ac:dyDescent="0.75">
      <c r="A3147" t="s">
        <v>163</v>
      </c>
      <c r="B3147">
        <v>2270</v>
      </c>
      <c r="C3147" t="s">
        <v>269</v>
      </c>
      <c r="D3147">
        <v>6442</v>
      </c>
      <c r="E3147" t="s">
        <v>472</v>
      </c>
      <c r="F3147" s="4">
        <v>1824</v>
      </c>
      <c r="G3147" s="4">
        <v>0</v>
      </c>
      <c r="H3147" s="4">
        <v>0</v>
      </c>
      <c r="I3147" s="4">
        <v>0</v>
      </c>
      <c r="J3147" s="4">
        <v>1824</v>
      </c>
    </row>
    <row r="3148" spans="1:10" x14ac:dyDescent="0.75">
      <c r="A3148" t="s">
        <v>163</v>
      </c>
      <c r="B3148">
        <v>2270</v>
      </c>
      <c r="C3148" t="s">
        <v>269</v>
      </c>
      <c r="D3148">
        <v>3120</v>
      </c>
      <c r="E3148" t="s">
        <v>406</v>
      </c>
      <c r="F3148" s="4">
        <v>1634</v>
      </c>
      <c r="G3148" s="4">
        <v>0</v>
      </c>
      <c r="H3148" s="4">
        <v>0</v>
      </c>
      <c r="I3148" s="4">
        <v>0</v>
      </c>
      <c r="J3148" s="4">
        <v>1634</v>
      </c>
    </row>
    <row r="3149" spans="1:10" x14ac:dyDescent="0.75">
      <c r="A3149" t="s">
        <v>163</v>
      </c>
      <c r="B3149">
        <v>2270</v>
      </c>
      <c r="C3149" t="s">
        <v>269</v>
      </c>
      <c r="D3149">
        <v>6590</v>
      </c>
      <c r="E3149" t="s">
        <v>394</v>
      </c>
      <c r="F3149" s="4">
        <v>1286</v>
      </c>
      <c r="G3149" s="4">
        <v>0</v>
      </c>
      <c r="H3149" s="4">
        <v>0</v>
      </c>
      <c r="I3149" s="4">
        <v>0</v>
      </c>
      <c r="J3149" s="4">
        <v>1286</v>
      </c>
    </row>
    <row r="3150" spans="1:10" x14ac:dyDescent="0.75">
      <c r="A3150" t="s">
        <v>163</v>
      </c>
      <c r="B3150">
        <v>2270</v>
      </c>
      <c r="C3150" t="s">
        <v>269</v>
      </c>
      <c r="D3150">
        <v>6241</v>
      </c>
      <c r="E3150" t="s">
        <v>391</v>
      </c>
      <c r="F3150" s="4">
        <v>1146</v>
      </c>
      <c r="G3150" s="4">
        <v>0</v>
      </c>
      <c r="H3150" s="4">
        <v>0</v>
      </c>
      <c r="I3150" s="4">
        <v>0</v>
      </c>
      <c r="J3150" s="4">
        <v>1146</v>
      </c>
    </row>
    <row r="3151" spans="1:10" x14ac:dyDescent="0.75">
      <c r="A3151" t="s">
        <v>163</v>
      </c>
      <c r="B3151">
        <v>2223</v>
      </c>
      <c r="C3151" t="s">
        <v>320</v>
      </c>
      <c r="D3151">
        <v>4331</v>
      </c>
      <c r="E3151" t="s">
        <v>390</v>
      </c>
      <c r="F3151" s="4">
        <v>59695</v>
      </c>
      <c r="G3151" s="4">
        <v>0</v>
      </c>
      <c r="H3151" s="4">
        <v>0</v>
      </c>
      <c r="I3151" s="4">
        <v>0</v>
      </c>
      <c r="J3151" s="4">
        <v>59695</v>
      </c>
    </row>
    <row r="3152" spans="1:10" x14ac:dyDescent="0.75">
      <c r="A3152" t="s">
        <v>151</v>
      </c>
      <c r="B3152">
        <v>4431</v>
      </c>
      <c r="C3152" t="s">
        <v>61</v>
      </c>
      <c r="D3152">
        <v>7800</v>
      </c>
      <c r="E3152" t="s">
        <v>507</v>
      </c>
      <c r="F3152" s="4">
        <v>1649112</v>
      </c>
      <c r="G3152" s="4">
        <v>0</v>
      </c>
      <c r="H3152" s="4">
        <v>0</v>
      </c>
      <c r="I3152" s="4">
        <v>0</v>
      </c>
      <c r="J3152" s="4">
        <v>1649112</v>
      </c>
    </row>
    <row r="3153" spans="1:10" x14ac:dyDescent="0.75">
      <c r="A3153" t="s">
        <v>151</v>
      </c>
      <c r="B3153">
        <v>4431</v>
      </c>
      <c r="C3153" t="s">
        <v>61</v>
      </c>
      <c r="D3153">
        <v>7900</v>
      </c>
      <c r="E3153" t="s">
        <v>388</v>
      </c>
      <c r="F3153" s="4">
        <v>118954</v>
      </c>
      <c r="G3153" s="4">
        <v>0</v>
      </c>
      <c r="H3153" s="4">
        <v>0</v>
      </c>
      <c r="I3153" s="4">
        <v>0</v>
      </c>
      <c r="J3153" s="4">
        <v>118954</v>
      </c>
    </row>
    <row r="3154" spans="1:10" x14ac:dyDescent="0.75">
      <c r="A3154" t="s">
        <v>151</v>
      </c>
      <c r="B3154">
        <v>4431</v>
      </c>
      <c r="C3154" t="s">
        <v>61</v>
      </c>
      <c r="D3154">
        <v>7210</v>
      </c>
      <c r="E3154" t="s">
        <v>426</v>
      </c>
      <c r="F3154" s="4">
        <v>107831</v>
      </c>
      <c r="G3154" s="4">
        <v>0</v>
      </c>
      <c r="H3154" s="4">
        <v>0</v>
      </c>
      <c r="I3154" s="4">
        <v>0</v>
      </c>
      <c r="J3154" s="4">
        <v>107831</v>
      </c>
    </row>
    <row r="3155" spans="1:10" x14ac:dyDescent="0.75">
      <c r="A3155" t="s">
        <v>151</v>
      </c>
      <c r="B3155">
        <v>4431</v>
      </c>
      <c r="C3155" t="s">
        <v>61</v>
      </c>
      <c r="D3155">
        <v>2211</v>
      </c>
      <c r="E3155" t="s">
        <v>367</v>
      </c>
      <c r="F3155" s="4">
        <v>79384</v>
      </c>
      <c r="G3155" s="4">
        <v>0</v>
      </c>
      <c r="H3155" s="4">
        <v>0</v>
      </c>
      <c r="I3155" s="4">
        <v>0</v>
      </c>
      <c r="J3155" s="4">
        <v>79384</v>
      </c>
    </row>
    <row r="3156" spans="1:10" x14ac:dyDescent="0.75">
      <c r="A3156" t="s">
        <v>151</v>
      </c>
      <c r="B3156">
        <v>4431</v>
      </c>
      <c r="C3156" t="s">
        <v>61</v>
      </c>
      <c r="D3156">
        <v>2221</v>
      </c>
      <c r="E3156" t="s">
        <v>374</v>
      </c>
      <c r="F3156" s="4">
        <v>58676</v>
      </c>
      <c r="G3156" s="4">
        <v>0</v>
      </c>
      <c r="H3156" s="4">
        <v>0</v>
      </c>
      <c r="I3156" s="4">
        <v>0</v>
      </c>
      <c r="J3156" s="4">
        <v>58676</v>
      </c>
    </row>
    <row r="3157" spans="1:10" x14ac:dyDescent="0.75">
      <c r="A3157" t="s">
        <v>151</v>
      </c>
      <c r="B3157">
        <v>4431</v>
      </c>
      <c r="C3157" t="s">
        <v>61</v>
      </c>
      <c r="D3157">
        <v>2330</v>
      </c>
      <c r="E3157" t="s">
        <v>368</v>
      </c>
      <c r="F3157" s="4">
        <v>23684</v>
      </c>
      <c r="G3157" s="4">
        <v>0</v>
      </c>
      <c r="H3157" s="4">
        <v>0</v>
      </c>
      <c r="I3157" s="4">
        <v>0</v>
      </c>
      <c r="J3157" s="4">
        <v>23684</v>
      </c>
    </row>
    <row r="3158" spans="1:10" x14ac:dyDescent="0.75">
      <c r="A3158" t="s">
        <v>151</v>
      </c>
      <c r="B3158">
        <v>4431</v>
      </c>
      <c r="C3158" t="s">
        <v>61</v>
      </c>
      <c r="D3158">
        <v>7400</v>
      </c>
      <c r="E3158" t="s">
        <v>502</v>
      </c>
      <c r="F3158" s="4">
        <v>17360</v>
      </c>
      <c r="G3158" s="4">
        <v>0</v>
      </c>
      <c r="H3158" s="4">
        <v>0</v>
      </c>
      <c r="I3158" s="4">
        <v>0</v>
      </c>
      <c r="J3158" s="4">
        <v>17360</v>
      </c>
    </row>
    <row r="3159" spans="1:10" x14ac:dyDescent="0.75">
      <c r="A3159" t="s">
        <v>151</v>
      </c>
      <c r="B3159">
        <v>4431</v>
      </c>
      <c r="C3159" t="s">
        <v>61</v>
      </c>
      <c r="D3159">
        <v>2640</v>
      </c>
      <c r="E3159" t="s">
        <v>431</v>
      </c>
      <c r="F3159" s="4">
        <v>8518</v>
      </c>
      <c r="G3159" s="4">
        <v>8234</v>
      </c>
      <c r="H3159" s="4">
        <v>8234</v>
      </c>
      <c r="I3159" s="4">
        <v>0</v>
      </c>
      <c r="J3159" s="4">
        <v>16752</v>
      </c>
    </row>
    <row r="3160" spans="1:10" x14ac:dyDescent="0.75">
      <c r="A3160" t="s">
        <v>151</v>
      </c>
      <c r="B3160">
        <v>4431</v>
      </c>
      <c r="C3160" t="s">
        <v>61</v>
      </c>
      <c r="D3160">
        <v>5220</v>
      </c>
      <c r="E3160" t="s">
        <v>401</v>
      </c>
      <c r="F3160" s="4">
        <v>14624</v>
      </c>
      <c r="G3160" s="4">
        <v>0</v>
      </c>
      <c r="H3160" s="4">
        <v>0</v>
      </c>
      <c r="I3160" s="4">
        <v>0</v>
      </c>
      <c r="J3160" s="4">
        <v>14624</v>
      </c>
    </row>
    <row r="3161" spans="1:10" x14ac:dyDescent="0.75">
      <c r="A3161" t="s">
        <v>151</v>
      </c>
      <c r="B3161">
        <v>4431</v>
      </c>
      <c r="C3161" t="s">
        <v>61</v>
      </c>
      <c r="D3161">
        <v>6889</v>
      </c>
      <c r="E3161" t="s">
        <v>420</v>
      </c>
      <c r="F3161" s="4">
        <v>13528</v>
      </c>
      <c r="G3161" s="4">
        <v>0</v>
      </c>
      <c r="H3161" s="4">
        <v>0</v>
      </c>
      <c r="I3161" s="4">
        <v>0</v>
      </c>
      <c r="J3161" s="4">
        <v>13528</v>
      </c>
    </row>
    <row r="3162" spans="1:10" x14ac:dyDescent="0.75">
      <c r="A3162" t="s">
        <v>151</v>
      </c>
      <c r="B3162">
        <v>4431</v>
      </c>
      <c r="C3162" t="s">
        <v>61</v>
      </c>
      <c r="D3162">
        <v>6885</v>
      </c>
      <c r="E3162" t="s">
        <v>493</v>
      </c>
      <c r="F3162" s="4">
        <v>9587</v>
      </c>
      <c r="G3162" s="4">
        <v>0</v>
      </c>
      <c r="H3162" s="4">
        <v>0</v>
      </c>
      <c r="I3162" s="4">
        <v>0</v>
      </c>
      <c r="J3162" s="4">
        <v>9587</v>
      </c>
    </row>
    <row r="3163" spans="1:10" x14ac:dyDescent="0.75">
      <c r="A3163" t="s">
        <v>151</v>
      </c>
      <c r="B3163">
        <v>4431</v>
      </c>
      <c r="C3163" t="s">
        <v>61</v>
      </c>
      <c r="D3163">
        <v>3220</v>
      </c>
      <c r="E3163" t="s">
        <v>370</v>
      </c>
      <c r="F3163" s="4">
        <v>9490</v>
      </c>
      <c r="G3163" s="4">
        <v>0</v>
      </c>
      <c r="H3163" s="4">
        <v>0</v>
      </c>
      <c r="I3163" s="4">
        <v>0</v>
      </c>
      <c r="J3163" s="4">
        <v>9490</v>
      </c>
    </row>
    <row r="3164" spans="1:10" x14ac:dyDescent="0.75">
      <c r="A3164" t="s">
        <v>151</v>
      </c>
      <c r="B3164">
        <v>4431</v>
      </c>
      <c r="C3164" t="s">
        <v>61</v>
      </c>
      <c r="D3164">
        <v>4189</v>
      </c>
      <c r="E3164" t="s">
        <v>451</v>
      </c>
      <c r="F3164" s="4">
        <v>9044</v>
      </c>
      <c r="G3164" s="4">
        <v>0</v>
      </c>
      <c r="H3164" s="4">
        <v>0</v>
      </c>
      <c r="I3164" s="4">
        <v>0</v>
      </c>
      <c r="J3164" s="4">
        <v>9044</v>
      </c>
    </row>
    <row r="3165" spans="1:10" x14ac:dyDescent="0.75">
      <c r="A3165" t="s">
        <v>151</v>
      </c>
      <c r="B3165">
        <v>4431</v>
      </c>
      <c r="C3165" t="s">
        <v>61</v>
      </c>
      <c r="D3165">
        <v>6887</v>
      </c>
      <c r="E3165" t="s">
        <v>505</v>
      </c>
      <c r="F3165" s="4">
        <v>4949</v>
      </c>
      <c r="G3165" s="4">
        <v>0</v>
      </c>
      <c r="H3165" s="4">
        <v>0</v>
      </c>
      <c r="I3165" s="4">
        <v>0</v>
      </c>
      <c r="J3165" s="4">
        <v>4949</v>
      </c>
    </row>
    <row r="3166" spans="1:10" x14ac:dyDescent="0.75">
      <c r="A3166" t="s">
        <v>151</v>
      </c>
      <c r="B3166">
        <v>4431</v>
      </c>
      <c r="C3166" t="s">
        <v>61</v>
      </c>
      <c r="D3166">
        <v>4420</v>
      </c>
      <c r="E3166" t="s">
        <v>381</v>
      </c>
      <c r="F3166" s="4">
        <v>3362</v>
      </c>
      <c r="G3166" s="4">
        <v>0</v>
      </c>
      <c r="H3166" s="4">
        <v>0</v>
      </c>
      <c r="I3166" s="4">
        <v>0</v>
      </c>
      <c r="J3166" s="4">
        <v>3362</v>
      </c>
    </row>
    <row r="3167" spans="1:10" x14ac:dyDescent="0.75">
      <c r="A3167" t="s">
        <v>151</v>
      </c>
      <c r="B3167">
        <v>4431</v>
      </c>
      <c r="C3167" t="s">
        <v>61</v>
      </c>
      <c r="D3167">
        <v>5480</v>
      </c>
      <c r="E3167" t="s">
        <v>386</v>
      </c>
      <c r="F3167" s="4">
        <v>2704</v>
      </c>
      <c r="G3167" s="4">
        <v>0</v>
      </c>
      <c r="H3167" s="4">
        <v>0</v>
      </c>
      <c r="I3167" s="4">
        <v>0</v>
      </c>
      <c r="J3167" s="4">
        <v>2704</v>
      </c>
    </row>
    <row r="3168" spans="1:10" x14ac:dyDescent="0.75">
      <c r="A3168" t="s">
        <v>151</v>
      </c>
      <c r="B3168">
        <v>4431</v>
      </c>
      <c r="C3168" t="s">
        <v>61</v>
      </c>
      <c r="D3168">
        <v>4225</v>
      </c>
      <c r="E3168" t="s">
        <v>380</v>
      </c>
      <c r="F3168" s="4">
        <v>2334</v>
      </c>
      <c r="G3168" s="4">
        <v>0</v>
      </c>
      <c r="H3168" s="4">
        <v>0</v>
      </c>
      <c r="I3168" s="4">
        <v>0</v>
      </c>
      <c r="J3168" s="4">
        <v>2334</v>
      </c>
    </row>
    <row r="3169" spans="1:10" x14ac:dyDescent="0.75">
      <c r="A3169" t="s">
        <v>151</v>
      </c>
      <c r="B3169">
        <v>4431</v>
      </c>
      <c r="C3169" t="s">
        <v>61</v>
      </c>
      <c r="D3169">
        <v>7110</v>
      </c>
      <c r="E3169" t="s">
        <v>371</v>
      </c>
      <c r="F3169" s="4">
        <v>2144</v>
      </c>
      <c r="G3169" s="4">
        <v>0</v>
      </c>
      <c r="H3169" s="4">
        <v>0</v>
      </c>
      <c r="I3169" s="4">
        <v>0</v>
      </c>
      <c r="J3169" s="4">
        <v>2144</v>
      </c>
    </row>
    <row r="3170" spans="1:10" x14ac:dyDescent="0.75">
      <c r="A3170" t="s">
        <v>151</v>
      </c>
      <c r="B3170">
        <v>4431</v>
      </c>
      <c r="C3170" t="s">
        <v>61</v>
      </c>
      <c r="D3170">
        <v>3190</v>
      </c>
      <c r="E3170" t="s">
        <v>408</v>
      </c>
      <c r="F3170" s="4">
        <v>1812</v>
      </c>
      <c r="G3170" s="4">
        <v>0</v>
      </c>
      <c r="H3170" s="4">
        <v>0</v>
      </c>
      <c r="I3170" s="4">
        <v>0</v>
      </c>
      <c r="J3170" s="4">
        <v>1812</v>
      </c>
    </row>
    <row r="3171" spans="1:10" x14ac:dyDescent="0.75">
      <c r="A3171" t="s">
        <v>151</v>
      </c>
      <c r="B3171">
        <v>4431</v>
      </c>
      <c r="C3171" t="s">
        <v>61</v>
      </c>
      <c r="D3171">
        <v>6782</v>
      </c>
      <c r="E3171" t="s">
        <v>396</v>
      </c>
      <c r="F3171" s="4">
        <v>1711</v>
      </c>
      <c r="G3171" s="4">
        <v>0</v>
      </c>
      <c r="H3171" s="4">
        <v>0</v>
      </c>
      <c r="I3171" s="4">
        <v>0</v>
      </c>
      <c r="J3171" s="4">
        <v>1711</v>
      </c>
    </row>
    <row r="3172" spans="1:10" x14ac:dyDescent="0.75">
      <c r="A3172" t="s">
        <v>151</v>
      </c>
      <c r="B3172">
        <v>4431</v>
      </c>
      <c r="C3172" t="s">
        <v>61</v>
      </c>
      <c r="D3172">
        <v>5370</v>
      </c>
      <c r="E3172" t="s">
        <v>466</v>
      </c>
      <c r="F3172" s="4">
        <v>1226</v>
      </c>
      <c r="G3172" s="4">
        <v>0</v>
      </c>
      <c r="H3172" s="4">
        <v>0</v>
      </c>
      <c r="I3172" s="4">
        <v>0</v>
      </c>
      <c r="J3172" s="4">
        <v>1226</v>
      </c>
    </row>
    <row r="3173" spans="1:10" x14ac:dyDescent="0.75">
      <c r="A3173" t="s">
        <v>151</v>
      </c>
      <c r="B3173">
        <v>4431</v>
      </c>
      <c r="C3173" t="s">
        <v>61</v>
      </c>
      <c r="D3173">
        <v>6781</v>
      </c>
      <c r="E3173" t="s">
        <v>479</v>
      </c>
      <c r="F3173" s="4">
        <v>1194</v>
      </c>
      <c r="G3173" s="4">
        <v>0</v>
      </c>
      <c r="H3173" s="4">
        <v>0</v>
      </c>
      <c r="I3173" s="4">
        <v>0</v>
      </c>
      <c r="J3173" s="4">
        <v>1194</v>
      </c>
    </row>
    <row r="3174" spans="1:10" x14ac:dyDescent="0.75">
      <c r="A3174" t="s">
        <v>151</v>
      </c>
      <c r="B3174">
        <v>4431</v>
      </c>
      <c r="C3174" t="s">
        <v>61</v>
      </c>
      <c r="D3174">
        <v>5540</v>
      </c>
      <c r="E3174" t="s">
        <v>469</v>
      </c>
      <c r="F3174" s="4">
        <v>1116</v>
      </c>
      <c r="G3174" s="4">
        <v>0</v>
      </c>
      <c r="H3174" s="4">
        <v>0</v>
      </c>
      <c r="I3174" s="4">
        <v>0</v>
      </c>
      <c r="J3174" s="4">
        <v>1116</v>
      </c>
    </row>
    <row r="3175" spans="1:10" x14ac:dyDescent="0.75">
      <c r="A3175" t="s">
        <v>151</v>
      </c>
      <c r="B3175">
        <v>4431</v>
      </c>
      <c r="C3175" t="s">
        <v>61</v>
      </c>
      <c r="D3175">
        <v>6899</v>
      </c>
      <c r="E3175" t="s">
        <v>498</v>
      </c>
      <c r="F3175" s="4">
        <v>1103</v>
      </c>
      <c r="G3175" s="4">
        <v>0</v>
      </c>
      <c r="H3175" s="4">
        <v>0</v>
      </c>
      <c r="I3175" s="4">
        <v>0</v>
      </c>
      <c r="J3175" s="4">
        <v>1103</v>
      </c>
    </row>
    <row r="3176" spans="1:10" x14ac:dyDescent="0.75">
      <c r="A3176" t="s">
        <v>151</v>
      </c>
      <c r="B3176">
        <v>4431</v>
      </c>
      <c r="C3176" t="s">
        <v>61</v>
      </c>
      <c r="D3176">
        <v>2429</v>
      </c>
      <c r="E3176" t="s">
        <v>375</v>
      </c>
      <c r="F3176" s="4">
        <v>1100</v>
      </c>
      <c r="G3176" s="4">
        <v>0</v>
      </c>
      <c r="H3176" s="4">
        <v>0</v>
      </c>
      <c r="I3176" s="4">
        <v>0</v>
      </c>
      <c r="J3176" s="4">
        <v>1100</v>
      </c>
    </row>
    <row r="3177" spans="1:10" x14ac:dyDescent="0.75">
      <c r="A3177" t="s">
        <v>151</v>
      </c>
      <c r="B3177">
        <v>4431</v>
      </c>
      <c r="C3177" t="s">
        <v>61</v>
      </c>
      <c r="D3177">
        <v>6839</v>
      </c>
      <c r="E3177" t="s">
        <v>485</v>
      </c>
      <c r="F3177" s="4">
        <v>758</v>
      </c>
      <c r="G3177" s="4">
        <v>0</v>
      </c>
      <c r="H3177" s="4">
        <v>0</v>
      </c>
      <c r="I3177" s="4">
        <v>0</v>
      </c>
      <c r="J3177" s="4">
        <v>758</v>
      </c>
    </row>
    <row r="3178" spans="1:10" x14ac:dyDescent="0.75">
      <c r="A3178" t="s">
        <v>151</v>
      </c>
      <c r="B3178">
        <v>4431</v>
      </c>
      <c r="C3178" t="s">
        <v>61</v>
      </c>
      <c r="D3178">
        <v>3299</v>
      </c>
      <c r="E3178" t="s">
        <v>448</v>
      </c>
      <c r="F3178" s="4">
        <v>686</v>
      </c>
      <c r="G3178" s="4">
        <v>0</v>
      </c>
      <c r="H3178" s="4">
        <v>0</v>
      </c>
      <c r="I3178" s="4">
        <v>0</v>
      </c>
      <c r="J3178" s="4">
        <v>686</v>
      </c>
    </row>
    <row r="3179" spans="1:10" x14ac:dyDescent="0.75">
      <c r="A3179" t="s">
        <v>151</v>
      </c>
      <c r="B3179">
        <v>4431</v>
      </c>
      <c r="C3179" t="s">
        <v>61</v>
      </c>
      <c r="D3179">
        <v>7120</v>
      </c>
      <c r="E3179" t="s">
        <v>499</v>
      </c>
      <c r="F3179" s="4">
        <v>465</v>
      </c>
      <c r="G3179" s="4">
        <v>0</v>
      </c>
      <c r="H3179" s="4">
        <v>0</v>
      </c>
      <c r="I3179" s="4">
        <v>0</v>
      </c>
      <c r="J3179" s="4">
        <v>465</v>
      </c>
    </row>
    <row r="3180" spans="1:10" x14ac:dyDescent="0.75">
      <c r="A3180" t="s">
        <v>151</v>
      </c>
      <c r="B3180">
        <v>4431</v>
      </c>
      <c r="C3180" t="s">
        <v>61</v>
      </c>
      <c r="D3180">
        <v>5190</v>
      </c>
      <c r="E3180" t="s">
        <v>462</v>
      </c>
      <c r="F3180" s="4">
        <v>382</v>
      </c>
      <c r="G3180" s="4">
        <v>0</v>
      </c>
      <c r="H3180" s="4">
        <v>0</v>
      </c>
      <c r="I3180" s="4">
        <v>0</v>
      </c>
      <c r="J3180" s="4">
        <v>382</v>
      </c>
    </row>
    <row r="3181" spans="1:10" x14ac:dyDescent="0.75">
      <c r="A3181" t="s">
        <v>151</v>
      </c>
      <c r="B3181">
        <v>4431</v>
      </c>
      <c r="C3181" t="s">
        <v>61</v>
      </c>
      <c r="D3181">
        <v>6747</v>
      </c>
      <c r="E3181" t="s">
        <v>478</v>
      </c>
      <c r="F3181" s="4">
        <v>326</v>
      </c>
      <c r="G3181" s="4">
        <v>0</v>
      </c>
      <c r="H3181" s="4">
        <v>0</v>
      </c>
      <c r="I3181" s="4">
        <v>0</v>
      </c>
      <c r="J3181" s="4">
        <v>326</v>
      </c>
    </row>
    <row r="3182" spans="1:10" x14ac:dyDescent="0.75">
      <c r="A3182" t="s">
        <v>151</v>
      </c>
      <c r="B3182">
        <v>4431</v>
      </c>
      <c r="C3182" t="s">
        <v>61</v>
      </c>
      <c r="D3182">
        <v>5290</v>
      </c>
      <c r="E3182" t="s">
        <v>415</v>
      </c>
      <c r="F3182" s="4">
        <v>232</v>
      </c>
      <c r="G3182" s="4">
        <v>0</v>
      </c>
      <c r="H3182" s="4">
        <v>0</v>
      </c>
      <c r="I3182" s="4">
        <v>0</v>
      </c>
      <c r="J3182" s="4">
        <v>232</v>
      </c>
    </row>
    <row r="3183" spans="1:10" x14ac:dyDescent="0.75">
      <c r="A3183" t="s">
        <v>151</v>
      </c>
      <c r="B3183">
        <v>4431</v>
      </c>
      <c r="C3183" t="s">
        <v>61</v>
      </c>
      <c r="D3183">
        <v>7600</v>
      </c>
      <c r="E3183" t="s">
        <v>503</v>
      </c>
      <c r="F3183" s="4">
        <v>186</v>
      </c>
      <c r="G3183" s="4">
        <v>0</v>
      </c>
      <c r="H3183" s="4">
        <v>0</v>
      </c>
      <c r="I3183" s="4">
        <v>0</v>
      </c>
      <c r="J3183" s="4">
        <v>186</v>
      </c>
    </row>
    <row r="3184" spans="1:10" x14ac:dyDescent="0.75">
      <c r="A3184" t="s">
        <v>151</v>
      </c>
      <c r="B3184">
        <v>4431</v>
      </c>
      <c r="C3184" t="s">
        <v>61</v>
      </c>
      <c r="D3184">
        <v>5360</v>
      </c>
      <c r="E3184" t="s">
        <v>465</v>
      </c>
      <c r="F3184" s="4">
        <v>161</v>
      </c>
      <c r="G3184" s="4">
        <v>0</v>
      </c>
      <c r="H3184" s="4">
        <v>0</v>
      </c>
      <c r="I3184" s="4">
        <v>0</v>
      </c>
      <c r="J3184" s="4">
        <v>161</v>
      </c>
    </row>
    <row r="3185" spans="1:10" x14ac:dyDescent="0.75">
      <c r="A3185" t="s">
        <v>151</v>
      </c>
      <c r="B3185">
        <v>4431</v>
      </c>
      <c r="C3185" t="s">
        <v>61</v>
      </c>
      <c r="D3185">
        <v>6654</v>
      </c>
      <c r="E3185" t="s">
        <v>419</v>
      </c>
      <c r="F3185" s="4">
        <v>128</v>
      </c>
      <c r="G3185" s="4">
        <v>0</v>
      </c>
      <c r="H3185" s="4">
        <v>0</v>
      </c>
      <c r="I3185" s="4">
        <v>0</v>
      </c>
      <c r="J3185" s="4">
        <v>128</v>
      </c>
    </row>
    <row r="3186" spans="1:10" x14ac:dyDescent="0.75">
      <c r="A3186" t="s">
        <v>151</v>
      </c>
      <c r="B3186">
        <v>4431</v>
      </c>
      <c r="C3186" t="s">
        <v>61</v>
      </c>
      <c r="D3186">
        <v>2990</v>
      </c>
      <c r="E3186" t="s">
        <v>432</v>
      </c>
      <c r="F3186" s="4">
        <v>95</v>
      </c>
      <c r="G3186" s="4">
        <v>0</v>
      </c>
      <c r="H3186" s="4">
        <v>0</v>
      </c>
      <c r="I3186" s="4">
        <v>0</v>
      </c>
      <c r="J3186" s="4">
        <v>95</v>
      </c>
    </row>
    <row r="3187" spans="1:10" x14ac:dyDescent="0.75">
      <c r="A3187" t="s">
        <v>151</v>
      </c>
      <c r="B3187">
        <v>4431</v>
      </c>
      <c r="C3187" t="s">
        <v>61</v>
      </c>
      <c r="D3187">
        <v>6442</v>
      </c>
      <c r="E3187" t="s">
        <v>472</v>
      </c>
      <c r="F3187" s="4">
        <v>72</v>
      </c>
      <c r="G3187" s="4">
        <v>0</v>
      </c>
      <c r="H3187" s="4">
        <v>0</v>
      </c>
      <c r="I3187" s="4">
        <v>0</v>
      </c>
      <c r="J3187" s="4">
        <v>72</v>
      </c>
    </row>
    <row r="3188" spans="1:10" x14ac:dyDescent="0.75">
      <c r="A3188" t="s">
        <v>151</v>
      </c>
      <c r="B3188">
        <v>4431</v>
      </c>
      <c r="C3188" t="s">
        <v>61</v>
      </c>
      <c r="D3188">
        <v>5240</v>
      </c>
      <c r="E3188" t="s">
        <v>464</v>
      </c>
      <c r="F3188" s="4">
        <v>51</v>
      </c>
      <c r="G3188" s="4">
        <v>0</v>
      </c>
      <c r="H3188" s="4">
        <v>0</v>
      </c>
      <c r="I3188" s="4">
        <v>0</v>
      </c>
      <c r="J3188" s="4">
        <v>51</v>
      </c>
    </row>
    <row r="3189" spans="1:10" x14ac:dyDescent="0.75">
      <c r="A3189" t="s">
        <v>151</v>
      </c>
      <c r="B3189">
        <v>4431</v>
      </c>
      <c r="C3189" t="s">
        <v>61</v>
      </c>
      <c r="D3189">
        <v>3276</v>
      </c>
      <c r="E3189" t="s">
        <v>379</v>
      </c>
      <c r="F3189" s="4">
        <v>46</v>
      </c>
      <c r="G3189" s="4">
        <v>0</v>
      </c>
      <c r="H3189" s="4">
        <v>0</v>
      </c>
      <c r="I3189" s="4">
        <v>0</v>
      </c>
      <c r="J3189" s="4">
        <v>46</v>
      </c>
    </row>
    <row r="3190" spans="1:10" x14ac:dyDescent="0.75">
      <c r="A3190" t="s">
        <v>151</v>
      </c>
      <c r="B3190">
        <v>4431</v>
      </c>
      <c r="C3190" t="s">
        <v>61</v>
      </c>
      <c r="D3190">
        <v>7500</v>
      </c>
      <c r="E3190" t="s">
        <v>427</v>
      </c>
      <c r="F3190" s="4">
        <v>29</v>
      </c>
      <c r="G3190" s="4">
        <v>0</v>
      </c>
      <c r="H3190" s="4">
        <v>0</v>
      </c>
      <c r="I3190" s="4">
        <v>0</v>
      </c>
      <c r="J3190" s="4">
        <v>29</v>
      </c>
    </row>
    <row r="3191" spans="1:10" x14ac:dyDescent="0.75">
      <c r="A3191" t="s">
        <v>151</v>
      </c>
      <c r="B3191">
        <v>4431</v>
      </c>
      <c r="C3191" t="s">
        <v>61</v>
      </c>
      <c r="D3191">
        <v>3293</v>
      </c>
      <c r="E3191" t="s">
        <v>445</v>
      </c>
      <c r="F3191" s="4">
        <v>8</v>
      </c>
      <c r="G3191" s="4">
        <v>0</v>
      </c>
      <c r="H3191" s="4">
        <v>0</v>
      </c>
      <c r="I3191" s="4">
        <v>0</v>
      </c>
      <c r="J3191" s="4">
        <v>8</v>
      </c>
    </row>
    <row r="3192" spans="1:10" x14ac:dyDescent="0.75">
      <c r="A3192" t="s">
        <v>151</v>
      </c>
      <c r="B3192">
        <v>4431</v>
      </c>
      <c r="C3192" t="s">
        <v>61</v>
      </c>
      <c r="D3192">
        <v>6134</v>
      </c>
      <c r="E3192" t="s">
        <v>470</v>
      </c>
      <c r="F3192" s="4">
        <v>6</v>
      </c>
      <c r="G3192" s="4">
        <v>0</v>
      </c>
      <c r="H3192" s="4">
        <v>0</v>
      </c>
      <c r="I3192" s="4">
        <v>0</v>
      </c>
      <c r="J3192" s="4">
        <v>6</v>
      </c>
    </row>
    <row r="3193" spans="1:10" x14ac:dyDescent="0.75">
      <c r="A3193" t="s">
        <v>151</v>
      </c>
      <c r="B3193">
        <v>4431</v>
      </c>
      <c r="C3193" t="s">
        <v>61</v>
      </c>
      <c r="D3193">
        <v>6822</v>
      </c>
      <c r="E3193" t="s">
        <v>482</v>
      </c>
      <c r="F3193" s="4">
        <v>6</v>
      </c>
      <c r="G3193" s="4">
        <v>0</v>
      </c>
      <c r="H3193" s="4">
        <v>0</v>
      </c>
      <c r="I3193" s="4">
        <v>0</v>
      </c>
      <c r="J3193" s="4">
        <v>6</v>
      </c>
    </row>
    <row r="3194" spans="1:10" x14ac:dyDescent="0.75">
      <c r="A3194" t="s">
        <v>151</v>
      </c>
      <c r="B3194">
        <v>4431</v>
      </c>
      <c r="C3194" t="s">
        <v>61</v>
      </c>
      <c r="D3194">
        <v>7230</v>
      </c>
      <c r="E3194" t="s">
        <v>387</v>
      </c>
      <c r="F3194" s="4">
        <v>5</v>
      </c>
      <c r="G3194" s="4">
        <v>0</v>
      </c>
      <c r="H3194" s="4">
        <v>0</v>
      </c>
      <c r="I3194" s="4">
        <v>0</v>
      </c>
      <c r="J3194" s="4">
        <v>5</v>
      </c>
    </row>
    <row r="3195" spans="1:10" x14ac:dyDescent="0.75">
      <c r="A3195" t="s">
        <v>151</v>
      </c>
      <c r="B3195">
        <v>4431</v>
      </c>
      <c r="C3195" t="s">
        <v>61</v>
      </c>
      <c r="D3195">
        <v>7220</v>
      </c>
      <c r="E3195" t="s">
        <v>500</v>
      </c>
      <c r="F3195" s="4">
        <v>4</v>
      </c>
      <c r="G3195" s="4">
        <v>0</v>
      </c>
      <c r="H3195" s="4">
        <v>0</v>
      </c>
      <c r="I3195" s="4">
        <v>0</v>
      </c>
      <c r="J3195" s="4">
        <v>4</v>
      </c>
    </row>
    <row r="3196" spans="1:10" x14ac:dyDescent="0.75">
      <c r="A3196" t="s">
        <v>151</v>
      </c>
      <c r="B3196">
        <v>98</v>
      </c>
      <c r="C3196" t="s">
        <v>283</v>
      </c>
      <c r="D3196">
        <v>2330</v>
      </c>
      <c r="E3196" t="s">
        <v>368</v>
      </c>
      <c r="F3196" s="4">
        <v>361401</v>
      </c>
      <c r="G3196" s="4">
        <v>0</v>
      </c>
      <c r="H3196" s="4">
        <v>0</v>
      </c>
      <c r="I3196" s="4">
        <v>0</v>
      </c>
      <c r="J3196" s="4">
        <v>361401</v>
      </c>
    </row>
    <row r="3197" spans="1:10" x14ac:dyDescent="0.75">
      <c r="A3197" t="s">
        <v>151</v>
      </c>
      <c r="B3197">
        <v>98</v>
      </c>
      <c r="C3197" t="s">
        <v>283</v>
      </c>
      <c r="D3197">
        <v>4331</v>
      </c>
      <c r="E3197" t="s">
        <v>390</v>
      </c>
      <c r="F3197" s="4">
        <v>59461</v>
      </c>
      <c r="G3197" s="4">
        <v>0</v>
      </c>
      <c r="H3197" s="4">
        <v>0</v>
      </c>
      <c r="I3197" s="4">
        <v>0</v>
      </c>
      <c r="J3197" s="4">
        <v>59461</v>
      </c>
    </row>
    <row r="3198" spans="1:10" x14ac:dyDescent="0.75">
      <c r="A3198" t="s">
        <v>151</v>
      </c>
      <c r="B3198">
        <v>98</v>
      </c>
      <c r="C3198" t="s">
        <v>283</v>
      </c>
      <c r="D3198">
        <v>2340</v>
      </c>
      <c r="E3198" t="s">
        <v>369</v>
      </c>
      <c r="F3198" s="4">
        <v>6782</v>
      </c>
      <c r="G3198" s="4">
        <v>0</v>
      </c>
      <c r="H3198" s="4">
        <v>0</v>
      </c>
      <c r="I3198" s="4">
        <v>0</v>
      </c>
      <c r="J3198" s="4">
        <v>6782</v>
      </c>
    </row>
    <row r="3199" spans="1:10" x14ac:dyDescent="0.75">
      <c r="A3199" t="s">
        <v>151</v>
      </c>
      <c r="B3199">
        <v>98</v>
      </c>
      <c r="C3199" t="s">
        <v>283</v>
      </c>
      <c r="D3199">
        <v>2211</v>
      </c>
      <c r="E3199" t="s">
        <v>367</v>
      </c>
      <c r="F3199" s="4">
        <v>5534</v>
      </c>
      <c r="G3199" s="4">
        <v>0</v>
      </c>
      <c r="H3199" s="4">
        <v>0</v>
      </c>
      <c r="I3199" s="4">
        <v>0</v>
      </c>
      <c r="J3199" s="4">
        <v>5534</v>
      </c>
    </row>
    <row r="3200" spans="1:10" x14ac:dyDescent="0.75">
      <c r="A3200" t="s">
        <v>151</v>
      </c>
      <c r="B3200">
        <v>98</v>
      </c>
      <c r="C3200" t="s">
        <v>283</v>
      </c>
      <c r="D3200">
        <v>6858</v>
      </c>
      <c r="E3200" t="s">
        <v>488</v>
      </c>
      <c r="F3200" s="4">
        <v>0</v>
      </c>
      <c r="G3200" s="4">
        <v>4761</v>
      </c>
      <c r="H3200" s="4">
        <v>4761</v>
      </c>
      <c r="I3200" s="4">
        <v>0</v>
      </c>
      <c r="J3200" s="4">
        <v>4761</v>
      </c>
    </row>
    <row r="3201" spans="1:10" x14ac:dyDescent="0.75">
      <c r="A3201" t="s">
        <v>151</v>
      </c>
      <c r="B3201">
        <v>98</v>
      </c>
      <c r="C3201" t="s">
        <v>283</v>
      </c>
      <c r="D3201">
        <v>4515</v>
      </c>
      <c r="E3201" t="s">
        <v>455</v>
      </c>
      <c r="F3201" s="4">
        <v>2428</v>
      </c>
      <c r="G3201" s="4">
        <v>0</v>
      </c>
      <c r="H3201" s="4">
        <v>0</v>
      </c>
      <c r="I3201" s="4">
        <v>0</v>
      </c>
      <c r="J3201" s="4">
        <v>2428</v>
      </c>
    </row>
    <row r="3202" spans="1:10" x14ac:dyDescent="0.75">
      <c r="A3202" t="s">
        <v>151</v>
      </c>
      <c r="B3202">
        <v>98</v>
      </c>
      <c r="C3202" t="s">
        <v>283</v>
      </c>
      <c r="D3202">
        <v>3275</v>
      </c>
      <c r="E3202" t="s">
        <v>412</v>
      </c>
      <c r="F3202" s="4">
        <v>2219</v>
      </c>
      <c r="G3202" s="4">
        <v>0</v>
      </c>
      <c r="H3202" s="4">
        <v>0</v>
      </c>
      <c r="I3202" s="4">
        <v>0</v>
      </c>
      <c r="J3202" s="4">
        <v>2219</v>
      </c>
    </row>
    <row r="3203" spans="1:10" x14ac:dyDescent="0.75">
      <c r="A3203" t="s">
        <v>151</v>
      </c>
      <c r="B3203">
        <v>98</v>
      </c>
      <c r="C3203" t="s">
        <v>283</v>
      </c>
      <c r="D3203">
        <v>4170</v>
      </c>
      <c r="E3203" t="s">
        <v>424</v>
      </c>
      <c r="F3203" s="4">
        <v>0</v>
      </c>
      <c r="G3203" s="4">
        <v>1966</v>
      </c>
      <c r="H3203" s="4">
        <v>1966</v>
      </c>
      <c r="I3203" s="4">
        <v>0</v>
      </c>
      <c r="J3203" s="4">
        <v>1966</v>
      </c>
    </row>
    <row r="3204" spans="1:10" x14ac:dyDescent="0.75">
      <c r="A3204" t="s">
        <v>151</v>
      </c>
      <c r="B3204">
        <v>98</v>
      </c>
      <c r="C3204" t="s">
        <v>283</v>
      </c>
      <c r="D3204">
        <v>3240</v>
      </c>
      <c r="E3204" t="s">
        <v>410</v>
      </c>
      <c r="F3204" s="4">
        <v>0</v>
      </c>
      <c r="G3204" s="4">
        <v>1405</v>
      </c>
      <c r="H3204" s="4">
        <v>1405</v>
      </c>
      <c r="I3204" s="4">
        <v>0</v>
      </c>
      <c r="J3204" s="4">
        <v>1405</v>
      </c>
    </row>
    <row r="3205" spans="1:10" x14ac:dyDescent="0.75">
      <c r="A3205" t="s">
        <v>151</v>
      </c>
      <c r="B3205">
        <v>98</v>
      </c>
      <c r="C3205" t="s">
        <v>283</v>
      </c>
      <c r="D3205">
        <v>7400</v>
      </c>
      <c r="E3205" t="s">
        <v>502</v>
      </c>
      <c r="F3205" s="4">
        <v>1240</v>
      </c>
      <c r="G3205" s="4">
        <v>0</v>
      </c>
      <c r="H3205" s="4">
        <v>0</v>
      </c>
      <c r="I3205" s="4">
        <v>0</v>
      </c>
      <c r="J3205" s="4">
        <v>1240</v>
      </c>
    </row>
    <row r="3206" spans="1:10" x14ac:dyDescent="0.75">
      <c r="A3206" t="s">
        <v>151</v>
      </c>
      <c r="B3206">
        <v>98</v>
      </c>
      <c r="C3206" t="s">
        <v>283</v>
      </c>
      <c r="D3206">
        <v>4161</v>
      </c>
      <c r="E3206" t="s">
        <v>421</v>
      </c>
      <c r="F3206" s="4">
        <v>1000</v>
      </c>
      <c r="G3206" s="4">
        <v>0</v>
      </c>
      <c r="H3206" s="4">
        <v>0</v>
      </c>
      <c r="I3206" s="4">
        <v>0</v>
      </c>
      <c r="J3206" s="4">
        <v>1000</v>
      </c>
    </row>
    <row r="3207" spans="1:10" x14ac:dyDescent="0.75">
      <c r="A3207" t="s">
        <v>151</v>
      </c>
      <c r="B3207">
        <v>98</v>
      </c>
      <c r="C3207" t="s">
        <v>283</v>
      </c>
      <c r="D3207">
        <v>7110</v>
      </c>
      <c r="E3207" t="s">
        <v>371</v>
      </c>
      <c r="F3207" s="4">
        <v>179</v>
      </c>
      <c r="G3207" s="4">
        <v>0</v>
      </c>
      <c r="H3207" s="4">
        <v>0</v>
      </c>
      <c r="I3207" s="4">
        <v>0</v>
      </c>
      <c r="J3207" s="4">
        <v>179</v>
      </c>
    </row>
    <row r="3208" spans="1:10" x14ac:dyDescent="0.75">
      <c r="A3208" t="s">
        <v>151</v>
      </c>
      <c r="B3208">
        <v>98</v>
      </c>
      <c r="C3208" t="s">
        <v>283</v>
      </c>
      <c r="D3208">
        <v>5360</v>
      </c>
      <c r="E3208" t="s">
        <v>465</v>
      </c>
      <c r="F3208" s="4">
        <v>0</v>
      </c>
      <c r="G3208" s="4">
        <v>42</v>
      </c>
      <c r="H3208" s="4">
        <v>42</v>
      </c>
      <c r="I3208" s="4">
        <v>0</v>
      </c>
      <c r="J3208" s="4">
        <v>42</v>
      </c>
    </row>
    <row r="3209" spans="1:10" x14ac:dyDescent="0.75">
      <c r="A3209" t="s">
        <v>151</v>
      </c>
      <c r="B3209">
        <v>98</v>
      </c>
      <c r="C3209" t="s">
        <v>283</v>
      </c>
      <c r="D3209">
        <v>7230</v>
      </c>
      <c r="E3209" t="s">
        <v>387</v>
      </c>
      <c r="F3209" s="4">
        <v>0</v>
      </c>
      <c r="G3209" s="4">
        <v>2</v>
      </c>
      <c r="H3209" s="4">
        <v>2</v>
      </c>
      <c r="I3209" s="4">
        <v>0</v>
      </c>
      <c r="J3209" s="4">
        <v>2</v>
      </c>
    </row>
    <row r="3210" spans="1:10" x14ac:dyDescent="0.75">
      <c r="A3210" t="s">
        <v>163</v>
      </c>
      <c r="B3210">
        <v>2351</v>
      </c>
      <c r="C3210" t="s">
        <v>173</v>
      </c>
      <c r="D3210">
        <v>4331</v>
      </c>
      <c r="E3210" t="s">
        <v>390</v>
      </c>
      <c r="F3210" s="4">
        <v>5110181</v>
      </c>
      <c r="G3210" s="4">
        <v>0</v>
      </c>
      <c r="H3210" s="4">
        <v>0</v>
      </c>
      <c r="I3210" s="4">
        <v>0</v>
      </c>
      <c r="J3210" s="4">
        <v>5110181</v>
      </c>
    </row>
    <row r="3211" spans="1:10" x14ac:dyDescent="0.75">
      <c r="A3211" t="s">
        <v>163</v>
      </c>
      <c r="B3211">
        <v>2351</v>
      </c>
      <c r="C3211" t="s">
        <v>173</v>
      </c>
      <c r="D3211">
        <v>5220</v>
      </c>
      <c r="E3211" t="s">
        <v>401</v>
      </c>
      <c r="F3211" s="4">
        <v>3164743</v>
      </c>
      <c r="G3211" s="4">
        <v>0</v>
      </c>
      <c r="H3211" s="4">
        <v>0</v>
      </c>
      <c r="I3211" s="4">
        <v>0</v>
      </c>
      <c r="J3211" s="4">
        <v>3164743</v>
      </c>
    </row>
    <row r="3212" spans="1:10" x14ac:dyDescent="0.75">
      <c r="A3212" t="s">
        <v>163</v>
      </c>
      <c r="B3212">
        <v>2351</v>
      </c>
      <c r="C3212" t="s">
        <v>173</v>
      </c>
      <c r="D3212">
        <v>4322</v>
      </c>
      <c r="E3212" t="s">
        <v>398</v>
      </c>
      <c r="F3212" s="4">
        <v>1318522</v>
      </c>
      <c r="G3212" s="4">
        <v>0</v>
      </c>
      <c r="H3212" s="4">
        <v>0</v>
      </c>
      <c r="I3212" s="4">
        <v>0</v>
      </c>
      <c r="J3212" s="4">
        <v>1318522</v>
      </c>
    </row>
    <row r="3213" spans="1:10" x14ac:dyDescent="0.75">
      <c r="A3213" t="s">
        <v>163</v>
      </c>
      <c r="B3213">
        <v>2351</v>
      </c>
      <c r="C3213" t="s">
        <v>173</v>
      </c>
      <c r="D3213">
        <v>5210</v>
      </c>
      <c r="E3213" t="s">
        <v>463</v>
      </c>
      <c r="F3213" s="4">
        <v>692173</v>
      </c>
      <c r="G3213" s="4">
        <v>0</v>
      </c>
      <c r="H3213" s="4">
        <v>0</v>
      </c>
      <c r="I3213" s="4">
        <v>0</v>
      </c>
      <c r="J3213" s="4">
        <v>692173</v>
      </c>
    </row>
    <row r="3214" spans="1:10" x14ac:dyDescent="0.75">
      <c r="A3214" t="s">
        <v>163</v>
      </c>
      <c r="B3214">
        <v>2351</v>
      </c>
      <c r="C3214" t="s">
        <v>173</v>
      </c>
      <c r="D3214">
        <v>1100</v>
      </c>
      <c r="E3214" t="s">
        <v>397</v>
      </c>
      <c r="F3214" s="4">
        <v>398572</v>
      </c>
      <c r="G3214" s="4">
        <v>0</v>
      </c>
      <c r="H3214" s="4">
        <v>0</v>
      </c>
      <c r="I3214" s="4">
        <v>0</v>
      </c>
      <c r="J3214" s="4">
        <v>398572</v>
      </c>
    </row>
    <row r="3215" spans="1:10" x14ac:dyDescent="0.75">
      <c r="A3215" t="s">
        <v>163</v>
      </c>
      <c r="B3215">
        <v>2351</v>
      </c>
      <c r="C3215" t="s">
        <v>173</v>
      </c>
      <c r="D3215">
        <v>4860</v>
      </c>
      <c r="E3215" t="s">
        <v>400</v>
      </c>
      <c r="F3215" s="4">
        <v>334717</v>
      </c>
      <c r="G3215" s="4">
        <v>0</v>
      </c>
      <c r="H3215" s="4">
        <v>0</v>
      </c>
      <c r="I3215" s="4">
        <v>0</v>
      </c>
      <c r="J3215" s="4">
        <v>334717</v>
      </c>
    </row>
    <row r="3216" spans="1:10" x14ac:dyDescent="0.75">
      <c r="A3216" t="s">
        <v>163</v>
      </c>
      <c r="B3216">
        <v>2351</v>
      </c>
      <c r="C3216" t="s">
        <v>173</v>
      </c>
      <c r="D3216">
        <v>2540</v>
      </c>
      <c r="E3216" t="s">
        <v>377</v>
      </c>
      <c r="F3216" s="4">
        <v>172248</v>
      </c>
      <c r="G3216" s="4">
        <v>0</v>
      </c>
      <c r="H3216" s="4">
        <v>0</v>
      </c>
      <c r="I3216" s="4">
        <v>0</v>
      </c>
      <c r="J3216" s="4">
        <v>172248</v>
      </c>
    </row>
    <row r="3217" spans="1:10" x14ac:dyDescent="0.75">
      <c r="A3217" t="s">
        <v>163</v>
      </c>
      <c r="B3217">
        <v>2351</v>
      </c>
      <c r="C3217" t="s">
        <v>173</v>
      </c>
      <c r="D3217">
        <v>4323</v>
      </c>
      <c r="E3217" t="s">
        <v>373</v>
      </c>
      <c r="F3217" s="4">
        <v>160488</v>
      </c>
      <c r="G3217" s="4">
        <v>0</v>
      </c>
      <c r="H3217" s="4">
        <v>0</v>
      </c>
      <c r="I3217" s="4">
        <v>0</v>
      </c>
      <c r="J3217" s="4">
        <v>160488</v>
      </c>
    </row>
    <row r="3218" spans="1:10" x14ac:dyDescent="0.75">
      <c r="A3218" t="s">
        <v>163</v>
      </c>
      <c r="B3218">
        <v>2351</v>
      </c>
      <c r="C3218" t="s">
        <v>173</v>
      </c>
      <c r="D3218">
        <v>6344</v>
      </c>
      <c r="E3218" t="s">
        <v>392</v>
      </c>
      <c r="F3218" s="4">
        <v>99954</v>
      </c>
      <c r="G3218" s="4">
        <v>0</v>
      </c>
      <c r="H3218" s="4">
        <v>0</v>
      </c>
      <c r="I3218" s="4">
        <v>0</v>
      </c>
      <c r="J3218" s="4">
        <v>99954</v>
      </c>
    </row>
    <row r="3219" spans="1:10" x14ac:dyDescent="0.75">
      <c r="A3219" t="s">
        <v>163</v>
      </c>
      <c r="B3219">
        <v>2351</v>
      </c>
      <c r="C3219" t="s">
        <v>173</v>
      </c>
      <c r="D3219">
        <v>4335</v>
      </c>
      <c r="E3219" t="s">
        <v>372</v>
      </c>
      <c r="F3219" s="4">
        <v>74027</v>
      </c>
      <c r="G3219" s="4">
        <v>0</v>
      </c>
      <c r="H3219" s="4">
        <v>0</v>
      </c>
      <c r="I3219" s="4">
        <v>0</v>
      </c>
      <c r="J3219" s="4">
        <v>74027</v>
      </c>
    </row>
    <row r="3220" spans="1:10" x14ac:dyDescent="0.75">
      <c r="A3220" t="s">
        <v>163</v>
      </c>
      <c r="B3220">
        <v>2351</v>
      </c>
      <c r="C3220" t="s">
        <v>173</v>
      </c>
      <c r="D3220">
        <v>6522</v>
      </c>
      <c r="E3220" t="s">
        <v>393</v>
      </c>
      <c r="F3220" s="4">
        <v>43556</v>
      </c>
      <c r="G3220" s="4">
        <v>0</v>
      </c>
      <c r="H3220" s="4">
        <v>0</v>
      </c>
      <c r="I3220" s="4">
        <v>0</v>
      </c>
      <c r="J3220" s="4">
        <v>43556</v>
      </c>
    </row>
    <row r="3221" spans="1:10" x14ac:dyDescent="0.75">
      <c r="A3221" t="s">
        <v>163</v>
      </c>
      <c r="B3221">
        <v>2351</v>
      </c>
      <c r="C3221" t="s">
        <v>173</v>
      </c>
      <c r="D3221">
        <v>4410</v>
      </c>
      <c r="E3221" t="s">
        <v>399</v>
      </c>
      <c r="F3221" s="4">
        <v>40174</v>
      </c>
      <c r="G3221" s="4">
        <v>0</v>
      </c>
      <c r="H3221" s="4">
        <v>0</v>
      </c>
      <c r="I3221" s="4">
        <v>0</v>
      </c>
      <c r="J3221" s="4">
        <v>40174</v>
      </c>
    </row>
    <row r="3222" spans="1:10" x14ac:dyDescent="0.75">
      <c r="A3222" t="s">
        <v>163</v>
      </c>
      <c r="B3222">
        <v>2351</v>
      </c>
      <c r="C3222" t="s">
        <v>173</v>
      </c>
      <c r="D3222">
        <v>6241</v>
      </c>
      <c r="E3222" t="s">
        <v>391</v>
      </c>
      <c r="F3222" s="4">
        <v>16845</v>
      </c>
      <c r="G3222" s="4">
        <v>0</v>
      </c>
      <c r="H3222" s="4">
        <v>0</v>
      </c>
      <c r="I3222" s="4">
        <v>0</v>
      </c>
      <c r="J3222" s="4">
        <v>16845</v>
      </c>
    </row>
    <row r="3223" spans="1:10" x14ac:dyDescent="0.75">
      <c r="A3223" t="s">
        <v>163</v>
      </c>
      <c r="B3223">
        <v>2351</v>
      </c>
      <c r="C3223" t="s">
        <v>173</v>
      </c>
      <c r="D3223">
        <v>5330</v>
      </c>
      <c r="E3223" t="s">
        <v>385</v>
      </c>
      <c r="F3223" s="4">
        <v>4133</v>
      </c>
      <c r="G3223" s="4">
        <v>0</v>
      </c>
      <c r="H3223" s="4">
        <v>0</v>
      </c>
      <c r="I3223" s="4">
        <v>0</v>
      </c>
      <c r="J3223" s="4">
        <v>4133</v>
      </c>
    </row>
    <row r="3224" spans="1:10" x14ac:dyDescent="0.75">
      <c r="A3224" t="s">
        <v>163</v>
      </c>
      <c r="B3224">
        <v>2351</v>
      </c>
      <c r="C3224" t="s">
        <v>173</v>
      </c>
      <c r="D3224">
        <v>7110</v>
      </c>
      <c r="E3224" t="s">
        <v>371</v>
      </c>
      <c r="F3224" s="4">
        <v>1829</v>
      </c>
      <c r="G3224" s="4">
        <v>0</v>
      </c>
      <c r="H3224" s="4">
        <v>0</v>
      </c>
      <c r="I3224" s="4">
        <v>0</v>
      </c>
      <c r="J3224" s="4">
        <v>1829</v>
      </c>
    </row>
    <row r="3225" spans="1:10" x14ac:dyDescent="0.75">
      <c r="A3225" t="s">
        <v>151</v>
      </c>
      <c r="B3225">
        <v>1506</v>
      </c>
      <c r="C3225" t="s">
        <v>183</v>
      </c>
      <c r="D3225">
        <v>2211</v>
      </c>
      <c r="E3225" t="s">
        <v>367</v>
      </c>
      <c r="F3225" s="4">
        <v>1801927</v>
      </c>
      <c r="G3225" s="4">
        <v>2073323</v>
      </c>
      <c r="H3225" s="4">
        <v>2073323</v>
      </c>
      <c r="I3225" s="4">
        <v>0</v>
      </c>
      <c r="J3225" s="4">
        <v>3875250</v>
      </c>
    </row>
    <row r="3226" spans="1:10" x14ac:dyDescent="0.75">
      <c r="A3226" t="s">
        <v>151</v>
      </c>
      <c r="B3226">
        <v>1506</v>
      </c>
      <c r="C3226" t="s">
        <v>183</v>
      </c>
      <c r="D3226">
        <v>2330</v>
      </c>
      <c r="E3226" t="s">
        <v>368</v>
      </c>
      <c r="F3226" s="4">
        <v>938979</v>
      </c>
      <c r="G3226" s="4">
        <v>1273524</v>
      </c>
      <c r="H3226" s="4">
        <v>1273524</v>
      </c>
      <c r="I3226" s="4">
        <v>0</v>
      </c>
      <c r="J3226" s="4">
        <v>2212503</v>
      </c>
    </row>
    <row r="3227" spans="1:10" x14ac:dyDescent="0.75">
      <c r="A3227" t="s">
        <v>151</v>
      </c>
      <c r="B3227">
        <v>1506</v>
      </c>
      <c r="C3227" t="s">
        <v>183</v>
      </c>
      <c r="D3227">
        <v>3220</v>
      </c>
      <c r="E3227" t="s">
        <v>370</v>
      </c>
      <c r="F3227" s="4">
        <v>477911</v>
      </c>
      <c r="G3227" s="4">
        <v>12313</v>
      </c>
      <c r="H3227" s="4">
        <v>12313</v>
      </c>
      <c r="I3227" s="4">
        <v>0</v>
      </c>
      <c r="J3227" s="4">
        <v>490224</v>
      </c>
    </row>
    <row r="3228" spans="1:10" x14ac:dyDescent="0.75">
      <c r="A3228" t="s">
        <v>151</v>
      </c>
      <c r="B3228">
        <v>1506</v>
      </c>
      <c r="C3228" t="s">
        <v>183</v>
      </c>
      <c r="D3228">
        <v>4783</v>
      </c>
      <c r="E3228" t="s">
        <v>382</v>
      </c>
      <c r="F3228" s="4">
        <v>0</v>
      </c>
      <c r="G3228" s="4">
        <v>410950</v>
      </c>
      <c r="H3228" s="4">
        <v>410950</v>
      </c>
      <c r="I3228" s="4">
        <v>0</v>
      </c>
      <c r="J3228" s="4">
        <v>410950</v>
      </c>
    </row>
    <row r="3229" spans="1:10" x14ac:dyDescent="0.75">
      <c r="A3229" t="s">
        <v>151</v>
      </c>
      <c r="B3229">
        <v>1506</v>
      </c>
      <c r="C3229" t="s">
        <v>183</v>
      </c>
      <c r="D3229">
        <v>4420</v>
      </c>
      <c r="E3229" t="s">
        <v>381</v>
      </c>
      <c r="F3229" s="4">
        <v>0</v>
      </c>
      <c r="G3229" s="4">
        <v>348949</v>
      </c>
      <c r="H3229" s="4">
        <v>0</v>
      </c>
      <c r="I3229" s="4">
        <v>348949</v>
      </c>
      <c r="J3229" s="4">
        <v>348949</v>
      </c>
    </row>
    <row r="3230" spans="1:10" x14ac:dyDescent="0.75">
      <c r="A3230" t="s">
        <v>151</v>
      </c>
      <c r="B3230">
        <v>1506</v>
      </c>
      <c r="C3230" t="s">
        <v>183</v>
      </c>
      <c r="D3230">
        <v>2221</v>
      </c>
      <c r="E3230" t="s">
        <v>374</v>
      </c>
      <c r="F3230" s="4">
        <v>246401</v>
      </c>
      <c r="G3230" s="4">
        <v>44995</v>
      </c>
      <c r="H3230" s="4">
        <v>44995</v>
      </c>
      <c r="I3230" s="4">
        <v>0</v>
      </c>
      <c r="J3230" s="4">
        <v>291396</v>
      </c>
    </row>
    <row r="3231" spans="1:10" x14ac:dyDescent="0.75">
      <c r="A3231" t="s">
        <v>151</v>
      </c>
      <c r="B3231">
        <v>1506</v>
      </c>
      <c r="C3231" t="s">
        <v>183</v>
      </c>
      <c r="D3231">
        <v>4189</v>
      </c>
      <c r="E3231" t="s">
        <v>451</v>
      </c>
      <c r="F3231" s="4">
        <v>0</v>
      </c>
      <c r="G3231" s="4">
        <v>115631</v>
      </c>
      <c r="H3231" s="4">
        <v>115631</v>
      </c>
      <c r="I3231" s="4">
        <v>0</v>
      </c>
      <c r="J3231" s="4">
        <v>115631</v>
      </c>
    </row>
    <row r="3232" spans="1:10" x14ac:dyDescent="0.75">
      <c r="A3232" t="s">
        <v>151</v>
      </c>
      <c r="B3232">
        <v>1506</v>
      </c>
      <c r="C3232" t="s">
        <v>183</v>
      </c>
      <c r="D3232">
        <v>5360</v>
      </c>
      <c r="E3232" t="s">
        <v>465</v>
      </c>
      <c r="F3232" s="4">
        <v>0</v>
      </c>
      <c r="G3232" s="4">
        <v>78038</v>
      </c>
      <c r="H3232" s="4">
        <v>78038</v>
      </c>
      <c r="I3232" s="4">
        <v>0</v>
      </c>
      <c r="J3232" s="4">
        <v>78038</v>
      </c>
    </row>
    <row r="3233" spans="1:10" x14ac:dyDescent="0.75">
      <c r="A3233" t="s">
        <v>151</v>
      </c>
      <c r="B3233">
        <v>1506</v>
      </c>
      <c r="C3233" t="s">
        <v>183</v>
      </c>
      <c r="D3233">
        <v>2340</v>
      </c>
      <c r="E3233" t="s">
        <v>369</v>
      </c>
      <c r="F3233" s="4">
        <v>56961</v>
      </c>
      <c r="G3233" s="4">
        <v>0</v>
      </c>
      <c r="H3233" s="4">
        <v>0</v>
      </c>
      <c r="I3233" s="4">
        <v>0</v>
      </c>
      <c r="J3233" s="4">
        <v>56961</v>
      </c>
    </row>
    <row r="3234" spans="1:10" x14ac:dyDescent="0.75">
      <c r="A3234" t="s">
        <v>151</v>
      </c>
      <c r="B3234">
        <v>1506</v>
      </c>
      <c r="C3234" t="s">
        <v>183</v>
      </c>
      <c r="D3234">
        <v>4900</v>
      </c>
      <c r="E3234" t="s">
        <v>383</v>
      </c>
      <c r="F3234" s="4">
        <v>0</v>
      </c>
      <c r="G3234" s="4">
        <v>55221</v>
      </c>
      <c r="H3234" s="4">
        <v>55221</v>
      </c>
      <c r="I3234" s="4">
        <v>0</v>
      </c>
      <c r="J3234" s="4">
        <v>55221</v>
      </c>
    </row>
    <row r="3235" spans="1:10" x14ac:dyDescent="0.75">
      <c r="A3235" t="s">
        <v>151</v>
      </c>
      <c r="B3235">
        <v>1506</v>
      </c>
      <c r="C3235" t="s">
        <v>183</v>
      </c>
      <c r="D3235">
        <v>5220</v>
      </c>
      <c r="E3235" t="s">
        <v>401</v>
      </c>
      <c r="F3235" s="4">
        <v>51900</v>
      </c>
      <c r="G3235" s="4">
        <v>0</v>
      </c>
      <c r="H3235" s="4">
        <v>0</v>
      </c>
      <c r="I3235" s="4">
        <v>0</v>
      </c>
      <c r="J3235" s="4">
        <v>51900</v>
      </c>
    </row>
    <row r="3236" spans="1:10" x14ac:dyDescent="0.75">
      <c r="A3236" t="s">
        <v>151</v>
      </c>
      <c r="B3236">
        <v>1506</v>
      </c>
      <c r="C3236" t="s">
        <v>183</v>
      </c>
      <c r="D3236">
        <v>2100</v>
      </c>
      <c r="E3236" t="s">
        <v>403</v>
      </c>
      <c r="F3236" s="4">
        <v>0</v>
      </c>
      <c r="G3236" s="4">
        <v>48340</v>
      </c>
      <c r="H3236" s="4">
        <v>48340</v>
      </c>
      <c r="I3236" s="4">
        <v>0</v>
      </c>
      <c r="J3236" s="4">
        <v>48340</v>
      </c>
    </row>
    <row r="3237" spans="1:10" x14ac:dyDescent="0.75">
      <c r="A3237" t="s">
        <v>151</v>
      </c>
      <c r="B3237">
        <v>1506</v>
      </c>
      <c r="C3237" t="s">
        <v>183</v>
      </c>
      <c r="D3237">
        <v>5330</v>
      </c>
      <c r="E3237" t="s">
        <v>385</v>
      </c>
      <c r="F3237" s="4">
        <v>0</v>
      </c>
      <c r="G3237" s="4">
        <v>37599</v>
      </c>
      <c r="H3237" s="4">
        <v>37599</v>
      </c>
      <c r="I3237" s="4">
        <v>0</v>
      </c>
      <c r="J3237" s="4">
        <v>37599</v>
      </c>
    </row>
    <row r="3238" spans="1:10" x14ac:dyDescent="0.75">
      <c r="A3238" t="s">
        <v>151</v>
      </c>
      <c r="B3238">
        <v>1506</v>
      </c>
      <c r="C3238" t="s">
        <v>183</v>
      </c>
      <c r="D3238">
        <v>2430</v>
      </c>
      <c r="E3238" t="s">
        <v>376</v>
      </c>
      <c r="F3238" s="4">
        <v>34409</v>
      </c>
      <c r="G3238" s="4">
        <v>0</v>
      </c>
      <c r="H3238" s="4">
        <v>0</v>
      </c>
      <c r="I3238" s="4">
        <v>0</v>
      </c>
      <c r="J3238" s="4">
        <v>34409</v>
      </c>
    </row>
    <row r="3239" spans="1:10" x14ac:dyDescent="0.75">
      <c r="A3239" t="s">
        <v>151</v>
      </c>
      <c r="B3239">
        <v>1506</v>
      </c>
      <c r="C3239" t="s">
        <v>183</v>
      </c>
      <c r="D3239">
        <v>5320</v>
      </c>
      <c r="E3239" t="s">
        <v>384</v>
      </c>
      <c r="F3239" s="4">
        <v>0</v>
      </c>
      <c r="G3239" s="4">
        <v>33379</v>
      </c>
      <c r="H3239" s="4">
        <v>33379</v>
      </c>
      <c r="I3239" s="4">
        <v>0</v>
      </c>
      <c r="J3239" s="4">
        <v>33379</v>
      </c>
    </row>
    <row r="3240" spans="1:10" x14ac:dyDescent="0.75">
      <c r="A3240" t="s">
        <v>151</v>
      </c>
      <c r="B3240">
        <v>1506</v>
      </c>
      <c r="C3240" t="s">
        <v>183</v>
      </c>
      <c r="D3240">
        <v>2540</v>
      </c>
      <c r="E3240" t="s">
        <v>377</v>
      </c>
      <c r="F3240" s="4">
        <v>0</v>
      </c>
      <c r="G3240" s="4">
        <v>29685</v>
      </c>
      <c r="H3240" s="4">
        <v>29685</v>
      </c>
      <c r="I3240" s="4">
        <v>0</v>
      </c>
      <c r="J3240" s="4">
        <v>29685</v>
      </c>
    </row>
    <row r="3241" spans="1:10" x14ac:dyDescent="0.75">
      <c r="A3241" t="s">
        <v>151</v>
      </c>
      <c r="B3241">
        <v>1506</v>
      </c>
      <c r="C3241" t="s">
        <v>183</v>
      </c>
      <c r="D3241">
        <v>2429</v>
      </c>
      <c r="E3241" t="s">
        <v>375</v>
      </c>
      <c r="F3241" s="4">
        <v>22008</v>
      </c>
      <c r="G3241" s="4">
        <v>0</v>
      </c>
      <c r="H3241" s="4">
        <v>0</v>
      </c>
      <c r="I3241" s="4">
        <v>0</v>
      </c>
      <c r="J3241" s="4">
        <v>22008</v>
      </c>
    </row>
    <row r="3242" spans="1:10" x14ac:dyDescent="0.75">
      <c r="A3242" t="s">
        <v>151</v>
      </c>
      <c r="B3242">
        <v>1506</v>
      </c>
      <c r="C3242" t="s">
        <v>183</v>
      </c>
      <c r="D3242">
        <v>4860</v>
      </c>
      <c r="E3242" t="s">
        <v>400</v>
      </c>
      <c r="F3242" s="4">
        <v>20574</v>
      </c>
      <c r="G3242" s="4">
        <v>0</v>
      </c>
      <c r="H3242" s="4">
        <v>0</v>
      </c>
      <c r="I3242" s="4">
        <v>0</v>
      </c>
      <c r="J3242" s="4">
        <v>20574</v>
      </c>
    </row>
    <row r="3243" spans="1:10" x14ac:dyDescent="0.75">
      <c r="A3243" t="s">
        <v>151</v>
      </c>
      <c r="B3243">
        <v>1506</v>
      </c>
      <c r="C3243" t="s">
        <v>183</v>
      </c>
      <c r="D3243">
        <v>5480</v>
      </c>
      <c r="E3243" t="s">
        <v>386</v>
      </c>
      <c r="F3243" s="4">
        <v>0</v>
      </c>
      <c r="G3243" s="4">
        <v>18436</v>
      </c>
      <c r="H3243" s="4">
        <v>18436</v>
      </c>
      <c r="I3243" s="4">
        <v>0</v>
      </c>
      <c r="J3243" s="4">
        <v>18436</v>
      </c>
    </row>
    <row r="3244" spans="1:10" x14ac:dyDescent="0.75">
      <c r="A3244" t="s">
        <v>151</v>
      </c>
      <c r="B3244">
        <v>1506</v>
      </c>
      <c r="C3244" t="s">
        <v>183</v>
      </c>
      <c r="D3244">
        <v>5370</v>
      </c>
      <c r="E3244" t="s">
        <v>466</v>
      </c>
      <c r="F3244" s="4">
        <v>0</v>
      </c>
      <c r="G3244" s="4">
        <v>17561</v>
      </c>
      <c r="H3244" s="4">
        <v>17561</v>
      </c>
      <c r="I3244" s="4">
        <v>0</v>
      </c>
      <c r="J3244" s="4">
        <v>17561</v>
      </c>
    </row>
    <row r="3245" spans="1:10" x14ac:dyDescent="0.75">
      <c r="A3245" t="s">
        <v>151</v>
      </c>
      <c r="B3245">
        <v>1506</v>
      </c>
      <c r="C3245" t="s">
        <v>183</v>
      </c>
      <c r="D3245">
        <v>5540</v>
      </c>
      <c r="E3245" t="s">
        <v>469</v>
      </c>
      <c r="F3245" s="4">
        <v>0</v>
      </c>
      <c r="G3245" s="4">
        <v>15710</v>
      </c>
      <c r="H3245" s="4">
        <v>15710</v>
      </c>
      <c r="I3245" s="4">
        <v>0</v>
      </c>
      <c r="J3245" s="4">
        <v>15710</v>
      </c>
    </row>
    <row r="3246" spans="1:10" x14ac:dyDescent="0.75">
      <c r="A3246" t="s">
        <v>151</v>
      </c>
      <c r="B3246">
        <v>1506</v>
      </c>
      <c r="C3246" t="s">
        <v>183</v>
      </c>
      <c r="D3246">
        <v>3299</v>
      </c>
      <c r="E3246" t="s">
        <v>448</v>
      </c>
      <c r="F3246" s="4">
        <v>0</v>
      </c>
      <c r="G3246" s="4">
        <v>11927</v>
      </c>
      <c r="H3246" s="4">
        <v>0</v>
      </c>
      <c r="I3246" s="4">
        <v>11927</v>
      </c>
      <c r="J3246" s="4">
        <v>11927</v>
      </c>
    </row>
    <row r="3247" spans="1:10" x14ac:dyDescent="0.75">
      <c r="A3247" t="s">
        <v>151</v>
      </c>
      <c r="B3247">
        <v>1506</v>
      </c>
      <c r="C3247" t="s">
        <v>183</v>
      </c>
      <c r="D3247">
        <v>3276</v>
      </c>
      <c r="E3247" t="s">
        <v>379</v>
      </c>
      <c r="F3247" s="4">
        <v>0</v>
      </c>
      <c r="G3247" s="4">
        <v>11088</v>
      </c>
      <c r="H3247" s="4">
        <v>11088</v>
      </c>
      <c r="I3247" s="4">
        <v>0</v>
      </c>
      <c r="J3247" s="4">
        <v>11088</v>
      </c>
    </row>
    <row r="3248" spans="1:10" x14ac:dyDescent="0.75">
      <c r="A3248" t="s">
        <v>151</v>
      </c>
      <c r="B3248">
        <v>1506</v>
      </c>
      <c r="C3248" t="s">
        <v>183</v>
      </c>
      <c r="D3248">
        <v>6838</v>
      </c>
      <c r="E3248" t="s">
        <v>484</v>
      </c>
      <c r="F3248" s="4">
        <v>0</v>
      </c>
      <c r="G3248" s="4">
        <v>7327</v>
      </c>
      <c r="H3248" s="4">
        <v>7327</v>
      </c>
      <c r="I3248" s="4">
        <v>0</v>
      </c>
      <c r="J3248" s="4">
        <v>7327</v>
      </c>
    </row>
    <row r="3249" spans="1:10" x14ac:dyDescent="0.75">
      <c r="A3249" t="s">
        <v>151</v>
      </c>
      <c r="B3249">
        <v>1506</v>
      </c>
      <c r="C3249" t="s">
        <v>183</v>
      </c>
      <c r="D3249">
        <v>4225</v>
      </c>
      <c r="E3249" t="s">
        <v>380</v>
      </c>
      <c r="F3249" s="4">
        <v>0</v>
      </c>
      <c r="G3249" s="4">
        <v>3003</v>
      </c>
      <c r="H3249" s="4">
        <v>3003</v>
      </c>
      <c r="I3249" s="4">
        <v>0</v>
      </c>
      <c r="J3249" s="4">
        <v>3003</v>
      </c>
    </row>
    <row r="3250" spans="1:10" x14ac:dyDescent="0.75">
      <c r="A3250" t="s">
        <v>151</v>
      </c>
      <c r="B3250">
        <v>1506</v>
      </c>
      <c r="C3250" t="s">
        <v>183</v>
      </c>
      <c r="D3250">
        <v>7500</v>
      </c>
      <c r="E3250" t="s">
        <v>427</v>
      </c>
      <c r="F3250" s="4">
        <v>0</v>
      </c>
      <c r="G3250" s="4">
        <v>2475</v>
      </c>
      <c r="H3250" s="4">
        <v>2475</v>
      </c>
      <c r="I3250" s="4">
        <v>0</v>
      </c>
      <c r="J3250" s="4">
        <v>2475</v>
      </c>
    </row>
    <row r="3251" spans="1:10" x14ac:dyDescent="0.75">
      <c r="A3251" t="s">
        <v>151</v>
      </c>
      <c r="B3251">
        <v>1506</v>
      </c>
      <c r="C3251" t="s">
        <v>183</v>
      </c>
      <c r="D3251">
        <v>6653</v>
      </c>
      <c r="E3251" t="s">
        <v>395</v>
      </c>
      <c r="F3251" s="4">
        <v>0</v>
      </c>
      <c r="G3251" s="4">
        <v>211</v>
      </c>
      <c r="H3251" s="4">
        <v>211</v>
      </c>
      <c r="I3251" s="4">
        <v>0</v>
      </c>
      <c r="J3251" s="4">
        <v>211</v>
      </c>
    </row>
    <row r="3252" spans="1:10" x14ac:dyDescent="0.75">
      <c r="A3252" t="s">
        <v>151</v>
      </c>
      <c r="B3252">
        <v>1506</v>
      </c>
      <c r="C3252" t="s">
        <v>183</v>
      </c>
      <c r="D3252">
        <v>7400</v>
      </c>
      <c r="E3252" t="s">
        <v>502</v>
      </c>
      <c r="F3252" s="4">
        <v>0</v>
      </c>
      <c r="G3252" s="4">
        <v>178</v>
      </c>
      <c r="H3252" s="4">
        <v>178</v>
      </c>
      <c r="I3252" s="4">
        <v>0</v>
      </c>
      <c r="J3252" s="4">
        <v>178</v>
      </c>
    </row>
    <row r="3253" spans="1:10" x14ac:dyDescent="0.75">
      <c r="A3253" t="s">
        <v>151</v>
      </c>
      <c r="B3253">
        <v>1506</v>
      </c>
      <c r="C3253" t="s">
        <v>183</v>
      </c>
      <c r="D3253">
        <v>7110</v>
      </c>
      <c r="E3253" t="s">
        <v>371</v>
      </c>
      <c r="F3253" s="4">
        <v>0</v>
      </c>
      <c r="G3253" s="4">
        <v>121</v>
      </c>
      <c r="H3253" s="4">
        <v>121</v>
      </c>
      <c r="I3253" s="4">
        <v>0</v>
      </c>
      <c r="J3253" s="4">
        <v>121</v>
      </c>
    </row>
    <row r="3254" spans="1:10" x14ac:dyDescent="0.75">
      <c r="A3254" t="s">
        <v>151</v>
      </c>
      <c r="B3254">
        <v>1506</v>
      </c>
      <c r="C3254" t="s">
        <v>183</v>
      </c>
      <c r="D3254">
        <v>5312</v>
      </c>
      <c r="E3254" t="s">
        <v>416</v>
      </c>
      <c r="F3254" s="4">
        <v>0</v>
      </c>
      <c r="G3254" s="4">
        <v>58</v>
      </c>
      <c r="H3254" s="4">
        <v>58</v>
      </c>
      <c r="I3254" s="4">
        <v>0</v>
      </c>
      <c r="J3254" s="4">
        <v>58</v>
      </c>
    </row>
    <row r="3255" spans="1:10" x14ac:dyDescent="0.75">
      <c r="A3255" t="s">
        <v>151</v>
      </c>
      <c r="B3255">
        <v>1506</v>
      </c>
      <c r="C3255" t="s">
        <v>183</v>
      </c>
      <c r="D3255">
        <v>7600</v>
      </c>
      <c r="E3255" t="s">
        <v>503</v>
      </c>
      <c r="F3255" s="4">
        <v>0</v>
      </c>
      <c r="G3255" s="4">
        <v>34</v>
      </c>
      <c r="H3255" s="4">
        <v>34</v>
      </c>
      <c r="I3255" s="4">
        <v>0</v>
      </c>
      <c r="J3255" s="4">
        <v>34</v>
      </c>
    </row>
    <row r="3256" spans="1:10" x14ac:dyDescent="0.75">
      <c r="A3256" t="s">
        <v>151</v>
      </c>
      <c r="B3256">
        <v>1506</v>
      </c>
      <c r="C3256" t="s">
        <v>183</v>
      </c>
      <c r="D3256">
        <v>7900</v>
      </c>
      <c r="E3256" t="s">
        <v>388</v>
      </c>
      <c r="F3256" s="4">
        <v>0</v>
      </c>
      <c r="G3256" s="4">
        <v>25</v>
      </c>
      <c r="H3256" s="4">
        <v>25</v>
      </c>
      <c r="I3256" s="4">
        <v>0</v>
      </c>
      <c r="J3256" s="4">
        <v>25</v>
      </c>
    </row>
    <row r="3257" spans="1:10" x14ac:dyDescent="0.75">
      <c r="A3257" t="s">
        <v>151</v>
      </c>
      <c r="B3257">
        <v>1506</v>
      </c>
      <c r="C3257" t="s">
        <v>183</v>
      </c>
      <c r="D3257">
        <v>7230</v>
      </c>
      <c r="E3257" t="s">
        <v>387</v>
      </c>
      <c r="F3257" s="4">
        <v>0</v>
      </c>
      <c r="G3257" s="4">
        <v>1</v>
      </c>
      <c r="H3257" s="4">
        <v>1</v>
      </c>
      <c r="I3257" s="4">
        <v>0</v>
      </c>
      <c r="J3257" s="4">
        <v>1</v>
      </c>
    </row>
    <row r="3258" spans="1:10" x14ac:dyDescent="0.75">
      <c r="A3258" t="s">
        <v>151</v>
      </c>
      <c r="B3258">
        <v>273</v>
      </c>
      <c r="C3258" t="s">
        <v>340</v>
      </c>
      <c r="D3258">
        <v>5370</v>
      </c>
      <c r="E3258" t="s">
        <v>466</v>
      </c>
      <c r="F3258" s="4">
        <v>0</v>
      </c>
      <c r="G3258" s="4">
        <v>4397</v>
      </c>
      <c r="H3258" s="4">
        <v>4397</v>
      </c>
      <c r="I3258" s="4">
        <v>0</v>
      </c>
      <c r="J3258" s="4">
        <v>4397</v>
      </c>
    </row>
    <row r="3259" spans="1:10" x14ac:dyDescent="0.75">
      <c r="A3259" t="s">
        <v>151</v>
      </c>
      <c r="B3259">
        <v>273</v>
      </c>
      <c r="C3259" t="s">
        <v>340</v>
      </c>
      <c r="D3259">
        <v>9900</v>
      </c>
      <c r="E3259" t="s">
        <v>389</v>
      </c>
      <c r="F3259" s="4">
        <v>0</v>
      </c>
      <c r="G3259" s="4">
        <v>10</v>
      </c>
      <c r="H3259" s="4">
        <v>10</v>
      </c>
      <c r="I3259" s="4">
        <v>0</v>
      </c>
      <c r="J3259" s="4">
        <v>10</v>
      </c>
    </row>
    <row r="3260" spans="1:10" x14ac:dyDescent="0.75">
      <c r="A3260" t="s">
        <v>163</v>
      </c>
      <c r="B3260">
        <v>2288</v>
      </c>
      <c r="C3260" t="s">
        <v>216</v>
      </c>
      <c r="D3260">
        <v>6522</v>
      </c>
      <c r="E3260" t="s">
        <v>393</v>
      </c>
      <c r="F3260" s="4">
        <v>604736</v>
      </c>
      <c r="G3260" s="4">
        <v>0</v>
      </c>
      <c r="H3260" s="4">
        <v>0</v>
      </c>
      <c r="I3260" s="4">
        <v>0</v>
      </c>
      <c r="J3260" s="4">
        <v>604736</v>
      </c>
    </row>
    <row r="3261" spans="1:10" x14ac:dyDescent="0.75">
      <c r="A3261" t="s">
        <v>163</v>
      </c>
      <c r="B3261">
        <v>2288</v>
      </c>
      <c r="C3261" t="s">
        <v>216</v>
      </c>
      <c r="D3261">
        <v>3110</v>
      </c>
      <c r="E3261" t="s">
        <v>405</v>
      </c>
      <c r="F3261" s="4">
        <v>556895</v>
      </c>
      <c r="G3261" s="4">
        <v>0</v>
      </c>
      <c r="H3261" s="4">
        <v>0</v>
      </c>
      <c r="I3261" s="4">
        <v>0</v>
      </c>
      <c r="J3261" s="4">
        <v>556895</v>
      </c>
    </row>
    <row r="3262" spans="1:10" x14ac:dyDescent="0.75">
      <c r="A3262" t="s">
        <v>163</v>
      </c>
      <c r="B3262">
        <v>2288</v>
      </c>
      <c r="C3262" t="s">
        <v>216</v>
      </c>
      <c r="D3262">
        <v>6344</v>
      </c>
      <c r="E3262" t="s">
        <v>392</v>
      </c>
      <c r="F3262" s="4">
        <v>466234</v>
      </c>
      <c r="G3262" s="4">
        <v>0</v>
      </c>
      <c r="H3262" s="4">
        <v>0</v>
      </c>
      <c r="I3262" s="4">
        <v>0</v>
      </c>
      <c r="J3262" s="4">
        <v>466234</v>
      </c>
    </row>
    <row r="3263" spans="1:10" x14ac:dyDescent="0.75">
      <c r="A3263" t="s">
        <v>163</v>
      </c>
      <c r="B3263">
        <v>2288</v>
      </c>
      <c r="C3263" t="s">
        <v>216</v>
      </c>
      <c r="D3263">
        <v>4650</v>
      </c>
      <c r="E3263" t="s">
        <v>457</v>
      </c>
      <c r="F3263" s="4">
        <v>310877</v>
      </c>
      <c r="G3263" s="4">
        <v>0</v>
      </c>
      <c r="H3263" s="4">
        <v>0</v>
      </c>
      <c r="I3263" s="4">
        <v>0</v>
      </c>
      <c r="J3263" s="4">
        <v>310877</v>
      </c>
    </row>
    <row r="3264" spans="1:10" x14ac:dyDescent="0.75">
      <c r="A3264" t="s">
        <v>163</v>
      </c>
      <c r="B3264">
        <v>2288</v>
      </c>
      <c r="C3264" t="s">
        <v>216</v>
      </c>
      <c r="D3264">
        <v>6442</v>
      </c>
      <c r="E3264" t="s">
        <v>472</v>
      </c>
      <c r="F3264" s="4">
        <v>156948</v>
      </c>
      <c r="G3264" s="4">
        <v>0</v>
      </c>
      <c r="H3264" s="4">
        <v>0</v>
      </c>
      <c r="I3264" s="4">
        <v>0</v>
      </c>
      <c r="J3264" s="4">
        <v>156948</v>
      </c>
    </row>
    <row r="3265" spans="1:10" x14ac:dyDescent="0.75">
      <c r="A3265" t="s">
        <v>163</v>
      </c>
      <c r="B3265">
        <v>2288</v>
      </c>
      <c r="C3265" t="s">
        <v>216</v>
      </c>
      <c r="D3265">
        <v>4331</v>
      </c>
      <c r="E3265" t="s">
        <v>390</v>
      </c>
      <c r="F3265" s="4">
        <v>99582</v>
      </c>
      <c r="G3265" s="4">
        <v>0</v>
      </c>
      <c r="H3265" s="4">
        <v>0</v>
      </c>
      <c r="I3265" s="4">
        <v>0</v>
      </c>
      <c r="J3265" s="4">
        <v>99582</v>
      </c>
    </row>
    <row r="3266" spans="1:10" x14ac:dyDescent="0.75">
      <c r="A3266" t="s">
        <v>163</v>
      </c>
      <c r="B3266">
        <v>2288</v>
      </c>
      <c r="C3266" t="s">
        <v>216</v>
      </c>
      <c r="D3266">
        <v>3130</v>
      </c>
      <c r="E3266" t="s">
        <v>407</v>
      </c>
      <c r="F3266" s="4">
        <v>98253</v>
      </c>
      <c r="G3266" s="4">
        <v>0</v>
      </c>
      <c r="H3266" s="4">
        <v>0</v>
      </c>
      <c r="I3266" s="4">
        <v>0</v>
      </c>
      <c r="J3266" s="4">
        <v>98253</v>
      </c>
    </row>
    <row r="3267" spans="1:10" x14ac:dyDescent="0.75">
      <c r="A3267" t="s">
        <v>163</v>
      </c>
      <c r="B3267">
        <v>2288</v>
      </c>
      <c r="C3267" t="s">
        <v>216</v>
      </c>
      <c r="D3267">
        <v>6241</v>
      </c>
      <c r="E3267" t="s">
        <v>391</v>
      </c>
      <c r="F3267" s="4">
        <v>58165</v>
      </c>
      <c r="G3267" s="4">
        <v>0</v>
      </c>
      <c r="H3267" s="4">
        <v>0</v>
      </c>
      <c r="I3267" s="4">
        <v>0</v>
      </c>
      <c r="J3267" s="4">
        <v>58165</v>
      </c>
    </row>
    <row r="3268" spans="1:10" x14ac:dyDescent="0.75">
      <c r="A3268" t="s">
        <v>163</v>
      </c>
      <c r="B3268">
        <v>2288</v>
      </c>
      <c r="C3268" t="s">
        <v>216</v>
      </c>
      <c r="D3268">
        <v>1200</v>
      </c>
      <c r="E3268" t="s">
        <v>402</v>
      </c>
      <c r="F3268" s="4">
        <v>41423</v>
      </c>
      <c r="G3268" s="4">
        <v>0</v>
      </c>
      <c r="H3268" s="4">
        <v>0</v>
      </c>
      <c r="I3268" s="4">
        <v>0</v>
      </c>
      <c r="J3268" s="4">
        <v>41423</v>
      </c>
    </row>
    <row r="3269" spans="1:10" x14ac:dyDescent="0.75">
      <c r="A3269" t="s">
        <v>163</v>
      </c>
      <c r="B3269">
        <v>2288</v>
      </c>
      <c r="C3269" t="s">
        <v>216</v>
      </c>
      <c r="D3269">
        <v>3190</v>
      </c>
      <c r="E3269" t="s">
        <v>408</v>
      </c>
      <c r="F3269" s="4">
        <v>40316</v>
      </c>
      <c r="G3269" s="4">
        <v>0</v>
      </c>
      <c r="H3269" s="4">
        <v>0</v>
      </c>
      <c r="I3269" s="4">
        <v>0</v>
      </c>
      <c r="J3269" s="4">
        <v>40316</v>
      </c>
    </row>
    <row r="3270" spans="1:10" x14ac:dyDescent="0.75">
      <c r="A3270" t="s">
        <v>163</v>
      </c>
      <c r="B3270">
        <v>2288</v>
      </c>
      <c r="C3270" t="s">
        <v>216</v>
      </c>
      <c r="D3270">
        <v>2540</v>
      </c>
      <c r="E3270" t="s">
        <v>377</v>
      </c>
      <c r="F3270" s="4">
        <v>37183</v>
      </c>
      <c r="G3270" s="4">
        <v>0</v>
      </c>
      <c r="H3270" s="4">
        <v>0</v>
      </c>
      <c r="I3270" s="4">
        <v>0</v>
      </c>
      <c r="J3270" s="4">
        <v>37183</v>
      </c>
    </row>
    <row r="3271" spans="1:10" x14ac:dyDescent="0.75">
      <c r="A3271" t="s">
        <v>163</v>
      </c>
      <c r="B3271">
        <v>2288</v>
      </c>
      <c r="C3271" t="s">
        <v>216</v>
      </c>
      <c r="D3271">
        <v>2430</v>
      </c>
      <c r="E3271" t="s">
        <v>376</v>
      </c>
      <c r="F3271" s="4">
        <v>29767</v>
      </c>
      <c r="G3271" s="4">
        <v>0</v>
      </c>
      <c r="H3271" s="4">
        <v>0</v>
      </c>
      <c r="I3271" s="4">
        <v>0</v>
      </c>
      <c r="J3271" s="4">
        <v>29767</v>
      </c>
    </row>
    <row r="3272" spans="1:10" x14ac:dyDescent="0.75">
      <c r="A3272" t="s">
        <v>163</v>
      </c>
      <c r="B3272">
        <v>2288</v>
      </c>
      <c r="C3272" t="s">
        <v>216</v>
      </c>
      <c r="D3272">
        <v>4860</v>
      </c>
      <c r="E3272" t="s">
        <v>400</v>
      </c>
      <c r="F3272" s="4">
        <v>22250</v>
      </c>
      <c r="G3272" s="4">
        <v>0</v>
      </c>
      <c r="H3272" s="4">
        <v>0</v>
      </c>
      <c r="I3272" s="4">
        <v>0</v>
      </c>
      <c r="J3272" s="4">
        <v>22250</v>
      </c>
    </row>
    <row r="3273" spans="1:10" x14ac:dyDescent="0.75">
      <c r="A3273" t="s">
        <v>163</v>
      </c>
      <c r="B3273">
        <v>2288</v>
      </c>
      <c r="C3273" t="s">
        <v>216</v>
      </c>
      <c r="D3273">
        <v>6447</v>
      </c>
      <c r="E3273" t="s">
        <v>475</v>
      </c>
      <c r="F3273" s="4">
        <v>17341</v>
      </c>
      <c r="G3273" s="4">
        <v>0</v>
      </c>
      <c r="H3273" s="4">
        <v>0</v>
      </c>
      <c r="I3273" s="4">
        <v>0</v>
      </c>
      <c r="J3273" s="4">
        <v>17341</v>
      </c>
    </row>
    <row r="3274" spans="1:10" x14ac:dyDescent="0.75">
      <c r="A3274" t="s">
        <v>163</v>
      </c>
      <c r="B3274">
        <v>2288</v>
      </c>
      <c r="C3274" t="s">
        <v>216</v>
      </c>
      <c r="D3274">
        <v>5422</v>
      </c>
      <c r="E3274" t="s">
        <v>468</v>
      </c>
      <c r="F3274" s="4">
        <v>14980</v>
      </c>
      <c r="G3274" s="4">
        <v>0</v>
      </c>
      <c r="H3274" s="4">
        <v>0</v>
      </c>
      <c r="I3274" s="4">
        <v>0</v>
      </c>
      <c r="J3274" s="4">
        <v>14980</v>
      </c>
    </row>
    <row r="3275" spans="1:10" x14ac:dyDescent="0.75">
      <c r="A3275" t="s">
        <v>163</v>
      </c>
      <c r="B3275">
        <v>2288</v>
      </c>
      <c r="C3275" t="s">
        <v>216</v>
      </c>
      <c r="D3275">
        <v>3120</v>
      </c>
      <c r="E3275" t="s">
        <v>406</v>
      </c>
      <c r="F3275" s="4">
        <v>13714</v>
      </c>
      <c r="G3275" s="4">
        <v>0</v>
      </c>
      <c r="H3275" s="4">
        <v>0</v>
      </c>
      <c r="I3275" s="4">
        <v>0</v>
      </c>
      <c r="J3275" s="4">
        <v>13714</v>
      </c>
    </row>
    <row r="3276" spans="1:10" x14ac:dyDescent="0.75">
      <c r="A3276" t="s">
        <v>163</v>
      </c>
      <c r="B3276">
        <v>2288</v>
      </c>
      <c r="C3276" t="s">
        <v>216</v>
      </c>
      <c r="D3276">
        <v>5220</v>
      </c>
      <c r="E3276" t="s">
        <v>401</v>
      </c>
      <c r="F3276" s="4">
        <v>13138</v>
      </c>
      <c r="G3276" s="4">
        <v>0</v>
      </c>
      <c r="H3276" s="4">
        <v>0</v>
      </c>
      <c r="I3276" s="4">
        <v>0</v>
      </c>
      <c r="J3276" s="4">
        <v>13138</v>
      </c>
    </row>
    <row r="3277" spans="1:10" x14ac:dyDescent="0.75">
      <c r="A3277" t="s">
        <v>163</v>
      </c>
      <c r="B3277">
        <v>2288</v>
      </c>
      <c r="C3277" t="s">
        <v>216</v>
      </c>
      <c r="D3277">
        <v>5480</v>
      </c>
      <c r="E3277" t="s">
        <v>386</v>
      </c>
      <c r="F3277" s="4">
        <v>8446</v>
      </c>
      <c r="G3277" s="4">
        <v>0</v>
      </c>
      <c r="H3277" s="4">
        <v>0</v>
      </c>
      <c r="I3277" s="4">
        <v>0</v>
      </c>
      <c r="J3277" s="4">
        <v>8446</v>
      </c>
    </row>
    <row r="3278" spans="1:10" x14ac:dyDescent="0.75">
      <c r="A3278" t="s">
        <v>163</v>
      </c>
      <c r="B3278">
        <v>2288</v>
      </c>
      <c r="C3278" t="s">
        <v>216</v>
      </c>
      <c r="D3278">
        <v>6590</v>
      </c>
      <c r="E3278" t="s">
        <v>394</v>
      </c>
      <c r="F3278" s="4">
        <v>4768</v>
      </c>
      <c r="G3278" s="4">
        <v>0</v>
      </c>
      <c r="H3278" s="4">
        <v>0</v>
      </c>
      <c r="I3278" s="4">
        <v>0</v>
      </c>
      <c r="J3278" s="4">
        <v>4768</v>
      </c>
    </row>
    <row r="3279" spans="1:10" x14ac:dyDescent="0.75">
      <c r="A3279" t="s">
        <v>163</v>
      </c>
      <c r="B3279">
        <v>2288</v>
      </c>
      <c r="C3279" t="s">
        <v>216</v>
      </c>
      <c r="D3279">
        <v>3275</v>
      </c>
      <c r="E3279" t="s">
        <v>412</v>
      </c>
      <c r="F3279" s="4">
        <v>1657</v>
      </c>
      <c r="G3279" s="4">
        <v>0</v>
      </c>
      <c r="H3279" s="4">
        <v>0</v>
      </c>
      <c r="I3279" s="4">
        <v>0</v>
      </c>
      <c r="J3279" s="4">
        <v>1657</v>
      </c>
    </row>
    <row r="3280" spans="1:10" x14ac:dyDescent="0.75">
      <c r="A3280" t="s">
        <v>151</v>
      </c>
      <c r="B3280">
        <v>2251</v>
      </c>
      <c r="C3280" t="s">
        <v>155</v>
      </c>
      <c r="D3280">
        <v>6344</v>
      </c>
      <c r="E3280" t="s">
        <v>392</v>
      </c>
      <c r="F3280" s="4">
        <v>5204329</v>
      </c>
      <c r="G3280" s="4">
        <v>7032128</v>
      </c>
      <c r="H3280" s="4">
        <v>22</v>
      </c>
      <c r="I3280" s="4">
        <v>7032106</v>
      </c>
      <c r="J3280" s="4">
        <v>12236457</v>
      </c>
    </row>
    <row r="3281" spans="1:10" x14ac:dyDescent="0.75">
      <c r="A3281" t="s">
        <v>151</v>
      </c>
      <c r="B3281">
        <v>2251</v>
      </c>
      <c r="C3281" t="s">
        <v>155</v>
      </c>
      <c r="D3281">
        <v>2330</v>
      </c>
      <c r="E3281" t="s">
        <v>368</v>
      </c>
      <c r="F3281" s="4">
        <v>6428587</v>
      </c>
      <c r="G3281" s="4">
        <v>3268120</v>
      </c>
      <c r="H3281" s="4">
        <v>1004390</v>
      </c>
      <c r="I3281" s="4">
        <v>2263730</v>
      </c>
      <c r="J3281" s="4">
        <v>9696707</v>
      </c>
    </row>
    <row r="3282" spans="1:10" x14ac:dyDescent="0.75">
      <c r="A3282" t="s">
        <v>151</v>
      </c>
      <c r="B3282">
        <v>2251</v>
      </c>
      <c r="C3282" t="s">
        <v>155</v>
      </c>
      <c r="D3282">
        <v>6522</v>
      </c>
      <c r="E3282" t="s">
        <v>393</v>
      </c>
      <c r="F3282" s="4">
        <v>2623938</v>
      </c>
      <c r="G3282" s="4">
        <v>4606848</v>
      </c>
      <c r="H3282" s="4">
        <v>13798</v>
      </c>
      <c r="I3282" s="4">
        <v>4593050</v>
      </c>
      <c r="J3282" s="4">
        <v>7230786</v>
      </c>
    </row>
    <row r="3283" spans="1:10" x14ac:dyDescent="0.75">
      <c r="A3283" t="s">
        <v>151</v>
      </c>
      <c r="B3283">
        <v>2251</v>
      </c>
      <c r="C3283" t="s">
        <v>155</v>
      </c>
      <c r="D3283">
        <v>2340</v>
      </c>
      <c r="E3283" t="s">
        <v>369</v>
      </c>
      <c r="F3283" s="4">
        <v>4870910</v>
      </c>
      <c r="G3283" s="4">
        <v>614174</v>
      </c>
      <c r="H3283" s="4">
        <v>606606</v>
      </c>
      <c r="I3283" s="4">
        <v>7568</v>
      </c>
      <c r="J3283" s="4">
        <v>5485084</v>
      </c>
    </row>
    <row r="3284" spans="1:10" x14ac:dyDescent="0.75">
      <c r="A3284" t="s">
        <v>151</v>
      </c>
      <c r="B3284">
        <v>2251</v>
      </c>
      <c r="C3284" t="s">
        <v>155</v>
      </c>
      <c r="D3284">
        <v>6782</v>
      </c>
      <c r="E3284" t="s">
        <v>396</v>
      </c>
      <c r="F3284" s="4">
        <v>1791927</v>
      </c>
      <c r="G3284" s="4">
        <v>3035145</v>
      </c>
      <c r="H3284" s="4">
        <v>55224</v>
      </c>
      <c r="I3284" s="4">
        <v>2979921</v>
      </c>
      <c r="J3284" s="4">
        <v>4827072</v>
      </c>
    </row>
    <row r="3285" spans="1:10" x14ac:dyDescent="0.75">
      <c r="A3285" t="s">
        <v>151</v>
      </c>
      <c r="B3285">
        <v>2251</v>
      </c>
      <c r="C3285" t="s">
        <v>155</v>
      </c>
      <c r="D3285">
        <v>3110</v>
      </c>
      <c r="E3285" t="s">
        <v>405</v>
      </c>
      <c r="F3285" s="4">
        <v>2345726</v>
      </c>
      <c r="G3285" s="4">
        <v>1819681</v>
      </c>
      <c r="H3285" s="4">
        <v>1775737</v>
      </c>
      <c r="I3285" s="4">
        <v>43944</v>
      </c>
      <c r="J3285" s="4">
        <v>4165407</v>
      </c>
    </row>
    <row r="3286" spans="1:10" x14ac:dyDescent="0.75">
      <c r="A3286" t="s">
        <v>151</v>
      </c>
      <c r="B3286">
        <v>2251</v>
      </c>
      <c r="C3286" t="s">
        <v>155</v>
      </c>
      <c r="D3286">
        <v>3190</v>
      </c>
      <c r="E3286" t="s">
        <v>408</v>
      </c>
      <c r="F3286" s="4">
        <v>2332855</v>
      </c>
      <c r="G3286" s="4">
        <v>1220563</v>
      </c>
      <c r="H3286" s="4">
        <v>1203729</v>
      </c>
      <c r="I3286" s="4">
        <v>16834</v>
      </c>
      <c r="J3286" s="4">
        <v>3553418</v>
      </c>
    </row>
    <row r="3287" spans="1:10" x14ac:dyDescent="0.75">
      <c r="A3287" t="s">
        <v>151</v>
      </c>
      <c r="B3287">
        <v>2251</v>
      </c>
      <c r="C3287" t="s">
        <v>155</v>
      </c>
      <c r="D3287">
        <v>2540</v>
      </c>
      <c r="E3287" t="s">
        <v>377</v>
      </c>
      <c r="F3287" s="4">
        <v>1376415</v>
      </c>
      <c r="G3287" s="4">
        <v>1280846</v>
      </c>
      <c r="H3287" s="4">
        <v>414619</v>
      </c>
      <c r="I3287" s="4">
        <v>866227</v>
      </c>
      <c r="J3287" s="4">
        <v>2657261</v>
      </c>
    </row>
    <row r="3288" spans="1:10" x14ac:dyDescent="0.75">
      <c r="A3288" t="s">
        <v>151</v>
      </c>
      <c r="B3288">
        <v>2251</v>
      </c>
      <c r="C3288" t="s">
        <v>155</v>
      </c>
      <c r="D3288">
        <v>2430</v>
      </c>
      <c r="E3288" t="s">
        <v>376</v>
      </c>
      <c r="F3288" s="4">
        <v>1325872</v>
      </c>
      <c r="G3288" s="4">
        <v>655097</v>
      </c>
      <c r="H3288" s="4">
        <v>98826</v>
      </c>
      <c r="I3288" s="4">
        <v>556271</v>
      </c>
      <c r="J3288" s="4">
        <v>1980969</v>
      </c>
    </row>
    <row r="3289" spans="1:10" x14ac:dyDescent="0.75">
      <c r="A3289" t="s">
        <v>151</v>
      </c>
      <c r="B3289">
        <v>2251</v>
      </c>
      <c r="C3289" t="s">
        <v>155</v>
      </c>
      <c r="D3289">
        <v>1100</v>
      </c>
      <c r="E3289" t="s">
        <v>397</v>
      </c>
      <c r="F3289" s="4">
        <v>1500367</v>
      </c>
      <c r="G3289" s="4">
        <v>443374</v>
      </c>
      <c r="H3289" s="4">
        <v>100165</v>
      </c>
      <c r="I3289" s="4">
        <v>343209</v>
      </c>
      <c r="J3289" s="4">
        <v>1943741</v>
      </c>
    </row>
    <row r="3290" spans="1:10" x14ac:dyDescent="0.75">
      <c r="A3290" t="s">
        <v>151</v>
      </c>
      <c r="B3290">
        <v>2251</v>
      </c>
      <c r="C3290" t="s">
        <v>155</v>
      </c>
      <c r="D3290">
        <v>2100</v>
      </c>
      <c r="E3290" t="s">
        <v>403</v>
      </c>
      <c r="F3290" s="4">
        <v>261021</v>
      </c>
      <c r="G3290" s="4">
        <v>1649982</v>
      </c>
      <c r="H3290" s="4">
        <v>1649982</v>
      </c>
      <c r="I3290" s="4">
        <v>0</v>
      </c>
      <c r="J3290" s="4">
        <v>1911003</v>
      </c>
    </row>
    <row r="3291" spans="1:10" x14ac:dyDescent="0.75">
      <c r="A3291" t="s">
        <v>151</v>
      </c>
      <c r="B3291">
        <v>2251</v>
      </c>
      <c r="C3291" t="s">
        <v>155</v>
      </c>
      <c r="D3291">
        <v>1200</v>
      </c>
      <c r="E3291" t="s">
        <v>402</v>
      </c>
      <c r="F3291" s="4">
        <v>1489303</v>
      </c>
      <c r="G3291" s="4">
        <v>194774</v>
      </c>
      <c r="H3291" s="4">
        <v>39908</v>
      </c>
      <c r="I3291" s="4">
        <v>154866</v>
      </c>
      <c r="J3291" s="4">
        <v>1684077</v>
      </c>
    </row>
    <row r="3292" spans="1:10" x14ac:dyDescent="0.75">
      <c r="A3292" t="s">
        <v>151</v>
      </c>
      <c r="B3292">
        <v>2251</v>
      </c>
      <c r="C3292" t="s">
        <v>155</v>
      </c>
      <c r="D3292">
        <v>5315</v>
      </c>
      <c r="E3292" t="s">
        <v>417</v>
      </c>
      <c r="F3292" s="4">
        <v>862879</v>
      </c>
      <c r="G3292" s="4">
        <v>801170</v>
      </c>
      <c r="H3292" s="4">
        <v>794312</v>
      </c>
      <c r="I3292" s="4">
        <v>6858</v>
      </c>
      <c r="J3292" s="4">
        <v>1664049</v>
      </c>
    </row>
    <row r="3293" spans="1:10" x14ac:dyDescent="0.75">
      <c r="A3293" t="s">
        <v>151</v>
      </c>
      <c r="B3293">
        <v>2251</v>
      </c>
      <c r="C3293" t="s">
        <v>155</v>
      </c>
      <c r="D3293">
        <v>4900</v>
      </c>
      <c r="E3293" t="s">
        <v>383</v>
      </c>
      <c r="F3293" s="4">
        <v>862868</v>
      </c>
      <c r="G3293" s="4">
        <v>631432</v>
      </c>
      <c r="H3293" s="4">
        <v>599615</v>
      </c>
      <c r="I3293" s="4">
        <v>31817</v>
      </c>
      <c r="J3293" s="4">
        <v>1494300</v>
      </c>
    </row>
    <row r="3294" spans="1:10" x14ac:dyDescent="0.75">
      <c r="A3294" t="s">
        <v>151</v>
      </c>
      <c r="B3294">
        <v>2251</v>
      </c>
      <c r="C3294" t="s">
        <v>155</v>
      </c>
      <c r="D3294">
        <v>5330</v>
      </c>
      <c r="E3294" t="s">
        <v>385</v>
      </c>
      <c r="F3294" s="4">
        <v>648716</v>
      </c>
      <c r="G3294" s="4">
        <v>788540</v>
      </c>
      <c r="H3294" s="4">
        <v>779792</v>
      </c>
      <c r="I3294" s="4">
        <v>8748</v>
      </c>
      <c r="J3294" s="4">
        <v>1437256</v>
      </c>
    </row>
    <row r="3295" spans="1:10" x14ac:dyDescent="0.75">
      <c r="A3295" t="s">
        <v>151</v>
      </c>
      <c r="B3295">
        <v>2251</v>
      </c>
      <c r="C3295" t="s">
        <v>155</v>
      </c>
      <c r="D3295">
        <v>6653</v>
      </c>
      <c r="E3295" t="s">
        <v>395</v>
      </c>
      <c r="F3295" s="4">
        <v>329496</v>
      </c>
      <c r="G3295" s="4">
        <v>1095698</v>
      </c>
      <c r="H3295" s="4">
        <v>920584</v>
      </c>
      <c r="I3295" s="4">
        <v>175114</v>
      </c>
      <c r="J3295" s="4">
        <v>1425194</v>
      </c>
    </row>
    <row r="3296" spans="1:10" x14ac:dyDescent="0.75">
      <c r="A3296" t="s">
        <v>151</v>
      </c>
      <c r="B3296">
        <v>2251</v>
      </c>
      <c r="C3296" t="s">
        <v>155</v>
      </c>
      <c r="D3296">
        <v>6241</v>
      </c>
      <c r="E3296" t="s">
        <v>391</v>
      </c>
      <c r="F3296" s="4">
        <v>558249</v>
      </c>
      <c r="G3296" s="4">
        <v>590618</v>
      </c>
      <c r="H3296" s="4">
        <v>598</v>
      </c>
      <c r="I3296" s="4">
        <v>590020</v>
      </c>
      <c r="J3296" s="4">
        <v>1148867</v>
      </c>
    </row>
    <row r="3297" spans="1:10" x14ac:dyDescent="0.75">
      <c r="A3297" t="s">
        <v>151</v>
      </c>
      <c r="B3297">
        <v>2251</v>
      </c>
      <c r="C3297" t="s">
        <v>155</v>
      </c>
      <c r="D3297">
        <v>2211</v>
      </c>
      <c r="E3297" t="s">
        <v>367</v>
      </c>
      <c r="F3297" s="4">
        <v>747913</v>
      </c>
      <c r="G3297" s="4">
        <v>397090</v>
      </c>
      <c r="H3297" s="4">
        <v>9489</v>
      </c>
      <c r="I3297" s="4">
        <v>387601</v>
      </c>
      <c r="J3297" s="4">
        <v>1145003</v>
      </c>
    </row>
    <row r="3298" spans="1:10" x14ac:dyDescent="0.75">
      <c r="A3298" t="s">
        <v>151</v>
      </c>
      <c r="B3298">
        <v>2251</v>
      </c>
      <c r="C3298" t="s">
        <v>155</v>
      </c>
      <c r="D3298">
        <v>3286</v>
      </c>
      <c r="E3298" t="s">
        <v>423</v>
      </c>
      <c r="F3298" s="4">
        <v>2800</v>
      </c>
      <c r="G3298" s="4">
        <v>1040715</v>
      </c>
      <c r="H3298" s="4">
        <v>130218</v>
      </c>
      <c r="I3298" s="4">
        <v>910497</v>
      </c>
      <c r="J3298" s="4">
        <v>1043515</v>
      </c>
    </row>
    <row r="3299" spans="1:10" x14ac:dyDescent="0.75">
      <c r="A3299" t="s">
        <v>151</v>
      </c>
      <c r="B3299">
        <v>2251</v>
      </c>
      <c r="C3299" t="s">
        <v>155</v>
      </c>
      <c r="D3299">
        <v>3130</v>
      </c>
      <c r="E3299" t="s">
        <v>407</v>
      </c>
      <c r="F3299" s="4">
        <v>511134</v>
      </c>
      <c r="G3299" s="4">
        <v>528368</v>
      </c>
      <c r="H3299" s="4">
        <v>527332</v>
      </c>
      <c r="I3299" s="4">
        <v>1036</v>
      </c>
      <c r="J3299" s="4">
        <v>1039502</v>
      </c>
    </row>
    <row r="3300" spans="1:10" x14ac:dyDescent="0.75">
      <c r="A3300" t="s">
        <v>151</v>
      </c>
      <c r="B3300">
        <v>2251</v>
      </c>
      <c r="C3300" t="s">
        <v>155</v>
      </c>
      <c r="D3300">
        <v>3276</v>
      </c>
      <c r="E3300" t="s">
        <v>379</v>
      </c>
      <c r="F3300" s="4">
        <v>269090</v>
      </c>
      <c r="G3300" s="4">
        <v>717457</v>
      </c>
      <c r="H3300" s="4">
        <v>673750</v>
      </c>
      <c r="I3300" s="4">
        <v>43707</v>
      </c>
      <c r="J3300" s="4">
        <v>986547</v>
      </c>
    </row>
    <row r="3301" spans="1:10" x14ac:dyDescent="0.75">
      <c r="A3301" t="s">
        <v>151</v>
      </c>
      <c r="B3301">
        <v>2251</v>
      </c>
      <c r="C3301" t="s">
        <v>155</v>
      </c>
      <c r="D3301">
        <v>4670</v>
      </c>
      <c r="E3301" t="s">
        <v>458</v>
      </c>
      <c r="F3301" s="4">
        <v>532013</v>
      </c>
      <c r="G3301" s="4">
        <v>449839</v>
      </c>
      <c r="H3301" s="4">
        <v>449839</v>
      </c>
      <c r="I3301" s="4">
        <v>0</v>
      </c>
      <c r="J3301" s="4">
        <v>981852</v>
      </c>
    </row>
    <row r="3302" spans="1:10" x14ac:dyDescent="0.75">
      <c r="A3302" t="s">
        <v>151</v>
      </c>
      <c r="B3302">
        <v>2251</v>
      </c>
      <c r="C3302" t="s">
        <v>155</v>
      </c>
      <c r="D3302">
        <v>5312</v>
      </c>
      <c r="E3302" t="s">
        <v>416</v>
      </c>
      <c r="F3302" s="4">
        <v>344874</v>
      </c>
      <c r="G3302" s="4">
        <v>628197</v>
      </c>
      <c r="H3302" s="4">
        <v>628080</v>
      </c>
      <c r="I3302" s="4">
        <v>117</v>
      </c>
      <c r="J3302" s="4">
        <v>973071</v>
      </c>
    </row>
    <row r="3303" spans="1:10" x14ac:dyDescent="0.75">
      <c r="A3303" t="s">
        <v>151</v>
      </c>
      <c r="B3303">
        <v>2251</v>
      </c>
      <c r="C3303" t="s">
        <v>155</v>
      </c>
      <c r="D3303">
        <v>6442</v>
      </c>
      <c r="E3303" t="s">
        <v>472</v>
      </c>
      <c r="F3303" s="4">
        <v>429694</v>
      </c>
      <c r="G3303" s="4">
        <v>411206</v>
      </c>
      <c r="H3303" s="4">
        <v>2766</v>
      </c>
      <c r="I3303" s="4">
        <v>408440</v>
      </c>
      <c r="J3303" s="4">
        <v>840900</v>
      </c>
    </row>
    <row r="3304" spans="1:10" x14ac:dyDescent="0.75">
      <c r="A3304" t="s">
        <v>151</v>
      </c>
      <c r="B3304">
        <v>2251</v>
      </c>
      <c r="C3304" t="s">
        <v>155</v>
      </c>
      <c r="D3304">
        <v>2429</v>
      </c>
      <c r="E3304" t="s">
        <v>375</v>
      </c>
      <c r="F3304" s="4">
        <v>313362</v>
      </c>
      <c r="G3304" s="4">
        <v>524038</v>
      </c>
      <c r="H3304" s="4">
        <v>26684</v>
      </c>
      <c r="I3304" s="4">
        <v>497354</v>
      </c>
      <c r="J3304" s="4">
        <v>837400</v>
      </c>
    </row>
    <row r="3305" spans="1:10" x14ac:dyDescent="0.75">
      <c r="A3305" t="s">
        <v>151</v>
      </c>
      <c r="B3305">
        <v>2251</v>
      </c>
      <c r="C3305" t="s">
        <v>155</v>
      </c>
      <c r="D3305">
        <v>4690</v>
      </c>
      <c r="E3305" t="s">
        <v>428</v>
      </c>
      <c r="F3305" s="4">
        <v>355965</v>
      </c>
      <c r="G3305" s="4">
        <v>340501</v>
      </c>
      <c r="H3305" s="4">
        <v>162175</v>
      </c>
      <c r="I3305" s="4">
        <v>178326</v>
      </c>
      <c r="J3305" s="4">
        <v>696466</v>
      </c>
    </row>
    <row r="3306" spans="1:10" x14ac:dyDescent="0.75">
      <c r="A3306" t="s">
        <v>151</v>
      </c>
      <c r="B3306">
        <v>2251</v>
      </c>
      <c r="C3306" t="s">
        <v>155</v>
      </c>
      <c r="D3306">
        <v>5422</v>
      </c>
      <c r="E3306" t="s">
        <v>468</v>
      </c>
      <c r="F3306" s="4">
        <v>163683</v>
      </c>
      <c r="G3306" s="4">
        <v>523437</v>
      </c>
      <c r="H3306" s="4">
        <v>519942</v>
      </c>
      <c r="I3306" s="4">
        <v>3495</v>
      </c>
      <c r="J3306" s="4">
        <v>687120</v>
      </c>
    </row>
    <row r="3307" spans="1:10" x14ac:dyDescent="0.75">
      <c r="A3307" t="s">
        <v>151</v>
      </c>
      <c r="B3307">
        <v>2251</v>
      </c>
      <c r="C3307" t="s">
        <v>155</v>
      </c>
      <c r="D3307">
        <v>4650</v>
      </c>
      <c r="E3307" t="s">
        <v>457</v>
      </c>
      <c r="F3307" s="4">
        <v>314445</v>
      </c>
      <c r="G3307" s="4">
        <v>371209</v>
      </c>
      <c r="H3307" s="4">
        <v>348984</v>
      </c>
      <c r="I3307" s="4">
        <v>22225</v>
      </c>
      <c r="J3307" s="4">
        <v>685654</v>
      </c>
    </row>
    <row r="3308" spans="1:10" x14ac:dyDescent="0.75">
      <c r="A3308" t="s">
        <v>151</v>
      </c>
      <c r="B3308">
        <v>2251</v>
      </c>
      <c r="C3308" t="s">
        <v>155</v>
      </c>
      <c r="D3308">
        <v>5220</v>
      </c>
      <c r="E3308" t="s">
        <v>401</v>
      </c>
      <c r="F3308" s="4">
        <v>502580</v>
      </c>
      <c r="G3308" s="4">
        <v>141748</v>
      </c>
      <c r="H3308" s="4">
        <v>141745</v>
      </c>
      <c r="I3308" s="4">
        <v>3</v>
      </c>
      <c r="J3308" s="4">
        <v>644328</v>
      </c>
    </row>
    <row r="3309" spans="1:10" x14ac:dyDescent="0.75">
      <c r="A3309" t="s">
        <v>151</v>
      </c>
      <c r="B3309">
        <v>2251</v>
      </c>
      <c r="C3309" t="s">
        <v>155</v>
      </c>
      <c r="D3309">
        <v>6861</v>
      </c>
      <c r="E3309" t="s">
        <v>489</v>
      </c>
      <c r="F3309" s="4">
        <v>619679</v>
      </c>
      <c r="G3309" s="4">
        <v>12725</v>
      </c>
      <c r="H3309" s="4">
        <v>10250</v>
      </c>
      <c r="I3309" s="4">
        <v>2475</v>
      </c>
      <c r="J3309" s="4">
        <v>632404</v>
      </c>
    </row>
    <row r="3310" spans="1:10" x14ac:dyDescent="0.75">
      <c r="A3310" t="s">
        <v>151</v>
      </c>
      <c r="B3310">
        <v>2251</v>
      </c>
      <c r="C3310" t="s">
        <v>155</v>
      </c>
      <c r="D3310">
        <v>4331</v>
      </c>
      <c r="E3310" t="s">
        <v>390</v>
      </c>
      <c r="F3310" s="4">
        <v>480659</v>
      </c>
      <c r="G3310" s="4">
        <v>122081</v>
      </c>
      <c r="H3310" s="4">
        <v>106969</v>
      </c>
      <c r="I3310" s="4">
        <v>15112</v>
      </c>
      <c r="J3310" s="4">
        <v>602740</v>
      </c>
    </row>
    <row r="3311" spans="1:10" x14ac:dyDescent="0.75">
      <c r="A3311" t="s">
        <v>151</v>
      </c>
      <c r="B3311">
        <v>2251</v>
      </c>
      <c r="C3311" t="s">
        <v>155</v>
      </c>
      <c r="D3311">
        <v>3274</v>
      </c>
      <c r="E3311" t="s">
        <v>438</v>
      </c>
      <c r="F3311" s="4">
        <v>435669</v>
      </c>
      <c r="G3311" s="4">
        <v>163590</v>
      </c>
      <c r="H3311" s="4">
        <v>5109</v>
      </c>
      <c r="I3311" s="4">
        <v>158481</v>
      </c>
      <c r="J3311" s="4">
        <v>599259</v>
      </c>
    </row>
    <row r="3312" spans="1:10" x14ac:dyDescent="0.75">
      <c r="A3312" t="s">
        <v>151</v>
      </c>
      <c r="B3312">
        <v>2251</v>
      </c>
      <c r="C3312" t="s">
        <v>155</v>
      </c>
      <c r="D3312">
        <v>2350</v>
      </c>
      <c r="E3312" t="s">
        <v>404</v>
      </c>
      <c r="F3312" s="4">
        <v>280172</v>
      </c>
      <c r="G3312" s="4">
        <v>304384</v>
      </c>
      <c r="H3312" s="4">
        <v>84141</v>
      </c>
      <c r="I3312" s="4">
        <v>220243</v>
      </c>
      <c r="J3312" s="4">
        <v>584556</v>
      </c>
    </row>
    <row r="3313" spans="1:10" x14ac:dyDescent="0.75">
      <c r="A3313" t="s">
        <v>151</v>
      </c>
      <c r="B3313">
        <v>2251</v>
      </c>
      <c r="C3313" t="s">
        <v>155</v>
      </c>
      <c r="D3313">
        <v>5360</v>
      </c>
      <c r="E3313" t="s">
        <v>465</v>
      </c>
      <c r="F3313" s="4">
        <v>314771</v>
      </c>
      <c r="G3313" s="4">
        <v>225455</v>
      </c>
      <c r="H3313" s="4">
        <v>224986</v>
      </c>
      <c r="I3313" s="4">
        <v>469</v>
      </c>
      <c r="J3313" s="4">
        <v>540226</v>
      </c>
    </row>
    <row r="3314" spans="1:10" x14ac:dyDescent="0.75">
      <c r="A3314" t="s">
        <v>151</v>
      </c>
      <c r="B3314">
        <v>2251</v>
      </c>
      <c r="C3314" t="s">
        <v>155</v>
      </c>
      <c r="D3314">
        <v>4783</v>
      </c>
      <c r="E3314" t="s">
        <v>382</v>
      </c>
      <c r="F3314" s="4">
        <v>94051</v>
      </c>
      <c r="G3314" s="4">
        <v>434517</v>
      </c>
      <c r="H3314" s="4">
        <v>433528</v>
      </c>
      <c r="I3314" s="4">
        <v>989</v>
      </c>
      <c r="J3314" s="4">
        <v>528568</v>
      </c>
    </row>
    <row r="3315" spans="1:10" x14ac:dyDescent="0.75">
      <c r="A3315" t="s">
        <v>151</v>
      </c>
      <c r="B3315">
        <v>2251</v>
      </c>
      <c r="C3315" t="s">
        <v>155</v>
      </c>
      <c r="D3315">
        <v>5480</v>
      </c>
      <c r="E3315" t="s">
        <v>386</v>
      </c>
      <c r="F3315" s="4">
        <v>96091</v>
      </c>
      <c r="G3315" s="4">
        <v>406324</v>
      </c>
      <c r="H3315" s="4">
        <v>392803</v>
      </c>
      <c r="I3315" s="4">
        <v>13521</v>
      </c>
      <c r="J3315" s="4">
        <v>502415</v>
      </c>
    </row>
    <row r="3316" spans="1:10" x14ac:dyDescent="0.75">
      <c r="A3316" t="s">
        <v>151</v>
      </c>
      <c r="B3316">
        <v>2251</v>
      </c>
      <c r="C3316" t="s">
        <v>155</v>
      </c>
      <c r="D3316">
        <v>3220</v>
      </c>
      <c r="E3316" t="s">
        <v>370</v>
      </c>
      <c r="F3316" s="4">
        <v>218753</v>
      </c>
      <c r="G3316" s="4">
        <v>249262</v>
      </c>
      <c r="H3316" s="4">
        <v>98290</v>
      </c>
      <c r="I3316" s="4">
        <v>150972</v>
      </c>
      <c r="J3316" s="4">
        <v>468015</v>
      </c>
    </row>
    <row r="3317" spans="1:10" x14ac:dyDescent="0.75">
      <c r="A3317" t="s">
        <v>151</v>
      </c>
      <c r="B3317">
        <v>2251</v>
      </c>
      <c r="C3317" t="s">
        <v>155</v>
      </c>
      <c r="D3317">
        <v>4322</v>
      </c>
      <c r="E3317" t="s">
        <v>398</v>
      </c>
      <c r="F3317" s="4">
        <v>175381</v>
      </c>
      <c r="G3317" s="4">
        <v>269152</v>
      </c>
      <c r="H3317" s="4">
        <v>269002</v>
      </c>
      <c r="I3317" s="4">
        <v>150</v>
      </c>
      <c r="J3317" s="4">
        <v>444533</v>
      </c>
    </row>
    <row r="3318" spans="1:10" x14ac:dyDescent="0.75">
      <c r="A3318" t="s">
        <v>151</v>
      </c>
      <c r="B3318">
        <v>2251</v>
      </c>
      <c r="C3318" t="s">
        <v>155</v>
      </c>
      <c r="D3318">
        <v>3120</v>
      </c>
      <c r="E3318" t="s">
        <v>406</v>
      </c>
      <c r="F3318" s="4">
        <v>425988</v>
      </c>
      <c r="G3318" s="4">
        <v>22</v>
      </c>
      <c r="H3318" s="4">
        <v>0</v>
      </c>
      <c r="I3318" s="4">
        <v>22</v>
      </c>
      <c r="J3318" s="4">
        <v>426010</v>
      </c>
    </row>
    <row r="3319" spans="1:10" x14ac:dyDescent="0.75">
      <c r="A3319" t="s">
        <v>151</v>
      </c>
      <c r="B3319">
        <v>2251</v>
      </c>
      <c r="C3319" t="s">
        <v>155</v>
      </c>
      <c r="D3319">
        <v>4420</v>
      </c>
      <c r="E3319" t="s">
        <v>381</v>
      </c>
      <c r="F3319" s="4">
        <v>392142</v>
      </c>
      <c r="G3319" s="4">
        <v>10770</v>
      </c>
      <c r="H3319" s="4">
        <v>440</v>
      </c>
      <c r="I3319" s="4">
        <v>10330</v>
      </c>
      <c r="J3319" s="4">
        <v>402912</v>
      </c>
    </row>
    <row r="3320" spans="1:10" x14ac:dyDescent="0.75">
      <c r="A3320" t="s">
        <v>151</v>
      </c>
      <c r="B3320">
        <v>2251</v>
      </c>
      <c r="C3320" t="s">
        <v>155</v>
      </c>
      <c r="D3320">
        <v>7600</v>
      </c>
      <c r="E3320" t="s">
        <v>503</v>
      </c>
      <c r="F3320" s="4">
        <v>4678</v>
      </c>
      <c r="G3320" s="4">
        <v>386515</v>
      </c>
      <c r="H3320" s="4">
        <v>86537</v>
      </c>
      <c r="I3320" s="4">
        <v>299978</v>
      </c>
      <c r="J3320" s="4">
        <v>391193</v>
      </c>
    </row>
    <row r="3321" spans="1:10" x14ac:dyDescent="0.75">
      <c r="A3321" t="s">
        <v>151</v>
      </c>
      <c r="B3321">
        <v>2251</v>
      </c>
      <c r="C3321" t="s">
        <v>155</v>
      </c>
      <c r="D3321">
        <v>3230</v>
      </c>
      <c r="E3321" t="s">
        <v>434</v>
      </c>
      <c r="F3321" s="4">
        <v>55949</v>
      </c>
      <c r="G3321" s="4">
        <v>300936</v>
      </c>
      <c r="H3321" s="4">
        <v>266050</v>
      </c>
      <c r="I3321" s="4">
        <v>34886</v>
      </c>
      <c r="J3321" s="4">
        <v>356885</v>
      </c>
    </row>
    <row r="3322" spans="1:10" x14ac:dyDescent="0.75">
      <c r="A3322" t="s">
        <v>151</v>
      </c>
      <c r="B3322">
        <v>2251</v>
      </c>
      <c r="C3322" t="s">
        <v>155</v>
      </c>
      <c r="D3322">
        <v>4110</v>
      </c>
      <c r="E3322" t="s">
        <v>449</v>
      </c>
      <c r="F3322" s="4">
        <v>3538</v>
      </c>
      <c r="G3322" s="4">
        <v>345631</v>
      </c>
      <c r="H3322" s="4">
        <v>345114</v>
      </c>
      <c r="I3322" s="4">
        <v>517</v>
      </c>
      <c r="J3322" s="4">
        <v>349169</v>
      </c>
    </row>
    <row r="3323" spans="1:10" x14ac:dyDescent="0.75">
      <c r="A3323" t="s">
        <v>151</v>
      </c>
      <c r="B3323">
        <v>2251</v>
      </c>
      <c r="C3323" t="s">
        <v>155</v>
      </c>
      <c r="D3323">
        <v>6590</v>
      </c>
      <c r="E3323" t="s">
        <v>394</v>
      </c>
      <c r="F3323" s="4">
        <v>337800</v>
      </c>
      <c r="G3323" s="4">
        <v>7789</v>
      </c>
      <c r="H3323" s="4">
        <v>3806</v>
      </c>
      <c r="I3323" s="4">
        <v>3983</v>
      </c>
      <c r="J3323" s="4">
        <v>345589</v>
      </c>
    </row>
    <row r="3324" spans="1:10" x14ac:dyDescent="0.75">
      <c r="A3324" t="s">
        <v>151</v>
      </c>
      <c r="B3324">
        <v>2251</v>
      </c>
      <c r="C3324" t="s">
        <v>155</v>
      </c>
      <c r="D3324">
        <v>6871</v>
      </c>
      <c r="E3324" t="s">
        <v>491</v>
      </c>
      <c r="F3324" s="4">
        <v>0</v>
      </c>
      <c r="G3324" s="4">
        <v>344930</v>
      </c>
      <c r="H3324" s="4">
        <v>342418</v>
      </c>
      <c r="I3324" s="4">
        <v>2512</v>
      </c>
      <c r="J3324" s="4">
        <v>344930</v>
      </c>
    </row>
    <row r="3325" spans="1:10" x14ac:dyDescent="0.75">
      <c r="A3325" t="s">
        <v>151</v>
      </c>
      <c r="B3325">
        <v>2251</v>
      </c>
      <c r="C3325" t="s">
        <v>155</v>
      </c>
      <c r="D3325">
        <v>6811</v>
      </c>
      <c r="E3325" t="s">
        <v>480</v>
      </c>
      <c r="F3325" s="4">
        <v>0</v>
      </c>
      <c r="G3325" s="4">
        <v>328116</v>
      </c>
      <c r="H3325" s="4">
        <v>1435</v>
      </c>
      <c r="I3325" s="4">
        <v>326681</v>
      </c>
      <c r="J3325" s="4">
        <v>328116</v>
      </c>
    </row>
    <row r="3326" spans="1:10" x14ac:dyDescent="0.75">
      <c r="A3326" t="s">
        <v>151</v>
      </c>
      <c r="B3326">
        <v>2251</v>
      </c>
      <c r="C3326" t="s">
        <v>155</v>
      </c>
      <c r="D3326">
        <v>4782</v>
      </c>
      <c r="E3326" t="s">
        <v>414</v>
      </c>
      <c r="F3326" s="4">
        <v>153891</v>
      </c>
      <c r="G3326" s="4">
        <v>160717</v>
      </c>
      <c r="H3326" s="4">
        <v>129888</v>
      </c>
      <c r="I3326" s="4">
        <v>30829</v>
      </c>
      <c r="J3326" s="4">
        <v>314608</v>
      </c>
    </row>
    <row r="3327" spans="1:10" x14ac:dyDescent="0.75">
      <c r="A3327" t="s">
        <v>151</v>
      </c>
      <c r="B3327">
        <v>2251</v>
      </c>
      <c r="C3327" t="s">
        <v>155</v>
      </c>
      <c r="D3327">
        <v>3275</v>
      </c>
      <c r="E3327" t="s">
        <v>412</v>
      </c>
      <c r="F3327" s="4">
        <v>24066</v>
      </c>
      <c r="G3327" s="4">
        <v>275692</v>
      </c>
      <c r="H3327" s="4">
        <v>189194</v>
      </c>
      <c r="I3327" s="4">
        <v>86498</v>
      </c>
      <c r="J3327" s="4">
        <v>299758</v>
      </c>
    </row>
    <row r="3328" spans="1:10" x14ac:dyDescent="0.75">
      <c r="A3328" t="s">
        <v>151</v>
      </c>
      <c r="B3328">
        <v>2251</v>
      </c>
      <c r="C3328" t="s">
        <v>155</v>
      </c>
      <c r="D3328">
        <v>3299</v>
      </c>
      <c r="E3328" t="s">
        <v>448</v>
      </c>
      <c r="F3328" s="4">
        <v>1661</v>
      </c>
      <c r="G3328" s="4">
        <v>291029</v>
      </c>
      <c r="H3328" s="4">
        <v>21973</v>
      </c>
      <c r="I3328" s="4">
        <v>269056</v>
      </c>
      <c r="J3328" s="4">
        <v>292690</v>
      </c>
    </row>
    <row r="3329" spans="1:10" x14ac:dyDescent="0.75">
      <c r="A3329" t="s">
        <v>151</v>
      </c>
      <c r="B3329">
        <v>2251</v>
      </c>
      <c r="C3329" t="s">
        <v>155</v>
      </c>
      <c r="D3329">
        <v>7900</v>
      </c>
      <c r="E3329" t="s">
        <v>388</v>
      </c>
      <c r="F3329" s="4">
        <v>0</v>
      </c>
      <c r="G3329" s="4">
        <v>288136</v>
      </c>
      <c r="H3329" s="4">
        <v>229575</v>
      </c>
      <c r="I3329" s="4">
        <v>58561</v>
      </c>
      <c r="J3329" s="4">
        <v>288136</v>
      </c>
    </row>
    <row r="3330" spans="1:10" x14ac:dyDescent="0.75">
      <c r="A3330" t="s">
        <v>151</v>
      </c>
      <c r="B3330">
        <v>2251</v>
      </c>
      <c r="C3330" t="s">
        <v>155</v>
      </c>
      <c r="D3330">
        <v>3250</v>
      </c>
      <c r="E3330" t="s">
        <v>435</v>
      </c>
      <c r="F3330" s="4">
        <v>0</v>
      </c>
      <c r="G3330" s="4">
        <v>286148</v>
      </c>
      <c r="H3330" s="4">
        <v>75816</v>
      </c>
      <c r="I3330" s="4">
        <v>210332</v>
      </c>
      <c r="J3330" s="4">
        <v>286148</v>
      </c>
    </row>
    <row r="3331" spans="1:10" x14ac:dyDescent="0.75">
      <c r="A3331" t="s">
        <v>151</v>
      </c>
      <c r="B3331">
        <v>2251</v>
      </c>
      <c r="C3331" t="s">
        <v>155</v>
      </c>
      <c r="D3331">
        <v>3240</v>
      </c>
      <c r="E3331" t="s">
        <v>410</v>
      </c>
      <c r="F3331" s="4">
        <v>12246</v>
      </c>
      <c r="G3331" s="4">
        <v>266761</v>
      </c>
      <c r="H3331" s="4">
        <v>113285</v>
      </c>
      <c r="I3331" s="4">
        <v>153476</v>
      </c>
      <c r="J3331" s="4">
        <v>279007</v>
      </c>
    </row>
    <row r="3332" spans="1:10" x14ac:dyDescent="0.75">
      <c r="A3332" t="s">
        <v>151</v>
      </c>
      <c r="B3332">
        <v>2251</v>
      </c>
      <c r="C3332" t="s">
        <v>155</v>
      </c>
      <c r="D3332">
        <v>3273</v>
      </c>
      <c r="E3332" t="s">
        <v>411</v>
      </c>
      <c r="F3332" s="4">
        <v>278875</v>
      </c>
      <c r="G3332" s="4">
        <v>0</v>
      </c>
      <c r="H3332" s="4">
        <v>0</v>
      </c>
      <c r="I3332" s="4">
        <v>0</v>
      </c>
      <c r="J3332" s="4">
        <v>278875</v>
      </c>
    </row>
    <row r="3333" spans="1:10" x14ac:dyDescent="0.75">
      <c r="A3333" t="s">
        <v>151</v>
      </c>
      <c r="B3333">
        <v>2251</v>
      </c>
      <c r="C3333" t="s">
        <v>155</v>
      </c>
      <c r="D3333">
        <v>5390</v>
      </c>
      <c r="E3333" t="s">
        <v>418</v>
      </c>
      <c r="F3333" s="4">
        <v>213060</v>
      </c>
      <c r="G3333" s="4">
        <v>1522</v>
      </c>
      <c r="H3333" s="4">
        <v>1501</v>
      </c>
      <c r="I3333" s="4">
        <v>21</v>
      </c>
      <c r="J3333" s="4">
        <v>214582</v>
      </c>
    </row>
    <row r="3334" spans="1:10" x14ac:dyDescent="0.75">
      <c r="A3334" t="s">
        <v>151</v>
      </c>
      <c r="B3334">
        <v>2251</v>
      </c>
      <c r="C3334" t="s">
        <v>155</v>
      </c>
      <c r="D3334">
        <v>3219</v>
      </c>
      <c r="E3334" t="s">
        <v>378</v>
      </c>
      <c r="F3334" s="4">
        <v>72165</v>
      </c>
      <c r="G3334" s="4">
        <v>119563</v>
      </c>
      <c r="H3334" s="4">
        <v>32985</v>
      </c>
      <c r="I3334" s="4">
        <v>86578</v>
      </c>
      <c r="J3334" s="4">
        <v>191728</v>
      </c>
    </row>
    <row r="3335" spans="1:10" x14ac:dyDescent="0.75">
      <c r="A3335" t="s">
        <v>151</v>
      </c>
      <c r="B3335">
        <v>2251</v>
      </c>
      <c r="C3335" t="s">
        <v>155</v>
      </c>
      <c r="D3335">
        <v>4323</v>
      </c>
      <c r="E3335" t="s">
        <v>373</v>
      </c>
      <c r="F3335" s="4">
        <v>183012</v>
      </c>
      <c r="G3335" s="4">
        <v>267</v>
      </c>
      <c r="H3335" s="4">
        <v>246</v>
      </c>
      <c r="I3335" s="4">
        <v>21</v>
      </c>
      <c r="J3335" s="4">
        <v>183279</v>
      </c>
    </row>
    <row r="3336" spans="1:10" x14ac:dyDescent="0.75">
      <c r="A3336" t="s">
        <v>151</v>
      </c>
      <c r="B3336">
        <v>2251</v>
      </c>
      <c r="C3336" t="s">
        <v>155</v>
      </c>
      <c r="D3336">
        <v>4335</v>
      </c>
      <c r="E3336" t="s">
        <v>372</v>
      </c>
      <c r="F3336" s="4">
        <v>176938</v>
      </c>
      <c r="G3336" s="4">
        <v>0</v>
      </c>
      <c r="H3336" s="4">
        <v>0</v>
      </c>
      <c r="I3336" s="4">
        <v>0</v>
      </c>
      <c r="J3336" s="4">
        <v>176938</v>
      </c>
    </row>
    <row r="3337" spans="1:10" x14ac:dyDescent="0.75">
      <c r="A3337" t="s">
        <v>151</v>
      </c>
      <c r="B3337">
        <v>2251</v>
      </c>
      <c r="C3337" t="s">
        <v>155</v>
      </c>
      <c r="D3337">
        <v>6889</v>
      </c>
      <c r="E3337" t="s">
        <v>420</v>
      </c>
      <c r="F3337" s="4">
        <v>0</v>
      </c>
      <c r="G3337" s="4">
        <v>170223</v>
      </c>
      <c r="H3337" s="4">
        <v>106257</v>
      </c>
      <c r="I3337" s="4">
        <v>63966</v>
      </c>
      <c r="J3337" s="4">
        <v>170223</v>
      </c>
    </row>
    <row r="3338" spans="1:10" x14ac:dyDescent="0.75">
      <c r="A3338" t="s">
        <v>151</v>
      </c>
      <c r="B3338">
        <v>2251</v>
      </c>
      <c r="C3338" t="s">
        <v>155</v>
      </c>
      <c r="D3338">
        <v>5290</v>
      </c>
      <c r="E3338" t="s">
        <v>415</v>
      </c>
      <c r="F3338" s="4">
        <v>2468</v>
      </c>
      <c r="G3338" s="4">
        <v>165670</v>
      </c>
      <c r="H3338" s="4">
        <v>155730</v>
      </c>
      <c r="I3338" s="4">
        <v>9940</v>
      </c>
      <c r="J3338" s="4">
        <v>168138</v>
      </c>
    </row>
    <row r="3339" spans="1:10" x14ac:dyDescent="0.75">
      <c r="A3339" t="s">
        <v>151</v>
      </c>
      <c r="B3339">
        <v>2251</v>
      </c>
      <c r="C3339" t="s">
        <v>155</v>
      </c>
      <c r="D3339">
        <v>3212</v>
      </c>
      <c r="E3339" t="s">
        <v>409</v>
      </c>
      <c r="F3339" s="4">
        <v>131059</v>
      </c>
      <c r="G3339" s="4">
        <v>36660</v>
      </c>
      <c r="H3339" s="4">
        <v>36655</v>
      </c>
      <c r="I3339" s="4">
        <v>5</v>
      </c>
      <c r="J3339" s="4">
        <v>167719</v>
      </c>
    </row>
    <row r="3340" spans="1:10" x14ac:dyDescent="0.75">
      <c r="A3340" t="s">
        <v>151</v>
      </c>
      <c r="B3340">
        <v>2251</v>
      </c>
      <c r="C3340" t="s">
        <v>155</v>
      </c>
      <c r="D3340">
        <v>2221</v>
      </c>
      <c r="E3340" t="s">
        <v>374</v>
      </c>
      <c r="F3340" s="4">
        <v>61250</v>
      </c>
      <c r="G3340" s="4">
        <v>102138</v>
      </c>
      <c r="H3340" s="4">
        <v>571</v>
      </c>
      <c r="I3340" s="4">
        <v>101567</v>
      </c>
      <c r="J3340" s="4">
        <v>163388</v>
      </c>
    </row>
    <row r="3341" spans="1:10" x14ac:dyDescent="0.75">
      <c r="A3341" t="s">
        <v>151</v>
      </c>
      <c r="B3341">
        <v>2251</v>
      </c>
      <c r="C3341" t="s">
        <v>155</v>
      </c>
      <c r="D3341">
        <v>5370</v>
      </c>
      <c r="E3341" t="s">
        <v>466</v>
      </c>
      <c r="F3341" s="4">
        <v>76476</v>
      </c>
      <c r="G3341" s="4">
        <v>84854</v>
      </c>
      <c r="H3341" s="4">
        <v>83414</v>
      </c>
      <c r="I3341" s="4">
        <v>1440</v>
      </c>
      <c r="J3341" s="4">
        <v>161330</v>
      </c>
    </row>
    <row r="3342" spans="1:10" x14ac:dyDescent="0.75">
      <c r="A3342" t="s">
        <v>151</v>
      </c>
      <c r="B3342">
        <v>2251</v>
      </c>
      <c r="C3342" t="s">
        <v>155</v>
      </c>
      <c r="D3342">
        <v>4860</v>
      </c>
      <c r="E3342" t="s">
        <v>400</v>
      </c>
      <c r="F3342" s="4">
        <v>141588</v>
      </c>
      <c r="G3342" s="4">
        <v>11392</v>
      </c>
      <c r="H3342" s="4">
        <v>11372</v>
      </c>
      <c r="I3342" s="4">
        <v>20</v>
      </c>
      <c r="J3342" s="4">
        <v>152980</v>
      </c>
    </row>
    <row r="3343" spans="1:10" x14ac:dyDescent="0.75">
      <c r="A3343" t="s">
        <v>151</v>
      </c>
      <c r="B3343">
        <v>2251</v>
      </c>
      <c r="C3343" t="s">
        <v>155</v>
      </c>
      <c r="D3343">
        <v>5429</v>
      </c>
      <c r="E3343" t="s">
        <v>429</v>
      </c>
      <c r="F3343" s="4">
        <v>28105</v>
      </c>
      <c r="G3343" s="4">
        <v>119099</v>
      </c>
      <c r="H3343" s="4">
        <v>111172</v>
      </c>
      <c r="I3343" s="4">
        <v>7927</v>
      </c>
      <c r="J3343" s="4">
        <v>147204</v>
      </c>
    </row>
    <row r="3344" spans="1:10" x14ac:dyDescent="0.75">
      <c r="A3344" t="s">
        <v>151</v>
      </c>
      <c r="B3344">
        <v>2251</v>
      </c>
      <c r="C3344" t="s">
        <v>155</v>
      </c>
      <c r="D3344">
        <v>9900</v>
      </c>
      <c r="E3344" t="s">
        <v>389</v>
      </c>
      <c r="F3344" s="4">
        <v>0</v>
      </c>
      <c r="G3344" s="4">
        <v>145935</v>
      </c>
      <c r="H3344" s="4">
        <v>114437</v>
      </c>
      <c r="I3344" s="4">
        <v>31498</v>
      </c>
      <c r="J3344" s="4">
        <v>145935</v>
      </c>
    </row>
    <row r="3345" spans="1:10" x14ac:dyDescent="0.75">
      <c r="A3345" t="s">
        <v>151</v>
      </c>
      <c r="B3345">
        <v>2251</v>
      </c>
      <c r="C3345" t="s">
        <v>155</v>
      </c>
      <c r="D3345">
        <v>7110</v>
      </c>
      <c r="E3345" t="s">
        <v>371</v>
      </c>
      <c r="F3345" s="4">
        <v>11095</v>
      </c>
      <c r="G3345" s="4">
        <v>128225</v>
      </c>
      <c r="H3345" s="4">
        <v>107338</v>
      </c>
      <c r="I3345" s="4">
        <v>20887</v>
      </c>
      <c r="J3345" s="4">
        <v>139320</v>
      </c>
    </row>
    <row r="3346" spans="1:10" x14ac:dyDescent="0.75">
      <c r="A3346" t="s">
        <v>151</v>
      </c>
      <c r="B3346">
        <v>2251</v>
      </c>
      <c r="C3346" t="s">
        <v>155</v>
      </c>
      <c r="D3346">
        <v>5120</v>
      </c>
      <c r="E3346" t="s">
        <v>461</v>
      </c>
      <c r="F3346" s="4">
        <v>0</v>
      </c>
      <c r="G3346" s="4">
        <v>132100</v>
      </c>
      <c r="H3346" s="4">
        <v>10970</v>
      </c>
      <c r="I3346" s="4">
        <v>121130</v>
      </c>
      <c r="J3346" s="4">
        <v>132100</v>
      </c>
    </row>
    <row r="3347" spans="1:10" x14ac:dyDescent="0.75">
      <c r="A3347" t="s">
        <v>151</v>
      </c>
      <c r="B3347">
        <v>2251</v>
      </c>
      <c r="C3347" t="s">
        <v>155</v>
      </c>
      <c r="D3347">
        <v>5540</v>
      </c>
      <c r="E3347" t="s">
        <v>469</v>
      </c>
      <c r="F3347" s="4">
        <v>0</v>
      </c>
      <c r="G3347" s="4">
        <v>122364</v>
      </c>
      <c r="H3347" s="4">
        <v>121938</v>
      </c>
      <c r="I3347" s="4">
        <v>426</v>
      </c>
      <c r="J3347" s="4">
        <v>122364</v>
      </c>
    </row>
    <row r="3348" spans="1:10" x14ac:dyDescent="0.75">
      <c r="A3348" t="s">
        <v>151</v>
      </c>
      <c r="B3348">
        <v>2251</v>
      </c>
      <c r="C3348" t="s">
        <v>155</v>
      </c>
      <c r="D3348">
        <v>5421</v>
      </c>
      <c r="E3348" t="s">
        <v>467</v>
      </c>
      <c r="F3348" s="4">
        <v>0</v>
      </c>
      <c r="G3348" s="4">
        <v>121484</v>
      </c>
      <c r="H3348" s="4">
        <v>119132</v>
      </c>
      <c r="I3348" s="4">
        <v>2352</v>
      </c>
      <c r="J3348" s="4">
        <v>121484</v>
      </c>
    </row>
    <row r="3349" spans="1:10" x14ac:dyDescent="0.75">
      <c r="A3349" t="s">
        <v>151</v>
      </c>
      <c r="B3349">
        <v>2251</v>
      </c>
      <c r="C3349" t="s">
        <v>155</v>
      </c>
      <c r="D3349">
        <v>4410</v>
      </c>
      <c r="E3349" t="s">
        <v>399</v>
      </c>
      <c r="F3349" s="4">
        <v>104214</v>
      </c>
      <c r="G3349" s="4">
        <v>9352</v>
      </c>
      <c r="H3349" s="4">
        <v>9352</v>
      </c>
      <c r="I3349" s="4">
        <v>0</v>
      </c>
      <c r="J3349" s="4">
        <v>113566</v>
      </c>
    </row>
    <row r="3350" spans="1:10" x14ac:dyDescent="0.75">
      <c r="A3350" t="s">
        <v>151</v>
      </c>
      <c r="B3350">
        <v>2251</v>
      </c>
      <c r="C3350" t="s">
        <v>155</v>
      </c>
      <c r="D3350">
        <v>6865</v>
      </c>
      <c r="E3350" t="s">
        <v>490</v>
      </c>
      <c r="F3350" s="4">
        <v>34037</v>
      </c>
      <c r="G3350" s="4">
        <v>75541</v>
      </c>
      <c r="H3350" s="4">
        <v>75518</v>
      </c>
      <c r="I3350" s="4">
        <v>23</v>
      </c>
      <c r="J3350" s="4">
        <v>109578</v>
      </c>
    </row>
    <row r="3351" spans="1:10" x14ac:dyDescent="0.75">
      <c r="A3351" t="s">
        <v>151</v>
      </c>
      <c r="B3351">
        <v>2251</v>
      </c>
      <c r="C3351" t="s">
        <v>155</v>
      </c>
      <c r="D3351">
        <v>4327</v>
      </c>
      <c r="E3351" t="s">
        <v>454</v>
      </c>
      <c r="F3351" s="4">
        <v>0</v>
      </c>
      <c r="G3351" s="4">
        <v>107891</v>
      </c>
      <c r="H3351" s="4">
        <v>107891</v>
      </c>
      <c r="I3351" s="4">
        <v>0</v>
      </c>
      <c r="J3351" s="4">
        <v>107891</v>
      </c>
    </row>
    <row r="3352" spans="1:10" x14ac:dyDescent="0.75">
      <c r="A3352" t="s">
        <v>151</v>
      </c>
      <c r="B3352">
        <v>2251</v>
      </c>
      <c r="C3352" t="s">
        <v>155</v>
      </c>
      <c r="D3352">
        <v>3297</v>
      </c>
      <c r="E3352" t="s">
        <v>446</v>
      </c>
      <c r="F3352" s="4">
        <v>0</v>
      </c>
      <c r="G3352" s="4">
        <v>98544</v>
      </c>
      <c r="H3352" s="4">
        <v>18221</v>
      </c>
      <c r="I3352" s="4">
        <v>80323</v>
      </c>
      <c r="J3352" s="4">
        <v>98544</v>
      </c>
    </row>
    <row r="3353" spans="1:10" x14ac:dyDescent="0.75">
      <c r="A3353" t="s">
        <v>151</v>
      </c>
      <c r="B3353">
        <v>2251</v>
      </c>
      <c r="C3353" t="s">
        <v>155</v>
      </c>
      <c r="D3353">
        <v>6838</v>
      </c>
      <c r="E3353" t="s">
        <v>484</v>
      </c>
      <c r="F3353" s="4">
        <v>9390</v>
      </c>
      <c r="G3353" s="4">
        <v>88568</v>
      </c>
      <c r="H3353" s="4">
        <v>84162</v>
      </c>
      <c r="I3353" s="4">
        <v>4406</v>
      </c>
      <c r="J3353" s="4">
        <v>97958</v>
      </c>
    </row>
    <row r="3354" spans="1:10" x14ac:dyDescent="0.75">
      <c r="A3354" t="s">
        <v>151</v>
      </c>
      <c r="B3354">
        <v>2251</v>
      </c>
      <c r="C3354" t="s">
        <v>155</v>
      </c>
      <c r="D3354">
        <v>3279</v>
      </c>
      <c r="E3354" t="s">
        <v>422</v>
      </c>
      <c r="F3354" s="4">
        <v>27981</v>
      </c>
      <c r="G3354" s="4">
        <v>69711</v>
      </c>
      <c r="H3354" s="4">
        <v>67483</v>
      </c>
      <c r="I3354" s="4">
        <v>2228</v>
      </c>
      <c r="J3354" s="4">
        <v>97692</v>
      </c>
    </row>
    <row r="3355" spans="1:10" x14ac:dyDescent="0.75">
      <c r="A3355" t="s">
        <v>151</v>
      </c>
      <c r="B3355">
        <v>2251</v>
      </c>
      <c r="C3355" t="s">
        <v>155</v>
      </c>
      <c r="D3355">
        <v>7210</v>
      </c>
      <c r="E3355" t="s">
        <v>426</v>
      </c>
      <c r="F3355" s="4">
        <v>0</v>
      </c>
      <c r="G3355" s="4">
        <v>94139</v>
      </c>
      <c r="H3355" s="4">
        <v>60630</v>
      </c>
      <c r="I3355" s="4">
        <v>33509</v>
      </c>
      <c r="J3355" s="4">
        <v>94139</v>
      </c>
    </row>
    <row r="3356" spans="1:10" x14ac:dyDescent="0.75">
      <c r="A3356" t="s">
        <v>151</v>
      </c>
      <c r="B3356">
        <v>2251</v>
      </c>
      <c r="C3356" t="s">
        <v>155</v>
      </c>
      <c r="D3356">
        <v>4189</v>
      </c>
      <c r="E3356" t="s">
        <v>451</v>
      </c>
      <c r="F3356" s="4">
        <v>0</v>
      </c>
      <c r="G3356" s="4">
        <v>83225</v>
      </c>
      <c r="H3356" s="4">
        <v>78516</v>
      </c>
      <c r="I3356" s="4">
        <v>4709</v>
      </c>
      <c r="J3356" s="4">
        <v>83225</v>
      </c>
    </row>
    <row r="3357" spans="1:10" x14ac:dyDescent="0.75">
      <c r="A3357" t="s">
        <v>151</v>
      </c>
      <c r="B3357">
        <v>2251</v>
      </c>
      <c r="C3357" t="s">
        <v>155</v>
      </c>
      <c r="D3357">
        <v>4225</v>
      </c>
      <c r="E3357" t="s">
        <v>380</v>
      </c>
      <c r="F3357" s="4">
        <v>6349</v>
      </c>
      <c r="G3357" s="4">
        <v>75529</v>
      </c>
      <c r="H3357" s="4">
        <v>7519</v>
      </c>
      <c r="I3357" s="4">
        <v>68010</v>
      </c>
      <c r="J3357" s="4">
        <v>81878</v>
      </c>
    </row>
    <row r="3358" spans="1:10" x14ac:dyDescent="0.75">
      <c r="A3358" t="s">
        <v>151</v>
      </c>
      <c r="B3358">
        <v>2251</v>
      </c>
      <c r="C3358" t="s">
        <v>155</v>
      </c>
      <c r="D3358">
        <v>3260</v>
      </c>
      <c r="E3358" t="s">
        <v>436</v>
      </c>
      <c r="F3358" s="4">
        <v>47878</v>
      </c>
      <c r="G3358" s="4">
        <v>31787</v>
      </c>
      <c r="H3358" s="4">
        <v>18419</v>
      </c>
      <c r="I3358" s="4">
        <v>13368</v>
      </c>
      <c r="J3358" s="4">
        <v>79665</v>
      </c>
    </row>
    <row r="3359" spans="1:10" x14ac:dyDescent="0.75">
      <c r="A3359" t="s">
        <v>151</v>
      </c>
      <c r="B3359">
        <v>2251</v>
      </c>
      <c r="C3359" t="s">
        <v>155</v>
      </c>
      <c r="D3359">
        <v>3282</v>
      </c>
      <c r="E3359" t="s">
        <v>440</v>
      </c>
      <c r="F3359" s="4">
        <v>0</v>
      </c>
      <c r="G3359" s="4">
        <v>76400</v>
      </c>
      <c r="H3359" s="4">
        <v>740</v>
      </c>
      <c r="I3359" s="4">
        <v>75660</v>
      </c>
      <c r="J3359" s="4">
        <v>76400</v>
      </c>
    </row>
    <row r="3360" spans="1:10" x14ac:dyDescent="0.75">
      <c r="A3360" t="s">
        <v>151</v>
      </c>
      <c r="B3360">
        <v>2251</v>
      </c>
      <c r="C3360" t="s">
        <v>155</v>
      </c>
      <c r="D3360">
        <v>6654</v>
      </c>
      <c r="E3360" t="s">
        <v>419</v>
      </c>
      <c r="F3360" s="4">
        <v>9931</v>
      </c>
      <c r="G3360" s="4">
        <v>66322</v>
      </c>
      <c r="H3360" s="4">
        <v>28918</v>
      </c>
      <c r="I3360" s="4">
        <v>37404</v>
      </c>
      <c r="J3360" s="4">
        <v>76253</v>
      </c>
    </row>
    <row r="3361" spans="1:10" x14ac:dyDescent="0.75">
      <c r="A3361" t="s">
        <v>151</v>
      </c>
      <c r="B3361">
        <v>2251</v>
      </c>
      <c r="C3361" t="s">
        <v>155</v>
      </c>
      <c r="D3361">
        <v>6447</v>
      </c>
      <c r="E3361" t="s">
        <v>475</v>
      </c>
      <c r="F3361" s="4">
        <v>75816</v>
      </c>
      <c r="G3361" s="4">
        <v>0</v>
      </c>
      <c r="H3361" s="4">
        <v>0</v>
      </c>
      <c r="I3361" s="4">
        <v>0</v>
      </c>
      <c r="J3361" s="4">
        <v>75816</v>
      </c>
    </row>
    <row r="3362" spans="1:10" x14ac:dyDescent="0.75">
      <c r="A3362" t="s">
        <v>151</v>
      </c>
      <c r="B3362">
        <v>2251</v>
      </c>
      <c r="C3362" t="s">
        <v>155</v>
      </c>
      <c r="D3362">
        <v>3211</v>
      </c>
      <c r="E3362" t="s">
        <v>433</v>
      </c>
      <c r="F3362" s="4">
        <v>40379</v>
      </c>
      <c r="G3362" s="4">
        <v>33511</v>
      </c>
      <c r="H3362" s="4">
        <v>12761</v>
      </c>
      <c r="I3362" s="4">
        <v>20750</v>
      </c>
      <c r="J3362" s="4">
        <v>73890</v>
      </c>
    </row>
    <row r="3363" spans="1:10" x14ac:dyDescent="0.75">
      <c r="A3363" t="s">
        <v>151</v>
      </c>
      <c r="B3363">
        <v>2251</v>
      </c>
      <c r="C3363" t="s">
        <v>155</v>
      </c>
      <c r="D3363">
        <v>2990</v>
      </c>
      <c r="E3363" t="s">
        <v>432</v>
      </c>
      <c r="F3363" s="4">
        <v>25706</v>
      </c>
      <c r="G3363" s="4">
        <v>35320</v>
      </c>
      <c r="H3363" s="4">
        <v>35259</v>
      </c>
      <c r="I3363" s="4">
        <v>61</v>
      </c>
      <c r="J3363" s="4">
        <v>61026</v>
      </c>
    </row>
    <row r="3364" spans="1:10" x14ac:dyDescent="0.75">
      <c r="A3364" t="s">
        <v>151</v>
      </c>
      <c r="B3364">
        <v>2251</v>
      </c>
      <c r="C3364" t="s">
        <v>155</v>
      </c>
      <c r="D3364">
        <v>7500</v>
      </c>
      <c r="E3364" t="s">
        <v>427</v>
      </c>
      <c r="F3364" s="4">
        <v>0</v>
      </c>
      <c r="G3364" s="4">
        <v>60825</v>
      </c>
      <c r="H3364" s="4">
        <v>40713</v>
      </c>
      <c r="I3364" s="4">
        <v>20112</v>
      </c>
      <c r="J3364" s="4">
        <v>60825</v>
      </c>
    </row>
    <row r="3365" spans="1:10" x14ac:dyDescent="0.75">
      <c r="A3365" t="s">
        <v>151</v>
      </c>
      <c r="B3365">
        <v>2251</v>
      </c>
      <c r="C3365" t="s">
        <v>155</v>
      </c>
      <c r="D3365">
        <v>7120</v>
      </c>
      <c r="E3365" t="s">
        <v>499</v>
      </c>
      <c r="F3365" s="4">
        <v>1464</v>
      </c>
      <c r="G3365" s="4">
        <v>54426</v>
      </c>
      <c r="H3365" s="4">
        <v>47710</v>
      </c>
      <c r="I3365" s="4">
        <v>6716</v>
      </c>
      <c r="J3365" s="4">
        <v>55890</v>
      </c>
    </row>
    <row r="3366" spans="1:10" x14ac:dyDescent="0.75">
      <c r="A3366" t="s">
        <v>151</v>
      </c>
      <c r="B3366">
        <v>2251</v>
      </c>
      <c r="C3366" t="s">
        <v>155</v>
      </c>
      <c r="D3366">
        <v>6885</v>
      </c>
      <c r="E3366" t="s">
        <v>493</v>
      </c>
      <c r="F3366" s="4">
        <v>12852</v>
      </c>
      <c r="G3366" s="4">
        <v>38718</v>
      </c>
      <c r="H3366" s="4">
        <v>27630</v>
      </c>
      <c r="I3366" s="4">
        <v>11088</v>
      </c>
      <c r="J3366" s="4">
        <v>51570</v>
      </c>
    </row>
    <row r="3367" spans="1:10" x14ac:dyDescent="0.75">
      <c r="A3367" t="s">
        <v>151</v>
      </c>
      <c r="B3367">
        <v>2251</v>
      </c>
      <c r="C3367" t="s">
        <v>155</v>
      </c>
      <c r="D3367">
        <v>4630</v>
      </c>
      <c r="E3367" t="s">
        <v>456</v>
      </c>
      <c r="F3367" s="4">
        <v>27449</v>
      </c>
      <c r="G3367" s="4">
        <v>24110</v>
      </c>
      <c r="H3367" s="4">
        <v>0</v>
      </c>
      <c r="I3367" s="4">
        <v>24110</v>
      </c>
      <c r="J3367" s="4">
        <v>51559</v>
      </c>
    </row>
    <row r="3368" spans="1:10" x14ac:dyDescent="0.75">
      <c r="A3368" t="s">
        <v>151</v>
      </c>
      <c r="B3368">
        <v>2251</v>
      </c>
      <c r="C3368" t="s">
        <v>155</v>
      </c>
      <c r="D3368">
        <v>4680</v>
      </c>
      <c r="E3368" t="s">
        <v>459</v>
      </c>
      <c r="F3368" s="4">
        <v>0</v>
      </c>
      <c r="G3368" s="4">
        <v>37226</v>
      </c>
      <c r="H3368" s="4">
        <v>16628</v>
      </c>
      <c r="I3368" s="4">
        <v>20598</v>
      </c>
      <c r="J3368" s="4">
        <v>37226</v>
      </c>
    </row>
    <row r="3369" spans="1:10" x14ac:dyDescent="0.75">
      <c r="A3369" t="s">
        <v>151</v>
      </c>
      <c r="B3369">
        <v>2251</v>
      </c>
      <c r="C3369" t="s">
        <v>155</v>
      </c>
      <c r="D3369">
        <v>6893</v>
      </c>
      <c r="E3369" t="s">
        <v>496</v>
      </c>
      <c r="F3369" s="4">
        <v>0</v>
      </c>
      <c r="G3369" s="4">
        <v>32127</v>
      </c>
      <c r="H3369" s="4">
        <v>1899</v>
      </c>
      <c r="I3369" s="4">
        <v>30228</v>
      </c>
      <c r="J3369" s="4">
        <v>32127</v>
      </c>
    </row>
    <row r="3370" spans="1:10" x14ac:dyDescent="0.75">
      <c r="A3370" t="s">
        <v>151</v>
      </c>
      <c r="B3370">
        <v>2251</v>
      </c>
      <c r="C3370" t="s">
        <v>155</v>
      </c>
      <c r="D3370">
        <v>3291</v>
      </c>
      <c r="E3370" t="s">
        <v>444</v>
      </c>
      <c r="F3370" s="4">
        <v>0</v>
      </c>
      <c r="G3370" s="4">
        <v>29168</v>
      </c>
      <c r="H3370" s="4">
        <v>8504</v>
      </c>
      <c r="I3370" s="4">
        <v>20664</v>
      </c>
      <c r="J3370" s="4">
        <v>29168</v>
      </c>
    </row>
    <row r="3371" spans="1:10" x14ac:dyDescent="0.75">
      <c r="A3371" t="s">
        <v>151</v>
      </c>
      <c r="B3371">
        <v>2251</v>
      </c>
      <c r="C3371" t="s">
        <v>155</v>
      </c>
      <c r="D3371">
        <v>3292</v>
      </c>
      <c r="E3371" t="s">
        <v>413</v>
      </c>
      <c r="F3371" s="4">
        <v>1688</v>
      </c>
      <c r="G3371" s="4">
        <v>25820</v>
      </c>
      <c r="H3371" s="4">
        <v>18803</v>
      </c>
      <c r="I3371" s="4">
        <v>7017</v>
      </c>
      <c r="J3371" s="4">
        <v>27508</v>
      </c>
    </row>
    <row r="3372" spans="1:10" x14ac:dyDescent="0.75">
      <c r="A3372" t="s">
        <v>151</v>
      </c>
      <c r="B3372">
        <v>2251</v>
      </c>
      <c r="C3372" t="s">
        <v>155</v>
      </c>
      <c r="D3372">
        <v>3298</v>
      </c>
      <c r="E3372" t="s">
        <v>447</v>
      </c>
      <c r="F3372" s="4">
        <v>0</v>
      </c>
      <c r="G3372" s="4">
        <v>23250</v>
      </c>
      <c r="H3372" s="4">
        <v>164</v>
      </c>
      <c r="I3372" s="4">
        <v>23086</v>
      </c>
      <c r="J3372" s="4">
        <v>23250</v>
      </c>
    </row>
    <row r="3373" spans="1:10" x14ac:dyDescent="0.75">
      <c r="A3373" t="s">
        <v>151</v>
      </c>
      <c r="B3373">
        <v>2251</v>
      </c>
      <c r="C3373" t="s">
        <v>155</v>
      </c>
      <c r="D3373">
        <v>3285</v>
      </c>
      <c r="E3373" t="s">
        <v>443</v>
      </c>
      <c r="F3373" s="4">
        <v>0</v>
      </c>
      <c r="G3373" s="4">
        <v>21556</v>
      </c>
      <c r="H3373" s="4">
        <v>10591</v>
      </c>
      <c r="I3373" s="4">
        <v>10965</v>
      </c>
      <c r="J3373" s="4">
        <v>21556</v>
      </c>
    </row>
    <row r="3374" spans="1:10" x14ac:dyDescent="0.75">
      <c r="A3374" t="s">
        <v>151</v>
      </c>
      <c r="B3374">
        <v>2251</v>
      </c>
      <c r="C3374" t="s">
        <v>155</v>
      </c>
      <c r="D3374">
        <v>6839</v>
      </c>
      <c r="E3374" t="s">
        <v>485</v>
      </c>
      <c r="F3374" s="4">
        <v>0</v>
      </c>
      <c r="G3374" s="4">
        <v>21429</v>
      </c>
      <c r="H3374" s="4">
        <v>3255</v>
      </c>
      <c r="I3374" s="4">
        <v>18174</v>
      </c>
      <c r="J3374" s="4">
        <v>21429</v>
      </c>
    </row>
    <row r="3375" spans="1:10" x14ac:dyDescent="0.75">
      <c r="A3375" t="s">
        <v>151</v>
      </c>
      <c r="B3375">
        <v>2251</v>
      </c>
      <c r="C3375" t="s">
        <v>155</v>
      </c>
      <c r="D3375">
        <v>6747</v>
      </c>
      <c r="E3375" t="s">
        <v>478</v>
      </c>
      <c r="F3375" s="4">
        <v>3128</v>
      </c>
      <c r="G3375" s="4">
        <v>17046</v>
      </c>
      <c r="H3375" s="4">
        <v>5638</v>
      </c>
      <c r="I3375" s="4">
        <v>11408</v>
      </c>
      <c r="J3375" s="4">
        <v>20174</v>
      </c>
    </row>
    <row r="3376" spans="1:10" x14ac:dyDescent="0.75">
      <c r="A3376" t="s">
        <v>151</v>
      </c>
      <c r="B3376">
        <v>2251</v>
      </c>
      <c r="C3376" t="s">
        <v>155</v>
      </c>
      <c r="D3376">
        <v>2640</v>
      </c>
      <c r="E3376" t="s">
        <v>431</v>
      </c>
      <c r="F3376" s="4">
        <v>6082</v>
      </c>
      <c r="G3376" s="4">
        <v>11917</v>
      </c>
      <c r="H3376" s="4">
        <v>66</v>
      </c>
      <c r="I3376" s="4">
        <v>11851</v>
      </c>
      <c r="J3376" s="4">
        <v>17999</v>
      </c>
    </row>
    <row r="3377" spans="1:10" x14ac:dyDescent="0.75">
      <c r="A3377" t="s">
        <v>151</v>
      </c>
      <c r="B3377">
        <v>2251</v>
      </c>
      <c r="C3377" t="s">
        <v>155</v>
      </c>
      <c r="D3377">
        <v>7400</v>
      </c>
      <c r="E3377" t="s">
        <v>502</v>
      </c>
      <c r="F3377" s="4">
        <v>0</v>
      </c>
      <c r="G3377" s="4">
        <v>17361</v>
      </c>
      <c r="H3377" s="4">
        <v>16482</v>
      </c>
      <c r="I3377" s="4">
        <v>879</v>
      </c>
      <c r="J3377" s="4">
        <v>17361</v>
      </c>
    </row>
    <row r="3378" spans="1:10" x14ac:dyDescent="0.75">
      <c r="A3378" t="s">
        <v>151</v>
      </c>
      <c r="B3378">
        <v>2251</v>
      </c>
      <c r="C3378" t="s">
        <v>155</v>
      </c>
      <c r="D3378">
        <v>3272</v>
      </c>
      <c r="E3378" t="s">
        <v>504</v>
      </c>
      <c r="F3378" s="4">
        <v>6698</v>
      </c>
      <c r="G3378" s="4">
        <v>9913</v>
      </c>
      <c r="H3378" s="4">
        <v>9913</v>
      </c>
      <c r="I3378" s="4">
        <v>0</v>
      </c>
      <c r="J3378" s="4">
        <v>16611</v>
      </c>
    </row>
    <row r="3379" spans="1:10" x14ac:dyDescent="0.75">
      <c r="A3379" t="s">
        <v>151</v>
      </c>
      <c r="B3379">
        <v>2251</v>
      </c>
      <c r="C3379" t="s">
        <v>155</v>
      </c>
      <c r="D3379">
        <v>2410</v>
      </c>
      <c r="E3379" t="s">
        <v>430</v>
      </c>
      <c r="F3379" s="4">
        <v>0</v>
      </c>
      <c r="G3379" s="4">
        <v>16204</v>
      </c>
      <c r="H3379" s="4">
        <v>15684</v>
      </c>
      <c r="I3379" s="4">
        <v>520</v>
      </c>
      <c r="J3379" s="4">
        <v>16204</v>
      </c>
    </row>
    <row r="3380" spans="1:10" x14ac:dyDescent="0.75">
      <c r="A3380" t="s">
        <v>151</v>
      </c>
      <c r="B3380">
        <v>2251</v>
      </c>
      <c r="C3380" t="s">
        <v>155</v>
      </c>
      <c r="D3380">
        <v>3284</v>
      </c>
      <c r="E3380" t="s">
        <v>442</v>
      </c>
      <c r="F3380" s="4">
        <v>0</v>
      </c>
      <c r="G3380" s="4">
        <v>16003</v>
      </c>
      <c r="H3380" s="4">
        <v>14728</v>
      </c>
      <c r="I3380" s="4">
        <v>1275</v>
      </c>
      <c r="J3380" s="4">
        <v>16003</v>
      </c>
    </row>
    <row r="3381" spans="1:10" x14ac:dyDescent="0.75">
      <c r="A3381" t="s">
        <v>151</v>
      </c>
      <c r="B3381">
        <v>2251</v>
      </c>
      <c r="C3381" t="s">
        <v>155</v>
      </c>
      <c r="D3381">
        <v>5320</v>
      </c>
      <c r="E3381" t="s">
        <v>384</v>
      </c>
      <c r="F3381" s="4">
        <v>8132</v>
      </c>
      <c r="G3381" s="4">
        <v>5320</v>
      </c>
      <c r="H3381" s="4">
        <v>5320</v>
      </c>
      <c r="I3381" s="4">
        <v>0</v>
      </c>
      <c r="J3381" s="4">
        <v>13452</v>
      </c>
    </row>
    <row r="3382" spans="1:10" x14ac:dyDescent="0.75">
      <c r="A3382" t="s">
        <v>151</v>
      </c>
      <c r="B3382">
        <v>2251</v>
      </c>
      <c r="C3382" t="s">
        <v>155</v>
      </c>
      <c r="D3382">
        <v>4310</v>
      </c>
      <c r="E3382" t="s">
        <v>453</v>
      </c>
      <c r="F3382" s="4">
        <v>0</v>
      </c>
      <c r="G3382" s="4">
        <v>12338</v>
      </c>
      <c r="H3382" s="4">
        <v>11789</v>
      </c>
      <c r="I3382" s="4">
        <v>549</v>
      </c>
      <c r="J3382" s="4">
        <v>12338</v>
      </c>
    </row>
    <row r="3383" spans="1:10" x14ac:dyDescent="0.75">
      <c r="A3383" t="s">
        <v>151</v>
      </c>
      <c r="B3383">
        <v>2251</v>
      </c>
      <c r="C3383" t="s">
        <v>155</v>
      </c>
      <c r="D3383">
        <v>3283</v>
      </c>
      <c r="E3383" t="s">
        <v>441</v>
      </c>
      <c r="F3383" s="4">
        <v>0</v>
      </c>
      <c r="G3383" s="4">
        <v>11370</v>
      </c>
      <c r="H3383" s="4">
        <v>350</v>
      </c>
      <c r="I3383" s="4">
        <v>11020</v>
      </c>
      <c r="J3383" s="4">
        <v>11370</v>
      </c>
    </row>
    <row r="3384" spans="1:10" x14ac:dyDescent="0.75">
      <c r="A3384" t="s">
        <v>151</v>
      </c>
      <c r="B3384">
        <v>2251</v>
      </c>
      <c r="C3384" t="s">
        <v>155</v>
      </c>
      <c r="D3384">
        <v>5240</v>
      </c>
      <c r="E3384" t="s">
        <v>464</v>
      </c>
      <c r="F3384" s="4">
        <v>0</v>
      </c>
      <c r="G3384" s="4">
        <v>10068</v>
      </c>
      <c r="H3384" s="4">
        <v>4710</v>
      </c>
      <c r="I3384" s="4">
        <v>5358</v>
      </c>
      <c r="J3384" s="4">
        <v>10068</v>
      </c>
    </row>
    <row r="3385" spans="1:10" x14ac:dyDescent="0.75">
      <c r="A3385" t="s">
        <v>151</v>
      </c>
      <c r="B3385">
        <v>2251</v>
      </c>
      <c r="C3385" t="s">
        <v>155</v>
      </c>
      <c r="D3385">
        <v>4741</v>
      </c>
      <c r="E3385" t="s">
        <v>425</v>
      </c>
      <c r="F3385" s="4">
        <v>0</v>
      </c>
      <c r="G3385" s="4">
        <v>9491</v>
      </c>
      <c r="H3385" s="4">
        <v>9491</v>
      </c>
      <c r="I3385" s="4">
        <v>0</v>
      </c>
      <c r="J3385" s="4">
        <v>9491</v>
      </c>
    </row>
    <row r="3386" spans="1:10" x14ac:dyDescent="0.75">
      <c r="A3386" t="s">
        <v>151</v>
      </c>
      <c r="B3386">
        <v>2251</v>
      </c>
      <c r="C3386" t="s">
        <v>155</v>
      </c>
      <c r="D3386">
        <v>7230</v>
      </c>
      <c r="E3386" t="s">
        <v>387</v>
      </c>
      <c r="F3386" s="4">
        <v>0</v>
      </c>
      <c r="G3386" s="4">
        <v>9339</v>
      </c>
      <c r="H3386" s="4">
        <v>765</v>
      </c>
      <c r="I3386" s="4">
        <v>8574</v>
      </c>
      <c r="J3386" s="4">
        <v>9339</v>
      </c>
    </row>
    <row r="3387" spans="1:10" x14ac:dyDescent="0.75">
      <c r="A3387" t="s">
        <v>151</v>
      </c>
      <c r="B3387">
        <v>2251</v>
      </c>
      <c r="C3387" t="s">
        <v>155</v>
      </c>
      <c r="D3387">
        <v>5190</v>
      </c>
      <c r="E3387" t="s">
        <v>462</v>
      </c>
      <c r="F3387" s="4">
        <v>0</v>
      </c>
      <c r="G3387" s="4">
        <v>7144</v>
      </c>
      <c r="H3387" s="4">
        <v>4914</v>
      </c>
      <c r="I3387" s="4">
        <v>2230</v>
      </c>
      <c r="J3387" s="4">
        <v>7144</v>
      </c>
    </row>
    <row r="3388" spans="1:10" x14ac:dyDescent="0.75">
      <c r="A3388" t="s">
        <v>151</v>
      </c>
      <c r="B3388">
        <v>2251</v>
      </c>
      <c r="C3388" t="s">
        <v>155</v>
      </c>
      <c r="D3388">
        <v>6858</v>
      </c>
      <c r="E3388" t="s">
        <v>488</v>
      </c>
      <c r="F3388" s="4">
        <v>0</v>
      </c>
      <c r="G3388" s="4">
        <v>7009</v>
      </c>
      <c r="H3388" s="4">
        <v>6066</v>
      </c>
      <c r="I3388" s="4">
        <v>943</v>
      </c>
      <c r="J3388" s="4">
        <v>7009</v>
      </c>
    </row>
    <row r="3389" spans="1:10" x14ac:dyDescent="0.75">
      <c r="A3389" t="s">
        <v>151</v>
      </c>
      <c r="B3389">
        <v>2251</v>
      </c>
      <c r="C3389" t="s">
        <v>155</v>
      </c>
      <c r="D3389">
        <v>7220</v>
      </c>
      <c r="E3389" t="s">
        <v>500</v>
      </c>
      <c r="F3389" s="4">
        <v>0</v>
      </c>
      <c r="G3389" s="4">
        <v>6850</v>
      </c>
      <c r="H3389" s="4">
        <v>591</v>
      </c>
      <c r="I3389" s="4">
        <v>6259</v>
      </c>
      <c r="J3389" s="4">
        <v>6850</v>
      </c>
    </row>
    <row r="3390" spans="1:10" x14ac:dyDescent="0.75">
      <c r="A3390" t="s">
        <v>151</v>
      </c>
      <c r="B3390">
        <v>2251</v>
      </c>
      <c r="C3390" t="s">
        <v>155</v>
      </c>
      <c r="D3390">
        <v>6134</v>
      </c>
      <c r="E3390" t="s">
        <v>470</v>
      </c>
      <c r="F3390" s="4">
        <v>0</v>
      </c>
      <c r="G3390" s="4">
        <v>4991</v>
      </c>
      <c r="H3390" s="4">
        <v>4363</v>
      </c>
      <c r="I3390" s="4">
        <v>628</v>
      </c>
      <c r="J3390" s="4">
        <v>4991</v>
      </c>
    </row>
    <row r="3391" spans="1:10" x14ac:dyDescent="0.75">
      <c r="A3391" t="s">
        <v>151</v>
      </c>
      <c r="B3391">
        <v>2251</v>
      </c>
      <c r="C3391" t="s">
        <v>155</v>
      </c>
      <c r="D3391">
        <v>4150</v>
      </c>
      <c r="E3391" t="s">
        <v>450</v>
      </c>
      <c r="F3391" s="4">
        <v>0</v>
      </c>
      <c r="G3391" s="4">
        <v>3695</v>
      </c>
      <c r="H3391" s="4">
        <v>3695</v>
      </c>
      <c r="I3391" s="4">
        <v>0</v>
      </c>
      <c r="J3391" s="4">
        <v>3695</v>
      </c>
    </row>
    <row r="3392" spans="1:10" x14ac:dyDescent="0.75">
      <c r="A3392" t="s">
        <v>151</v>
      </c>
      <c r="B3392">
        <v>2251</v>
      </c>
      <c r="C3392" t="s">
        <v>155</v>
      </c>
      <c r="D3392">
        <v>5110</v>
      </c>
      <c r="E3392" t="s">
        <v>460</v>
      </c>
      <c r="F3392" s="4">
        <v>0</v>
      </c>
      <c r="G3392" s="4">
        <v>3607</v>
      </c>
      <c r="H3392" s="4">
        <v>3607</v>
      </c>
      <c r="I3392" s="4">
        <v>0</v>
      </c>
      <c r="J3392" s="4">
        <v>3607</v>
      </c>
    </row>
    <row r="3393" spans="1:10" x14ac:dyDescent="0.75">
      <c r="A3393" t="s">
        <v>151</v>
      </c>
      <c r="B3393">
        <v>2251</v>
      </c>
      <c r="C3393" t="s">
        <v>155</v>
      </c>
      <c r="D3393">
        <v>3271</v>
      </c>
      <c r="E3393" t="s">
        <v>437</v>
      </c>
      <c r="F3393" s="4">
        <v>0</v>
      </c>
      <c r="G3393" s="4">
        <v>3046</v>
      </c>
      <c r="H3393" s="4">
        <v>0</v>
      </c>
      <c r="I3393" s="4">
        <v>3046</v>
      </c>
      <c r="J3393" s="4">
        <v>3046</v>
      </c>
    </row>
    <row r="3394" spans="1:10" x14ac:dyDescent="0.75">
      <c r="A3394" t="s">
        <v>151</v>
      </c>
      <c r="B3394">
        <v>2251</v>
      </c>
      <c r="C3394" t="s">
        <v>155</v>
      </c>
      <c r="D3394">
        <v>6136</v>
      </c>
      <c r="E3394" t="s">
        <v>471</v>
      </c>
      <c r="F3394" s="4">
        <v>0</v>
      </c>
      <c r="G3394" s="4">
        <v>3034</v>
      </c>
      <c r="H3394" s="4">
        <v>2766</v>
      </c>
      <c r="I3394" s="4">
        <v>268</v>
      </c>
      <c r="J3394" s="4">
        <v>3034</v>
      </c>
    </row>
    <row r="3395" spans="1:10" x14ac:dyDescent="0.75">
      <c r="A3395" t="s">
        <v>151</v>
      </c>
      <c r="B3395">
        <v>2251</v>
      </c>
      <c r="C3395" t="s">
        <v>155</v>
      </c>
      <c r="D3395">
        <v>6857</v>
      </c>
      <c r="E3395" t="s">
        <v>487</v>
      </c>
      <c r="F3395" s="4">
        <v>0</v>
      </c>
      <c r="G3395" s="4">
        <v>2412</v>
      </c>
      <c r="H3395" s="4">
        <v>2127</v>
      </c>
      <c r="I3395" s="4">
        <v>285</v>
      </c>
      <c r="J3395" s="4">
        <v>2412</v>
      </c>
    </row>
    <row r="3396" spans="1:10" x14ac:dyDescent="0.75">
      <c r="A3396" t="s">
        <v>151</v>
      </c>
      <c r="B3396">
        <v>2251</v>
      </c>
      <c r="C3396" t="s">
        <v>155</v>
      </c>
      <c r="D3396">
        <v>6822</v>
      </c>
      <c r="E3396" t="s">
        <v>482</v>
      </c>
      <c r="F3396" s="4">
        <v>0</v>
      </c>
      <c r="G3396" s="4">
        <v>2154</v>
      </c>
      <c r="H3396" s="4">
        <v>103</v>
      </c>
      <c r="I3396" s="4">
        <v>2051</v>
      </c>
      <c r="J3396" s="4">
        <v>2154</v>
      </c>
    </row>
    <row r="3397" spans="1:10" x14ac:dyDescent="0.75">
      <c r="A3397" t="s">
        <v>151</v>
      </c>
      <c r="B3397">
        <v>2251</v>
      </c>
      <c r="C3397" t="s">
        <v>155</v>
      </c>
      <c r="D3397">
        <v>6856</v>
      </c>
      <c r="E3397" t="s">
        <v>486</v>
      </c>
      <c r="F3397" s="4">
        <v>0</v>
      </c>
      <c r="G3397" s="4">
        <v>2143</v>
      </c>
      <c r="H3397" s="4">
        <v>2075</v>
      </c>
      <c r="I3397" s="4">
        <v>68</v>
      </c>
      <c r="J3397" s="4">
        <v>2143</v>
      </c>
    </row>
    <row r="3398" spans="1:10" x14ac:dyDescent="0.75">
      <c r="A3398" t="s">
        <v>151</v>
      </c>
      <c r="B3398">
        <v>2251</v>
      </c>
      <c r="C3398" t="s">
        <v>155</v>
      </c>
      <c r="D3398">
        <v>6887</v>
      </c>
      <c r="E3398" t="s">
        <v>505</v>
      </c>
      <c r="F3398" s="4">
        <v>1352</v>
      </c>
      <c r="G3398" s="4">
        <v>0</v>
      </c>
      <c r="H3398" s="4">
        <v>0</v>
      </c>
      <c r="I3398" s="4">
        <v>0</v>
      </c>
      <c r="J3398" s="4">
        <v>1352</v>
      </c>
    </row>
    <row r="3399" spans="1:10" x14ac:dyDescent="0.75">
      <c r="A3399" t="s">
        <v>151</v>
      </c>
      <c r="B3399">
        <v>2251</v>
      </c>
      <c r="C3399" t="s">
        <v>155</v>
      </c>
      <c r="D3399">
        <v>4170</v>
      </c>
      <c r="E3399" t="s">
        <v>424</v>
      </c>
      <c r="F3399" s="4">
        <v>0</v>
      </c>
      <c r="G3399" s="4">
        <v>1114</v>
      </c>
      <c r="H3399" s="4">
        <v>278</v>
      </c>
      <c r="I3399" s="4">
        <v>836</v>
      </c>
      <c r="J3399" s="4">
        <v>1114</v>
      </c>
    </row>
    <row r="3400" spans="1:10" x14ac:dyDescent="0.75">
      <c r="A3400" t="s">
        <v>151</v>
      </c>
      <c r="B3400">
        <v>2251</v>
      </c>
      <c r="C3400" t="s">
        <v>155</v>
      </c>
      <c r="D3400">
        <v>6899</v>
      </c>
      <c r="E3400" t="s">
        <v>498</v>
      </c>
      <c r="F3400" s="4">
        <v>0</v>
      </c>
      <c r="G3400" s="4">
        <v>1099</v>
      </c>
      <c r="H3400" s="4">
        <v>324</v>
      </c>
      <c r="I3400" s="4">
        <v>775</v>
      </c>
      <c r="J3400" s="4">
        <v>1099</v>
      </c>
    </row>
    <row r="3401" spans="1:10" x14ac:dyDescent="0.75">
      <c r="A3401" t="s">
        <v>151</v>
      </c>
      <c r="B3401">
        <v>2251</v>
      </c>
      <c r="C3401" t="s">
        <v>155</v>
      </c>
      <c r="D3401">
        <v>6817</v>
      </c>
      <c r="E3401" t="s">
        <v>481</v>
      </c>
      <c r="F3401" s="4">
        <v>0</v>
      </c>
      <c r="G3401" s="4">
        <v>568</v>
      </c>
      <c r="H3401" s="4">
        <v>253</v>
      </c>
      <c r="I3401" s="4">
        <v>315</v>
      </c>
      <c r="J3401" s="4">
        <v>568</v>
      </c>
    </row>
    <row r="3402" spans="1:10" x14ac:dyDescent="0.75">
      <c r="A3402" t="s">
        <v>151</v>
      </c>
      <c r="B3402">
        <v>2251</v>
      </c>
      <c r="C3402" t="s">
        <v>155</v>
      </c>
      <c r="D3402">
        <v>3293</v>
      </c>
      <c r="E3402" t="s">
        <v>445</v>
      </c>
      <c r="F3402" s="4">
        <v>0</v>
      </c>
      <c r="G3402" s="4">
        <v>539</v>
      </c>
      <c r="H3402" s="4">
        <v>113</v>
      </c>
      <c r="I3402" s="4">
        <v>426</v>
      </c>
      <c r="J3402" s="4">
        <v>539</v>
      </c>
    </row>
    <row r="3403" spans="1:10" x14ac:dyDescent="0.75">
      <c r="A3403" t="s">
        <v>151</v>
      </c>
      <c r="B3403">
        <v>2251</v>
      </c>
      <c r="C3403" t="s">
        <v>155</v>
      </c>
      <c r="D3403">
        <v>4190</v>
      </c>
      <c r="E3403" t="s">
        <v>452</v>
      </c>
      <c r="F3403" s="4">
        <v>0</v>
      </c>
      <c r="G3403" s="4">
        <v>523</v>
      </c>
      <c r="H3403" s="4">
        <v>385</v>
      </c>
      <c r="I3403" s="4">
        <v>138</v>
      </c>
      <c r="J3403" s="4">
        <v>523</v>
      </c>
    </row>
    <row r="3404" spans="1:10" x14ac:dyDescent="0.75">
      <c r="A3404" t="s">
        <v>151</v>
      </c>
      <c r="B3404">
        <v>2251</v>
      </c>
      <c r="C3404" t="s">
        <v>155</v>
      </c>
      <c r="D3404">
        <v>6891</v>
      </c>
      <c r="E3404" t="s">
        <v>495</v>
      </c>
      <c r="F3404" s="4">
        <v>0</v>
      </c>
      <c r="G3404" s="4">
        <v>382</v>
      </c>
      <c r="H3404" s="4">
        <v>104</v>
      </c>
      <c r="I3404" s="4">
        <v>278</v>
      </c>
      <c r="J3404" s="4">
        <v>382</v>
      </c>
    </row>
    <row r="3405" spans="1:10" x14ac:dyDescent="0.75">
      <c r="A3405" t="s">
        <v>151</v>
      </c>
      <c r="B3405">
        <v>2251</v>
      </c>
      <c r="C3405" t="s">
        <v>155</v>
      </c>
      <c r="D3405">
        <v>6888</v>
      </c>
      <c r="E3405" t="s">
        <v>494</v>
      </c>
      <c r="F3405" s="4">
        <v>0</v>
      </c>
      <c r="G3405" s="4">
        <v>376</v>
      </c>
      <c r="H3405" s="4">
        <v>348</v>
      </c>
      <c r="I3405" s="4">
        <v>28</v>
      </c>
      <c r="J3405" s="4">
        <v>376</v>
      </c>
    </row>
    <row r="3406" spans="1:10" x14ac:dyDescent="0.75">
      <c r="A3406" t="s">
        <v>151</v>
      </c>
      <c r="B3406">
        <v>2251</v>
      </c>
      <c r="C3406" t="s">
        <v>155</v>
      </c>
      <c r="D3406">
        <v>6894</v>
      </c>
      <c r="E3406" t="s">
        <v>497</v>
      </c>
      <c r="F3406" s="4">
        <v>0</v>
      </c>
      <c r="G3406" s="4">
        <v>279</v>
      </c>
      <c r="H3406" s="4">
        <v>200</v>
      </c>
      <c r="I3406" s="4">
        <v>79</v>
      </c>
      <c r="J3406" s="4">
        <v>279</v>
      </c>
    </row>
    <row r="3407" spans="1:10" x14ac:dyDescent="0.75">
      <c r="A3407" t="s">
        <v>151</v>
      </c>
      <c r="B3407">
        <v>2251</v>
      </c>
      <c r="C3407" t="s">
        <v>155</v>
      </c>
      <c r="D3407">
        <v>6835</v>
      </c>
      <c r="E3407" t="s">
        <v>483</v>
      </c>
      <c r="F3407" s="4">
        <v>0</v>
      </c>
      <c r="G3407" s="4">
        <v>266</v>
      </c>
      <c r="H3407" s="4">
        <v>245</v>
      </c>
      <c r="I3407" s="4">
        <v>21</v>
      </c>
      <c r="J3407" s="4">
        <v>266</v>
      </c>
    </row>
    <row r="3408" spans="1:10" x14ac:dyDescent="0.75">
      <c r="A3408" t="s">
        <v>151</v>
      </c>
      <c r="B3408">
        <v>2251</v>
      </c>
      <c r="C3408" t="s">
        <v>155</v>
      </c>
      <c r="D3408">
        <v>4161</v>
      </c>
      <c r="E3408" t="s">
        <v>421</v>
      </c>
      <c r="F3408" s="4">
        <v>0</v>
      </c>
      <c r="G3408" s="4">
        <v>198</v>
      </c>
      <c r="H3408" s="4">
        <v>106</v>
      </c>
      <c r="I3408" s="4">
        <v>92</v>
      </c>
      <c r="J3408" s="4">
        <v>198</v>
      </c>
    </row>
    <row r="3409" spans="1:10" x14ac:dyDescent="0.75">
      <c r="A3409" t="s">
        <v>151</v>
      </c>
      <c r="B3409">
        <v>2251</v>
      </c>
      <c r="C3409" t="s">
        <v>155</v>
      </c>
      <c r="D3409">
        <v>6872</v>
      </c>
      <c r="E3409" t="s">
        <v>492</v>
      </c>
      <c r="F3409" s="4">
        <v>0</v>
      </c>
      <c r="G3409" s="4">
        <v>136</v>
      </c>
      <c r="H3409" s="4">
        <v>13</v>
      </c>
      <c r="I3409" s="4">
        <v>123</v>
      </c>
      <c r="J3409" s="4">
        <v>136</v>
      </c>
    </row>
    <row r="3410" spans="1:10" x14ac:dyDescent="0.75">
      <c r="A3410" t="s">
        <v>151</v>
      </c>
      <c r="B3410">
        <v>2251</v>
      </c>
      <c r="C3410" t="s">
        <v>155</v>
      </c>
      <c r="D3410">
        <v>7300</v>
      </c>
      <c r="E3410" t="s">
        <v>501</v>
      </c>
      <c r="F3410" s="4">
        <v>0</v>
      </c>
      <c r="G3410" s="4">
        <v>120</v>
      </c>
      <c r="H3410" s="4">
        <v>120</v>
      </c>
      <c r="I3410" s="4">
        <v>0</v>
      </c>
      <c r="J3410" s="4">
        <v>120</v>
      </c>
    </row>
    <row r="3411" spans="1:10" x14ac:dyDescent="0.75">
      <c r="A3411" t="s">
        <v>151</v>
      </c>
      <c r="B3411">
        <v>2251</v>
      </c>
      <c r="C3411" t="s">
        <v>155</v>
      </c>
      <c r="D3411">
        <v>6746</v>
      </c>
      <c r="E3411" t="s">
        <v>477</v>
      </c>
      <c r="F3411" s="4">
        <v>0</v>
      </c>
      <c r="G3411" s="4">
        <v>106</v>
      </c>
      <c r="H3411" s="4">
        <v>106</v>
      </c>
      <c r="I3411" s="4">
        <v>0</v>
      </c>
      <c r="J3411" s="4">
        <v>106</v>
      </c>
    </row>
    <row r="3412" spans="1:10" x14ac:dyDescent="0.75">
      <c r="A3412" t="s">
        <v>151</v>
      </c>
      <c r="B3412">
        <v>2251</v>
      </c>
      <c r="C3412" t="s">
        <v>155</v>
      </c>
      <c r="D3412">
        <v>3281</v>
      </c>
      <c r="E3412" t="s">
        <v>439</v>
      </c>
      <c r="F3412" s="4">
        <v>0</v>
      </c>
      <c r="G3412" s="4">
        <v>69</v>
      </c>
      <c r="H3412" s="4">
        <v>69</v>
      </c>
      <c r="I3412" s="4">
        <v>0</v>
      </c>
      <c r="J3412" s="4">
        <v>69</v>
      </c>
    </row>
    <row r="3413" spans="1:10" x14ac:dyDescent="0.75">
      <c r="A3413" t="s">
        <v>151</v>
      </c>
      <c r="B3413">
        <v>2251</v>
      </c>
      <c r="C3413" t="s">
        <v>155</v>
      </c>
      <c r="D3413">
        <v>4515</v>
      </c>
      <c r="E3413" t="s">
        <v>455</v>
      </c>
      <c r="F3413" s="4">
        <v>0</v>
      </c>
      <c r="G3413" s="4">
        <v>60</v>
      </c>
      <c r="H3413" s="4">
        <v>14</v>
      </c>
      <c r="I3413" s="4">
        <v>46</v>
      </c>
      <c r="J3413" s="4">
        <v>60</v>
      </c>
    </row>
    <row r="3414" spans="1:10" x14ac:dyDescent="0.75">
      <c r="A3414" t="s">
        <v>151</v>
      </c>
      <c r="B3414">
        <v>2251</v>
      </c>
      <c r="C3414" t="s">
        <v>155</v>
      </c>
      <c r="D3414">
        <v>6781</v>
      </c>
      <c r="E3414" t="s">
        <v>479</v>
      </c>
      <c r="F3414" s="4">
        <v>0</v>
      </c>
      <c r="G3414" s="4">
        <v>34</v>
      </c>
      <c r="H3414" s="4">
        <v>10</v>
      </c>
      <c r="I3414" s="4">
        <v>24</v>
      </c>
      <c r="J3414" s="4">
        <v>34</v>
      </c>
    </row>
    <row r="3415" spans="1:10" x14ac:dyDescent="0.75">
      <c r="A3415" t="s">
        <v>151</v>
      </c>
      <c r="B3415">
        <v>2251</v>
      </c>
      <c r="C3415" t="s">
        <v>155</v>
      </c>
      <c r="D3415">
        <v>5210</v>
      </c>
      <c r="E3415" t="s">
        <v>463</v>
      </c>
      <c r="F3415" s="4">
        <v>0</v>
      </c>
      <c r="G3415" s="4">
        <v>3</v>
      </c>
      <c r="H3415" s="4">
        <v>3</v>
      </c>
      <c r="I3415" s="4">
        <v>0</v>
      </c>
      <c r="J3415" s="4">
        <v>3</v>
      </c>
    </row>
    <row r="3416" spans="1:10" x14ac:dyDescent="0.75">
      <c r="A3416" t="s">
        <v>151</v>
      </c>
      <c r="B3416">
        <v>398</v>
      </c>
      <c r="C3416" t="s">
        <v>154</v>
      </c>
      <c r="D3416">
        <v>2211</v>
      </c>
      <c r="E3416" t="s">
        <v>367</v>
      </c>
      <c r="F3416" s="4">
        <v>12695630</v>
      </c>
      <c r="G3416" s="4">
        <v>11243135</v>
      </c>
      <c r="H3416" s="4">
        <v>11144694</v>
      </c>
      <c r="I3416" s="4">
        <v>98441</v>
      </c>
      <c r="J3416" s="4">
        <v>23938765</v>
      </c>
    </row>
    <row r="3417" spans="1:10" x14ac:dyDescent="0.75">
      <c r="A3417" t="s">
        <v>151</v>
      </c>
      <c r="B3417">
        <v>398</v>
      </c>
      <c r="C3417" t="s">
        <v>154</v>
      </c>
      <c r="D3417">
        <v>2330</v>
      </c>
      <c r="E3417" t="s">
        <v>368</v>
      </c>
      <c r="F3417" s="4">
        <v>8322963</v>
      </c>
      <c r="G3417" s="4">
        <v>8530855</v>
      </c>
      <c r="H3417" s="4">
        <v>7598849</v>
      </c>
      <c r="I3417" s="4">
        <v>932006</v>
      </c>
      <c r="J3417" s="4">
        <v>16853818</v>
      </c>
    </row>
    <row r="3418" spans="1:10" x14ac:dyDescent="0.75">
      <c r="A3418" t="s">
        <v>151</v>
      </c>
      <c r="B3418">
        <v>398</v>
      </c>
      <c r="C3418" t="s">
        <v>154</v>
      </c>
      <c r="D3418">
        <v>2100</v>
      </c>
      <c r="E3418" t="s">
        <v>403</v>
      </c>
      <c r="F3418" s="4">
        <v>20234</v>
      </c>
      <c r="G3418" s="4">
        <v>12752220</v>
      </c>
      <c r="H3418" s="4">
        <v>12722057</v>
      </c>
      <c r="I3418" s="4">
        <v>30163</v>
      </c>
      <c r="J3418" s="4">
        <v>12772454</v>
      </c>
    </row>
    <row r="3419" spans="1:10" x14ac:dyDescent="0.75">
      <c r="A3419" t="s">
        <v>151</v>
      </c>
      <c r="B3419">
        <v>398</v>
      </c>
      <c r="C3419" t="s">
        <v>154</v>
      </c>
      <c r="D3419">
        <v>2340</v>
      </c>
      <c r="E3419" t="s">
        <v>369</v>
      </c>
      <c r="F3419" s="4">
        <v>8349484</v>
      </c>
      <c r="G3419" s="4">
        <v>2275217</v>
      </c>
      <c r="H3419" s="4">
        <v>2192265</v>
      </c>
      <c r="I3419" s="4">
        <v>82952</v>
      </c>
      <c r="J3419" s="4">
        <v>10624701</v>
      </c>
    </row>
    <row r="3420" spans="1:10" x14ac:dyDescent="0.75">
      <c r="A3420" t="s">
        <v>151</v>
      </c>
      <c r="B3420">
        <v>398</v>
      </c>
      <c r="C3420" t="s">
        <v>154</v>
      </c>
      <c r="D3420">
        <v>7900</v>
      </c>
      <c r="E3420" t="s">
        <v>388</v>
      </c>
      <c r="F3420" s="4">
        <v>352362</v>
      </c>
      <c r="G3420" s="4">
        <v>6321395</v>
      </c>
      <c r="H3420" s="4">
        <v>5506370</v>
      </c>
      <c r="I3420" s="4">
        <v>815025</v>
      </c>
      <c r="J3420" s="4">
        <v>6673757</v>
      </c>
    </row>
    <row r="3421" spans="1:10" x14ac:dyDescent="0.75">
      <c r="A3421" t="s">
        <v>151</v>
      </c>
      <c r="B3421">
        <v>398</v>
      </c>
      <c r="C3421" t="s">
        <v>154</v>
      </c>
      <c r="D3421">
        <v>4331</v>
      </c>
      <c r="E3421" t="s">
        <v>390</v>
      </c>
      <c r="F3421" s="4">
        <v>3330280</v>
      </c>
      <c r="G3421" s="4">
        <v>308988</v>
      </c>
      <c r="H3421" s="4">
        <v>302729</v>
      </c>
      <c r="I3421" s="4">
        <v>6259</v>
      </c>
      <c r="J3421" s="4">
        <v>3639268</v>
      </c>
    </row>
    <row r="3422" spans="1:10" x14ac:dyDescent="0.75">
      <c r="A3422" t="s">
        <v>151</v>
      </c>
      <c r="B3422">
        <v>398</v>
      </c>
      <c r="C3422" t="s">
        <v>154</v>
      </c>
      <c r="D3422">
        <v>7500</v>
      </c>
      <c r="E3422" t="s">
        <v>427</v>
      </c>
      <c r="F3422" s="4">
        <v>0</v>
      </c>
      <c r="G3422" s="4">
        <v>3582709</v>
      </c>
      <c r="H3422" s="4">
        <v>3197195</v>
      </c>
      <c r="I3422" s="4">
        <v>385514</v>
      </c>
      <c r="J3422" s="4">
        <v>3582709</v>
      </c>
    </row>
    <row r="3423" spans="1:10" x14ac:dyDescent="0.75">
      <c r="A3423" t="s">
        <v>151</v>
      </c>
      <c r="B3423">
        <v>398</v>
      </c>
      <c r="C3423" t="s">
        <v>154</v>
      </c>
      <c r="D3423">
        <v>7210</v>
      </c>
      <c r="E3423" t="s">
        <v>426</v>
      </c>
      <c r="F3423" s="4">
        <v>0</v>
      </c>
      <c r="G3423" s="4">
        <v>3224397</v>
      </c>
      <c r="H3423" s="4">
        <v>1959890</v>
      </c>
      <c r="I3423" s="4">
        <v>1264507</v>
      </c>
      <c r="J3423" s="4">
        <v>3224397</v>
      </c>
    </row>
    <row r="3424" spans="1:10" x14ac:dyDescent="0.75">
      <c r="A3424" t="s">
        <v>151</v>
      </c>
      <c r="B3424">
        <v>398</v>
      </c>
      <c r="C3424" t="s">
        <v>154</v>
      </c>
      <c r="D3424">
        <v>4420</v>
      </c>
      <c r="E3424" t="s">
        <v>381</v>
      </c>
      <c r="F3424" s="4">
        <v>1017054</v>
      </c>
      <c r="G3424" s="4">
        <v>2016281</v>
      </c>
      <c r="H3424" s="4">
        <v>10124</v>
      </c>
      <c r="I3424" s="4">
        <v>2006157</v>
      </c>
      <c r="J3424" s="4">
        <v>3033335</v>
      </c>
    </row>
    <row r="3425" spans="1:10" x14ac:dyDescent="0.75">
      <c r="A3425" t="s">
        <v>151</v>
      </c>
      <c r="B3425">
        <v>398</v>
      </c>
      <c r="C3425" t="s">
        <v>154</v>
      </c>
      <c r="D3425">
        <v>2221</v>
      </c>
      <c r="E3425" t="s">
        <v>374</v>
      </c>
      <c r="F3425" s="4">
        <v>1393208</v>
      </c>
      <c r="G3425" s="4">
        <v>1624336</v>
      </c>
      <c r="H3425" s="4">
        <v>1624313</v>
      </c>
      <c r="I3425" s="4">
        <v>23</v>
      </c>
      <c r="J3425" s="4">
        <v>3017544</v>
      </c>
    </row>
    <row r="3426" spans="1:10" x14ac:dyDescent="0.75">
      <c r="A3426" t="s">
        <v>151</v>
      </c>
      <c r="B3426">
        <v>398</v>
      </c>
      <c r="C3426" t="s">
        <v>154</v>
      </c>
      <c r="D3426">
        <v>3220</v>
      </c>
      <c r="E3426" t="s">
        <v>370</v>
      </c>
      <c r="F3426" s="4">
        <v>2294993</v>
      </c>
      <c r="G3426" s="4">
        <v>656455</v>
      </c>
      <c r="H3426" s="4">
        <v>607626</v>
      </c>
      <c r="I3426" s="4">
        <v>48829</v>
      </c>
      <c r="J3426" s="4">
        <v>2951448</v>
      </c>
    </row>
    <row r="3427" spans="1:10" x14ac:dyDescent="0.75">
      <c r="A3427" t="s">
        <v>151</v>
      </c>
      <c r="B3427">
        <v>398</v>
      </c>
      <c r="C3427" t="s">
        <v>154</v>
      </c>
      <c r="D3427">
        <v>2429</v>
      </c>
      <c r="E3427" t="s">
        <v>375</v>
      </c>
      <c r="F3427" s="4">
        <v>1257770</v>
      </c>
      <c r="G3427" s="4">
        <v>1659827</v>
      </c>
      <c r="H3427" s="4">
        <v>1651601</v>
      </c>
      <c r="I3427" s="4">
        <v>8226</v>
      </c>
      <c r="J3427" s="4">
        <v>2917597</v>
      </c>
    </row>
    <row r="3428" spans="1:10" x14ac:dyDescent="0.75">
      <c r="A3428" t="s">
        <v>151</v>
      </c>
      <c r="B3428">
        <v>398</v>
      </c>
      <c r="C3428" t="s">
        <v>154</v>
      </c>
      <c r="D3428">
        <v>4225</v>
      </c>
      <c r="E3428" t="s">
        <v>380</v>
      </c>
      <c r="F3428" s="4">
        <v>0</v>
      </c>
      <c r="G3428" s="4">
        <v>2868094</v>
      </c>
      <c r="H3428" s="4">
        <v>55696</v>
      </c>
      <c r="I3428" s="4">
        <v>2812398</v>
      </c>
      <c r="J3428" s="4">
        <v>2868094</v>
      </c>
    </row>
    <row r="3429" spans="1:10" x14ac:dyDescent="0.75">
      <c r="A3429" t="s">
        <v>151</v>
      </c>
      <c r="B3429">
        <v>398</v>
      </c>
      <c r="C3429" t="s">
        <v>154</v>
      </c>
      <c r="D3429">
        <v>7600</v>
      </c>
      <c r="E3429" t="s">
        <v>503</v>
      </c>
      <c r="F3429" s="4">
        <v>0</v>
      </c>
      <c r="G3429" s="4">
        <v>2838074</v>
      </c>
      <c r="H3429" s="4">
        <v>2535104</v>
      </c>
      <c r="I3429" s="4">
        <v>302970</v>
      </c>
      <c r="J3429" s="4">
        <v>2838074</v>
      </c>
    </row>
    <row r="3430" spans="1:10" x14ac:dyDescent="0.75">
      <c r="A3430" t="s">
        <v>151</v>
      </c>
      <c r="B3430">
        <v>398</v>
      </c>
      <c r="C3430" t="s">
        <v>154</v>
      </c>
      <c r="D3430">
        <v>6885</v>
      </c>
      <c r="E3430" t="s">
        <v>493</v>
      </c>
      <c r="F3430" s="4">
        <v>0</v>
      </c>
      <c r="G3430" s="4">
        <v>2388420</v>
      </c>
      <c r="H3430" s="4">
        <v>2292824</v>
      </c>
      <c r="I3430" s="4">
        <v>95596</v>
      </c>
      <c r="J3430" s="4">
        <v>2388420</v>
      </c>
    </row>
    <row r="3431" spans="1:10" x14ac:dyDescent="0.75">
      <c r="A3431" t="s">
        <v>151</v>
      </c>
      <c r="B3431">
        <v>398</v>
      </c>
      <c r="C3431" t="s">
        <v>154</v>
      </c>
      <c r="D3431">
        <v>5220</v>
      </c>
      <c r="E3431" t="s">
        <v>401</v>
      </c>
      <c r="F3431" s="4">
        <v>542721</v>
      </c>
      <c r="G3431" s="4">
        <v>1735667</v>
      </c>
      <c r="H3431" s="4">
        <v>1734536</v>
      </c>
      <c r="I3431" s="4">
        <v>1131</v>
      </c>
      <c r="J3431" s="4">
        <v>2278388</v>
      </c>
    </row>
    <row r="3432" spans="1:10" x14ac:dyDescent="0.75">
      <c r="A3432" t="s">
        <v>151</v>
      </c>
      <c r="B3432">
        <v>398</v>
      </c>
      <c r="C3432" t="s">
        <v>154</v>
      </c>
      <c r="D3432">
        <v>7110</v>
      </c>
      <c r="E3432" t="s">
        <v>371</v>
      </c>
      <c r="F3432" s="4">
        <v>0</v>
      </c>
      <c r="G3432" s="4">
        <v>2228348</v>
      </c>
      <c r="H3432" s="4">
        <v>1774681</v>
      </c>
      <c r="I3432" s="4">
        <v>453667</v>
      </c>
      <c r="J3432" s="4">
        <v>2228348</v>
      </c>
    </row>
    <row r="3433" spans="1:10" x14ac:dyDescent="0.75">
      <c r="A3433" t="s">
        <v>151</v>
      </c>
      <c r="B3433">
        <v>398</v>
      </c>
      <c r="C3433" t="s">
        <v>154</v>
      </c>
      <c r="D3433">
        <v>6889</v>
      </c>
      <c r="E3433" t="s">
        <v>420</v>
      </c>
      <c r="F3433" s="4">
        <v>0</v>
      </c>
      <c r="G3433" s="4">
        <v>2159672</v>
      </c>
      <c r="H3433" s="4">
        <v>1917168</v>
      </c>
      <c r="I3433" s="4">
        <v>242504</v>
      </c>
      <c r="J3433" s="4">
        <v>2159672</v>
      </c>
    </row>
    <row r="3434" spans="1:10" x14ac:dyDescent="0.75">
      <c r="A3434" t="s">
        <v>151</v>
      </c>
      <c r="B3434">
        <v>398</v>
      </c>
      <c r="C3434" t="s">
        <v>154</v>
      </c>
      <c r="D3434">
        <v>3286</v>
      </c>
      <c r="E3434" t="s">
        <v>423</v>
      </c>
      <c r="F3434" s="4">
        <v>0</v>
      </c>
      <c r="G3434" s="4">
        <v>2129730</v>
      </c>
      <c r="H3434" s="4">
        <v>1554296</v>
      </c>
      <c r="I3434" s="4">
        <v>575434</v>
      </c>
      <c r="J3434" s="4">
        <v>2129730</v>
      </c>
    </row>
    <row r="3435" spans="1:10" x14ac:dyDescent="0.75">
      <c r="A3435" t="s">
        <v>151</v>
      </c>
      <c r="B3435">
        <v>398</v>
      </c>
      <c r="C3435" t="s">
        <v>154</v>
      </c>
      <c r="D3435">
        <v>4783</v>
      </c>
      <c r="E3435" t="s">
        <v>382</v>
      </c>
      <c r="F3435" s="4">
        <v>0</v>
      </c>
      <c r="G3435" s="4">
        <v>2096173</v>
      </c>
      <c r="H3435" s="4">
        <v>2087897</v>
      </c>
      <c r="I3435" s="4">
        <v>8276</v>
      </c>
      <c r="J3435" s="4">
        <v>2096173</v>
      </c>
    </row>
    <row r="3436" spans="1:10" x14ac:dyDescent="0.75">
      <c r="A3436" t="s">
        <v>151</v>
      </c>
      <c r="B3436">
        <v>398</v>
      </c>
      <c r="C3436" t="s">
        <v>154</v>
      </c>
      <c r="D3436">
        <v>5290</v>
      </c>
      <c r="E3436" t="s">
        <v>415</v>
      </c>
      <c r="F3436" s="4">
        <v>0</v>
      </c>
      <c r="G3436" s="4">
        <v>2086360</v>
      </c>
      <c r="H3436" s="4">
        <v>2030801</v>
      </c>
      <c r="I3436" s="4">
        <v>55559</v>
      </c>
      <c r="J3436" s="4">
        <v>2086360</v>
      </c>
    </row>
    <row r="3437" spans="1:10" x14ac:dyDescent="0.75">
      <c r="A3437" t="s">
        <v>151</v>
      </c>
      <c r="B3437">
        <v>398</v>
      </c>
      <c r="C3437" t="s">
        <v>154</v>
      </c>
      <c r="D3437">
        <v>7120</v>
      </c>
      <c r="E3437" t="s">
        <v>499</v>
      </c>
      <c r="F3437" s="4">
        <v>0</v>
      </c>
      <c r="G3437" s="4">
        <v>2067697</v>
      </c>
      <c r="H3437" s="4">
        <v>1888973</v>
      </c>
      <c r="I3437" s="4">
        <v>178724</v>
      </c>
      <c r="J3437" s="4">
        <v>2067697</v>
      </c>
    </row>
    <row r="3438" spans="1:10" x14ac:dyDescent="0.75">
      <c r="A3438" t="s">
        <v>151</v>
      </c>
      <c r="B3438">
        <v>398</v>
      </c>
      <c r="C3438" t="s">
        <v>154</v>
      </c>
      <c r="D3438">
        <v>5480</v>
      </c>
      <c r="E3438" t="s">
        <v>386</v>
      </c>
      <c r="F3438" s="4">
        <v>0</v>
      </c>
      <c r="G3438" s="4">
        <v>1952594</v>
      </c>
      <c r="H3438" s="4">
        <v>1807208</v>
      </c>
      <c r="I3438" s="4">
        <v>145386</v>
      </c>
      <c r="J3438" s="4">
        <v>1952594</v>
      </c>
    </row>
    <row r="3439" spans="1:10" x14ac:dyDescent="0.75">
      <c r="A3439" t="s">
        <v>151</v>
      </c>
      <c r="B3439">
        <v>398</v>
      </c>
      <c r="C3439" t="s">
        <v>154</v>
      </c>
      <c r="D3439">
        <v>6654</v>
      </c>
      <c r="E3439" t="s">
        <v>419</v>
      </c>
      <c r="F3439" s="4">
        <v>0</v>
      </c>
      <c r="G3439" s="4">
        <v>1726052</v>
      </c>
      <c r="H3439" s="4">
        <v>1606495</v>
      </c>
      <c r="I3439" s="4">
        <v>119557</v>
      </c>
      <c r="J3439" s="4">
        <v>1726052</v>
      </c>
    </row>
    <row r="3440" spans="1:10" x14ac:dyDescent="0.75">
      <c r="A3440" t="s">
        <v>151</v>
      </c>
      <c r="B3440">
        <v>398</v>
      </c>
      <c r="C3440" t="s">
        <v>154</v>
      </c>
      <c r="D3440">
        <v>6858</v>
      </c>
      <c r="E3440" t="s">
        <v>488</v>
      </c>
      <c r="F3440" s="4">
        <v>0</v>
      </c>
      <c r="G3440" s="4">
        <v>1512429</v>
      </c>
      <c r="H3440" s="4">
        <v>1464698</v>
      </c>
      <c r="I3440" s="4">
        <v>47731</v>
      </c>
      <c r="J3440" s="4">
        <v>1512429</v>
      </c>
    </row>
    <row r="3441" spans="1:10" x14ac:dyDescent="0.75">
      <c r="A3441" t="s">
        <v>151</v>
      </c>
      <c r="B3441">
        <v>398</v>
      </c>
      <c r="C3441" t="s">
        <v>154</v>
      </c>
      <c r="D3441">
        <v>5120</v>
      </c>
      <c r="E3441" t="s">
        <v>461</v>
      </c>
      <c r="F3441" s="4">
        <v>73104</v>
      </c>
      <c r="G3441" s="4">
        <v>918391</v>
      </c>
      <c r="H3441" s="4">
        <v>712083</v>
      </c>
      <c r="I3441" s="4">
        <v>206308</v>
      </c>
      <c r="J3441" s="4">
        <v>991495</v>
      </c>
    </row>
    <row r="3442" spans="1:10" x14ac:dyDescent="0.75">
      <c r="A3442" t="s">
        <v>151</v>
      </c>
      <c r="B3442">
        <v>398</v>
      </c>
      <c r="C3442" t="s">
        <v>154</v>
      </c>
      <c r="D3442">
        <v>3285</v>
      </c>
      <c r="E3442" t="s">
        <v>443</v>
      </c>
      <c r="F3442" s="4">
        <v>0</v>
      </c>
      <c r="G3442" s="4">
        <v>955950</v>
      </c>
      <c r="H3442" s="4">
        <v>717708</v>
      </c>
      <c r="I3442" s="4">
        <v>238242</v>
      </c>
      <c r="J3442" s="4">
        <v>955950</v>
      </c>
    </row>
    <row r="3443" spans="1:10" x14ac:dyDescent="0.75">
      <c r="A3443" t="s">
        <v>151</v>
      </c>
      <c r="B3443">
        <v>398</v>
      </c>
      <c r="C3443" t="s">
        <v>154</v>
      </c>
      <c r="D3443">
        <v>3299</v>
      </c>
      <c r="E3443" t="s">
        <v>448</v>
      </c>
      <c r="F3443" s="4">
        <v>0</v>
      </c>
      <c r="G3443" s="4">
        <v>762528</v>
      </c>
      <c r="H3443" s="4">
        <v>551578</v>
      </c>
      <c r="I3443" s="4">
        <v>210950</v>
      </c>
      <c r="J3443" s="4">
        <v>762528</v>
      </c>
    </row>
    <row r="3444" spans="1:10" x14ac:dyDescent="0.75">
      <c r="A3444" t="s">
        <v>151</v>
      </c>
      <c r="B3444">
        <v>398</v>
      </c>
      <c r="C3444" t="s">
        <v>154</v>
      </c>
      <c r="D3444">
        <v>6747</v>
      </c>
      <c r="E3444" t="s">
        <v>478</v>
      </c>
      <c r="F3444" s="4">
        <v>0</v>
      </c>
      <c r="G3444" s="4">
        <v>694061</v>
      </c>
      <c r="H3444" s="4">
        <v>563825</v>
      </c>
      <c r="I3444" s="4">
        <v>130236</v>
      </c>
      <c r="J3444" s="4">
        <v>694061</v>
      </c>
    </row>
    <row r="3445" spans="1:10" x14ac:dyDescent="0.75">
      <c r="A3445" t="s">
        <v>151</v>
      </c>
      <c r="B3445">
        <v>398</v>
      </c>
      <c r="C3445" t="s">
        <v>154</v>
      </c>
      <c r="D3445">
        <v>5240</v>
      </c>
      <c r="E3445" t="s">
        <v>464</v>
      </c>
      <c r="F3445" s="4">
        <v>0</v>
      </c>
      <c r="G3445" s="4">
        <v>693695</v>
      </c>
      <c r="H3445" s="4">
        <v>647177</v>
      </c>
      <c r="I3445" s="4">
        <v>46518</v>
      </c>
      <c r="J3445" s="4">
        <v>693695</v>
      </c>
    </row>
    <row r="3446" spans="1:10" x14ac:dyDescent="0.75">
      <c r="A3446" t="s">
        <v>151</v>
      </c>
      <c r="B3446">
        <v>398</v>
      </c>
      <c r="C3446" t="s">
        <v>154</v>
      </c>
      <c r="D3446">
        <v>6653</v>
      </c>
      <c r="E3446" t="s">
        <v>395</v>
      </c>
      <c r="F3446" s="4">
        <v>0</v>
      </c>
      <c r="G3446" s="4">
        <v>669052</v>
      </c>
      <c r="H3446" s="4">
        <v>649963</v>
      </c>
      <c r="I3446" s="4">
        <v>19089</v>
      </c>
      <c r="J3446" s="4">
        <v>669052</v>
      </c>
    </row>
    <row r="3447" spans="1:10" x14ac:dyDescent="0.75">
      <c r="A3447" t="s">
        <v>151</v>
      </c>
      <c r="B3447">
        <v>398</v>
      </c>
      <c r="C3447" t="s">
        <v>154</v>
      </c>
      <c r="D3447">
        <v>4680</v>
      </c>
      <c r="E3447" t="s">
        <v>459</v>
      </c>
      <c r="F3447" s="4">
        <v>0</v>
      </c>
      <c r="G3447" s="4">
        <v>647657</v>
      </c>
      <c r="H3447" s="4">
        <v>13412</v>
      </c>
      <c r="I3447" s="4">
        <v>634245</v>
      </c>
      <c r="J3447" s="4">
        <v>647657</v>
      </c>
    </row>
    <row r="3448" spans="1:10" x14ac:dyDescent="0.75">
      <c r="A3448" t="s">
        <v>151</v>
      </c>
      <c r="B3448">
        <v>398</v>
      </c>
      <c r="C3448" t="s">
        <v>154</v>
      </c>
      <c r="D3448">
        <v>5540</v>
      </c>
      <c r="E3448" t="s">
        <v>469</v>
      </c>
      <c r="F3448" s="4">
        <v>0</v>
      </c>
      <c r="G3448" s="4">
        <v>631348</v>
      </c>
      <c r="H3448" s="4">
        <v>601173</v>
      </c>
      <c r="I3448" s="4">
        <v>30175</v>
      </c>
      <c r="J3448" s="4">
        <v>631348</v>
      </c>
    </row>
    <row r="3449" spans="1:10" x14ac:dyDescent="0.75">
      <c r="A3449" t="s">
        <v>151</v>
      </c>
      <c r="B3449">
        <v>398</v>
      </c>
      <c r="C3449" t="s">
        <v>154</v>
      </c>
      <c r="D3449">
        <v>5422</v>
      </c>
      <c r="E3449" t="s">
        <v>468</v>
      </c>
      <c r="F3449" s="4">
        <v>0</v>
      </c>
      <c r="G3449" s="4">
        <v>620583</v>
      </c>
      <c r="H3449" s="4">
        <v>575281</v>
      </c>
      <c r="I3449" s="4">
        <v>45302</v>
      </c>
      <c r="J3449" s="4">
        <v>620583</v>
      </c>
    </row>
    <row r="3450" spans="1:10" x14ac:dyDescent="0.75">
      <c r="A3450" t="s">
        <v>151</v>
      </c>
      <c r="B3450">
        <v>398</v>
      </c>
      <c r="C3450" t="s">
        <v>154</v>
      </c>
      <c r="D3450">
        <v>9900</v>
      </c>
      <c r="E3450" t="s">
        <v>389</v>
      </c>
      <c r="F3450" s="4">
        <v>0</v>
      </c>
      <c r="G3450" s="4">
        <v>586087</v>
      </c>
      <c r="H3450" s="4">
        <v>369545</v>
      </c>
      <c r="I3450" s="4">
        <v>216542</v>
      </c>
      <c r="J3450" s="4">
        <v>586087</v>
      </c>
    </row>
    <row r="3451" spans="1:10" x14ac:dyDescent="0.75">
      <c r="A3451" t="s">
        <v>151</v>
      </c>
      <c r="B3451">
        <v>398</v>
      </c>
      <c r="C3451" t="s">
        <v>154</v>
      </c>
      <c r="D3451">
        <v>6782</v>
      </c>
      <c r="E3451" t="s">
        <v>396</v>
      </c>
      <c r="F3451" s="4">
        <v>0</v>
      </c>
      <c r="G3451" s="4">
        <v>557223</v>
      </c>
      <c r="H3451" s="4">
        <v>177823</v>
      </c>
      <c r="I3451" s="4">
        <v>379400</v>
      </c>
      <c r="J3451" s="4">
        <v>557223</v>
      </c>
    </row>
    <row r="3452" spans="1:10" x14ac:dyDescent="0.75">
      <c r="A3452" t="s">
        <v>151</v>
      </c>
      <c r="B3452">
        <v>398</v>
      </c>
      <c r="C3452" t="s">
        <v>154</v>
      </c>
      <c r="D3452">
        <v>6522</v>
      </c>
      <c r="E3452" t="s">
        <v>393</v>
      </c>
      <c r="F3452" s="4">
        <v>0</v>
      </c>
      <c r="G3452" s="4">
        <v>531218</v>
      </c>
      <c r="H3452" s="4">
        <v>6884</v>
      </c>
      <c r="I3452" s="4">
        <v>524334</v>
      </c>
      <c r="J3452" s="4">
        <v>531218</v>
      </c>
    </row>
    <row r="3453" spans="1:10" x14ac:dyDescent="0.75">
      <c r="A3453" t="s">
        <v>151</v>
      </c>
      <c r="B3453">
        <v>398</v>
      </c>
      <c r="C3453" t="s">
        <v>154</v>
      </c>
      <c r="D3453">
        <v>3230</v>
      </c>
      <c r="E3453" t="s">
        <v>434</v>
      </c>
      <c r="F3453" s="4">
        <v>0</v>
      </c>
      <c r="G3453" s="4">
        <v>529124</v>
      </c>
      <c r="H3453" s="4">
        <v>498586</v>
      </c>
      <c r="I3453" s="4">
        <v>30538</v>
      </c>
      <c r="J3453" s="4">
        <v>529124</v>
      </c>
    </row>
    <row r="3454" spans="1:10" x14ac:dyDescent="0.75">
      <c r="A3454" t="s">
        <v>151</v>
      </c>
      <c r="B3454">
        <v>398</v>
      </c>
      <c r="C3454" t="s">
        <v>154</v>
      </c>
      <c r="D3454">
        <v>4189</v>
      </c>
      <c r="E3454" t="s">
        <v>451</v>
      </c>
      <c r="F3454" s="4">
        <v>0</v>
      </c>
      <c r="G3454" s="4">
        <v>524516</v>
      </c>
      <c r="H3454" s="4">
        <v>168889</v>
      </c>
      <c r="I3454" s="4">
        <v>355627</v>
      </c>
      <c r="J3454" s="4">
        <v>524516</v>
      </c>
    </row>
    <row r="3455" spans="1:10" x14ac:dyDescent="0.75">
      <c r="A3455" t="s">
        <v>151</v>
      </c>
      <c r="B3455">
        <v>398</v>
      </c>
      <c r="C3455" t="s">
        <v>154</v>
      </c>
      <c r="D3455">
        <v>6861</v>
      </c>
      <c r="E3455" t="s">
        <v>489</v>
      </c>
      <c r="F3455" s="4">
        <v>408489</v>
      </c>
      <c r="G3455" s="4">
        <v>114421</v>
      </c>
      <c r="H3455" s="4">
        <v>111782</v>
      </c>
      <c r="I3455" s="4">
        <v>2639</v>
      </c>
      <c r="J3455" s="4">
        <v>522910</v>
      </c>
    </row>
    <row r="3456" spans="1:10" x14ac:dyDescent="0.75">
      <c r="A3456" t="s">
        <v>151</v>
      </c>
      <c r="B3456">
        <v>398</v>
      </c>
      <c r="C3456" t="s">
        <v>154</v>
      </c>
      <c r="D3456">
        <v>5190</v>
      </c>
      <c r="E3456" t="s">
        <v>462</v>
      </c>
      <c r="F3456" s="4">
        <v>0</v>
      </c>
      <c r="G3456" s="4">
        <v>481697</v>
      </c>
      <c r="H3456" s="4">
        <v>446579</v>
      </c>
      <c r="I3456" s="4">
        <v>35118</v>
      </c>
      <c r="J3456" s="4">
        <v>481697</v>
      </c>
    </row>
    <row r="3457" spans="1:10" x14ac:dyDescent="0.75">
      <c r="A3457" t="s">
        <v>151</v>
      </c>
      <c r="B3457">
        <v>398</v>
      </c>
      <c r="C3457" t="s">
        <v>154</v>
      </c>
      <c r="D3457">
        <v>6857</v>
      </c>
      <c r="E3457" t="s">
        <v>487</v>
      </c>
      <c r="F3457" s="4">
        <v>0</v>
      </c>
      <c r="G3457" s="4">
        <v>468587</v>
      </c>
      <c r="H3457" s="4">
        <v>460800</v>
      </c>
      <c r="I3457" s="4">
        <v>7787</v>
      </c>
      <c r="J3457" s="4">
        <v>468587</v>
      </c>
    </row>
    <row r="3458" spans="1:10" x14ac:dyDescent="0.75">
      <c r="A3458" t="s">
        <v>151</v>
      </c>
      <c r="B3458">
        <v>398</v>
      </c>
      <c r="C3458" t="s">
        <v>154</v>
      </c>
      <c r="D3458">
        <v>6136</v>
      </c>
      <c r="E3458" t="s">
        <v>471</v>
      </c>
      <c r="F3458" s="4">
        <v>0</v>
      </c>
      <c r="G3458" s="4">
        <v>453580</v>
      </c>
      <c r="H3458" s="4">
        <v>444216</v>
      </c>
      <c r="I3458" s="4">
        <v>9364</v>
      </c>
      <c r="J3458" s="4">
        <v>453580</v>
      </c>
    </row>
    <row r="3459" spans="1:10" x14ac:dyDescent="0.75">
      <c r="A3459" t="s">
        <v>151</v>
      </c>
      <c r="B3459">
        <v>398</v>
      </c>
      <c r="C3459" t="s">
        <v>154</v>
      </c>
      <c r="D3459">
        <v>6871</v>
      </c>
      <c r="E3459" t="s">
        <v>491</v>
      </c>
      <c r="F3459" s="4">
        <v>0</v>
      </c>
      <c r="G3459" s="4">
        <v>444651</v>
      </c>
      <c r="H3459" s="4">
        <v>439135</v>
      </c>
      <c r="I3459" s="4">
        <v>5516</v>
      </c>
      <c r="J3459" s="4">
        <v>444651</v>
      </c>
    </row>
    <row r="3460" spans="1:10" x14ac:dyDescent="0.75">
      <c r="A3460" t="s">
        <v>151</v>
      </c>
      <c r="B3460">
        <v>398</v>
      </c>
      <c r="C3460" t="s">
        <v>154</v>
      </c>
      <c r="D3460">
        <v>3292</v>
      </c>
      <c r="E3460" t="s">
        <v>413</v>
      </c>
      <c r="F3460" s="4">
        <v>0</v>
      </c>
      <c r="G3460" s="4">
        <v>430551</v>
      </c>
      <c r="H3460" s="4">
        <v>372551</v>
      </c>
      <c r="I3460" s="4">
        <v>58000</v>
      </c>
      <c r="J3460" s="4">
        <v>430551</v>
      </c>
    </row>
    <row r="3461" spans="1:10" x14ac:dyDescent="0.75">
      <c r="A3461" t="s">
        <v>151</v>
      </c>
      <c r="B3461">
        <v>398</v>
      </c>
      <c r="C3461" t="s">
        <v>154</v>
      </c>
      <c r="D3461">
        <v>4170</v>
      </c>
      <c r="E3461" t="s">
        <v>424</v>
      </c>
      <c r="F3461" s="4">
        <v>0</v>
      </c>
      <c r="G3461" s="4">
        <v>418157</v>
      </c>
      <c r="H3461" s="4">
        <v>5480</v>
      </c>
      <c r="I3461" s="4">
        <v>412677</v>
      </c>
      <c r="J3461" s="4">
        <v>418157</v>
      </c>
    </row>
    <row r="3462" spans="1:10" x14ac:dyDescent="0.75">
      <c r="A3462" t="s">
        <v>151</v>
      </c>
      <c r="B3462">
        <v>398</v>
      </c>
      <c r="C3462" t="s">
        <v>154</v>
      </c>
      <c r="D3462">
        <v>6888</v>
      </c>
      <c r="E3462" t="s">
        <v>494</v>
      </c>
      <c r="F3462" s="4">
        <v>0</v>
      </c>
      <c r="G3462" s="4">
        <v>409282</v>
      </c>
      <c r="H3462" s="4">
        <v>404050</v>
      </c>
      <c r="I3462" s="4">
        <v>5232</v>
      </c>
      <c r="J3462" s="4">
        <v>409282</v>
      </c>
    </row>
    <row r="3463" spans="1:10" x14ac:dyDescent="0.75">
      <c r="A3463" t="s">
        <v>151</v>
      </c>
      <c r="B3463">
        <v>398</v>
      </c>
      <c r="C3463" t="s">
        <v>154</v>
      </c>
      <c r="D3463">
        <v>6822</v>
      </c>
      <c r="E3463" t="s">
        <v>482</v>
      </c>
      <c r="F3463" s="4">
        <v>0</v>
      </c>
      <c r="G3463" s="4">
        <v>404660</v>
      </c>
      <c r="H3463" s="4">
        <v>276787</v>
      </c>
      <c r="I3463" s="4">
        <v>127873</v>
      </c>
      <c r="J3463" s="4">
        <v>404660</v>
      </c>
    </row>
    <row r="3464" spans="1:10" x14ac:dyDescent="0.75">
      <c r="A3464" t="s">
        <v>151</v>
      </c>
      <c r="B3464">
        <v>398</v>
      </c>
      <c r="C3464" t="s">
        <v>154</v>
      </c>
      <c r="D3464">
        <v>4860</v>
      </c>
      <c r="E3464" t="s">
        <v>400</v>
      </c>
      <c r="F3464" s="4">
        <v>300269</v>
      </c>
      <c r="G3464" s="4">
        <v>19394</v>
      </c>
      <c r="H3464" s="4">
        <v>2408</v>
      </c>
      <c r="I3464" s="4">
        <v>16986</v>
      </c>
      <c r="J3464" s="4">
        <v>319663</v>
      </c>
    </row>
    <row r="3465" spans="1:10" x14ac:dyDescent="0.75">
      <c r="A3465" t="s">
        <v>151</v>
      </c>
      <c r="B3465">
        <v>398</v>
      </c>
      <c r="C3465" t="s">
        <v>154</v>
      </c>
      <c r="D3465">
        <v>7400</v>
      </c>
      <c r="E3465" t="s">
        <v>502</v>
      </c>
      <c r="F3465" s="4">
        <v>0</v>
      </c>
      <c r="G3465" s="4">
        <v>316494</v>
      </c>
      <c r="H3465" s="4">
        <v>300516</v>
      </c>
      <c r="I3465" s="4">
        <v>15978</v>
      </c>
      <c r="J3465" s="4">
        <v>316494</v>
      </c>
    </row>
    <row r="3466" spans="1:10" x14ac:dyDescent="0.75">
      <c r="A3466" t="s">
        <v>151</v>
      </c>
      <c r="B3466">
        <v>398</v>
      </c>
      <c r="C3466" t="s">
        <v>154</v>
      </c>
      <c r="D3466">
        <v>2350</v>
      </c>
      <c r="E3466" t="s">
        <v>404</v>
      </c>
      <c r="F3466" s="4">
        <v>146402</v>
      </c>
      <c r="G3466" s="4">
        <v>150453</v>
      </c>
      <c r="H3466" s="4">
        <v>145485</v>
      </c>
      <c r="I3466" s="4">
        <v>4968</v>
      </c>
      <c r="J3466" s="4">
        <v>296855</v>
      </c>
    </row>
    <row r="3467" spans="1:10" x14ac:dyDescent="0.75">
      <c r="A3467" t="s">
        <v>151</v>
      </c>
      <c r="B3467">
        <v>398</v>
      </c>
      <c r="C3467" t="s">
        <v>154</v>
      </c>
      <c r="D3467">
        <v>3276</v>
      </c>
      <c r="E3467" t="s">
        <v>379</v>
      </c>
      <c r="F3467" s="4">
        <v>0</v>
      </c>
      <c r="G3467" s="4">
        <v>294047</v>
      </c>
      <c r="H3467" s="4">
        <v>226024</v>
      </c>
      <c r="I3467" s="4">
        <v>68023</v>
      </c>
      <c r="J3467" s="4">
        <v>294047</v>
      </c>
    </row>
    <row r="3468" spans="1:10" x14ac:dyDescent="0.75">
      <c r="A3468" t="s">
        <v>151</v>
      </c>
      <c r="B3468">
        <v>398</v>
      </c>
      <c r="C3468" t="s">
        <v>154</v>
      </c>
      <c r="D3468">
        <v>6442</v>
      </c>
      <c r="E3468" t="s">
        <v>472</v>
      </c>
      <c r="F3468" s="4">
        <v>0</v>
      </c>
      <c r="G3468" s="4">
        <v>288775</v>
      </c>
      <c r="H3468" s="4">
        <v>282253</v>
      </c>
      <c r="I3468" s="4">
        <v>6522</v>
      </c>
      <c r="J3468" s="4">
        <v>288775</v>
      </c>
    </row>
    <row r="3469" spans="1:10" x14ac:dyDescent="0.75">
      <c r="A3469" t="s">
        <v>151</v>
      </c>
      <c r="B3469">
        <v>398</v>
      </c>
      <c r="C3469" t="s">
        <v>154</v>
      </c>
      <c r="D3469">
        <v>6872</v>
      </c>
      <c r="E3469" t="s">
        <v>492</v>
      </c>
      <c r="F3469" s="4">
        <v>0</v>
      </c>
      <c r="G3469" s="4">
        <v>267688</v>
      </c>
      <c r="H3469" s="4">
        <v>263786</v>
      </c>
      <c r="I3469" s="4">
        <v>3902</v>
      </c>
      <c r="J3469" s="4">
        <v>267688</v>
      </c>
    </row>
    <row r="3470" spans="1:10" x14ac:dyDescent="0.75">
      <c r="A3470" t="s">
        <v>151</v>
      </c>
      <c r="B3470">
        <v>398</v>
      </c>
      <c r="C3470" t="s">
        <v>154</v>
      </c>
      <c r="D3470">
        <v>3284</v>
      </c>
      <c r="E3470" t="s">
        <v>442</v>
      </c>
      <c r="F3470" s="4">
        <v>0</v>
      </c>
      <c r="G3470" s="4">
        <v>259744</v>
      </c>
      <c r="H3470" s="4">
        <v>232238</v>
      </c>
      <c r="I3470" s="4">
        <v>27506</v>
      </c>
      <c r="J3470" s="4">
        <v>259744</v>
      </c>
    </row>
    <row r="3471" spans="1:10" x14ac:dyDescent="0.75">
      <c r="A3471" t="s">
        <v>151</v>
      </c>
      <c r="B3471">
        <v>398</v>
      </c>
      <c r="C3471" t="s">
        <v>154</v>
      </c>
      <c r="D3471">
        <v>4900</v>
      </c>
      <c r="E3471" t="s">
        <v>383</v>
      </c>
      <c r="F3471" s="4">
        <v>0</v>
      </c>
      <c r="G3471" s="4">
        <v>238214</v>
      </c>
      <c r="H3471" s="4">
        <v>227220</v>
      </c>
      <c r="I3471" s="4">
        <v>10994</v>
      </c>
      <c r="J3471" s="4">
        <v>238214</v>
      </c>
    </row>
    <row r="3472" spans="1:10" x14ac:dyDescent="0.75">
      <c r="A3472" t="s">
        <v>151</v>
      </c>
      <c r="B3472">
        <v>398</v>
      </c>
      <c r="C3472" t="s">
        <v>154</v>
      </c>
      <c r="D3472">
        <v>6134</v>
      </c>
      <c r="E3472" t="s">
        <v>470</v>
      </c>
      <c r="F3472" s="4">
        <v>0</v>
      </c>
      <c r="G3472" s="4">
        <v>236418</v>
      </c>
      <c r="H3472" s="4">
        <v>228310</v>
      </c>
      <c r="I3472" s="4">
        <v>8108</v>
      </c>
      <c r="J3472" s="4">
        <v>236418</v>
      </c>
    </row>
    <row r="3473" spans="1:10" x14ac:dyDescent="0.75">
      <c r="A3473" t="s">
        <v>151</v>
      </c>
      <c r="B3473">
        <v>398</v>
      </c>
      <c r="C3473" t="s">
        <v>154</v>
      </c>
      <c r="D3473">
        <v>2640</v>
      </c>
      <c r="E3473" t="s">
        <v>431</v>
      </c>
      <c r="F3473" s="4">
        <v>0</v>
      </c>
      <c r="G3473" s="4">
        <v>232287</v>
      </c>
      <c r="H3473" s="4">
        <v>230712</v>
      </c>
      <c r="I3473" s="4">
        <v>1575</v>
      </c>
      <c r="J3473" s="4">
        <v>232287</v>
      </c>
    </row>
    <row r="3474" spans="1:10" x14ac:dyDescent="0.75">
      <c r="A3474" t="s">
        <v>151</v>
      </c>
      <c r="B3474">
        <v>398</v>
      </c>
      <c r="C3474" t="s">
        <v>154</v>
      </c>
      <c r="D3474">
        <v>5370</v>
      </c>
      <c r="E3474" t="s">
        <v>466</v>
      </c>
      <c r="F3474" s="4">
        <v>0</v>
      </c>
      <c r="G3474" s="4">
        <v>229860</v>
      </c>
      <c r="H3474" s="4">
        <v>221004</v>
      </c>
      <c r="I3474" s="4">
        <v>8856</v>
      </c>
      <c r="J3474" s="4">
        <v>229860</v>
      </c>
    </row>
    <row r="3475" spans="1:10" x14ac:dyDescent="0.75">
      <c r="A3475" t="s">
        <v>151</v>
      </c>
      <c r="B3475">
        <v>398</v>
      </c>
      <c r="C3475" t="s">
        <v>154</v>
      </c>
      <c r="D3475">
        <v>6835</v>
      </c>
      <c r="E3475" t="s">
        <v>483</v>
      </c>
      <c r="F3475" s="4">
        <v>0</v>
      </c>
      <c r="G3475" s="4">
        <v>211619</v>
      </c>
      <c r="H3475" s="4">
        <v>210067</v>
      </c>
      <c r="I3475" s="4">
        <v>1552</v>
      </c>
      <c r="J3475" s="4">
        <v>211619</v>
      </c>
    </row>
    <row r="3476" spans="1:10" x14ac:dyDescent="0.75">
      <c r="A3476" t="s">
        <v>151</v>
      </c>
      <c r="B3476">
        <v>398</v>
      </c>
      <c r="C3476" t="s">
        <v>154</v>
      </c>
      <c r="D3476">
        <v>3275</v>
      </c>
      <c r="E3476" t="s">
        <v>412</v>
      </c>
      <c r="F3476" s="4">
        <v>0</v>
      </c>
      <c r="G3476" s="4">
        <v>211285</v>
      </c>
      <c r="H3476" s="4">
        <v>154804</v>
      </c>
      <c r="I3476" s="4">
        <v>56481</v>
      </c>
      <c r="J3476" s="4">
        <v>211285</v>
      </c>
    </row>
    <row r="3477" spans="1:10" x14ac:dyDescent="0.75">
      <c r="A3477" t="s">
        <v>151</v>
      </c>
      <c r="B3477">
        <v>398</v>
      </c>
      <c r="C3477" t="s">
        <v>154</v>
      </c>
      <c r="D3477">
        <v>6811</v>
      </c>
      <c r="E3477" t="s">
        <v>480</v>
      </c>
      <c r="F3477" s="4">
        <v>0</v>
      </c>
      <c r="G3477" s="4">
        <v>200717</v>
      </c>
      <c r="H3477" s="4">
        <v>55551</v>
      </c>
      <c r="I3477" s="4">
        <v>145166</v>
      </c>
      <c r="J3477" s="4">
        <v>200717</v>
      </c>
    </row>
    <row r="3478" spans="1:10" x14ac:dyDescent="0.75">
      <c r="A3478" t="s">
        <v>151</v>
      </c>
      <c r="B3478">
        <v>398</v>
      </c>
      <c r="C3478" t="s">
        <v>154</v>
      </c>
      <c r="D3478">
        <v>4310</v>
      </c>
      <c r="E3478" t="s">
        <v>453</v>
      </c>
      <c r="F3478" s="4">
        <v>0</v>
      </c>
      <c r="G3478" s="4">
        <v>192032</v>
      </c>
      <c r="H3478" s="4">
        <v>191337</v>
      </c>
      <c r="I3478" s="4">
        <v>695</v>
      </c>
      <c r="J3478" s="4">
        <v>192032</v>
      </c>
    </row>
    <row r="3479" spans="1:10" x14ac:dyDescent="0.75">
      <c r="A3479" t="s">
        <v>151</v>
      </c>
      <c r="B3479">
        <v>398</v>
      </c>
      <c r="C3479" t="s">
        <v>154</v>
      </c>
      <c r="D3479">
        <v>3240</v>
      </c>
      <c r="E3479" t="s">
        <v>410</v>
      </c>
      <c r="F3479" s="4">
        <v>0</v>
      </c>
      <c r="G3479" s="4">
        <v>182313</v>
      </c>
      <c r="H3479" s="4">
        <v>150099</v>
      </c>
      <c r="I3479" s="4">
        <v>32214</v>
      </c>
      <c r="J3479" s="4">
        <v>182313</v>
      </c>
    </row>
    <row r="3480" spans="1:10" x14ac:dyDescent="0.75">
      <c r="A3480" t="s">
        <v>151</v>
      </c>
      <c r="B3480">
        <v>398</v>
      </c>
      <c r="C3480" t="s">
        <v>154</v>
      </c>
      <c r="D3480">
        <v>5421</v>
      </c>
      <c r="E3480" t="s">
        <v>467</v>
      </c>
      <c r="F3480" s="4">
        <v>0</v>
      </c>
      <c r="G3480" s="4">
        <v>180665</v>
      </c>
      <c r="H3480" s="4">
        <v>134956</v>
      </c>
      <c r="I3480" s="4">
        <v>45709</v>
      </c>
      <c r="J3480" s="4">
        <v>180665</v>
      </c>
    </row>
    <row r="3481" spans="1:10" x14ac:dyDescent="0.75">
      <c r="A3481" t="s">
        <v>151</v>
      </c>
      <c r="B3481">
        <v>398</v>
      </c>
      <c r="C3481" t="s">
        <v>154</v>
      </c>
      <c r="D3481">
        <v>2430</v>
      </c>
      <c r="E3481" t="s">
        <v>376</v>
      </c>
      <c r="F3481" s="4">
        <v>158524</v>
      </c>
      <c r="G3481" s="4">
        <v>20454</v>
      </c>
      <c r="H3481" s="4">
        <v>10445</v>
      </c>
      <c r="I3481" s="4">
        <v>10009</v>
      </c>
      <c r="J3481" s="4">
        <v>178978</v>
      </c>
    </row>
    <row r="3482" spans="1:10" x14ac:dyDescent="0.75">
      <c r="A3482" t="s">
        <v>151</v>
      </c>
      <c r="B3482">
        <v>398</v>
      </c>
      <c r="C3482" t="s">
        <v>154</v>
      </c>
      <c r="D3482">
        <v>3282</v>
      </c>
      <c r="E3482" t="s">
        <v>440</v>
      </c>
      <c r="F3482" s="4">
        <v>0</v>
      </c>
      <c r="G3482" s="4">
        <v>168077</v>
      </c>
      <c r="H3482" s="4">
        <v>109297</v>
      </c>
      <c r="I3482" s="4">
        <v>58780</v>
      </c>
      <c r="J3482" s="4">
        <v>168077</v>
      </c>
    </row>
    <row r="3483" spans="1:10" x14ac:dyDescent="0.75">
      <c r="A3483" t="s">
        <v>151</v>
      </c>
      <c r="B3483">
        <v>398</v>
      </c>
      <c r="C3483" t="s">
        <v>154</v>
      </c>
      <c r="D3483">
        <v>3297</v>
      </c>
      <c r="E3483" t="s">
        <v>446</v>
      </c>
      <c r="F3483" s="4">
        <v>0</v>
      </c>
      <c r="G3483" s="4">
        <v>165142</v>
      </c>
      <c r="H3483" s="4">
        <v>44563</v>
      </c>
      <c r="I3483" s="4">
        <v>120579</v>
      </c>
      <c r="J3483" s="4">
        <v>165142</v>
      </c>
    </row>
    <row r="3484" spans="1:10" x14ac:dyDescent="0.75">
      <c r="A3484" t="s">
        <v>151</v>
      </c>
      <c r="B3484">
        <v>398</v>
      </c>
      <c r="C3484" t="s">
        <v>154</v>
      </c>
      <c r="D3484">
        <v>6856</v>
      </c>
      <c r="E3484" t="s">
        <v>486</v>
      </c>
      <c r="F3484" s="4">
        <v>0</v>
      </c>
      <c r="G3484" s="4">
        <v>153987</v>
      </c>
      <c r="H3484" s="4">
        <v>153238</v>
      </c>
      <c r="I3484" s="4">
        <v>749</v>
      </c>
      <c r="J3484" s="4">
        <v>153987</v>
      </c>
    </row>
    <row r="3485" spans="1:10" x14ac:dyDescent="0.75">
      <c r="A3485" t="s">
        <v>151</v>
      </c>
      <c r="B3485">
        <v>398</v>
      </c>
      <c r="C3485" t="s">
        <v>154</v>
      </c>
      <c r="D3485">
        <v>3260</v>
      </c>
      <c r="E3485" t="s">
        <v>436</v>
      </c>
      <c r="F3485" s="4">
        <v>0</v>
      </c>
      <c r="G3485" s="4">
        <v>142303</v>
      </c>
      <c r="H3485" s="4">
        <v>117175</v>
      </c>
      <c r="I3485" s="4">
        <v>25128</v>
      </c>
      <c r="J3485" s="4">
        <v>142303</v>
      </c>
    </row>
    <row r="3486" spans="1:10" x14ac:dyDescent="0.75">
      <c r="A3486" t="s">
        <v>151</v>
      </c>
      <c r="B3486">
        <v>398</v>
      </c>
      <c r="C3486" t="s">
        <v>154</v>
      </c>
      <c r="D3486">
        <v>6839</v>
      </c>
      <c r="E3486" t="s">
        <v>485</v>
      </c>
      <c r="F3486" s="4">
        <v>0</v>
      </c>
      <c r="G3486" s="4">
        <v>135161</v>
      </c>
      <c r="H3486" s="4">
        <v>47997</v>
      </c>
      <c r="I3486" s="4">
        <v>87164</v>
      </c>
      <c r="J3486" s="4">
        <v>135161</v>
      </c>
    </row>
    <row r="3487" spans="1:10" x14ac:dyDescent="0.75">
      <c r="A3487" t="s">
        <v>151</v>
      </c>
      <c r="B3487">
        <v>398</v>
      </c>
      <c r="C3487" t="s">
        <v>154</v>
      </c>
      <c r="D3487">
        <v>5360</v>
      </c>
      <c r="E3487" t="s">
        <v>465</v>
      </c>
      <c r="F3487" s="4">
        <v>0</v>
      </c>
      <c r="G3487" s="4">
        <v>132205</v>
      </c>
      <c r="H3487" s="4">
        <v>121594</v>
      </c>
      <c r="I3487" s="4">
        <v>10611</v>
      </c>
      <c r="J3487" s="4">
        <v>132205</v>
      </c>
    </row>
    <row r="3488" spans="1:10" x14ac:dyDescent="0.75">
      <c r="A3488" t="s">
        <v>151</v>
      </c>
      <c r="B3488">
        <v>398</v>
      </c>
      <c r="C3488" t="s">
        <v>154</v>
      </c>
      <c r="D3488">
        <v>3250</v>
      </c>
      <c r="E3488" t="s">
        <v>435</v>
      </c>
      <c r="F3488" s="4">
        <v>0</v>
      </c>
      <c r="G3488" s="4">
        <v>123221</v>
      </c>
      <c r="H3488" s="4">
        <v>104532</v>
      </c>
      <c r="I3488" s="4">
        <v>18689</v>
      </c>
      <c r="J3488" s="4">
        <v>123221</v>
      </c>
    </row>
    <row r="3489" spans="1:10" x14ac:dyDescent="0.75">
      <c r="A3489" t="s">
        <v>151</v>
      </c>
      <c r="B3489">
        <v>398</v>
      </c>
      <c r="C3489" t="s">
        <v>154</v>
      </c>
      <c r="D3489">
        <v>4190</v>
      </c>
      <c r="E3489" t="s">
        <v>452</v>
      </c>
      <c r="F3489" s="4">
        <v>0</v>
      </c>
      <c r="G3489" s="4">
        <v>117880</v>
      </c>
      <c r="H3489" s="4">
        <v>109491</v>
      </c>
      <c r="I3489" s="4">
        <v>8389</v>
      </c>
      <c r="J3489" s="4">
        <v>117880</v>
      </c>
    </row>
    <row r="3490" spans="1:10" x14ac:dyDescent="0.75">
      <c r="A3490" t="s">
        <v>151</v>
      </c>
      <c r="B3490">
        <v>398</v>
      </c>
      <c r="C3490" t="s">
        <v>154</v>
      </c>
      <c r="D3490">
        <v>5330</v>
      </c>
      <c r="E3490" t="s">
        <v>385</v>
      </c>
      <c r="F3490" s="4">
        <v>0</v>
      </c>
      <c r="G3490" s="4">
        <v>107607</v>
      </c>
      <c r="H3490" s="4">
        <v>79445</v>
      </c>
      <c r="I3490" s="4">
        <v>28162</v>
      </c>
      <c r="J3490" s="4">
        <v>107607</v>
      </c>
    </row>
    <row r="3491" spans="1:10" x14ac:dyDescent="0.75">
      <c r="A3491" t="s">
        <v>151</v>
      </c>
      <c r="B3491">
        <v>398</v>
      </c>
      <c r="C3491" t="s">
        <v>154</v>
      </c>
      <c r="D3491">
        <v>5312</v>
      </c>
      <c r="E3491" t="s">
        <v>416</v>
      </c>
      <c r="F3491" s="4">
        <v>0</v>
      </c>
      <c r="G3491" s="4">
        <v>92506</v>
      </c>
      <c r="H3491" s="4">
        <v>67833</v>
      </c>
      <c r="I3491" s="4">
        <v>24673</v>
      </c>
      <c r="J3491" s="4">
        <v>92506</v>
      </c>
    </row>
    <row r="3492" spans="1:10" x14ac:dyDescent="0.75">
      <c r="A3492" t="s">
        <v>151</v>
      </c>
      <c r="B3492">
        <v>398</v>
      </c>
      <c r="C3492" t="s">
        <v>154</v>
      </c>
      <c r="D3492">
        <v>3274</v>
      </c>
      <c r="E3492" t="s">
        <v>438</v>
      </c>
      <c r="F3492" s="4">
        <v>52797</v>
      </c>
      <c r="G3492" s="4">
        <v>34716</v>
      </c>
      <c r="H3492" s="4">
        <v>30203</v>
      </c>
      <c r="I3492" s="4">
        <v>4513</v>
      </c>
      <c r="J3492" s="4">
        <v>87513</v>
      </c>
    </row>
    <row r="3493" spans="1:10" x14ac:dyDescent="0.75">
      <c r="A3493" t="s">
        <v>151</v>
      </c>
      <c r="B3493">
        <v>398</v>
      </c>
      <c r="C3493" t="s">
        <v>154</v>
      </c>
      <c r="D3493">
        <v>4782</v>
      </c>
      <c r="E3493" t="s">
        <v>414</v>
      </c>
      <c r="F3493" s="4">
        <v>0</v>
      </c>
      <c r="G3493" s="4">
        <v>84767</v>
      </c>
      <c r="H3493" s="4">
        <v>34113</v>
      </c>
      <c r="I3493" s="4">
        <v>50654</v>
      </c>
      <c r="J3493" s="4">
        <v>84767</v>
      </c>
    </row>
    <row r="3494" spans="1:10" x14ac:dyDescent="0.75">
      <c r="A3494" t="s">
        <v>151</v>
      </c>
      <c r="B3494">
        <v>398</v>
      </c>
      <c r="C3494" t="s">
        <v>154</v>
      </c>
      <c r="D3494">
        <v>6590</v>
      </c>
      <c r="E3494" t="s">
        <v>394</v>
      </c>
      <c r="F3494" s="4">
        <v>0</v>
      </c>
      <c r="G3494" s="4">
        <v>84232</v>
      </c>
      <c r="H3494" s="4">
        <v>64820</v>
      </c>
      <c r="I3494" s="4">
        <v>19412</v>
      </c>
      <c r="J3494" s="4">
        <v>84232</v>
      </c>
    </row>
    <row r="3495" spans="1:10" x14ac:dyDescent="0.75">
      <c r="A3495" t="s">
        <v>151</v>
      </c>
      <c r="B3495">
        <v>398</v>
      </c>
      <c r="C3495" t="s">
        <v>154</v>
      </c>
      <c r="D3495">
        <v>5429</v>
      </c>
      <c r="E3495" t="s">
        <v>429</v>
      </c>
      <c r="F3495" s="4">
        <v>0</v>
      </c>
      <c r="G3495" s="4">
        <v>80135</v>
      </c>
      <c r="H3495" s="4">
        <v>67737</v>
      </c>
      <c r="I3495" s="4">
        <v>12398</v>
      </c>
      <c r="J3495" s="4">
        <v>80135</v>
      </c>
    </row>
    <row r="3496" spans="1:10" x14ac:dyDescent="0.75">
      <c r="A3496" t="s">
        <v>151</v>
      </c>
      <c r="B3496">
        <v>398</v>
      </c>
      <c r="C3496" t="s">
        <v>154</v>
      </c>
      <c r="D3496">
        <v>3291</v>
      </c>
      <c r="E3496" t="s">
        <v>444</v>
      </c>
      <c r="F3496" s="4">
        <v>0</v>
      </c>
      <c r="G3496" s="4">
        <v>78310</v>
      </c>
      <c r="H3496" s="4">
        <v>49592</v>
      </c>
      <c r="I3496" s="4">
        <v>28718</v>
      </c>
      <c r="J3496" s="4">
        <v>78310</v>
      </c>
    </row>
    <row r="3497" spans="1:10" x14ac:dyDescent="0.75">
      <c r="A3497" t="s">
        <v>151</v>
      </c>
      <c r="B3497">
        <v>398</v>
      </c>
      <c r="C3497" t="s">
        <v>154</v>
      </c>
      <c r="D3497">
        <v>6893</v>
      </c>
      <c r="E3497" t="s">
        <v>496</v>
      </c>
      <c r="F3497" s="4">
        <v>0</v>
      </c>
      <c r="G3497" s="4">
        <v>78236</v>
      </c>
      <c r="H3497" s="4">
        <v>74252</v>
      </c>
      <c r="I3497" s="4">
        <v>3984</v>
      </c>
      <c r="J3497" s="4">
        <v>78236</v>
      </c>
    </row>
    <row r="3498" spans="1:10" x14ac:dyDescent="0.75">
      <c r="A3498" t="s">
        <v>151</v>
      </c>
      <c r="B3498">
        <v>398</v>
      </c>
      <c r="C3498" t="s">
        <v>154</v>
      </c>
      <c r="D3498">
        <v>5390</v>
      </c>
      <c r="E3498" t="s">
        <v>418</v>
      </c>
      <c r="F3498" s="4">
        <v>0</v>
      </c>
      <c r="G3498" s="4">
        <v>75567</v>
      </c>
      <c r="H3498" s="4">
        <v>73833</v>
      </c>
      <c r="I3498" s="4">
        <v>1734</v>
      </c>
      <c r="J3498" s="4">
        <v>75567</v>
      </c>
    </row>
    <row r="3499" spans="1:10" x14ac:dyDescent="0.75">
      <c r="A3499" t="s">
        <v>151</v>
      </c>
      <c r="B3499">
        <v>398</v>
      </c>
      <c r="C3499" t="s">
        <v>154</v>
      </c>
      <c r="D3499">
        <v>3219</v>
      </c>
      <c r="E3499" t="s">
        <v>378</v>
      </c>
      <c r="F3499" s="4">
        <v>0</v>
      </c>
      <c r="G3499" s="4">
        <v>70158</v>
      </c>
      <c r="H3499" s="4">
        <v>62741</v>
      </c>
      <c r="I3499" s="4">
        <v>7417</v>
      </c>
      <c r="J3499" s="4">
        <v>70158</v>
      </c>
    </row>
    <row r="3500" spans="1:10" x14ac:dyDescent="0.75">
      <c r="A3500" t="s">
        <v>151</v>
      </c>
      <c r="B3500">
        <v>398</v>
      </c>
      <c r="C3500" t="s">
        <v>154</v>
      </c>
      <c r="D3500">
        <v>6899</v>
      </c>
      <c r="E3500" t="s">
        <v>498</v>
      </c>
      <c r="F3500" s="4">
        <v>0</v>
      </c>
      <c r="G3500" s="4">
        <v>68108</v>
      </c>
      <c r="H3500" s="4">
        <v>64581</v>
      </c>
      <c r="I3500" s="4">
        <v>3527</v>
      </c>
      <c r="J3500" s="4">
        <v>68108</v>
      </c>
    </row>
    <row r="3501" spans="1:10" x14ac:dyDescent="0.75">
      <c r="A3501" t="s">
        <v>151</v>
      </c>
      <c r="B3501">
        <v>398</v>
      </c>
      <c r="C3501" t="s">
        <v>154</v>
      </c>
      <c r="D3501">
        <v>6894</v>
      </c>
      <c r="E3501" t="s">
        <v>497</v>
      </c>
      <c r="F3501" s="4">
        <v>0</v>
      </c>
      <c r="G3501" s="4">
        <v>61475</v>
      </c>
      <c r="H3501" s="4">
        <v>61262</v>
      </c>
      <c r="I3501" s="4">
        <v>213</v>
      </c>
      <c r="J3501" s="4">
        <v>61475</v>
      </c>
    </row>
    <row r="3502" spans="1:10" x14ac:dyDescent="0.75">
      <c r="A3502" t="s">
        <v>151</v>
      </c>
      <c r="B3502">
        <v>398</v>
      </c>
      <c r="C3502" t="s">
        <v>154</v>
      </c>
      <c r="D3502">
        <v>4650</v>
      </c>
      <c r="E3502" t="s">
        <v>457</v>
      </c>
      <c r="F3502" s="4">
        <v>0</v>
      </c>
      <c r="G3502" s="4">
        <v>58950</v>
      </c>
      <c r="H3502" s="4">
        <v>46003</v>
      </c>
      <c r="I3502" s="4">
        <v>12947</v>
      </c>
      <c r="J3502" s="4">
        <v>58950</v>
      </c>
    </row>
    <row r="3503" spans="1:10" x14ac:dyDescent="0.75">
      <c r="A3503" t="s">
        <v>151</v>
      </c>
      <c r="B3503">
        <v>398</v>
      </c>
      <c r="C3503" t="s">
        <v>154</v>
      </c>
      <c r="D3503">
        <v>2540</v>
      </c>
      <c r="E3503" t="s">
        <v>377</v>
      </c>
      <c r="F3503" s="4">
        <v>0</v>
      </c>
      <c r="G3503" s="4">
        <v>58339</v>
      </c>
      <c r="H3503" s="4">
        <v>51302</v>
      </c>
      <c r="I3503" s="4">
        <v>7037</v>
      </c>
      <c r="J3503" s="4">
        <v>58339</v>
      </c>
    </row>
    <row r="3504" spans="1:10" x14ac:dyDescent="0.75">
      <c r="A3504" t="s">
        <v>151</v>
      </c>
      <c r="B3504">
        <v>398</v>
      </c>
      <c r="C3504" t="s">
        <v>154</v>
      </c>
      <c r="D3504">
        <v>4150</v>
      </c>
      <c r="E3504" t="s">
        <v>450</v>
      </c>
      <c r="F3504" s="4">
        <v>0</v>
      </c>
      <c r="G3504" s="4">
        <v>57319</v>
      </c>
      <c r="H3504" s="4">
        <v>52860</v>
      </c>
      <c r="I3504" s="4">
        <v>4459</v>
      </c>
      <c r="J3504" s="4">
        <v>57319</v>
      </c>
    </row>
    <row r="3505" spans="1:10" x14ac:dyDescent="0.75">
      <c r="A3505" t="s">
        <v>151</v>
      </c>
      <c r="B3505">
        <v>398</v>
      </c>
      <c r="C3505" t="s">
        <v>154</v>
      </c>
      <c r="D3505">
        <v>2410</v>
      </c>
      <c r="E3505" t="s">
        <v>430</v>
      </c>
      <c r="F3505" s="4">
        <v>0</v>
      </c>
      <c r="G3505" s="4">
        <v>54374</v>
      </c>
      <c r="H3505" s="4">
        <v>41186</v>
      </c>
      <c r="I3505" s="4">
        <v>13188</v>
      </c>
      <c r="J3505" s="4">
        <v>54374</v>
      </c>
    </row>
    <row r="3506" spans="1:10" x14ac:dyDescent="0.75">
      <c r="A3506" t="s">
        <v>151</v>
      </c>
      <c r="B3506">
        <v>398</v>
      </c>
      <c r="C3506" t="s">
        <v>154</v>
      </c>
      <c r="D3506">
        <v>6746</v>
      </c>
      <c r="E3506" t="s">
        <v>477</v>
      </c>
      <c r="F3506" s="4">
        <v>0</v>
      </c>
      <c r="G3506" s="4">
        <v>54140</v>
      </c>
      <c r="H3506" s="4">
        <v>51887</v>
      </c>
      <c r="I3506" s="4">
        <v>2253</v>
      </c>
      <c r="J3506" s="4">
        <v>54140</v>
      </c>
    </row>
    <row r="3507" spans="1:10" x14ac:dyDescent="0.75">
      <c r="A3507" t="s">
        <v>151</v>
      </c>
      <c r="B3507">
        <v>398</v>
      </c>
      <c r="C3507" t="s">
        <v>154</v>
      </c>
      <c r="D3507">
        <v>3283</v>
      </c>
      <c r="E3507" t="s">
        <v>441</v>
      </c>
      <c r="F3507" s="4">
        <v>0</v>
      </c>
      <c r="G3507" s="4">
        <v>51309</v>
      </c>
      <c r="H3507" s="4">
        <v>39907</v>
      </c>
      <c r="I3507" s="4">
        <v>11402</v>
      </c>
      <c r="J3507" s="4">
        <v>51309</v>
      </c>
    </row>
    <row r="3508" spans="1:10" x14ac:dyDescent="0.75">
      <c r="A3508" t="s">
        <v>151</v>
      </c>
      <c r="B3508">
        <v>398</v>
      </c>
      <c r="C3508" t="s">
        <v>154</v>
      </c>
      <c r="D3508">
        <v>6344</v>
      </c>
      <c r="E3508" t="s">
        <v>392</v>
      </c>
      <c r="F3508" s="4">
        <v>0</v>
      </c>
      <c r="G3508" s="4">
        <v>44018</v>
      </c>
      <c r="H3508" s="4">
        <v>6945</v>
      </c>
      <c r="I3508" s="4">
        <v>37073</v>
      </c>
      <c r="J3508" s="4">
        <v>44018</v>
      </c>
    </row>
    <row r="3509" spans="1:10" x14ac:dyDescent="0.75">
      <c r="A3509" t="s">
        <v>151</v>
      </c>
      <c r="B3509">
        <v>398</v>
      </c>
      <c r="C3509" t="s">
        <v>154</v>
      </c>
      <c r="D3509">
        <v>6817</v>
      </c>
      <c r="E3509" t="s">
        <v>481</v>
      </c>
      <c r="F3509" s="4">
        <v>0</v>
      </c>
      <c r="G3509" s="4">
        <v>41014</v>
      </c>
      <c r="H3509" s="4">
        <v>34709</v>
      </c>
      <c r="I3509" s="4">
        <v>6305</v>
      </c>
      <c r="J3509" s="4">
        <v>41014</v>
      </c>
    </row>
    <row r="3510" spans="1:10" x14ac:dyDescent="0.75">
      <c r="A3510" t="s">
        <v>151</v>
      </c>
      <c r="B3510">
        <v>398</v>
      </c>
      <c r="C3510" t="s">
        <v>154</v>
      </c>
      <c r="D3510">
        <v>4323</v>
      </c>
      <c r="E3510" t="s">
        <v>373</v>
      </c>
      <c r="F3510" s="4">
        <v>0</v>
      </c>
      <c r="G3510" s="4">
        <v>40266</v>
      </c>
      <c r="H3510" s="4">
        <v>39270</v>
      </c>
      <c r="I3510" s="4">
        <v>996</v>
      </c>
      <c r="J3510" s="4">
        <v>40266</v>
      </c>
    </row>
    <row r="3511" spans="1:10" x14ac:dyDescent="0.75">
      <c r="A3511" t="s">
        <v>151</v>
      </c>
      <c r="B3511">
        <v>398</v>
      </c>
      <c r="C3511" t="s">
        <v>154</v>
      </c>
      <c r="D3511">
        <v>3279</v>
      </c>
      <c r="E3511" t="s">
        <v>422</v>
      </c>
      <c r="F3511" s="4">
        <v>0</v>
      </c>
      <c r="G3511" s="4">
        <v>38333</v>
      </c>
      <c r="H3511" s="4">
        <v>30438</v>
      </c>
      <c r="I3511" s="4">
        <v>7895</v>
      </c>
      <c r="J3511" s="4">
        <v>38333</v>
      </c>
    </row>
    <row r="3512" spans="1:10" x14ac:dyDescent="0.75">
      <c r="A3512" t="s">
        <v>151</v>
      </c>
      <c r="B3512">
        <v>398</v>
      </c>
      <c r="C3512" t="s">
        <v>154</v>
      </c>
      <c r="D3512">
        <v>7300</v>
      </c>
      <c r="E3512" t="s">
        <v>501</v>
      </c>
      <c r="F3512" s="4">
        <v>0</v>
      </c>
      <c r="G3512" s="4">
        <v>33536</v>
      </c>
      <c r="H3512" s="4">
        <v>27906</v>
      </c>
      <c r="I3512" s="4">
        <v>5630</v>
      </c>
      <c r="J3512" s="4">
        <v>33536</v>
      </c>
    </row>
    <row r="3513" spans="1:10" x14ac:dyDescent="0.75">
      <c r="A3513" t="s">
        <v>151</v>
      </c>
      <c r="B3513">
        <v>398</v>
      </c>
      <c r="C3513" t="s">
        <v>154</v>
      </c>
      <c r="D3513">
        <v>6891</v>
      </c>
      <c r="E3513" t="s">
        <v>495</v>
      </c>
      <c r="F3513" s="4">
        <v>0</v>
      </c>
      <c r="G3513" s="4">
        <v>33213</v>
      </c>
      <c r="H3513" s="4">
        <v>18204</v>
      </c>
      <c r="I3513" s="4">
        <v>15009</v>
      </c>
      <c r="J3513" s="4">
        <v>33213</v>
      </c>
    </row>
    <row r="3514" spans="1:10" x14ac:dyDescent="0.75">
      <c r="A3514" t="s">
        <v>151</v>
      </c>
      <c r="B3514">
        <v>398</v>
      </c>
      <c r="C3514" t="s">
        <v>154</v>
      </c>
      <c r="D3514">
        <v>3293</v>
      </c>
      <c r="E3514" t="s">
        <v>445</v>
      </c>
      <c r="F3514" s="4">
        <v>0</v>
      </c>
      <c r="G3514" s="4">
        <v>31752</v>
      </c>
      <c r="H3514" s="4">
        <v>30057</v>
      </c>
      <c r="I3514" s="4">
        <v>1695</v>
      </c>
      <c r="J3514" s="4">
        <v>31752</v>
      </c>
    </row>
    <row r="3515" spans="1:10" x14ac:dyDescent="0.75">
      <c r="A3515" t="s">
        <v>151</v>
      </c>
      <c r="B3515">
        <v>398</v>
      </c>
      <c r="C3515" t="s">
        <v>154</v>
      </c>
      <c r="D3515">
        <v>2990</v>
      </c>
      <c r="E3515" t="s">
        <v>432</v>
      </c>
      <c r="F3515" s="4">
        <v>25492</v>
      </c>
      <c r="G3515" s="4">
        <v>5946</v>
      </c>
      <c r="H3515" s="4">
        <v>5946</v>
      </c>
      <c r="I3515" s="4">
        <v>0</v>
      </c>
      <c r="J3515" s="4">
        <v>31438</v>
      </c>
    </row>
    <row r="3516" spans="1:10" x14ac:dyDescent="0.75">
      <c r="A3516" t="s">
        <v>151</v>
      </c>
      <c r="B3516">
        <v>398</v>
      </c>
      <c r="C3516" t="s">
        <v>154</v>
      </c>
      <c r="D3516">
        <v>3110</v>
      </c>
      <c r="E3516" t="s">
        <v>405</v>
      </c>
      <c r="F3516" s="4">
        <v>0</v>
      </c>
      <c r="G3516" s="4">
        <v>30017</v>
      </c>
      <c r="H3516" s="4">
        <v>24264</v>
      </c>
      <c r="I3516" s="4">
        <v>5753</v>
      </c>
      <c r="J3516" s="4">
        <v>30017</v>
      </c>
    </row>
    <row r="3517" spans="1:10" x14ac:dyDescent="0.75">
      <c r="A3517" t="s">
        <v>151</v>
      </c>
      <c r="B3517">
        <v>398</v>
      </c>
      <c r="C3517" t="s">
        <v>154</v>
      </c>
      <c r="D3517">
        <v>3190</v>
      </c>
      <c r="E3517" t="s">
        <v>408</v>
      </c>
      <c r="F3517" s="4">
        <v>0</v>
      </c>
      <c r="G3517" s="4">
        <v>25474</v>
      </c>
      <c r="H3517" s="4">
        <v>17878</v>
      </c>
      <c r="I3517" s="4">
        <v>7596</v>
      </c>
      <c r="J3517" s="4">
        <v>25474</v>
      </c>
    </row>
    <row r="3518" spans="1:10" x14ac:dyDescent="0.75">
      <c r="A3518" t="s">
        <v>151</v>
      </c>
      <c r="B3518">
        <v>398</v>
      </c>
      <c r="C3518" t="s">
        <v>154</v>
      </c>
      <c r="D3518">
        <v>5320</v>
      </c>
      <c r="E3518" t="s">
        <v>384</v>
      </c>
      <c r="F3518" s="4">
        <v>0</v>
      </c>
      <c r="G3518" s="4">
        <v>19843</v>
      </c>
      <c r="H3518" s="4">
        <v>16180</v>
      </c>
      <c r="I3518" s="4">
        <v>3663</v>
      </c>
      <c r="J3518" s="4">
        <v>19843</v>
      </c>
    </row>
    <row r="3519" spans="1:10" x14ac:dyDescent="0.75">
      <c r="A3519" t="s">
        <v>151</v>
      </c>
      <c r="B3519">
        <v>398</v>
      </c>
      <c r="C3519" t="s">
        <v>154</v>
      </c>
      <c r="D3519">
        <v>5315</v>
      </c>
      <c r="E3519" t="s">
        <v>417</v>
      </c>
      <c r="F3519" s="4">
        <v>0</v>
      </c>
      <c r="G3519" s="4">
        <v>19581</v>
      </c>
      <c r="H3519" s="4">
        <v>18427</v>
      </c>
      <c r="I3519" s="4">
        <v>1154</v>
      </c>
      <c r="J3519" s="4">
        <v>19581</v>
      </c>
    </row>
    <row r="3520" spans="1:10" x14ac:dyDescent="0.75">
      <c r="A3520" t="s">
        <v>151</v>
      </c>
      <c r="B3520">
        <v>398</v>
      </c>
      <c r="C3520" t="s">
        <v>154</v>
      </c>
      <c r="D3520">
        <v>7220</v>
      </c>
      <c r="E3520" t="s">
        <v>500</v>
      </c>
      <c r="F3520" s="4">
        <v>0</v>
      </c>
      <c r="G3520" s="4">
        <v>17618</v>
      </c>
      <c r="H3520" s="4">
        <v>11802</v>
      </c>
      <c r="I3520" s="4">
        <v>5816</v>
      </c>
      <c r="J3520" s="4">
        <v>17618</v>
      </c>
    </row>
    <row r="3521" spans="1:10" x14ac:dyDescent="0.75">
      <c r="A3521" t="s">
        <v>151</v>
      </c>
      <c r="B3521">
        <v>398</v>
      </c>
      <c r="C3521" t="s">
        <v>154</v>
      </c>
      <c r="D3521">
        <v>4322</v>
      </c>
      <c r="E3521" t="s">
        <v>398</v>
      </c>
      <c r="F3521" s="4">
        <v>0</v>
      </c>
      <c r="G3521" s="4">
        <v>16732</v>
      </c>
      <c r="H3521" s="4">
        <v>16230</v>
      </c>
      <c r="I3521" s="4">
        <v>502</v>
      </c>
      <c r="J3521" s="4">
        <v>16732</v>
      </c>
    </row>
    <row r="3522" spans="1:10" x14ac:dyDescent="0.75">
      <c r="A3522" t="s">
        <v>151</v>
      </c>
      <c r="B3522">
        <v>398</v>
      </c>
      <c r="C3522" t="s">
        <v>154</v>
      </c>
      <c r="D3522">
        <v>1100</v>
      </c>
      <c r="E3522" t="s">
        <v>397</v>
      </c>
      <c r="F3522" s="4">
        <v>0</v>
      </c>
      <c r="G3522" s="4">
        <v>15402</v>
      </c>
      <c r="H3522" s="4">
        <v>12038</v>
      </c>
      <c r="I3522" s="4">
        <v>3364</v>
      </c>
      <c r="J3522" s="4">
        <v>15402</v>
      </c>
    </row>
    <row r="3523" spans="1:10" x14ac:dyDescent="0.75">
      <c r="A3523" t="s">
        <v>151</v>
      </c>
      <c r="B3523">
        <v>398</v>
      </c>
      <c r="C3523" t="s">
        <v>154</v>
      </c>
      <c r="D3523">
        <v>5110</v>
      </c>
      <c r="E3523" t="s">
        <v>460</v>
      </c>
      <c r="F3523" s="4">
        <v>0</v>
      </c>
      <c r="G3523" s="4">
        <v>15275</v>
      </c>
      <c r="H3523" s="4">
        <v>4216</v>
      </c>
      <c r="I3523" s="4">
        <v>11059</v>
      </c>
      <c r="J3523" s="4">
        <v>15275</v>
      </c>
    </row>
    <row r="3524" spans="1:10" x14ac:dyDescent="0.75">
      <c r="A3524" t="s">
        <v>151</v>
      </c>
      <c r="B3524">
        <v>398</v>
      </c>
      <c r="C3524" t="s">
        <v>154</v>
      </c>
      <c r="D3524">
        <v>6781</v>
      </c>
      <c r="E3524" t="s">
        <v>479</v>
      </c>
      <c r="F3524" s="4">
        <v>0</v>
      </c>
      <c r="G3524" s="4">
        <v>13439</v>
      </c>
      <c r="H3524" s="4">
        <v>7727</v>
      </c>
      <c r="I3524" s="4">
        <v>5712</v>
      </c>
      <c r="J3524" s="4">
        <v>13439</v>
      </c>
    </row>
    <row r="3525" spans="1:10" x14ac:dyDescent="0.75">
      <c r="A3525" t="s">
        <v>151</v>
      </c>
      <c r="B3525">
        <v>398</v>
      </c>
      <c r="C3525" t="s">
        <v>154</v>
      </c>
      <c r="D3525">
        <v>3211</v>
      </c>
      <c r="E3525" t="s">
        <v>433</v>
      </c>
      <c r="F3525" s="4">
        <v>0</v>
      </c>
      <c r="G3525" s="4">
        <v>12539</v>
      </c>
      <c r="H3525" s="4">
        <v>9093</v>
      </c>
      <c r="I3525" s="4">
        <v>3446</v>
      </c>
      <c r="J3525" s="4">
        <v>12539</v>
      </c>
    </row>
    <row r="3526" spans="1:10" x14ac:dyDescent="0.75">
      <c r="A3526" t="s">
        <v>151</v>
      </c>
      <c r="B3526">
        <v>398</v>
      </c>
      <c r="C3526" t="s">
        <v>154</v>
      </c>
      <c r="D3526">
        <v>4690</v>
      </c>
      <c r="E3526" t="s">
        <v>428</v>
      </c>
      <c r="F3526" s="4">
        <v>0</v>
      </c>
      <c r="G3526" s="4">
        <v>11697</v>
      </c>
      <c r="H3526" s="4">
        <v>4430</v>
      </c>
      <c r="I3526" s="4">
        <v>7267</v>
      </c>
      <c r="J3526" s="4">
        <v>11697</v>
      </c>
    </row>
    <row r="3527" spans="1:10" x14ac:dyDescent="0.75">
      <c r="A3527" t="s">
        <v>151</v>
      </c>
      <c r="B3527">
        <v>398</v>
      </c>
      <c r="C3527" t="s">
        <v>154</v>
      </c>
      <c r="D3527">
        <v>6838</v>
      </c>
      <c r="E3527" t="s">
        <v>484</v>
      </c>
      <c r="F3527" s="4">
        <v>0</v>
      </c>
      <c r="G3527" s="4">
        <v>11494</v>
      </c>
      <c r="H3527" s="4">
        <v>9156</v>
      </c>
      <c r="I3527" s="4">
        <v>2338</v>
      </c>
      <c r="J3527" s="4">
        <v>11494</v>
      </c>
    </row>
    <row r="3528" spans="1:10" x14ac:dyDescent="0.75">
      <c r="A3528" t="s">
        <v>151</v>
      </c>
      <c r="B3528">
        <v>398</v>
      </c>
      <c r="C3528" t="s">
        <v>154</v>
      </c>
      <c r="D3528">
        <v>7230</v>
      </c>
      <c r="E3528" t="s">
        <v>387</v>
      </c>
      <c r="F3528" s="4">
        <v>0</v>
      </c>
      <c r="G3528" s="4">
        <v>11391</v>
      </c>
      <c r="H3528" s="4">
        <v>9502</v>
      </c>
      <c r="I3528" s="4">
        <v>1889</v>
      </c>
      <c r="J3528" s="4">
        <v>11391</v>
      </c>
    </row>
    <row r="3529" spans="1:10" x14ac:dyDescent="0.75">
      <c r="A3529" t="s">
        <v>151</v>
      </c>
      <c r="B3529">
        <v>398</v>
      </c>
      <c r="C3529" t="s">
        <v>154</v>
      </c>
      <c r="D3529">
        <v>4110</v>
      </c>
      <c r="E3529" t="s">
        <v>449</v>
      </c>
      <c r="F3529" s="4">
        <v>0</v>
      </c>
      <c r="G3529" s="4">
        <v>9387</v>
      </c>
      <c r="H3529" s="4">
        <v>8697</v>
      </c>
      <c r="I3529" s="4">
        <v>690</v>
      </c>
      <c r="J3529" s="4">
        <v>9387</v>
      </c>
    </row>
    <row r="3530" spans="1:10" x14ac:dyDescent="0.75">
      <c r="A3530" t="s">
        <v>151</v>
      </c>
      <c r="B3530">
        <v>398</v>
      </c>
      <c r="C3530" t="s">
        <v>154</v>
      </c>
      <c r="D3530">
        <v>4335</v>
      </c>
      <c r="E3530" t="s">
        <v>372</v>
      </c>
      <c r="F3530" s="4">
        <v>7888</v>
      </c>
      <c r="G3530" s="4">
        <v>0</v>
      </c>
      <c r="H3530" s="4">
        <v>0</v>
      </c>
      <c r="I3530" s="4">
        <v>0</v>
      </c>
      <c r="J3530" s="4">
        <v>7888</v>
      </c>
    </row>
    <row r="3531" spans="1:10" x14ac:dyDescent="0.75">
      <c r="A3531" t="s">
        <v>151</v>
      </c>
      <c r="B3531">
        <v>398</v>
      </c>
      <c r="C3531" t="s">
        <v>154</v>
      </c>
      <c r="D3531">
        <v>6445</v>
      </c>
      <c r="E3531" t="s">
        <v>474</v>
      </c>
      <c r="F3531" s="4">
        <v>0</v>
      </c>
      <c r="G3531" s="4">
        <v>4887</v>
      </c>
      <c r="H3531" s="4">
        <v>1713</v>
      </c>
      <c r="I3531" s="4">
        <v>3174</v>
      </c>
      <c r="J3531" s="4">
        <v>4887</v>
      </c>
    </row>
    <row r="3532" spans="1:10" x14ac:dyDescent="0.75">
      <c r="A3532" t="s">
        <v>151</v>
      </c>
      <c r="B3532">
        <v>398</v>
      </c>
      <c r="C3532" t="s">
        <v>154</v>
      </c>
      <c r="D3532">
        <v>3298</v>
      </c>
      <c r="E3532" t="s">
        <v>447</v>
      </c>
      <c r="F3532" s="4">
        <v>0</v>
      </c>
      <c r="G3532" s="4">
        <v>4705</v>
      </c>
      <c r="H3532" s="4">
        <v>4110</v>
      </c>
      <c r="I3532" s="4">
        <v>595</v>
      </c>
      <c r="J3532" s="4">
        <v>4705</v>
      </c>
    </row>
    <row r="3533" spans="1:10" x14ac:dyDescent="0.75">
      <c r="A3533" t="s">
        <v>151</v>
      </c>
      <c r="B3533">
        <v>398</v>
      </c>
      <c r="C3533" t="s">
        <v>154</v>
      </c>
      <c r="D3533">
        <v>3273</v>
      </c>
      <c r="E3533" t="s">
        <v>411</v>
      </c>
      <c r="F3533" s="4">
        <v>0</v>
      </c>
      <c r="G3533" s="4">
        <v>4220</v>
      </c>
      <c r="H3533" s="4">
        <v>578</v>
      </c>
      <c r="I3533" s="4">
        <v>3642</v>
      </c>
      <c r="J3533" s="4">
        <v>4220</v>
      </c>
    </row>
    <row r="3534" spans="1:10" x14ac:dyDescent="0.75">
      <c r="A3534" t="s">
        <v>151</v>
      </c>
      <c r="B3534">
        <v>398</v>
      </c>
      <c r="C3534" t="s">
        <v>154</v>
      </c>
      <c r="D3534">
        <v>3130</v>
      </c>
      <c r="E3534" t="s">
        <v>407</v>
      </c>
      <c r="F3534" s="4">
        <v>0</v>
      </c>
      <c r="G3534" s="4">
        <v>4114</v>
      </c>
      <c r="H3534" s="4">
        <v>3525</v>
      </c>
      <c r="I3534" s="4">
        <v>589</v>
      </c>
      <c r="J3534" s="4">
        <v>4114</v>
      </c>
    </row>
    <row r="3535" spans="1:10" x14ac:dyDescent="0.75">
      <c r="A3535" t="s">
        <v>151</v>
      </c>
      <c r="B3535">
        <v>398</v>
      </c>
      <c r="C3535" t="s">
        <v>154</v>
      </c>
      <c r="D3535">
        <v>4161</v>
      </c>
      <c r="E3535" t="s">
        <v>421</v>
      </c>
      <c r="F3535" s="4">
        <v>0</v>
      </c>
      <c r="G3535" s="4">
        <v>3176</v>
      </c>
      <c r="H3535" s="4">
        <v>2083</v>
      </c>
      <c r="I3535" s="4">
        <v>1093</v>
      </c>
      <c r="J3535" s="4">
        <v>3176</v>
      </c>
    </row>
    <row r="3536" spans="1:10" x14ac:dyDescent="0.75">
      <c r="A3536" t="s">
        <v>151</v>
      </c>
      <c r="B3536">
        <v>398</v>
      </c>
      <c r="C3536" t="s">
        <v>154</v>
      </c>
      <c r="D3536">
        <v>3271</v>
      </c>
      <c r="E3536" t="s">
        <v>437</v>
      </c>
      <c r="F3536" s="4">
        <v>0</v>
      </c>
      <c r="G3536" s="4">
        <v>3147</v>
      </c>
      <c r="H3536" s="4">
        <v>2399</v>
      </c>
      <c r="I3536" s="4">
        <v>748</v>
      </c>
      <c r="J3536" s="4">
        <v>3147</v>
      </c>
    </row>
    <row r="3537" spans="1:10" x14ac:dyDescent="0.75">
      <c r="A3537" t="s">
        <v>151</v>
      </c>
      <c r="B3537">
        <v>398</v>
      </c>
      <c r="C3537" t="s">
        <v>154</v>
      </c>
      <c r="D3537">
        <v>6521</v>
      </c>
      <c r="E3537" t="s">
        <v>476</v>
      </c>
      <c r="F3537" s="4">
        <v>0</v>
      </c>
      <c r="G3537" s="4">
        <v>2165</v>
      </c>
      <c r="H3537" s="4">
        <v>1752</v>
      </c>
      <c r="I3537" s="4">
        <v>413</v>
      </c>
      <c r="J3537" s="4">
        <v>2165</v>
      </c>
    </row>
    <row r="3538" spans="1:10" x14ac:dyDescent="0.75">
      <c r="A3538" t="s">
        <v>151</v>
      </c>
      <c r="B3538">
        <v>398</v>
      </c>
      <c r="C3538" t="s">
        <v>154</v>
      </c>
      <c r="D3538">
        <v>5210</v>
      </c>
      <c r="E3538" t="s">
        <v>463</v>
      </c>
      <c r="F3538" s="4">
        <v>0</v>
      </c>
      <c r="G3538" s="4">
        <v>2035</v>
      </c>
      <c r="H3538" s="4">
        <v>1854</v>
      </c>
      <c r="I3538" s="4">
        <v>181</v>
      </c>
      <c r="J3538" s="4">
        <v>2035</v>
      </c>
    </row>
    <row r="3539" spans="1:10" x14ac:dyDescent="0.75">
      <c r="A3539" t="s">
        <v>151</v>
      </c>
      <c r="B3539">
        <v>398</v>
      </c>
      <c r="C3539" t="s">
        <v>154</v>
      </c>
      <c r="D3539">
        <v>4630</v>
      </c>
      <c r="E3539" t="s">
        <v>456</v>
      </c>
      <c r="F3539" s="4">
        <v>0</v>
      </c>
      <c r="G3539" s="4">
        <v>1948</v>
      </c>
      <c r="H3539" s="4">
        <v>1844</v>
      </c>
      <c r="I3539" s="4">
        <v>104</v>
      </c>
      <c r="J3539" s="4">
        <v>1948</v>
      </c>
    </row>
    <row r="3540" spans="1:10" x14ac:dyDescent="0.75">
      <c r="A3540" t="s">
        <v>151</v>
      </c>
      <c r="B3540">
        <v>398</v>
      </c>
      <c r="C3540" t="s">
        <v>154</v>
      </c>
      <c r="D3540">
        <v>3281</v>
      </c>
      <c r="E3540" t="s">
        <v>439</v>
      </c>
      <c r="F3540" s="4">
        <v>0</v>
      </c>
      <c r="G3540" s="4">
        <v>1905</v>
      </c>
      <c r="H3540" s="4">
        <v>1193</v>
      </c>
      <c r="I3540" s="4">
        <v>712</v>
      </c>
      <c r="J3540" s="4">
        <v>1905</v>
      </c>
    </row>
    <row r="3541" spans="1:10" x14ac:dyDescent="0.75">
      <c r="A3541" t="s">
        <v>151</v>
      </c>
      <c r="B3541">
        <v>398</v>
      </c>
      <c r="C3541" t="s">
        <v>154</v>
      </c>
      <c r="D3541">
        <v>3272</v>
      </c>
      <c r="E3541" t="s">
        <v>504</v>
      </c>
      <c r="F3541" s="4">
        <v>0</v>
      </c>
      <c r="G3541" s="4">
        <v>1695</v>
      </c>
      <c r="H3541" s="4">
        <v>1558</v>
      </c>
      <c r="I3541" s="4">
        <v>137</v>
      </c>
      <c r="J3541" s="4">
        <v>1695</v>
      </c>
    </row>
    <row r="3542" spans="1:10" x14ac:dyDescent="0.75">
      <c r="A3542" t="s">
        <v>151</v>
      </c>
      <c r="B3542">
        <v>398</v>
      </c>
      <c r="C3542" t="s">
        <v>154</v>
      </c>
      <c r="D3542">
        <v>6534</v>
      </c>
      <c r="E3542" t="s">
        <v>508</v>
      </c>
      <c r="F3542" s="4">
        <v>0</v>
      </c>
      <c r="G3542" s="4">
        <v>1634</v>
      </c>
      <c r="H3542" s="4">
        <v>1446</v>
      </c>
      <c r="I3542" s="4">
        <v>188</v>
      </c>
      <c r="J3542" s="4">
        <v>1634</v>
      </c>
    </row>
    <row r="3543" spans="1:10" x14ac:dyDescent="0.75">
      <c r="A3543" t="s">
        <v>151</v>
      </c>
      <c r="B3543">
        <v>398</v>
      </c>
      <c r="C3543" t="s">
        <v>154</v>
      </c>
      <c r="D3543">
        <v>4410</v>
      </c>
      <c r="E3543" t="s">
        <v>399</v>
      </c>
      <c r="F3543" s="4">
        <v>0</v>
      </c>
      <c r="G3543" s="4">
        <v>883</v>
      </c>
      <c r="H3543" s="4">
        <v>757</v>
      </c>
      <c r="I3543" s="4">
        <v>126</v>
      </c>
      <c r="J3543" s="4">
        <v>883</v>
      </c>
    </row>
    <row r="3544" spans="1:10" x14ac:dyDescent="0.75">
      <c r="A3544" t="s">
        <v>151</v>
      </c>
      <c r="B3544">
        <v>398</v>
      </c>
      <c r="C3544" t="s">
        <v>154</v>
      </c>
      <c r="D3544">
        <v>6865</v>
      </c>
      <c r="E3544" t="s">
        <v>490</v>
      </c>
      <c r="F3544" s="4">
        <v>0</v>
      </c>
      <c r="G3544" s="4">
        <v>744</v>
      </c>
      <c r="H3544" s="4">
        <v>197</v>
      </c>
      <c r="I3544" s="4">
        <v>547</v>
      </c>
      <c r="J3544" s="4">
        <v>744</v>
      </c>
    </row>
    <row r="3545" spans="1:10" x14ac:dyDescent="0.75">
      <c r="A3545" t="s">
        <v>151</v>
      </c>
      <c r="B3545">
        <v>398</v>
      </c>
      <c r="C3545" t="s">
        <v>154</v>
      </c>
      <c r="D3545">
        <v>6241</v>
      </c>
      <c r="E3545" t="s">
        <v>391</v>
      </c>
      <c r="F3545" s="4">
        <v>0</v>
      </c>
      <c r="G3545" s="4">
        <v>596</v>
      </c>
      <c r="H3545" s="4">
        <v>126</v>
      </c>
      <c r="I3545" s="4">
        <v>470</v>
      </c>
      <c r="J3545" s="4">
        <v>596</v>
      </c>
    </row>
    <row r="3546" spans="1:10" x14ac:dyDescent="0.75">
      <c r="A3546" t="s">
        <v>151</v>
      </c>
      <c r="B3546">
        <v>398</v>
      </c>
      <c r="C3546" t="s">
        <v>154</v>
      </c>
      <c r="D3546">
        <v>1200</v>
      </c>
      <c r="E3546" t="s">
        <v>402</v>
      </c>
      <c r="F3546" s="4">
        <v>0</v>
      </c>
      <c r="G3546" s="4">
        <v>490</v>
      </c>
      <c r="H3546" s="4">
        <v>257</v>
      </c>
      <c r="I3546" s="4">
        <v>233</v>
      </c>
      <c r="J3546" s="4">
        <v>490</v>
      </c>
    </row>
    <row r="3547" spans="1:10" x14ac:dyDescent="0.75">
      <c r="A3547" t="s">
        <v>151</v>
      </c>
      <c r="B3547">
        <v>398</v>
      </c>
      <c r="C3547" t="s">
        <v>154</v>
      </c>
      <c r="D3547">
        <v>4515</v>
      </c>
      <c r="E3547" t="s">
        <v>455</v>
      </c>
      <c r="F3547" s="4">
        <v>0</v>
      </c>
      <c r="G3547" s="4">
        <v>478</v>
      </c>
      <c r="H3547" s="4">
        <v>392</v>
      </c>
      <c r="I3547" s="4">
        <v>86</v>
      </c>
      <c r="J3547" s="4">
        <v>478</v>
      </c>
    </row>
    <row r="3548" spans="1:10" x14ac:dyDescent="0.75">
      <c r="A3548" t="s">
        <v>151</v>
      </c>
      <c r="B3548">
        <v>398</v>
      </c>
      <c r="C3548" t="s">
        <v>154</v>
      </c>
      <c r="D3548">
        <v>3212</v>
      </c>
      <c r="E3548" t="s">
        <v>409</v>
      </c>
      <c r="F3548" s="4">
        <v>0</v>
      </c>
      <c r="G3548" s="4">
        <v>348</v>
      </c>
      <c r="H3548" s="4">
        <v>234</v>
      </c>
      <c r="I3548" s="4">
        <v>114</v>
      </c>
      <c r="J3548" s="4">
        <v>348</v>
      </c>
    </row>
    <row r="3549" spans="1:10" x14ac:dyDescent="0.75">
      <c r="A3549" t="s">
        <v>151</v>
      </c>
      <c r="B3549">
        <v>398</v>
      </c>
      <c r="C3549" t="s">
        <v>154</v>
      </c>
      <c r="D3549">
        <v>6443</v>
      </c>
      <c r="E3549" t="s">
        <v>473</v>
      </c>
      <c r="F3549" s="4">
        <v>0</v>
      </c>
      <c r="G3549" s="4">
        <v>201</v>
      </c>
      <c r="H3549" s="4">
        <v>201</v>
      </c>
      <c r="I3549" s="4">
        <v>0</v>
      </c>
      <c r="J3549" s="4">
        <v>201</v>
      </c>
    </row>
    <row r="3550" spans="1:10" x14ac:dyDescent="0.75">
      <c r="A3550" t="s">
        <v>151</v>
      </c>
      <c r="B3550">
        <v>398</v>
      </c>
      <c r="C3550" t="s">
        <v>154</v>
      </c>
      <c r="D3550">
        <v>6447</v>
      </c>
      <c r="E3550" t="s">
        <v>475</v>
      </c>
      <c r="F3550" s="4">
        <v>0</v>
      </c>
      <c r="G3550" s="4">
        <v>166</v>
      </c>
      <c r="H3550" s="4">
        <v>104</v>
      </c>
      <c r="I3550" s="4">
        <v>62</v>
      </c>
      <c r="J3550" s="4">
        <v>166</v>
      </c>
    </row>
    <row r="3551" spans="1:10" x14ac:dyDescent="0.75">
      <c r="A3551" t="s">
        <v>151</v>
      </c>
      <c r="B3551">
        <v>398</v>
      </c>
      <c r="C3551" t="s">
        <v>154</v>
      </c>
      <c r="D3551">
        <v>3120</v>
      </c>
      <c r="E3551" t="s">
        <v>406</v>
      </c>
      <c r="F3551" s="4">
        <v>0</v>
      </c>
      <c r="G3551" s="4">
        <v>108</v>
      </c>
      <c r="H3551" s="4">
        <v>90</v>
      </c>
      <c r="I3551" s="4">
        <v>18</v>
      </c>
      <c r="J3551" s="4">
        <v>108</v>
      </c>
    </row>
    <row r="3552" spans="1:10" x14ac:dyDescent="0.75">
      <c r="A3552" t="s">
        <v>151</v>
      </c>
      <c r="B3552">
        <v>398</v>
      </c>
      <c r="C3552" t="s">
        <v>154</v>
      </c>
      <c r="D3552">
        <v>4741</v>
      </c>
      <c r="E3552" t="s">
        <v>425</v>
      </c>
      <c r="F3552" s="4">
        <v>0</v>
      </c>
      <c r="G3552" s="4">
        <v>90</v>
      </c>
      <c r="H3552" s="4">
        <v>18</v>
      </c>
      <c r="I3552" s="4">
        <v>72</v>
      </c>
      <c r="J3552" s="4">
        <v>90</v>
      </c>
    </row>
    <row r="3553" spans="1:10" x14ac:dyDescent="0.75">
      <c r="A3553" t="s">
        <v>151</v>
      </c>
      <c r="B3553">
        <v>398</v>
      </c>
      <c r="C3553" t="s">
        <v>154</v>
      </c>
      <c r="D3553">
        <v>4327</v>
      </c>
      <c r="E3553" t="s">
        <v>454</v>
      </c>
      <c r="F3553" s="4">
        <v>0</v>
      </c>
      <c r="G3553" s="4">
        <v>18</v>
      </c>
      <c r="H3553" s="4">
        <v>0</v>
      </c>
      <c r="I3553" s="4">
        <v>18</v>
      </c>
      <c r="J3553" s="4">
        <v>18</v>
      </c>
    </row>
    <row r="3554" spans="1:10" x14ac:dyDescent="0.75">
      <c r="A3554" t="s">
        <v>151</v>
      </c>
      <c r="B3554">
        <v>398</v>
      </c>
      <c r="C3554" t="s">
        <v>154</v>
      </c>
      <c r="D3554">
        <v>4670</v>
      </c>
      <c r="E3554" t="s">
        <v>458</v>
      </c>
      <c r="F3554" s="4">
        <v>0</v>
      </c>
      <c r="G3554" s="4">
        <v>5</v>
      </c>
      <c r="H3554" s="4">
        <v>4</v>
      </c>
      <c r="I3554" s="4">
        <v>1</v>
      </c>
      <c r="J3554" s="4">
        <v>5</v>
      </c>
    </row>
    <row r="3555" spans="1:10" x14ac:dyDescent="0.75">
      <c r="A3555" t="s">
        <v>151</v>
      </c>
      <c r="B3555">
        <v>4831</v>
      </c>
      <c r="C3555" t="s">
        <v>207</v>
      </c>
      <c r="D3555">
        <v>2100</v>
      </c>
      <c r="E3555" t="s">
        <v>403</v>
      </c>
      <c r="F3555" s="4">
        <v>1980205</v>
      </c>
      <c r="G3555" s="4">
        <v>175446</v>
      </c>
      <c r="H3555" s="4">
        <v>175446</v>
      </c>
      <c r="I3555" s="4">
        <v>0</v>
      </c>
      <c r="J3555" s="4">
        <v>2155651</v>
      </c>
    </row>
    <row r="3556" spans="1:10" x14ac:dyDescent="0.75">
      <c r="A3556" t="s">
        <v>151</v>
      </c>
      <c r="B3556">
        <v>4831</v>
      </c>
      <c r="C3556" t="s">
        <v>207</v>
      </c>
      <c r="D3556">
        <v>2340</v>
      </c>
      <c r="E3556" t="s">
        <v>369</v>
      </c>
      <c r="F3556" s="4">
        <v>631244</v>
      </c>
      <c r="G3556" s="4">
        <v>0</v>
      </c>
      <c r="H3556" s="4">
        <v>0</v>
      </c>
      <c r="I3556" s="4">
        <v>0</v>
      </c>
      <c r="J3556" s="4">
        <v>631244</v>
      </c>
    </row>
    <row r="3557" spans="1:10" x14ac:dyDescent="0.75">
      <c r="A3557" t="s">
        <v>151</v>
      </c>
      <c r="B3557">
        <v>4831</v>
      </c>
      <c r="C3557" t="s">
        <v>207</v>
      </c>
      <c r="D3557">
        <v>2221</v>
      </c>
      <c r="E3557" t="s">
        <v>374</v>
      </c>
      <c r="F3557" s="4">
        <v>31630</v>
      </c>
      <c r="G3557" s="4">
        <v>335203</v>
      </c>
      <c r="H3557" s="4">
        <v>335203</v>
      </c>
      <c r="I3557" s="4">
        <v>0</v>
      </c>
      <c r="J3557" s="4">
        <v>366833</v>
      </c>
    </row>
    <row r="3558" spans="1:10" x14ac:dyDescent="0.75">
      <c r="A3558" t="s">
        <v>151</v>
      </c>
      <c r="B3558">
        <v>4831</v>
      </c>
      <c r="C3558" t="s">
        <v>207</v>
      </c>
      <c r="D3558">
        <v>2330</v>
      </c>
      <c r="E3558" t="s">
        <v>368</v>
      </c>
      <c r="F3558" s="4">
        <v>291784</v>
      </c>
      <c r="G3558" s="4">
        <v>0</v>
      </c>
      <c r="H3558" s="4">
        <v>0</v>
      </c>
      <c r="I3558" s="4">
        <v>0</v>
      </c>
      <c r="J3558" s="4">
        <v>291784</v>
      </c>
    </row>
    <row r="3559" spans="1:10" x14ac:dyDescent="0.75">
      <c r="A3559" t="s">
        <v>151</v>
      </c>
      <c r="B3559">
        <v>4831</v>
      </c>
      <c r="C3559" t="s">
        <v>207</v>
      </c>
      <c r="D3559">
        <v>2211</v>
      </c>
      <c r="E3559" t="s">
        <v>367</v>
      </c>
      <c r="F3559" s="4">
        <v>45204</v>
      </c>
      <c r="G3559" s="4">
        <v>0</v>
      </c>
      <c r="H3559" s="4">
        <v>0</v>
      </c>
      <c r="I3559" s="4">
        <v>0</v>
      </c>
      <c r="J3559" s="4">
        <v>45204</v>
      </c>
    </row>
    <row r="3560" spans="1:10" x14ac:dyDescent="0.75">
      <c r="A3560" t="s">
        <v>151</v>
      </c>
      <c r="B3560">
        <v>4831</v>
      </c>
      <c r="C3560" t="s">
        <v>207</v>
      </c>
      <c r="D3560">
        <v>2429</v>
      </c>
      <c r="E3560" t="s">
        <v>375</v>
      </c>
      <c r="F3560" s="4">
        <v>22128</v>
      </c>
      <c r="G3560" s="4">
        <v>0</v>
      </c>
      <c r="H3560" s="4">
        <v>0</v>
      </c>
      <c r="I3560" s="4">
        <v>0</v>
      </c>
      <c r="J3560" s="4">
        <v>22128</v>
      </c>
    </row>
    <row r="3561" spans="1:10" x14ac:dyDescent="0.75">
      <c r="A3561" t="s">
        <v>151</v>
      </c>
      <c r="B3561">
        <v>4916</v>
      </c>
      <c r="C3561" t="s">
        <v>74</v>
      </c>
      <c r="D3561">
        <v>2221</v>
      </c>
      <c r="E3561" t="s">
        <v>374</v>
      </c>
      <c r="F3561" s="4">
        <v>1759</v>
      </c>
      <c r="G3561" s="4">
        <v>64390</v>
      </c>
      <c r="H3561" s="4">
        <v>64390</v>
      </c>
      <c r="I3561" s="4">
        <v>0</v>
      </c>
      <c r="J3561" s="4">
        <v>66149</v>
      </c>
    </row>
    <row r="3562" spans="1:10" x14ac:dyDescent="0.75">
      <c r="A3562" t="s">
        <v>151</v>
      </c>
      <c r="B3562">
        <v>4916</v>
      </c>
      <c r="C3562" t="s">
        <v>74</v>
      </c>
      <c r="D3562">
        <v>2211</v>
      </c>
      <c r="E3562" t="s">
        <v>367</v>
      </c>
      <c r="F3562" s="4">
        <v>3611</v>
      </c>
      <c r="G3562" s="4">
        <v>18088</v>
      </c>
      <c r="H3562" s="4">
        <v>18088</v>
      </c>
      <c r="I3562" s="4">
        <v>0</v>
      </c>
      <c r="J3562" s="4">
        <v>21699</v>
      </c>
    </row>
    <row r="3563" spans="1:10" x14ac:dyDescent="0.75">
      <c r="A3563" t="s">
        <v>151</v>
      </c>
      <c r="B3563">
        <v>4916</v>
      </c>
      <c r="C3563" t="s">
        <v>74</v>
      </c>
      <c r="D3563">
        <v>2330</v>
      </c>
      <c r="E3563" t="s">
        <v>368</v>
      </c>
      <c r="F3563" s="4">
        <v>4835</v>
      </c>
      <c r="G3563" s="4">
        <v>7695</v>
      </c>
      <c r="H3563" s="4">
        <v>7695</v>
      </c>
      <c r="I3563" s="4">
        <v>0</v>
      </c>
      <c r="J3563" s="4">
        <v>12530</v>
      </c>
    </row>
    <row r="3564" spans="1:10" x14ac:dyDescent="0.75">
      <c r="A3564" t="s">
        <v>151</v>
      </c>
      <c r="B3564">
        <v>4916</v>
      </c>
      <c r="C3564" t="s">
        <v>74</v>
      </c>
      <c r="D3564">
        <v>7400</v>
      </c>
      <c r="E3564" t="s">
        <v>502</v>
      </c>
      <c r="F3564" s="4">
        <v>8075</v>
      </c>
      <c r="G3564" s="4">
        <v>0</v>
      </c>
      <c r="H3564" s="4">
        <v>0</v>
      </c>
      <c r="I3564" s="4">
        <v>0</v>
      </c>
      <c r="J3564" s="4">
        <v>8075</v>
      </c>
    </row>
    <row r="3565" spans="1:10" x14ac:dyDescent="0.75">
      <c r="A3565" t="s">
        <v>151</v>
      </c>
      <c r="B3565">
        <v>4916</v>
      </c>
      <c r="C3565" t="s">
        <v>74</v>
      </c>
      <c r="D3565">
        <v>2990</v>
      </c>
      <c r="E3565" t="s">
        <v>432</v>
      </c>
      <c r="F3565" s="4">
        <v>6022</v>
      </c>
      <c r="G3565" s="4">
        <v>0</v>
      </c>
      <c r="H3565" s="4">
        <v>0</v>
      </c>
      <c r="I3565" s="4">
        <v>0</v>
      </c>
      <c r="J3565" s="4">
        <v>6022</v>
      </c>
    </row>
    <row r="3566" spans="1:10" x14ac:dyDescent="0.75">
      <c r="A3566" t="s">
        <v>151</v>
      </c>
      <c r="B3566">
        <v>4916</v>
      </c>
      <c r="C3566" t="s">
        <v>74</v>
      </c>
      <c r="D3566">
        <v>7110</v>
      </c>
      <c r="E3566" t="s">
        <v>371</v>
      </c>
      <c r="F3566" s="4">
        <v>3649</v>
      </c>
      <c r="G3566" s="4">
        <v>0</v>
      </c>
      <c r="H3566" s="4">
        <v>0</v>
      </c>
      <c r="I3566" s="4">
        <v>0</v>
      </c>
      <c r="J3566" s="4">
        <v>3649</v>
      </c>
    </row>
    <row r="3567" spans="1:10" x14ac:dyDescent="0.75">
      <c r="A3567" t="s">
        <v>151</v>
      </c>
      <c r="B3567">
        <v>4916</v>
      </c>
      <c r="C3567" t="s">
        <v>74</v>
      </c>
      <c r="D3567">
        <v>4331</v>
      </c>
      <c r="E3567" t="s">
        <v>390</v>
      </c>
      <c r="F3567" s="4">
        <v>3352</v>
      </c>
      <c r="G3567" s="4">
        <v>0</v>
      </c>
      <c r="H3567" s="4">
        <v>0</v>
      </c>
      <c r="I3567" s="4">
        <v>0</v>
      </c>
      <c r="J3567" s="4">
        <v>3352</v>
      </c>
    </row>
    <row r="3568" spans="1:10" x14ac:dyDescent="0.75">
      <c r="A3568" t="s">
        <v>151</v>
      </c>
      <c r="B3568">
        <v>4916</v>
      </c>
      <c r="C3568" t="s">
        <v>74</v>
      </c>
      <c r="D3568">
        <v>5480</v>
      </c>
      <c r="E3568" t="s">
        <v>386</v>
      </c>
      <c r="F3568" s="4">
        <v>3051</v>
      </c>
      <c r="G3568" s="4">
        <v>0</v>
      </c>
      <c r="H3568" s="4">
        <v>0</v>
      </c>
      <c r="I3568" s="4">
        <v>0</v>
      </c>
      <c r="J3568" s="4">
        <v>3051</v>
      </c>
    </row>
    <row r="3569" spans="1:10" x14ac:dyDescent="0.75">
      <c r="A3569" t="s">
        <v>151</v>
      </c>
      <c r="B3569">
        <v>4916</v>
      </c>
      <c r="C3569" t="s">
        <v>74</v>
      </c>
      <c r="D3569">
        <v>7900</v>
      </c>
      <c r="E3569" t="s">
        <v>388</v>
      </c>
      <c r="F3569" s="4">
        <v>2885</v>
      </c>
      <c r="G3569" s="4">
        <v>0</v>
      </c>
      <c r="H3569" s="4">
        <v>0</v>
      </c>
      <c r="I3569" s="4">
        <v>0</v>
      </c>
      <c r="J3569" s="4">
        <v>2885</v>
      </c>
    </row>
    <row r="3570" spans="1:10" x14ac:dyDescent="0.75">
      <c r="A3570" t="s">
        <v>151</v>
      </c>
      <c r="B3570">
        <v>4916</v>
      </c>
      <c r="C3570" t="s">
        <v>74</v>
      </c>
      <c r="D3570">
        <v>7210</v>
      </c>
      <c r="E3570" t="s">
        <v>426</v>
      </c>
      <c r="F3570" s="4">
        <v>2639</v>
      </c>
      <c r="G3570" s="4">
        <v>0</v>
      </c>
      <c r="H3570" s="4">
        <v>0</v>
      </c>
      <c r="I3570" s="4">
        <v>0</v>
      </c>
      <c r="J3570" s="4">
        <v>2639</v>
      </c>
    </row>
    <row r="3571" spans="1:10" x14ac:dyDescent="0.75">
      <c r="A3571" t="s">
        <v>151</v>
      </c>
      <c r="B3571">
        <v>4916</v>
      </c>
      <c r="C3571" t="s">
        <v>74</v>
      </c>
      <c r="D3571">
        <v>5360</v>
      </c>
      <c r="E3571" t="s">
        <v>465</v>
      </c>
      <c r="F3571" s="4">
        <v>2560</v>
      </c>
      <c r="G3571" s="4">
        <v>0</v>
      </c>
      <c r="H3571" s="4">
        <v>0</v>
      </c>
      <c r="I3571" s="4">
        <v>0</v>
      </c>
      <c r="J3571" s="4">
        <v>2560</v>
      </c>
    </row>
    <row r="3572" spans="1:10" x14ac:dyDescent="0.75">
      <c r="A3572" t="s">
        <v>151</v>
      </c>
      <c r="B3572">
        <v>4916</v>
      </c>
      <c r="C3572" t="s">
        <v>74</v>
      </c>
      <c r="D3572">
        <v>6887</v>
      </c>
      <c r="E3572" t="s">
        <v>505</v>
      </c>
      <c r="F3572" s="4">
        <v>1635</v>
      </c>
      <c r="G3572" s="4">
        <v>0</v>
      </c>
      <c r="H3572" s="4">
        <v>0</v>
      </c>
      <c r="I3572" s="4">
        <v>0</v>
      </c>
      <c r="J3572" s="4">
        <v>1635</v>
      </c>
    </row>
    <row r="3573" spans="1:10" x14ac:dyDescent="0.75">
      <c r="A3573" t="s">
        <v>151</v>
      </c>
      <c r="B3573">
        <v>4916</v>
      </c>
      <c r="C3573" t="s">
        <v>74</v>
      </c>
      <c r="D3573">
        <v>6885</v>
      </c>
      <c r="E3573" t="s">
        <v>493</v>
      </c>
      <c r="F3573" s="4">
        <v>1270</v>
      </c>
      <c r="G3573" s="4">
        <v>0</v>
      </c>
      <c r="H3573" s="4">
        <v>0</v>
      </c>
      <c r="I3573" s="4">
        <v>0</v>
      </c>
      <c r="J3573" s="4">
        <v>1270</v>
      </c>
    </row>
    <row r="3574" spans="1:10" x14ac:dyDescent="0.75">
      <c r="A3574" t="s">
        <v>151</v>
      </c>
      <c r="B3574">
        <v>4916</v>
      </c>
      <c r="C3574" t="s">
        <v>74</v>
      </c>
      <c r="D3574">
        <v>4189</v>
      </c>
      <c r="E3574" t="s">
        <v>451</v>
      </c>
      <c r="F3574" s="4">
        <v>1067</v>
      </c>
      <c r="G3574" s="4">
        <v>0</v>
      </c>
      <c r="H3574" s="4">
        <v>0</v>
      </c>
      <c r="I3574" s="4">
        <v>0</v>
      </c>
      <c r="J3574" s="4">
        <v>1067</v>
      </c>
    </row>
    <row r="3575" spans="1:10" x14ac:dyDescent="0.75">
      <c r="A3575" t="s">
        <v>151</v>
      </c>
      <c r="B3575">
        <v>4916</v>
      </c>
      <c r="C3575" t="s">
        <v>74</v>
      </c>
      <c r="D3575">
        <v>5540</v>
      </c>
      <c r="E3575" t="s">
        <v>469</v>
      </c>
      <c r="F3575" s="4">
        <v>435</v>
      </c>
      <c r="G3575" s="4">
        <v>0</v>
      </c>
      <c r="H3575" s="4">
        <v>0</v>
      </c>
      <c r="I3575" s="4">
        <v>0</v>
      </c>
      <c r="J3575" s="4">
        <v>435</v>
      </c>
    </row>
    <row r="3576" spans="1:10" x14ac:dyDescent="0.75">
      <c r="A3576" t="s">
        <v>151</v>
      </c>
      <c r="B3576">
        <v>4916</v>
      </c>
      <c r="C3576" t="s">
        <v>74</v>
      </c>
      <c r="D3576">
        <v>3299</v>
      </c>
      <c r="E3576" t="s">
        <v>448</v>
      </c>
      <c r="F3576" s="4">
        <v>416</v>
      </c>
      <c r="G3576" s="4">
        <v>0</v>
      </c>
      <c r="H3576" s="4">
        <v>0</v>
      </c>
      <c r="I3576" s="4">
        <v>0</v>
      </c>
      <c r="J3576" s="4">
        <v>416</v>
      </c>
    </row>
    <row r="3577" spans="1:10" x14ac:dyDescent="0.75">
      <c r="A3577" t="s">
        <v>151</v>
      </c>
      <c r="B3577">
        <v>4916</v>
      </c>
      <c r="C3577" t="s">
        <v>74</v>
      </c>
      <c r="D3577">
        <v>4783</v>
      </c>
      <c r="E3577" t="s">
        <v>382</v>
      </c>
      <c r="F3577" s="4">
        <v>405</v>
      </c>
      <c r="G3577" s="4">
        <v>0</v>
      </c>
      <c r="H3577" s="4">
        <v>0</v>
      </c>
      <c r="I3577" s="4">
        <v>0</v>
      </c>
      <c r="J3577" s="4">
        <v>405</v>
      </c>
    </row>
    <row r="3578" spans="1:10" x14ac:dyDescent="0.75">
      <c r="A3578" t="s">
        <v>151</v>
      </c>
      <c r="B3578">
        <v>4916</v>
      </c>
      <c r="C3578" t="s">
        <v>74</v>
      </c>
      <c r="D3578">
        <v>5370</v>
      </c>
      <c r="E3578" t="s">
        <v>466</v>
      </c>
      <c r="F3578" s="4">
        <v>338</v>
      </c>
      <c r="G3578" s="4">
        <v>0</v>
      </c>
      <c r="H3578" s="4">
        <v>0</v>
      </c>
      <c r="I3578" s="4">
        <v>0</v>
      </c>
      <c r="J3578" s="4">
        <v>338</v>
      </c>
    </row>
    <row r="3579" spans="1:10" x14ac:dyDescent="0.75">
      <c r="A3579" t="s">
        <v>151</v>
      </c>
      <c r="B3579">
        <v>4916</v>
      </c>
      <c r="C3579" t="s">
        <v>74</v>
      </c>
      <c r="D3579">
        <v>3220</v>
      </c>
      <c r="E3579" t="s">
        <v>370</v>
      </c>
      <c r="F3579" s="4">
        <v>292</v>
      </c>
      <c r="G3579" s="4">
        <v>0</v>
      </c>
      <c r="H3579" s="4">
        <v>0</v>
      </c>
      <c r="I3579" s="4">
        <v>0</v>
      </c>
      <c r="J3579" s="4">
        <v>292</v>
      </c>
    </row>
    <row r="3580" spans="1:10" x14ac:dyDescent="0.75">
      <c r="A3580" t="s">
        <v>151</v>
      </c>
      <c r="B3580">
        <v>4916</v>
      </c>
      <c r="C3580" t="s">
        <v>74</v>
      </c>
      <c r="D3580">
        <v>7230</v>
      </c>
      <c r="E3580" t="s">
        <v>387</v>
      </c>
      <c r="F3580" s="4">
        <v>162</v>
      </c>
      <c r="G3580" s="4">
        <v>0</v>
      </c>
      <c r="H3580" s="4">
        <v>0</v>
      </c>
      <c r="I3580" s="4">
        <v>0</v>
      </c>
      <c r="J3580" s="4">
        <v>162</v>
      </c>
    </row>
    <row r="3581" spans="1:10" x14ac:dyDescent="0.75">
      <c r="A3581" t="s">
        <v>151</v>
      </c>
      <c r="B3581">
        <v>4916</v>
      </c>
      <c r="C3581" t="s">
        <v>74</v>
      </c>
      <c r="D3581">
        <v>5240</v>
      </c>
      <c r="E3581" t="s">
        <v>464</v>
      </c>
      <c r="F3581" s="4">
        <v>99</v>
      </c>
      <c r="G3581" s="4">
        <v>0</v>
      </c>
      <c r="H3581" s="4">
        <v>0</v>
      </c>
      <c r="I3581" s="4">
        <v>0</v>
      </c>
      <c r="J3581" s="4">
        <v>99</v>
      </c>
    </row>
    <row r="3582" spans="1:10" x14ac:dyDescent="0.75">
      <c r="A3582" t="s">
        <v>151</v>
      </c>
      <c r="B3582">
        <v>4916</v>
      </c>
      <c r="C3582" t="s">
        <v>74</v>
      </c>
      <c r="D3582">
        <v>6782</v>
      </c>
      <c r="E3582" t="s">
        <v>396</v>
      </c>
      <c r="F3582" s="4">
        <v>84</v>
      </c>
      <c r="G3582" s="4">
        <v>0</v>
      </c>
      <c r="H3582" s="4">
        <v>0</v>
      </c>
      <c r="I3582" s="4">
        <v>0</v>
      </c>
      <c r="J3582" s="4">
        <v>84</v>
      </c>
    </row>
    <row r="3583" spans="1:10" x14ac:dyDescent="0.75">
      <c r="A3583" t="s">
        <v>151</v>
      </c>
      <c r="B3583">
        <v>4916</v>
      </c>
      <c r="C3583" t="s">
        <v>74</v>
      </c>
      <c r="D3583">
        <v>5190</v>
      </c>
      <c r="E3583" t="s">
        <v>462</v>
      </c>
      <c r="F3583" s="4">
        <v>70</v>
      </c>
      <c r="G3583" s="4">
        <v>0</v>
      </c>
      <c r="H3583" s="4">
        <v>0</v>
      </c>
      <c r="I3583" s="4">
        <v>0</v>
      </c>
      <c r="J3583" s="4">
        <v>70</v>
      </c>
    </row>
    <row r="3584" spans="1:10" x14ac:dyDescent="0.75">
      <c r="A3584" t="s">
        <v>151</v>
      </c>
      <c r="B3584">
        <v>4916</v>
      </c>
      <c r="C3584" t="s">
        <v>74</v>
      </c>
      <c r="D3584">
        <v>7120</v>
      </c>
      <c r="E3584" t="s">
        <v>499</v>
      </c>
      <c r="F3584" s="4">
        <v>65</v>
      </c>
      <c r="G3584" s="4">
        <v>0</v>
      </c>
      <c r="H3584" s="4">
        <v>0</v>
      </c>
      <c r="I3584" s="4">
        <v>0</v>
      </c>
      <c r="J3584" s="4">
        <v>65</v>
      </c>
    </row>
    <row r="3585" spans="1:10" x14ac:dyDescent="0.75">
      <c r="A3585" t="s">
        <v>151</v>
      </c>
      <c r="B3585">
        <v>4916</v>
      </c>
      <c r="C3585" t="s">
        <v>74</v>
      </c>
      <c r="D3585">
        <v>5290</v>
      </c>
      <c r="E3585" t="s">
        <v>415</v>
      </c>
      <c r="F3585" s="4">
        <v>28</v>
      </c>
      <c r="G3585" s="4">
        <v>0</v>
      </c>
      <c r="H3585" s="4">
        <v>0</v>
      </c>
      <c r="I3585" s="4">
        <v>0</v>
      </c>
      <c r="J3585" s="4">
        <v>28</v>
      </c>
    </row>
    <row r="3586" spans="1:10" x14ac:dyDescent="0.75">
      <c r="A3586" t="s">
        <v>151</v>
      </c>
      <c r="B3586">
        <v>4916</v>
      </c>
      <c r="C3586" t="s">
        <v>74</v>
      </c>
      <c r="D3586">
        <v>7500</v>
      </c>
      <c r="E3586" t="s">
        <v>427</v>
      </c>
      <c r="F3586" s="4">
        <v>11</v>
      </c>
      <c r="G3586" s="4">
        <v>0</v>
      </c>
      <c r="H3586" s="4">
        <v>0</v>
      </c>
      <c r="I3586" s="4">
        <v>0</v>
      </c>
      <c r="J3586" s="4">
        <v>11</v>
      </c>
    </row>
    <row r="3587" spans="1:10" x14ac:dyDescent="0.75">
      <c r="A3587" t="s">
        <v>151</v>
      </c>
      <c r="B3587">
        <v>4916</v>
      </c>
      <c r="C3587" t="s">
        <v>74</v>
      </c>
      <c r="D3587">
        <v>3282</v>
      </c>
      <c r="E3587" t="s">
        <v>440</v>
      </c>
      <c r="F3587" s="4">
        <v>3</v>
      </c>
      <c r="G3587" s="4">
        <v>0</v>
      </c>
      <c r="H3587" s="4">
        <v>0</v>
      </c>
      <c r="I3587" s="4">
        <v>0</v>
      </c>
      <c r="J3587" s="4">
        <v>3</v>
      </c>
    </row>
    <row r="3588" spans="1:10" x14ac:dyDescent="0.75">
      <c r="A3588" t="s">
        <v>160</v>
      </c>
      <c r="B3588">
        <v>3743</v>
      </c>
      <c r="C3588" t="s">
        <v>162</v>
      </c>
      <c r="D3588">
        <v>4410</v>
      </c>
      <c r="E3588" t="s">
        <v>399</v>
      </c>
      <c r="F3588" s="4">
        <v>21856685</v>
      </c>
      <c r="G3588" s="4">
        <v>87952</v>
      </c>
      <c r="H3588" s="4">
        <v>87952</v>
      </c>
      <c r="I3588" s="4">
        <v>0</v>
      </c>
      <c r="J3588" s="4">
        <v>21944637</v>
      </c>
    </row>
    <row r="3589" spans="1:10" x14ac:dyDescent="0.75">
      <c r="A3589" t="s">
        <v>160</v>
      </c>
      <c r="B3589">
        <v>3743</v>
      </c>
      <c r="C3589" t="s">
        <v>162</v>
      </c>
      <c r="D3589">
        <v>4322</v>
      </c>
      <c r="E3589" t="s">
        <v>398</v>
      </c>
      <c r="F3589" s="4">
        <v>3131592</v>
      </c>
      <c r="G3589" s="4">
        <v>0</v>
      </c>
      <c r="H3589" s="4">
        <v>0</v>
      </c>
      <c r="I3589" s="4">
        <v>0</v>
      </c>
      <c r="J3589" s="4">
        <v>3131592</v>
      </c>
    </row>
    <row r="3590" spans="1:10" x14ac:dyDescent="0.75">
      <c r="A3590" t="s">
        <v>160</v>
      </c>
      <c r="B3590">
        <v>3743</v>
      </c>
      <c r="C3590" t="s">
        <v>162</v>
      </c>
      <c r="D3590">
        <v>2430</v>
      </c>
      <c r="E3590" t="s">
        <v>376</v>
      </c>
      <c r="F3590" s="4">
        <v>1620457</v>
      </c>
      <c r="G3590" s="4">
        <v>19609</v>
      </c>
      <c r="H3590" s="4">
        <v>19609</v>
      </c>
      <c r="I3590" s="4">
        <v>0</v>
      </c>
      <c r="J3590" s="4">
        <v>1640066</v>
      </c>
    </row>
    <row r="3591" spans="1:10" x14ac:dyDescent="0.75">
      <c r="A3591" t="s">
        <v>160</v>
      </c>
      <c r="B3591">
        <v>3743</v>
      </c>
      <c r="C3591" t="s">
        <v>162</v>
      </c>
      <c r="D3591">
        <v>4860</v>
      </c>
      <c r="E3591" t="s">
        <v>400</v>
      </c>
      <c r="F3591" s="4">
        <v>1117196</v>
      </c>
      <c r="G3591" s="4">
        <v>0</v>
      </c>
      <c r="H3591" s="4">
        <v>0</v>
      </c>
      <c r="I3591" s="4">
        <v>0</v>
      </c>
      <c r="J3591" s="4">
        <v>1117196</v>
      </c>
    </row>
    <row r="3592" spans="1:10" x14ac:dyDescent="0.75">
      <c r="A3592" t="s">
        <v>160</v>
      </c>
      <c r="B3592">
        <v>3743</v>
      </c>
      <c r="C3592" t="s">
        <v>162</v>
      </c>
      <c r="D3592">
        <v>4420</v>
      </c>
      <c r="E3592" t="s">
        <v>381</v>
      </c>
      <c r="F3592" s="4">
        <v>308142</v>
      </c>
      <c r="G3592" s="4">
        <v>0</v>
      </c>
      <c r="H3592" s="4">
        <v>0</v>
      </c>
      <c r="I3592" s="4">
        <v>0</v>
      </c>
      <c r="J3592" s="4">
        <v>308142</v>
      </c>
    </row>
    <row r="3593" spans="1:10" x14ac:dyDescent="0.75">
      <c r="A3593" t="s">
        <v>160</v>
      </c>
      <c r="B3593">
        <v>3743</v>
      </c>
      <c r="C3593" t="s">
        <v>162</v>
      </c>
      <c r="D3593">
        <v>5330</v>
      </c>
      <c r="E3593" t="s">
        <v>385</v>
      </c>
      <c r="F3593" s="4">
        <v>201414</v>
      </c>
      <c r="G3593" s="4">
        <v>95807</v>
      </c>
      <c r="H3593" s="4">
        <v>95807</v>
      </c>
      <c r="I3593" s="4">
        <v>0</v>
      </c>
      <c r="J3593" s="4">
        <v>297221</v>
      </c>
    </row>
    <row r="3594" spans="1:10" x14ac:dyDescent="0.75">
      <c r="A3594" t="s">
        <v>160</v>
      </c>
      <c r="B3594">
        <v>3743</v>
      </c>
      <c r="C3594" t="s">
        <v>162</v>
      </c>
      <c r="D3594">
        <v>4783</v>
      </c>
      <c r="E3594" t="s">
        <v>382</v>
      </c>
      <c r="F3594" s="4">
        <v>74424</v>
      </c>
      <c r="G3594" s="4">
        <v>199540</v>
      </c>
      <c r="H3594" s="4">
        <v>199540</v>
      </c>
      <c r="I3594" s="4">
        <v>0</v>
      </c>
      <c r="J3594" s="4">
        <v>273964</v>
      </c>
    </row>
    <row r="3595" spans="1:10" x14ac:dyDescent="0.75">
      <c r="A3595" t="s">
        <v>160</v>
      </c>
      <c r="B3595">
        <v>3743</v>
      </c>
      <c r="C3595" t="s">
        <v>162</v>
      </c>
      <c r="D3595">
        <v>2330</v>
      </c>
      <c r="E3595" t="s">
        <v>368</v>
      </c>
      <c r="F3595" s="4">
        <v>267096</v>
      </c>
      <c r="G3595" s="4">
        <v>0</v>
      </c>
      <c r="H3595" s="4">
        <v>0</v>
      </c>
      <c r="I3595" s="4">
        <v>0</v>
      </c>
      <c r="J3595" s="4">
        <v>267096</v>
      </c>
    </row>
    <row r="3596" spans="1:10" x14ac:dyDescent="0.75">
      <c r="A3596" t="s">
        <v>160</v>
      </c>
      <c r="B3596">
        <v>3743</v>
      </c>
      <c r="C3596" t="s">
        <v>162</v>
      </c>
      <c r="D3596">
        <v>4323</v>
      </c>
      <c r="E3596" t="s">
        <v>373</v>
      </c>
      <c r="F3596" s="4">
        <v>189930</v>
      </c>
      <c r="G3596" s="4">
        <v>0</v>
      </c>
      <c r="H3596" s="4">
        <v>0</v>
      </c>
      <c r="I3596" s="4">
        <v>0</v>
      </c>
      <c r="J3596" s="4">
        <v>189930</v>
      </c>
    </row>
    <row r="3597" spans="1:10" x14ac:dyDescent="0.75">
      <c r="A3597" t="s">
        <v>160</v>
      </c>
      <c r="B3597">
        <v>3743</v>
      </c>
      <c r="C3597" t="s">
        <v>162</v>
      </c>
      <c r="D3597">
        <v>4782</v>
      </c>
      <c r="E3597" t="s">
        <v>414</v>
      </c>
      <c r="F3597" s="4">
        <v>175069</v>
      </c>
      <c r="G3597" s="4">
        <v>0</v>
      </c>
      <c r="H3597" s="4">
        <v>0</v>
      </c>
      <c r="I3597" s="4">
        <v>0</v>
      </c>
      <c r="J3597" s="4">
        <v>175069</v>
      </c>
    </row>
    <row r="3598" spans="1:10" x14ac:dyDescent="0.75">
      <c r="A3598" t="s">
        <v>160</v>
      </c>
      <c r="B3598">
        <v>3743</v>
      </c>
      <c r="C3598" t="s">
        <v>162</v>
      </c>
      <c r="D3598">
        <v>5320</v>
      </c>
      <c r="E3598" t="s">
        <v>384</v>
      </c>
      <c r="F3598" s="4">
        <v>28784</v>
      </c>
      <c r="G3598" s="4">
        <v>119353</v>
      </c>
      <c r="H3598" s="4">
        <v>119353</v>
      </c>
      <c r="I3598" s="4">
        <v>0</v>
      </c>
      <c r="J3598" s="4">
        <v>148137</v>
      </c>
    </row>
    <row r="3599" spans="1:10" x14ac:dyDescent="0.75">
      <c r="A3599" t="s">
        <v>160</v>
      </c>
      <c r="B3599">
        <v>3743</v>
      </c>
      <c r="C3599" t="s">
        <v>162</v>
      </c>
      <c r="D3599">
        <v>1200</v>
      </c>
      <c r="E3599" t="s">
        <v>402</v>
      </c>
      <c r="F3599" s="4">
        <v>103890</v>
      </c>
      <c r="G3599" s="4">
        <v>0</v>
      </c>
      <c r="H3599" s="4">
        <v>0</v>
      </c>
      <c r="I3599" s="4">
        <v>0</v>
      </c>
      <c r="J3599" s="4">
        <v>103890</v>
      </c>
    </row>
    <row r="3600" spans="1:10" x14ac:dyDescent="0.75">
      <c r="A3600" t="s">
        <v>160</v>
      </c>
      <c r="B3600">
        <v>3743</v>
      </c>
      <c r="C3600" t="s">
        <v>162</v>
      </c>
      <c r="D3600">
        <v>5312</v>
      </c>
      <c r="E3600" t="s">
        <v>416</v>
      </c>
      <c r="F3600" s="4">
        <v>73095</v>
      </c>
      <c r="G3600" s="4">
        <v>485</v>
      </c>
      <c r="H3600" s="4">
        <v>485</v>
      </c>
      <c r="I3600" s="4">
        <v>0</v>
      </c>
      <c r="J3600" s="4">
        <v>73580</v>
      </c>
    </row>
    <row r="3601" spans="1:10" x14ac:dyDescent="0.75">
      <c r="A3601" t="s">
        <v>160</v>
      </c>
      <c r="B3601">
        <v>3743</v>
      </c>
      <c r="C3601" t="s">
        <v>162</v>
      </c>
      <c r="D3601">
        <v>4900</v>
      </c>
      <c r="E3601" t="s">
        <v>383</v>
      </c>
      <c r="F3601" s="4">
        <v>72394</v>
      </c>
      <c r="G3601" s="4">
        <v>0</v>
      </c>
      <c r="H3601" s="4">
        <v>0</v>
      </c>
      <c r="I3601" s="4">
        <v>0</v>
      </c>
      <c r="J3601" s="4">
        <v>72394</v>
      </c>
    </row>
    <row r="3602" spans="1:10" x14ac:dyDescent="0.75">
      <c r="A3602" t="s">
        <v>160</v>
      </c>
      <c r="B3602">
        <v>3743</v>
      </c>
      <c r="C3602" t="s">
        <v>162</v>
      </c>
      <c r="D3602">
        <v>4650</v>
      </c>
      <c r="E3602" t="s">
        <v>457</v>
      </c>
      <c r="F3602" s="4">
        <v>0</v>
      </c>
      <c r="G3602" s="4">
        <v>70254</v>
      </c>
      <c r="H3602" s="4">
        <v>70254</v>
      </c>
      <c r="I3602" s="4">
        <v>0</v>
      </c>
      <c r="J3602" s="4">
        <v>70254</v>
      </c>
    </row>
    <row r="3603" spans="1:10" x14ac:dyDescent="0.75">
      <c r="A3603" t="s">
        <v>160</v>
      </c>
      <c r="B3603">
        <v>3743</v>
      </c>
      <c r="C3603" t="s">
        <v>162</v>
      </c>
      <c r="D3603">
        <v>1100</v>
      </c>
      <c r="E3603" t="s">
        <v>397</v>
      </c>
      <c r="F3603" s="4">
        <v>57320</v>
      </c>
      <c r="G3603" s="4">
        <v>6775</v>
      </c>
      <c r="H3603" s="4">
        <v>6775</v>
      </c>
      <c r="I3603" s="4">
        <v>0</v>
      </c>
      <c r="J3603" s="4">
        <v>64095</v>
      </c>
    </row>
    <row r="3604" spans="1:10" x14ac:dyDescent="0.75">
      <c r="A3604" t="s">
        <v>160</v>
      </c>
      <c r="B3604">
        <v>3743</v>
      </c>
      <c r="C3604" t="s">
        <v>162</v>
      </c>
      <c r="D3604">
        <v>4331</v>
      </c>
      <c r="E3604" t="s">
        <v>390</v>
      </c>
      <c r="F3604" s="4">
        <v>56192</v>
      </c>
      <c r="G3604" s="4">
        <v>0</v>
      </c>
      <c r="H3604" s="4">
        <v>0</v>
      </c>
      <c r="I3604" s="4">
        <v>0</v>
      </c>
      <c r="J3604" s="4">
        <v>56192</v>
      </c>
    </row>
    <row r="3605" spans="1:10" x14ac:dyDescent="0.75">
      <c r="A3605" t="s">
        <v>160</v>
      </c>
      <c r="B3605">
        <v>3743</v>
      </c>
      <c r="C3605" t="s">
        <v>162</v>
      </c>
      <c r="D3605">
        <v>3110</v>
      </c>
      <c r="E3605" t="s">
        <v>405</v>
      </c>
      <c r="F3605" s="4">
        <v>53392</v>
      </c>
      <c r="G3605" s="4">
        <v>0</v>
      </c>
      <c r="H3605" s="4">
        <v>0</v>
      </c>
      <c r="I3605" s="4">
        <v>0</v>
      </c>
      <c r="J3605" s="4">
        <v>53392</v>
      </c>
    </row>
    <row r="3606" spans="1:10" x14ac:dyDescent="0.75">
      <c r="A3606" t="s">
        <v>160</v>
      </c>
      <c r="B3606">
        <v>3743</v>
      </c>
      <c r="C3606" t="s">
        <v>162</v>
      </c>
      <c r="D3606">
        <v>2350</v>
      </c>
      <c r="E3606" t="s">
        <v>404</v>
      </c>
      <c r="F3606" s="4">
        <v>41874</v>
      </c>
      <c r="G3606" s="4">
        <v>0</v>
      </c>
      <c r="H3606" s="4">
        <v>0</v>
      </c>
      <c r="I3606" s="4">
        <v>0</v>
      </c>
      <c r="J3606" s="4">
        <v>41874</v>
      </c>
    </row>
    <row r="3607" spans="1:10" x14ac:dyDescent="0.75">
      <c r="A3607" t="s">
        <v>160</v>
      </c>
      <c r="B3607">
        <v>3743</v>
      </c>
      <c r="C3607" t="s">
        <v>162</v>
      </c>
      <c r="D3607">
        <v>5360</v>
      </c>
      <c r="E3607" t="s">
        <v>465</v>
      </c>
      <c r="F3607" s="4">
        <v>3042</v>
      </c>
      <c r="G3607" s="4">
        <v>37511</v>
      </c>
      <c r="H3607" s="4">
        <v>37511</v>
      </c>
      <c r="I3607" s="4">
        <v>0</v>
      </c>
      <c r="J3607" s="4">
        <v>40553</v>
      </c>
    </row>
    <row r="3608" spans="1:10" x14ac:dyDescent="0.75">
      <c r="A3608" t="s">
        <v>160</v>
      </c>
      <c r="B3608">
        <v>3743</v>
      </c>
      <c r="C3608" t="s">
        <v>162</v>
      </c>
      <c r="D3608">
        <v>2340</v>
      </c>
      <c r="E3608" t="s">
        <v>369</v>
      </c>
      <c r="F3608" s="4">
        <v>39985</v>
      </c>
      <c r="G3608" s="4">
        <v>0</v>
      </c>
      <c r="H3608" s="4">
        <v>0</v>
      </c>
      <c r="I3608" s="4">
        <v>0</v>
      </c>
      <c r="J3608" s="4">
        <v>39985</v>
      </c>
    </row>
    <row r="3609" spans="1:10" x14ac:dyDescent="0.75">
      <c r="A3609" t="s">
        <v>160</v>
      </c>
      <c r="B3609">
        <v>3743</v>
      </c>
      <c r="C3609" t="s">
        <v>162</v>
      </c>
      <c r="D3609">
        <v>3276</v>
      </c>
      <c r="E3609" t="s">
        <v>379</v>
      </c>
      <c r="F3609" s="4">
        <v>36420</v>
      </c>
      <c r="G3609" s="4">
        <v>0</v>
      </c>
      <c r="H3609" s="4">
        <v>0</v>
      </c>
      <c r="I3609" s="4">
        <v>0</v>
      </c>
      <c r="J3609" s="4">
        <v>36420</v>
      </c>
    </row>
    <row r="3610" spans="1:10" x14ac:dyDescent="0.75">
      <c r="A3610" t="s">
        <v>160</v>
      </c>
      <c r="B3610">
        <v>3743</v>
      </c>
      <c r="C3610" t="s">
        <v>162</v>
      </c>
      <c r="D3610">
        <v>2540</v>
      </c>
      <c r="E3610" t="s">
        <v>377</v>
      </c>
      <c r="F3610" s="4">
        <v>21906</v>
      </c>
      <c r="G3610" s="4">
        <v>0</v>
      </c>
      <c r="H3610" s="4">
        <v>0</v>
      </c>
      <c r="I3610" s="4">
        <v>0</v>
      </c>
      <c r="J3610" s="4">
        <v>21906</v>
      </c>
    </row>
    <row r="3611" spans="1:10" x14ac:dyDescent="0.75">
      <c r="A3611" t="s">
        <v>160</v>
      </c>
      <c r="B3611">
        <v>3743</v>
      </c>
      <c r="C3611" t="s">
        <v>162</v>
      </c>
      <c r="D3611">
        <v>5315</v>
      </c>
      <c r="E3611" t="s">
        <v>417</v>
      </c>
      <c r="F3611" s="4">
        <v>16950</v>
      </c>
      <c r="G3611" s="4">
        <v>0</v>
      </c>
      <c r="H3611" s="4">
        <v>0</v>
      </c>
      <c r="I3611" s="4">
        <v>0</v>
      </c>
      <c r="J3611" s="4">
        <v>16950</v>
      </c>
    </row>
    <row r="3612" spans="1:10" x14ac:dyDescent="0.75">
      <c r="A3612" t="s">
        <v>160</v>
      </c>
      <c r="B3612">
        <v>3743</v>
      </c>
      <c r="C3612" t="s">
        <v>162</v>
      </c>
      <c r="D3612">
        <v>5390</v>
      </c>
      <c r="E3612" t="s">
        <v>418</v>
      </c>
      <c r="F3612" s="4">
        <v>15680</v>
      </c>
      <c r="G3612" s="4">
        <v>0</v>
      </c>
      <c r="H3612" s="4">
        <v>0</v>
      </c>
      <c r="I3612" s="4">
        <v>0</v>
      </c>
      <c r="J3612" s="4">
        <v>15680</v>
      </c>
    </row>
    <row r="3613" spans="1:10" x14ac:dyDescent="0.75">
      <c r="A3613" t="s">
        <v>160</v>
      </c>
      <c r="B3613">
        <v>3743</v>
      </c>
      <c r="C3613" t="s">
        <v>162</v>
      </c>
      <c r="D3613">
        <v>5480</v>
      </c>
      <c r="E3613" t="s">
        <v>386</v>
      </c>
      <c r="F3613" s="4">
        <v>0</v>
      </c>
      <c r="G3613" s="4">
        <v>14545</v>
      </c>
      <c r="H3613" s="4">
        <v>14545</v>
      </c>
      <c r="I3613" s="4">
        <v>0</v>
      </c>
      <c r="J3613" s="4">
        <v>14545</v>
      </c>
    </row>
    <row r="3614" spans="1:10" x14ac:dyDescent="0.75">
      <c r="A3614" t="s">
        <v>160</v>
      </c>
      <c r="B3614">
        <v>3743</v>
      </c>
      <c r="C3614" t="s">
        <v>162</v>
      </c>
      <c r="D3614">
        <v>3130</v>
      </c>
      <c r="E3614" t="s">
        <v>407</v>
      </c>
      <c r="F3614" s="4">
        <v>13962</v>
      </c>
      <c r="G3614" s="4">
        <v>0</v>
      </c>
      <c r="H3614" s="4">
        <v>0</v>
      </c>
      <c r="I3614" s="4">
        <v>0</v>
      </c>
      <c r="J3614" s="4">
        <v>13962</v>
      </c>
    </row>
    <row r="3615" spans="1:10" x14ac:dyDescent="0.75">
      <c r="A3615" t="s">
        <v>160</v>
      </c>
      <c r="B3615">
        <v>3743</v>
      </c>
      <c r="C3615" t="s">
        <v>162</v>
      </c>
      <c r="D3615">
        <v>3275</v>
      </c>
      <c r="E3615" t="s">
        <v>412</v>
      </c>
      <c r="F3615" s="4">
        <v>10653</v>
      </c>
      <c r="G3615" s="4">
        <v>0</v>
      </c>
      <c r="H3615" s="4">
        <v>0</v>
      </c>
      <c r="I3615" s="4">
        <v>0</v>
      </c>
      <c r="J3615" s="4">
        <v>10653</v>
      </c>
    </row>
    <row r="3616" spans="1:10" x14ac:dyDescent="0.75">
      <c r="A3616" t="s">
        <v>160</v>
      </c>
      <c r="B3616">
        <v>3743</v>
      </c>
      <c r="C3616" t="s">
        <v>162</v>
      </c>
      <c r="D3616">
        <v>3190</v>
      </c>
      <c r="E3616" t="s">
        <v>408</v>
      </c>
      <c r="F3616" s="4">
        <v>4696</v>
      </c>
      <c r="G3616" s="4">
        <v>0</v>
      </c>
      <c r="H3616" s="4">
        <v>0</v>
      </c>
      <c r="I3616" s="4">
        <v>0</v>
      </c>
      <c r="J3616" s="4">
        <v>4696</v>
      </c>
    </row>
    <row r="3617" spans="1:10" x14ac:dyDescent="0.75">
      <c r="A3617" t="s">
        <v>160</v>
      </c>
      <c r="B3617">
        <v>3743</v>
      </c>
      <c r="C3617" t="s">
        <v>162</v>
      </c>
      <c r="D3617">
        <v>7120</v>
      </c>
      <c r="E3617" t="s">
        <v>499</v>
      </c>
      <c r="F3617" s="4">
        <v>0</v>
      </c>
      <c r="G3617" s="4">
        <v>4518</v>
      </c>
      <c r="H3617" s="4">
        <v>4518</v>
      </c>
      <c r="I3617" s="4">
        <v>0</v>
      </c>
      <c r="J3617" s="4">
        <v>4518</v>
      </c>
    </row>
    <row r="3618" spans="1:10" x14ac:dyDescent="0.75">
      <c r="A3618" t="s">
        <v>160</v>
      </c>
      <c r="B3618">
        <v>3743</v>
      </c>
      <c r="C3618" t="s">
        <v>162</v>
      </c>
      <c r="D3618">
        <v>4670</v>
      </c>
      <c r="E3618" t="s">
        <v>458</v>
      </c>
      <c r="F3618" s="4">
        <v>3727</v>
      </c>
      <c r="G3618" s="4">
        <v>0</v>
      </c>
      <c r="H3618" s="4">
        <v>0</v>
      </c>
      <c r="I3618" s="4">
        <v>0</v>
      </c>
      <c r="J3618" s="4">
        <v>3727</v>
      </c>
    </row>
    <row r="3619" spans="1:10" x14ac:dyDescent="0.75">
      <c r="A3619" t="s">
        <v>160</v>
      </c>
      <c r="B3619">
        <v>3743</v>
      </c>
      <c r="C3619" t="s">
        <v>162</v>
      </c>
      <c r="D3619">
        <v>7110</v>
      </c>
      <c r="E3619" t="s">
        <v>371</v>
      </c>
      <c r="F3619" s="4">
        <v>0</v>
      </c>
      <c r="G3619" s="4">
        <v>1285</v>
      </c>
      <c r="H3619" s="4">
        <v>1285</v>
      </c>
      <c r="I3619" s="4">
        <v>0</v>
      </c>
      <c r="J3619" s="4">
        <v>1285</v>
      </c>
    </row>
    <row r="3620" spans="1:10" x14ac:dyDescent="0.75">
      <c r="A3620" t="s">
        <v>160</v>
      </c>
      <c r="B3620">
        <v>3743</v>
      </c>
      <c r="C3620" t="s">
        <v>162</v>
      </c>
      <c r="D3620">
        <v>5421</v>
      </c>
      <c r="E3620" t="s">
        <v>467</v>
      </c>
      <c r="F3620" s="4">
        <v>0</v>
      </c>
      <c r="G3620" s="4">
        <v>1138</v>
      </c>
      <c r="H3620" s="4">
        <v>1138</v>
      </c>
      <c r="I3620" s="4">
        <v>0</v>
      </c>
      <c r="J3620" s="4">
        <v>1138</v>
      </c>
    </row>
    <row r="3621" spans="1:10" x14ac:dyDescent="0.75">
      <c r="A3621" t="s">
        <v>160</v>
      </c>
      <c r="B3621">
        <v>3743</v>
      </c>
      <c r="C3621" t="s">
        <v>162</v>
      </c>
      <c r="D3621">
        <v>5422</v>
      </c>
      <c r="E3621" t="s">
        <v>468</v>
      </c>
      <c r="F3621" s="4">
        <v>893</v>
      </c>
      <c r="G3621" s="4">
        <v>0</v>
      </c>
      <c r="H3621" s="4">
        <v>0</v>
      </c>
      <c r="I3621" s="4">
        <v>0</v>
      </c>
      <c r="J3621" s="4">
        <v>893</v>
      </c>
    </row>
    <row r="3622" spans="1:10" x14ac:dyDescent="0.75">
      <c r="A3622" t="s">
        <v>160</v>
      </c>
      <c r="B3622">
        <v>3743</v>
      </c>
      <c r="C3622" t="s">
        <v>162</v>
      </c>
      <c r="D3622">
        <v>7210</v>
      </c>
      <c r="E3622" t="s">
        <v>426</v>
      </c>
      <c r="F3622" s="4">
        <v>0</v>
      </c>
      <c r="G3622" s="4">
        <v>590</v>
      </c>
      <c r="H3622" s="4">
        <v>590</v>
      </c>
      <c r="I3622" s="4">
        <v>0</v>
      </c>
      <c r="J3622" s="4">
        <v>590</v>
      </c>
    </row>
    <row r="3623" spans="1:10" x14ac:dyDescent="0.75">
      <c r="A3623" t="s">
        <v>160</v>
      </c>
      <c r="B3623">
        <v>3743</v>
      </c>
      <c r="C3623" t="s">
        <v>162</v>
      </c>
      <c r="D3623">
        <v>3293</v>
      </c>
      <c r="E3623" t="s">
        <v>445</v>
      </c>
      <c r="F3623" s="4">
        <v>0</v>
      </c>
      <c r="G3623" s="4">
        <v>19</v>
      </c>
      <c r="H3623" s="4">
        <v>19</v>
      </c>
      <c r="I3623" s="4">
        <v>0</v>
      </c>
      <c r="J3623" s="4">
        <v>19</v>
      </c>
    </row>
    <row r="3624" spans="1:10" x14ac:dyDescent="0.75">
      <c r="A3624" t="s">
        <v>151</v>
      </c>
      <c r="B3624">
        <v>498</v>
      </c>
      <c r="C3624" t="s">
        <v>322</v>
      </c>
      <c r="D3624">
        <v>4331</v>
      </c>
      <c r="E3624" t="s">
        <v>390</v>
      </c>
      <c r="F3624" s="4">
        <v>49877</v>
      </c>
      <c r="G3624" s="4">
        <v>0</v>
      </c>
      <c r="H3624" s="4">
        <v>0</v>
      </c>
      <c r="I3624" s="4">
        <v>0</v>
      </c>
      <c r="J3624" s="4">
        <v>49877</v>
      </c>
    </row>
    <row r="3625" spans="1:10" x14ac:dyDescent="0.75">
      <c r="A3625" t="s">
        <v>151</v>
      </c>
      <c r="B3625">
        <v>786</v>
      </c>
      <c r="C3625" t="s">
        <v>293</v>
      </c>
      <c r="D3625">
        <v>4225</v>
      </c>
      <c r="E3625" t="s">
        <v>380</v>
      </c>
      <c r="F3625" s="4">
        <v>0</v>
      </c>
      <c r="G3625" s="4">
        <v>103784</v>
      </c>
      <c r="H3625" s="4">
        <v>103772</v>
      </c>
      <c r="I3625" s="4">
        <v>12</v>
      </c>
      <c r="J3625" s="4">
        <v>103784</v>
      </c>
    </row>
    <row r="3626" spans="1:10" x14ac:dyDescent="0.75">
      <c r="A3626" t="s">
        <v>151</v>
      </c>
      <c r="B3626">
        <v>786</v>
      </c>
      <c r="C3626" t="s">
        <v>293</v>
      </c>
      <c r="D3626">
        <v>3274</v>
      </c>
      <c r="E3626" t="s">
        <v>438</v>
      </c>
      <c r="F3626" s="4">
        <v>91632</v>
      </c>
      <c r="G3626" s="4">
        <v>54</v>
      </c>
      <c r="H3626" s="4">
        <v>0</v>
      </c>
      <c r="I3626" s="4">
        <v>54</v>
      </c>
      <c r="J3626" s="4">
        <v>91686</v>
      </c>
    </row>
    <row r="3627" spans="1:10" x14ac:dyDescent="0.75">
      <c r="A3627" t="s">
        <v>151</v>
      </c>
      <c r="B3627">
        <v>786</v>
      </c>
      <c r="C3627" t="s">
        <v>293</v>
      </c>
      <c r="D3627">
        <v>3190</v>
      </c>
      <c r="E3627" t="s">
        <v>408</v>
      </c>
      <c r="F3627" s="4">
        <v>0</v>
      </c>
      <c r="G3627" s="4">
        <v>17231</v>
      </c>
      <c r="H3627" s="4">
        <v>0</v>
      </c>
      <c r="I3627" s="4">
        <v>17231</v>
      </c>
      <c r="J3627" s="4">
        <v>17231</v>
      </c>
    </row>
    <row r="3628" spans="1:10" x14ac:dyDescent="0.75">
      <c r="A3628" t="s">
        <v>151</v>
      </c>
      <c r="B3628">
        <v>786</v>
      </c>
      <c r="C3628" t="s">
        <v>293</v>
      </c>
      <c r="D3628">
        <v>5120</v>
      </c>
      <c r="E3628" t="s">
        <v>461</v>
      </c>
      <c r="F3628" s="4">
        <v>0</v>
      </c>
      <c r="G3628" s="4">
        <v>16582</v>
      </c>
      <c r="H3628" s="4">
        <v>0</v>
      </c>
      <c r="I3628" s="4">
        <v>16582</v>
      </c>
      <c r="J3628" s="4">
        <v>16582</v>
      </c>
    </row>
    <row r="3629" spans="1:10" x14ac:dyDescent="0.75">
      <c r="A3629" t="s">
        <v>151</v>
      </c>
      <c r="B3629">
        <v>786</v>
      </c>
      <c r="C3629" t="s">
        <v>293</v>
      </c>
      <c r="D3629">
        <v>7900</v>
      </c>
      <c r="E3629" t="s">
        <v>388</v>
      </c>
      <c r="F3629" s="4">
        <v>0</v>
      </c>
      <c r="G3629" s="4">
        <v>10441</v>
      </c>
      <c r="H3629" s="4">
        <v>8022</v>
      </c>
      <c r="I3629" s="4">
        <v>2419</v>
      </c>
      <c r="J3629" s="4">
        <v>10441</v>
      </c>
    </row>
    <row r="3630" spans="1:10" x14ac:dyDescent="0.75">
      <c r="A3630" t="s">
        <v>151</v>
      </c>
      <c r="B3630">
        <v>786</v>
      </c>
      <c r="C3630" t="s">
        <v>293</v>
      </c>
      <c r="D3630">
        <v>9900</v>
      </c>
      <c r="E3630" t="s">
        <v>389</v>
      </c>
      <c r="F3630" s="4">
        <v>0</v>
      </c>
      <c r="G3630" s="4">
        <v>6733</v>
      </c>
      <c r="H3630" s="4">
        <v>6673</v>
      </c>
      <c r="I3630" s="4">
        <v>60</v>
      </c>
      <c r="J3630" s="4">
        <v>6733</v>
      </c>
    </row>
    <row r="3631" spans="1:10" x14ac:dyDescent="0.75">
      <c r="A3631" t="s">
        <v>151</v>
      </c>
      <c r="B3631">
        <v>786</v>
      </c>
      <c r="C3631" t="s">
        <v>293</v>
      </c>
      <c r="D3631">
        <v>4170</v>
      </c>
      <c r="E3631" t="s">
        <v>424</v>
      </c>
      <c r="F3631" s="4">
        <v>0</v>
      </c>
      <c r="G3631" s="4">
        <v>3996</v>
      </c>
      <c r="H3631" s="4">
        <v>0</v>
      </c>
      <c r="I3631" s="4">
        <v>3996</v>
      </c>
      <c r="J3631" s="4">
        <v>3996</v>
      </c>
    </row>
    <row r="3632" spans="1:10" x14ac:dyDescent="0.75">
      <c r="A3632" t="s">
        <v>151</v>
      </c>
      <c r="B3632">
        <v>786</v>
      </c>
      <c r="C3632" t="s">
        <v>293</v>
      </c>
      <c r="D3632">
        <v>6889</v>
      </c>
      <c r="E3632" t="s">
        <v>420</v>
      </c>
      <c r="F3632" s="4">
        <v>0</v>
      </c>
      <c r="G3632" s="4">
        <v>3518</v>
      </c>
      <c r="H3632" s="4">
        <v>2</v>
      </c>
      <c r="I3632" s="4">
        <v>3516</v>
      </c>
      <c r="J3632" s="4">
        <v>3518</v>
      </c>
    </row>
    <row r="3633" spans="1:10" x14ac:dyDescent="0.75">
      <c r="A3633" t="s">
        <v>151</v>
      </c>
      <c r="B3633">
        <v>786</v>
      </c>
      <c r="C3633" t="s">
        <v>293</v>
      </c>
      <c r="D3633">
        <v>4331</v>
      </c>
      <c r="E3633" t="s">
        <v>390</v>
      </c>
      <c r="F3633" s="4">
        <v>0</v>
      </c>
      <c r="G3633" s="4">
        <v>2983</v>
      </c>
      <c r="H3633" s="4">
        <v>2260</v>
      </c>
      <c r="I3633" s="4">
        <v>723</v>
      </c>
      <c r="J3633" s="4">
        <v>2983</v>
      </c>
    </row>
    <row r="3634" spans="1:10" x14ac:dyDescent="0.75">
      <c r="A3634" t="s">
        <v>151</v>
      </c>
      <c r="B3634">
        <v>786</v>
      </c>
      <c r="C3634" t="s">
        <v>293</v>
      </c>
      <c r="D3634">
        <v>3219</v>
      </c>
      <c r="E3634" t="s">
        <v>378</v>
      </c>
      <c r="F3634" s="4">
        <v>0</v>
      </c>
      <c r="G3634" s="4">
        <v>2932</v>
      </c>
      <c r="H3634" s="4">
        <v>2931</v>
      </c>
      <c r="I3634" s="4">
        <v>1</v>
      </c>
      <c r="J3634" s="4">
        <v>2932</v>
      </c>
    </row>
    <row r="3635" spans="1:10" x14ac:dyDescent="0.75">
      <c r="A3635" t="s">
        <v>151</v>
      </c>
      <c r="B3635">
        <v>786</v>
      </c>
      <c r="C3635" t="s">
        <v>293</v>
      </c>
      <c r="D3635">
        <v>5290</v>
      </c>
      <c r="E3635" t="s">
        <v>415</v>
      </c>
      <c r="F3635" s="4">
        <v>0</v>
      </c>
      <c r="G3635" s="4">
        <v>2579</v>
      </c>
      <c r="H3635" s="4">
        <v>0</v>
      </c>
      <c r="I3635" s="4">
        <v>2579</v>
      </c>
      <c r="J3635" s="4">
        <v>2579</v>
      </c>
    </row>
    <row r="3636" spans="1:10" x14ac:dyDescent="0.75">
      <c r="A3636" t="s">
        <v>151</v>
      </c>
      <c r="B3636">
        <v>786</v>
      </c>
      <c r="C3636" t="s">
        <v>293</v>
      </c>
      <c r="D3636">
        <v>5360</v>
      </c>
      <c r="E3636" t="s">
        <v>465</v>
      </c>
      <c r="F3636" s="4">
        <v>0</v>
      </c>
      <c r="G3636" s="4">
        <v>2134</v>
      </c>
      <c r="H3636" s="4">
        <v>81</v>
      </c>
      <c r="I3636" s="4">
        <v>2053</v>
      </c>
      <c r="J3636" s="4">
        <v>2134</v>
      </c>
    </row>
    <row r="3637" spans="1:10" x14ac:dyDescent="0.75">
      <c r="A3637" t="s">
        <v>151</v>
      </c>
      <c r="B3637">
        <v>786</v>
      </c>
      <c r="C3637" t="s">
        <v>293</v>
      </c>
      <c r="D3637">
        <v>4189</v>
      </c>
      <c r="E3637" t="s">
        <v>451</v>
      </c>
      <c r="F3637" s="4">
        <v>0</v>
      </c>
      <c r="G3637" s="4">
        <v>1573</v>
      </c>
      <c r="H3637" s="4">
        <v>0</v>
      </c>
      <c r="I3637" s="4">
        <v>1573</v>
      </c>
      <c r="J3637" s="4">
        <v>1573</v>
      </c>
    </row>
    <row r="3638" spans="1:10" x14ac:dyDescent="0.75">
      <c r="A3638" t="s">
        <v>151</v>
      </c>
      <c r="B3638">
        <v>786</v>
      </c>
      <c r="C3638" t="s">
        <v>293</v>
      </c>
      <c r="D3638">
        <v>6888</v>
      </c>
      <c r="E3638" t="s">
        <v>494</v>
      </c>
      <c r="F3638" s="4">
        <v>0</v>
      </c>
      <c r="G3638" s="4">
        <v>1346</v>
      </c>
      <c r="H3638" s="4">
        <v>0</v>
      </c>
      <c r="I3638" s="4">
        <v>1346</v>
      </c>
      <c r="J3638" s="4">
        <v>1346</v>
      </c>
    </row>
    <row r="3639" spans="1:10" x14ac:dyDescent="0.75">
      <c r="A3639" t="s">
        <v>151</v>
      </c>
      <c r="B3639">
        <v>786</v>
      </c>
      <c r="C3639" t="s">
        <v>293</v>
      </c>
      <c r="D3639">
        <v>7120</v>
      </c>
      <c r="E3639" t="s">
        <v>499</v>
      </c>
      <c r="F3639" s="4">
        <v>0</v>
      </c>
      <c r="G3639" s="4">
        <v>1313</v>
      </c>
      <c r="H3639" s="4">
        <v>485</v>
      </c>
      <c r="I3639" s="4">
        <v>828</v>
      </c>
      <c r="J3639" s="4">
        <v>1313</v>
      </c>
    </row>
    <row r="3640" spans="1:10" x14ac:dyDescent="0.75">
      <c r="A3640" t="s">
        <v>151</v>
      </c>
      <c r="B3640">
        <v>786</v>
      </c>
      <c r="C3640" t="s">
        <v>293</v>
      </c>
      <c r="D3640">
        <v>7600</v>
      </c>
      <c r="E3640" t="s">
        <v>503</v>
      </c>
      <c r="F3640" s="4">
        <v>0</v>
      </c>
      <c r="G3640" s="4">
        <v>1299</v>
      </c>
      <c r="H3640" s="4">
        <v>394</v>
      </c>
      <c r="I3640" s="4">
        <v>905</v>
      </c>
      <c r="J3640" s="4">
        <v>1299</v>
      </c>
    </row>
    <row r="3641" spans="1:10" x14ac:dyDescent="0.75">
      <c r="A3641" t="s">
        <v>151</v>
      </c>
      <c r="B3641">
        <v>786</v>
      </c>
      <c r="C3641" t="s">
        <v>293</v>
      </c>
      <c r="D3641">
        <v>5480</v>
      </c>
      <c r="E3641" t="s">
        <v>386</v>
      </c>
      <c r="F3641" s="4">
        <v>0</v>
      </c>
      <c r="G3641" s="4">
        <v>1272</v>
      </c>
      <c r="H3641" s="4">
        <v>239</v>
      </c>
      <c r="I3641" s="4">
        <v>1033</v>
      </c>
      <c r="J3641" s="4">
        <v>1272</v>
      </c>
    </row>
    <row r="3642" spans="1:10" x14ac:dyDescent="0.75">
      <c r="A3642" t="s">
        <v>151</v>
      </c>
      <c r="B3642">
        <v>786</v>
      </c>
      <c r="C3642" t="s">
        <v>293</v>
      </c>
      <c r="D3642">
        <v>6885</v>
      </c>
      <c r="E3642" t="s">
        <v>493</v>
      </c>
      <c r="F3642" s="4">
        <v>0</v>
      </c>
      <c r="G3642" s="4">
        <v>992</v>
      </c>
      <c r="H3642" s="4">
        <v>0</v>
      </c>
      <c r="I3642" s="4">
        <v>992</v>
      </c>
      <c r="J3642" s="4">
        <v>992</v>
      </c>
    </row>
    <row r="3643" spans="1:10" x14ac:dyDescent="0.75">
      <c r="A3643" t="s">
        <v>151</v>
      </c>
      <c r="B3643">
        <v>786</v>
      </c>
      <c r="C3643" t="s">
        <v>293</v>
      </c>
      <c r="D3643">
        <v>5540</v>
      </c>
      <c r="E3643" t="s">
        <v>469</v>
      </c>
      <c r="F3643" s="4">
        <v>0</v>
      </c>
      <c r="G3643" s="4">
        <v>899</v>
      </c>
      <c r="H3643" s="4">
        <v>70</v>
      </c>
      <c r="I3643" s="4">
        <v>829</v>
      </c>
      <c r="J3643" s="4">
        <v>899</v>
      </c>
    </row>
    <row r="3644" spans="1:10" x14ac:dyDescent="0.75">
      <c r="A3644" t="s">
        <v>151</v>
      </c>
      <c r="B3644">
        <v>786</v>
      </c>
      <c r="C3644" t="s">
        <v>293</v>
      </c>
      <c r="D3644">
        <v>7110</v>
      </c>
      <c r="E3644" t="s">
        <v>371</v>
      </c>
      <c r="F3644" s="4">
        <v>0</v>
      </c>
      <c r="G3644" s="4">
        <v>845</v>
      </c>
      <c r="H3644" s="4">
        <v>465</v>
      </c>
      <c r="I3644" s="4">
        <v>380</v>
      </c>
      <c r="J3644" s="4">
        <v>845</v>
      </c>
    </row>
    <row r="3645" spans="1:10" x14ac:dyDescent="0.75">
      <c r="A3645" t="s">
        <v>151</v>
      </c>
      <c r="B3645">
        <v>786</v>
      </c>
      <c r="C3645" t="s">
        <v>293</v>
      </c>
      <c r="D3645">
        <v>3285</v>
      </c>
      <c r="E3645" t="s">
        <v>443</v>
      </c>
      <c r="F3645" s="4">
        <v>0</v>
      </c>
      <c r="G3645" s="4">
        <v>841</v>
      </c>
      <c r="H3645" s="4">
        <v>0</v>
      </c>
      <c r="I3645" s="4">
        <v>841</v>
      </c>
      <c r="J3645" s="4">
        <v>841</v>
      </c>
    </row>
    <row r="3646" spans="1:10" x14ac:dyDescent="0.75">
      <c r="A3646" t="s">
        <v>151</v>
      </c>
      <c r="B3646">
        <v>786</v>
      </c>
      <c r="C3646" t="s">
        <v>293</v>
      </c>
      <c r="D3646">
        <v>5190</v>
      </c>
      <c r="E3646" t="s">
        <v>462</v>
      </c>
      <c r="F3646" s="4">
        <v>0</v>
      </c>
      <c r="G3646" s="4">
        <v>674</v>
      </c>
      <c r="H3646" s="4">
        <v>0</v>
      </c>
      <c r="I3646" s="4">
        <v>674</v>
      </c>
      <c r="J3646" s="4">
        <v>674</v>
      </c>
    </row>
    <row r="3647" spans="1:10" x14ac:dyDescent="0.75">
      <c r="A3647" t="s">
        <v>151</v>
      </c>
      <c r="B3647">
        <v>786</v>
      </c>
      <c r="C3647" t="s">
        <v>293</v>
      </c>
      <c r="D3647">
        <v>6654</v>
      </c>
      <c r="E3647" t="s">
        <v>419</v>
      </c>
      <c r="F3647" s="4">
        <v>0</v>
      </c>
      <c r="G3647" s="4">
        <v>665</v>
      </c>
      <c r="H3647" s="4">
        <v>0</v>
      </c>
      <c r="I3647" s="4">
        <v>665</v>
      </c>
      <c r="J3647" s="4">
        <v>665</v>
      </c>
    </row>
    <row r="3648" spans="1:10" x14ac:dyDescent="0.75">
      <c r="A3648" t="s">
        <v>151</v>
      </c>
      <c r="B3648">
        <v>786</v>
      </c>
      <c r="C3648" t="s">
        <v>293</v>
      </c>
      <c r="D3648">
        <v>3299</v>
      </c>
      <c r="E3648" t="s">
        <v>448</v>
      </c>
      <c r="F3648" s="4">
        <v>0</v>
      </c>
      <c r="G3648" s="4">
        <v>663</v>
      </c>
      <c r="H3648" s="4">
        <v>0</v>
      </c>
      <c r="I3648" s="4">
        <v>663</v>
      </c>
      <c r="J3648" s="4">
        <v>663</v>
      </c>
    </row>
    <row r="3649" spans="1:10" x14ac:dyDescent="0.75">
      <c r="A3649" t="s">
        <v>151</v>
      </c>
      <c r="B3649">
        <v>786</v>
      </c>
      <c r="C3649" t="s">
        <v>293</v>
      </c>
      <c r="D3649">
        <v>6782</v>
      </c>
      <c r="E3649" t="s">
        <v>396</v>
      </c>
      <c r="F3649" s="4">
        <v>0</v>
      </c>
      <c r="G3649" s="4">
        <v>663</v>
      </c>
      <c r="H3649" s="4">
        <v>0</v>
      </c>
      <c r="I3649" s="4">
        <v>663</v>
      </c>
      <c r="J3649" s="4">
        <v>663</v>
      </c>
    </row>
    <row r="3650" spans="1:10" x14ac:dyDescent="0.75">
      <c r="A3650" t="s">
        <v>151</v>
      </c>
      <c r="B3650">
        <v>786</v>
      </c>
      <c r="C3650" t="s">
        <v>293</v>
      </c>
      <c r="D3650">
        <v>3286</v>
      </c>
      <c r="E3650" t="s">
        <v>423</v>
      </c>
      <c r="F3650" s="4">
        <v>0</v>
      </c>
      <c r="G3650" s="4">
        <v>549</v>
      </c>
      <c r="H3650" s="4">
        <v>0</v>
      </c>
      <c r="I3650" s="4">
        <v>549</v>
      </c>
      <c r="J3650" s="4">
        <v>549</v>
      </c>
    </row>
    <row r="3651" spans="1:10" x14ac:dyDescent="0.75">
      <c r="A3651" t="s">
        <v>151</v>
      </c>
      <c r="B3651">
        <v>786</v>
      </c>
      <c r="C3651" t="s">
        <v>293</v>
      </c>
      <c r="D3651">
        <v>2350</v>
      </c>
      <c r="E3651" t="s">
        <v>404</v>
      </c>
      <c r="F3651" s="4">
        <v>0</v>
      </c>
      <c r="G3651" s="4">
        <v>490</v>
      </c>
      <c r="H3651" s="4">
        <v>0</v>
      </c>
      <c r="I3651" s="4">
        <v>490</v>
      </c>
      <c r="J3651" s="4">
        <v>490</v>
      </c>
    </row>
    <row r="3652" spans="1:10" x14ac:dyDescent="0.75">
      <c r="A3652" t="s">
        <v>151</v>
      </c>
      <c r="B3652">
        <v>786</v>
      </c>
      <c r="C3652" t="s">
        <v>293</v>
      </c>
      <c r="D3652">
        <v>2990</v>
      </c>
      <c r="E3652" t="s">
        <v>432</v>
      </c>
      <c r="F3652" s="4">
        <v>0</v>
      </c>
      <c r="G3652" s="4">
        <v>486</v>
      </c>
      <c r="H3652" s="4">
        <v>486</v>
      </c>
      <c r="I3652" s="4">
        <v>0</v>
      </c>
      <c r="J3652" s="4">
        <v>486</v>
      </c>
    </row>
    <row r="3653" spans="1:10" x14ac:dyDescent="0.75">
      <c r="A3653" t="s">
        <v>151</v>
      </c>
      <c r="B3653">
        <v>786</v>
      </c>
      <c r="C3653" t="s">
        <v>293</v>
      </c>
      <c r="D3653">
        <v>3282</v>
      </c>
      <c r="E3653" t="s">
        <v>440</v>
      </c>
      <c r="F3653" s="4">
        <v>0</v>
      </c>
      <c r="G3653" s="4">
        <v>420</v>
      </c>
      <c r="H3653" s="4">
        <v>0</v>
      </c>
      <c r="I3653" s="4">
        <v>420</v>
      </c>
      <c r="J3653" s="4">
        <v>420</v>
      </c>
    </row>
    <row r="3654" spans="1:10" x14ac:dyDescent="0.75">
      <c r="A3654" t="s">
        <v>151</v>
      </c>
      <c r="B3654">
        <v>786</v>
      </c>
      <c r="C3654" t="s">
        <v>293</v>
      </c>
      <c r="D3654">
        <v>1100</v>
      </c>
      <c r="E3654" t="s">
        <v>397</v>
      </c>
      <c r="F3654" s="4">
        <v>0</v>
      </c>
      <c r="G3654" s="4">
        <v>251</v>
      </c>
      <c r="H3654" s="4">
        <v>0</v>
      </c>
      <c r="I3654" s="4">
        <v>251</v>
      </c>
      <c r="J3654" s="4">
        <v>251</v>
      </c>
    </row>
    <row r="3655" spans="1:10" x14ac:dyDescent="0.75">
      <c r="A3655" t="s">
        <v>151</v>
      </c>
      <c r="B3655">
        <v>786</v>
      </c>
      <c r="C3655" t="s">
        <v>293</v>
      </c>
      <c r="D3655">
        <v>6858</v>
      </c>
      <c r="E3655" t="s">
        <v>488</v>
      </c>
      <c r="F3655" s="4">
        <v>0</v>
      </c>
      <c r="G3655" s="4">
        <v>251</v>
      </c>
      <c r="H3655" s="4">
        <v>0</v>
      </c>
      <c r="I3655" s="4">
        <v>251</v>
      </c>
      <c r="J3655" s="4">
        <v>251</v>
      </c>
    </row>
    <row r="3656" spans="1:10" x14ac:dyDescent="0.75">
      <c r="A3656" t="s">
        <v>151</v>
      </c>
      <c r="B3656">
        <v>786</v>
      </c>
      <c r="C3656" t="s">
        <v>293</v>
      </c>
      <c r="D3656">
        <v>6747</v>
      </c>
      <c r="E3656" t="s">
        <v>478</v>
      </c>
      <c r="F3656" s="4">
        <v>0</v>
      </c>
      <c r="G3656" s="4">
        <v>226</v>
      </c>
      <c r="H3656" s="4">
        <v>0</v>
      </c>
      <c r="I3656" s="4">
        <v>226</v>
      </c>
      <c r="J3656" s="4">
        <v>226</v>
      </c>
    </row>
    <row r="3657" spans="1:10" x14ac:dyDescent="0.75">
      <c r="A3657" t="s">
        <v>151</v>
      </c>
      <c r="B3657">
        <v>786</v>
      </c>
      <c r="C3657" t="s">
        <v>293</v>
      </c>
      <c r="D3657">
        <v>7500</v>
      </c>
      <c r="E3657" t="s">
        <v>427</v>
      </c>
      <c r="F3657" s="4">
        <v>0</v>
      </c>
      <c r="G3657" s="4">
        <v>224</v>
      </c>
      <c r="H3657" s="4">
        <v>84</v>
      </c>
      <c r="I3657" s="4">
        <v>140</v>
      </c>
      <c r="J3657" s="4">
        <v>224</v>
      </c>
    </row>
    <row r="3658" spans="1:10" x14ac:dyDescent="0.75">
      <c r="A3658" t="s">
        <v>151</v>
      </c>
      <c r="B3658">
        <v>786</v>
      </c>
      <c r="C3658" t="s">
        <v>293</v>
      </c>
      <c r="D3658">
        <v>7230</v>
      </c>
      <c r="E3658" t="s">
        <v>387</v>
      </c>
      <c r="F3658" s="4">
        <v>0</v>
      </c>
      <c r="G3658" s="4">
        <v>223</v>
      </c>
      <c r="H3658" s="4">
        <v>34</v>
      </c>
      <c r="I3658" s="4">
        <v>189</v>
      </c>
      <c r="J3658" s="4">
        <v>223</v>
      </c>
    </row>
    <row r="3659" spans="1:10" x14ac:dyDescent="0.75">
      <c r="A3659" t="s">
        <v>151</v>
      </c>
      <c r="B3659">
        <v>786</v>
      </c>
      <c r="C3659" t="s">
        <v>293</v>
      </c>
      <c r="D3659">
        <v>7210</v>
      </c>
      <c r="E3659" t="s">
        <v>426</v>
      </c>
      <c r="F3659" s="4">
        <v>0</v>
      </c>
      <c r="G3659" s="4">
        <v>204</v>
      </c>
      <c r="H3659" s="4">
        <v>19</v>
      </c>
      <c r="I3659" s="4">
        <v>185</v>
      </c>
      <c r="J3659" s="4">
        <v>204</v>
      </c>
    </row>
    <row r="3660" spans="1:10" x14ac:dyDescent="0.75">
      <c r="A3660" t="s">
        <v>151</v>
      </c>
      <c r="B3660">
        <v>786</v>
      </c>
      <c r="C3660" t="s">
        <v>293</v>
      </c>
      <c r="D3660">
        <v>6811</v>
      </c>
      <c r="E3660" t="s">
        <v>480</v>
      </c>
      <c r="F3660" s="4">
        <v>0</v>
      </c>
      <c r="G3660" s="4">
        <v>183</v>
      </c>
      <c r="H3660" s="4">
        <v>0</v>
      </c>
      <c r="I3660" s="4">
        <v>183</v>
      </c>
      <c r="J3660" s="4">
        <v>183</v>
      </c>
    </row>
    <row r="3661" spans="1:10" x14ac:dyDescent="0.75">
      <c r="A3661" t="s">
        <v>151</v>
      </c>
      <c r="B3661">
        <v>786</v>
      </c>
      <c r="C3661" t="s">
        <v>293</v>
      </c>
      <c r="D3661">
        <v>7400</v>
      </c>
      <c r="E3661" t="s">
        <v>502</v>
      </c>
      <c r="F3661" s="4">
        <v>0</v>
      </c>
      <c r="G3661" s="4">
        <v>174</v>
      </c>
      <c r="H3661" s="4">
        <v>0</v>
      </c>
      <c r="I3661" s="4">
        <v>174</v>
      </c>
      <c r="J3661" s="4">
        <v>174</v>
      </c>
    </row>
    <row r="3662" spans="1:10" x14ac:dyDescent="0.75">
      <c r="A3662" t="s">
        <v>151</v>
      </c>
      <c r="B3662">
        <v>786</v>
      </c>
      <c r="C3662" t="s">
        <v>293</v>
      </c>
      <c r="D3662">
        <v>3291</v>
      </c>
      <c r="E3662" t="s">
        <v>444</v>
      </c>
      <c r="F3662" s="4">
        <v>0</v>
      </c>
      <c r="G3662" s="4">
        <v>167</v>
      </c>
      <c r="H3662" s="4">
        <v>0</v>
      </c>
      <c r="I3662" s="4">
        <v>167</v>
      </c>
      <c r="J3662" s="4">
        <v>167</v>
      </c>
    </row>
    <row r="3663" spans="1:10" x14ac:dyDescent="0.75">
      <c r="A3663" t="s">
        <v>151</v>
      </c>
      <c r="B3663">
        <v>786</v>
      </c>
      <c r="C3663" t="s">
        <v>293</v>
      </c>
      <c r="D3663">
        <v>2330</v>
      </c>
      <c r="E3663" t="s">
        <v>368</v>
      </c>
      <c r="F3663" s="4">
        <v>0</v>
      </c>
      <c r="G3663" s="4">
        <v>135</v>
      </c>
      <c r="H3663" s="4">
        <v>0</v>
      </c>
      <c r="I3663" s="4">
        <v>135</v>
      </c>
      <c r="J3663" s="4">
        <v>135</v>
      </c>
    </row>
    <row r="3664" spans="1:10" x14ac:dyDescent="0.75">
      <c r="A3664" t="s">
        <v>151</v>
      </c>
      <c r="B3664">
        <v>786</v>
      </c>
      <c r="C3664" t="s">
        <v>293</v>
      </c>
      <c r="D3664">
        <v>6871</v>
      </c>
      <c r="E3664" t="s">
        <v>491</v>
      </c>
      <c r="F3664" s="4">
        <v>0</v>
      </c>
      <c r="G3664" s="4">
        <v>134</v>
      </c>
      <c r="H3664" s="4">
        <v>0</v>
      </c>
      <c r="I3664" s="4">
        <v>134</v>
      </c>
      <c r="J3664" s="4">
        <v>134</v>
      </c>
    </row>
    <row r="3665" spans="1:10" x14ac:dyDescent="0.75">
      <c r="A3665" t="s">
        <v>151</v>
      </c>
      <c r="B3665">
        <v>786</v>
      </c>
      <c r="C3665" t="s">
        <v>293</v>
      </c>
      <c r="D3665">
        <v>4420</v>
      </c>
      <c r="E3665" t="s">
        <v>381</v>
      </c>
      <c r="F3665" s="4">
        <v>0</v>
      </c>
      <c r="G3665" s="4">
        <v>132</v>
      </c>
      <c r="H3665" s="4">
        <v>104</v>
      </c>
      <c r="I3665" s="4">
        <v>28</v>
      </c>
      <c r="J3665" s="4">
        <v>132</v>
      </c>
    </row>
    <row r="3666" spans="1:10" x14ac:dyDescent="0.75">
      <c r="A3666" t="s">
        <v>151</v>
      </c>
      <c r="B3666">
        <v>786</v>
      </c>
      <c r="C3666" t="s">
        <v>293</v>
      </c>
      <c r="D3666">
        <v>5320</v>
      </c>
      <c r="E3666" t="s">
        <v>384</v>
      </c>
      <c r="F3666" s="4">
        <v>0</v>
      </c>
      <c r="G3666" s="4">
        <v>110</v>
      </c>
      <c r="H3666" s="4">
        <v>0</v>
      </c>
      <c r="I3666" s="4">
        <v>110</v>
      </c>
      <c r="J3666" s="4">
        <v>110</v>
      </c>
    </row>
    <row r="3667" spans="1:10" x14ac:dyDescent="0.75">
      <c r="A3667" t="s">
        <v>151</v>
      </c>
      <c r="B3667">
        <v>786</v>
      </c>
      <c r="C3667" t="s">
        <v>293</v>
      </c>
      <c r="D3667">
        <v>5240</v>
      </c>
      <c r="E3667" t="s">
        <v>464</v>
      </c>
      <c r="F3667" s="4">
        <v>0</v>
      </c>
      <c r="G3667" s="4">
        <v>108</v>
      </c>
      <c r="H3667" s="4">
        <v>0</v>
      </c>
      <c r="I3667" s="4">
        <v>108</v>
      </c>
      <c r="J3667" s="4">
        <v>108</v>
      </c>
    </row>
    <row r="3668" spans="1:10" x14ac:dyDescent="0.75">
      <c r="A3668" t="s">
        <v>151</v>
      </c>
      <c r="B3668">
        <v>786</v>
      </c>
      <c r="C3668" t="s">
        <v>293</v>
      </c>
      <c r="D3668">
        <v>4900</v>
      </c>
      <c r="E3668" t="s">
        <v>383</v>
      </c>
      <c r="F3668" s="4">
        <v>0</v>
      </c>
      <c r="G3668" s="4">
        <v>107</v>
      </c>
      <c r="H3668" s="4">
        <v>0</v>
      </c>
      <c r="I3668" s="4">
        <v>107</v>
      </c>
      <c r="J3668" s="4">
        <v>107</v>
      </c>
    </row>
    <row r="3669" spans="1:10" x14ac:dyDescent="0.75">
      <c r="A3669" t="s">
        <v>151</v>
      </c>
      <c r="B3669">
        <v>786</v>
      </c>
      <c r="C3669" t="s">
        <v>293</v>
      </c>
      <c r="D3669">
        <v>5220</v>
      </c>
      <c r="E3669" t="s">
        <v>401</v>
      </c>
      <c r="F3669" s="4">
        <v>0</v>
      </c>
      <c r="G3669" s="4">
        <v>98</v>
      </c>
      <c r="H3669" s="4">
        <v>0</v>
      </c>
      <c r="I3669" s="4">
        <v>98</v>
      </c>
      <c r="J3669" s="4">
        <v>98</v>
      </c>
    </row>
    <row r="3670" spans="1:10" x14ac:dyDescent="0.75">
      <c r="A3670" t="s">
        <v>151</v>
      </c>
      <c r="B3670">
        <v>786</v>
      </c>
      <c r="C3670" t="s">
        <v>293</v>
      </c>
      <c r="D3670">
        <v>6822</v>
      </c>
      <c r="E3670" t="s">
        <v>482</v>
      </c>
      <c r="F3670" s="4">
        <v>0</v>
      </c>
      <c r="G3670" s="4">
        <v>86</v>
      </c>
      <c r="H3670" s="4">
        <v>0</v>
      </c>
      <c r="I3670" s="4">
        <v>86</v>
      </c>
      <c r="J3670" s="4">
        <v>86</v>
      </c>
    </row>
    <row r="3671" spans="1:10" x14ac:dyDescent="0.75">
      <c r="A3671" t="s">
        <v>151</v>
      </c>
      <c r="B3671">
        <v>786</v>
      </c>
      <c r="C3671" t="s">
        <v>293</v>
      </c>
      <c r="D3671">
        <v>6653</v>
      </c>
      <c r="E3671" t="s">
        <v>395</v>
      </c>
      <c r="F3671" s="4">
        <v>0</v>
      </c>
      <c r="G3671" s="4">
        <v>71</v>
      </c>
      <c r="H3671" s="4">
        <v>0</v>
      </c>
      <c r="I3671" s="4">
        <v>71</v>
      </c>
      <c r="J3671" s="4">
        <v>71</v>
      </c>
    </row>
    <row r="3672" spans="1:10" x14ac:dyDescent="0.75">
      <c r="A3672" t="s">
        <v>151</v>
      </c>
      <c r="B3672">
        <v>786</v>
      </c>
      <c r="C3672" t="s">
        <v>293</v>
      </c>
      <c r="D3672">
        <v>6861</v>
      </c>
      <c r="E3672" t="s">
        <v>489</v>
      </c>
      <c r="F3672" s="4">
        <v>0</v>
      </c>
      <c r="G3672" s="4">
        <v>68</v>
      </c>
      <c r="H3672" s="4">
        <v>0</v>
      </c>
      <c r="I3672" s="4">
        <v>68</v>
      </c>
      <c r="J3672" s="4">
        <v>68</v>
      </c>
    </row>
    <row r="3673" spans="1:10" x14ac:dyDescent="0.75">
      <c r="A3673" t="s">
        <v>151</v>
      </c>
      <c r="B3673">
        <v>786</v>
      </c>
      <c r="C3673" t="s">
        <v>293</v>
      </c>
      <c r="D3673">
        <v>6134</v>
      </c>
      <c r="E3673" t="s">
        <v>470</v>
      </c>
      <c r="F3673" s="4">
        <v>0</v>
      </c>
      <c r="G3673" s="4">
        <v>49</v>
      </c>
      <c r="H3673" s="4">
        <v>0</v>
      </c>
      <c r="I3673" s="4">
        <v>49</v>
      </c>
      <c r="J3673" s="4">
        <v>49</v>
      </c>
    </row>
    <row r="3674" spans="1:10" x14ac:dyDescent="0.75">
      <c r="A3674" t="s">
        <v>151</v>
      </c>
      <c r="B3674">
        <v>786</v>
      </c>
      <c r="C3674" t="s">
        <v>293</v>
      </c>
      <c r="D3674">
        <v>4323</v>
      </c>
      <c r="E3674" t="s">
        <v>373</v>
      </c>
      <c r="F3674" s="4">
        <v>0</v>
      </c>
      <c r="G3674" s="4">
        <v>45</v>
      </c>
      <c r="H3674" s="4">
        <v>0</v>
      </c>
      <c r="I3674" s="4">
        <v>45</v>
      </c>
      <c r="J3674" s="4">
        <v>45</v>
      </c>
    </row>
    <row r="3675" spans="1:10" x14ac:dyDescent="0.75">
      <c r="A3675" t="s">
        <v>151</v>
      </c>
      <c r="B3675">
        <v>786</v>
      </c>
      <c r="C3675" t="s">
        <v>293</v>
      </c>
      <c r="D3675">
        <v>3283</v>
      </c>
      <c r="E3675" t="s">
        <v>441</v>
      </c>
      <c r="F3675" s="4">
        <v>0</v>
      </c>
      <c r="G3675" s="4">
        <v>44</v>
      </c>
      <c r="H3675" s="4">
        <v>0</v>
      </c>
      <c r="I3675" s="4">
        <v>44</v>
      </c>
      <c r="J3675" s="4">
        <v>44</v>
      </c>
    </row>
    <row r="3676" spans="1:10" x14ac:dyDescent="0.75">
      <c r="A3676" t="s">
        <v>151</v>
      </c>
      <c r="B3676">
        <v>786</v>
      </c>
      <c r="C3676" t="s">
        <v>293</v>
      </c>
      <c r="D3676">
        <v>2430</v>
      </c>
      <c r="E3676" t="s">
        <v>376</v>
      </c>
      <c r="F3676" s="4">
        <v>0</v>
      </c>
      <c r="G3676" s="4">
        <v>42</v>
      </c>
      <c r="H3676" s="4">
        <v>0</v>
      </c>
      <c r="I3676" s="4">
        <v>42</v>
      </c>
      <c r="J3676" s="4">
        <v>42</v>
      </c>
    </row>
    <row r="3677" spans="1:10" x14ac:dyDescent="0.75">
      <c r="A3677" t="s">
        <v>151</v>
      </c>
      <c r="B3677">
        <v>786</v>
      </c>
      <c r="C3677" t="s">
        <v>293</v>
      </c>
      <c r="D3677">
        <v>6344</v>
      </c>
      <c r="E3677" t="s">
        <v>392</v>
      </c>
      <c r="F3677" s="4">
        <v>0</v>
      </c>
      <c r="G3677" s="4">
        <v>39</v>
      </c>
      <c r="H3677" s="4">
        <v>0</v>
      </c>
      <c r="I3677" s="4">
        <v>39</v>
      </c>
      <c r="J3677" s="4">
        <v>39</v>
      </c>
    </row>
    <row r="3678" spans="1:10" x14ac:dyDescent="0.75">
      <c r="A3678" t="s">
        <v>151</v>
      </c>
      <c r="B3678">
        <v>786</v>
      </c>
      <c r="C3678" t="s">
        <v>293</v>
      </c>
      <c r="D3678">
        <v>6891</v>
      </c>
      <c r="E3678" t="s">
        <v>495</v>
      </c>
      <c r="F3678" s="4">
        <v>0</v>
      </c>
      <c r="G3678" s="4">
        <v>39</v>
      </c>
      <c r="H3678" s="4">
        <v>0</v>
      </c>
      <c r="I3678" s="4">
        <v>39</v>
      </c>
      <c r="J3678" s="4">
        <v>39</v>
      </c>
    </row>
    <row r="3679" spans="1:10" x14ac:dyDescent="0.75">
      <c r="A3679" t="s">
        <v>151</v>
      </c>
      <c r="B3679">
        <v>786</v>
      </c>
      <c r="C3679" t="s">
        <v>293</v>
      </c>
      <c r="D3679">
        <v>4680</v>
      </c>
      <c r="E3679" t="s">
        <v>459</v>
      </c>
      <c r="F3679" s="4">
        <v>0</v>
      </c>
      <c r="G3679" s="4">
        <v>37</v>
      </c>
      <c r="H3679" s="4">
        <v>37</v>
      </c>
      <c r="I3679" s="4">
        <v>0</v>
      </c>
      <c r="J3679" s="4">
        <v>37</v>
      </c>
    </row>
    <row r="3680" spans="1:10" x14ac:dyDescent="0.75">
      <c r="A3680" t="s">
        <v>151</v>
      </c>
      <c r="B3680">
        <v>786</v>
      </c>
      <c r="C3680" t="s">
        <v>293</v>
      </c>
      <c r="D3680">
        <v>5330</v>
      </c>
      <c r="E3680" t="s">
        <v>385</v>
      </c>
      <c r="F3680" s="4">
        <v>0</v>
      </c>
      <c r="G3680" s="4">
        <v>35</v>
      </c>
      <c r="H3680" s="4">
        <v>0</v>
      </c>
      <c r="I3680" s="4">
        <v>35</v>
      </c>
      <c r="J3680" s="4">
        <v>35</v>
      </c>
    </row>
    <row r="3681" spans="1:10" x14ac:dyDescent="0.75">
      <c r="A3681" t="s">
        <v>151</v>
      </c>
      <c r="B3681">
        <v>786</v>
      </c>
      <c r="C3681" t="s">
        <v>293</v>
      </c>
      <c r="D3681">
        <v>6817</v>
      </c>
      <c r="E3681" t="s">
        <v>481</v>
      </c>
      <c r="F3681" s="4">
        <v>0</v>
      </c>
      <c r="G3681" s="4">
        <v>32</v>
      </c>
      <c r="H3681" s="4">
        <v>0</v>
      </c>
      <c r="I3681" s="4">
        <v>32</v>
      </c>
      <c r="J3681" s="4">
        <v>32</v>
      </c>
    </row>
    <row r="3682" spans="1:10" x14ac:dyDescent="0.75">
      <c r="A3682" t="s">
        <v>151</v>
      </c>
      <c r="B3682">
        <v>786</v>
      </c>
      <c r="C3682" t="s">
        <v>293</v>
      </c>
      <c r="D3682">
        <v>6893</v>
      </c>
      <c r="E3682" t="s">
        <v>496</v>
      </c>
      <c r="F3682" s="4">
        <v>0</v>
      </c>
      <c r="G3682" s="4">
        <v>27</v>
      </c>
      <c r="H3682" s="4">
        <v>0</v>
      </c>
      <c r="I3682" s="4">
        <v>27</v>
      </c>
      <c r="J3682" s="4">
        <v>27</v>
      </c>
    </row>
    <row r="3683" spans="1:10" x14ac:dyDescent="0.75">
      <c r="A3683" t="s">
        <v>151</v>
      </c>
      <c r="B3683">
        <v>786</v>
      </c>
      <c r="C3683" t="s">
        <v>293</v>
      </c>
      <c r="D3683">
        <v>4783</v>
      </c>
      <c r="E3683" t="s">
        <v>382</v>
      </c>
      <c r="F3683" s="4">
        <v>0</v>
      </c>
      <c r="G3683" s="4">
        <v>26</v>
      </c>
      <c r="H3683" s="4">
        <v>0</v>
      </c>
      <c r="I3683" s="4">
        <v>26</v>
      </c>
      <c r="J3683" s="4">
        <v>26</v>
      </c>
    </row>
    <row r="3684" spans="1:10" x14ac:dyDescent="0.75">
      <c r="A3684" t="s">
        <v>151</v>
      </c>
      <c r="B3684">
        <v>786</v>
      </c>
      <c r="C3684" t="s">
        <v>293</v>
      </c>
      <c r="D3684">
        <v>2211</v>
      </c>
      <c r="E3684" t="s">
        <v>367</v>
      </c>
      <c r="F3684" s="4">
        <v>0</v>
      </c>
      <c r="G3684" s="4">
        <v>24</v>
      </c>
      <c r="H3684" s="4">
        <v>24</v>
      </c>
      <c r="I3684" s="4">
        <v>0</v>
      </c>
      <c r="J3684" s="4">
        <v>24</v>
      </c>
    </row>
    <row r="3685" spans="1:10" x14ac:dyDescent="0.75">
      <c r="A3685" t="s">
        <v>151</v>
      </c>
      <c r="B3685">
        <v>786</v>
      </c>
      <c r="C3685" t="s">
        <v>293</v>
      </c>
      <c r="D3685">
        <v>3240</v>
      </c>
      <c r="E3685" t="s">
        <v>410</v>
      </c>
      <c r="F3685" s="4">
        <v>0</v>
      </c>
      <c r="G3685" s="4">
        <v>24</v>
      </c>
      <c r="H3685" s="4">
        <v>24</v>
      </c>
      <c r="I3685" s="4">
        <v>0</v>
      </c>
      <c r="J3685" s="4">
        <v>24</v>
      </c>
    </row>
    <row r="3686" spans="1:10" x14ac:dyDescent="0.75">
      <c r="A3686" t="s">
        <v>151</v>
      </c>
      <c r="B3686">
        <v>786</v>
      </c>
      <c r="C3686" t="s">
        <v>293</v>
      </c>
      <c r="D3686">
        <v>5370</v>
      </c>
      <c r="E3686" t="s">
        <v>466</v>
      </c>
      <c r="F3686" s="4">
        <v>0</v>
      </c>
      <c r="G3686" s="4">
        <v>24</v>
      </c>
      <c r="H3686" s="4">
        <v>0</v>
      </c>
      <c r="I3686" s="4">
        <v>24</v>
      </c>
      <c r="J3686" s="4">
        <v>24</v>
      </c>
    </row>
    <row r="3687" spans="1:10" x14ac:dyDescent="0.75">
      <c r="A3687" t="s">
        <v>151</v>
      </c>
      <c r="B3687">
        <v>786</v>
      </c>
      <c r="C3687" t="s">
        <v>293</v>
      </c>
      <c r="D3687">
        <v>3260</v>
      </c>
      <c r="E3687" t="s">
        <v>436</v>
      </c>
      <c r="F3687" s="4">
        <v>0</v>
      </c>
      <c r="G3687" s="4">
        <v>21</v>
      </c>
      <c r="H3687" s="4">
        <v>0</v>
      </c>
      <c r="I3687" s="4">
        <v>21</v>
      </c>
      <c r="J3687" s="4">
        <v>21</v>
      </c>
    </row>
    <row r="3688" spans="1:10" x14ac:dyDescent="0.75">
      <c r="A3688" t="s">
        <v>151</v>
      </c>
      <c r="B3688">
        <v>786</v>
      </c>
      <c r="C3688" t="s">
        <v>293</v>
      </c>
      <c r="D3688">
        <v>6442</v>
      </c>
      <c r="E3688" t="s">
        <v>472</v>
      </c>
      <c r="F3688" s="4">
        <v>0</v>
      </c>
      <c r="G3688" s="4">
        <v>21</v>
      </c>
      <c r="H3688" s="4">
        <v>0</v>
      </c>
      <c r="I3688" s="4">
        <v>21</v>
      </c>
      <c r="J3688" s="4">
        <v>21</v>
      </c>
    </row>
    <row r="3689" spans="1:10" x14ac:dyDescent="0.75">
      <c r="A3689" t="s">
        <v>151</v>
      </c>
      <c r="B3689">
        <v>786</v>
      </c>
      <c r="C3689" t="s">
        <v>293</v>
      </c>
      <c r="D3689">
        <v>6835</v>
      </c>
      <c r="E3689" t="s">
        <v>483</v>
      </c>
      <c r="F3689" s="4">
        <v>0</v>
      </c>
      <c r="G3689" s="4">
        <v>20</v>
      </c>
      <c r="H3689" s="4">
        <v>0</v>
      </c>
      <c r="I3689" s="4">
        <v>20</v>
      </c>
      <c r="J3689" s="4">
        <v>20</v>
      </c>
    </row>
    <row r="3690" spans="1:10" x14ac:dyDescent="0.75">
      <c r="A3690" t="s">
        <v>151</v>
      </c>
      <c r="B3690">
        <v>786</v>
      </c>
      <c r="C3690" t="s">
        <v>293</v>
      </c>
      <c r="D3690">
        <v>6781</v>
      </c>
      <c r="E3690" t="s">
        <v>479</v>
      </c>
      <c r="F3690" s="4">
        <v>0</v>
      </c>
      <c r="G3690" s="4">
        <v>18</v>
      </c>
      <c r="H3690" s="4">
        <v>0</v>
      </c>
      <c r="I3690" s="4">
        <v>18</v>
      </c>
      <c r="J3690" s="4">
        <v>18</v>
      </c>
    </row>
    <row r="3691" spans="1:10" x14ac:dyDescent="0.75">
      <c r="A3691" t="s">
        <v>151</v>
      </c>
      <c r="B3691">
        <v>786</v>
      </c>
      <c r="C3691" t="s">
        <v>293</v>
      </c>
      <c r="D3691">
        <v>3297</v>
      </c>
      <c r="E3691" t="s">
        <v>446</v>
      </c>
      <c r="F3691" s="4">
        <v>0</v>
      </c>
      <c r="G3691" s="4">
        <v>17</v>
      </c>
      <c r="H3691" s="4">
        <v>0</v>
      </c>
      <c r="I3691" s="4">
        <v>17</v>
      </c>
      <c r="J3691" s="4">
        <v>17</v>
      </c>
    </row>
    <row r="3692" spans="1:10" x14ac:dyDescent="0.75">
      <c r="A3692" t="s">
        <v>151</v>
      </c>
      <c r="B3692">
        <v>786</v>
      </c>
      <c r="C3692" t="s">
        <v>293</v>
      </c>
      <c r="D3692">
        <v>3275</v>
      </c>
      <c r="E3692" t="s">
        <v>412</v>
      </c>
      <c r="F3692" s="4">
        <v>0</v>
      </c>
      <c r="G3692" s="4">
        <v>15</v>
      </c>
      <c r="H3692" s="4">
        <v>10</v>
      </c>
      <c r="I3692" s="4">
        <v>5</v>
      </c>
      <c r="J3692" s="4">
        <v>15</v>
      </c>
    </row>
    <row r="3693" spans="1:10" x14ac:dyDescent="0.75">
      <c r="A3693" t="s">
        <v>151</v>
      </c>
      <c r="B3693">
        <v>786</v>
      </c>
      <c r="C3693" t="s">
        <v>293</v>
      </c>
      <c r="D3693">
        <v>3272</v>
      </c>
      <c r="E3693" t="s">
        <v>504</v>
      </c>
      <c r="F3693" s="4">
        <v>0</v>
      </c>
      <c r="G3693" s="4">
        <v>14</v>
      </c>
      <c r="H3693" s="4">
        <v>0</v>
      </c>
      <c r="I3693" s="4">
        <v>14</v>
      </c>
      <c r="J3693" s="4">
        <v>14</v>
      </c>
    </row>
    <row r="3694" spans="1:10" x14ac:dyDescent="0.75">
      <c r="A3694" t="s">
        <v>151</v>
      </c>
      <c r="B3694">
        <v>786</v>
      </c>
      <c r="C3694" t="s">
        <v>293</v>
      </c>
      <c r="D3694">
        <v>4190</v>
      </c>
      <c r="E3694" t="s">
        <v>452</v>
      </c>
      <c r="F3694" s="4">
        <v>0</v>
      </c>
      <c r="G3694" s="4">
        <v>13</v>
      </c>
      <c r="H3694" s="4">
        <v>0</v>
      </c>
      <c r="I3694" s="4">
        <v>13</v>
      </c>
      <c r="J3694" s="4">
        <v>13</v>
      </c>
    </row>
    <row r="3695" spans="1:10" x14ac:dyDescent="0.75">
      <c r="A3695" t="s">
        <v>151</v>
      </c>
      <c r="B3695">
        <v>786</v>
      </c>
      <c r="C3695" t="s">
        <v>293</v>
      </c>
      <c r="D3695">
        <v>3276</v>
      </c>
      <c r="E3695" t="s">
        <v>379</v>
      </c>
      <c r="F3695" s="4">
        <v>0</v>
      </c>
      <c r="G3695" s="4">
        <v>12</v>
      </c>
      <c r="H3695" s="4">
        <v>0</v>
      </c>
      <c r="I3695" s="4">
        <v>12</v>
      </c>
      <c r="J3695" s="4">
        <v>12</v>
      </c>
    </row>
    <row r="3696" spans="1:10" x14ac:dyDescent="0.75">
      <c r="A3696" t="s">
        <v>151</v>
      </c>
      <c r="B3696">
        <v>786</v>
      </c>
      <c r="C3696" t="s">
        <v>293</v>
      </c>
      <c r="D3696">
        <v>3250</v>
      </c>
      <c r="E3696" t="s">
        <v>435</v>
      </c>
      <c r="F3696" s="4">
        <v>0</v>
      </c>
      <c r="G3696" s="4">
        <v>10</v>
      </c>
      <c r="H3696" s="4">
        <v>0</v>
      </c>
      <c r="I3696" s="4">
        <v>10</v>
      </c>
      <c r="J3696" s="4">
        <v>10</v>
      </c>
    </row>
    <row r="3697" spans="1:10" x14ac:dyDescent="0.75">
      <c r="A3697" t="s">
        <v>151</v>
      </c>
      <c r="B3697">
        <v>786</v>
      </c>
      <c r="C3697" t="s">
        <v>293</v>
      </c>
      <c r="D3697">
        <v>4782</v>
      </c>
      <c r="E3697" t="s">
        <v>414</v>
      </c>
      <c r="F3697" s="4">
        <v>0</v>
      </c>
      <c r="G3697" s="4">
        <v>8</v>
      </c>
      <c r="H3697" s="4">
        <v>0</v>
      </c>
      <c r="I3697" s="4">
        <v>8</v>
      </c>
      <c r="J3697" s="4">
        <v>8</v>
      </c>
    </row>
    <row r="3698" spans="1:10" x14ac:dyDescent="0.75">
      <c r="A3698" t="s">
        <v>151</v>
      </c>
      <c r="B3698">
        <v>786</v>
      </c>
      <c r="C3698" t="s">
        <v>293</v>
      </c>
      <c r="D3698">
        <v>2640</v>
      </c>
      <c r="E3698" t="s">
        <v>431</v>
      </c>
      <c r="F3698" s="4">
        <v>0</v>
      </c>
      <c r="G3698" s="4">
        <v>6</v>
      </c>
      <c r="H3698" s="4">
        <v>0</v>
      </c>
      <c r="I3698" s="4">
        <v>6</v>
      </c>
      <c r="J3698" s="4">
        <v>6</v>
      </c>
    </row>
    <row r="3699" spans="1:10" x14ac:dyDescent="0.75">
      <c r="A3699" t="s">
        <v>151</v>
      </c>
      <c r="B3699">
        <v>786</v>
      </c>
      <c r="C3699" t="s">
        <v>293</v>
      </c>
      <c r="D3699">
        <v>4322</v>
      </c>
      <c r="E3699" t="s">
        <v>398</v>
      </c>
      <c r="F3699" s="4">
        <v>0</v>
      </c>
      <c r="G3699" s="4">
        <v>6</v>
      </c>
      <c r="H3699" s="4">
        <v>0</v>
      </c>
      <c r="I3699" s="4">
        <v>6</v>
      </c>
      <c r="J3699" s="4">
        <v>6</v>
      </c>
    </row>
    <row r="3700" spans="1:10" x14ac:dyDescent="0.75">
      <c r="A3700" t="s">
        <v>151</v>
      </c>
      <c r="B3700">
        <v>786</v>
      </c>
      <c r="C3700" t="s">
        <v>293</v>
      </c>
      <c r="D3700">
        <v>5312</v>
      </c>
      <c r="E3700" t="s">
        <v>416</v>
      </c>
      <c r="F3700" s="4">
        <v>0</v>
      </c>
      <c r="G3700" s="4">
        <v>6</v>
      </c>
      <c r="H3700" s="4">
        <v>0</v>
      </c>
      <c r="I3700" s="4">
        <v>6</v>
      </c>
      <c r="J3700" s="4">
        <v>6</v>
      </c>
    </row>
    <row r="3701" spans="1:10" x14ac:dyDescent="0.75">
      <c r="A3701" t="s">
        <v>151</v>
      </c>
      <c r="B3701">
        <v>786</v>
      </c>
      <c r="C3701" t="s">
        <v>293</v>
      </c>
      <c r="D3701">
        <v>5421</v>
      </c>
      <c r="E3701" t="s">
        <v>467</v>
      </c>
      <c r="F3701" s="4">
        <v>0</v>
      </c>
      <c r="G3701" s="4">
        <v>5</v>
      </c>
      <c r="H3701" s="4">
        <v>0</v>
      </c>
      <c r="I3701" s="4">
        <v>5</v>
      </c>
      <c r="J3701" s="4">
        <v>5</v>
      </c>
    </row>
    <row r="3702" spans="1:10" x14ac:dyDescent="0.75">
      <c r="A3702" t="s">
        <v>151</v>
      </c>
      <c r="B3702">
        <v>786</v>
      </c>
      <c r="C3702" t="s">
        <v>293</v>
      </c>
      <c r="D3702">
        <v>4310</v>
      </c>
      <c r="E3702" t="s">
        <v>453</v>
      </c>
      <c r="F3702" s="4">
        <v>0</v>
      </c>
      <c r="G3702" s="4">
        <v>3</v>
      </c>
      <c r="H3702" s="4">
        <v>3</v>
      </c>
      <c r="I3702" s="4">
        <v>0</v>
      </c>
      <c r="J3702" s="4">
        <v>3</v>
      </c>
    </row>
    <row r="3703" spans="1:10" x14ac:dyDescent="0.75">
      <c r="A3703" t="s">
        <v>151</v>
      </c>
      <c r="B3703">
        <v>786</v>
      </c>
      <c r="C3703" t="s">
        <v>293</v>
      </c>
      <c r="D3703">
        <v>6839</v>
      </c>
      <c r="E3703" t="s">
        <v>485</v>
      </c>
      <c r="F3703" s="4">
        <v>0</v>
      </c>
      <c r="G3703" s="4">
        <v>3</v>
      </c>
      <c r="H3703" s="4">
        <v>0</v>
      </c>
      <c r="I3703" s="4">
        <v>3</v>
      </c>
      <c r="J3703" s="4">
        <v>3</v>
      </c>
    </row>
    <row r="3704" spans="1:10" x14ac:dyDescent="0.75">
      <c r="A3704" t="s">
        <v>151</v>
      </c>
      <c r="B3704">
        <v>786</v>
      </c>
      <c r="C3704" t="s">
        <v>293</v>
      </c>
      <c r="D3704">
        <v>2540</v>
      </c>
      <c r="E3704" t="s">
        <v>377</v>
      </c>
      <c r="F3704" s="4">
        <v>0</v>
      </c>
      <c r="G3704" s="4">
        <v>2</v>
      </c>
      <c r="H3704" s="4">
        <v>0</v>
      </c>
      <c r="I3704" s="4">
        <v>2</v>
      </c>
      <c r="J3704" s="4">
        <v>2</v>
      </c>
    </row>
    <row r="3705" spans="1:10" x14ac:dyDescent="0.75">
      <c r="A3705" t="s">
        <v>151</v>
      </c>
      <c r="B3705">
        <v>786</v>
      </c>
      <c r="C3705" t="s">
        <v>293</v>
      </c>
      <c r="D3705">
        <v>3110</v>
      </c>
      <c r="E3705" t="s">
        <v>405</v>
      </c>
      <c r="F3705" s="4">
        <v>0</v>
      </c>
      <c r="G3705" s="4">
        <v>2</v>
      </c>
      <c r="H3705" s="4">
        <v>0</v>
      </c>
      <c r="I3705" s="4">
        <v>2</v>
      </c>
      <c r="J3705" s="4">
        <v>2</v>
      </c>
    </row>
    <row r="3706" spans="1:10" x14ac:dyDescent="0.75">
      <c r="A3706" t="s">
        <v>151</v>
      </c>
      <c r="B3706">
        <v>786</v>
      </c>
      <c r="C3706" t="s">
        <v>293</v>
      </c>
      <c r="D3706">
        <v>3230</v>
      </c>
      <c r="E3706" t="s">
        <v>434</v>
      </c>
      <c r="F3706" s="4">
        <v>0</v>
      </c>
      <c r="G3706" s="4">
        <v>2</v>
      </c>
      <c r="H3706" s="4">
        <v>0</v>
      </c>
      <c r="I3706" s="4">
        <v>2</v>
      </c>
      <c r="J3706" s="4">
        <v>2</v>
      </c>
    </row>
    <row r="3707" spans="1:10" x14ac:dyDescent="0.75">
      <c r="A3707" t="s">
        <v>151</v>
      </c>
      <c r="B3707">
        <v>786</v>
      </c>
      <c r="C3707" t="s">
        <v>293</v>
      </c>
      <c r="D3707">
        <v>3130</v>
      </c>
      <c r="E3707" t="s">
        <v>407</v>
      </c>
      <c r="F3707" s="4">
        <v>0</v>
      </c>
      <c r="G3707" s="4">
        <v>1</v>
      </c>
      <c r="H3707" s="4">
        <v>0</v>
      </c>
      <c r="I3707" s="4">
        <v>1</v>
      </c>
      <c r="J3707" s="4">
        <v>1</v>
      </c>
    </row>
    <row r="3708" spans="1:10" x14ac:dyDescent="0.75">
      <c r="A3708" t="s">
        <v>151</v>
      </c>
      <c r="B3708">
        <v>786</v>
      </c>
      <c r="C3708" t="s">
        <v>293</v>
      </c>
      <c r="D3708">
        <v>3284</v>
      </c>
      <c r="E3708" t="s">
        <v>442</v>
      </c>
      <c r="F3708" s="4">
        <v>0</v>
      </c>
      <c r="G3708" s="4">
        <v>1</v>
      </c>
      <c r="H3708" s="4">
        <v>0</v>
      </c>
      <c r="I3708" s="4">
        <v>1</v>
      </c>
      <c r="J3708" s="4">
        <v>1</v>
      </c>
    </row>
    <row r="3709" spans="1:10" x14ac:dyDescent="0.75">
      <c r="A3709" t="s">
        <v>151</v>
      </c>
      <c r="B3709">
        <v>786</v>
      </c>
      <c r="C3709" t="s">
        <v>293</v>
      </c>
      <c r="D3709">
        <v>3292</v>
      </c>
      <c r="E3709" t="s">
        <v>413</v>
      </c>
      <c r="F3709" s="4">
        <v>0</v>
      </c>
      <c r="G3709" s="4">
        <v>1</v>
      </c>
      <c r="H3709" s="4">
        <v>0</v>
      </c>
      <c r="I3709" s="4">
        <v>1</v>
      </c>
      <c r="J3709" s="4">
        <v>1</v>
      </c>
    </row>
    <row r="3710" spans="1:10" x14ac:dyDescent="0.75">
      <c r="A3710" t="s">
        <v>151</v>
      </c>
      <c r="B3710">
        <v>786</v>
      </c>
      <c r="C3710" t="s">
        <v>293</v>
      </c>
      <c r="D3710">
        <v>5422</v>
      </c>
      <c r="E3710" t="s">
        <v>468</v>
      </c>
      <c r="F3710" s="4">
        <v>0</v>
      </c>
      <c r="G3710" s="4">
        <v>1</v>
      </c>
      <c r="H3710" s="4">
        <v>0</v>
      </c>
      <c r="I3710" s="4">
        <v>1</v>
      </c>
      <c r="J3710" s="4">
        <v>1</v>
      </c>
    </row>
    <row r="3711" spans="1:10" x14ac:dyDescent="0.75">
      <c r="A3711" t="s">
        <v>151</v>
      </c>
      <c r="B3711">
        <v>786</v>
      </c>
      <c r="C3711" t="s">
        <v>293</v>
      </c>
      <c r="D3711">
        <v>6136</v>
      </c>
      <c r="E3711" t="s">
        <v>471</v>
      </c>
      <c r="F3711" s="4">
        <v>0</v>
      </c>
      <c r="G3711" s="4">
        <v>1</v>
      </c>
      <c r="H3711" s="4">
        <v>0</v>
      </c>
      <c r="I3711" s="4">
        <v>1</v>
      </c>
      <c r="J3711" s="4">
        <v>1</v>
      </c>
    </row>
    <row r="3712" spans="1:10" x14ac:dyDescent="0.75">
      <c r="A3712" t="s">
        <v>151</v>
      </c>
      <c r="B3712">
        <v>786</v>
      </c>
      <c r="C3712" t="s">
        <v>293</v>
      </c>
      <c r="D3712">
        <v>6857</v>
      </c>
      <c r="E3712" t="s">
        <v>487</v>
      </c>
      <c r="F3712" s="4">
        <v>0</v>
      </c>
      <c r="G3712" s="4">
        <v>1</v>
      </c>
      <c r="H3712" s="4">
        <v>0</v>
      </c>
      <c r="I3712" s="4">
        <v>1</v>
      </c>
      <c r="J3712" s="4">
        <v>1</v>
      </c>
    </row>
    <row r="3713" spans="1:10" x14ac:dyDescent="0.75">
      <c r="A3713" t="s">
        <v>160</v>
      </c>
      <c r="B3713">
        <v>3007</v>
      </c>
      <c r="C3713" t="s">
        <v>304</v>
      </c>
      <c r="D3713">
        <v>4783</v>
      </c>
      <c r="E3713" t="s">
        <v>382</v>
      </c>
      <c r="F3713" s="4">
        <v>0</v>
      </c>
      <c r="G3713" s="4">
        <v>178862</v>
      </c>
      <c r="H3713" s="4">
        <v>178862</v>
      </c>
      <c r="I3713" s="4">
        <v>0</v>
      </c>
      <c r="J3713" s="4">
        <v>178862</v>
      </c>
    </row>
    <row r="3714" spans="1:10" x14ac:dyDescent="0.75">
      <c r="A3714" t="s">
        <v>151</v>
      </c>
      <c r="B3714">
        <v>5003</v>
      </c>
      <c r="C3714" t="s">
        <v>72</v>
      </c>
      <c r="D3714">
        <v>6134</v>
      </c>
      <c r="E3714" t="s">
        <v>470</v>
      </c>
      <c r="F3714" s="4">
        <v>0</v>
      </c>
      <c r="G3714" s="4">
        <v>67903</v>
      </c>
      <c r="H3714" s="4">
        <v>80</v>
      </c>
      <c r="I3714" s="4">
        <v>67823</v>
      </c>
      <c r="J3714" s="4">
        <v>67903</v>
      </c>
    </row>
    <row r="3715" spans="1:10" x14ac:dyDescent="0.75">
      <c r="A3715" t="s">
        <v>151</v>
      </c>
      <c r="B3715">
        <v>5003</v>
      </c>
      <c r="C3715" t="s">
        <v>72</v>
      </c>
      <c r="D3715">
        <v>2330</v>
      </c>
      <c r="E3715" t="s">
        <v>368</v>
      </c>
      <c r="F3715" s="4">
        <v>3889</v>
      </c>
      <c r="G3715" s="4">
        <v>37607</v>
      </c>
      <c r="H3715" s="4">
        <v>35119</v>
      </c>
      <c r="I3715" s="4">
        <v>2488</v>
      </c>
      <c r="J3715" s="4">
        <v>41496</v>
      </c>
    </row>
    <row r="3716" spans="1:10" x14ac:dyDescent="0.75">
      <c r="A3716" t="s">
        <v>151</v>
      </c>
      <c r="B3716">
        <v>5003</v>
      </c>
      <c r="C3716" t="s">
        <v>72</v>
      </c>
      <c r="D3716">
        <v>6782</v>
      </c>
      <c r="E3716" t="s">
        <v>396</v>
      </c>
      <c r="F3716" s="4">
        <v>0</v>
      </c>
      <c r="G3716" s="4">
        <v>14931</v>
      </c>
      <c r="H3716" s="4">
        <v>0</v>
      </c>
      <c r="I3716" s="4">
        <v>14931</v>
      </c>
      <c r="J3716" s="4">
        <v>14931</v>
      </c>
    </row>
    <row r="3717" spans="1:10" x14ac:dyDescent="0.75">
      <c r="A3717" t="s">
        <v>151</v>
      </c>
      <c r="B3717">
        <v>5003</v>
      </c>
      <c r="C3717" t="s">
        <v>72</v>
      </c>
      <c r="D3717">
        <v>6839</v>
      </c>
      <c r="E3717" t="s">
        <v>485</v>
      </c>
      <c r="F3717" s="4">
        <v>0</v>
      </c>
      <c r="G3717" s="4">
        <v>5965</v>
      </c>
      <c r="H3717" s="4">
        <v>0</v>
      </c>
      <c r="I3717" s="4">
        <v>5965</v>
      </c>
      <c r="J3717" s="4">
        <v>5965</v>
      </c>
    </row>
    <row r="3718" spans="1:10" x14ac:dyDescent="0.75">
      <c r="A3718" t="s">
        <v>151</v>
      </c>
      <c r="B3718">
        <v>5003</v>
      </c>
      <c r="C3718" t="s">
        <v>72</v>
      </c>
      <c r="D3718">
        <v>6838</v>
      </c>
      <c r="E3718" t="s">
        <v>484</v>
      </c>
      <c r="F3718" s="4">
        <v>0</v>
      </c>
      <c r="G3718" s="4">
        <v>4892</v>
      </c>
      <c r="H3718" s="4">
        <v>22</v>
      </c>
      <c r="I3718" s="4">
        <v>4870</v>
      </c>
      <c r="J3718" s="4">
        <v>4892</v>
      </c>
    </row>
    <row r="3719" spans="1:10" x14ac:dyDescent="0.75">
      <c r="A3719" t="s">
        <v>151</v>
      </c>
      <c r="B3719">
        <v>5003</v>
      </c>
      <c r="C3719" t="s">
        <v>72</v>
      </c>
      <c r="D3719">
        <v>2211</v>
      </c>
      <c r="E3719" t="s">
        <v>367</v>
      </c>
      <c r="F3719" s="4">
        <v>582</v>
      </c>
      <c r="G3719" s="4">
        <v>0</v>
      </c>
      <c r="H3719" s="4">
        <v>0</v>
      </c>
      <c r="I3719" s="4">
        <v>0</v>
      </c>
      <c r="J3719" s="4">
        <v>582</v>
      </c>
    </row>
    <row r="3720" spans="1:10" x14ac:dyDescent="0.75">
      <c r="A3720" t="s">
        <v>151</v>
      </c>
      <c r="B3720">
        <v>5003</v>
      </c>
      <c r="C3720" t="s">
        <v>72</v>
      </c>
      <c r="D3720">
        <v>2221</v>
      </c>
      <c r="E3720" t="s">
        <v>374</v>
      </c>
      <c r="F3720" s="4">
        <v>372</v>
      </c>
      <c r="G3720" s="4">
        <v>0</v>
      </c>
      <c r="H3720" s="4">
        <v>0</v>
      </c>
      <c r="I3720" s="4">
        <v>0</v>
      </c>
      <c r="J3720" s="4">
        <v>372</v>
      </c>
    </row>
    <row r="3721" spans="1:10" x14ac:dyDescent="0.75">
      <c r="A3721" t="s">
        <v>151</v>
      </c>
      <c r="B3721">
        <v>5003</v>
      </c>
      <c r="C3721" t="s">
        <v>72</v>
      </c>
      <c r="D3721">
        <v>6835</v>
      </c>
      <c r="E3721" t="s">
        <v>483</v>
      </c>
      <c r="F3721" s="4">
        <v>0</v>
      </c>
      <c r="G3721" s="4">
        <v>213</v>
      </c>
      <c r="H3721" s="4">
        <v>0</v>
      </c>
      <c r="I3721" s="4">
        <v>213</v>
      </c>
      <c r="J3721" s="4">
        <v>213</v>
      </c>
    </row>
    <row r="3722" spans="1:10" x14ac:dyDescent="0.75">
      <c r="A3722" t="s">
        <v>151</v>
      </c>
      <c r="B3722">
        <v>5003</v>
      </c>
      <c r="C3722" t="s">
        <v>72</v>
      </c>
      <c r="D3722">
        <v>7600</v>
      </c>
      <c r="E3722" t="s">
        <v>503</v>
      </c>
      <c r="F3722" s="4">
        <v>0</v>
      </c>
      <c r="G3722" s="4">
        <v>69</v>
      </c>
      <c r="H3722" s="4">
        <v>38</v>
      </c>
      <c r="I3722" s="4">
        <v>31</v>
      </c>
      <c r="J3722" s="4">
        <v>69</v>
      </c>
    </row>
    <row r="3723" spans="1:10" x14ac:dyDescent="0.75">
      <c r="A3723" t="s">
        <v>151</v>
      </c>
      <c r="B3723">
        <v>5003</v>
      </c>
      <c r="C3723" t="s">
        <v>72</v>
      </c>
      <c r="D3723">
        <v>4650</v>
      </c>
      <c r="E3723" t="s">
        <v>457</v>
      </c>
      <c r="F3723" s="4">
        <v>0</v>
      </c>
      <c r="G3723" s="4">
        <v>65</v>
      </c>
      <c r="H3723" s="4">
        <v>65</v>
      </c>
      <c r="I3723" s="4">
        <v>0</v>
      </c>
      <c r="J3723" s="4">
        <v>65</v>
      </c>
    </row>
    <row r="3724" spans="1:10" x14ac:dyDescent="0.75">
      <c r="A3724" t="s">
        <v>151</v>
      </c>
      <c r="B3724">
        <v>5003</v>
      </c>
      <c r="C3724" t="s">
        <v>72</v>
      </c>
      <c r="D3724">
        <v>3299</v>
      </c>
      <c r="E3724" t="s">
        <v>448</v>
      </c>
      <c r="F3724" s="4">
        <v>0</v>
      </c>
      <c r="G3724" s="4">
        <v>38</v>
      </c>
      <c r="H3724" s="4">
        <v>38</v>
      </c>
      <c r="I3724" s="4">
        <v>0</v>
      </c>
      <c r="J3724" s="4">
        <v>38</v>
      </c>
    </row>
    <row r="3725" spans="1:10" x14ac:dyDescent="0.75">
      <c r="A3725" t="s">
        <v>151</v>
      </c>
      <c r="B3725">
        <v>5003</v>
      </c>
      <c r="C3725" t="s">
        <v>72</v>
      </c>
      <c r="D3725">
        <v>7900</v>
      </c>
      <c r="E3725" t="s">
        <v>388</v>
      </c>
      <c r="F3725" s="4">
        <v>0</v>
      </c>
      <c r="G3725" s="4">
        <v>35</v>
      </c>
      <c r="H3725" s="4">
        <v>35</v>
      </c>
      <c r="I3725" s="4">
        <v>0</v>
      </c>
      <c r="J3725" s="4">
        <v>35</v>
      </c>
    </row>
    <row r="3726" spans="1:10" x14ac:dyDescent="0.75">
      <c r="A3726" t="s">
        <v>151</v>
      </c>
      <c r="B3726">
        <v>5003</v>
      </c>
      <c r="C3726" t="s">
        <v>72</v>
      </c>
      <c r="D3726">
        <v>5190</v>
      </c>
      <c r="E3726" t="s">
        <v>462</v>
      </c>
      <c r="F3726" s="4">
        <v>0</v>
      </c>
      <c r="G3726" s="4">
        <v>19</v>
      </c>
      <c r="H3726" s="4">
        <v>19</v>
      </c>
      <c r="I3726" s="4">
        <v>0</v>
      </c>
      <c r="J3726" s="4">
        <v>19</v>
      </c>
    </row>
    <row r="3727" spans="1:10" x14ac:dyDescent="0.75">
      <c r="A3727" t="s">
        <v>151</v>
      </c>
      <c r="B3727">
        <v>5003</v>
      </c>
      <c r="C3727" t="s">
        <v>72</v>
      </c>
      <c r="D3727">
        <v>7500</v>
      </c>
      <c r="E3727" t="s">
        <v>427</v>
      </c>
      <c r="F3727" s="4">
        <v>0</v>
      </c>
      <c r="G3727" s="4">
        <v>16</v>
      </c>
      <c r="H3727" s="4">
        <v>16</v>
      </c>
      <c r="I3727" s="4">
        <v>0</v>
      </c>
      <c r="J3727" s="4">
        <v>16</v>
      </c>
    </row>
    <row r="3728" spans="1:10" x14ac:dyDescent="0.75">
      <c r="A3728" t="s">
        <v>151</v>
      </c>
      <c r="B3728">
        <v>5003</v>
      </c>
      <c r="C3728" t="s">
        <v>72</v>
      </c>
      <c r="D3728">
        <v>3276</v>
      </c>
      <c r="E3728" t="s">
        <v>379</v>
      </c>
      <c r="F3728" s="4">
        <v>0</v>
      </c>
      <c r="G3728" s="4">
        <v>12</v>
      </c>
      <c r="H3728" s="4">
        <v>0</v>
      </c>
      <c r="I3728" s="4">
        <v>12</v>
      </c>
      <c r="J3728" s="4">
        <v>12</v>
      </c>
    </row>
    <row r="3729" spans="1:10" x14ac:dyDescent="0.75">
      <c r="A3729" t="s">
        <v>151</v>
      </c>
      <c r="B3729">
        <v>5003</v>
      </c>
      <c r="C3729" t="s">
        <v>72</v>
      </c>
      <c r="D3729">
        <v>7110</v>
      </c>
      <c r="E3729" t="s">
        <v>371</v>
      </c>
      <c r="F3729" s="4">
        <v>0</v>
      </c>
      <c r="G3729" s="4">
        <v>4</v>
      </c>
      <c r="H3729" s="4">
        <v>4</v>
      </c>
      <c r="I3729" s="4">
        <v>0</v>
      </c>
      <c r="J3729" s="4">
        <v>4</v>
      </c>
    </row>
    <row r="3730" spans="1:10" x14ac:dyDescent="0.75">
      <c r="A3730" t="s">
        <v>151</v>
      </c>
      <c r="B3730">
        <v>2398</v>
      </c>
      <c r="C3730" t="s">
        <v>224</v>
      </c>
      <c r="D3730">
        <v>2100</v>
      </c>
      <c r="E3730" t="s">
        <v>403</v>
      </c>
      <c r="F3730" s="4">
        <v>775332</v>
      </c>
      <c r="G3730" s="4">
        <v>0</v>
      </c>
      <c r="H3730" s="4">
        <v>0</v>
      </c>
      <c r="I3730" s="4">
        <v>0</v>
      </c>
      <c r="J3730" s="4">
        <v>775332</v>
      </c>
    </row>
    <row r="3731" spans="1:10" x14ac:dyDescent="0.75">
      <c r="A3731" t="s">
        <v>151</v>
      </c>
      <c r="B3731">
        <v>2398</v>
      </c>
      <c r="C3731" t="s">
        <v>224</v>
      </c>
      <c r="D3731">
        <v>5220</v>
      </c>
      <c r="E3731" t="s">
        <v>401</v>
      </c>
      <c r="F3731" s="4">
        <v>221200</v>
      </c>
      <c r="G3731" s="4">
        <v>0</v>
      </c>
      <c r="H3731" s="4">
        <v>0</v>
      </c>
      <c r="I3731" s="4">
        <v>0</v>
      </c>
      <c r="J3731" s="4">
        <v>221200</v>
      </c>
    </row>
    <row r="3732" spans="1:10" x14ac:dyDescent="0.75">
      <c r="A3732" t="s">
        <v>151</v>
      </c>
      <c r="B3732">
        <v>2398</v>
      </c>
      <c r="C3732" t="s">
        <v>224</v>
      </c>
      <c r="D3732">
        <v>2429</v>
      </c>
      <c r="E3732" t="s">
        <v>375</v>
      </c>
      <c r="F3732" s="4">
        <v>184613</v>
      </c>
      <c r="G3732" s="4">
        <v>0</v>
      </c>
      <c r="H3732" s="4">
        <v>0</v>
      </c>
      <c r="I3732" s="4">
        <v>0</v>
      </c>
      <c r="J3732" s="4">
        <v>184613</v>
      </c>
    </row>
    <row r="3733" spans="1:10" x14ac:dyDescent="0.75">
      <c r="A3733" t="s">
        <v>151</v>
      </c>
      <c r="B3733">
        <v>2398</v>
      </c>
      <c r="C3733" t="s">
        <v>224</v>
      </c>
      <c r="D3733">
        <v>2340</v>
      </c>
      <c r="E3733" t="s">
        <v>369</v>
      </c>
      <c r="F3733" s="4">
        <v>180248</v>
      </c>
      <c r="G3733" s="4">
        <v>0</v>
      </c>
      <c r="H3733" s="4">
        <v>0</v>
      </c>
      <c r="I3733" s="4">
        <v>0</v>
      </c>
      <c r="J3733" s="4">
        <v>180248</v>
      </c>
    </row>
    <row r="3734" spans="1:10" x14ac:dyDescent="0.75">
      <c r="A3734" t="s">
        <v>151</v>
      </c>
      <c r="B3734">
        <v>2398</v>
      </c>
      <c r="C3734" t="s">
        <v>224</v>
      </c>
      <c r="D3734">
        <v>4322</v>
      </c>
      <c r="E3734" t="s">
        <v>398</v>
      </c>
      <c r="F3734" s="4">
        <v>177599</v>
      </c>
      <c r="G3734" s="4">
        <v>0</v>
      </c>
      <c r="H3734" s="4">
        <v>0</v>
      </c>
      <c r="I3734" s="4">
        <v>0</v>
      </c>
      <c r="J3734" s="4">
        <v>177599</v>
      </c>
    </row>
    <row r="3735" spans="1:10" x14ac:dyDescent="0.75">
      <c r="A3735" t="s">
        <v>151</v>
      </c>
      <c r="B3735">
        <v>2398</v>
      </c>
      <c r="C3735" t="s">
        <v>224</v>
      </c>
      <c r="D3735">
        <v>3240</v>
      </c>
      <c r="E3735" t="s">
        <v>410</v>
      </c>
      <c r="F3735" s="4">
        <v>153600</v>
      </c>
      <c r="G3735" s="4">
        <v>0</v>
      </c>
      <c r="H3735" s="4">
        <v>0</v>
      </c>
      <c r="I3735" s="4">
        <v>0</v>
      </c>
      <c r="J3735" s="4">
        <v>153600</v>
      </c>
    </row>
    <row r="3736" spans="1:10" x14ac:dyDescent="0.75">
      <c r="A3736" t="s">
        <v>151</v>
      </c>
      <c r="B3736">
        <v>2398</v>
      </c>
      <c r="C3736" t="s">
        <v>224</v>
      </c>
      <c r="D3736">
        <v>2211</v>
      </c>
      <c r="E3736" t="s">
        <v>367</v>
      </c>
      <c r="F3736" s="4">
        <v>146448</v>
      </c>
      <c r="G3736" s="4">
        <v>0</v>
      </c>
      <c r="H3736" s="4">
        <v>0</v>
      </c>
      <c r="I3736" s="4">
        <v>0</v>
      </c>
      <c r="J3736" s="4">
        <v>146448</v>
      </c>
    </row>
    <row r="3737" spans="1:10" x14ac:dyDescent="0.75">
      <c r="A3737" t="s">
        <v>151</v>
      </c>
      <c r="B3737">
        <v>2398</v>
      </c>
      <c r="C3737" t="s">
        <v>224</v>
      </c>
      <c r="D3737">
        <v>2330</v>
      </c>
      <c r="E3737" t="s">
        <v>368</v>
      </c>
      <c r="F3737" s="4">
        <v>127653</v>
      </c>
      <c r="G3737" s="4">
        <v>16868</v>
      </c>
      <c r="H3737" s="4">
        <v>0</v>
      </c>
      <c r="I3737" s="4">
        <v>16868</v>
      </c>
      <c r="J3737" s="4">
        <v>144521</v>
      </c>
    </row>
    <row r="3738" spans="1:10" x14ac:dyDescent="0.75">
      <c r="A3738" t="s">
        <v>151</v>
      </c>
      <c r="B3738">
        <v>2398</v>
      </c>
      <c r="C3738" t="s">
        <v>224</v>
      </c>
      <c r="D3738">
        <v>5360</v>
      </c>
      <c r="E3738" t="s">
        <v>465</v>
      </c>
      <c r="F3738" s="4">
        <v>130879</v>
      </c>
      <c r="G3738" s="4">
        <v>0</v>
      </c>
      <c r="H3738" s="4">
        <v>0</v>
      </c>
      <c r="I3738" s="4">
        <v>0</v>
      </c>
      <c r="J3738" s="4">
        <v>130879</v>
      </c>
    </row>
    <row r="3739" spans="1:10" x14ac:dyDescent="0.75">
      <c r="A3739" t="s">
        <v>151</v>
      </c>
      <c r="B3739">
        <v>2398</v>
      </c>
      <c r="C3739" t="s">
        <v>224</v>
      </c>
      <c r="D3739">
        <v>3211</v>
      </c>
      <c r="E3739" t="s">
        <v>433</v>
      </c>
      <c r="F3739" s="4">
        <v>86251</v>
      </c>
      <c r="G3739" s="4">
        <v>0</v>
      </c>
      <c r="H3739" s="4">
        <v>0</v>
      </c>
      <c r="I3739" s="4">
        <v>0</v>
      </c>
      <c r="J3739" s="4">
        <v>86251</v>
      </c>
    </row>
    <row r="3740" spans="1:10" x14ac:dyDescent="0.75">
      <c r="A3740" t="s">
        <v>151</v>
      </c>
      <c r="B3740">
        <v>2398</v>
      </c>
      <c r="C3740" t="s">
        <v>224</v>
      </c>
      <c r="D3740">
        <v>4420</v>
      </c>
      <c r="E3740" t="s">
        <v>381</v>
      </c>
      <c r="F3740" s="4">
        <v>45292</v>
      </c>
      <c r="G3740" s="4">
        <v>0</v>
      </c>
      <c r="H3740" s="4">
        <v>0</v>
      </c>
      <c r="I3740" s="4">
        <v>0</v>
      </c>
      <c r="J3740" s="4">
        <v>45292</v>
      </c>
    </row>
    <row r="3741" spans="1:10" x14ac:dyDescent="0.75">
      <c r="A3741" t="s">
        <v>151</v>
      </c>
      <c r="B3741">
        <v>2398</v>
      </c>
      <c r="C3741" t="s">
        <v>224</v>
      </c>
      <c r="D3741">
        <v>2640</v>
      </c>
      <c r="E3741" t="s">
        <v>431</v>
      </c>
      <c r="F3741" s="4">
        <v>22368</v>
      </c>
      <c r="G3741" s="4">
        <v>0</v>
      </c>
      <c r="H3741" s="4">
        <v>0</v>
      </c>
      <c r="I3741" s="4">
        <v>0</v>
      </c>
      <c r="J3741" s="4">
        <v>22368</v>
      </c>
    </row>
    <row r="3742" spans="1:10" x14ac:dyDescent="0.75">
      <c r="A3742" t="s">
        <v>151</v>
      </c>
      <c r="B3742">
        <v>2398</v>
      </c>
      <c r="C3742" t="s">
        <v>224</v>
      </c>
      <c r="D3742">
        <v>3219</v>
      </c>
      <c r="E3742" t="s">
        <v>378</v>
      </c>
      <c r="F3742" s="4">
        <v>20523</v>
      </c>
      <c r="G3742" s="4">
        <v>0</v>
      </c>
      <c r="H3742" s="4">
        <v>0</v>
      </c>
      <c r="I3742" s="4">
        <v>0</v>
      </c>
      <c r="J3742" s="4">
        <v>20523</v>
      </c>
    </row>
    <row r="3743" spans="1:10" x14ac:dyDescent="0.75">
      <c r="A3743" t="s">
        <v>151</v>
      </c>
      <c r="B3743">
        <v>2398</v>
      </c>
      <c r="C3743" t="s">
        <v>224</v>
      </c>
      <c r="D3743">
        <v>3230</v>
      </c>
      <c r="E3743" t="s">
        <v>434</v>
      </c>
      <c r="F3743" s="4">
        <v>15518</v>
      </c>
      <c r="G3743" s="4">
        <v>0</v>
      </c>
      <c r="H3743" s="4">
        <v>0</v>
      </c>
      <c r="I3743" s="4">
        <v>0</v>
      </c>
      <c r="J3743" s="4">
        <v>15518</v>
      </c>
    </row>
    <row r="3744" spans="1:10" x14ac:dyDescent="0.75">
      <c r="A3744" t="s">
        <v>151</v>
      </c>
      <c r="B3744">
        <v>2398</v>
      </c>
      <c r="C3744" t="s">
        <v>224</v>
      </c>
      <c r="D3744">
        <v>5312</v>
      </c>
      <c r="E3744" t="s">
        <v>416</v>
      </c>
      <c r="F3744" s="4">
        <v>6283</v>
      </c>
      <c r="G3744" s="4">
        <v>0</v>
      </c>
      <c r="H3744" s="4">
        <v>0</v>
      </c>
      <c r="I3744" s="4">
        <v>0</v>
      </c>
      <c r="J3744" s="4">
        <v>6283</v>
      </c>
    </row>
    <row r="3745" spans="1:10" x14ac:dyDescent="0.75">
      <c r="A3745" t="s">
        <v>151</v>
      </c>
      <c r="B3745">
        <v>2398</v>
      </c>
      <c r="C3745" t="s">
        <v>224</v>
      </c>
      <c r="D3745">
        <v>3212</v>
      </c>
      <c r="E3745" t="s">
        <v>409</v>
      </c>
      <c r="F3745" s="4">
        <v>3402</v>
      </c>
      <c r="G3745" s="4">
        <v>0</v>
      </c>
      <c r="H3745" s="4">
        <v>0</v>
      </c>
      <c r="I3745" s="4">
        <v>0</v>
      </c>
      <c r="J3745" s="4">
        <v>3402</v>
      </c>
    </row>
    <row r="3746" spans="1:10" x14ac:dyDescent="0.75">
      <c r="A3746" t="s">
        <v>151</v>
      </c>
      <c r="B3746">
        <v>2398</v>
      </c>
      <c r="C3746" t="s">
        <v>224</v>
      </c>
      <c r="D3746">
        <v>9900</v>
      </c>
      <c r="E3746" t="s">
        <v>389</v>
      </c>
      <c r="F3746" s="4">
        <v>0</v>
      </c>
      <c r="G3746" s="4">
        <v>719</v>
      </c>
      <c r="H3746" s="4">
        <v>719</v>
      </c>
      <c r="I3746" s="4">
        <v>0</v>
      </c>
      <c r="J3746" s="4">
        <v>719</v>
      </c>
    </row>
    <row r="3747" spans="1:10" x14ac:dyDescent="0.75">
      <c r="A3747" t="s">
        <v>151</v>
      </c>
      <c r="B3747">
        <v>2398</v>
      </c>
      <c r="C3747" t="s">
        <v>224</v>
      </c>
      <c r="D3747">
        <v>7110</v>
      </c>
      <c r="E3747" t="s">
        <v>371</v>
      </c>
      <c r="F3747" s="4">
        <v>310</v>
      </c>
      <c r="G3747" s="4">
        <v>0</v>
      </c>
      <c r="H3747" s="4">
        <v>0</v>
      </c>
      <c r="I3747" s="4">
        <v>0</v>
      </c>
      <c r="J3747" s="4">
        <v>310</v>
      </c>
    </row>
    <row r="3748" spans="1:10" x14ac:dyDescent="0.75">
      <c r="A3748" t="s">
        <v>163</v>
      </c>
      <c r="B3748">
        <v>2297</v>
      </c>
      <c r="C3748" t="s">
        <v>277</v>
      </c>
      <c r="D3748">
        <v>6522</v>
      </c>
      <c r="E3748" t="s">
        <v>393</v>
      </c>
      <c r="F3748" s="4">
        <v>311949</v>
      </c>
      <c r="G3748" s="4">
        <v>0</v>
      </c>
      <c r="H3748" s="4">
        <v>0</v>
      </c>
      <c r="I3748" s="4">
        <v>0</v>
      </c>
      <c r="J3748" s="4">
        <v>311949</v>
      </c>
    </row>
    <row r="3749" spans="1:10" x14ac:dyDescent="0.75">
      <c r="A3749" t="s">
        <v>163</v>
      </c>
      <c r="B3749">
        <v>2297</v>
      </c>
      <c r="C3749" t="s">
        <v>277</v>
      </c>
      <c r="D3749">
        <v>6442</v>
      </c>
      <c r="E3749" t="s">
        <v>472</v>
      </c>
      <c r="F3749" s="4">
        <v>142011</v>
      </c>
      <c r="G3749" s="4">
        <v>0</v>
      </c>
      <c r="H3749" s="4">
        <v>0</v>
      </c>
      <c r="I3749" s="4">
        <v>0</v>
      </c>
      <c r="J3749" s="4">
        <v>142011</v>
      </c>
    </row>
    <row r="3750" spans="1:10" x14ac:dyDescent="0.75">
      <c r="A3750" t="s">
        <v>163</v>
      </c>
      <c r="B3750">
        <v>2297</v>
      </c>
      <c r="C3750" t="s">
        <v>277</v>
      </c>
      <c r="D3750">
        <v>6344</v>
      </c>
      <c r="E3750" t="s">
        <v>392</v>
      </c>
      <c r="F3750" s="4">
        <v>61618</v>
      </c>
      <c r="G3750" s="4">
        <v>0</v>
      </c>
      <c r="H3750" s="4">
        <v>0</v>
      </c>
      <c r="I3750" s="4">
        <v>0</v>
      </c>
      <c r="J3750" s="4">
        <v>61618</v>
      </c>
    </row>
    <row r="3751" spans="1:10" x14ac:dyDescent="0.75">
      <c r="A3751" t="s">
        <v>163</v>
      </c>
      <c r="B3751">
        <v>2297</v>
      </c>
      <c r="C3751" t="s">
        <v>277</v>
      </c>
      <c r="D3751">
        <v>6241</v>
      </c>
      <c r="E3751" t="s">
        <v>391</v>
      </c>
      <c r="F3751" s="4">
        <v>12527</v>
      </c>
      <c r="G3751" s="4">
        <v>0</v>
      </c>
      <c r="H3751" s="4">
        <v>0</v>
      </c>
      <c r="I3751" s="4">
        <v>0</v>
      </c>
      <c r="J3751" s="4">
        <v>12527</v>
      </c>
    </row>
    <row r="3752" spans="1:10" x14ac:dyDescent="0.75">
      <c r="A3752" t="s">
        <v>163</v>
      </c>
      <c r="B3752">
        <v>2297</v>
      </c>
      <c r="C3752" t="s">
        <v>277</v>
      </c>
      <c r="D3752">
        <v>3110</v>
      </c>
      <c r="E3752" t="s">
        <v>405</v>
      </c>
      <c r="F3752" s="4">
        <v>11142</v>
      </c>
      <c r="G3752" s="4">
        <v>0</v>
      </c>
      <c r="H3752" s="4">
        <v>0</v>
      </c>
      <c r="I3752" s="4">
        <v>0</v>
      </c>
      <c r="J3752" s="4">
        <v>11142</v>
      </c>
    </row>
    <row r="3753" spans="1:10" x14ac:dyDescent="0.75">
      <c r="A3753" t="s">
        <v>163</v>
      </c>
      <c r="B3753">
        <v>2297</v>
      </c>
      <c r="C3753" t="s">
        <v>277</v>
      </c>
      <c r="D3753">
        <v>4420</v>
      </c>
      <c r="E3753" t="s">
        <v>381</v>
      </c>
      <c r="F3753" s="4">
        <v>4690</v>
      </c>
      <c r="G3753" s="4">
        <v>0</v>
      </c>
      <c r="H3753" s="4">
        <v>0</v>
      </c>
      <c r="I3753" s="4">
        <v>0</v>
      </c>
      <c r="J3753" s="4">
        <v>4690</v>
      </c>
    </row>
    <row r="3754" spans="1:10" x14ac:dyDescent="0.75">
      <c r="A3754" t="s">
        <v>163</v>
      </c>
      <c r="B3754">
        <v>2297</v>
      </c>
      <c r="C3754" t="s">
        <v>277</v>
      </c>
      <c r="D3754">
        <v>5330</v>
      </c>
      <c r="E3754" t="s">
        <v>385</v>
      </c>
      <c r="F3754" s="4">
        <v>3579</v>
      </c>
      <c r="G3754" s="4">
        <v>0</v>
      </c>
      <c r="H3754" s="4">
        <v>0</v>
      </c>
      <c r="I3754" s="4">
        <v>0</v>
      </c>
      <c r="J3754" s="4">
        <v>3579</v>
      </c>
    </row>
    <row r="3755" spans="1:10" x14ac:dyDescent="0.75">
      <c r="A3755" t="s">
        <v>163</v>
      </c>
      <c r="B3755">
        <v>2297</v>
      </c>
      <c r="C3755" t="s">
        <v>277</v>
      </c>
      <c r="D3755">
        <v>6654</v>
      </c>
      <c r="E3755" t="s">
        <v>419</v>
      </c>
      <c r="F3755" s="4">
        <v>2080</v>
      </c>
      <c r="G3755" s="4">
        <v>0</v>
      </c>
      <c r="H3755" s="4">
        <v>0</v>
      </c>
      <c r="I3755" s="4">
        <v>0</v>
      </c>
      <c r="J3755" s="4">
        <v>2080</v>
      </c>
    </row>
    <row r="3756" spans="1:10" x14ac:dyDescent="0.75">
      <c r="A3756" t="s">
        <v>163</v>
      </c>
      <c r="B3756">
        <v>2297</v>
      </c>
      <c r="C3756" t="s">
        <v>277</v>
      </c>
      <c r="D3756">
        <v>3130</v>
      </c>
      <c r="E3756" t="s">
        <v>407</v>
      </c>
      <c r="F3756" s="4">
        <v>1548</v>
      </c>
      <c r="G3756" s="4">
        <v>0</v>
      </c>
      <c r="H3756" s="4">
        <v>0</v>
      </c>
      <c r="I3756" s="4">
        <v>0</v>
      </c>
      <c r="J3756" s="4">
        <v>1548</v>
      </c>
    </row>
    <row r="3757" spans="1:10" x14ac:dyDescent="0.75">
      <c r="A3757" t="s">
        <v>160</v>
      </c>
      <c r="B3757">
        <v>3111</v>
      </c>
      <c r="C3757" t="s">
        <v>294</v>
      </c>
      <c r="D3757">
        <v>5220</v>
      </c>
      <c r="E3757" t="s">
        <v>401</v>
      </c>
      <c r="F3757" s="4">
        <v>0</v>
      </c>
      <c r="G3757" s="4">
        <v>175689</v>
      </c>
      <c r="H3757" s="4">
        <v>175689</v>
      </c>
      <c r="I3757" s="4">
        <v>0</v>
      </c>
      <c r="J3757" s="4">
        <v>175689</v>
      </c>
    </row>
    <row r="3758" spans="1:10" x14ac:dyDescent="0.75">
      <c r="A3758" t="s">
        <v>160</v>
      </c>
      <c r="B3758">
        <v>3111</v>
      </c>
      <c r="C3758" t="s">
        <v>294</v>
      </c>
      <c r="D3758">
        <v>5422</v>
      </c>
      <c r="E3758" t="s">
        <v>468</v>
      </c>
      <c r="F3758" s="4">
        <v>0</v>
      </c>
      <c r="G3758" s="4">
        <v>41196</v>
      </c>
      <c r="H3758" s="4">
        <v>41196</v>
      </c>
      <c r="I3758" s="4">
        <v>0</v>
      </c>
      <c r="J3758" s="4">
        <v>41196</v>
      </c>
    </row>
    <row r="3759" spans="1:10" x14ac:dyDescent="0.75">
      <c r="A3759" t="s">
        <v>160</v>
      </c>
      <c r="B3759">
        <v>3111</v>
      </c>
      <c r="C3759" t="s">
        <v>294</v>
      </c>
      <c r="D3759">
        <v>3260</v>
      </c>
      <c r="E3759" t="s">
        <v>436</v>
      </c>
      <c r="F3759" s="4">
        <v>0</v>
      </c>
      <c r="G3759" s="4">
        <v>39391</v>
      </c>
      <c r="H3759" s="4">
        <v>39391</v>
      </c>
      <c r="I3759" s="4">
        <v>0</v>
      </c>
      <c r="J3759" s="4">
        <v>39391</v>
      </c>
    </row>
    <row r="3760" spans="1:10" x14ac:dyDescent="0.75">
      <c r="A3760" t="s">
        <v>160</v>
      </c>
      <c r="B3760">
        <v>3111</v>
      </c>
      <c r="C3760" t="s">
        <v>294</v>
      </c>
      <c r="D3760">
        <v>4900</v>
      </c>
      <c r="E3760" t="s">
        <v>383</v>
      </c>
      <c r="F3760" s="4">
        <v>0</v>
      </c>
      <c r="G3760" s="4">
        <v>12230</v>
      </c>
      <c r="H3760" s="4">
        <v>12230</v>
      </c>
      <c r="I3760" s="4">
        <v>0</v>
      </c>
      <c r="J3760" s="4">
        <v>12230</v>
      </c>
    </row>
    <row r="3761" spans="1:10" x14ac:dyDescent="0.75">
      <c r="A3761" t="s">
        <v>160</v>
      </c>
      <c r="B3761">
        <v>3111</v>
      </c>
      <c r="C3761" t="s">
        <v>294</v>
      </c>
      <c r="D3761">
        <v>2330</v>
      </c>
      <c r="E3761" t="s">
        <v>368</v>
      </c>
      <c r="F3761" s="4">
        <v>0</v>
      </c>
      <c r="G3761" s="4">
        <v>8048</v>
      </c>
      <c r="H3761" s="4">
        <v>8048</v>
      </c>
      <c r="I3761" s="4">
        <v>0</v>
      </c>
      <c r="J3761" s="4">
        <v>8048</v>
      </c>
    </row>
    <row r="3762" spans="1:10" x14ac:dyDescent="0.75">
      <c r="A3762" t="s">
        <v>160</v>
      </c>
      <c r="B3762">
        <v>3111</v>
      </c>
      <c r="C3762" t="s">
        <v>294</v>
      </c>
      <c r="D3762">
        <v>6891</v>
      </c>
      <c r="E3762" t="s">
        <v>495</v>
      </c>
      <c r="F3762" s="4">
        <v>0</v>
      </c>
      <c r="G3762" s="4">
        <v>4305</v>
      </c>
      <c r="H3762" s="4">
        <v>4305</v>
      </c>
      <c r="I3762" s="4">
        <v>0</v>
      </c>
      <c r="J3762" s="4">
        <v>4305</v>
      </c>
    </row>
    <row r="3763" spans="1:10" x14ac:dyDescent="0.75">
      <c r="A3763" t="s">
        <v>160</v>
      </c>
      <c r="B3763">
        <v>3111</v>
      </c>
      <c r="C3763" t="s">
        <v>294</v>
      </c>
      <c r="D3763">
        <v>7120</v>
      </c>
      <c r="E3763" t="s">
        <v>499</v>
      </c>
      <c r="F3763" s="4">
        <v>0</v>
      </c>
      <c r="G3763" s="4">
        <v>981</v>
      </c>
      <c r="H3763" s="4">
        <v>981</v>
      </c>
      <c r="I3763" s="4">
        <v>0</v>
      </c>
      <c r="J3763" s="4">
        <v>981</v>
      </c>
    </row>
    <row r="3764" spans="1:10" x14ac:dyDescent="0.75">
      <c r="A3764" t="s">
        <v>163</v>
      </c>
      <c r="B3764">
        <v>7712</v>
      </c>
      <c r="C3764" t="s">
        <v>246</v>
      </c>
      <c r="D3764">
        <v>6344</v>
      </c>
      <c r="E3764" t="s">
        <v>392</v>
      </c>
      <c r="F3764" s="4">
        <v>602431</v>
      </c>
      <c r="G3764" s="4">
        <v>0</v>
      </c>
      <c r="H3764" s="4">
        <v>0</v>
      </c>
      <c r="I3764" s="4">
        <v>0</v>
      </c>
      <c r="J3764" s="4">
        <v>602431</v>
      </c>
    </row>
    <row r="3765" spans="1:10" x14ac:dyDescent="0.75">
      <c r="A3765" t="s">
        <v>163</v>
      </c>
      <c r="B3765">
        <v>7712</v>
      </c>
      <c r="C3765" t="s">
        <v>246</v>
      </c>
      <c r="D3765">
        <v>6522</v>
      </c>
      <c r="E3765" t="s">
        <v>393</v>
      </c>
      <c r="F3765" s="4">
        <v>213253</v>
      </c>
      <c r="G3765" s="4">
        <v>0</v>
      </c>
      <c r="H3765" s="4">
        <v>0</v>
      </c>
      <c r="I3765" s="4">
        <v>0</v>
      </c>
      <c r="J3765" s="4">
        <v>213253</v>
      </c>
    </row>
    <row r="3766" spans="1:10" x14ac:dyDescent="0.75">
      <c r="A3766" t="s">
        <v>163</v>
      </c>
      <c r="B3766">
        <v>7712</v>
      </c>
      <c r="C3766" t="s">
        <v>246</v>
      </c>
      <c r="D3766">
        <v>4161</v>
      </c>
      <c r="E3766" t="s">
        <v>421</v>
      </c>
      <c r="F3766" s="4">
        <v>70900</v>
      </c>
      <c r="G3766" s="4">
        <v>0</v>
      </c>
      <c r="H3766" s="4">
        <v>0</v>
      </c>
      <c r="I3766" s="4">
        <v>0</v>
      </c>
      <c r="J3766" s="4">
        <v>70900</v>
      </c>
    </row>
    <row r="3767" spans="1:10" x14ac:dyDescent="0.75">
      <c r="A3767" t="s">
        <v>163</v>
      </c>
      <c r="B3767">
        <v>7712</v>
      </c>
      <c r="C3767" t="s">
        <v>246</v>
      </c>
      <c r="D3767">
        <v>3110</v>
      </c>
      <c r="E3767" t="s">
        <v>405</v>
      </c>
      <c r="F3767" s="4">
        <v>58043</v>
      </c>
      <c r="G3767" s="4">
        <v>0</v>
      </c>
      <c r="H3767" s="4">
        <v>0</v>
      </c>
      <c r="I3767" s="4">
        <v>0</v>
      </c>
      <c r="J3767" s="4">
        <v>58043</v>
      </c>
    </row>
    <row r="3768" spans="1:10" x14ac:dyDescent="0.75">
      <c r="A3768" t="s">
        <v>163</v>
      </c>
      <c r="B3768">
        <v>7712</v>
      </c>
      <c r="C3768" t="s">
        <v>246</v>
      </c>
      <c r="D3768">
        <v>3190</v>
      </c>
      <c r="E3768" t="s">
        <v>408</v>
      </c>
      <c r="F3768" s="4">
        <v>49527</v>
      </c>
      <c r="G3768" s="4">
        <v>0</v>
      </c>
      <c r="H3768" s="4">
        <v>0</v>
      </c>
      <c r="I3768" s="4">
        <v>0</v>
      </c>
      <c r="J3768" s="4">
        <v>49527</v>
      </c>
    </row>
    <row r="3769" spans="1:10" x14ac:dyDescent="0.75">
      <c r="A3769" t="s">
        <v>163</v>
      </c>
      <c r="B3769">
        <v>7712</v>
      </c>
      <c r="C3769" t="s">
        <v>246</v>
      </c>
      <c r="D3769">
        <v>3130</v>
      </c>
      <c r="E3769" t="s">
        <v>407</v>
      </c>
      <c r="F3769" s="4">
        <v>40288</v>
      </c>
      <c r="G3769" s="4">
        <v>0</v>
      </c>
      <c r="H3769" s="4">
        <v>0</v>
      </c>
      <c r="I3769" s="4">
        <v>0</v>
      </c>
      <c r="J3769" s="4">
        <v>40288</v>
      </c>
    </row>
    <row r="3770" spans="1:10" x14ac:dyDescent="0.75">
      <c r="A3770" t="s">
        <v>163</v>
      </c>
      <c r="B3770">
        <v>7712</v>
      </c>
      <c r="C3770" t="s">
        <v>246</v>
      </c>
      <c r="D3770">
        <v>3276</v>
      </c>
      <c r="E3770" t="s">
        <v>379</v>
      </c>
      <c r="F3770" s="4">
        <v>30840</v>
      </c>
      <c r="G3770" s="4">
        <v>0</v>
      </c>
      <c r="H3770" s="4">
        <v>0</v>
      </c>
      <c r="I3770" s="4">
        <v>0</v>
      </c>
      <c r="J3770" s="4">
        <v>30840</v>
      </c>
    </row>
    <row r="3771" spans="1:10" x14ac:dyDescent="0.75">
      <c r="A3771" t="s">
        <v>163</v>
      </c>
      <c r="B3771">
        <v>7712</v>
      </c>
      <c r="C3771" t="s">
        <v>246</v>
      </c>
      <c r="D3771">
        <v>4783</v>
      </c>
      <c r="E3771" t="s">
        <v>382</v>
      </c>
      <c r="F3771" s="4">
        <v>30165</v>
      </c>
      <c r="G3771" s="4">
        <v>0</v>
      </c>
      <c r="H3771" s="4">
        <v>0</v>
      </c>
      <c r="I3771" s="4">
        <v>0</v>
      </c>
      <c r="J3771" s="4">
        <v>30165</v>
      </c>
    </row>
    <row r="3772" spans="1:10" x14ac:dyDescent="0.75">
      <c r="A3772" t="s">
        <v>163</v>
      </c>
      <c r="B3772">
        <v>7712</v>
      </c>
      <c r="C3772" t="s">
        <v>246</v>
      </c>
      <c r="D3772">
        <v>3211</v>
      </c>
      <c r="E3772" t="s">
        <v>433</v>
      </c>
      <c r="F3772" s="4">
        <v>27345</v>
      </c>
      <c r="G3772" s="4">
        <v>0</v>
      </c>
      <c r="H3772" s="4">
        <v>0</v>
      </c>
      <c r="I3772" s="4">
        <v>0</v>
      </c>
      <c r="J3772" s="4">
        <v>27345</v>
      </c>
    </row>
    <row r="3773" spans="1:10" x14ac:dyDescent="0.75">
      <c r="A3773" t="s">
        <v>163</v>
      </c>
      <c r="B3773">
        <v>7712</v>
      </c>
      <c r="C3773" t="s">
        <v>246</v>
      </c>
      <c r="D3773">
        <v>4331</v>
      </c>
      <c r="E3773" t="s">
        <v>390</v>
      </c>
      <c r="F3773" s="4">
        <v>26700</v>
      </c>
      <c r="G3773" s="4">
        <v>0</v>
      </c>
      <c r="H3773" s="4">
        <v>0</v>
      </c>
      <c r="I3773" s="4">
        <v>0</v>
      </c>
      <c r="J3773" s="4">
        <v>26700</v>
      </c>
    </row>
    <row r="3774" spans="1:10" x14ac:dyDescent="0.75">
      <c r="A3774" t="s">
        <v>163</v>
      </c>
      <c r="B3774">
        <v>7712</v>
      </c>
      <c r="C3774" t="s">
        <v>246</v>
      </c>
      <c r="D3774">
        <v>6782</v>
      </c>
      <c r="E3774" t="s">
        <v>396</v>
      </c>
      <c r="F3774" s="4">
        <v>22924</v>
      </c>
      <c r="G3774" s="4">
        <v>0</v>
      </c>
      <c r="H3774" s="4">
        <v>0</v>
      </c>
      <c r="I3774" s="4">
        <v>0</v>
      </c>
      <c r="J3774" s="4">
        <v>22924</v>
      </c>
    </row>
    <row r="3775" spans="1:10" x14ac:dyDescent="0.75">
      <c r="A3775" t="s">
        <v>163</v>
      </c>
      <c r="B3775">
        <v>7712</v>
      </c>
      <c r="C3775" t="s">
        <v>246</v>
      </c>
      <c r="D3775">
        <v>4782</v>
      </c>
      <c r="E3775" t="s">
        <v>414</v>
      </c>
      <c r="F3775" s="4">
        <v>15185</v>
      </c>
      <c r="G3775" s="4">
        <v>0</v>
      </c>
      <c r="H3775" s="4">
        <v>0</v>
      </c>
      <c r="I3775" s="4">
        <v>0</v>
      </c>
      <c r="J3775" s="4">
        <v>15185</v>
      </c>
    </row>
    <row r="3776" spans="1:10" x14ac:dyDescent="0.75">
      <c r="A3776" t="s">
        <v>163</v>
      </c>
      <c r="B3776">
        <v>7712</v>
      </c>
      <c r="C3776" t="s">
        <v>246</v>
      </c>
      <c r="D3776">
        <v>3219</v>
      </c>
      <c r="E3776" t="s">
        <v>378</v>
      </c>
      <c r="F3776" s="4">
        <v>14287</v>
      </c>
      <c r="G3776" s="4">
        <v>0</v>
      </c>
      <c r="H3776" s="4">
        <v>0</v>
      </c>
      <c r="I3776" s="4">
        <v>0</v>
      </c>
      <c r="J3776" s="4">
        <v>14287</v>
      </c>
    </row>
    <row r="3777" spans="1:10" x14ac:dyDescent="0.75">
      <c r="A3777" t="s">
        <v>163</v>
      </c>
      <c r="B3777">
        <v>7712</v>
      </c>
      <c r="C3777" t="s">
        <v>246</v>
      </c>
      <c r="D3777">
        <v>3279</v>
      </c>
      <c r="E3777" t="s">
        <v>422</v>
      </c>
      <c r="F3777" s="4">
        <v>11963</v>
      </c>
      <c r="G3777" s="4">
        <v>0</v>
      </c>
      <c r="H3777" s="4">
        <v>0</v>
      </c>
      <c r="I3777" s="4">
        <v>0</v>
      </c>
      <c r="J3777" s="4">
        <v>11963</v>
      </c>
    </row>
    <row r="3778" spans="1:10" x14ac:dyDescent="0.75">
      <c r="A3778" t="s">
        <v>163</v>
      </c>
      <c r="B3778">
        <v>7712</v>
      </c>
      <c r="C3778" t="s">
        <v>246</v>
      </c>
      <c r="D3778">
        <v>3120</v>
      </c>
      <c r="E3778" t="s">
        <v>406</v>
      </c>
      <c r="F3778" s="4">
        <v>9109</v>
      </c>
      <c r="G3778" s="4">
        <v>0</v>
      </c>
      <c r="H3778" s="4">
        <v>0</v>
      </c>
      <c r="I3778" s="4">
        <v>0</v>
      </c>
      <c r="J3778" s="4">
        <v>9109</v>
      </c>
    </row>
    <row r="3779" spans="1:10" x14ac:dyDescent="0.75">
      <c r="A3779" t="s">
        <v>163</v>
      </c>
      <c r="B3779">
        <v>7712</v>
      </c>
      <c r="C3779" t="s">
        <v>246</v>
      </c>
      <c r="D3779">
        <v>6590</v>
      </c>
      <c r="E3779" t="s">
        <v>394</v>
      </c>
      <c r="F3779" s="4">
        <v>8182</v>
      </c>
      <c r="G3779" s="4">
        <v>0</v>
      </c>
      <c r="H3779" s="4">
        <v>0</v>
      </c>
      <c r="I3779" s="4">
        <v>0</v>
      </c>
      <c r="J3779" s="4">
        <v>8182</v>
      </c>
    </row>
    <row r="3780" spans="1:10" x14ac:dyDescent="0.75">
      <c r="A3780" t="s">
        <v>163</v>
      </c>
      <c r="B3780">
        <v>7712</v>
      </c>
      <c r="C3780" t="s">
        <v>246</v>
      </c>
      <c r="D3780">
        <v>3275</v>
      </c>
      <c r="E3780" t="s">
        <v>412</v>
      </c>
      <c r="F3780" s="4">
        <v>3350</v>
      </c>
      <c r="G3780" s="4">
        <v>0</v>
      </c>
      <c r="H3780" s="4">
        <v>0</v>
      </c>
      <c r="I3780" s="4">
        <v>0</v>
      </c>
      <c r="J3780" s="4">
        <v>3350</v>
      </c>
    </row>
    <row r="3781" spans="1:10" x14ac:dyDescent="0.75">
      <c r="A3781" t="s">
        <v>163</v>
      </c>
      <c r="B3781">
        <v>7712</v>
      </c>
      <c r="C3781" t="s">
        <v>246</v>
      </c>
      <c r="D3781">
        <v>4650</v>
      </c>
      <c r="E3781" t="s">
        <v>457</v>
      </c>
      <c r="F3781" s="4">
        <v>3313</v>
      </c>
      <c r="G3781" s="4">
        <v>0</v>
      </c>
      <c r="H3781" s="4">
        <v>0</v>
      </c>
      <c r="I3781" s="4">
        <v>0</v>
      </c>
      <c r="J3781" s="4">
        <v>3313</v>
      </c>
    </row>
    <row r="3782" spans="1:10" x14ac:dyDescent="0.75">
      <c r="A3782" t="s">
        <v>163</v>
      </c>
      <c r="B3782">
        <v>7712</v>
      </c>
      <c r="C3782" t="s">
        <v>246</v>
      </c>
      <c r="D3782">
        <v>4420</v>
      </c>
      <c r="E3782" t="s">
        <v>381</v>
      </c>
      <c r="F3782" s="4">
        <v>3108</v>
      </c>
      <c r="G3782" s="4">
        <v>0</v>
      </c>
      <c r="H3782" s="4">
        <v>0</v>
      </c>
      <c r="I3782" s="4">
        <v>0</v>
      </c>
      <c r="J3782" s="4">
        <v>3108</v>
      </c>
    </row>
    <row r="3783" spans="1:10" x14ac:dyDescent="0.75">
      <c r="A3783" t="s">
        <v>163</v>
      </c>
      <c r="B3783">
        <v>7712</v>
      </c>
      <c r="C3783" t="s">
        <v>246</v>
      </c>
      <c r="D3783">
        <v>4670</v>
      </c>
      <c r="E3783" t="s">
        <v>458</v>
      </c>
      <c r="F3783" s="4">
        <v>1664</v>
      </c>
      <c r="G3783" s="4">
        <v>0</v>
      </c>
      <c r="H3783" s="4">
        <v>0</v>
      </c>
      <c r="I3783" s="4">
        <v>0</v>
      </c>
      <c r="J3783" s="4">
        <v>1664</v>
      </c>
    </row>
    <row r="3784" spans="1:10" x14ac:dyDescent="0.75">
      <c r="A3784" t="s">
        <v>163</v>
      </c>
      <c r="B3784">
        <v>7712</v>
      </c>
      <c r="C3784" t="s">
        <v>246</v>
      </c>
      <c r="D3784">
        <v>1200</v>
      </c>
      <c r="E3784" t="s">
        <v>402</v>
      </c>
      <c r="F3784" s="4">
        <v>1656</v>
      </c>
      <c r="G3784" s="4">
        <v>0</v>
      </c>
      <c r="H3784" s="4">
        <v>0</v>
      </c>
      <c r="I3784" s="4">
        <v>0</v>
      </c>
      <c r="J3784" s="4">
        <v>1656</v>
      </c>
    </row>
    <row r="3785" spans="1:10" x14ac:dyDescent="0.75">
      <c r="A3785" t="s">
        <v>163</v>
      </c>
      <c r="B3785">
        <v>7712</v>
      </c>
      <c r="C3785" t="s">
        <v>246</v>
      </c>
      <c r="D3785">
        <v>1100</v>
      </c>
      <c r="E3785" t="s">
        <v>397</v>
      </c>
      <c r="F3785" s="4">
        <v>1637</v>
      </c>
      <c r="G3785" s="4">
        <v>0</v>
      </c>
      <c r="H3785" s="4">
        <v>0</v>
      </c>
      <c r="I3785" s="4">
        <v>0</v>
      </c>
      <c r="J3785" s="4">
        <v>1637</v>
      </c>
    </row>
    <row r="3786" spans="1:10" x14ac:dyDescent="0.75">
      <c r="A3786" t="s">
        <v>163</v>
      </c>
      <c r="B3786">
        <v>7712</v>
      </c>
      <c r="C3786" t="s">
        <v>246</v>
      </c>
      <c r="D3786">
        <v>2540</v>
      </c>
      <c r="E3786" t="s">
        <v>377</v>
      </c>
      <c r="F3786" s="4">
        <v>1628</v>
      </c>
      <c r="G3786" s="4">
        <v>0</v>
      </c>
      <c r="H3786" s="4">
        <v>0</v>
      </c>
      <c r="I3786" s="4">
        <v>0</v>
      </c>
      <c r="J3786" s="4">
        <v>1628</v>
      </c>
    </row>
    <row r="3787" spans="1:10" x14ac:dyDescent="0.75">
      <c r="A3787" t="s">
        <v>163</v>
      </c>
      <c r="B3787">
        <v>7712</v>
      </c>
      <c r="C3787" t="s">
        <v>246</v>
      </c>
      <c r="D3787">
        <v>6241</v>
      </c>
      <c r="E3787" t="s">
        <v>391</v>
      </c>
      <c r="F3787" s="4">
        <v>1559</v>
      </c>
      <c r="G3787" s="4">
        <v>0</v>
      </c>
      <c r="H3787" s="4">
        <v>0</v>
      </c>
      <c r="I3787" s="4">
        <v>0</v>
      </c>
      <c r="J3787" s="4">
        <v>1559</v>
      </c>
    </row>
    <row r="3788" spans="1:10" x14ac:dyDescent="0.75">
      <c r="A3788" t="s">
        <v>163</v>
      </c>
      <c r="B3788">
        <v>7712</v>
      </c>
      <c r="C3788" t="s">
        <v>246</v>
      </c>
      <c r="D3788">
        <v>6442</v>
      </c>
      <c r="E3788" t="s">
        <v>472</v>
      </c>
      <c r="F3788" s="4">
        <v>1225</v>
      </c>
      <c r="G3788" s="4">
        <v>0</v>
      </c>
      <c r="H3788" s="4">
        <v>0</v>
      </c>
      <c r="I3788" s="4">
        <v>0</v>
      </c>
      <c r="J3788" s="4">
        <v>1225</v>
      </c>
    </row>
    <row r="3789" spans="1:10" x14ac:dyDescent="0.75">
      <c r="A3789" t="s">
        <v>163</v>
      </c>
      <c r="B3789">
        <v>2331</v>
      </c>
      <c r="C3789" t="s">
        <v>213</v>
      </c>
      <c r="D3789">
        <v>4331</v>
      </c>
      <c r="E3789" t="s">
        <v>390</v>
      </c>
      <c r="F3789" s="4">
        <v>516000</v>
      </c>
      <c r="G3789" s="4">
        <v>0</v>
      </c>
      <c r="H3789" s="4">
        <v>0</v>
      </c>
      <c r="I3789" s="4">
        <v>0</v>
      </c>
      <c r="J3789" s="4">
        <v>516000</v>
      </c>
    </row>
    <row r="3790" spans="1:10" x14ac:dyDescent="0.75">
      <c r="A3790" t="s">
        <v>163</v>
      </c>
      <c r="B3790">
        <v>2331</v>
      </c>
      <c r="C3790" t="s">
        <v>213</v>
      </c>
      <c r="D3790">
        <v>6590</v>
      </c>
      <c r="E3790" t="s">
        <v>394</v>
      </c>
      <c r="F3790" s="4">
        <v>491434</v>
      </c>
      <c r="G3790" s="4">
        <v>0</v>
      </c>
      <c r="H3790" s="4">
        <v>0</v>
      </c>
      <c r="I3790" s="4">
        <v>0</v>
      </c>
      <c r="J3790" s="4">
        <v>491434</v>
      </c>
    </row>
    <row r="3791" spans="1:10" x14ac:dyDescent="0.75">
      <c r="A3791" t="s">
        <v>163</v>
      </c>
      <c r="B3791">
        <v>2331</v>
      </c>
      <c r="C3791" t="s">
        <v>213</v>
      </c>
      <c r="D3791">
        <v>6344</v>
      </c>
      <c r="E3791" t="s">
        <v>392</v>
      </c>
      <c r="F3791" s="4">
        <v>470953</v>
      </c>
      <c r="G3791" s="4">
        <v>0</v>
      </c>
      <c r="H3791" s="4">
        <v>0</v>
      </c>
      <c r="I3791" s="4">
        <v>0</v>
      </c>
      <c r="J3791" s="4">
        <v>470953</v>
      </c>
    </row>
    <row r="3792" spans="1:10" x14ac:dyDescent="0.75">
      <c r="A3792" t="s">
        <v>163</v>
      </c>
      <c r="B3792">
        <v>2331</v>
      </c>
      <c r="C3792" t="s">
        <v>213</v>
      </c>
      <c r="D3792">
        <v>4322</v>
      </c>
      <c r="E3792" t="s">
        <v>398</v>
      </c>
      <c r="F3792" s="4">
        <v>345086</v>
      </c>
      <c r="G3792" s="4">
        <v>0</v>
      </c>
      <c r="H3792" s="4">
        <v>0</v>
      </c>
      <c r="I3792" s="4">
        <v>0</v>
      </c>
      <c r="J3792" s="4">
        <v>345086</v>
      </c>
    </row>
    <row r="3793" spans="1:10" x14ac:dyDescent="0.75">
      <c r="A3793" t="s">
        <v>163</v>
      </c>
      <c r="B3793">
        <v>2331</v>
      </c>
      <c r="C3793" t="s">
        <v>213</v>
      </c>
      <c r="D3793">
        <v>6522</v>
      </c>
      <c r="E3793" t="s">
        <v>393</v>
      </c>
      <c r="F3793" s="4">
        <v>255638</v>
      </c>
      <c r="G3793" s="4">
        <v>0</v>
      </c>
      <c r="H3793" s="4">
        <v>0</v>
      </c>
      <c r="I3793" s="4">
        <v>0</v>
      </c>
      <c r="J3793" s="4">
        <v>255638</v>
      </c>
    </row>
    <row r="3794" spans="1:10" x14ac:dyDescent="0.75">
      <c r="A3794" t="s">
        <v>163</v>
      </c>
      <c r="B3794">
        <v>2331</v>
      </c>
      <c r="C3794" t="s">
        <v>213</v>
      </c>
      <c r="D3794">
        <v>3219</v>
      </c>
      <c r="E3794" t="s">
        <v>378</v>
      </c>
      <c r="F3794" s="4">
        <v>143292</v>
      </c>
      <c r="G3794" s="4">
        <v>0</v>
      </c>
      <c r="H3794" s="4">
        <v>0</v>
      </c>
      <c r="I3794" s="4">
        <v>0</v>
      </c>
      <c r="J3794" s="4">
        <v>143292</v>
      </c>
    </row>
    <row r="3795" spans="1:10" x14ac:dyDescent="0.75">
      <c r="A3795" t="s">
        <v>163</v>
      </c>
      <c r="B3795">
        <v>2331</v>
      </c>
      <c r="C3795" t="s">
        <v>213</v>
      </c>
      <c r="D3795">
        <v>6653</v>
      </c>
      <c r="E3795" t="s">
        <v>395</v>
      </c>
      <c r="F3795" s="4">
        <v>140791</v>
      </c>
      <c r="G3795" s="4">
        <v>0</v>
      </c>
      <c r="H3795" s="4">
        <v>0</v>
      </c>
      <c r="I3795" s="4">
        <v>0</v>
      </c>
      <c r="J3795" s="4">
        <v>140791</v>
      </c>
    </row>
    <row r="3796" spans="1:10" x14ac:dyDescent="0.75">
      <c r="A3796" t="s">
        <v>163</v>
      </c>
      <c r="B3796">
        <v>2331</v>
      </c>
      <c r="C3796" t="s">
        <v>213</v>
      </c>
      <c r="D3796">
        <v>5422</v>
      </c>
      <c r="E3796" t="s">
        <v>468</v>
      </c>
      <c r="F3796" s="4">
        <v>76284</v>
      </c>
      <c r="G3796" s="4">
        <v>0</v>
      </c>
      <c r="H3796" s="4">
        <v>0</v>
      </c>
      <c r="I3796" s="4">
        <v>0</v>
      </c>
      <c r="J3796" s="4">
        <v>76284</v>
      </c>
    </row>
    <row r="3797" spans="1:10" x14ac:dyDescent="0.75">
      <c r="A3797" t="s">
        <v>163</v>
      </c>
      <c r="B3797">
        <v>2331</v>
      </c>
      <c r="C3797" t="s">
        <v>213</v>
      </c>
      <c r="D3797">
        <v>3110</v>
      </c>
      <c r="E3797" t="s">
        <v>405</v>
      </c>
      <c r="F3797" s="4">
        <v>69433</v>
      </c>
      <c r="G3797" s="4">
        <v>0</v>
      </c>
      <c r="H3797" s="4">
        <v>0</v>
      </c>
      <c r="I3797" s="4">
        <v>0</v>
      </c>
      <c r="J3797" s="4">
        <v>69433</v>
      </c>
    </row>
    <row r="3798" spans="1:10" x14ac:dyDescent="0.75">
      <c r="A3798" t="s">
        <v>163</v>
      </c>
      <c r="B3798">
        <v>2331</v>
      </c>
      <c r="C3798" t="s">
        <v>213</v>
      </c>
      <c r="D3798">
        <v>2330</v>
      </c>
      <c r="E3798" t="s">
        <v>368</v>
      </c>
      <c r="F3798" s="4">
        <v>67528</v>
      </c>
      <c r="G3798" s="4">
        <v>0</v>
      </c>
      <c r="H3798" s="4">
        <v>0</v>
      </c>
      <c r="I3798" s="4">
        <v>0</v>
      </c>
      <c r="J3798" s="4">
        <v>67528</v>
      </c>
    </row>
    <row r="3799" spans="1:10" x14ac:dyDescent="0.75">
      <c r="A3799" t="s">
        <v>163</v>
      </c>
      <c r="B3799">
        <v>2331</v>
      </c>
      <c r="C3799" t="s">
        <v>213</v>
      </c>
      <c r="D3799">
        <v>6241</v>
      </c>
      <c r="E3799" t="s">
        <v>391</v>
      </c>
      <c r="F3799" s="4">
        <v>40310</v>
      </c>
      <c r="G3799" s="4">
        <v>0</v>
      </c>
      <c r="H3799" s="4">
        <v>0</v>
      </c>
      <c r="I3799" s="4">
        <v>0</v>
      </c>
      <c r="J3799" s="4">
        <v>40310</v>
      </c>
    </row>
    <row r="3800" spans="1:10" x14ac:dyDescent="0.75">
      <c r="A3800" t="s">
        <v>163</v>
      </c>
      <c r="B3800">
        <v>2331</v>
      </c>
      <c r="C3800" t="s">
        <v>213</v>
      </c>
      <c r="D3800">
        <v>5220</v>
      </c>
      <c r="E3800" t="s">
        <v>401</v>
      </c>
      <c r="F3800" s="4">
        <v>39232</v>
      </c>
      <c r="G3800" s="4">
        <v>0</v>
      </c>
      <c r="H3800" s="4">
        <v>0</v>
      </c>
      <c r="I3800" s="4">
        <v>0</v>
      </c>
      <c r="J3800" s="4">
        <v>39232</v>
      </c>
    </row>
    <row r="3801" spans="1:10" x14ac:dyDescent="0.75">
      <c r="A3801" t="s">
        <v>163</v>
      </c>
      <c r="B3801">
        <v>2331</v>
      </c>
      <c r="C3801" t="s">
        <v>213</v>
      </c>
      <c r="D3801">
        <v>2430</v>
      </c>
      <c r="E3801" t="s">
        <v>376</v>
      </c>
      <c r="F3801" s="4">
        <v>30523</v>
      </c>
      <c r="G3801" s="4">
        <v>0</v>
      </c>
      <c r="H3801" s="4">
        <v>0</v>
      </c>
      <c r="I3801" s="4">
        <v>0</v>
      </c>
      <c r="J3801" s="4">
        <v>30523</v>
      </c>
    </row>
    <row r="3802" spans="1:10" x14ac:dyDescent="0.75">
      <c r="A3802" t="s">
        <v>163</v>
      </c>
      <c r="B3802">
        <v>2331</v>
      </c>
      <c r="C3802" t="s">
        <v>213</v>
      </c>
      <c r="D3802">
        <v>4420</v>
      </c>
      <c r="E3802" t="s">
        <v>381</v>
      </c>
      <c r="F3802" s="4">
        <v>27352</v>
      </c>
      <c r="G3802" s="4">
        <v>0</v>
      </c>
      <c r="H3802" s="4">
        <v>0</v>
      </c>
      <c r="I3802" s="4">
        <v>0</v>
      </c>
      <c r="J3802" s="4">
        <v>27352</v>
      </c>
    </row>
    <row r="3803" spans="1:10" x14ac:dyDescent="0.75">
      <c r="A3803" t="s">
        <v>163</v>
      </c>
      <c r="B3803">
        <v>2331</v>
      </c>
      <c r="C3803" t="s">
        <v>213</v>
      </c>
      <c r="D3803">
        <v>6885</v>
      </c>
      <c r="E3803" t="s">
        <v>493</v>
      </c>
      <c r="F3803" s="4">
        <v>22916</v>
      </c>
      <c r="G3803" s="4">
        <v>0</v>
      </c>
      <c r="H3803" s="4">
        <v>0</v>
      </c>
      <c r="I3803" s="4">
        <v>0</v>
      </c>
      <c r="J3803" s="4">
        <v>22916</v>
      </c>
    </row>
    <row r="3804" spans="1:10" x14ac:dyDescent="0.75">
      <c r="A3804" t="s">
        <v>163</v>
      </c>
      <c r="B3804">
        <v>2331</v>
      </c>
      <c r="C3804" t="s">
        <v>213</v>
      </c>
      <c r="D3804">
        <v>3130</v>
      </c>
      <c r="E3804" t="s">
        <v>407</v>
      </c>
      <c r="F3804" s="4">
        <v>21774</v>
      </c>
      <c r="G3804" s="4">
        <v>0</v>
      </c>
      <c r="H3804" s="4">
        <v>0</v>
      </c>
      <c r="I3804" s="4">
        <v>0</v>
      </c>
      <c r="J3804" s="4">
        <v>21774</v>
      </c>
    </row>
    <row r="3805" spans="1:10" x14ac:dyDescent="0.75">
      <c r="A3805" t="s">
        <v>163</v>
      </c>
      <c r="B3805">
        <v>2331</v>
      </c>
      <c r="C3805" t="s">
        <v>213</v>
      </c>
      <c r="D3805">
        <v>5360</v>
      </c>
      <c r="E3805" t="s">
        <v>465</v>
      </c>
      <c r="F3805" s="4">
        <v>17933</v>
      </c>
      <c r="G3805" s="4">
        <v>0</v>
      </c>
      <c r="H3805" s="4">
        <v>0</v>
      </c>
      <c r="I3805" s="4">
        <v>0</v>
      </c>
      <c r="J3805" s="4">
        <v>17933</v>
      </c>
    </row>
    <row r="3806" spans="1:10" x14ac:dyDescent="0.75">
      <c r="A3806" t="s">
        <v>163</v>
      </c>
      <c r="B3806">
        <v>2331</v>
      </c>
      <c r="C3806" t="s">
        <v>213</v>
      </c>
      <c r="D3806">
        <v>3190</v>
      </c>
      <c r="E3806" t="s">
        <v>408</v>
      </c>
      <c r="F3806" s="4">
        <v>17164</v>
      </c>
      <c r="G3806" s="4">
        <v>0</v>
      </c>
      <c r="H3806" s="4">
        <v>0</v>
      </c>
      <c r="I3806" s="4">
        <v>0</v>
      </c>
      <c r="J3806" s="4">
        <v>17164</v>
      </c>
    </row>
    <row r="3807" spans="1:10" x14ac:dyDescent="0.75">
      <c r="A3807" t="s">
        <v>163</v>
      </c>
      <c r="B3807">
        <v>2331</v>
      </c>
      <c r="C3807" t="s">
        <v>213</v>
      </c>
      <c r="D3807">
        <v>5480</v>
      </c>
      <c r="E3807" t="s">
        <v>386</v>
      </c>
      <c r="F3807" s="4">
        <v>7808</v>
      </c>
      <c r="G3807" s="4">
        <v>0</v>
      </c>
      <c r="H3807" s="4">
        <v>0</v>
      </c>
      <c r="I3807" s="4">
        <v>0</v>
      </c>
      <c r="J3807" s="4">
        <v>7808</v>
      </c>
    </row>
    <row r="3808" spans="1:10" x14ac:dyDescent="0.75">
      <c r="A3808" t="s">
        <v>163</v>
      </c>
      <c r="B3808">
        <v>2331</v>
      </c>
      <c r="C3808" t="s">
        <v>213</v>
      </c>
      <c r="D3808">
        <v>3120</v>
      </c>
      <c r="E3808" t="s">
        <v>406</v>
      </c>
      <c r="F3808" s="4">
        <v>6075</v>
      </c>
      <c r="G3808" s="4">
        <v>0</v>
      </c>
      <c r="H3808" s="4">
        <v>0</v>
      </c>
      <c r="I3808" s="4">
        <v>0</v>
      </c>
      <c r="J3808" s="4">
        <v>6075</v>
      </c>
    </row>
    <row r="3809" spans="1:10" x14ac:dyDescent="0.75">
      <c r="A3809" t="s">
        <v>163</v>
      </c>
      <c r="B3809">
        <v>2331</v>
      </c>
      <c r="C3809" t="s">
        <v>213</v>
      </c>
      <c r="D3809">
        <v>7110</v>
      </c>
      <c r="E3809" t="s">
        <v>371</v>
      </c>
      <c r="F3809" s="4">
        <v>1894</v>
      </c>
      <c r="G3809" s="4">
        <v>0</v>
      </c>
      <c r="H3809" s="4">
        <v>0</v>
      </c>
      <c r="I3809" s="4">
        <v>0</v>
      </c>
      <c r="J3809" s="4">
        <v>1894</v>
      </c>
    </row>
    <row r="3810" spans="1:10" x14ac:dyDescent="0.75">
      <c r="A3810" t="s">
        <v>163</v>
      </c>
      <c r="B3810">
        <v>2331</v>
      </c>
      <c r="C3810" t="s">
        <v>213</v>
      </c>
      <c r="D3810">
        <v>6782</v>
      </c>
      <c r="E3810" t="s">
        <v>396</v>
      </c>
      <c r="F3810" s="4">
        <v>1617</v>
      </c>
      <c r="G3810" s="4">
        <v>0</v>
      </c>
      <c r="H3810" s="4">
        <v>0</v>
      </c>
      <c r="I3810" s="4">
        <v>0</v>
      </c>
      <c r="J3810" s="4">
        <v>1617</v>
      </c>
    </row>
    <row r="3811" spans="1:10" x14ac:dyDescent="0.75">
      <c r="A3811" t="s">
        <v>163</v>
      </c>
      <c r="B3811">
        <v>2331</v>
      </c>
      <c r="C3811" t="s">
        <v>213</v>
      </c>
      <c r="D3811">
        <v>5312</v>
      </c>
      <c r="E3811" t="s">
        <v>416</v>
      </c>
      <c r="F3811" s="4">
        <v>1607</v>
      </c>
      <c r="G3811" s="4">
        <v>0</v>
      </c>
      <c r="H3811" s="4">
        <v>0</v>
      </c>
      <c r="I3811" s="4">
        <v>0</v>
      </c>
      <c r="J3811" s="4">
        <v>1607</v>
      </c>
    </row>
    <row r="3812" spans="1:10" x14ac:dyDescent="0.75">
      <c r="A3812" t="s">
        <v>163</v>
      </c>
      <c r="B3812">
        <v>2331</v>
      </c>
      <c r="C3812" t="s">
        <v>213</v>
      </c>
      <c r="D3812">
        <v>5390</v>
      </c>
      <c r="E3812" t="s">
        <v>418</v>
      </c>
      <c r="F3812" s="4">
        <v>1346</v>
      </c>
      <c r="G3812" s="4">
        <v>0</v>
      </c>
      <c r="H3812" s="4">
        <v>0</v>
      </c>
      <c r="I3812" s="4">
        <v>0</v>
      </c>
      <c r="J3812" s="4">
        <v>1346</v>
      </c>
    </row>
    <row r="3813" spans="1:10" x14ac:dyDescent="0.75">
      <c r="A3813" t="s">
        <v>163</v>
      </c>
      <c r="B3813">
        <v>2331</v>
      </c>
      <c r="C3813" t="s">
        <v>213</v>
      </c>
      <c r="D3813">
        <v>5330</v>
      </c>
      <c r="E3813" t="s">
        <v>385</v>
      </c>
      <c r="F3813" s="4">
        <v>1327</v>
      </c>
      <c r="G3813" s="4">
        <v>0</v>
      </c>
      <c r="H3813" s="4">
        <v>0</v>
      </c>
      <c r="I3813" s="4">
        <v>0</v>
      </c>
      <c r="J3813" s="4">
        <v>1327</v>
      </c>
    </row>
    <row r="3814" spans="1:10" x14ac:dyDescent="0.75">
      <c r="A3814" t="s">
        <v>151</v>
      </c>
      <c r="B3814">
        <v>4151</v>
      </c>
      <c r="C3814" t="s">
        <v>44</v>
      </c>
      <c r="D3814">
        <v>6856</v>
      </c>
      <c r="E3814" t="s">
        <v>486</v>
      </c>
      <c r="F3814" s="4">
        <v>0</v>
      </c>
      <c r="G3814" s="4">
        <v>713343</v>
      </c>
      <c r="H3814" s="4">
        <v>713343</v>
      </c>
      <c r="I3814" s="4">
        <v>0</v>
      </c>
      <c r="J3814" s="4">
        <v>713343</v>
      </c>
    </row>
    <row r="3815" spans="1:10" x14ac:dyDescent="0.75">
      <c r="A3815" t="s">
        <v>151</v>
      </c>
      <c r="B3815">
        <v>4151</v>
      </c>
      <c r="C3815" t="s">
        <v>44</v>
      </c>
      <c r="D3815">
        <v>7210</v>
      </c>
      <c r="E3815" t="s">
        <v>426</v>
      </c>
      <c r="F3815" s="4">
        <v>0</v>
      </c>
      <c r="G3815" s="4">
        <v>561221</v>
      </c>
      <c r="H3815" s="4">
        <v>544646</v>
      </c>
      <c r="I3815" s="4">
        <v>16575</v>
      </c>
      <c r="J3815" s="4">
        <v>561221</v>
      </c>
    </row>
    <row r="3816" spans="1:10" x14ac:dyDescent="0.75">
      <c r="A3816" t="s">
        <v>151</v>
      </c>
      <c r="B3816">
        <v>4151</v>
      </c>
      <c r="C3816" t="s">
        <v>44</v>
      </c>
      <c r="D3816">
        <v>6857</v>
      </c>
      <c r="E3816" t="s">
        <v>487</v>
      </c>
      <c r="F3816" s="4">
        <v>0</v>
      </c>
      <c r="G3816" s="4">
        <v>434553</v>
      </c>
      <c r="H3816" s="4">
        <v>399509</v>
      </c>
      <c r="I3816" s="4">
        <v>35044</v>
      </c>
      <c r="J3816" s="4">
        <v>434553</v>
      </c>
    </row>
    <row r="3817" spans="1:10" x14ac:dyDescent="0.75">
      <c r="A3817" t="s">
        <v>151</v>
      </c>
      <c r="B3817">
        <v>4151</v>
      </c>
      <c r="C3817" t="s">
        <v>44</v>
      </c>
      <c r="D3817">
        <v>3110</v>
      </c>
      <c r="E3817" t="s">
        <v>405</v>
      </c>
      <c r="F3817" s="4">
        <v>0</v>
      </c>
      <c r="G3817" s="4">
        <v>143021</v>
      </c>
      <c r="H3817" s="4">
        <v>143021</v>
      </c>
      <c r="I3817" s="4">
        <v>0</v>
      </c>
      <c r="J3817" s="4">
        <v>143021</v>
      </c>
    </row>
    <row r="3818" spans="1:10" x14ac:dyDescent="0.75">
      <c r="A3818" t="s">
        <v>151</v>
      </c>
      <c r="B3818">
        <v>4151</v>
      </c>
      <c r="C3818" t="s">
        <v>44</v>
      </c>
      <c r="D3818">
        <v>7900</v>
      </c>
      <c r="E3818" t="s">
        <v>388</v>
      </c>
      <c r="F3818" s="4">
        <v>18147</v>
      </c>
      <c r="G3818" s="4">
        <v>47295</v>
      </c>
      <c r="H3818" s="4">
        <v>11557</v>
      </c>
      <c r="I3818" s="4">
        <v>35738</v>
      </c>
      <c r="J3818" s="4">
        <v>65442</v>
      </c>
    </row>
    <row r="3819" spans="1:10" x14ac:dyDescent="0.75">
      <c r="A3819" t="s">
        <v>151</v>
      </c>
      <c r="B3819">
        <v>4151</v>
      </c>
      <c r="C3819" t="s">
        <v>44</v>
      </c>
      <c r="D3819">
        <v>7110</v>
      </c>
      <c r="E3819" t="s">
        <v>371</v>
      </c>
      <c r="F3819" s="4">
        <v>112</v>
      </c>
      <c r="G3819" s="4">
        <v>62579</v>
      </c>
      <c r="H3819" s="4">
        <v>57919</v>
      </c>
      <c r="I3819" s="4">
        <v>4660</v>
      </c>
      <c r="J3819" s="4">
        <v>62691</v>
      </c>
    </row>
    <row r="3820" spans="1:10" x14ac:dyDescent="0.75">
      <c r="A3820" t="s">
        <v>151</v>
      </c>
      <c r="B3820">
        <v>4151</v>
      </c>
      <c r="C3820" t="s">
        <v>44</v>
      </c>
      <c r="D3820">
        <v>6654</v>
      </c>
      <c r="E3820" t="s">
        <v>419</v>
      </c>
      <c r="F3820" s="4">
        <v>0</v>
      </c>
      <c r="G3820" s="4">
        <v>51155</v>
      </c>
      <c r="H3820" s="4">
        <v>12387</v>
      </c>
      <c r="I3820" s="4">
        <v>38768</v>
      </c>
      <c r="J3820" s="4">
        <v>51155</v>
      </c>
    </row>
    <row r="3821" spans="1:10" x14ac:dyDescent="0.75">
      <c r="A3821" t="s">
        <v>151</v>
      </c>
      <c r="B3821">
        <v>4151</v>
      </c>
      <c r="C3821" t="s">
        <v>44</v>
      </c>
      <c r="D3821">
        <v>7500</v>
      </c>
      <c r="E3821" t="s">
        <v>427</v>
      </c>
      <c r="F3821" s="4">
        <v>0</v>
      </c>
      <c r="G3821" s="4">
        <v>49134</v>
      </c>
      <c r="H3821" s="4">
        <v>21321</v>
      </c>
      <c r="I3821" s="4">
        <v>27813</v>
      </c>
      <c r="J3821" s="4">
        <v>49134</v>
      </c>
    </row>
    <row r="3822" spans="1:10" x14ac:dyDescent="0.75">
      <c r="A3822" t="s">
        <v>151</v>
      </c>
      <c r="B3822">
        <v>4151</v>
      </c>
      <c r="C3822" t="s">
        <v>44</v>
      </c>
      <c r="D3822">
        <v>9900</v>
      </c>
      <c r="E3822" t="s">
        <v>389</v>
      </c>
      <c r="F3822" s="4">
        <v>0</v>
      </c>
      <c r="G3822" s="4">
        <v>14575</v>
      </c>
      <c r="H3822" s="4">
        <v>8653</v>
      </c>
      <c r="I3822" s="4">
        <v>5922</v>
      </c>
      <c r="J3822" s="4">
        <v>14575</v>
      </c>
    </row>
    <row r="3823" spans="1:10" x14ac:dyDescent="0.75">
      <c r="A3823" t="s">
        <v>151</v>
      </c>
      <c r="B3823">
        <v>4151</v>
      </c>
      <c r="C3823" t="s">
        <v>44</v>
      </c>
      <c r="D3823">
        <v>6858</v>
      </c>
      <c r="E3823" t="s">
        <v>488</v>
      </c>
      <c r="F3823" s="4">
        <v>0</v>
      </c>
      <c r="G3823" s="4">
        <v>14269</v>
      </c>
      <c r="H3823" s="4">
        <v>13269</v>
      </c>
      <c r="I3823" s="4">
        <v>1000</v>
      </c>
      <c r="J3823" s="4">
        <v>14269</v>
      </c>
    </row>
    <row r="3824" spans="1:10" x14ac:dyDescent="0.75">
      <c r="A3824" t="s">
        <v>151</v>
      </c>
      <c r="B3824">
        <v>4151</v>
      </c>
      <c r="C3824" t="s">
        <v>44</v>
      </c>
      <c r="D3824">
        <v>4225</v>
      </c>
      <c r="E3824" t="s">
        <v>380</v>
      </c>
      <c r="F3824" s="4">
        <v>0</v>
      </c>
      <c r="G3824" s="4">
        <v>12920</v>
      </c>
      <c r="H3824" s="4">
        <v>0</v>
      </c>
      <c r="I3824" s="4">
        <v>12920</v>
      </c>
      <c r="J3824" s="4">
        <v>12920</v>
      </c>
    </row>
    <row r="3825" spans="1:10" x14ac:dyDescent="0.75">
      <c r="A3825" t="s">
        <v>151</v>
      </c>
      <c r="B3825">
        <v>4151</v>
      </c>
      <c r="C3825" t="s">
        <v>44</v>
      </c>
      <c r="D3825">
        <v>7120</v>
      </c>
      <c r="E3825" t="s">
        <v>499</v>
      </c>
      <c r="F3825" s="4">
        <v>0</v>
      </c>
      <c r="G3825" s="4">
        <v>10734</v>
      </c>
      <c r="H3825" s="4">
        <v>10392</v>
      </c>
      <c r="I3825" s="4">
        <v>342</v>
      </c>
      <c r="J3825" s="4">
        <v>10734</v>
      </c>
    </row>
    <row r="3826" spans="1:10" x14ac:dyDescent="0.75">
      <c r="A3826" t="s">
        <v>151</v>
      </c>
      <c r="B3826">
        <v>4151</v>
      </c>
      <c r="C3826" t="s">
        <v>44</v>
      </c>
      <c r="D3826">
        <v>5120</v>
      </c>
      <c r="E3826" t="s">
        <v>461</v>
      </c>
      <c r="F3826" s="4">
        <v>0</v>
      </c>
      <c r="G3826" s="4">
        <v>10361</v>
      </c>
      <c r="H3826" s="4">
        <v>45</v>
      </c>
      <c r="I3826" s="4">
        <v>10316</v>
      </c>
      <c r="J3826" s="4">
        <v>10361</v>
      </c>
    </row>
    <row r="3827" spans="1:10" x14ac:dyDescent="0.75">
      <c r="A3827" t="s">
        <v>151</v>
      </c>
      <c r="B3827">
        <v>4151</v>
      </c>
      <c r="C3827" t="s">
        <v>44</v>
      </c>
      <c r="D3827">
        <v>7600</v>
      </c>
      <c r="E3827" t="s">
        <v>503</v>
      </c>
      <c r="F3827" s="4">
        <v>0</v>
      </c>
      <c r="G3827" s="4">
        <v>10357</v>
      </c>
      <c r="H3827" s="4">
        <v>9187</v>
      </c>
      <c r="I3827" s="4">
        <v>1170</v>
      </c>
      <c r="J3827" s="4">
        <v>10357</v>
      </c>
    </row>
    <row r="3828" spans="1:10" x14ac:dyDescent="0.75">
      <c r="A3828" t="s">
        <v>151</v>
      </c>
      <c r="B3828">
        <v>4151</v>
      </c>
      <c r="C3828" t="s">
        <v>44</v>
      </c>
      <c r="D3828">
        <v>6822</v>
      </c>
      <c r="E3828" t="s">
        <v>482</v>
      </c>
      <c r="F3828" s="4">
        <v>0</v>
      </c>
      <c r="G3828" s="4">
        <v>8626</v>
      </c>
      <c r="H3828" s="4">
        <v>335</v>
      </c>
      <c r="I3828" s="4">
        <v>8291</v>
      </c>
      <c r="J3828" s="4">
        <v>8626</v>
      </c>
    </row>
    <row r="3829" spans="1:10" x14ac:dyDescent="0.75">
      <c r="A3829" t="s">
        <v>151</v>
      </c>
      <c r="B3829">
        <v>4151</v>
      </c>
      <c r="C3829" t="s">
        <v>44</v>
      </c>
      <c r="D3829">
        <v>6811</v>
      </c>
      <c r="E3829" t="s">
        <v>480</v>
      </c>
      <c r="F3829" s="4">
        <v>0</v>
      </c>
      <c r="G3829" s="4">
        <v>8174</v>
      </c>
      <c r="H3829" s="4">
        <v>4985</v>
      </c>
      <c r="I3829" s="4">
        <v>3189</v>
      </c>
      <c r="J3829" s="4">
        <v>8174</v>
      </c>
    </row>
    <row r="3830" spans="1:10" x14ac:dyDescent="0.75">
      <c r="A3830" t="s">
        <v>151</v>
      </c>
      <c r="B3830">
        <v>4151</v>
      </c>
      <c r="C3830" t="s">
        <v>44</v>
      </c>
      <c r="D3830">
        <v>6893</v>
      </c>
      <c r="E3830" t="s">
        <v>496</v>
      </c>
      <c r="F3830" s="4">
        <v>0</v>
      </c>
      <c r="G3830" s="4">
        <v>7811</v>
      </c>
      <c r="H3830" s="4">
        <v>3823</v>
      </c>
      <c r="I3830" s="4">
        <v>3988</v>
      </c>
      <c r="J3830" s="4">
        <v>7811</v>
      </c>
    </row>
    <row r="3831" spans="1:10" x14ac:dyDescent="0.75">
      <c r="A3831" t="s">
        <v>151</v>
      </c>
      <c r="B3831">
        <v>4151</v>
      </c>
      <c r="C3831" t="s">
        <v>44</v>
      </c>
      <c r="D3831">
        <v>6861</v>
      </c>
      <c r="E3831" t="s">
        <v>489</v>
      </c>
      <c r="F3831" s="4">
        <v>0</v>
      </c>
      <c r="G3831" s="4">
        <v>7635</v>
      </c>
      <c r="H3831" s="4">
        <v>7635</v>
      </c>
      <c r="I3831" s="4">
        <v>0</v>
      </c>
      <c r="J3831" s="4">
        <v>7635</v>
      </c>
    </row>
    <row r="3832" spans="1:10" x14ac:dyDescent="0.75">
      <c r="A3832" t="s">
        <v>151</v>
      </c>
      <c r="B3832">
        <v>4151</v>
      </c>
      <c r="C3832" t="s">
        <v>44</v>
      </c>
      <c r="D3832">
        <v>3279</v>
      </c>
      <c r="E3832" t="s">
        <v>422</v>
      </c>
      <c r="F3832" s="4">
        <v>0</v>
      </c>
      <c r="G3832" s="4">
        <v>7496</v>
      </c>
      <c r="H3832" s="4">
        <v>7496</v>
      </c>
      <c r="I3832" s="4">
        <v>0</v>
      </c>
      <c r="J3832" s="4">
        <v>7496</v>
      </c>
    </row>
    <row r="3833" spans="1:10" x14ac:dyDescent="0.75">
      <c r="A3833" t="s">
        <v>151</v>
      </c>
      <c r="B3833">
        <v>4151</v>
      </c>
      <c r="C3833" t="s">
        <v>44</v>
      </c>
      <c r="D3833">
        <v>6889</v>
      </c>
      <c r="E3833" t="s">
        <v>420</v>
      </c>
      <c r="F3833" s="4">
        <v>0</v>
      </c>
      <c r="G3833" s="4">
        <v>6991</v>
      </c>
      <c r="H3833" s="4">
        <v>4685</v>
      </c>
      <c r="I3833" s="4">
        <v>2306</v>
      </c>
      <c r="J3833" s="4">
        <v>6991</v>
      </c>
    </row>
    <row r="3834" spans="1:10" x14ac:dyDescent="0.75">
      <c r="A3834" t="s">
        <v>151</v>
      </c>
      <c r="B3834">
        <v>4151</v>
      </c>
      <c r="C3834" t="s">
        <v>44</v>
      </c>
      <c r="D3834">
        <v>5480</v>
      </c>
      <c r="E3834" t="s">
        <v>386</v>
      </c>
      <c r="F3834" s="4">
        <v>0</v>
      </c>
      <c r="G3834" s="4">
        <v>5205</v>
      </c>
      <c r="H3834" s="4">
        <v>2891</v>
      </c>
      <c r="I3834" s="4">
        <v>2314</v>
      </c>
      <c r="J3834" s="4">
        <v>5205</v>
      </c>
    </row>
    <row r="3835" spans="1:10" x14ac:dyDescent="0.75">
      <c r="A3835" t="s">
        <v>151</v>
      </c>
      <c r="B3835">
        <v>4151</v>
      </c>
      <c r="C3835" t="s">
        <v>44</v>
      </c>
      <c r="D3835">
        <v>4331</v>
      </c>
      <c r="E3835" t="s">
        <v>390</v>
      </c>
      <c r="F3835" s="4">
        <v>3800</v>
      </c>
      <c r="G3835" s="4">
        <v>10</v>
      </c>
      <c r="H3835" s="4">
        <v>0</v>
      </c>
      <c r="I3835" s="4">
        <v>10</v>
      </c>
      <c r="J3835" s="4">
        <v>3810</v>
      </c>
    </row>
    <row r="3836" spans="1:10" x14ac:dyDescent="0.75">
      <c r="A3836" t="s">
        <v>151</v>
      </c>
      <c r="B3836">
        <v>4151</v>
      </c>
      <c r="C3836" t="s">
        <v>44</v>
      </c>
      <c r="D3836">
        <v>3286</v>
      </c>
      <c r="E3836" t="s">
        <v>423</v>
      </c>
      <c r="F3836" s="4">
        <v>0</v>
      </c>
      <c r="G3836" s="4">
        <v>3683</v>
      </c>
      <c r="H3836" s="4">
        <v>3212</v>
      </c>
      <c r="I3836" s="4">
        <v>471</v>
      </c>
      <c r="J3836" s="4">
        <v>3683</v>
      </c>
    </row>
    <row r="3837" spans="1:10" x14ac:dyDescent="0.75">
      <c r="A3837" t="s">
        <v>151</v>
      </c>
      <c r="B3837">
        <v>4151</v>
      </c>
      <c r="C3837" t="s">
        <v>44</v>
      </c>
      <c r="D3837">
        <v>6871</v>
      </c>
      <c r="E3837" t="s">
        <v>491</v>
      </c>
      <c r="F3837" s="4">
        <v>0</v>
      </c>
      <c r="G3837" s="4">
        <v>3482</v>
      </c>
      <c r="H3837" s="4">
        <v>3482</v>
      </c>
      <c r="I3837" s="4">
        <v>0</v>
      </c>
      <c r="J3837" s="4">
        <v>3482</v>
      </c>
    </row>
    <row r="3838" spans="1:10" x14ac:dyDescent="0.75">
      <c r="A3838" t="s">
        <v>151</v>
      </c>
      <c r="B3838">
        <v>4151</v>
      </c>
      <c r="C3838" t="s">
        <v>44</v>
      </c>
      <c r="D3838">
        <v>5330</v>
      </c>
      <c r="E3838" t="s">
        <v>385</v>
      </c>
      <c r="F3838" s="4">
        <v>0</v>
      </c>
      <c r="G3838" s="4">
        <v>3104</v>
      </c>
      <c r="H3838" s="4">
        <v>3104</v>
      </c>
      <c r="I3838" s="4">
        <v>0</v>
      </c>
      <c r="J3838" s="4">
        <v>3104</v>
      </c>
    </row>
    <row r="3839" spans="1:10" x14ac:dyDescent="0.75">
      <c r="A3839" t="s">
        <v>151</v>
      </c>
      <c r="B3839">
        <v>4151</v>
      </c>
      <c r="C3839" t="s">
        <v>44</v>
      </c>
      <c r="D3839">
        <v>5540</v>
      </c>
      <c r="E3839" t="s">
        <v>469</v>
      </c>
      <c r="F3839" s="4">
        <v>0</v>
      </c>
      <c r="G3839" s="4">
        <v>3000</v>
      </c>
      <c r="H3839" s="4">
        <v>2964</v>
      </c>
      <c r="I3839" s="4">
        <v>36</v>
      </c>
      <c r="J3839" s="4">
        <v>3000</v>
      </c>
    </row>
    <row r="3840" spans="1:10" x14ac:dyDescent="0.75">
      <c r="A3840" t="s">
        <v>151</v>
      </c>
      <c r="B3840">
        <v>4151</v>
      </c>
      <c r="C3840" t="s">
        <v>44</v>
      </c>
      <c r="D3840">
        <v>2340</v>
      </c>
      <c r="E3840" t="s">
        <v>369</v>
      </c>
      <c r="F3840" s="4">
        <v>2904</v>
      </c>
      <c r="G3840" s="4">
        <v>0</v>
      </c>
      <c r="H3840" s="4">
        <v>0</v>
      </c>
      <c r="I3840" s="4">
        <v>0</v>
      </c>
      <c r="J3840" s="4">
        <v>2904</v>
      </c>
    </row>
    <row r="3841" spans="1:10" x14ac:dyDescent="0.75">
      <c r="A3841" t="s">
        <v>151</v>
      </c>
      <c r="B3841">
        <v>4151</v>
      </c>
      <c r="C3841" t="s">
        <v>44</v>
      </c>
      <c r="D3841">
        <v>6653</v>
      </c>
      <c r="E3841" t="s">
        <v>395</v>
      </c>
      <c r="F3841" s="4">
        <v>0</v>
      </c>
      <c r="G3841" s="4">
        <v>2184</v>
      </c>
      <c r="H3841" s="4">
        <v>1058</v>
      </c>
      <c r="I3841" s="4">
        <v>1126</v>
      </c>
      <c r="J3841" s="4">
        <v>2184</v>
      </c>
    </row>
    <row r="3842" spans="1:10" x14ac:dyDescent="0.75">
      <c r="A3842" t="s">
        <v>151</v>
      </c>
      <c r="B3842">
        <v>4151</v>
      </c>
      <c r="C3842" t="s">
        <v>44</v>
      </c>
      <c r="D3842">
        <v>6134</v>
      </c>
      <c r="E3842" t="s">
        <v>470</v>
      </c>
      <c r="F3842" s="4">
        <v>0</v>
      </c>
      <c r="G3842" s="4">
        <v>1873</v>
      </c>
      <c r="H3842" s="4">
        <v>1493</v>
      </c>
      <c r="I3842" s="4">
        <v>380</v>
      </c>
      <c r="J3842" s="4">
        <v>1873</v>
      </c>
    </row>
    <row r="3843" spans="1:10" x14ac:dyDescent="0.75">
      <c r="A3843" t="s">
        <v>151</v>
      </c>
      <c r="B3843">
        <v>4151</v>
      </c>
      <c r="C3843" t="s">
        <v>44</v>
      </c>
      <c r="D3843">
        <v>6747</v>
      </c>
      <c r="E3843" t="s">
        <v>478</v>
      </c>
      <c r="F3843" s="4">
        <v>0</v>
      </c>
      <c r="G3843" s="4">
        <v>1710</v>
      </c>
      <c r="H3843" s="4">
        <v>892</v>
      </c>
      <c r="I3843" s="4">
        <v>818</v>
      </c>
      <c r="J3843" s="4">
        <v>1710</v>
      </c>
    </row>
    <row r="3844" spans="1:10" x14ac:dyDescent="0.75">
      <c r="A3844" t="s">
        <v>151</v>
      </c>
      <c r="B3844">
        <v>4151</v>
      </c>
      <c r="C3844" t="s">
        <v>44</v>
      </c>
      <c r="D3844">
        <v>5290</v>
      </c>
      <c r="E3844" t="s">
        <v>415</v>
      </c>
      <c r="F3844" s="4">
        <v>0</v>
      </c>
      <c r="G3844" s="4">
        <v>1184</v>
      </c>
      <c r="H3844" s="4">
        <v>1050</v>
      </c>
      <c r="I3844" s="4">
        <v>134</v>
      </c>
      <c r="J3844" s="4">
        <v>1184</v>
      </c>
    </row>
    <row r="3845" spans="1:10" x14ac:dyDescent="0.75">
      <c r="A3845" t="s">
        <v>151</v>
      </c>
      <c r="B3845">
        <v>4151</v>
      </c>
      <c r="C3845" t="s">
        <v>44</v>
      </c>
      <c r="D3845">
        <v>3276</v>
      </c>
      <c r="E3845" t="s">
        <v>379</v>
      </c>
      <c r="F3845" s="4">
        <v>0</v>
      </c>
      <c r="G3845" s="4">
        <v>971</v>
      </c>
      <c r="H3845" s="4">
        <v>185</v>
      </c>
      <c r="I3845" s="4">
        <v>786</v>
      </c>
      <c r="J3845" s="4">
        <v>971</v>
      </c>
    </row>
    <row r="3846" spans="1:10" x14ac:dyDescent="0.75">
      <c r="A3846" t="s">
        <v>151</v>
      </c>
      <c r="B3846">
        <v>4151</v>
      </c>
      <c r="C3846" t="s">
        <v>44</v>
      </c>
      <c r="D3846">
        <v>6885</v>
      </c>
      <c r="E3846" t="s">
        <v>493</v>
      </c>
      <c r="F3846" s="4">
        <v>0</v>
      </c>
      <c r="G3846" s="4">
        <v>957</v>
      </c>
      <c r="H3846" s="4">
        <v>828</v>
      </c>
      <c r="I3846" s="4">
        <v>129</v>
      </c>
      <c r="J3846" s="4">
        <v>957</v>
      </c>
    </row>
    <row r="3847" spans="1:10" x14ac:dyDescent="0.75">
      <c r="A3847" t="s">
        <v>151</v>
      </c>
      <c r="B3847">
        <v>4151</v>
      </c>
      <c r="C3847" t="s">
        <v>44</v>
      </c>
      <c r="D3847">
        <v>6817</v>
      </c>
      <c r="E3847" t="s">
        <v>481</v>
      </c>
      <c r="F3847" s="4">
        <v>0</v>
      </c>
      <c r="G3847" s="4">
        <v>943</v>
      </c>
      <c r="H3847" s="4">
        <v>730</v>
      </c>
      <c r="I3847" s="4">
        <v>213</v>
      </c>
      <c r="J3847" s="4">
        <v>943</v>
      </c>
    </row>
    <row r="3848" spans="1:10" x14ac:dyDescent="0.75">
      <c r="A3848" t="s">
        <v>151</v>
      </c>
      <c r="B3848">
        <v>4151</v>
      </c>
      <c r="C3848" t="s">
        <v>44</v>
      </c>
      <c r="D3848">
        <v>3285</v>
      </c>
      <c r="E3848" t="s">
        <v>443</v>
      </c>
      <c r="F3848" s="4">
        <v>0</v>
      </c>
      <c r="G3848" s="4">
        <v>938</v>
      </c>
      <c r="H3848" s="4">
        <v>287</v>
      </c>
      <c r="I3848" s="4">
        <v>651</v>
      </c>
      <c r="J3848" s="4">
        <v>938</v>
      </c>
    </row>
    <row r="3849" spans="1:10" x14ac:dyDescent="0.75">
      <c r="A3849" t="s">
        <v>151</v>
      </c>
      <c r="B3849">
        <v>4151</v>
      </c>
      <c r="C3849" t="s">
        <v>44</v>
      </c>
      <c r="D3849">
        <v>3220</v>
      </c>
      <c r="E3849" t="s">
        <v>370</v>
      </c>
      <c r="F3849" s="4">
        <v>0</v>
      </c>
      <c r="G3849" s="4">
        <v>927</v>
      </c>
      <c r="H3849" s="4">
        <v>922</v>
      </c>
      <c r="I3849" s="4">
        <v>5</v>
      </c>
      <c r="J3849" s="4">
        <v>927</v>
      </c>
    </row>
    <row r="3850" spans="1:10" x14ac:dyDescent="0.75">
      <c r="A3850" t="s">
        <v>151</v>
      </c>
      <c r="B3850">
        <v>4151</v>
      </c>
      <c r="C3850" t="s">
        <v>44</v>
      </c>
      <c r="D3850">
        <v>6136</v>
      </c>
      <c r="E3850" t="s">
        <v>471</v>
      </c>
      <c r="F3850" s="4">
        <v>0</v>
      </c>
      <c r="G3850" s="4">
        <v>887</v>
      </c>
      <c r="H3850" s="4">
        <v>866</v>
      </c>
      <c r="I3850" s="4">
        <v>21</v>
      </c>
      <c r="J3850" s="4">
        <v>887</v>
      </c>
    </row>
    <row r="3851" spans="1:10" x14ac:dyDescent="0.75">
      <c r="A3851" t="s">
        <v>151</v>
      </c>
      <c r="B3851">
        <v>4151</v>
      </c>
      <c r="C3851" t="s">
        <v>44</v>
      </c>
      <c r="D3851">
        <v>7230</v>
      </c>
      <c r="E3851" t="s">
        <v>387</v>
      </c>
      <c r="F3851" s="4">
        <v>0</v>
      </c>
      <c r="G3851" s="4">
        <v>877</v>
      </c>
      <c r="H3851" s="4">
        <v>765</v>
      </c>
      <c r="I3851" s="4">
        <v>112</v>
      </c>
      <c r="J3851" s="4">
        <v>877</v>
      </c>
    </row>
    <row r="3852" spans="1:10" x14ac:dyDescent="0.75">
      <c r="A3852" t="s">
        <v>151</v>
      </c>
      <c r="B3852">
        <v>4151</v>
      </c>
      <c r="C3852" t="s">
        <v>44</v>
      </c>
      <c r="D3852">
        <v>3275</v>
      </c>
      <c r="E3852" t="s">
        <v>412</v>
      </c>
      <c r="F3852" s="4">
        <v>0</v>
      </c>
      <c r="G3852" s="4">
        <v>855</v>
      </c>
      <c r="H3852" s="4">
        <v>739</v>
      </c>
      <c r="I3852" s="4">
        <v>116</v>
      </c>
      <c r="J3852" s="4">
        <v>855</v>
      </c>
    </row>
    <row r="3853" spans="1:10" x14ac:dyDescent="0.75">
      <c r="A3853" t="s">
        <v>151</v>
      </c>
      <c r="B3853">
        <v>4151</v>
      </c>
      <c r="C3853" t="s">
        <v>44</v>
      </c>
      <c r="D3853">
        <v>5190</v>
      </c>
      <c r="E3853" t="s">
        <v>462</v>
      </c>
      <c r="F3853" s="4">
        <v>0</v>
      </c>
      <c r="G3853" s="4">
        <v>724</v>
      </c>
      <c r="H3853" s="4">
        <v>506</v>
      </c>
      <c r="I3853" s="4">
        <v>218</v>
      </c>
      <c r="J3853" s="4">
        <v>724</v>
      </c>
    </row>
    <row r="3854" spans="1:10" x14ac:dyDescent="0.75">
      <c r="A3854" t="s">
        <v>151</v>
      </c>
      <c r="B3854">
        <v>4151</v>
      </c>
      <c r="C3854" t="s">
        <v>44</v>
      </c>
      <c r="D3854">
        <v>5422</v>
      </c>
      <c r="E3854" t="s">
        <v>468</v>
      </c>
      <c r="F3854" s="4">
        <v>0</v>
      </c>
      <c r="G3854" s="4">
        <v>673</v>
      </c>
      <c r="H3854" s="4">
        <v>673</v>
      </c>
      <c r="I3854" s="4">
        <v>0</v>
      </c>
      <c r="J3854" s="4">
        <v>673</v>
      </c>
    </row>
    <row r="3855" spans="1:10" x14ac:dyDescent="0.75">
      <c r="A3855" t="s">
        <v>151</v>
      </c>
      <c r="B3855">
        <v>4151</v>
      </c>
      <c r="C3855" t="s">
        <v>44</v>
      </c>
      <c r="D3855">
        <v>7400</v>
      </c>
      <c r="E3855" t="s">
        <v>502</v>
      </c>
      <c r="F3855" s="4">
        <v>0</v>
      </c>
      <c r="G3855" s="4">
        <v>552</v>
      </c>
      <c r="H3855" s="4">
        <v>524</v>
      </c>
      <c r="I3855" s="4">
        <v>28</v>
      </c>
      <c r="J3855" s="4">
        <v>552</v>
      </c>
    </row>
    <row r="3856" spans="1:10" x14ac:dyDescent="0.75">
      <c r="A3856" t="s">
        <v>151</v>
      </c>
      <c r="B3856">
        <v>4151</v>
      </c>
      <c r="C3856" t="s">
        <v>44</v>
      </c>
      <c r="D3856">
        <v>5370</v>
      </c>
      <c r="E3856" t="s">
        <v>466</v>
      </c>
      <c r="F3856" s="4">
        <v>0</v>
      </c>
      <c r="G3856" s="4">
        <v>476</v>
      </c>
      <c r="H3856" s="4">
        <v>445</v>
      </c>
      <c r="I3856" s="4">
        <v>31</v>
      </c>
      <c r="J3856" s="4">
        <v>476</v>
      </c>
    </row>
    <row r="3857" spans="1:10" x14ac:dyDescent="0.75">
      <c r="A3857" t="s">
        <v>151</v>
      </c>
      <c r="B3857">
        <v>4151</v>
      </c>
      <c r="C3857" t="s">
        <v>44</v>
      </c>
      <c r="D3857">
        <v>6899</v>
      </c>
      <c r="E3857" t="s">
        <v>498</v>
      </c>
      <c r="F3857" s="4">
        <v>0</v>
      </c>
      <c r="G3857" s="4">
        <v>457</v>
      </c>
      <c r="H3857" s="4">
        <v>433</v>
      </c>
      <c r="I3857" s="4">
        <v>24</v>
      </c>
      <c r="J3857" s="4">
        <v>457</v>
      </c>
    </row>
    <row r="3858" spans="1:10" x14ac:dyDescent="0.75">
      <c r="A3858" t="s">
        <v>151</v>
      </c>
      <c r="B3858">
        <v>4151</v>
      </c>
      <c r="C3858" t="s">
        <v>44</v>
      </c>
      <c r="D3858">
        <v>6782</v>
      </c>
      <c r="E3858" t="s">
        <v>396</v>
      </c>
      <c r="F3858" s="4">
        <v>0</v>
      </c>
      <c r="G3858" s="4">
        <v>444</v>
      </c>
      <c r="H3858" s="4">
        <v>297</v>
      </c>
      <c r="I3858" s="4">
        <v>147</v>
      </c>
      <c r="J3858" s="4">
        <v>444</v>
      </c>
    </row>
    <row r="3859" spans="1:10" x14ac:dyDescent="0.75">
      <c r="A3859" t="s">
        <v>151</v>
      </c>
      <c r="B3859">
        <v>4151</v>
      </c>
      <c r="C3859" t="s">
        <v>44</v>
      </c>
      <c r="D3859">
        <v>2330</v>
      </c>
      <c r="E3859" t="s">
        <v>368</v>
      </c>
      <c r="F3859" s="4">
        <v>0</v>
      </c>
      <c r="G3859" s="4">
        <v>439</v>
      </c>
      <c r="H3859" s="4">
        <v>146</v>
      </c>
      <c r="I3859" s="4">
        <v>293</v>
      </c>
      <c r="J3859" s="4">
        <v>439</v>
      </c>
    </row>
    <row r="3860" spans="1:10" x14ac:dyDescent="0.75">
      <c r="A3860" t="s">
        <v>151</v>
      </c>
      <c r="B3860">
        <v>4151</v>
      </c>
      <c r="C3860" t="s">
        <v>44</v>
      </c>
      <c r="D3860">
        <v>4782</v>
      </c>
      <c r="E3860" t="s">
        <v>414</v>
      </c>
      <c r="F3860" s="4">
        <v>0</v>
      </c>
      <c r="G3860" s="4">
        <v>378</v>
      </c>
      <c r="H3860" s="4">
        <v>0</v>
      </c>
      <c r="I3860" s="4">
        <v>378</v>
      </c>
      <c r="J3860" s="4">
        <v>378</v>
      </c>
    </row>
    <row r="3861" spans="1:10" x14ac:dyDescent="0.75">
      <c r="A3861" t="s">
        <v>151</v>
      </c>
      <c r="B3861">
        <v>4151</v>
      </c>
      <c r="C3861" t="s">
        <v>44</v>
      </c>
      <c r="D3861">
        <v>3299</v>
      </c>
      <c r="E3861" t="s">
        <v>448</v>
      </c>
      <c r="F3861" s="4">
        <v>0</v>
      </c>
      <c r="G3861" s="4">
        <v>280</v>
      </c>
      <c r="H3861" s="4">
        <v>162</v>
      </c>
      <c r="I3861" s="4">
        <v>118</v>
      </c>
      <c r="J3861" s="4">
        <v>280</v>
      </c>
    </row>
    <row r="3862" spans="1:10" x14ac:dyDescent="0.75">
      <c r="A3862" t="s">
        <v>151</v>
      </c>
      <c r="B3862">
        <v>4151</v>
      </c>
      <c r="C3862" t="s">
        <v>44</v>
      </c>
      <c r="D3862">
        <v>3130</v>
      </c>
      <c r="E3862" t="s">
        <v>407</v>
      </c>
      <c r="F3862" s="4">
        <v>0</v>
      </c>
      <c r="G3862" s="4">
        <v>271</v>
      </c>
      <c r="H3862" s="4">
        <v>0</v>
      </c>
      <c r="I3862" s="4">
        <v>271</v>
      </c>
      <c r="J3862" s="4">
        <v>271</v>
      </c>
    </row>
    <row r="3863" spans="1:10" x14ac:dyDescent="0.75">
      <c r="A3863" t="s">
        <v>151</v>
      </c>
      <c r="B3863">
        <v>4151</v>
      </c>
      <c r="C3863" t="s">
        <v>44</v>
      </c>
      <c r="D3863">
        <v>5312</v>
      </c>
      <c r="E3863" t="s">
        <v>416</v>
      </c>
      <c r="F3863" s="4">
        <v>0</v>
      </c>
      <c r="G3863" s="4">
        <v>265</v>
      </c>
      <c r="H3863" s="4">
        <v>260</v>
      </c>
      <c r="I3863" s="4">
        <v>5</v>
      </c>
      <c r="J3863" s="4">
        <v>265</v>
      </c>
    </row>
    <row r="3864" spans="1:10" x14ac:dyDescent="0.75">
      <c r="A3864" t="s">
        <v>151</v>
      </c>
      <c r="B3864">
        <v>4151</v>
      </c>
      <c r="C3864" t="s">
        <v>44</v>
      </c>
      <c r="D3864">
        <v>3292</v>
      </c>
      <c r="E3864" t="s">
        <v>413</v>
      </c>
      <c r="F3864" s="4">
        <v>0</v>
      </c>
      <c r="G3864" s="4">
        <v>187</v>
      </c>
      <c r="H3864" s="4">
        <v>177</v>
      </c>
      <c r="I3864" s="4">
        <v>10</v>
      </c>
      <c r="J3864" s="4">
        <v>187</v>
      </c>
    </row>
    <row r="3865" spans="1:10" x14ac:dyDescent="0.75">
      <c r="A3865" t="s">
        <v>151</v>
      </c>
      <c r="B3865">
        <v>4151</v>
      </c>
      <c r="C3865" t="s">
        <v>44</v>
      </c>
      <c r="D3865">
        <v>7220</v>
      </c>
      <c r="E3865" t="s">
        <v>500</v>
      </c>
      <c r="F3865" s="4">
        <v>0</v>
      </c>
      <c r="G3865" s="4">
        <v>152</v>
      </c>
      <c r="H3865" s="4">
        <v>66</v>
      </c>
      <c r="I3865" s="4">
        <v>86</v>
      </c>
      <c r="J3865" s="4">
        <v>152</v>
      </c>
    </row>
    <row r="3866" spans="1:10" x14ac:dyDescent="0.75">
      <c r="A3866" t="s">
        <v>151</v>
      </c>
      <c r="B3866">
        <v>4151</v>
      </c>
      <c r="C3866" t="s">
        <v>44</v>
      </c>
      <c r="D3866">
        <v>5240</v>
      </c>
      <c r="E3866" t="s">
        <v>464</v>
      </c>
      <c r="F3866" s="4">
        <v>0</v>
      </c>
      <c r="G3866" s="4">
        <v>149</v>
      </c>
      <c r="H3866" s="4">
        <v>50</v>
      </c>
      <c r="I3866" s="4">
        <v>99</v>
      </c>
      <c r="J3866" s="4">
        <v>149</v>
      </c>
    </row>
    <row r="3867" spans="1:10" x14ac:dyDescent="0.75">
      <c r="A3867" t="s">
        <v>151</v>
      </c>
      <c r="B3867">
        <v>4151</v>
      </c>
      <c r="C3867" t="s">
        <v>44</v>
      </c>
      <c r="D3867">
        <v>6442</v>
      </c>
      <c r="E3867" t="s">
        <v>472</v>
      </c>
      <c r="F3867" s="4">
        <v>0</v>
      </c>
      <c r="G3867" s="4">
        <v>142</v>
      </c>
      <c r="H3867" s="4">
        <v>142</v>
      </c>
      <c r="I3867" s="4">
        <v>0</v>
      </c>
      <c r="J3867" s="4">
        <v>142</v>
      </c>
    </row>
    <row r="3868" spans="1:10" x14ac:dyDescent="0.75">
      <c r="A3868" t="s">
        <v>151</v>
      </c>
      <c r="B3868">
        <v>4151</v>
      </c>
      <c r="C3868" t="s">
        <v>44</v>
      </c>
      <c r="D3868">
        <v>6835</v>
      </c>
      <c r="E3868" t="s">
        <v>483</v>
      </c>
      <c r="F3868" s="4">
        <v>0</v>
      </c>
      <c r="G3868" s="4">
        <v>134</v>
      </c>
      <c r="H3868" s="4">
        <v>134</v>
      </c>
      <c r="I3868" s="4">
        <v>0</v>
      </c>
      <c r="J3868" s="4">
        <v>134</v>
      </c>
    </row>
    <row r="3869" spans="1:10" x14ac:dyDescent="0.75">
      <c r="A3869" t="s">
        <v>151</v>
      </c>
      <c r="B3869">
        <v>4151</v>
      </c>
      <c r="C3869" t="s">
        <v>44</v>
      </c>
      <c r="D3869">
        <v>6891</v>
      </c>
      <c r="E3869" t="s">
        <v>495</v>
      </c>
      <c r="F3869" s="4">
        <v>0</v>
      </c>
      <c r="G3869" s="4">
        <v>126</v>
      </c>
      <c r="H3869" s="4">
        <v>53</v>
      </c>
      <c r="I3869" s="4">
        <v>73</v>
      </c>
      <c r="J3869" s="4">
        <v>126</v>
      </c>
    </row>
    <row r="3870" spans="1:10" x14ac:dyDescent="0.75">
      <c r="A3870" t="s">
        <v>151</v>
      </c>
      <c r="B3870">
        <v>4151</v>
      </c>
      <c r="C3870" t="s">
        <v>44</v>
      </c>
      <c r="D3870">
        <v>4310</v>
      </c>
      <c r="E3870" t="s">
        <v>453</v>
      </c>
      <c r="F3870" s="4">
        <v>0</v>
      </c>
      <c r="G3870" s="4">
        <v>111</v>
      </c>
      <c r="H3870" s="4">
        <v>111</v>
      </c>
      <c r="I3870" s="4">
        <v>0</v>
      </c>
      <c r="J3870" s="4">
        <v>111</v>
      </c>
    </row>
    <row r="3871" spans="1:10" x14ac:dyDescent="0.75">
      <c r="A3871" t="s">
        <v>151</v>
      </c>
      <c r="B3871">
        <v>4151</v>
      </c>
      <c r="C3871" t="s">
        <v>44</v>
      </c>
      <c r="D3871">
        <v>3230</v>
      </c>
      <c r="E3871" t="s">
        <v>434</v>
      </c>
      <c r="F3871" s="4">
        <v>0</v>
      </c>
      <c r="G3871" s="4">
        <v>109</v>
      </c>
      <c r="H3871" s="4">
        <v>107</v>
      </c>
      <c r="I3871" s="4">
        <v>2</v>
      </c>
      <c r="J3871" s="4">
        <v>109</v>
      </c>
    </row>
    <row r="3872" spans="1:10" x14ac:dyDescent="0.75">
      <c r="A3872" t="s">
        <v>151</v>
      </c>
      <c r="B3872">
        <v>4151</v>
      </c>
      <c r="C3872" t="s">
        <v>44</v>
      </c>
      <c r="D3872">
        <v>3284</v>
      </c>
      <c r="E3872" t="s">
        <v>442</v>
      </c>
      <c r="F3872" s="4">
        <v>0</v>
      </c>
      <c r="G3872" s="4">
        <v>94</v>
      </c>
      <c r="H3872" s="4">
        <v>60</v>
      </c>
      <c r="I3872" s="4">
        <v>34</v>
      </c>
      <c r="J3872" s="4">
        <v>94</v>
      </c>
    </row>
    <row r="3873" spans="1:10" x14ac:dyDescent="0.75">
      <c r="A3873" t="s">
        <v>151</v>
      </c>
      <c r="B3873">
        <v>4151</v>
      </c>
      <c r="C3873" t="s">
        <v>44</v>
      </c>
      <c r="D3873">
        <v>3282</v>
      </c>
      <c r="E3873" t="s">
        <v>440</v>
      </c>
      <c r="F3873" s="4">
        <v>0</v>
      </c>
      <c r="G3873" s="4">
        <v>88</v>
      </c>
      <c r="H3873" s="4">
        <v>27</v>
      </c>
      <c r="I3873" s="4">
        <v>61</v>
      </c>
      <c r="J3873" s="4">
        <v>88</v>
      </c>
    </row>
    <row r="3874" spans="1:10" x14ac:dyDescent="0.75">
      <c r="A3874" t="s">
        <v>151</v>
      </c>
      <c r="B3874">
        <v>4151</v>
      </c>
      <c r="C3874" t="s">
        <v>44</v>
      </c>
      <c r="D3874">
        <v>5429</v>
      </c>
      <c r="E3874" t="s">
        <v>429</v>
      </c>
      <c r="F3874" s="4">
        <v>0</v>
      </c>
      <c r="G3874" s="4">
        <v>82</v>
      </c>
      <c r="H3874" s="4">
        <v>82</v>
      </c>
      <c r="I3874" s="4">
        <v>0</v>
      </c>
      <c r="J3874" s="4">
        <v>82</v>
      </c>
    </row>
    <row r="3875" spans="1:10" x14ac:dyDescent="0.75">
      <c r="A3875" t="s">
        <v>151</v>
      </c>
      <c r="B3875">
        <v>4151</v>
      </c>
      <c r="C3875" t="s">
        <v>44</v>
      </c>
      <c r="D3875">
        <v>3219</v>
      </c>
      <c r="E3875" t="s">
        <v>378</v>
      </c>
      <c r="F3875" s="4">
        <v>0</v>
      </c>
      <c r="G3875" s="4">
        <v>69</v>
      </c>
      <c r="H3875" s="4">
        <v>69</v>
      </c>
      <c r="I3875" s="4">
        <v>0</v>
      </c>
      <c r="J3875" s="4">
        <v>69</v>
      </c>
    </row>
    <row r="3876" spans="1:10" x14ac:dyDescent="0.75">
      <c r="A3876" t="s">
        <v>151</v>
      </c>
      <c r="B3876">
        <v>4151</v>
      </c>
      <c r="C3876" t="s">
        <v>44</v>
      </c>
      <c r="D3876">
        <v>6344</v>
      </c>
      <c r="E3876" t="s">
        <v>392</v>
      </c>
      <c r="F3876" s="4">
        <v>0</v>
      </c>
      <c r="G3876" s="4">
        <v>68</v>
      </c>
      <c r="H3876" s="4">
        <v>23</v>
      </c>
      <c r="I3876" s="4">
        <v>45</v>
      </c>
      <c r="J3876" s="4">
        <v>68</v>
      </c>
    </row>
    <row r="3877" spans="1:10" x14ac:dyDescent="0.75">
      <c r="A3877" t="s">
        <v>151</v>
      </c>
      <c r="B3877">
        <v>4151</v>
      </c>
      <c r="C3877" t="s">
        <v>44</v>
      </c>
      <c r="D3877">
        <v>4190</v>
      </c>
      <c r="E3877" t="s">
        <v>452</v>
      </c>
      <c r="F3877" s="4">
        <v>0</v>
      </c>
      <c r="G3877" s="4">
        <v>65</v>
      </c>
      <c r="H3877" s="4">
        <v>53</v>
      </c>
      <c r="I3877" s="4">
        <v>12</v>
      </c>
      <c r="J3877" s="4">
        <v>65</v>
      </c>
    </row>
    <row r="3878" spans="1:10" x14ac:dyDescent="0.75">
      <c r="A3878" t="s">
        <v>151</v>
      </c>
      <c r="B3878">
        <v>4151</v>
      </c>
      <c r="C3878" t="s">
        <v>44</v>
      </c>
      <c r="D3878">
        <v>3260</v>
      </c>
      <c r="E3878" t="s">
        <v>436</v>
      </c>
      <c r="F3878" s="4">
        <v>0</v>
      </c>
      <c r="G3878" s="4">
        <v>62</v>
      </c>
      <c r="H3878" s="4">
        <v>61</v>
      </c>
      <c r="I3878" s="4">
        <v>1</v>
      </c>
      <c r="J3878" s="4">
        <v>62</v>
      </c>
    </row>
    <row r="3879" spans="1:10" x14ac:dyDescent="0.75">
      <c r="A3879" t="s">
        <v>151</v>
      </c>
      <c r="B3879">
        <v>4151</v>
      </c>
      <c r="C3879" t="s">
        <v>44</v>
      </c>
      <c r="D3879">
        <v>5421</v>
      </c>
      <c r="E3879" t="s">
        <v>467</v>
      </c>
      <c r="F3879" s="4">
        <v>0</v>
      </c>
      <c r="G3879" s="4">
        <v>59</v>
      </c>
      <c r="H3879" s="4">
        <v>47</v>
      </c>
      <c r="I3879" s="4">
        <v>12</v>
      </c>
      <c r="J3879" s="4">
        <v>59</v>
      </c>
    </row>
    <row r="3880" spans="1:10" x14ac:dyDescent="0.75">
      <c r="A3880" t="s">
        <v>151</v>
      </c>
      <c r="B3880">
        <v>4151</v>
      </c>
      <c r="C3880" t="s">
        <v>44</v>
      </c>
      <c r="D3880">
        <v>4189</v>
      </c>
      <c r="E3880" t="s">
        <v>451</v>
      </c>
      <c r="F3880" s="4">
        <v>0</v>
      </c>
      <c r="G3880" s="4">
        <v>56</v>
      </c>
      <c r="H3880" s="4">
        <v>56</v>
      </c>
      <c r="I3880" s="4">
        <v>0</v>
      </c>
      <c r="J3880" s="4">
        <v>56</v>
      </c>
    </row>
    <row r="3881" spans="1:10" x14ac:dyDescent="0.75">
      <c r="A3881" t="s">
        <v>151</v>
      </c>
      <c r="B3881">
        <v>4151</v>
      </c>
      <c r="C3881" t="s">
        <v>44</v>
      </c>
      <c r="D3881">
        <v>6445</v>
      </c>
      <c r="E3881" t="s">
        <v>474</v>
      </c>
      <c r="F3881" s="4">
        <v>0</v>
      </c>
      <c r="G3881" s="4">
        <v>51</v>
      </c>
      <c r="H3881" s="4">
        <v>51</v>
      </c>
      <c r="I3881" s="4">
        <v>0</v>
      </c>
      <c r="J3881" s="4">
        <v>51</v>
      </c>
    </row>
    <row r="3882" spans="1:10" x14ac:dyDescent="0.75">
      <c r="A3882" t="s">
        <v>151</v>
      </c>
      <c r="B3882">
        <v>4151</v>
      </c>
      <c r="C3882" t="s">
        <v>44</v>
      </c>
      <c r="D3882">
        <v>6872</v>
      </c>
      <c r="E3882" t="s">
        <v>492</v>
      </c>
      <c r="F3882" s="4">
        <v>0</v>
      </c>
      <c r="G3882" s="4">
        <v>51</v>
      </c>
      <c r="H3882" s="4">
        <v>51</v>
      </c>
      <c r="I3882" s="4">
        <v>0</v>
      </c>
      <c r="J3882" s="4">
        <v>51</v>
      </c>
    </row>
    <row r="3883" spans="1:10" x14ac:dyDescent="0.75">
      <c r="A3883" t="s">
        <v>151</v>
      </c>
      <c r="B3883">
        <v>4151</v>
      </c>
      <c r="C3883" t="s">
        <v>44</v>
      </c>
      <c r="D3883">
        <v>4900</v>
      </c>
      <c r="E3883" t="s">
        <v>383</v>
      </c>
      <c r="F3883" s="4">
        <v>0</v>
      </c>
      <c r="G3883" s="4">
        <v>45</v>
      </c>
      <c r="H3883" s="4">
        <v>22</v>
      </c>
      <c r="I3883" s="4">
        <v>23</v>
      </c>
      <c r="J3883" s="4">
        <v>45</v>
      </c>
    </row>
    <row r="3884" spans="1:10" x14ac:dyDescent="0.75">
      <c r="A3884" t="s">
        <v>151</v>
      </c>
      <c r="B3884">
        <v>4151</v>
      </c>
      <c r="C3884" t="s">
        <v>44</v>
      </c>
      <c r="D3884">
        <v>7300</v>
      </c>
      <c r="E3884" t="s">
        <v>501</v>
      </c>
      <c r="F3884" s="4">
        <v>0</v>
      </c>
      <c r="G3884" s="4">
        <v>42</v>
      </c>
      <c r="H3884" s="4">
        <v>32</v>
      </c>
      <c r="I3884" s="4">
        <v>10</v>
      </c>
      <c r="J3884" s="4">
        <v>42</v>
      </c>
    </row>
    <row r="3885" spans="1:10" x14ac:dyDescent="0.75">
      <c r="A3885" t="s">
        <v>151</v>
      </c>
      <c r="B3885">
        <v>4151</v>
      </c>
      <c r="C3885" t="s">
        <v>44</v>
      </c>
      <c r="D3885">
        <v>3283</v>
      </c>
      <c r="E3885" t="s">
        <v>441</v>
      </c>
      <c r="F3885" s="4">
        <v>0</v>
      </c>
      <c r="G3885" s="4">
        <v>39</v>
      </c>
      <c r="H3885" s="4">
        <v>0</v>
      </c>
      <c r="I3885" s="4">
        <v>39</v>
      </c>
      <c r="J3885" s="4">
        <v>39</v>
      </c>
    </row>
    <row r="3886" spans="1:10" x14ac:dyDescent="0.75">
      <c r="A3886" t="s">
        <v>151</v>
      </c>
      <c r="B3886">
        <v>4151</v>
      </c>
      <c r="C3886" t="s">
        <v>44</v>
      </c>
      <c r="D3886">
        <v>6590</v>
      </c>
      <c r="E3886" t="s">
        <v>394</v>
      </c>
      <c r="F3886" s="4">
        <v>0</v>
      </c>
      <c r="G3886" s="4">
        <v>35</v>
      </c>
      <c r="H3886" s="4">
        <v>35</v>
      </c>
      <c r="I3886" s="4">
        <v>0</v>
      </c>
      <c r="J3886" s="4">
        <v>35</v>
      </c>
    </row>
    <row r="3887" spans="1:10" x14ac:dyDescent="0.75">
      <c r="A3887" t="s">
        <v>151</v>
      </c>
      <c r="B3887">
        <v>4151</v>
      </c>
      <c r="C3887" t="s">
        <v>44</v>
      </c>
      <c r="D3887">
        <v>3297</v>
      </c>
      <c r="E3887" t="s">
        <v>446</v>
      </c>
      <c r="F3887" s="4">
        <v>0</v>
      </c>
      <c r="G3887" s="4">
        <v>32</v>
      </c>
      <c r="H3887" s="4">
        <v>13</v>
      </c>
      <c r="I3887" s="4">
        <v>19</v>
      </c>
      <c r="J3887" s="4">
        <v>32</v>
      </c>
    </row>
    <row r="3888" spans="1:10" x14ac:dyDescent="0.75">
      <c r="A3888" t="s">
        <v>151</v>
      </c>
      <c r="B3888">
        <v>4151</v>
      </c>
      <c r="C3888" t="s">
        <v>44</v>
      </c>
      <c r="D3888">
        <v>5360</v>
      </c>
      <c r="E3888" t="s">
        <v>465</v>
      </c>
      <c r="F3888" s="4">
        <v>0</v>
      </c>
      <c r="G3888" s="4">
        <v>31</v>
      </c>
      <c r="H3888" s="4">
        <v>27</v>
      </c>
      <c r="I3888" s="4">
        <v>4</v>
      </c>
      <c r="J3888" s="4">
        <v>31</v>
      </c>
    </row>
    <row r="3889" spans="1:10" x14ac:dyDescent="0.75">
      <c r="A3889" t="s">
        <v>151</v>
      </c>
      <c r="B3889">
        <v>4151</v>
      </c>
      <c r="C3889" t="s">
        <v>44</v>
      </c>
      <c r="D3889">
        <v>6839</v>
      </c>
      <c r="E3889" t="s">
        <v>485</v>
      </c>
      <c r="F3889" s="4">
        <v>0</v>
      </c>
      <c r="G3889" s="4">
        <v>29</v>
      </c>
      <c r="H3889" s="4">
        <v>0</v>
      </c>
      <c r="I3889" s="4">
        <v>29</v>
      </c>
      <c r="J3889" s="4">
        <v>29</v>
      </c>
    </row>
    <row r="3890" spans="1:10" x14ac:dyDescent="0.75">
      <c r="A3890" t="s">
        <v>151</v>
      </c>
      <c r="B3890">
        <v>4151</v>
      </c>
      <c r="C3890" t="s">
        <v>44</v>
      </c>
      <c r="D3890">
        <v>6838</v>
      </c>
      <c r="E3890" t="s">
        <v>484</v>
      </c>
      <c r="F3890" s="4">
        <v>0</v>
      </c>
      <c r="G3890" s="4">
        <v>25</v>
      </c>
      <c r="H3890" s="4">
        <v>21</v>
      </c>
      <c r="I3890" s="4">
        <v>4</v>
      </c>
      <c r="J3890" s="4">
        <v>25</v>
      </c>
    </row>
    <row r="3891" spans="1:10" x14ac:dyDescent="0.75">
      <c r="A3891" t="s">
        <v>151</v>
      </c>
      <c r="B3891">
        <v>4151</v>
      </c>
      <c r="C3891" t="s">
        <v>44</v>
      </c>
      <c r="D3891">
        <v>4783</v>
      </c>
      <c r="E3891" t="s">
        <v>382</v>
      </c>
      <c r="F3891" s="4">
        <v>0</v>
      </c>
      <c r="G3891" s="4">
        <v>24</v>
      </c>
      <c r="H3891" s="4">
        <v>0</v>
      </c>
      <c r="I3891" s="4">
        <v>24</v>
      </c>
      <c r="J3891" s="4">
        <v>24</v>
      </c>
    </row>
    <row r="3892" spans="1:10" x14ac:dyDescent="0.75">
      <c r="A3892" t="s">
        <v>151</v>
      </c>
      <c r="B3892">
        <v>4151</v>
      </c>
      <c r="C3892" t="s">
        <v>44</v>
      </c>
      <c r="D3892">
        <v>4650</v>
      </c>
      <c r="E3892" t="s">
        <v>457</v>
      </c>
      <c r="F3892" s="4">
        <v>0</v>
      </c>
      <c r="G3892" s="4">
        <v>22</v>
      </c>
      <c r="H3892" s="4">
        <v>22</v>
      </c>
      <c r="I3892" s="4">
        <v>0</v>
      </c>
      <c r="J3892" s="4">
        <v>22</v>
      </c>
    </row>
    <row r="3893" spans="1:10" x14ac:dyDescent="0.75">
      <c r="A3893" t="s">
        <v>151</v>
      </c>
      <c r="B3893">
        <v>4151</v>
      </c>
      <c r="C3893" t="s">
        <v>44</v>
      </c>
      <c r="D3893">
        <v>4680</v>
      </c>
      <c r="E3893" t="s">
        <v>459</v>
      </c>
      <c r="F3893" s="4">
        <v>0</v>
      </c>
      <c r="G3893" s="4">
        <v>22</v>
      </c>
      <c r="H3893" s="4">
        <v>22</v>
      </c>
      <c r="I3893" s="4">
        <v>0</v>
      </c>
      <c r="J3893" s="4">
        <v>22</v>
      </c>
    </row>
    <row r="3894" spans="1:10" x14ac:dyDescent="0.75">
      <c r="A3894" t="s">
        <v>151</v>
      </c>
      <c r="B3894">
        <v>4151</v>
      </c>
      <c r="C3894" t="s">
        <v>44</v>
      </c>
      <c r="D3894">
        <v>6746</v>
      </c>
      <c r="E3894" t="s">
        <v>477</v>
      </c>
      <c r="F3894" s="4">
        <v>0</v>
      </c>
      <c r="G3894" s="4">
        <v>22</v>
      </c>
      <c r="H3894" s="4">
        <v>0</v>
      </c>
      <c r="I3894" s="4">
        <v>22</v>
      </c>
      <c r="J3894" s="4">
        <v>22</v>
      </c>
    </row>
    <row r="3895" spans="1:10" x14ac:dyDescent="0.75">
      <c r="A3895" t="s">
        <v>151</v>
      </c>
      <c r="B3895">
        <v>4151</v>
      </c>
      <c r="C3895" t="s">
        <v>44</v>
      </c>
      <c r="D3895">
        <v>1100</v>
      </c>
      <c r="E3895" t="s">
        <v>397</v>
      </c>
      <c r="F3895" s="4">
        <v>0</v>
      </c>
      <c r="G3895" s="4">
        <v>21</v>
      </c>
      <c r="H3895" s="4">
        <v>21</v>
      </c>
      <c r="I3895" s="4">
        <v>0</v>
      </c>
      <c r="J3895" s="4">
        <v>21</v>
      </c>
    </row>
    <row r="3896" spans="1:10" x14ac:dyDescent="0.75">
      <c r="A3896" t="s">
        <v>151</v>
      </c>
      <c r="B3896">
        <v>4151</v>
      </c>
      <c r="C3896" t="s">
        <v>44</v>
      </c>
      <c r="D3896">
        <v>6521</v>
      </c>
      <c r="E3896" t="s">
        <v>476</v>
      </c>
      <c r="F3896" s="4">
        <v>0</v>
      </c>
      <c r="G3896" s="4">
        <v>21</v>
      </c>
      <c r="H3896" s="4">
        <v>0</v>
      </c>
      <c r="I3896" s="4">
        <v>21</v>
      </c>
      <c r="J3896" s="4">
        <v>21</v>
      </c>
    </row>
    <row r="3897" spans="1:10" x14ac:dyDescent="0.75">
      <c r="A3897" t="s">
        <v>151</v>
      </c>
      <c r="B3897">
        <v>4151</v>
      </c>
      <c r="C3897" t="s">
        <v>44</v>
      </c>
      <c r="D3897">
        <v>6888</v>
      </c>
      <c r="E3897" t="s">
        <v>494</v>
      </c>
      <c r="F3897" s="4">
        <v>0</v>
      </c>
      <c r="G3897" s="4">
        <v>21</v>
      </c>
      <c r="H3897" s="4">
        <v>21</v>
      </c>
      <c r="I3897" s="4">
        <v>0</v>
      </c>
      <c r="J3897" s="4">
        <v>21</v>
      </c>
    </row>
    <row r="3898" spans="1:10" x14ac:dyDescent="0.75">
      <c r="A3898" t="s">
        <v>151</v>
      </c>
      <c r="B3898">
        <v>4151</v>
      </c>
      <c r="C3898" t="s">
        <v>44</v>
      </c>
      <c r="D3898">
        <v>2430</v>
      </c>
      <c r="E3898" t="s">
        <v>376</v>
      </c>
      <c r="F3898" s="4">
        <v>0</v>
      </c>
      <c r="G3898" s="4">
        <v>20</v>
      </c>
      <c r="H3898" s="4">
        <v>0</v>
      </c>
      <c r="I3898" s="4">
        <v>20</v>
      </c>
      <c r="J3898" s="4">
        <v>20</v>
      </c>
    </row>
    <row r="3899" spans="1:10" x14ac:dyDescent="0.75">
      <c r="A3899" t="s">
        <v>151</v>
      </c>
      <c r="B3899">
        <v>4151</v>
      </c>
      <c r="C3899" t="s">
        <v>44</v>
      </c>
      <c r="D3899">
        <v>3250</v>
      </c>
      <c r="E3899" t="s">
        <v>435</v>
      </c>
      <c r="F3899" s="4">
        <v>0</v>
      </c>
      <c r="G3899" s="4">
        <v>20</v>
      </c>
      <c r="H3899" s="4">
        <v>20</v>
      </c>
      <c r="I3899" s="4">
        <v>0</v>
      </c>
      <c r="J3899" s="4">
        <v>20</v>
      </c>
    </row>
    <row r="3900" spans="1:10" x14ac:dyDescent="0.75">
      <c r="A3900" t="s">
        <v>151</v>
      </c>
      <c r="B3900">
        <v>4151</v>
      </c>
      <c r="C3900" t="s">
        <v>44</v>
      </c>
      <c r="D3900">
        <v>2640</v>
      </c>
      <c r="E3900" t="s">
        <v>431</v>
      </c>
      <c r="F3900" s="4">
        <v>0</v>
      </c>
      <c r="G3900" s="4">
        <v>19</v>
      </c>
      <c r="H3900" s="4">
        <v>19</v>
      </c>
      <c r="I3900" s="4">
        <v>0</v>
      </c>
      <c r="J3900" s="4">
        <v>19</v>
      </c>
    </row>
    <row r="3901" spans="1:10" x14ac:dyDescent="0.75">
      <c r="A3901" t="s">
        <v>151</v>
      </c>
      <c r="B3901">
        <v>4151</v>
      </c>
      <c r="C3901" t="s">
        <v>44</v>
      </c>
      <c r="D3901">
        <v>3293</v>
      </c>
      <c r="E3901" t="s">
        <v>445</v>
      </c>
      <c r="F3901" s="4">
        <v>0</v>
      </c>
      <c r="G3901" s="4">
        <v>16</v>
      </c>
      <c r="H3901" s="4">
        <v>16</v>
      </c>
      <c r="I3901" s="4">
        <v>0</v>
      </c>
      <c r="J3901" s="4">
        <v>16</v>
      </c>
    </row>
    <row r="3902" spans="1:10" x14ac:dyDescent="0.75">
      <c r="A3902" t="s">
        <v>151</v>
      </c>
      <c r="B3902">
        <v>4151</v>
      </c>
      <c r="C3902" t="s">
        <v>44</v>
      </c>
      <c r="D3902">
        <v>3211</v>
      </c>
      <c r="E3902" t="s">
        <v>433</v>
      </c>
      <c r="F3902" s="4">
        <v>0</v>
      </c>
      <c r="G3902" s="4">
        <v>15</v>
      </c>
      <c r="H3902" s="4">
        <v>15</v>
      </c>
      <c r="I3902" s="4">
        <v>0</v>
      </c>
      <c r="J3902" s="4">
        <v>15</v>
      </c>
    </row>
    <row r="3903" spans="1:10" x14ac:dyDescent="0.75">
      <c r="A3903" t="s">
        <v>151</v>
      </c>
      <c r="B3903">
        <v>4151</v>
      </c>
      <c r="C3903" t="s">
        <v>44</v>
      </c>
      <c r="D3903">
        <v>6781</v>
      </c>
      <c r="E3903" t="s">
        <v>479</v>
      </c>
      <c r="F3903" s="4">
        <v>0</v>
      </c>
      <c r="G3903" s="4">
        <v>13</v>
      </c>
      <c r="H3903" s="4">
        <v>0</v>
      </c>
      <c r="I3903" s="4">
        <v>13</v>
      </c>
      <c r="J3903" s="4">
        <v>13</v>
      </c>
    </row>
    <row r="3904" spans="1:10" x14ac:dyDescent="0.75">
      <c r="A3904" t="s">
        <v>151</v>
      </c>
      <c r="B3904">
        <v>4151</v>
      </c>
      <c r="C3904" t="s">
        <v>44</v>
      </c>
      <c r="D3904">
        <v>3291</v>
      </c>
      <c r="E3904" t="s">
        <v>444</v>
      </c>
      <c r="F3904" s="4">
        <v>0</v>
      </c>
      <c r="G3904" s="4">
        <v>12</v>
      </c>
      <c r="H3904" s="4">
        <v>11</v>
      </c>
      <c r="I3904" s="4">
        <v>1</v>
      </c>
      <c r="J3904" s="4">
        <v>12</v>
      </c>
    </row>
    <row r="3905" spans="1:10" x14ac:dyDescent="0.75">
      <c r="A3905" t="s">
        <v>151</v>
      </c>
      <c r="B3905">
        <v>4151</v>
      </c>
      <c r="C3905" t="s">
        <v>44</v>
      </c>
      <c r="D3905">
        <v>3274</v>
      </c>
      <c r="E3905" t="s">
        <v>438</v>
      </c>
      <c r="F3905" s="4">
        <v>0</v>
      </c>
      <c r="G3905" s="4">
        <v>11</v>
      </c>
      <c r="H3905" s="4">
        <v>0</v>
      </c>
      <c r="I3905" s="4">
        <v>11</v>
      </c>
      <c r="J3905" s="4">
        <v>11</v>
      </c>
    </row>
    <row r="3906" spans="1:10" x14ac:dyDescent="0.75">
      <c r="A3906" t="s">
        <v>151</v>
      </c>
      <c r="B3906">
        <v>4151</v>
      </c>
      <c r="C3906" t="s">
        <v>44</v>
      </c>
      <c r="D3906">
        <v>4161</v>
      </c>
      <c r="E3906" t="s">
        <v>421</v>
      </c>
      <c r="F3906" s="4">
        <v>0</v>
      </c>
      <c r="G3906" s="4">
        <v>10</v>
      </c>
      <c r="H3906" s="4">
        <v>10</v>
      </c>
      <c r="I3906" s="4">
        <v>0</v>
      </c>
      <c r="J3906" s="4">
        <v>10</v>
      </c>
    </row>
    <row r="3907" spans="1:10" x14ac:dyDescent="0.75">
      <c r="A3907" t="s">
        <v>151</v>
      </c>
      <c r="B3907">
        <v>4151</v>
      </c>
      <c r="C3907" t="s">
        <v>44</v>
      </c>
      <c r="D3907">
        <v>2211</v>
      </c>
      <c r="E3907" t="s">
        <v>367</v>
      </c>
      <c r="F3907" s="4">
        <v>0</v>
      </c>
      <c r="G3907" s="4">
        <v>6</v>
      </c>
      <c r="H3907" s="4">
        <v>6</v>
      </c>
      <c r="I3907" s="4">
        <v>0</v>
      </c>
      <c r="J3907" s="4">
        <v>6</v>
      </c>
    </row>
    <row r="3908" spans="1:10" x14ac:dyDescent="0.75">
      <c r="A3908" t="s">
        <v>151</v>
      </c>
      <c r="B3908">
        <v>4151</v>
      </c>
      <c r="C3908" t="s">
        <v>44</v>
      </c>
      <c r="D3908">
        <v>3273</v>
      </c>
      <c r="E3908" t="s">
        <v>411</v>
      </c>
      <c r="F3908" s="4">
        <v>0</v>
      </c>
      <c r="G3908" s="4">
        <v>6</v>
      </c>
      <c r="H3908" s="4">
        <v>6</v>
      </c>
      <c r="I3908" s="4">
        <v>0</v>
      </c>
      <c r="J3908" s="4">
        <v>6</v>
      </c>
    </row>
    <row r="3909" spans="1:10" x14ac:dyDescent="0.75">
      <c r="A3909" t="s">
        <v>151</v>
      </c>
      <c r="B3909">
        <v>4151</v>
      </c>
      <c r="C3909" t="s">
        <v>44</v>
      </c>
      <c r="D3909">
        <v>4150</v>
      </c>
      <c r="E3909" t="s">
        <v>450</v>
      </c>
      <c r="F3909" s="4">
        <v>0</v>
      </c>
      <c r="G3909" s="4">
        <v>5</v>
      </c>
      <c r="H3909" s="4">
        <v>5</v>
      </c>
      <c r="I3909" s="4">
        <v>0</v>
      </c>
      <c r="J3909" s="4">
        <v>5</v>
      </c>
    </row>
    <row r="3910" spans="1:10" x14ac:dyDescent="0.75">
      <c r="A3910" t="s">
        <v>163</v>
      </c>
      <c r="B3910">
        <v>2302</v>
      </c>
      <c r="C3910" t="s">
        <v>185</v>
      </c>
      <c r="D3910">
        <v>4331</v>
      </c>
      <c r="E3910" t="s">
        <v>390</v>
      </c>
      <c r="F3910" s="4">
        <v>5147346</v>
      </c>
      <c r="G3910" s="4">
        <v>0</v>
      </c>
      <c r="H3910" s="4">
        <v>0</v>
      </c>
      <c r="I3910" s="4">
        <v>0</v>
      </c>
      <c r="J3910" s="4">
        <v>5147346</v>
      </c>
    </row>
    <row r="3911" spans="1:10" x14ac:dyDescent="0.75">
      <c r="A3911" t="s">
        <v>163</v>
      </c>
      <c r="B3911">
        <v>2302</v>
      </c>
      <c r="C3911" t="s">
        <v>185</v>
      </c>
      <c r="D3911">
        <v>1100</v>
      </c>
      <c r="E3911" t="s">
        <v>397</v>
      </c>
      <c r="F3911" s="4">
        <v>1244458</v>
      </c>
      <c r="G3911" s="4">
        <v>0</v>
      </c>
      <c r="H3911" s="4">
        <v>0</v>
      </c>
      <c r="I3911" s="4">
        <v>0</v>
      </c>
      <c r="J3911" s="4">
        <v>1244458</v>
      </c>
    </row>
    <row r="3912" spans="1:10" x14ac:dyDescent="0.75">
      <c r="A3912" t="s">
        <v>163</v>
      </c>
      <c r="B3912">
        <v>2302</v>
      </c>
      <c r="C3912" t="s">
        <v>185</v>
      </c>
      <c r="D3912">
        <v>2330</v>
      </c>
      <c r="E3912" t="s">
        <v>368</v>
      </c>
      <c r="F3912" s="4">
        <v>440230</v>
      </c>
      <c r="G3912" s="4">
        <v>0</v>
      </c>
      <c r="H3912" s="4">
        <v>0</v>
      </c>
      <c r="I3912" s="4">
        <v>0</v>
      </c>
      <c r="J3912" s="4">
        <v>440230</v>
      </c>
    </row>
    <row r="3913" spans="1:10" x14ac:dyDescent="0.75">
      <c r="A3913" t="s">
        <v>163</v>
      </c>
      <c r="B3913">
        <v>2302</v>
      </c>
      <c r="C3913" t="s">
        <v>185</v>
      </c>
      <c r="D3913">
        <v>2211</v>
      </c>
      <c r="E3913" t="s">
        <v>367</v>
      </c>
      <c r="F3913" s="4">
        <v>348415</v>
      </c>
      <c r="G3913" s="4">
        <v>0</v>
      </c>
      <c r="H3913" s="4">
        <v>0</v>
      </c>
      <c r="I3913" s="4">
        <v>0</v>
      </c>
      <c r="J3913" s="4">
        <v>348415</v>
      </c>
    </row>
    <row r="3914" spans="1:10" x14ac:dyDescent="0.75">
      <c r="A3914" t="s">
        <v>163</v>
      </c>
      <c r="B3914">
        <v>2302</v>
      </c>
      <c r="C3914" t="s">
        <v>185</v>
      </c>
      <c r="D3914">
        <v>2540</v>
      </c>
      <c r="E3914" t="s">
        <v>377</v>
      </c>
      <c r="F3914" s="4">
        <v>244927</v>
      </c>
      <c r="G3914" s="4">
        <v>0</v>
      </c>
      <c r="H3914" s="4">
        <v>0</v>
      </c>
      <c r="I3914" s="4">
        <v>0</v>
      </c>
      <c r="J3914" s="4">
        <v>244927</v>
      </c>
    </row>
    <row r="3915" spans="1:10" x14ac:dyDescent="0.75">
      <c r="A3915" t="s">
        <v>163</v>
      </c>
      <c r="B3915">
        <v>2302</v>
      </c>
      <c r="C3915" t="s">
        <v>185</v>
      </c>
      <c r="D3915">
        <v>5220</v>
      </c>
      <c r="E3915" t="s">
        <v>401</v>
      </c>
      <c r="F3915" s="4">
        <v>75850</v>
      </c>
      <c r="G3915" s="4">
        <v>0</v>
      </c>
      <c r="H3915" s="4">
        <v>0</v>
      </c>
      <c r="I3915" s="4">
        <v>0</v>
      </c>
      <c r="J3915" s="4">
        <v>75850</v>
      </c>
    </row>
    <row r="3916" spans="1:10" x14ac:dyDescent="0.75">
      <c r="A3916" t="s">
        <v>163</v>
      </c>
      <c r="B3916">
        <v>2302</v>
      </c>
      <c r="C3916" t="s">
        <v>185</v>
      </c>
      <c r="D3916">
        <v>2340</v>
      </c>
      <c r="E3916" t="s">
        <v>369</v>
      </c>
      <c r="F3916" s="4">
        <v>46309</v>
      </c>
      <c r="G3916" s="4">
        <v>0</v>
      </c>
      <c r="H3916" s="4">
        <v>0</v>
      </c>
      <c r="I3916" s="4">
        <v>0</v>
      </c>
      <c r="J3916" s="4">
        <v>46309</v>
      </c>
    </row>
    <row r="3917" spans="1:10" x14ac:dyDescent="0.75">
      <c r="A3917" t="s">
        <v>163</v>
      </c>
      <c r="B3917">
        <v>2302</v>
      </c>
      <c r="C3917" t="s">
        <v>185</v>
      </c>
      <c r="D3917">
        <v>3130</v>
      </c>
      <c r="E3917" t="s">
        <v>407</v>
      </c>
      <c r="F3917" s="4">
        <v>23388</v>
      </c>
      <c r="G3917" s="4">
        <v>0</v>
      </c>
      <c r="H3917" s="4">
        <v>0</v>
      </c>
      <c r="I3917" s="4">
        <v>0</v>
      </c>
      <c r="J3917" s="4">
        <v>23388</v>
      </c>
    </row>
    <row r="3918" spans="1:10" x14ac:dyDescent="0.75">
      <c r="A3918" t="s">
        <v>163</v>
      </c>
      <c r="B3918">
        <v>2302</v>
      </c>
      <c r="C3918" t="s">
        <v>185</v>
      </c>
      <c r="D3918">
        <v>6241</v>
      </c>
      <c r="E3918" t="s">
        <v>391</v>
      </c>
      <c r="F3918" s="4">
        <v>16209</v>
      </c>
      <c r="G3918" s="4">
        <v>0</v>
      </c>
      <c r="H3918" s="4">
        <v>0</v>
      </c>
      <c r="I3918" s="4">
        <v>0</v>
      </c>
      <c r="J3918" s="4">
        <v>16209</v>
      </c>
    </row>
    <row r="3919" spans="1:10" x14ac:dyDescent="0.75">
      <c r="A3919" t="s">
        <v>163</v>
      </c>
      <c r="B3919">
        <v>2302</v>
      </c>
      <c r="C3919" t="s">
        <v>185</v>
      </c>
      <c r="D3919">
        <v>1200</v>
      </c>
      <c r="E3919" t="s">
        <v>402</v>
      </c>
      <c r="F3919" s="4">
        <v>13707</v>
      </c>
      <c r="G3919" s="4">
        <v>0</v>
      </c>
      <c r="H3919" s="4">
        <v>0</v>
      </c>
      <c r="I3919" s="4">
        <v>0</v>
      </c>
      <c r="J3919" s="4">
        <v>13707</v>
      </c>
    </row>
    <row r="3920" spans="1:10" x14ac:dyDescent="0.75">
      <c r="A3920" t="s">
        <v>163</v>
      </c>
      <c r="B3920">
        <v>2302</v>
      </c>
      <c r="C3920" t="s">
        <v>185</v>
      </c>
      <c r="D3920">
        <v>6522</v>
      </c>
      <c r="E3920" t="s">
        <v>393</v>
      </c>
      <c r="F3920" s="4">
        <v>10954</v>
      </c>
      <c r="G3920" s="4">
        <v>0</v>
      </c>
      <c r="H3920" s="4">
        <v>0</v>
      </c>
      <c r="I3920" s="4">
        <v>0</v>
      </c>
      <c r="J3920" s="4">
        <v>10954</v>
      </c>
    </row>
    <row r="3921" spans="1:10" x14ac:dyDescent="0.75">
      <c r="A3921" t="s">
        <v>163</v>
      </c>
      <c r="B3921">
        <v>2302</v>
      </c>
      <c r="C3921" t="s">
        <v>185</v>
      </c>
      <c r="D3921">
        <v>4335</v>
      </c>
      <c r="E3921" t="s">
        <v>372</v>
      </c>
      <c r="F3921" s="4">
        <v>10135</v>
      </c>
      <c r="G3921" s="4">
        <v>0</v>
      </c>
      <c r="H3921" s="4">
        <v>0</v>
      </c>
      <c r="I3921" s="4">
        <v>0</v>
      </c>
      <c r="J3921" s="4">
        <v>10135</v>
      </c>
    </row>
    <row r="3922" spans="1:10" x14ac:dyDescent="0.75">
      <c r="A3922" t="s">
        <v>163</v>
      </c>
      <c r="B3922">
        <v>2302</v>
      </c>
      <c r="C3922" t="s">
        <v>185</v>
      </c>
      <c r="D3922">
        <v>3110</v>
      </c>
      <c r="E3922" t="s">
        <v>405</v>
      </c>
      <c r="F3922" s="4">
        <v>9072</v>
      </c>
      <c r="G3922" s="4">
        <v>0</v>
      </c>
      <c r="H3922" s="4">
        <v>0</v>
      </c>
      <c r="I3922" s="4">
        <v>0</v>
      </c>
      <c r="J3922" s="4">
        <v>9072</v>
      </c>
    </row>
    <row r="3923" spans="1:10" x14ac:dyDescent="0.75">
      <c r="A3923" t="s">
        <v>163</v>
      </c>
      <c r="B3923">
        <v>2302</v>
      </c>
      <c r="C3923" t="s">
        <v>185</v>
      </c>
      <c r="D3923">
        <v>5480</v>
      </c>
      <c r="E3923" t="s">
        <v>386</v>
      </c>
      <c r="F3923" s="4">
        <v>6833</v>
      </c>
      <c r="G3923" s="4">
        <v>0</v>
      </c>
      <c r="H3923" s="4">
        <v>0</v>
      </c>
      <c r="I3923" s="4">
        <v>0</v>
      </c>
      <c r="J3923" s="4">
        <v>6833</v>
      </c>
    </row>
    <row r="3924" spans="1:10" x14ac:dyDescent="0.75">
      <c r="A3924" t="s">
        <v>163</v>
      </c>
      <c r="B3924">
        <v>2302</v>
      </c>
      <c r="C3924" t="s">
        <v>185</v>
      </c>
      <c r="D3924">
        <v>6344</v>
      </c>
      <c r="E3924" t="s">
        <v>392</v>
      </c>
      <c r="F3924" s="4">
        <v>5636</v>
      </c>
      <c r="G3924" s="4">
        <v>0</v>
      </c>
      <c r="H3924" s="4">
        <v>0</v>
      </c>
      <c r="I3924" s="4">
        <v>0</v>
      </c>
      <c r="J3924" s="4">
        <v>5636</v>
      </c>
    </row>
    <row r="3925" spans="1:10" x14ac:dyDescent="0.75">
      <c r="A3925" t="s">
        <v>163</v>
      </c>
      <c r="B3925">
        <v>2302</v>
      </c>
      <c r="C3925" t="s">
        <v>185</v>
      </c>
      <c r="D3925">
        <v>3190</v>
      </c>
      <c r="E3925" t="s">
        <v>408</v>
      </c>
      <c r="F3925" s="4">
        <v>4713</v>
      </c>
      <c r="G3925" s="4">
        <v>0</v>
      </c>
      <c r="H3925" s="4">
        <v>0</v>
      </c>
      <c r="I3925" s="4">
        <v>0</v>
      </c>
      <c r="J3925" s="4">
        <v>4713</v>
      </c>
    </row>
    <row r="3926" spans="1:10" x14ac:dyDescent="0.75">
      <c r="A3926" t="s">
        <v>163</v>
      </c>
      <c r="B3926">
        <v>2302</v>
      </c>
      <c r="C3926" t="s">
        <v>185</v>
      </c>
      <c r="D3926">
        <v>3286</v>
      </c>
      <c r="E3926" t="s">
        <v>423</v>
      </c>
      <c r="F3926" s="4">
        <v>4200</v>
      </c>
      <c r="G3926" s="4">
        <v>0</v>
      </c>
      <c r="H3926" s="4">
        <v>0</v>
      </c>
      <c r="I3926" s="4">
        <v>0</v>
      </c>
      <c r="J3926" s="4">
        <v>4200</v>
      </c>
    </row>
    <row r="3927" spans="1:10" x14ac:dyDescent="0.75">
      <c r="A3927" t="s">
        <v>163</v>
      </c>
      <c r="B3927">
        <v>2302</v>
      </c>
      <c r="C3927" t="s">
        <v>185</v>
      </c>
      <c r="D3927">
        <v>3120</v>
      </c>
      <c r="E3927" t="s">
        <v>406</v>
      </c>
      <c r="F3927" s="4">
        <v>3254</v>
      </c>
      <c r="G3927" s="4">
        <v>0</v>
      </c>
      <c r="H3927" s="4">
        <v>0</v>
      </c>
      <c r="I3927" s="4">
        <v>0</v>
      </c>
      <c r="J3927" s="4">
        <v>3254</v>
      </c>
    </row>
    <row r="3928" spans="1:10" x14ac:dyDescent="0.75">
      <c r="A3928" t="s">
        <v>163</v>
      </c>
      <c r="B3928">
        <v>2302</v>
      </c>
      <c r="C3928" t="s">
        <v>185</v>
      </c>
      <c r="D3928">
        <v>2221</v>
      </c>
      <c r="E3928" t="s">
        <v>374</v>
      </c>
      <c r="F3928" s="4">
        <v>1932</v>
      </c>
      <c r="G3928" s="4">
        <v>0</v>
      </c>
      <c r="H3928" s="4">
        <v>0</v>
      </c>
      <c r="I3928" s="4">
        <v>0</v>
      </c>
      <c r="J3928" s="4">
        <v>1932</v>
      </c>
    </row>
    <row r="3929" spans="1:10" x14ac:dyDescent="0.75">
      <c r="A3929" t="s">
        <v>163</v>
      </c>
      <c r="B3929">
        <v>2302</v>
      </c>
      <c r="C3929" t="s">
        <v>185</v>
      </c>
      <c r="D3929">
        <v>4322</v>
      </c>
      <c r="E3929" t="s">
        <v>398</v>
      </c>
      <c r="F3929" s="4">
        <v>1500</v>
      </c>
      <c r="G3929" s="4">
        <v>0</v>
      </c>
      <c r="H3929" s="4">
        <v>0</v>
      </c>
      <c r="I3929" s="4">
        <v>0</v>
      </c>
      <c r="J3929" s="4">
        <v>1500</v>
      </c>
    </row>
    <row r="3930" spans="1:10" x14ac:dyDescent="0.75">
      <c r="A3930" t="s">
        <v>163</v>
      </c>
      <c r="B3930">
        <v>2302</v>
      </c>
      <c r="C3930" t="s">
        <v>185</v>
      </c>
      <c r="D3930">
        <v>6782</v>
      </c>
      <c r="E3930" t="s">
        <v>396</v>
      </c>
      <c r="F3930" s="4">
        <v>1500</v>
      </c>
      <c r="G3930" s="4">
        <v>0</v>
      </c>
      <c r="H3930" s="4">
        <v>0</v>
      </c>
      <c r="I3930" s="4">
        <v>0</v>
      </c>
      <c r="J3930" s="4">
        <v>1500</v>
      </c>
    </row>
    <row r="3931" spans="1:10" x14ac:dyDescent="0.75">
      <c r="A3931" t="s">
        <v>163</v>
      </c>
      <c r="B3931">
        <v>2302</v>
      </c>
      <c r="C3931" t="s">
        <v>185</v>
      </c>
      <c r="D3931">
        <v>4161</v>
      </c>
      <c r="E3931" t="s">
        <v>421</v>
      </c>
      <c r="F3931" s="4">
        <v>1231</v>
      </c>
      <c r="G3931" s="4">
        <v>0</v>
      </c>
      <c r="H3931" s="4">
        <v>0</v>
      </c>
      <c r="I3931" s="4">
        <v>0</v>
      </c>
      <c r="J3931" s="4">
        <v>1231</v>
      </c>
    </row>
    <row r="3932" spans="1:10" x14ac:dyDescent="0.75">
      <c r="A3932" t="s">
        <v>163</v>
      </c>
      <c r="B3932">
        <v>2302</v>
      </c>
      <c r="C3932" t="s">
        <v>185</v>
      </c>
      <c r="D3932">
        <v>5240</v>
      </c>
      <c r="E3932" t="s">
        <v>464</v>
      </c>
      <c r="F3932" s="4">
        <v>80</v>
      </c>
      <c r="G3932" s="4">
        <v>0</v>
      </c>
      <c r="H3932" s="4">
        <v>0</v>
      </c>
      <c r="I3932" s="4">
        <v>0</v>
      </c>
      <c r="J3932" s="4">
        <v>80</v>
      </c>
    </row>
    <row r="3933" spans="1:10" x14ac:dyDescent="0.75">
      <c r="A3933" t="s">
        <v>151</v>
      </c>
      <c r="B3933">
        <v>2441</v>
      </c>
      <c r="C3933" t="s">
        <v>64</v>
      </c>
      <c r="D3933">
        <v>4150</v>
      </c>
      <c r="E3933" t="s">
        <v>450</v>
      </c>
      <c r="F3933" s="4">
        <v>0</v>
      </c>
      <c r="G3933" s="4">
        <v>826501</v>
      </c>
      <c r="H3933" s="4">
        <v>0</v>
      </c>
      <c r="I3933" s="4">
        <v>826501</v>
      </c>
      <c r="J3933" s="4">
        <v>826501</v>
      </c>
    </row>
    <row r="3934" spans="1:10" x14ac:dyDescent="0.75">
      <c r="A3934" t="s">
        <v>151</v>
      </c>
      <c r="B3934">
        <v>2441</v>
      </c>
      <c r="C3934" t="s">
        <v>64</v>
      </c>
      <c r="D3934">
        <v>5421</v>
      </c>
      <c r="E3934" t="s">
        <v>467</v>
      </c>
      <c r="F3934" s="4">
        <v>0</v>
      </c>
      <c r="G3934" s="4">
        <v>387054</v>
      </c>
      <c r="H3934" s="4">
        <v>387014</v>
      </c>
      <c r="I3934" s="4">
        <v>40</v>
      </c>
      <c r="J3934" s="4">
        <v>387054</v>
      </c>
    </row>
    <row r="3935" spans="1:10" x14ac:dyDescent="0.75">
      <c r="A3935" t="s">
        <v>151</v>
      </c>
      <c r="B3935">
        <v>2441</v>
      </c>
      <c r="C3935" t="s">
        <v>64</v>
      </c>
      <c r="D3935">
        <v>2211</v>
      </c>
      <c r="E3935" t="s">
        <v>367</v>
      </c>
      <c r="F3935" s="4">
        <v>280328</v>
      </c>
      <c r="G3935" s="4">
        <v>1</v>
      </c>
      <c r="H3935" s="4">
        <v>0</v>
      </c>
      <c r="I3935" s="4">
        <v>1</v>
      </c>
      <c r="J3935" s="4">
        <v>280329</v>
      </c>
    </row>
    <row r="3936" spans="1:10" x14ac:dyDescent="0.75">
      <c r="A3936" t="s">
        <v>151</v>
      </c>
      <c r="B3936">
        <v>2441</v>
      </c>
      <c r="C3936" t="s">
        <v>64</v>
      </c>
      <c r="D3936">
        <v>5120</v>
      </c>
      <c r="E3936" t="s">
        <v>461</v>
      </c>
      <c r="F3936" s="4">
        <v>0</v>
      </c>
      <c r="G3936" s="4">
        <v>224516</v>
      </c>
      <c r="H3936" s="4">
        <v>748</v>
      </c>
      <c r="I3936" s="4">
        <v>223768</v>
      </c>
      <c r="J3936" s="4">
        <v>224516</v>
      </c>
    </row>
    <row r="3937" spans="1:10" x14ac:dyDescent="0.75">
      <c r="A3937" t="s">
        <v>151</v>
      </c>
      <c r="B3937">
        <v>2441</v>
      </c>
      <c r="C3937" t="s">
        <v>64</v>
      </c>
      <c r="D3937">
        <v>4225</v>
      </c>
      <c r="E3937" t="s">
        <v>380</v>
      </c>
      <c r="F3937" s="4">
        <v>0</v>
      </c>
      <c r="G3937" s="4">
        <v>107035</v>
      </c>
      <c r="H3937" s="4">
        <v>713</v>
      </c>
      <c r="I3937" s="4">
        <v>106322</v>
      </c>
      <c r="J3937" s="4">
        <v>107035</v>
      </c>
    </row>
    <row r="3938" spans="1:10" x14ac:dyDescent="0.75">
      <c r="A3938" t="s">
        <v>151</v>
      </c>
      <c r="B3938">
        <v>2441</v>
      </c>
      <c r="C3938" t="s">
        <v>64</v>
      </c>
      <c r="D3938">
        <v>4322</v>
      </c>
      <c r="E3938" t="s">
        <v>398</v>
      </c>
      <c r="F3938" s="4">
        <v>0</v>
      </c>
      <c r="G3938" s="4">
        <v>82680</v>
      </c>
      <c r="H3938" s="4">
        <v>82680</v>
      </c>
      <c r="I3938" s="4">
        <v>0</v>
      </c>
      <c r="J3938" s="4">
        <v>82680</v>
      </c>
    </row>
    <row r="3939" spans="1:10" x14ac:dyDescent="0.75">
      <c r="A3939" t="s">
        <v>151</v>
      </c>
      <c r="B3939">
        <v>2441</v>
      </c>
      <c r="C3939" t="s">
        <v>64</v>
      </c>
      <c r="D3939">
        <v>2330</v>
      </c>
      <c r="E3939" t="s">
        <v>368</v>
      </c>
      <c r="F3939" s="4">
        <v>79370</v>
      </c>
      <c r="G3939" s="4">
        <v>121</v>
      </c>
      <c r="H3939" s="4">
        <v>2</v>
      </c>
      <c r="I3939" s="4">
        <v>119</v>
      </c>
      <c r="J3939" s="4">
        <v>79491</v>
      </c>
    </row>
    <row r="3940" spans="1:10" x14ac:dyDescent="0.75">
      <c r="A3940" t="s">
        <v>151</v>
      </c>
      <c r="B3940">
        <v>2441</v>
      </c>
      <c r="C3940" t="s">
        <v>64</v>
      </c>
      <c r="D3940">
        <v>2430</v>
      </c>
      <c r="E3940" t="s">
        <v>376</v>
      </c>
      <c r="F3940" s="4">
        <v>68106</v>
      </c>
      <c r="G3940" s="4">
        <v>3</v>
      </c>
      <c r="H3940" s="4">
        <v>0</v>
      </c>
      <c r="I3940" s="4">
        <v>3</v>
      </c>
      <c r="J3940" s="4">
        <v>68109</v>
      </c>
    </row>
    <row r="3941" spans="1:10" x14ac:dyDescent="0.75">
      <c r="A3941" t="s">
        <v>151</v>
      </c>
      <c r="B3941">
        <v>2441</v>
      </c>
      <c r="C3941" t="s">
        <v>64</v>
      </c>
      <c r="D3941">
        <v>2221</v>
      </c>
      <c r="E3941" t="s">
        <v>374</v>
      </c>
      <c r="F3941" s="4">
        <v>54269</v>
      </c>
      <c r="G3941" s="4">
        <v>0</v>
      </c>
      <c r="H3941" s="4">
        <v>0</v>
      </c>
      <c r="I3941" s="4">
        <v>0</v>
      </c>
      <c r="J3941" s="4">
        <v>54269</v>
      </c>
    </row>
    <row r="3942" spans="1:10" x14ac:dyDescent="0.75">
      <c r="A3942" t="s">
        <v>151</v>
      </c>
      <c r="B3942">
        <v>2441</v>
      </c>
      <c r="C3942" t="s">
        <v>64</v>
      </c>
      <c r="D3942">
        <v>4331</v>
      </c>
      <c r="E3942" t="s">
        <v>390</v>
      </c>
      <c r="F3942" s="4">
        <v>38700</v>
      </c>
      <c r="G3942" s="4">
        <v>28</v>
      </c>
      <c r="H3942" s="4">
        <v>5</v>
      </c>
      <c r="I3942" s="4">
        <v>23</v>
      </c>
      <c r="J3942" s="4">
        <v>38728</v>
      </c>
    </row>
    <row r="3943" spans="1:10" x14ac:dyDescent="0.75">
      <c r="A3943" t="s">
        <v>151</v>
      </c>
      <c r="B3943">
        <v>2441</v>
      </c>
      <c r="C3943" t="s">
        <v>64</v>
      </c>
      <c r="D3943">
        <v>6654</v>
      </c>
      <c r="E3943" t="s">
        <v>419</v>
      </c>
      <c r="F3943" s="4">
        <v>0</v>
      </c>
      <c r="G3943" s="4">
        <v>33381</v>
      </c>
      <c r="H3943" s="4">
        <v>30462</v>
      </c>
      <c r="I3943" s="4">
        <v>2919</v>
      </c>
      <c r="J3943" s="4">
        <v>33381</v>
      </c>
    </row>
    <row r="3944" spans="1:10" x14ac:dyDescent="0.75">
      <c r="A3944" t="s">
        <v>151</v>
      </c>
      <c r="B3944">
        <v>2441</v>
      </c>
      <c r="C3944" t="s">
        <v>64</v>
      </c>
      <c r="D3944">
        <v>7500</v>
      </c>
      <c r="E3944" t="s">
        <v>427</v>
      </c>
      <c r="F3944" s="4">
        <v>0</v>
      </c>
      <c r="G3944" s="4">
        <v>29519</v>
      </c>
      <c r="H3944" s="4">
        <v>27230</v>
      </c>
      <c r="I3944" s="4">
        <v>2289</v>
      </c>
      <c r="J3944" s="4">
        <v>29519</v>
      </c>
    </row>
    <row r="3945" spans="1:10" x14ac:dyDescent="0.75">
      <c r="A3945" t="s">
        <v>151</v>
      </c>
      <c r="B3945">
        <v>2441</v>
      </c>
      <c r="C3945" t="s">
        <v>64</v>
      </c>
      <c r="D3945">
        <v>7900</v>
      </c>
      <c r="E3945" t="s">
        <v>388</v>
      </c>
      <c r="F3945" s="4">
        <v>0</v>
      </c>
      <c r="G3945" s="4">
        <v>27656</v>
      </c>
      <c r="H3945" s="4">
        <v>21976</v>
      </c>
      <c r="I3945" s="4">
        <v>5680</v>
      </c>
      <c r="J3945" s="4">
        <v>27656</v>
      </c>
    </row>
    <row r="3946" spans="1:10" x14ac:dyDescent="0.75">
      <c r="A3946" t="s">
        <v>151</v>
      </c>
      <c r="B3946">
        <v>2441</v>
      </c>
      <c r="C3946" t="s">
        <v>64</v>
      </c>
      <c r="D3946">
        <v>4189</v>
      </c>
      <c r="E3946" t="s">
        <v>451</v>
      </c>
      <c r="F3946" s="4">
        <v>0</v>
      </c>
      <c r="G3946" s="4">
        <v>26241</v>
      </c>
      <c r="H3946" s="4">
        <v>20244</v>
      </c>
      <c r="I3946" s="4">
        <v>5997</v>
      </c>
      <c r="J3946" s="4">
        <v>26241</v>
      </c>
    </row>
    <row r="3947" spans="1:10" x14ac:dyDescent="0.75">
      <c r="A3947" t="s">
        <v>151</v>
      </c>
      <c r="B3947">
        <v>2441</v>
      </c>
      <c r="C3947" t="s">
        <v>64</v>
      </c>
      <c r="D3947">
        <v>6865</v>
      </c>
      <c r="E3947" t="s">
        <v>490</v>
      </c>
      <c r="F3947" s="4">
        <v>0</v>
      </c>
      <c r="G3947" s="4">
        <v>22057</v>
      </c>
      <c r="H3947" s="4">
        <v>22057</v>
      </c>
      <c r="I3947" s="4">
        <v>0</v>
      </c>
      <c r="J3947" s="4">
        <v>22057</v>
      </c>
    </row>
    <row r="3948" spans="1:10" x14ac:dyDescent="0.75">
      <c r="A3948" t="s">
        <v>151</v>
      </c>
      <c r="B3948">
        <v>2441</v>
      </c>
      <c r="C3948" t="s">
        <v>64</v>
      </c>
      <c r="D3948">
        <v>6889</v>
      </c>
      <c r="E3948" t="s">
        <v>420</v>
      </c>
      <c r="F3948" s="4">
        <v>0</v>
      </c>
      <c r="G3948" s="4">
        <v>15192</v>
      </c>
      <c r="H3948" s="4">
        <v>4048</v>
      </c>
      <c r="I3948" s="4">
        <v>11144</v>
      </c>
      <c r="J3948" s="4">
        <v>15192</v>
      </c>
    </row>
    <row r="3949" spans="1:10" x14ac:dyDescent="0.75">
      <c r="A3949" t="s">
        <v>151</v>
      </c>
      <c r="B3949">
        <v>2441</v>
      </c>
      <c r="C3949" t="s">
        <v>64</v>
      </c>
      <c r="D3949">
        <v>3285</v>
      </c>
      <c r="E3949" t="s">
        <v>443</v>
      </c>
      <c r="F3949" s="4">
        <v>0</v>
      </c>
      <c r="G3949" s="4">
        <v>14700</v>
      </c>
      <c r="H3949" s="4">
        <v>41</v>
      </c>
      <c r="I3949" s="4">
        <v>14659</v>
      </c>
      <c r="J3949" s="4">
        <v>14700</v>
      </c>
    </row>
    <row r="3950" spans="1:10" x14ac:dyDescent="0.75">
      <c r="A3950" t="s">
        <v>151</v>
      </c>
      <c r="B3950">
        <v>2441</v>
      </c>
      <c r="C3950" t="s">
        <v>64</v>
      </c>
      <c r="D3950">
        <v>7600</v>
      </c>
      <c r="E3950" t="s">
        <v>503</v>
      </c>
      <c r="F3950" s="4">
        <v>0</v>
      </c>
      <c r="G3950" s="4">
        <v>10652</v>
      </c>
      <c r="H3950" s="4">
        <v>1930</v>
      </c>
      <c r="I3950" s="4">
        <v>8722</v>
      </c>
      <c r="J3950" s="4">
        <v>10652</v>
      </c>
    </row>
    <row r="3951" spans="1:10" x14ac:dyDescent="0.75">
      <c r="A3951" t="s">
        <v>151</v>
      </c>
      <c r="B3951">
        <v>2441</v>
      </c>
      <c r="C3951" t="s">
        <v>64</v>
      </c>
      <c r="D3951">
        <v>6134</v>
      </c>
      <c r="E3951" t="s">
        <v>470</v>
      </c>
      <c r="F3951" s="4">
        <v>0</v>
      </c>
      <c r="G3951" s="4">
        <v>10626</v>
      </c>
      <c r="H3951" s="4">
        <v>10252</v>
      </c>
      <c r="I3951" s="4">
        <v>374</v>
      </c>
      <c r="J3951" s="4">
        <v>10626</v>
      </c>
    </row>
    <row r="3952" spans="1:10" x14ac:dyDescent="0.75">
      <c r="A3952" t="s">
        <v>151</v>
      </c>
      <c r="B3952">
        <v>2441</v>
      </c>
      <c r="C3952" t="s">
        <v>64</v>
      </c>
      <c r="D3952">
        <v>6857</v>
      </c>
      <c r="E3952" t="s">
        <v>487</v>
      </c>
      <c r="F3952" s="4">
        <v>0</v>
      </c>
      <c r="G3952" s="4">
        <v>9919</v>
      </c>
      <c r="H3952" s="4">
        <v>9891</v>
      </c>
      <c r="I3952" s="4">
        <v>28</v>
      </c>
      <c r="J3952" s="4">
        <v>9919</v>
      </c>
    </row>
    <row r="3953" spans="1:10" x14ac:dyDescent="0.75">
      <c r="A3953" t="s">
        <v>151</v>
      </c>
      <c r="B3953">
        <v>2441</v>
      </c>
      <c r="C3953" t="s">
        <v>64</v>
      </c>
      <c r="D3953">
        <v>3286</v>
      </c>
      <c r="E3953" t="s">
        <v>423</v>
      </c>
      <c r="F3953" s="4">
        <v>0</v>
      </c>
      <c r="G3953" s="4">
        <v>9762</v>
      </c>
      <c r="H3953" s="4">
        <v>7600</v>
      </c>
      <c r="I3953" s="4">
        <v>2162</v>
      </c>
      <c r="J3953" s="4">
        <v>9762</v>
      </c>
    </row>
    <row r="3954" spans="1:10" x14ac:dyDescent="0.75">
      <c r="A3954" t="s">
        <v>151</v>
      </c>
      <c r="B3954">
        <v>2441</v>
      </c>
      <c r="C3954" t="s">
        <v>64</v>
      </c>
      <c r="D3954">
        <v>7110</v>
      </c>
      <c r="E3954" t="s">
        <v>371</v>
      </c>
      <c r="F3954" s="4">
        <v>374</v>
      </c>
      <c r="G3954" s="4">
        <v>8677</v>
      </c>
      <c r="H3954" s="4">
        <v>2116</v>
      </c>
      <c r="I3954" s="4">
        <v>6561</v>
      </c>
      <c r="J3954" s="4">
        <v>9051</v>
      </c>
    </row>
    <row r="3955" spans="1:10" x14ac:dyDescent="0.75">
      <c r="A3955" t="s">
        <v>151</v>
      </c>
      <c r="B3955">
        <v>2441</v>
      </c>
      <c r="C3955" t="s">
        <v>64</v>
      </c>
      <c r="D3955">
        <v>5330</v>
      </c>
      <c r="E3955" t="s">
        <v>385</v>
      </c>
      <c r="F3955" s="4">
        <v>7479</v>
      </c>
      <c r="G3955" s="4">
        <v>58</v>
      </c>
      <c r="H3955" s="4">
        <v>12</v>
      </c>
      <c r="I3955" s="4">
        <v>46</v>
      </c>
      <c r="J3955" s="4">
        <v>7537</v>
      </c>
    </row>
    <row r="3956" spans="1:10" x14ac:dyDescent="0.75">
      <c r="A3956" t="s">
        <v>151</v>
      </c>
      <c r="B3956">
        <v>2441</v>
      </c>
      <c r="C3956" t="s">
        <v>64</v>
      </c>
      <c r="D3956">
        <v>4783</v>
      </c>
      <c r="E3956" t="s">
        <v>382</v>
      </c>
      <c r="F3956" s="4">
        <v>0</v>
      </c>
      <c r="G3956" s="4">
        <v>5227</v>
      </c>
      <c r="H3956" s="4">
        <v>636</v>
      </c>
      <c r="I3956" s="4">
        <v>4591</v>
      </c>
      <c r="J3956" s="4">
        <v>5227</v>
      </c>
    </row>
    <row r="3957" spans="1:10" x14ac:dyDescent="0.75">
      <c r="A3957" t="s">
        <v>151</v>
      </c>
      <c r="B3957">
        <v>2441</v>
      </c>
      <c r="C3957" t="s">
        <v>64</v>
      </c>
      <c r="D3957">
        <v>7400</v>
      </c>
      <c r="E3957" t="s">
        <v>502</v>
      </c>
      <c r="F3957" s="4">
        <v>0</v>
      </c>
      <c r="G3957" s="4">
        <v>5184</v>
      </c>
      <c r="H3957" s="4">
        <v>220</v>
      </c>
      <c r="I3957" s="4">
        <v>4964</v>
      </c>
      <c r="J3957" s="4">
        <v>5184</v>
      </c>
    </row>
    <row r="3958" spans="1:10" x14ac:dyDescent="0.75">
      <c r="A3958" t="s">
        <v>151</v>
      </c>
      <c r="B3958">
        <v>2441</v>
      </c>
      <c r="C3958" t="s">
        <v>64</v>
      </c>
      <c r="D3958">
        <v>9900</v>
      </c>
      <c r="E3958" t="s">
        <v>389</v>
      </c>
      <c r="F3958" s="4">
        <v>0</v>
      </c>
      <c r="G3958" s="4">
        <v>5100</v>
      </c>
      <c r="H3958" s="4">
        <v>188</v>
      </c>
      <c r="I3958" s="4">
        <v>4912</v>
      </c>
      <c r="J3958" s="4">
        <v>5100</v>
      </c>
    </row>
    <row r="3959" spans="1:10" x14ac:dyDescent="0.75">
      <c r="A3959" t="s">
        <v>151</v>
      </c>
      <c r="B3959">
        <v>2441</v>
      </c>
      <c r="C3959" t="s">
        <v>64</v>
      </c>
      <c r="D3959">
        <v>7210</v>
      </c>
      <c r="E3959" t="s">
        <v>426</v>
      </c>
      <c r="F3959" s="4">
        <v>0</v>
      </c>
      <c r="G3959" s="4">
        <v>3896</v>
      </c>
      <c r="H3959" s="4">
        <v>3413</v>
      </c>
      <c r="I3959" s="4">
        <v>483</v>
      </c>
      <c r="J3959" s="4">
        <v>3896</v>
      </c>
    </row>
    <row r="3960" spans="1:10" x14ac:dyDescent="0.75">
      <c r="A3960" t="s">
        <v>151</v>
      </c>
      <c r="B3960">
        <v>2441</v>
      </c>
      <c r="C3960" t="s">
        <v>64</v>
      </c>
      <c r="D3960">
        <v>5290</v>
      </c>
      <c r="E3960" t="s">
        <v>415</v>
      </c>
      <c r="F3960" s="4">
        <v>0</v>
      </c>
      <c r="G3960" s="4">
        <v>3712</v>
      </c>
      <c r="H3960" s="4">
        <v>3477</v>
      </c>
      <c r="I3960" s="4">
        <v>235</v>
      </c>
      <c r="J3960" s="4">
        <v>3712</v>
      </c>
    </row>
    <row r="3961" spans="1:10" x14ac:dyDescent="0.75">
      <c r="A3961" t="s">
        <v>151</v>
      </c>
      <c r="B3961">
        <v>2441</v>
      </c>
      <c r="C3961" t="s">
        <v>64</v>
      </c>
      <c r="D3961">
        <v>6885</v>
      </c>
      <c r="E3961" t="s">
        <v>493</v>
      </c>
      <c r="F3961" s="4">
        <v>0</v>
      </c>
      <c r="G3961" s="4">
        <v>3213</v>
      </c>
      <c r="H3961" s="4">
        <v>2008</v>
      </c>
      <c r="I3961" s="4">
        <v>1205</v>
      </c>
      <c r="J3961" s="4">
        <v>3213</v>
      </c>
    </row>
    <row r="3962" spans="1:10" x14ac:dyDescent="0.75">
      <c r="A3962" t="s">
        <v>151</v>
      </c>
      <c r="B3962">
        <v>2441</v>
      </c>
      <c r="C3962" t="s">
        <v>64</v>
      </c>
      <c r="D3962">
        <v>5480</v>
      </c>
      <c r="E3962" t="s">
        <v>386</v>
      </c>
      <c r="F3962" s="4">
        <v>0</v>
      </c>
      <c r="G3962" s="4">
        <v>2907</v>
      </c>
      <c r="H3962" s="4">
        <v>2168</v>
      </c>
      <c r="I3962" s="4">
        <v>739</v>
      </c>
      <c r="J3962" s="4">
        <v>2907</v>
      </c>
    </row>
    <row r="3963" spans="1:10" x14ac:dyDescent="0.75">
      <c r="A3963" t="s">
        <v>151</v>
      </c>
      <c r="B3963">
        <v>2441</v>
      </c>
      <c r="C3963" t="s">
        <v>64</v>
      </c>
      <c r="D3963">
        <v>6893</v>
      </c>
      <c r="E3963" t="s">
        <v>496</v>
      </c>
      <c r="F3963" s="4">
        <v>0</v>
      </c>
      <c r="G3963" s="4">
        <v>2569</v>
      </c>
      <c r="H3963" s="4">
        <v>203</v>
      </c>
      <c r="I3963" s="4">
        <v>2366</v>
      </c>
      <c r="J3963" s="4">
        <v>2569</v>
      </c>
    </row>
    <row r="3964" spans="1:10" x14ac:dyDescent="0.75">
      <c r="A3964" t="s">
        <v>151</v>
      </c>
      <c r="B3964">
        <v>2441</v>
      </c>
      <c r="C3964" t="s">
        <v>64</v>
      </c>
      <c r="D3964">
        <v>5240</v>
      </c>
      <c r="E3964" t="s">
        <v>464</v>
      </c>
      <c r="F3964" s="4">
        <v>0</v>
      </c>
      <c r="G3964" s="4">
        <v>2214</v>
      </c>
      <c r="H3964" s="4">
        <v>2020</v>
      </c>
      <c r="I3964" s="4">
        <v>194</v>
      </c>
      <c r="J3964" s="4">
        <v>2214</v>
      </c>
    </row>
    <row r="3965" spans="1:10" x14ac:dyDescent="0.75">
      <c r="A3965" t="s">
        <v>151</v>
      </c>
      <c r="B3965">
        <v>2441</v>
      </c>
      <c r="C3965" t="s">
        <v>64</v>
      </c>
      <c r="D3965">
        <v>3219</v>
      </c>
      <c r="E3965" t="s">
        <v>378</v>
      </c>
      <c r="F3965" s="4">
        <v>0</v>
      </c>
      <c r="G3965" s="4">
        <v>2029</v>
      </c>
      <c r="H3965" s="4">
        <v>0</v>
      </c>
      <c r="I3965" s="4">
        <v>2029</v>
      </c>
      <c r="J3965" s="4">
        <v>2029</v>
      </c>
    </row>
    <row r="3966" spans="1:10" x14ac:dyDescent="0.75">
      <c r="A3966" t="s">
        <v>151</v>
      </c>
      <c r="B3966">
        <v>2441</v>
      </c>
      <c r="C3966" t="s">
        <v>64</v>
      </c>
      <c r="D3966">
        <v>3299</v>
      </c>
      <c r="E3966" t="s">
        <v>448</v>
      </c>
      <c r="F3966" s="4">
        <v>0</v>
      </c>
      <c r="G3966" s="4">
        <v>1676</v>
      </c>
      <c r="H3966" s="4">
        <v>21</v>
      </c>
      <c r="I3966" s="4">
        <v>1655</v>
      </c>
      <c r="J3966" s="4">
        <v>1676</v>
      </c>
    </row>
    <row r="3967" spans="1:10" x14ac:dyDescent="0.75">
      <c r="A3967" t="s">
        <v>151</v>
      </c>
      <c r="B3967">
        <v>2441</v>
      </c>
      <c r="C3967" t="s">
        <v>64</v>
      </c>
      <c r="D3967">
        <v>2340</v>
      </c>
      <c r="E3967" t="s">
        <v>369</v>
      </c>
      <c r="F3967" s="4">
        <v>1524</v>
      </c>
      <c r="G3967" s="4">
        <v>0</v>
      </c>
      <c r="H3967" s="4">
        <v>0</v>
      </c>
      <c r="I3967" s="4">
        <v>0</v>
      </c>
      <c r="J3967" s="4">
        <v>1524</v>
      </c>
    </row>
    <row r="3968" spans="1:10" x14ac:dyDescent="0.75">
      <c r="A3968" t="s">
        <v>151</v>
      </c>
      <c r="B3968">
        <v>2441</v>
      </c>
      <c r="C3968" t="s">
        <v>64</v>
      </c>
      <c r="D3968">
        <v>5110</v>
      </c>
      <c r="E3968" t="s">
        <v>460</v>
      </c>
      <c r="F3968" s="4">
        <v>0</v>
      </c>
      <c r="G3968" s="4">
        <v>1499</v>
      </c>
      <c r="H3968" s="4">
        <v>0</v>
      </c>
      <c r="I3968" s="4">
        <v>1499</v>
      </c>
      <c r="J3968" s="4">
        <v>1499</v>
      </c>
    </row>
    <row r="3969" spans="1:10" x14ac:dyDescent="0.75">
      <c r="A3969" t="s">
        <v>151</v>
      </c>
      <c r="B3969">
        <v>2441</v>
      </c>
      <c r="C3969" t="s">
        <v>64</v>
      </c>
      <c r="D3969">
        <v>6861</v>
      </c>
      <c r="E3969" t="s">
        <v>489</v>
      </c>
      <c r="F3969" s="4">
        <v>0</v>
      </c>
      <c r="G3969" s="4">
        <v>1352</v>
      </c>
      <c r="H3969" s="4">
        <v>1352</v>
      </c>
      <c r="I3969" s="4">
        <v>0</v>
      </c>
      <c r="J3969" s="4">
        <v>1352</v>
      </c>
    </row>
    <row r="3970" spans="1:10" x14ac:dyDescent="0.75">
      <c r="A3970" t="s">
        <v>151</v>
      </c>
      <c r="B3970">
        <v>2441</v>
      </c>
      <c r="C3970" t="s">
        <v>64</v>
      </c>
      <c r="D3970">
        <v>7120</v>
      </c>
      <c r="E3970" t="s">
        <v>499</v>
      </c>
      <c r="F3970" s="4">
        <v>0</v>
      </c>
      <c r="G3970" s="4">
        <v>1338</v>
      </c>
      <c r="H3970" s="4">
        <v>393</v>
      </c>
      <c r="I3970" s="4">
        <v>945</v>
      </c>
      <c r="J3970" s="4">
        <v>1338</v>
      </c>
    </row>
    <row r="3971" spans="1:10" x14ac:dyDescent="0.75">
      <c r="A3971" t="s">
        <v>151</v>
      </c>
      <c r="B3971">
        <v>2441</v>
      </c>
      <c r="C3971" t="s">
        <v>64</v>
      </c>
      <c r="D3971">
        <v>5190</v>
      </c>
      <c r="E3971" t="s">
        <v>462</v>
      </c>
      <c r="F3971" s="4">
        <v>0</v>
      </c>
      <c r="G3971" s="4">
        <v>1249</v>
      </c>
      <c r="H3971" s="4">
        <v>926</v>
      </c>
      <c r="I3971" s="4">
        <v>323</v>
      </c>
      <c r="J3971" s="4">
        <v>1249</v>
      </c>
    </row>
    <row r="3972" spans="1:10" x14ac:dyDescent="0.75">
      <c r="A3972" t="s">
        <v>151</v>
      </c>
      <c r="B3972">
        <v>2441</v>
      </c>
      <c r="C3972" t="s">
        <v>64</v>
      </c>
      <c r="D3972">
        <v>4680</v>
      </c>
      <c r="E3972" t="s">
        <v>459</v>
      </c>
      <c r="F3972" s="4">
        <v>0</v>
      </c>
      <c r="G3972" s="4">
        <v>995</v>
      </c>
      <c r="H3972" s="4">
        <v>995</v>
      </c>
      <c r="I3972" s="4">
        <v>0</v>
      </c>
      <c r="J3972" s="4">
        <v>995</v>
      </c>
    </row>
    <row r="3973" spans="1:10" x14ac:dyDescent="0.75">
      <c r="A3973" t="s">
        <v>151</v>
      </c>
      <c r="B3973">
        <v>2441</v>
      </c>
      <c r="C3973" t="s">
        <v>64</v>
      </c>
      <c r="D3973">
        <v>3276</v>
      </c>
      <c r="E3973" t="s">
        <v>379</v>
      </c>
      <c r="F3973" s="4">
        <v>0</v>
      </c>
      <c r="G3973" s="4">
        <v>951</v>
      </c>
      <c r="H3973" s="4">
        <v>826</v>
      </c>
      <c r="I3973" s="4">
        <v>125</v>
      </c>
      <c r="J3973" s="4">
        <v>951</v>
      </c>
    </row>
    <row r="3974" spans="1:10" x14ac:dyDescent="0.75">
      <c r="A3974" t="s">
        <v>151</v>
      </c>
      <c r="B3974">
        <v>2441</v>
      </c>
      <c r="C3974" t="s">
        <v>64</v>
      </c>
      <c r="D3974">
        <v>3284</v>
      </c>
      <c r="E3974" t="s">
        <v>442</v>
      </c>
      <c r="F3974" s="4">
        <v>0</v>
      </c>
      <c r="G3974" s="4">
        <v>880</v>
      </c>
      <c r="H3974" s="4">
        <v>879</v>
      </c>
      <c r="I3974" s="4">
        <v>1</v>
      </c>
      <c r="J3974" s="4">
        <v>880</v>
      </c>
    </row>
    <row r="3975" spans="1:10" x14ac:dyDescent="0.75">
      <c r="A3975" t="s">
        <v>151</v>
      </c>
      <c r="B3975">
        <v>2441</v>
      </c>
      <c r="C3975" t="s">
        <v>64</v>
      </c>
      <c r="D3975">
        <v>5540</v>
      </c>
      <c r="E3975" t="s">
        <v>469</v>
      </c>
      <c r="F3975" s="4">
        <v>0</v>
      </c>
      <c r="G3975" s="4">
        <v>790</v>
      </c>
      <c r="H3975" s="4">
        <v>105</v>
      </c>
      <c r="I3975" s="4">
        <v>685</v>
      </c>
      <c r="J3975" s="4">
        <v>790</v>
      </c>
    </row>
    <row r="3976" spans="1:10" x14ac:dyDescent="0.75">
      <c r="A3976" t="s">
        <v>151</v>
      </c>
      <c r="B3976">
        <v>2441</v>
      </c>
      <c r="C3976" t="s">
        <v>64</v>
      </c>
      <c r="D3976">
        <v>6817</v>
      </c>
      <c r="E3976" t="s">
        <v>481</v>
      </c>
      <c r="F3976" s="4">
        <v>0</v>
      </c>
      <c r="G3976" s="4">
        <v>562</v>
      </c>
      <c r="H3976" s="4">
        <v>19</v>
      </c>
      <c r="I3976" s="4">
        <v>543</v>
      </c>
      <c r="J3976" s="4">
        <v>562</v>
      </c>
    </row>
    <row r="3977" spans="1:10" x14ac:dyDescent="0.75">
      <c r="A3977" t="s">
        <v>151</v>
      </c>
      <c r="B3977">
        <v>2441</v>
      </c>
      <c r="C3977" t="s">
        <v>64</v>
      </c>
      <c r="D3977">
        <v>6782</v>
      </c>
      <c r="E3977" t="s">
        <v>396</v>
      </c>
      <c r="F3977" s="4">
        <v>0</v>
      </c>
      <c r="G3977" s="4">
        <v>508</v>
      </c>
      <c r="H3977" s="4">
        <v>51</v>
      </c>
      <c r="I3977" s="4">
        <v>457</v>
      </c>
      <c r="J3977" s="4">
        <v>508</v>
      </c>
    </row>
    <row r="3978" spans="1:10" x14ac:dyDescent="0.75">
      <c r="A3978" t="s">
        <v>151</v>
      </c>
      <c r="B3978">
        <v>2441</v>
      </c>
      <c r="C3978" t="s">
        <v>64</v>
      </c>
      <c r="D3978">
        <v>6747</v>
      </c>
      <c r="E3978" t="s">
        <v>478</v>
      </c>
      <c r="F3978" s="4">
        <v>0</v>
      </c>
      <c r="G3978" s="4">
        <v>492</v>
      </c>
      <c r="H3978" s="4">
        <v>44</v>
      </c>
      <c r="I3978" s="4">
        <v>448</v>
      </c>
      <c r="J3978" s="4">
        <v>492</v>
      </c>
    </row>
    <row r="3979" spans="1:10" x14ac:dyDescent="0.75">
      <c r="A3979" t="s">
        <v>151</v>
      </c>
      <c r="B3979">
        <v>2441</v>
      </c>
      <c r="C3979" t="s">
        <v>64</v>
      </c>
      <c r="D3979">
        <v>3279</v>
      </c>
      <c r="E3979" t="s">
        <v>422</v>
      </c>
      <c r="F3979" s="4">
        <v>0</v>
      </c>
      <c r="G3979" s="4">
        <v>448</v>
      </c>
      <c r="H3979" s="4">
        <v>21</v>
      </c>
      <c r="I3979" s="4">
        <v>427</v>
      </c>
      <c r="J3979" s="4">
        <v>448</v>
      </c>
    </row>
    <row r="3980" spans="1:10" x14ac:dyDescent="0.75">
      <c r="A3980" t="s">
        <v>151</v>
      </c>
      <c r="B3980">
        <v>2441</v>
      </c>
      <c r="C3980" t="s">
        <v>64</v>
      </c>
      <c r="D3980">
        <v>6811</v>
      </c>
      <c r="E3980" t="s">
        <v>480</v>
      </c>
      <c r="F3980" s="4">
        <v>0</v>
      </c>
      <c r="G3980" s="4">
        <v>392</v>
      </c>
      <c r="H3980" s="4">
        <v>0</v>
      </c>
      <c r="I3980" s="4">
        <v>392</v>
      </c>
      <c r="J3980" s="4">
        <v>392</v>
      </c>
    </row>
    <row r="3981" spans="1:10" x14ac:dyDescent="0.75">
      <c r="A3981" t="s">
        <v>151</v>
      </c>
      <c r="B3981">
        <v>2441</v>
      </c>
      <c r="C3981" t="s">
        <v>64</v>
      </c>
      <c r="D3981">
        <v>4782</v>
      </c>
      <c r="E3981" t="s">
        <v>414</v>
      </c>
      <c r="F3981" s="4">
        <v>0</v>
      </c>
      <c r="G3981" s="4">
        <v>342</v>
      </c>
      <c r="H3981" s="4">
        <v>0</v>
      </c>
      <c r="I3981" s="4">
        <v>342</v>
      </c>
      <c r="J3981" s="4">
        <v>342</v>
      </c>
    </row>
    <row r="3982" spans="1:10" x14ac:dyDescent="0.75">
      <c r="A3982" t="s">
        <v>151</v>
      </c>
      <c r="B3982">
        <v>2441</v>
      </c>
      <c r="C3982" t="s">
        <v>64</v>
      </c>
      <c r="D3982">
        <v>6136</v>
      </c>
      <c r="E3982" t="s">
        <v>471</v>
      </c>
      <c r="F3982" s="4">
        <v>0</v>
      </c>
      <c r="G3982" s="4">
        <v>310</v>
      </c>
      <c r="H3982" s="4">
        <v>145</v>
      </c>
      <c r="I3982" s="4">
        <v>165</v>
      </c>
      <c r="J3982" s="4">
        <v>310</v>
      </c>
    </row>
    <row r="3983" spans="1:10" x14ac:dyDescent="0.75">
      <c r="A3983" t="s">
        <v>151</v>
      </c>
      <c r="B3983">
        <v>2441</v>
      </c>
      <c r="C3983" t="s">
        <v>64</v>
      </c>
      <c r="D3983">
        <v>3260</v>
      </c>
      <c r="E3983" t="s">
        <v>436</v>
      </c>
      <c r="F3983" s="4">
        <v>0</v>
      </c>
      <c r="G3983" s="4">
        <v>274</v>
      </c>
      <c r="H3983" s="4">
        <v>76</v>
      </c>
      <c r="I3983" s="4">
        <v>198</v>
      </c>
      <c r="J3983" s="4">
        <v>274</v>
      </c>
    </row>
    <row r="3984" spans="1:10" x14ac:dyDescent="0.75">
      <c r="A3984" t="s">
        <v>151</v>
      </c>
      <c r="B3984">
        <v>2441</v>
      </c>
      <c r="C3984" t="s">
        <v>64</v>
      </c>
      <c r="D3984">
        <v>4170</v>
      </c>
      <c r="E3984" t="s">
        <v>424</v>
      </c>
      <c r="F3984" s="4">
        <v>0</v>
      </c>
      <c r="G3984" s="4">
        <v>273</v>
      </c>
      <c r="H3984" s="4">
        <v>0</v>
      </c>
      <c r="I3984" s="4">
        <v>273</v>
      </c>
      <c r="J3984" s="4">
        <v>273</v>
      </c>
    </row>
    <row r="3985" spans="1:10" x14ac:dyDescent="0.75">
      <c r="A3985" t="s">
        <v>151</v>
      </c>
      <c r="B3985">
        <v>2441</v>
      </c>
      <c r="C3985" t="s">
        <v>64</v>
      </c>
      <c r="D3985">
        <v>6822</v>
      </c>
      <c r="E3985" t="s">
        <v>482</v>
      </c>
      <c r="F3985" s="4">
        <v>0</v>
      </c>
      <c r="G3985" s="4">
        <v>222</v>
      </c>
      <c r="H3985" s="4">
        <v>40</v>
      </c>
      <c r="I3985" s="4">
        <v>182</v>
      </c>
      <c r="J3985" s="4">
        <v>222</v>
      </c>
    </row>
    <row r="3986" spans="1:10" x14ac:dyDescent="0.75">
      <c r="A3986" t="s">
        <v>151</v>
      </c>
      <c r="B3986">
        <v>2441</v>
      </c>
      <c r="C3986" t="s">
        <v>64</v>
      </c>
      <c r="D3986">
        <v>3275</v>
      </c>
      <c r="E3986" t="s">
        <v>412</v>
      </c>
      <c r="F3986" s="4">
        <v>0</v>
      </c>
      <c r="G3986" s="4">
        <v>188</v>
      </c>
      <c r="H3986" s="4">
        <v>85</v>
      </c>
      <c r="I3986" s="4">
        <v>103</v>
      </c>
      <c r="J3986" s="4">
        <v>188</v>
      </c>
    </row>
    <row r="3987" spans="1:10" x14ac:dyDescent="0.75">
      <c r="A3987" t="s">
        <v>151</v>
      </c>
      <c r="B3987">
        <v>2441</v>
      </c>
      <c r="C3987" t="s">
        <v>64</v>
      </c>
      <c r="D3987">
        <v>6899</v>
      </c>
      <c r="E3987" t="s">
        <v>498</v>
      </c>
      <c r="F3987" s="4">
        <v>0</v>
      </c>
      <c r="G3987" s="4">
        <v>183</v>
      </c>
      <c r="H3987" s="4">
        <v>38</v>
      </c>
      <c r="I3987" s="4">
        <v>145</v>
      </c>
      <c r="J3987" s="4">
        <v>183</v>
      </c>
    </row>
    <row r="3988" spans="1:10" x14ac:dyDescent="0.75">
      <c r="A3988" t="s">
        <v>151</v>
      </c>
      <c r="B3988">
        <v>2441</v>
      </c>
      <c r="C3988" t="s">
        <v>64</v>
      </c>
      <c r="D3988">
        <v>6835</v>
      </c>
      <c r="E3988" t="s">
        <v>483</v>
      </c>
      <c r="F3988" s="4">
        <v>0</v>
      </c>
      <c r="G3988" s="4">
        <v>161</v>
      </c>
      <c r="H3988" s="4">
        <v>161</v>
      </c>
      <c r="I3988" s="4">
        <v>0</v>
      </c>
      <c r="J3988" s="4">
        <v>161</v>
      </c>
    </row>
    <row r="3989" spans="1:10" x14ac:dyDescent="0.75">
      <c r="A3989" t="s">
        <v>151</v>
      </c>
      <c r="B3989">
        <v>2441</v>
      </c>
      <c r="C3989" t="s">
        <v>64</v>
      </c>
      <c r="D3989">
        <v>4650</v>
      </c>
      <c r="E3989" t="s">
        <v>457</v>
      </c>
      <c r="F3989" s="4">
        <v>0</v>
      </c>
      <c r="G3989" s="4">
        <v>157</v>
      </c>
      <c r="H3989" s="4">
        <v>0</v>
      </c>
      <c r="I3989" s="4">
        <v>157</v>
      </c>
      <c r="J3989" s="4">
        <v>157</v>
      </c>
    </row>
    <row r="3990" spans="1:10" x14ac:dyDescent="0.75">
      <c r="A3990" t="s">
        <v>151</v>
      </c>
      <c r="B3990">
        <v>2441</v>
      </c>
      <c r="C3990" t="s">
        <v>64</v>
      </c>
      <c r="D3990">
        <v>3220</v>
      </c>
      <c r="E3990" t="s">
        <v>370</v>
      </c>
      <c r="F3990" s="4">
        <v>0</v>
      </c>
      <c r="G3990" s="4">
        <v>156</v>
      </c>
      <c r="H3990" s="4">
        <v>0</v>
      </c>
      <c r="I3990" s="4">
        <v>156</v>
      </c>
      <c r="J3990" s="4">
        <v>156</v>
      </c>
    </row>
    <row r="3991" spans="1:10" x14ac:dyDescent="0.75">
      <c r="A3991" t="s">
        <v>151</v>
      </c>
      <c r="B3991">
        <v>2441</v>
      </c>
      <c r="C3991" t="s">
        <v>64</v>
      </c>
      <c r="D3991">
        <v>5422</v>
      </c>
      <c r="E3991" t="s">
        <v>468</v>
      </c>
      <c r="F3991" s="4">
        <v>0</v>
      </c>
      <c r="G3991" s="4">
        <v>146</v>
      </c>
      <c r="H3991" s="4">
        <v>0</v>
      </c>
      <c r="I3991" s="4">
        <v>146</v>
      </c>
      <c r="J3991" s="4">
        <v>146</v>
      </c>
    </row>
    <row r="3992" spans="1:10" x14ac:dyDescent="0.75">
      <c r="A3992" t="s">
        <v>151</v>
      </c>
      <c r="B3992">
        <v>2441</v>
      </c>
      <c r="C3992" t="s">
        <v>64</v>
      </c>
      <c r="D3992">
        <v>5220</v>
      </c>
      <c r="E3992" t="s">
        <v>401</v>
      </c>
      <c r="F3992" s="4">
        <v>0</v>
      </c>
      <c r="G3992" s="4">
        <v>136</v>
      </c>
      <c r="H3992" s="4">
        <v>0</v>
      </c>
      <c r="I3992" s="4">
        <v>136</v>
      </c>
      <c r="J3992" s="4">
        <v>136</v>
      </c>
    </row>
    <row r="3993" spans="1:10" x14ac:dyDescent="0.75">
      <c r="A3993" t="s">
        <v>151</v>
      </c>
      <c r="B3993">
        <v>2441</v>
      </c>
      <c r="C3993" t="s">
        <v>64</v>
      </c>
      <c r="D3993">
        <v>3292</v>
      </c>
      <c r="E3993" t="s">
        <v>413</v>
      </c>
      <c r="F3993" s="4">
        <v>0</v>
      </c>
      <c r="G3993" s="4">
        <v>131</v>
      </c>
      <c r="H3993" s="4">
        <v>131</v>
      </c>
      <c r="I3993" s="4">
        <v>0</v>
      </c>
      <c r="J3993" s="4">
        <v>131</v>
      </c>
    </row>
    <row r="3994" spans="1:10" x14ac:dyDescent="0.75">
      <c r="A3994" t="s">
        <v>151</v>
      </c>
      <c r="B3994">
        <v>2441</v>
      </c>
      <c r="C3994" t="s">
        <v>64</v>
      </c>
      <c r="D3994">
        <v>5360</v>
      </c>
      <c r="E3994" t="s">
        <v>465</v>
      </c>
      <c r="F3994" s="4">
        <v>0</v>
      </c>
      <c r="G3994" s="4">
        <v>125</v>
      </c>
      <c r="H3994" s="4">
        <v>5</v>
      </c>
      <c r="I3994" s="4">
        <v>120</v>
      </c>
      <c r="J3994" s="4">
        <v>125</v>
      </c>
    </row>
    <row r="3995" spans="1:10" x14ac:dyDescent="0.75">
      <c r="A3995" t="s">
        <v>151</v>
      </c>
      <c r="B3995">
        <v>2441</v>
      </c>
      <c r="C3995" t="s">
        <v>64</v>
      </c>
      <c r="D3995">
        <v>6888</v>
      </c>
      <c r="E3995" t="s">
        <v>494</v>
      </c>
      <c r="F3995" s="4">
        <v>0</v>
      </c>
      <c r="G3995" s="4">
        <v>113</v>
      </c>
      <c r="H3995" s="4">
        <v>0</v>
      </c>
      <c r="I3995" s="4">
        <v>113</v>
      </c>
      <c r="J3995" s="4">
        <v>113</v>
      </c>
    </row>
    <row r="3996" spans="1:10" x14ac:dyDescent="0.75">
      <c r="A3996" t="s">
        <v>151</v>
      </c>
      <c r="B3996">
        <v>2441</v>
      </c>
      <c r="C3996" t="s">
        <v>64</v>
      </c>
      <c r="D3996">
        <v>7230</v>
      </c>
      <c r="E3996" t="s">
        <v>387</v>
      </c>
      <c r="F3996" s="4">
        <v>0</v>
      </c>
      <c r="G3996" s="4">
        <v>107</v>
      </c>
      <c r="H3996" s="4">
        <v>9</v>
      </c>
      <c r="I3996" s="4">
        <v>98</v>
      </c>
      <c r="J3996" s="4">
        <v>107</v>
      </c>
    </row>
    <row r="3997" spans="1:10" x14ac:dyDescent="0.75">
      <c r="A3997" t="s">
        <v>151</v>
      </c>
      <c r="B3997">
        <v>2441</v>
      </c>
      <c r="C3997" t="s">
        <v>64</v>
      </c>
      <c r="D3997">
        <v>6891</v>
      </c>
      <c r="E3997" t="s">
        <v>495</v>
      </c>
      <c r="F3997" s="4">
        <v>0</v>
      </c>
      <c r="G3997" s="4">
        <v>106</v>
      </c>
      <c r="H3997" s="4">
        <v>0</v>
      </c>
      <c r="I3997" s="4">
        <v>106</v>
      </c>
      <c r="J3997" s="4">
        <v>106</v>
      </c>
    </row>
    <row r="3998" spans="1:10" x14ac:dyDescent="0.75">
      <c r="A3998" t="s">
        <v>151</v>
      </c>
      <c r="B3998">
        <v>2441</v>
      </c>
      <c r="C3998" t="s">
        <v>64</v>
      </c>
      <c r="D3998">
        <v>4310</v>
      </c>
      <c r="E3998" t="s">
        <v>453</v>
      </c>
      <c r="F3998" s="4">
        <v>0</v>
      </c>
      <c r="G3998" s="4">
        <v>103</v>
      </c>
      <c r="H3998" s="4">
        <v>0</v>
      </c>
      <c r="I3998" s="4">
        <v>103</v>
      </c>
      <c r="J3998" s="4">
        <v>103</v>
      </c>
    </row>
    <row r="3999" spans="1:10" x14ac:dyDescent="0.75">
      <c r="A3999" t="s">
        <v>151</v>
      </c>
      <c r="B3999">
        <v>2441</v>
      </c>
      <c r="C3999" t="s">
        <v>64</v>
      </c>
      <c r="D3999">
        <v>5429</v>
      </c>
      <c r="E3999" t="s">
        <v>429</v>
      </c>
      <c r="F3999" s="4">
        <v>0</v>
      </c>
      <c r="G3999" s="4">
        <v>103</v>
      </c>
      <c r="H3999" s="4">
        <v>102</v>
      </c>
      <c r="I3999" s="4">
        <v>1</v>
      </c>
      <c r="J3999" s="4">
        <v>103</v>
      </c>
    </row>
    <row r="4000" spans="1:10" x14ac:dyDescent="0.75">
      <c r="A4000" t="s">
        <v>151</v>
      </c>
      <c r="B4000">
        <v>2441</v>
      </c>
      <c r="C4000" t="s">
        <v>64</v>
      </c>
      <c r="D4000">
        <v>6858</v>
      </c>
      <c r="E4000" t="s">
        <v>488</v>
      </c>
      <c r="F4000" s="4">
        <v>0</v>
      </c>
      <c r="G4000" s="4">
        <v>103</v>
      </c>
      <c r="H4000" s="4">
        <v>87</v>
      </c>
      <c r="I4000" s="4">
        <v>16</v>
      </c>
      <c r="J4000" s="4">
        <v>103</v>
      </c>
    </row>
    <row r="4001" spans="1:10" x14ac:dyDescent="0.75">
      <c r="A4001" t="s">
        <v>151</v>
      </c>
      <c r="B4001">
        <v>2441</v>
      </c>
      <c r="C4001" t="s">
        <v>64</v>
      </c>
      <c r="D4001">
        <v>3250</v>
      </c>
      <c r="E4001" t="s">
        <v>435</v>
      </c>
      <c r="F4001" s="4">
        <v>0</v>
      </c>
      <c r="G4001" s="4">
        <v>89</v>
      </c>
      <c r="H4001" s="4">
        <v>0</v>
      </c>
      <c r="I4001" s="4">
        <v>89</v>
      </c>
      <c r="J4001" s="4">
        <v>89</v>
      </c>
    </row>
    <row r="4002" spans="1:10" x14ac:dyDescent="0.75">
      <c r="A4002" t="s">
        <v>151</v>
      </c>
      <c r="B4002">
        <v>2441</v>
      </c>
      <c r="C4002" t="s">
        <v>64</v>
      </c>
      <c r="D4002">
        <v>6856</v>
      </c>
      <c r="E4002" t="s">
        <v>486</v>
      </c>
      <c r="F4002" s="4">
        <v>0</v>
      </c>
      <c r="G4002" s="4">
        <v>85</v>
      </c>
      <c r="H4002" s="4">
        <v>0</v>
      </c>
      <c r="I4002" s="4">
        <v>85</v>
      </c>
      <c r="J4002" s="4">
        <v>85</v>
      </c>
    </row>
    <row r="4003" spans="1:10" x14ac:dyDescent="0.75">
      <c r="A4003" t="s">
        <v>151</v>
      </c>
      <c r="B4003">
        <v>2441</v>
      </c>
      <c r="C4003" t="s">
        <v>64</v>
      </c>
      <c r="D4003">
        <v>3274</v>
      </c>
      <c r="E4003" t="s">
        <v>438</v>
      </c>
      <c r="F4003" s="4">
        <v>0</v>
      </c>
      <c r="G4003" s="4">
        <v>72</v>
      </c>
      <c r="H4003" s="4">
        <v>0</v>
      </c>
      <c r="I4003" s="4">
        <v>72</v>
      </c>
      <c r="J4003" s="4">
        <v>72</v>
      </c>
    </row>
    <row r="4004" spans="1:10" x14ac:dyDescent="0.75">
      <c r="A4004" t="s">
        <v>151</v>
      </c>
      <c r="B4004">
        <v>2441</v>
      </c>
      <c r="C4004" t="s">
        <v>64</v>
      </c>
      <c r="D4004">
        <v>3190</v>
      </c>
      <c r="E4004" t="s">
        <v>408</v>
      </c>
      <c r="F4004" s="4">
        <v>0</v>
      </c>
      <c r="G4004" s="4">
        <v>67</v>
      </c>
      <c r="H4004" s="4">
        <v>0</v>
      </c>
      <c r="I4004" s="4">
        <v>67</v>
      </c>
      <c r="J4004" s="4">
        <v>67</v>
      </c>
    </row>
    <row r="4005" spans="1:10" x14ac:dyDescent="0.75">
      <c r="A4005" t="s">
        <v>151</v>
      </c>
      <c r="B4005">
        <v>2441</v>
      </c>
      <c r="C4005" t="s">
        <v>64</v>
      </c>
      <c r="D4005">
        <v>5370</v>
      </c>
      <c r="E4005" t="s">
        <v>466</v>
      </c>
      <c r="F4005" s="4">
        <v>0</v>
      </c>
      <c r="G4005" s="4">
        <v>67</v>
      </c>
      <c r="H4005" s="4">
        <v>0</v>
      </c>
      <c r="I4005" s="4">
        <v>67</v>
      </c>
      <c r="J4005" s="4">
        <v>67</v>
      </c>
    </row>
    <row r="4006" spans="1:10" x14ac:dyDescent="0.75">
      <c r="A4006" t="s">
        <v>151</v>
      </c>
      <c r="B4006">
        <v>2441</v>
      </c>
      <c r="C4006" t="s">
        <v>64</v>
      </c>
      <c r="D4006">
        <v>6653</v>
      </c>
      <c r="E4006" t="s">
        <v>395</v>
      </c>
      <c r="F4006" s="4">
        <v>0</v>
      </c>
      <c r="G4006" s="4">
        <v>63</v>
      </c>
      <c r="H4006" s="4">
        <v>0</v>
      </c>
      <c r="I4006" s="4">
        <v>63</v>
      </c>
      <c r="J4006" s="4">
        <v>63</v>
      </c>
    </row>
    <row r="4007" spans="1:10" x14ac:dyDescent="0.75">
      <c r="A4007" t="s">
        <v>151</v>
      </c>
      <c r="B4007">
        <v>2441</v>
      </c>
      <c r="C4007" t="s">
        <v>64</v>
      </c>
      <c r="D4007">
        <v>6442</v>
      </c>
      <c r="E4007" t="s">
        <v>472</v>
      </c>
      <c r="F4007" s="4">
        <v>0</v>
      </c>
      <c r="G4007" s="4">
        <v>60</v>
      </c>
      <c r="H4007" s="4">
        <v>60</v>
      </c>
      <c r="I4007" s="4">
        <v>0</v>
      </c>
      <c r="J4007" s="4">
        <v>60</v>
      </c>
    </row>
    <row r="4008" spans="1:10" x14ac:dyDescent="0.75">
      <c r="A4008" t="s">
        <v>151</v>
      </c>
      <c r="B4008">
        <v>2441</v>
      </c>
      <c r="C4008" t="s">
        <v>64</v>
      </c>
      <c r="D4008">
        <v>6894</v>
      </c>
      <c r="E4008" t="s">
        <v>497</v>
      </c>
      <c r="F4008" s="4">
        <v>0</v>
      </c>
      <c r="G4008" s="4">
        <v>57</v>
      </c>
      <c r="H4008" s="4">
        <v>0</v>
      </c>
      <c r="I4008" s="4">
        <v>57</v>
      </c>
      <c r="J4008" s="4">
        <v>57</v>
      </c>
    </row>
    <row r="4009" spans="1:10" x14ac:dyDescent="0.75">
      <c r="A4009" t="s">
        <v>151</v>
      </c>
      <c r="B4009">
        <v>2441</v>
      </c>
      <c r="C4009" t="s">
        <v>64</v>
      </c>
      <c r="D4009">
        <v>3282</v>
      </c>
      <c r="E4009" t="s">
        <v>440</v>
      </c>
      <c r="F4009" s="4">
        <v>0</v>
      </c>
      <c r="G4009" s="4">
        <v>50</v>
      </c>
      <c r="H4009" s="4">
        <v>0</v>
      </c>
      <c r="I4009" s="4">
        <v>50</v>
      </c>
      <c r="J4009" s="4">
        <v>50</v>
      </c>
    </row>
    <row r="4010" spans="1:10" x14ac:dyDescent="0.75">
      <c r="A4010" t="s">
        <v>151</v>
      </c>
      <c r="B4010">
        <v>2441</v>
      </c>
      <c r="C4010" t="s">
        <v>64</v>
      </c>
      <c r="D4010">
        <v>3297</v>
      </c>
      <c r="E4010" t="s">
        <v>446</v>
      </c>
      <c r="F4010" s="4">
        <v>0</v>
      </c>
      <c r="G4010" s="4">
        <v>48</v>
      </c>
      <c r="H4010" s="4">
        <v>0</v>
      </c>
      <c r="I4010" s="4">
        <v>48</v>
      </c>
      <c r="J4010" s="4">
        <v>48</v>
      </c>
    </row>
    <row r="4011" spans="1:10" x14ac:dyDescent="0.75">
      <c r="A4011" t="s">
        <v>151</v>
      </c>
      <c r="B4011">
        <v>2441</v>
      </c>
      <c r="C4011" t="s">
        <v>64</v>
      </c>
      <c r="D4011">
        <v>3230</v>
      </c>
      <c r="E4011" t="s">
        <v>434</v>
      </c>
      <c r="F4011" s="4">
        <v>0</v>
      </c>
      <c r="G4011" s="4">
        <v>37</v>
      </c>
      <c r="H4011" s="4">
        <v>0</v>
      </c>
      <c r="I4011" s="4">
        <v>37</v>
      </c>
      <c r="J4011" s="4">
        <v>37</v>
      </c>
    </row>
    <row r="4012" spans="1:10" x14ac:dyDescent="0.75">
      <c r="A4012" t="s">
        <v>151</v>
      </c>
      <c r="B4012">
        <v>2441</v>
      </c>
      <c r="C4012" t="s">
        <v>64</v>
      </c>
      <c r="D4012">
        <v>3240</v>
      </c>
      <c r="E4012" t="s">
        <v>410</v>
      </c>
      <c r="F4012" s="4">
        <v>0</v>
      </c>
      <c r="G4012" s="4">
        <v>34</v>
      </c>
      <c r="H4012" s="4">
        <v>0</v>
      </c>
      <c r="I4012" s="4">
        <v>34</v>
      </c>
      <c r="J4012" s="4">
        <v>34</v>
      </c>
    </row>
    <row r="4013" spans="1:10" x14ac:dyDescent="0.75">
      <c r="A4013" t="s">
        <v>151</v>
      </c>
      <c r="B4013">
        <v>2441</v>
      </c>
      <c r="C4013" t="s">
        <v>64</v>
      </c>
      <c r="D4013">
        <v>6781</v>
      </c>
      <c r="E4013" t="s">
        <v>479</v>
      </c>
      <c r="F4013" s="4">
        <v>0</v>
      </c>
      <c r="G4013" s="4">
        <v>29</v>
      </c>
      <c r="H4013" s="4">
        <v>0</v>
      </c>
      <c r="I4013" s="4">
        <v>29</v>
      </c>
      <c r="J4013" s="4">
        <v>29</v>
      </c>
    </row>
    <row r="4014" spans="1:10" x14ac:dyDescent="0.75">
      <c r="A4014" t="s">
        <v>151</v>
      </c>
      <c r="B4014">
        <v>2441</v>
      </c>
      <c r="C4014" t="s">
        <v>64</v>
      </c>
      <c r="D4014">
        <v>3283</v>
      </c>
      <c r="E4014" t="s">
        <v>441</v>
      </c>
      <c r="F4014" s="4">
        <v>0</v>
      </c>
      <c r="G4014" s="4">
        <v>27</v>
      </c>
      <c r="H4014" s="4">
        <v>26</v>
      </c>
      <c r="I4014" s="4">
        <v>1</v>
      </c>
      <c r="J4014" s="4">
        <v>27</v>
      </c>
    </row>
    <row r="4015" spans="1:10" x14ac:dyDescent="0.75">
      <c r="A4015" t="s">
        <v>151</v>
      </c>
      <c r="B4015">
        <v>2441</v>
      </c>
      <c r="C4015" t="s">
        <v>64</v>
      </c>
      <c r="D4015">
        <v>2410</v>
      </c>
      <c r="E4015" t="s">
        <v>430</v>
      </c>
      <c r="F4015" s="4">
        <v>0</v>
      </c>
      <c r="G4015" s="4">
        <v>26</v>
      </c>
      <c r="H4015" s="4">
        <v>0</v>
      </c>
      <c r="I4015" s="4">
        <v>26</v>
      </c>
      <c r="J4015" s="4">
        <v>26</v>
      </c>
    </row>
    <row r="4016" spans="1:10" x14ac:dyDescent="0.75">
      <c r="A4016" t="s">
        <v>151</v>
      </c>
      <c r="B4016">
        <v>2441</v>
      </c>
      <c r="C4016" t="s">
        <v>64</v>
      </c>
      <c r="D4016">
        <v>3291</v>
      </c>
      <c r="E4016" t="s">
        <v>444</v>
      </c>
      <c r="F4016" s="4">
        <v>0</v>
      </c>
      <c r="G4016" s="4">
        <v>26</v>
      </c>
      <c r="H4016" s="4">
        <v>26</v>
      </c>
      <c r="I4016" s="4">
        <v>0</v>
      </c>
      <c r="J4016" s="4">
        <v>26</v>
      </c>
    </row>
    <row r="4017" spans="1:10" x14ac:dyDescent="0.75">
      <c r="A4017" t="s">
        <v>151</v>
      </c>
      <c r="B4017">
        <v>2441</v>
      </c>
      <c r="C4017" t="s">
        <v>64</v>
      </c>
      <c r="D4017">
        <v>4190</v>
      </c>
      <c r="E4017" t="s">
        <v>452</v>
      </c>
      <c r="F4017" s="4">
        <v>0</v>
      </c>
      <c r="G4017" s="4">
        <v>26</v>
      </c>
      <c r="H4017" s="4">
        <v>24</v>
      </c>
      <c r="I4017" s="4">
        <v>2</v>
      </c>
      <c r="J4017" s="4">
        <v>26</v>
      </c>
    </row>
    <row r="4018" spans="1:10" x14ac:dyDescent="0.75">
      <c r="A4018" t="s">
        <v>151</v>
      </c>
      <c r="B4018">
        <v>2441</v>
      </c>
      <c r="C4018" t="s">
        <v>64</v>
      </c>
      <c r="D4018">
        <v>3293</v>
      </c>
      <c r="E4018" t="s">
        <v>445</v>
      </c>
      <c r="F4018" s="4">
        <v>0</v>
      </c>
      <c r="G4018" s="4">
        <v>22</v>
      </c>
      <c r="H4018" s="4">
        <v>0</v>
      </c>
      <c r="I4018" s="4">
        <v>22</v>
      </c>
      <c r="J4018" s="4">
        <v>22</v>
      </c>
    </row>
    <row r="4019" spans="1:10" x14ac:dyDescent="0.75">
      <c r="A4019" t="s">
        <v>151</v>
      </c>
      <c r="B4019">
        <v>2441</v>
      </c>
      <c r="C4019" t="s">
        <v>64</v>
      </c>
      <c r="D4019">
        <v>5390</v>
      </c>
      <c r="E4019" t="s">
        <v>418</v>
      </c>
      <c r="F4019" s="4">
        <v>0</v>
      </c>
      <c r="G4019" s="4">
        <v>22</v>
      </c>
      <c r="H4019" s="4">
        <v>3</v>
      </c>
      <c r="I4019" s="4">
        <v>19</v>
      </c>
      <c r="J4019" s="4">
        <v>22</v>
      </c>
    </row>
    <row r="4020" spans="1:10" x14ac:dyDescent="0.75">
      <c r="A4020" t="s">
        <v>151</v>
      </c>
      <c r="B4020">
        <v>2441</v>
      </c>
      <c r="C4020" t="s">
        <v>64</v>
      </c>
      <c r="D4020">
        <v>2640</v>
      </c>
      <c r="E4020" t="s">
        <v>431</v>
      </c>
      <c r="F4020" s="4">
        <v>0</v>
      </c>
      <c r="G4020" s="4">
        <v>15</v>
      </c>
      <c r="H4020" s="4">
        <v>0</v>
      </c>
      <c r="I4020" s="4">
        <v>15</v>
      </c>
      <c r="J4020" s="4">
        <v>15</v>
      </c>
    </row>
    <row r="4021" spans="1:10" x14ac:dyDescent="0.75">
      <c r="A4021" t="s">
        <v>151</v>
      </c>
      <c r="B4021">
        <v>2441</v>
      </c>
      <c r="C4021" t="s">
        <v>64</v>
      </c>
      <c r="D4021">
        <v>4420</v>
      </c>
      <c r="E4021" t="s">
        <v>381</v>
      </c>
      <c r="F4021" s="4">
        <v>0</v>
      </c>
      <c r="G4021" s="4">
        <v>14</v>
      </c>
      <c r="H4021" s="4">
        <v>0</v>
      </c>
      <c r="I4021" s="4">
        <v>14</v>
      </c>
      <c r="J4021" s="4">
        <v>14</v>
      </c>
    </row>
    <row r="4022" spans="1:10" x14ac:dyDescent="0.75">
      <c r="A4022" t="s">
        <v>151</v>
      </c>
      <c r="B4022">
        <v>2441</v>
      </c>
      <c r="C4022" t="s">
        <v>64</v>
      </c>
      <c r="D4022">
        <v>4900</v>
      </c>
      <c r="E4022" t="s">
        <v>383</v>
      </c>
      <c r="F4022" s="4">
        <v>0</v>
      </c>
      <c r="G4022" s="4">
        <v>11</v>
      </c>
      <c r="H4022" s="4">
        <v>5</v>
      </c>
      <c r="I4022" s="4">
        <v>6</v>
      </c>
      <c r="J4022" s="4">
        <v>11</v>
      </c>
    </row>
    <row r="4023" spans="1:10" x14ac:dyDescent="0.75">
      <c r="A4023" t="s">
        <v>151</v>
      </c>
      <c r="B4023">
        <v>2441</v>
      </c>
      <c r="C4023" t="s">
        <v>64</v>
      </c>
      <c r="D4023">
        <v>4323</v>
      </c>
      <c r="E4023" t="s">
        <v>373</v>
      </c>
      <c r="F4023" s="4">
        <v>0</v>
      </c>
      <c r="G4023" s="4">
        <v>6</v>
      </c>
      <c r="H4023" s="4">
        <v>0</v>
      </c>
      <c r="I4023" s="4">
        <v>6</v>
      </c>
      <c r="J4023" s="4">
        <v>6</v>
      </c>
    </row>
    <row r="4024" spans="1:10" x14ac:dyDescent="0.75">
      <c r="A4024" t="s">
        <v>151</v>
      </c>
      <c r="B4024">
        <v>2441</v>
      </c>
      <c r="C4024" t="s">
        <v>64</v>
      </c>
      <c r="D4024">
        <v>6839</v>
      </c>
      <c r="E4024" t="s">
        <v>485</v>
      </c>
      <c r="F4024" s="4">
        <v>0</v>
      </c>
      <c r="G4024" s="4">
        <v>6</v>
      </c>
      <c r="H4024" s="4">
        <v>0</v>
      </c>
      <c r="I4024" s="4">
        <v>6</v>
      </c>
      <c r="J4024" s="4">
        <v>6</v>
      </c>
    </row>
    <row r="4025" spans="1:10" x14ac:dyDescent="0.75">
      <c r="A4025" t="s">
        <v>151</v>
      </c>
      <c r="B4025">
        <v>2441</v>
      </c>
      <c r="C4025" t="s">
        <v>64</v>
      </c>
      <c r="D4025">
        <v>6590</v>
      </c>
      <c r="E4025" t="s">
        <v>394</v>
      </c>
      <c r="F4025" s="4">
        <v>0</v>
      </c>
      <c r="G4025" s="4">
        <v>3</v>
      </c>
      <c r="H4025" s="4">
        <v>0</v>
      </c>
      <c r="I4025" s="4">
        <v>3</v>
      </c>
      <c r="J4025" s="4">
        <v>3</v>
      </c>
    </row>
    <row r="4026" spans="1:10" x14ac:dyDescent="0.75">
      <c r="A4026" t="s">
        <v>151</v>
      </c>
      <c r="B4026">
        <v>2441</v>
      </c>
      <c r="C4026" t="s">
        <v>64</v>
      </c>
      <c r="D4026">
        <v>5312</v>
      </c>
      <c r="E4026" t="s">
        <v>416</v>
      </c>
      <c r="F4026" s="4">
        <v>0</v>
      </c>
      <c r="G4026" s="4">
        <v>2</v>
      </c>
      <c r="H4026" s="4">
        <v>2</v>
      </c>
      <c r="I4026" s="4">
        <v>0</v>
      </c>
      <c r="J4026" s="4">
        <v>2</v>
      </c>
    </row>
    <row r="4027" spans="1:10" x14ac:dyDescent="0.75">
      <c r="A4027" t="s">
        <v>151</v>
      </c>
      <c r="B4027">
        <v>2441</v>
      </c>
      <c r="C4027" t="s">
        <v>64</v>
      </c>
      <c r="D4027">
        <v>7300</v>
      </c>
      <c r="E4027" t="s">
        <v>501</v>
      </c>
      <c r="F4027" s="4">
        <v>0</v>
      </c>
      <c r="G4027" s="4">
        <v>2</v>
      </c>
      <c r="H4027" s="4">
        <v>0</v>
      </c>
      <c r="I4027" s="4">
        <v>2</v>
      </c>
      <c r="J4027" s="4">
        <v>2</v>
      </c>
    </row>
    <row r="4028" spans="1:10" x14ac:dyDescent="0.75">
      <c r="A4028" t="s">
        <v>151</v>
      </c>
      <c r="B4028">
        <v>2441</v>
      </c>
      <c r="C4028" t="s">
        <v>64</v>
      </c>
      <c r="D4028">
        <v>3211</v>
      </c>
      <c r="E4028" t="s">
        <v>433</v>
      </c>
      <c r="F4028" s="4">
        <v>0</v>
      </c>
      <c r="G4028" s="4">
        <v>1</v>
      </c>
      <c r="H4028" s="4">
        <v>0</v>
      </c>
      <c r="I4028" s="4">
        <v>1</v>
      </c>
      <c r="J4028" s="4">
        <v>1</v>
      </c>
    </row>
    <row r="4029" spans="1:10" x14ac:dyDescent="0.75">
      <c r="A4029" t="s">
        <v>151</v>
      </c>
      <c r="B4029">
        <v>4450</v>
      </c>
      <c r="C4029" t="s">
        <v>325</v>
      </c>
      <c r="D4029">
        <v>2221</v>
      </c>
      <c r="E4029" t="s">
        <v>374</v>
      </c>
      <c r="F4029" s="4">
        <v>39809</v>
      </c>
      <c r="G4029" s="4">
        <v>0</v>
      </c>
      <c r="H4029" s="4">
        <v>0</v>
      </c>
      <c r="I4029" s="4">
        <v>0</v>
      </c>
      <c r="J4029" s="4">
        <v>39809</v>
      </c>
    </row>
    <row r="4030" spans="1:10" x14ac:dyDescent="0.75">
      <c r="A4030" t="s">
        <v>163</v>
      </c>
      <c r="B4030">
        <v>542</v>
      </c>
      <c r="C4030" t="s">
        <v>321</v>
      </c>
      <c r="D4030">
        <v>2340</v>
      </c>
      <c r="E4030" t="s">
        <v>369</v>
      </c>
      <c r="F4030" s="4">
        <v>42547</v>
      </c>
      <c r="G4030" s="4">
        <v>0</v>
      </c>
      <c r="H4030" s="4">
        <v>0</v>
      </c>
      <c r="I4030" s="4">
        <v>0</v>
      </c>
      <c r="J4030" s="4">
        <v>42547</v>
      </c>
    </row>
    <row r="4031" spans="1:10" x14ac:dyDescent="0.75">
      <c r="A4031" t="s">
        <v>163</v>
      </c>
      <c r="B4031">
        <v>542</v>
      </c>
      <c r="C4031" t="s">
        <v>321</v>
      </c>
      <c r="D4031">
        <v>2330</v>
      </c>
      <c r="E4031" t="s">
        <v>368</v>
      </c>
      <c r="F4031" s="4">
        <v>11502</v>
      </c>
      <c r="G4031" s="4">
        <v>0</v>
      </c>
      <c r="H4031" s="4">
        <v>0</v>
      </c>
      <c r="I4031" s="4">
        <v>0</v>
      </c>
      <c r="J4031" s="4">
        <v>11502</v>
      </c>
    </row>
    <row r="4032" spans="1:10" x14ac:dyDescent="0.75">
      <c r="A4032" t="s">
        <v>163</v>
      </c>
      <c r="B4032">
        <v>2263</v>
      </c>
      <c r="C4032" t="s">
        <v>239</v>
      </c>
      <c r="D4032">
        <v>6522</v>
      </c>
      <c r="E4032" t="s">
        <v>393</v>
      </c>
      <c r="F4032" s="4">
        <v>581540</v>
      </c>
      <c r="G4032" s="4">
        <v>0</v>
      </c>
      <c r="H4032" s="4">
        <v>0</v>
      </c>
      <c r="I4032" s="4">
        <v>0</v>
      </c>
      <c r="J4032" s="4">
        <v>581540</v>
      </c>
    </row>
    <row r="4033" spans="1:10" x14ac:dyDescent="0.75">
      <c r="A4033" t="s">
        <v>163</v>
      </c>
      <c r="B4033">
        <v>2263</v>
      </c>
      <c r="C4033" t="s">
        <v>239</v>
      </c>
      <c r="D4033">
        <v>6344</v>
      </c>
      <c r="E4033" t="s">
        <v>392</v>
      </c>
      <c r="F4033" s="4">
        <v>269961</v>
      </c>
      <c r="G4033" s="4">
        <v>0</v>
      </c>
      <c r="H4033" s="4">
        <v>0</v>
      </c>
      <c r="I4033" s="4">
        <v>0</v>
      </c>
      <c r="J4033" s="4">
        <v>269961</v>
      </c>
    </row>
    <row r="4034" spans="1:10" x14ac:dyDescent="0.75">
      <c r="A4034" t="s">
        <v>163</v>
      </c>
      <c r="B4034">
        <v>2263</v>
      </c>
      <c r="C4034" t="s">
        <v>239</v>
      </c>
      <c r="D4034">
        <v>3110</v>
      </c>
      <c r="E4034" t="s">
        <v>405</v>
      </c>
      <c r="F4034" s="4">
        <v>188236</v>
      </c>
      <c r="G4034" s="4">
        <v>0</v>
      </c>
      <c r="H4034" s="4">
        <v>0</v>
      </c>
      <c r="I4034" s="4">
        <v>0</v>
      </c>
      <c r="J4034" s="4">
        <v>188236</v>
      </c>
    </row>
    <row r="4035" spans="1:10" x14ac:dyDescent="0.75">
      <c r="A4035" t="s">
        <v>163</v>
      </c>
      <c r="B4035">
        <v>2263</v>
      </c>
      <c r="C4035" t="s">
        <v>239</v>
      </c>
      <c r="D4035">
        <v>6442</v>
      </c>
      <c r="E4035" t="s">
        <v>472</v>
      </c>
      <c r="F4035" s="4">
        <v>181969</v>
      </c>
      <c r="G4035" s="4">
        <v>0</v>
      </c>
      <c r="H4035" s="4">
        <v>0</v>
      </c>
      <c r="I4035" s="4">
        <v>0</v>
      </c>
      <c r="J4035" s="4">
        <v>181969</v>
      </c>
    </row>
    <row r="4036" spans="1:10" x14ac:dyDescent="0.75">
      <c r="A4036" t="s">
        <v>163</v>
      </c>
      <c r="B4036">
        <v>2263</v>
      </c>
      <c r="C4036" t="s">
        <v>239</v>
      </c>
      <c r="D4036">
        <v>2330</v>
      </c>
      <c r="E4036" t="s">
        <v>368</v>
      </c>
      <c r="F4036" s="4">
        <v>164760</v>
      </c>
      <c r="G4036" s="4">
        <v>0</v>
      </c>
      <c r="H4036" s="4">
        <v>0</v>
      </c>
      <c r="I4036" s="4">
        <v>0</v>
      </c>
      <c r="J4036" s="4">
        <v>164760</v>
      </c>
    </row>
    <row r="4037" spans="1:10" x14ac:dyDescent="0.75">
      <c r="A4037" t="s">
        <v>163</v>
      </c>
      <c r="B4037">
        <v>2263</v>
      </c>
      <c r="C4037" t="s">
        <v>239</v>
      </c>
      <c r="D4037">
        <v>6241</v>
      </c>
      <c r="E4037" t="s">
        <v>391</v>
      </c>
      <c r="F4037" s="4">
        <v>91821</v>
      </c>
      <c r="G4037" s="4">
        <v>0</v>
      </c>
      <c r="H4037" s="4">
        <v>0</v>
      </c>
      <c r="I4037" s="4">
        <v>0</v>
      </c>
      <c r="J4037" s="4">
        <v>91821</v>
      </c>
    </row>
    <row r="4038" spans="1:10" x14ac:dyDescent="0.75">
      <c r="A4038" t="s">
        <v>163</v>
      </c>
      <c r="B4038">
        <v>2263</v>
      </c>
      <c r="C4038" t="s">
        <v>239</v>
      </c>
      <c r="D4038">
        <v>3130</v>
      </c>
      <c r="E4038" t="s">
        <v>407</v>
      </c>
      <c r="F4038" s="4">
        <v>55299</v>
      </c>
      <c r="G4038" s="4">
        <v>0</v>
      </c>
      <c r="H4038" s="4">
        <v>0</v>
      </c>
      <c r="I4038" s="4">
        <v>0</v>
      </c>
      <c r="J4038" s="4">
        <v>55299</v>
      </c>
    </row>
    <row r="4039" spans="1:10" x14ac:dyDescent="0.75">
      <c r="A4039" t="s">
        <v>163</v>
      </c>
      <c r="B4039">
        <v>2263</v>
      </c>
      <c r="C4039" t="s">
        <v>239</v>
      </c>
      <c r="D4039">
        <v>4331</v>
      </c>
      <c r="E4039" t="s">
        <v>390</v>
      </c>
      <c r="F4039" s="4">
        <v>26557</v>
      </c>
      <c r="G4039" s="4">
        <v>0</v>
      </c>
      <c r="H4039" s="4">
        <v>0</v>
      </c>
      <c r="I4039" s="4">
        <v>0</v>
      </c>
      <c r="J4039" s="4">
        <v>26557</v>
      </c>
    </row>
    <row r="4040" spans="1:10" x14ac:dyDescent="0.75">
      <c r="A4040" t="s">
        <v>163</v>
      </c>
      <c r="B4040">
        <v>2263</v>
      </c>
      <c r="C4040" t="s">
        <v>239</v>
      </c>
      <c r="D4040">
        <v>3190</v>
      </c>
      <c r="E4040" t="s">
        <v>408</v>
      </c>
      <c r="F4040" s="4">
        <v>24730</v>
      </c>
      <c r="G4040" s="4">
        <v>0</v>
      </c>
      <c r="H4040" s="4">
        <v>0</v>
      </c>
      <c r="I4040" s="4">
        <v>0</v>
      </c>
      <c r="J4040" s="4">
        <v>24730</v>
      </c>
    </row>
    <row r="4041" spans="1:10" x14ac:dyDescent="0.75">
      <c r="A4041" t="s">
        <v>163</v>
      </c>
      <c r="B4041">
        <v>2263</v>
      </c>
      <c r="C4041" t="s">
        <v>239</v>
      </c>
      <c r="D4041">
        <v>5330</v>
      </c>
      <c r="E4041" t="s">
        <v>385</v>
      </c>
      <c r="F4041" s="4">
        <v>21970</v>
      </c>
      <c r="G4041" s="4">
        <v>0</v>
      </c>
      <c r="H4041" s="4">
        <v>0</v>
      </c>
      <c r="I4041" s="4">
        <v>0</v>
      </c>
      <c r="J4041" s="4">
        <v>21970</v>
      </c>
    </row>
    <row r="4042" spans="1:10" x14ac:dyDescent="0.75">
      <c r="A4042" t="s">
        <v>163</v>
      </c>
      <c r="B4042">
        <v>2263</v>
      </c>
      <c r="C4042" t="s">
        <v>239</v>
      </c>
      <c r="D4042">
        <v>3120</v>
      </c>
      <c r="E4042" t="s">
        <v>406</v>
      </c>
      <c r="F4042" s="4">
        <v>21590</v>
      </c>
      <c r="G4042" s="4">
        <v>0</v>
      </c>
      <c r="H4042" s="4">
        <v>0</v>
      </c>
      <c r="I4042" s="4">
        <v>0</v>
      </c>
      <c r="J4042" s="4">
        <v>21590</v>
      </c>
    </row>
    <row r="4043" spans="1:10" x14ac:dyDescent="0.75">
      <c r="A4043" t="s">
        <v>163</v>
      </c>
      <c r="B4043">
        <v>2263</v>
      </c>
      <c r="C4043" t="s">
        <v>239</v>
      </c>
      <c r="D4043">
        <v>6654</v>
      </c>
      <c r="E4043" t="s">
        <v>419</v>
      </c>
      <c r="F4043" s="4">
        <v>10497</v>
      </c>
      <c r="G4043" s="4">
        <v>0</v>
      </c>
      <c r="H4043" s="4">
        <v>0</v>
      </c>
      <c r="I4043" s="4">
        <v>0</v>
      </c>
      <c r="J4043" s="4">
        <v>10497</v>
      </c>
    </row>
    <row r="4044" spans="1:10" x14ac:dyDescent="0.75">
      <c r="A4044" t="s">
        <v>163</v>
      </c>
      <c r="B4044">
        <v>2263</v>
      </c>
      <c r="C4044" t="s">
        <v>239</v>
      </c>
      <c r="D4044">
        <v>4783</v>
      </c>
      <c r="E4044" t="s">
        <v>382</v>
      </c>
      <c r="F4044" s="4">
        <v>8190</v>
      </c>
      <c r="G4044" s="4">
        <v>0</v>
      </c>
      <c r="H4044" s="4">
        <v>0</v>
      </c>
      <c r="I4044" s="4">
        <v>0</v>
      </c>
      <c r="J4044" s="4">
        <v>8190</v>
      </c>
    </row>
    <row r="4045" spans="1:10" x14ac:dyDescent="0.75">
      <c r="A4045" t="s">
        <v>163</v>
      </c>
      <c r="B4045">
        <v>2263</v>
      </c>
      <c r="C4045" t="s">
        <v>239</v>
      </c>
      <c r="D4045">
        <v>6782</v>
      </c>
      <c r="E4045" t="s">
        <v>396</v>
      </c>
      <c r="F4045" s="4">
        <v>7140</v>
      </c>
      <c r="G4045" s="4">
        <v>0</v>
      </c>
      <c r="H4045" s="4">
        <v>0</v>
      </c>
      <c r="I4045" s="4">
        <v>0</v>
      </c>
      <c r="J4045" s="4">
        <v>7140</v>
      </c>
    </row>
    <row r="4046" spans="1:10" x14ac:dyDescent="0.75">
      <c r="A4046" t="s">
        <v>163</v>
      </c>
      <c r="B4046">
        <v>2263</v>
      </c>
      <c r="C4046" t="s">
        <v>239</v>
      </c>
      <c r="D4046">
        <v>6447</v>
      </c>
      <c r="E4046" t="s">
        <v>475</v>
      </c>
      <c r="F4046" s="4">
        <v>1606</v>
      </c>
      <c r="G4046" s="4">
        <v>0</v>
      </c>
      <c r="H4046" s="4">
        <v>0</v>
      </c>
      <c r="I4046" s="4">
        <v>0</v>
      </c>
      <c r="J4046" s="4">
        <v>1606</v>
      </c>
    </row>
    <row r="4047" spans="1:10" x14ac:dyDescent="0.75">
      <c r="A4047" t="s">
        <v>151</v>
      </c>
      <c r="B4047">
        <v>4826</v>
      </c>
      <c r="C4047" t="s">
        <v>56</v>
      </c>
      <c r="D4047">
        <v>7900</v>
      </c>
      <c r="E4047" t="s">
        <v>388</v>
      </c>
      <c r="F4047" s="4">
        <v>118363</v>
      </c>
      <c r="G4047" s="4">
        <v>0</v>
      </c>
      <c r="H4047" s="4">
        <v>0</v>
      </c>
      <c r="I4047" s="4">
        <v>0</v>
      </c>
      <c r="J4047" s="4">
        <v>118363</v>
      </c>
    </row>
    <row r="4048" spans="1:10" x14ac:dyDescent="0.75">
      <c r="A4048" t="s">
        <v>151</v>
      </c>
      <c r="B4048">
        <v>4826</v>
      </c>
      <c r="C4048" t="s">
        <v>56</v>
      </c>
      <c r="D4048">
        <v>4331</v>
      </c>
      <c r="E4048" t="s">
        <v>390</v>
      </c>
      <c r="F4048" s="4">
        <v>64905</v>
      </c>
      <c r="G4048" s="4">
        <v>0</v>
      </c>
      <c r="H4048" s="4">
        <v>0</v>
      </c>
      <c r="I4048" s="4">
        <v>0</v>
      </c>
      <c r="J4048" s="4">
        <v>64905</v>
      </c>
    </row>
    <row r="4049" spans="1:10" x14ac:dyDescent="0.75">
      <c r="A4049" t="s">
        <v>151</v>
      </c>
      <c r="B4049">
        <v>4826</v>
      </c>
      <c r="C4049" t="s">
        <v>56</v>
      </c>
      <c r="D4049">
        <v>6887</v>
      </c>
      <c r="E4049" t="s">
        <v>505</v>
      </c>
      <c r="F4049" s="4">
        <v>59828</v>
      </c>
      <c r="G4049" s="4">
        <v>0</v>
      </c>
      <c r="H4049" s="4">
        <v>0</v>
      </c>
      <c r="I4049" s="4">
        <v>0</v>
      </c>
      <c r="J4049" s="4">
        <v>59828</v>
      </c>
    </row>
    <row r="4050" spans="1:10" x14ac:dyDescent="0.75">
      <c r="A4050" t="s">
        <v>151</v>
      </c>
      <c r="B4050">
        <v>4826</v>
      </c>
      <c r="C4050" t="s">
        <v>56</v>
      </c>
      <c r="D4050">
        <v>6134</v>
      </c>
      <c r="E4050" t="s">
        <v>470</v>
      </c>
      <c r="F4050" s="4">
        <v>45400</v>
      </c>
      <c r="G4050" s="4">
        <v>0</v>
      </c>
      <c r="H4050" s="4">
        <v>0</v>
      </c>
      <c r="I4050" s="4">
        <v>0</v>
      </c>
      <c r="J4050" s="4">
        <v>45400</v>
      </c>
    </row>
    <row r="4051" spans="1:10" x14ac:dyDescent="0.75">
      <c r="A4051" t="s">
        <v>151</v>
      </c>
      <c r="B4051">
        <v>4826</v>
      </c>
      <c r="C4051" t="s">
        <v>56</v>
      </c>
      <c r="D4051">
        <v>7400</v>
      </c>
      <c r="E4051" t="s">
        <v>502</v>
      </c>
      <c r="F4051" s="4">
        <v>22251</v>
      </c>
      <c r="G4051" s="4">
        <v>0</v>
      </c>
      <c r="H4051" s="4">
        <v>0</v>
      </c>
      <c r="I4051" s="4">
        <v>0</v>
      </c>
      <c r="J4051" s="4">
        <v>22251</v>
      </c>
    </row>
    <row r="4052" spans="1:10" x14ac:dyDescent="0.75">
      <c r="A4052" t="s">
        <v>151</v>
      </c>
      <c r="B4052">
        <v>4826</v>
      </c>
      <c r="C4052" t="s">
        <v>56</v>
      </c>
      <c r="D4052">
        <v>8900</v>
      </c>
      <c r="E4052" t="s">
        <v>506</v>
      </c>
      <c r="F4052" s="4">
        <v>16765</v>
      </c>
      <c r="G4052" s="4">
        <v>0</v>
      </c>
      <c r="H4052" s="4">
        <v>0</v>
      </c>
      <c r="I4052" s="4">
        <v>0</v>
      </c>
      <c r="J4052" s="4">
        <v>16765</v>
      </c>
    </row>
    <row r="4053" spans="1:10" x14ac:dyDescent="0.75">
      <c r="A4053" t="s">
        <v>151</v>
      </c>
      <c r="B4053">
        <v>4826</v>
      </c>
      <c r="C4053" t="s">
        <v>56</v>
      </c>
      <c r="D4053">
        <v>6889</v>
      </c>
      <c r="E4053" t="s">
        <v>420</v>
      </c>
      <c r="F4053" s="4">
        <v>13499</v>
      </c>
      <c r="G4053" s="4">
        <v>0</v>
      </c>
      <c r="H4053" s="4">
        <v>0</v>
      </c>
      <c r="I4053" s="4">
        <v>0</v>
      </c>
      <c r="J4053" s="4">
        <v>13499</v>
      </c>
    </row>
    <row r="4054" spans="1:10" x14ac:dyDescent="0.75">
      <c r="A4054" t="s">
        <v>151</v>
      </c>
      <c r="B4054">
        <v>4826</v>
      </c>
      <c r="C4054" t="s">
        <v>56</v>
      </c>
      <c r="D4054">
        <v>6885</v>
      </c>
      <c r="E4054" t="s">
        <v>493</v>
      </c>
      <c r="F4054" s="4">
        <v>12879</v>
      </c>
      <c r="G4054" s="4">
        <v>0</v>
      </c>
      <c r="H4054" s="4">
        <v>0</v>
      </c>
      <c r="I4054" s="4">
        <v>0</v>
      </c>
      <c r="J4054" s="4">
        <v>12879</v>
      </c>
    </row>
    <row r="4055" spans="1:10" x14ac:dyDescent="0.75">
      <c r="A4055" t="s">
        <v>151</v>
      </c>
      <c r="B4055">
        <v>4826</v>
      </c>
      <c r="C4055" t="s">
        <v>56</v>
      </c>
      <c r="D4055">
        <v>2430</v>
      </c>
      <c r="E4055" t="s">
        <v>376</v>
      </c>
      <c r="F4055" s="4">
        <v>12203</v>
      </c>
      <c r="G4055" s="4">
        <v>0</v>
      </c>
      <c r="H4055" s="4">
        <v>0</v>
      </c>
      <c r="I4055" s="4">
        <v>0</v>
      </c>
      <c r="J4055" s="4">
        <v>12203</v>
      </c>
    </row>
    <row r="4056" spans="1:10" x14ac:dyDescent="0.75">
      <c r="A4056" t="s">
        <v>151</v>
      </c>
      <c r="B4056">
        <v>4826</v>
      </c>
      <c r="C4056" t="s">
        <v>56</v>
      </c>
      <c r="D4056">
        <v>7210</v>
      </c>
      <c r="E4056" t="s">
        <v>426</v>
      </c>
      <c r="F4056" s="4">
        <v>11465</v>
      </c>
      <c r="G4056" s="4">
        <v>0</v>
      </c>
      <c r="H4056" s="4">
        <v>0</v>
      </c>
      <c r="I4056" s="4">
        <v>0</v>
      </c>
      <c r="J4056" s="4">
        <v>11465</v>
      </c>
    </row>
    <row r="4057" spans="1:10" x14ac:dyDescent="0.75">
      <c r="A4057" t="s">
        <v>151</v>
      </c>
      <c r="B4057">
        <v>4826</v>
      </c>
      <c r="C4057" t="s">
        <v>56</v>
      </c>
      <c r="D4057">
        <v>6782</v>
      </c>
      <c r="E4057" t="s">
        <v>396</v>
      </c>
      <c r="F4057" s="4">
        <v>8481</v>
      </c>
      <c r="G4057" s="4">
        <v>0</v>
      </c>
      <c r="H4057" s="4">
        <v>0</v>
      </c>
      <c r="I4057" s="4">
        <v>0</v>
      </c>
      <c r="J4057" s="4">
        <v>8481</v>
      </c>
    </row>
    <row r="4058" spans="1:10" x14ac:dyDescent="0.75">
      <c r="A4058" t="s">
        <v>151</v>
      </c>
      <c r="B4058">
        <v>4826</v>
      </c>
      <c r="C4058" t="s">
        <v>56</v>
      </c>
      <c r="D4058">
        <v>7110</v>
      </c>
      <c r="E4058" t="s">
        <v>371</v>
      </c>
      <c r="F4058" s="4">
        <v>8354</v>
      </c>
      <c r="G4058" s="4">
        <v>0</v>
      </c>
      <c r="H4058" s="4">
        <v>0</v>
      </c>
      <c r="I4058" s="4">
        <v>0</v>
      </c>
      <c r="J4058" s="4">
        <v>8354</v>
      </c>
    </row>
    <row r="4059" spans="1:10" x14ac:dyDescent="0.75">
      <c r="A4059" t="s">
        <v>151</v>
      </c>
      <c r="B4059">
        <v>4826</v>
      </c>
      <c r="C4059" t="s">
        <v>56</v>
      </c>
      <c r="D4059">
        <v>5480</v>
      </c>
      <c r="E4059" t="s">
        <v>386</v>
      </c>
      <c r="F4059" s="4">
        <v>8206</v>
      </c>
      <c r="G4059" s="4">
        <v>0</v>
      </c>
      <c r="H4059" s="4">
        <v>0</v>
      </c>
      <c r="I4059" s="4">
        <v>0</v>
      </c>
      <c r="J4059" s="4">
        <v>8206</v>
      </c>
    </row>
    <row r="4060" spans="1:10" x14ac:dyDescent="0.75">
      <c r="A4060" t="s">
        <v>151</v>
      </c>
      <c r="B4060">
        <v>4826</v>
      </c>
      <c r="C4060" t="s">
        <v>56</v>
      </c>
      <c r="D4060">
        <v>2211</v>
      </c>
      <c r="E4060" t="s">
        <v>367</v>
      </c>
      <c r="F4060" s="4">
        <v>7943</v>
      </c>
      <c r="G4060" s="4">
        <v>0</v>
      </c>
      <c r="H4060" s="4">
        <v>0</v>
      </c>
      <c r="I4060" s="4">
        <v>0</v>
      </c>
      <c r="J4060" s="4">
        <v>7943</v>
      </c>
    </row>
    <row r="4061" spans="1:10" x14ac:dyDescent="0.75">
      <c r="A4061" t="s">
        <v>151</v>
      </c>
      <c r="B4061">
        <v>4826</v>
      </c>
      <c r="C4061" t="s">
        <v>56</v>
      </c>
      <c r="D4061">
        <v>5360</v>
      </c>
      <c r="E4061" t="s">
        <v>465</v>
      </c>
      <c r="F4061" s="4">
        <v>7572</v>
      </c>
      <c r="G4061" s="4">
        <v>0</v>
      </c>
      <c r="H4061" s="4">
        <v>0</v>
      </c>
      <c r="I4061" s="4">
        <v>0</v>
      </c>
      <c r="J4061" s="4">
        <v>7572</v>
      </c>
    </row>
    <row r="4062" spans="1:10" x14ac:dyDescent="0.75">
      <c r="A4062" t="s">
        <v>151</v>
      </c>
      <c r="B4062">
        <v>4826</v>
      </c>
      <c r="C4062" t="s">
        <v>56</v>
      </c>
      <c r="D4062">
        <v>4783</v>
      </c>
      <c r="E4062" t="s">
        <v>382</v>
      </c>
      <c r="F4062" s="4">
        <v>7495</v>
      </c>
      <c r="G4062" s="4">
        <v>0</v>
      </c>
      <c r="H4062" s="4">
        <v>0</v>
      </c>
      <c r="I4062" s="4">
        <v>0</v>
      </c>
      <c r="J4062" s="4">
        <v>7495</v>
      </c>
    </row>
    <row r="4063" spans="1:10" x14ac:dyDescent="0.75">
      <c r="A4063" t="s">
        <v>151</v>
      </c>
      <c r="B4063">
        <v>4826</v>
      </c>
      <c r="C4063" t="s">
        <v>56</v>
      </c>
      <c r="D4063">
        <v>4189</v>
      </c>
      <c r="E4063" t="s">
        <v>451</v>
      </c>
      <c r="F4063" s="4">
        <v>6188</v>
      </c>
      <c r="G4063" s="4">
        <v>0</v>
      </c>
      <c r="H4063" s="4">
        <v>0</v>
      </c>
      <c r="I4063" s="4">
        <v>0</v>
      </c>
      <c r="J4063" s="4">
        <v>6188</v>
      </c>
    </row>
    <row r="4064" spans="1:10" x14ac:dyDescent="0.75">
      <c r="A4064" t="s">
        <v>151</v>
      </c>
      <c r="B4064">
        <v>4826</v>
      </c>
      <c r="C4064" t="s">
        <v>56</v>
      </c>
      <c r="D4064">
        <v>3299</v>
      </c>
      <c r="E4064" t="s">
        <v>448</v>
      </c>
      <c r="F4064" s="4">
        <v>5474</v>
      </c>
      <c r="G4064" s="4">
        <v>0</v>
      </c>
      <c r="H4064" s="4">
        <v>0</v>
      </c>
      <c r="I4064" s="4">
        <v>0</v>
      </c>
      <c r="J4064" s="4">
        <v>5474</v>
      </c>
    </row>
    <row r="4065" spans="1:10" x14ac:dyDescent="0.75">
      <c r="A4065" t="s">
        <v>151</v>
      </c>
      <c r="B4065">
        <v>4826</v>
      </c>
      <c r="C4065" t="s">
        <v>56</v>
      </c>
      <c r="D4065">
        <v>2990</v>
      </c>
      <c r="E4065" t="s">
        <v>432</v>
      </c>
      <c r="F4065" s="4">
        <v>4835</v>
      </c>
      <c r="G4065" s="4">
        <v>0</v>
      </c>
      <c r="H4065" s="4">
        <v>0</v>
      </c>
      <c r="I4065" s="4">
        <v>0</v>
      </c>
      <c r="J4065" s="4">
        <v>4835</v>
      </c>
    </row>
    <row r="4066" spans="1:10" x14ac:dyDescent="0.75">
      <c r="A4066" t="s">
        <v>151</v>
      </c>
      <c r="B4066">
        <v>4826</v>
      </c>
      <c r="C4066" t="s">
        <v>56</v>
      </c>
      <c r="D4066">
        <v>5190</v>
      </c>
      <c r="E4066" t="s">
        <v>462</v>
      </c>
      <c r="F4066" s="4">
        <v>4460</v>
      </c>
      <c r="G4066" s="4">
        <v>0</v>
      </c>
      <c r="H4066" s="4">
        <v>0</v>
      </c>
      <c r="I4066" s="4">
        <v>0</v>
      </c>
      <c r="J4066" s="4">
        <v>4460</v>
      </c>
    </row>
    <row r="4067" spans="1:10" x14ac:dyDescent="0.75">
      <c r="A4067" t="s">
        <v>151</v>
      </c>
      <c r="B4067">
        <v>4826</v>
      </c>
      <c r="C4067" t="s">
        <v>56</v>
      </c>
      <c r="D4067">
        <v>5290</v>
      </c>
      <c r="E4067" t="s">
        <v>415</v>
      </c>
      <c r="F4067" s="4">
        <v>3535</v>
      </c>
      <c r="G4067" s="4">
        <v>0</v>
      </c>
      <c r="H4067" s="4">
        <v>0</v>
      </c>
      <c r="I4067" s="4">
        <v>0</v>
      </c>
      <c r="J4067" s="4">
        <v>3535</v>
      </c>
    </row>
    <row r="4068" spans="1:10" x14ac:dyDescent="0.75">
      <c r="A4068" t="s">
        <v>151</v>
      </c>
      <c r="B4068">
        <v>4826</v>
      </c>
      <c r="C4068" t="s">
        <v>56</v>
      </c>
      <c r="D4068">
        <v>7120</v>
      </c>
      <c r="E4068" t="s">
        <v>499</v>
      </c>
      <c r="F4068" s="4">
        <v>3472</v>
      </c>
      <c r="G4068" s="4">
        <v>0</v>
      </c>
      <c r="H4068" s="4">
        <v>0</v>
      </c>
      <c r="I4068" s="4">
        <v>0</v>
      </c>
      <c r="J4068" s="4">
        <v>3472</v>
      </c>
    </row>
    <row r="4069" spans="1:10" x14ac:dyDescent="0.75">
      <c r="A4069" t="s">
        <v>151</v>
      </c>
      <c r="B4069">
        <v>4826</v>
      </c>
      <c r="C4069" t="s">
        <v>56</v>
      </c>
      <c r="D4069">
        <v>4420</v>
      </c>
      <c r="E4069" t="s">
        <v>381</v>
      </c>
      <c r="F4069" s="4">
        <v>2598</v>
      </c>
      <c r="G4069" s="4">
        <v>0</v>
      </c>
      <c r="H4069" s="4">
        <v>0</v>
      </c>
      <c r="I4069" s="4">
        <v>0</v>
      </c>
      <c r="J4069" s="4">
        <v>2598</v>
      </c>
    </row>
    <row r="4070" spans="1:10" x14ac:dyDescent="0.75">
      <c r="A4070" t="s">
        <v>151</v>
      </c>
      <c r="B4070">
        <v>4826</v>
      </c>
      <c r="C4070" t="s">
        <v>56</v>
      </c>
      <c r="D4070">
        <v>4225</v>
      </c>
      <c r="E4070" t="s">
        <v>380</v>
      </c>
      <c r="F4070" s="4">
        <v>2081</v>
      </c>
      <c r="G4070" s="4">
        <v>0</v>
      </c>
      <c r="H4070" s="4">
        <v>0</v>
      </c>
      <c r="I4070" s="4">
        <v>0</v>
      </c>
      <c r="J4070" s="4">
        <v>2081</v>
      </c>
    </row>
    <row r="4071" spans="1:10" x14ac:dyDescent="0.75">
      <c r="A4071" t="s">
        <v>151</v>
      </c>
      <c r="B4071">
        <v>4826</v>
      </c>
      <c r="C4071" t="s">
        <v>56</v>
      </c>
      <c r="D4071">
        <v>7500</v>
      </c>
      <c r="E4071" t="s">
        <v>427</v>
      </c>
      <c r="F4071" s="4">
        <v>1427</v>
      </c>
      <c r="G4071" s="4">
        <v>0</v>
      </c>
      <c r="H4071" s="4">
        <v>0</v>
      </c>
      <c r="I4071" s="4">
        <v>0</v>
      </c>
      <c r="J4071" s="4">
        <v>1427</v>
      </c>
    </row>
    <row r="4072" spans="1:10" x14ac:dyDescent="0.75">
      <c r="A4072" t="s">
        <v>151</v>
      </c>
      <c r="B4072">
        <v>4826</v>
      </c>
      <c r="C4072" t="s">
        <v>56</v>
      </c>
      <c r="D4072">
        <v>6136</v>
      </c>
      <c r="E4072" t="s">
        <v>471</v>
      </c>
      <c r="F4072" s="4">
        <v>1350</v>
      </c>
      <c r="G4072" s="4">
        <v>0</v>
      </c>
      <c r="H4072" s="4">
        <v>0</v>
      </c>
      <c r="I4072" s="4">
        <v>0</v>
      </c>
      <c r="J4072" s="4">
        <v>1350</v>
      </c>
    </row>
    <row r="4073" spans="1:10" x14ac:dyDescent="0.75">
      <c r="A4073" t="s">
        <v>151</v>
      </c>
      <c r="B4073">
        <v>4826</v>
      </c>
      <c r="C4073" t="s">
        <v>56</v>
      </c>
      <c r="D4073">
        <v>3293</v>
      </c>
      <c r="E4073" t="s">
        <v>445</v>
      </c>
      <c r="F4073" s="4">
        <v>1309</v>
      </c>
      <c r="G4073" s="4">
        <v>0</v>
      </c>
      <c r="H4073" s="4">
        <v>0</v>
      </c>
      <c r="I4073" s="4">
        <v>0</v>
      </c>
      <c r="J4073" s="4">
        <v>1309</v>
      </c>
    </row>
    <row r="4074" spans="1:10" x14ac:dyDescent="0.75">
      <c r="A4074" t="s">
        <v>151</v>
      </c>
      <c r="B4074">
        <v>4826</v>
      </c>
      <c r="C4074" t="s">
        <v>56</v>
      </c>
      <c r="D4074">
        <v>7230</v>
      </c>
      <c r="E4074" t="s">
        <v>387</v>
      </c>
      <c r="F4074" s="4">
        <v>1253</v>
      </c>
      <c r="G4074" s="4">
        <v>0</v>
      </c>
      <c r="H4074" s="4">
        <v>0</v>
      </c>
      <c r="I4074" s="4">
        <v>0</v>
      </c>
      <c r="J4074" s="4">
        <v>1253</v>
      </c>
    </row>
    <row r="4075" spans="1:10" x14ac:dyDescent="0.75">
      <c r="A4075" t="s">
        <v>151</v>
      </c>
      <c r="B4075">
        <v>4826</v>
      </c>
      <c r="C4075" t="s">
        <v>56</v>
      </c>
      <c r="D4075">
        <v>5370</v>
      </c>
      <c r="E4075" t="s">
        <v>466</v>
      </c>
      <c r="F4075" s="4">
        <v>1162</v>
      </c>
      <c r="G4075" s="4">
        <v>0</v>
      </c>
      <c r="H4075" s="4">
        <v>0</v>
      </c>
      <c r="I4075" s="4">
        <v>0</v>
      </c>
      <c r="J4075" s="4">
        <v>1162</v>
      </c>
    </row>
    <row r="4076" spans="1:10" x14ac:dyDescent="0.75">
      <c r="A4076" t="s">
        <v>151</v>
      </c>
      <c r="B4076">
        <v>4826</v>
      </c>
      <c r="C4076" t="s">
        <v>56</v>
      </c>
      <c r="D4076">
        <v>5540</v>
      </c>
      <c r="E4076" t="s">
        <v>469</v>
      </c>
      <c r="F4076" s="4">
        <v>999</v>
      </c>
      <c r="G4076" s="4">
        <v>0</v>
      </c>
      <c r="H4076" s="4">
        <v>0</v>
      </c>
      <c r="I4076" s="4">
        <v>0</v>
      </c>
      <c r="J4076" s="4">
        <v>999</v>
      </c>
    </row>
    <row r="4077" spans="1:10" x14ac:dyDescent="0.75">
      <c r="A4077" t="s">
        <v>151</v>
      </c>
      <c r="B4077">
        <v>4826</v>
      </c>
      <c r="C4077" t="s">
        <v>56</v>
      </c>
      <c r="D4077">
        <v>5240</v>
      </c>
      <c r="E4077" t="s">
        <v>464</v>
      </c>
      <c r="F4077" s="4">
        <v>882</v>
      </c>
      <c r="G4077" s="4">
        <v>0</v>
      </c>
      <c r="H4077" s="4">
        <v>0</v>
      </c>
      <c r="I4077" s="4">
        <v>0</v>
      </c>
      <c r="J4077" s="4">
        <v>882</v>
      </c>
    </row>
    <row r="4078" spans="1:10" x14ac:dyDescent="0.75">
      <c r="A4078" t="s">
        <v>151</v>
      </c>
      <c r="B4078">
        <v>4826</v>
      </c>
      <c r="C4078" t="s">
        <v>56</v>
      </c>
      <c r="D4078">
        <v>3282</v>
      </c>
      <c r="E4078" t="s">
        <v>440</v>
      </c>
      <c r="F4078" s="4">
        <v>837</v>
      </c>
      <c r="G4078" s="4">
        <v>0</v>
      </c>
      <c r="H4078" s="4">
        <v>0</v>
      </c>
      <c r="I4078" s="4">
        <v>0</v>
      </c>
      <c r="J4078" s="4">
        <v>837</v>
      </c>
    </row>
    <row r="4079" spans="1:10" x14ac:dyDescent="0.75">
      <c r="A4079" t="s">
        <v>151</v>
      </c>
      <c r="B4079">
        <v>4826</v>
      </c>
      <c r="C4079" t="s">
        <v>56</v>
      </c>
      <c r="D4079">
        <v>7220</v>
      </c>
      <c r="E4079" t="s">
        <v>500</v>
      </c>
      <c r="F4079" s="4">
        <v>546</v>
      </c>
      <c r="G4079" s="4">
        <v>0</v>
      </c>
      <c r="H4079" s="4">
        <v>0</v>
      </c>
      <c r="I4079" s="4">
        <v>0</v>
      </c>
      <c r="J4079" s="4">
        <v>546</v>
      </c>
    </row>
    <row r="4080" spans="1:10" x14ac:dyDescent="0.75">
      <c r="A4080" t="s">
        <v>151</v>
      </c>
      <c r="B4080">
        <v>4826</v>
      </c>
      <c r="C4080" t="s">
        <v>56</v>
      </c>
      <c r="D4080">
        <v>7600</v>
      </c>
      <c r="E4080" t="s">
        <v>503</v>
      </c>
      <c r="F4080" s="4">
        <v>438</v>
      </c>
      <c r="G4080" s="4">
        <v>0</v>
      </c>
      <c r="H4080" s="4">
        <v>0</v>
      </c>
      <c r="I4080" s="4">
        <v>0</v>
      </c>
      <c r="J4080" s="4">
        <v>438</v>
      </c>
    </row>
    <row r="4081" spans="1:10" x14ac:dyDescent="0.75">
      <c r="A4081" t="s">
        <v>151</v>
      </c>
      <c r="B4081">
        <v>4826</v>
      </c>
      <c r="C4081" t="s">
        <v>56</v>
      </c>
      <c r="D4081">
        <v>6835</v>
      </c>
      <c r="E4081" t="s">
        <v>483</v>
      </c>
      <c r="F4081" s="4">
        <v>376</v>
      </c>
      <c r="G4081" s="4">
        <v>0</v>
      </c>
      <c r="H4081" s="4">
        <v>0</v>
      </c>
      <c r="I4081" s="4">
        <v>0</v>
      </c>
      <c r="J4081" s="4">
        <v>376</v>
      </c>
    </row>
    <row r="4082" spans="1:10" x14ac:dyDescent="0.75">
      <c r="A4082" t="s">
        <v>151</v>
      </c>
      <c r="B4082">
        <v>4826</v>
      </c>
      <c r="C4082" t="s">
        <v>56</v>
      </c>
      <c r="D4082">
        <v>3286</v>
      </c>
      <c r="E4082" t="s">
        <v>423</v>
      </c>
      <c r="F4082" s="4">
        <v>309</v>
      </c>
      <c r="G4082" s="4">
        <v>0</v>
      </c>
      <c r="H4082" s="4">
        <v>0</v>
      </c>
      <c r="I4082" s="4">
        <v>0</v>
      </c>
      <c r="J4082" s="4">
        <v>309</v>
      </c>
    </row>
    <row r="4083" spans="1:10" x14ac:dyDescent="0.75">
      <c r="A4083" t="s">
        <v>151</v>
      </c>
      <c r="B4083">
        <v>4826</v>
      </c>
      <c r="C4083" t="s">
        <v>56</v>
      </c>
      <c r="D4083">
        <v>2340</v>
      </c>
      <c r="E4083" t="s">
        <v>369</v>
      </c>
      <c r="F4083" s="4">
        <v>283</v>
      </c>
      <c r="G4083" s="4">
        <v>0</v>
      </c>
      <c r="H4083" s="4">
        <v>0</v>
      </c>
      <c r="I4083" s="4">
        <v>0</v>
      </c>
      <c r="J4083" s="4">
        <v>283</v>
      </c>
    </row>
    <row r="4084" spans="1:10" x14ac:dyDescent="0.75">
      <c r="A4084" t="s">
        <v>151</v>
      </c>
      <c r="B4084">
        <v>4826</v>
      </c>
      <c r="C4084" t="s">
        <v>56</v>
      </c>
      <c r="D4084">
        <v>6899</v>
      </c>
      <c r="E4084" t="s">
        <v>498</v>
      </c>
      <c r="F4084" s="4">
        <v>120</v>
      </c>
      <c r="G4084" s="4">
        <v>0</v>
      </c>
      <c r="H4084" s="4">
        <v>0</v>
      </c>
      <c r="I4084" s="4">
        <v>0</v>
      </c>
      <c r="J4084" s="4">
        <v>120</v>
      </c>
    </row>
    <row r="4085" spans="1:10" x14ac:dyDescent="0.75">
      <c r="A4085" t="s">
        <v>151</v>
      </c>
      <c r="B4085">
        <v>4826</v>
      </c>
      <c r="C4085" t="s">
        <v>56</v>
      </c>
      <c r="D4085">
        <v>3220</v>
      </c>
      <c r="E4085" t="s">
        <v>370</v>
      </c>
      <c r="F4085" s="4">
        <v>104</v>
      </c>
      <c r="G4085" s="4">
        <v>0</v>
      </c>
      <c r="H4085" s="4">
        <v>0</v>
      </c>
      <c r="I4085" s="4">
        <v>0</v>
      </c>
      <c r="J4085" s="4">
        <v>104</v>
      </c>
    </row>
    <row r="4086" spans="1:10" x14ac:dyDescent="0.75">
      <c r="A4086" t="s">
        <v>151</v>
      </c>
      <c r="B4086">
        <v>4826</v>
      </c>
      <c r="C4086" t="s">
        <v>56</v>
      </c>
      <c r="D4086">
        <v>5330</v>
      </c>
      <c r="E4086" t="s">
        <v>385</v>
      </c>
      <c r="F4086" s="4">
        <v>51</v>
      </c>
      <c r="G4086" s="4">
        <v>0</v>
      </c>
      <c r="H4086" s="4">
        <v>0</v>
      </c>
      <c r="I4086" s="4">
        <v>0</v>
      </c>
      <c r="J4086" s="4">
        <v>51</v>
      </c>
    </row>
    <row r="4087" spans="1:10" x14ac:dyDescent="0.75">
      <c r="A4087" t="s">
        <v>151</v>
      </c>
      <c r="B4087">
        <v>4826</v>
      </c>
      <c r="C4087" t="s">
        <v>56</v>
      </c>
      <c r="D4087">
        <v>4170</v>
      </c>
      <c r="E4087" t="s">
        <v>424</v>
      </c>
      <c r="F4087" s="4">
        <v>3</v>
      </c>
      <c r="G4087" s="4">
        <v>0</v>
      </c>
      <c r="H4087" s="4">
        <v>0</v>
      </c>
      <c r="I4087" s="4">
        <v>0</v>
      </c>
      <c r="J4087" s="4">
        <v>3</v>
      </c>
    </row>
    <row r="4088" spans="1:10" x14ac:dyDescent="0.75">
      <c r="A4088" t="s">
        <v>160</v>
      </c>
      <c r="B4088">
        <v>3784</v>
      </c>
      <c r="C4088" t="s">
        <v>347</v>
      </c>
      <c r="D4088">
        <v>4335</v>
      </c>
      <c r="E4088" t="s">
        <v>372</v>
      </c>
      <c r="F4088" s="4">
        <v>1450</v>
      </c>
      <c r="G4088" s="4">
        <v>0</v>
      </c>
      <c r="H4088" s="4">
        <v>0</v>
      </c>
      <c r="I4088" s="4">
        <v>0</v>
      </c>
      <c r="J4088" s="4">
        <v>1450</v>
      </c>
    </row>
    <row r="4089" spans="1:10" x14ac:dyDescent="0.75">
      <c r="A4089" t="s">
        <v>160</v>
      </c>
      <c r="B4089">
        <v>3784</v>
      </c>
      <c r="C4089" t="s">
        <v>347</v>
      </c>
      <c r="D4089">
        <v>7110</v>
      </c>
      <c r="E4089" t="s">
        <v>371</v>
      </c>
      <c r="F4089" s="4">
        <v>80</v>
      </c>
      <c r="G4089" s="4">
        <v>0</v>
      </c>
      <c r="H4089" s="4">
        <v>0</v>
      </c>
      <c r="I4089" s="4">
        <v>0</v>
      </c>
      <c r="J4089" s="4">
        <v>80</v>
      </c>
    </row>
    <row r="4090" spans="1:10" x14ac:dyDescent="0.75">
      <c r="A4090" t="s">
        <v>160</v>
      </c>
      <c r="B4090">
        <v>3784</v>
      </c>
      <c r="C4090" t="s">
        <v>347</v>
      </c>
      <c r="D4090">
        <v>3293</v>
      </c>
      <c r="E4090" t="s">
        <v>445</v>
      </c>
      <c r="F4090" s="4">
        <v>10</v>
      </c>
      <c r="G4090" s="4">
        <v>0</v>
      </c>
      <c r="H4090" s="4">
        <v>0</v>
      </c>
      <c r="I4090" s="4">
        <v>0</v>
      </c>
      <c r="J4090" s="4">
        <v>10</v>
      </c>
    </row>
    <row r="4091" spans="1:10" x14ac:dyDescent="0.75">
      <c r="A4091" t="s">
        <v>151</v>
      </c>
      <c r="B4091">
        <v>552</v>
      </c>
      <c r="C4091" t="s">
        <v>161</v>
      </c>
      <c r="D4091">
        <v>2100</v>
      </c>
      <c r="E4091" t="s">
        <v>403</v>
      </c>
      <c r="F4091" s="4">
        <v>5473533</v>
      </c>
      <c r="G4091" s="4">
        <v>2843802</v>
      </c>
      <c r="H4091" s="4">
        <v>2843802</v>
      </c>
      <c r="I4091" s="4">
        <v>0</v>
      </c>
      <c r="J4091" s="4">
        <v>8317335</v>
      </c>
    </row>
    <row r="4092" spans="1:10" x14ac:dyDescent="0.75">
      <c r="A4092" t="s">
        <v>151</v>
      </c>
      <c r="B4092">
        <v>552</v>
      </c>
      <c r="C4092" t="s">
        <v>161</v>
      </c>
      <c r="D4092">
        <v>2640</v>
      </c>
      <c r="E4092" t="s">
        <v>431</v>
      </c>
      <c r="F4092" s="4">
        <v>0</v>
      </c>
      <c r="G4092" s="4">
        <v>4470951</v>
      </c>
      <c r="H4092" s="4">
        <v>110</v>
      </c>
      <c r="I4092" s="4">
        <v>4470841</v>
      </c>
      <c r="J4092" s="4">
        <v>4470951</v>
      </c>
    </row>
    <row r="4093" spans="1:10" x14ac:dyDescent="0.75">
      <c r="A4093" t="s">
        <v>151</v>
      </c>
      <c r="B4093">
        <v>552</v>
      </c>
      <c r="C4093" t="s">
        <v>161</v>
      </c>
      <c r="D4093">
        <v>3211</v>
      </c>
      <c r="E4093" t="s">
        <v>433</v>
      </c>
      <c r="F4093" s="4">
        <v>0</v>
      </c>
      <c r="G4093" s="4">
        <v>1571661</v>
      </c>
      <c r="H4093" s="4">
        <v>653</v>
      </c>
      <c r="I4093" s="4">
        <v>1571008</v>
      </c>
      <c r="J4093" s="4">
        <v>1571661</v>
      </c>
    </row>
    <row r="4094" spans="1:10" x14ac:dyDescent="0.75">
      <c r="A4094" t="s">
        <v>151</v>
      </c>
      <c r="B4094">
        <v>552</v>
      </c>
      <c r="C4094" t="s">
        <v>161</v>
      </c>
      <c r="D4094">
        <v>6857</v>
      </c>
      <c r="E4094" t="s">
        <v>487</v>
      </c>
      <c r="F4094" s="4">
        <v>0</v>
      </c>
      <c r="G4094" s="4">
        <v>1511078</v>
      </c>
      <c r="H4094" s="4">
        <v>1508759</v>
      </c>
      <c r="I4094" s="4">
        <v>2319</v>
      </c>
      <c r="J4094" s="4">
        <v>1511078</v>
      </c>
    </row>
    <row r="4095" spans="1:10" x14ac:dyDescent="0.75">
      <c r="A4095" t="s">
        <v>151</v>
      </c>
      <c r="B4095">
        <v>552</v>
      </c>
      <c r="C4095" t="s">
        <v>161</v>
      </c>
      <c r="D4095">
        <v>2211</v>
      </c>
      <c r="E4095" t="s">
        <v>367</v>
      </c>
      <c r="F4095" s="4">
        <v>1249163</v>
      </c>
      <c r="G4095" s="4">
        <v>247910</v>
      </c>
      <c r="H4095" s="4">
        <v>247480</v>
      </c>
      <c r="I4095" s="4">
        <v>430</v>
      </c>
      <c r="J4095" s="4">
        <v>1497073</v>
      </c>
    </row>
    <row r="4096" spans="1:10" x14ac:dyDescent="0.75">
      <c r="A4096" t="s">
        <v>151</v>
      </c>
      <c r="B4096">
        <v>552</v>
      </c>
      <c r="C4096" t="s">
        <v>161</v>
      </c>
      <c r="D4096">
        <v>7900</v>
      </c>
      <c r="E4096" t="s">
        <v>388</v>
      </c>
      <c r="F4096" s="4">
        <v>409169</v>
      </c>
      <c r="G4096" s="4">
        <v>331712</v>
      </c>
      <c r="H4096" s="4">
        <v>201994</v>
      </c>
      <c r="I4096" s="4">
        <v>129718</v>
      </c>
      <c r="J4096" s="4">
        <v>740881</v>
      </c>
    </row>
    <row r="4097" spans="1:10" x14ac:dyDescent="0.75">
      <c r="A4097" t="s">
        <v>151</v>
      </c>
      <c r="B4097">
        <v>552</v>
      </c>
      <c r="C4097" t="s">
        <v>161</v>
      </c>
      <c r="D4097">
        <v>3219</v>
      </c>
      <c r="E4097" t="s">
        <v>378</v>
      </c>
      <c r="F4097" s="4">
        <v>654477</v>
      </c>
      <c r="G4097" s="4">
        <v>75391</v>
      </c>
      <c r="H4097" s="4">
        <v>73543</v>
      </c>
      <c r="I4097" s="4">
        <v>1848</v>
      </c>
      <c r="J4097" s="4">
        <v>729868</v>
      </c>
    </row>
    <row r="4098" spans="1:10" x14ac:dyDescent="0.75">
      <c r="A4098" t="s">
        <v>151</v>
      </c>
      <c r="B4098">
        <v>552</v>
      </c>
      <c r="C4098" t="s">
        <v>161</v>
      </c>
      <c r="D4098">
        <v>4783</v>
      </c>
      <c r="E4098" t="s">
        <v>382</v>
      </c>
      <c r="F4098" s="4">
        <v>0</v>
      </c>
      <c r="G4098" s="4">
        <v>714389</v>
      </c>
      <c r="H4098" s="4">
        <v>712429</v>
      </c>
      <c r="I4098" s="4">
        <v>1960</v>
      </c>
      <c r="J4098" s="4">
        <v>714389</v>
      </c>
    </row>
    <row r="4099" spans="1:10" x14ac:dyDescent="0.75">
      <c r="A4099" t="s">
        <v>151</v>
      </c>
      <c r="B4099">
        <v>552</v>
      </c>
      <c r="C4099" t="s">
        <v>161</v>
      </c>
      <c r="D4099">
        <v>2340</v>
      </c>
      <c r="E4099" t="s">
        <v>369</v>
      </c>
      <c r="F4099" s="4">
        <v>689781</v>
      </c>
      <c r="G4099" s="4">
        <v>0</v>
      </c>
      <c r="H4099" s="4">
        <v>0</v>
      </c>
      <c r="I4099" s="4">
        <v>0</v>
      </c>
      <c r="J4099" s="4">
        <v>689781</v>
      </c>
    </row>
    <row r="4100" spans="1:10" x14ac:dyDescent="0.75">
      <c r="A4100" t="s">
        <v>151</v>
      </c>
      <c r="B4100">
        <v>552</v>
      </c>
      <c r="C4100" t="s">
        <v>161</v>
      </c>
      <c r="D4100">
        <v>6811</v>
      </c>
      <c r="E4100" t="s">
        <v>480</v>
      </c>
      <c r="F4100" s="4">
        <v>0</v>
      </c>
      <c r="G4100" s="4">
        <v>598529</v>
      </c>
      <c r="H4100" s="4">
        <v>500222</v>
      </c>
      <c r="I4100" s="4">
        <v>98307</v>
      </c>
      <c r="J4100" s="4">
        <v>598529</v>
      </c>
    </row>
    <row r="4101" spans="1:10" x14ac:dyDescent="0.75">
      <c r="A4101" t="s">
        <v>151</v>
      </c>
      <c r="B4101">
        <v>552</v>
      </c>
      <c r="C4101" t="s">
        <v>161</v>
      </c>
      <c r="D4101">
        <v>4225</v>
      </c>
      <c r="E4101" t="s">
        <v>380</v>
      </c>
      <c r="F4101" s="4">
        <v>0</v>
      </c>
      <c r="G4101" s="4">
        <v>595798</v>
      </c>
      <c r="H4101" s="4">
        <v>486244</v>
      </c>
      <c r="I4101" s="4">
        <v>109554</v>
      </c>
      <c r="J4101" s="4">
        <v>595798</v>
      </c>
    </row>
    <row r="4102" spans="1:10" x14ac:dyDescent="0.75">
      <c r="A4102" t="s">
        <v>151</v>
      </c>
      <c r="B4102">
        <v>552</v>
      </c>
      <c r="C4102" t="s">
        <v>161</v>
      </c>
      <c r="D4102">
        <v>5220</v>
      </c>
      <c r="E4102" t="s">
        <v>401</v>
      </c>
      <c r="F4102" s="4">
        <v>0</v>
      </c>
      <c r="G4102" s="4">
        <v>579349</v>
      </c>
      <c r="H4102" s="4">
        <v>579163</v>
      </c>
      <c r="I4102" s="4">
        <v>186</v>
      </c>
      <c r="J4102" s="4">
        <v>579349</v>
      </c>
    </row>
    <row r="4103" spans="1:10" x14ac:dyDescent="0.75">
      <c r="A4103" t="s">
        <v>151</v>
      </c>
      <c r="B4103">
        <v>552</v>
      </c>
      <c r="C4103" t="s">
        <v>161</v>
      </c>
      <c r="D4103">
        <v>3220</v>
      </c>
      <c r="E4103" t="s">
        <v>370</v>
      </c>
      <c r="F4103" s="4">
        <v>539891</v>
      </c>
      <c r="G4103" s="4">
        <v>26353</v>
      </c>
      <c r="H4103" s="4">
        <v>21314</v>
      </c>
      <c r="I4103" s="4">
        <v>5039</v>
      </c>
      <c r="J4103" s="4">
        <v>566244</v>
      </c>
    </row>
    <row r="4104" spans="1:10" x14ac:dyDescent="0.75">
      <c r="A4104" t="s">
        <v>151</v>
      </c>
      <c r="B4104">
        <v>552</v>
      </c>
      <c r="C4104" t="s">
        <v>161</v>
      </c>
      <c r="D4104">
        <v>6872</v>
      </c>
      <c r="E4104" t="s">
        <v>492</v>
      </c>
      <c r="F4104" s="4">
        <v>0</v>
      </c>
      <c r="G4104" s="4">
        <v>503950</v>
      </c>
      <c r="H4104" s="4">
        <v>496938</v>
      </c>
      <c r="I4104" s="4">
        <v>7012</v>
      </c>
      <c r="J4104" s="4">
        <v>503950</v>
      </c>
    </row>
    <row r="4105" spans="1:10" x14ac:dyDescent="0.75">
      <c r="A4105" t="s">
        <v>151</v>
      </c>
      <c r="B4105">
        <v>552</v>
      </c>
      <c r="C4105" t="s">
        <v>161</v>
      </c>
      <c r="D4105">
        <v>6856</v>
      </c>
      <c r="E4105" t="s">
        <v>486</v>
      </c>
      <c r="F4105" s="4">
        <v>0</v>
      </c>
      <c r="G4105" s="4">
        <v>421373</v>
      </c>
      <c r="H4105" s="4">
        <v>421305</v>
      </c>
      <c r="I4105" s="4">
        <v>68</v>
      </c>
      <c r="J4105" s="4">
        <v>421373</v>
      </c>
    </row>
    <row r="4106" spans="1:10" x14ac:dyDescent="0.75">
      <c r="A4106" t="s">
        <v>151</v>
      </c>
      <c r="B4106">
        <v>552</v>
      </c>
      <c r="C4106" t="s">
        <v>161</v>
      </c>
      <c r="D4106">
        <v>7210</v>
      </c>
      <c r="E4106" t="s">
        <v>426</v>
      </c>
      <c r="F4106" s="4">
        <v>0</v>
      </c>
      <c r="G4106" s="4">
        <v>418128</v>
      </c>
      <c r="H4106" s="4">
        <v>389641</v>
      </c>
      <c r="I4106" s="4">
        <v>28487</v>
      </c>
      <c r="J4106" s="4">
        <v>418128</v>
      </c>
    </row>
    <row r="4107" spans="1:10" x14ac:dyDescent="0.75">
      <c r="A4107" t="s">
        <v>151</v>
      </c>
      <c r="B4107">
        <v>552</v>
      </c>
      <c r="C4107" t="s">
        <v>161</v>
      </c>
      <c r="D4107">
        <v>6889</v>
      </c>
      <c r="E4107" t="s">
        <v>420</v>
      </c>
      <c r="F4107" s="4">
        <v>0</v>
      </c>
      <c r="G4107" s="4">
        <v>407636</v>
      </c>
      <c r="H4107" s="4">
        <v>370452</v>
      </c>
      <c r="I4107" s="4">
        <v>37184</v>
      </c>
      <c r="J4107" s="4">
        <v>407636</v>
      </c>
    </row>
    <row r="4108" spans="1:10" x14ac:dyDescent="0.75">
      <c r="A4108" t="s">
        <v>151</v>
      </c>
      <c r="B4108">
        <v>552</v>
      </c>
      <c r="C4108" t="s">
        <v>161</v>
      </c>
      <c r="D4108">
        <v>5120</v>
      </c>
      <c r="E4108" t="s">
        <v>461</v>
      </c>
      <c r="F4108" s="4">
        <v>0</v>
      </c>
      <c r="G4108" s="4">
        <v>311381</v>
      </c>
      <c r="H4108" s="4">
        <v>244881</v>
      </c>
      <c r="I4108" s="4">
        <v>66500</v>
      </c>
      <c r="J4108" s="4">
        <v>311381</v>
      </c>
    </row>
    <row r="4109" spans="1:10" x14ac:dyDescent="0.75">
      <c r="A4109" t="s">
        <v>151</v>
      </c>
      <c r="B4109">
        <v>552</v>
      </c>
      <c r="C4109" t="s">
        <v>161</v>
      </c>
      <c r="D4109">
        <v>2350</v>
      </c>
      <c r="E4109" t="s">
        <v>404</v>
      </c>
      <c r="F4109" s="4">
        <v>266224</v>
      </c>
      <c r="G4109" s="4">
        <v>532</v>
      </c>
      <c r="H4109" s="4">
        <v>0</v>
      </c>
      <c r="I4109" s="4">
        <v>532</v>
      </c>
      <c r="J4109" s="4">
        <v>266756</v>
      </c>
    </row>
    <row r="4110" spans="1:10" x14ac:dyDescent="0.75">
      <c r="A4110" t="s">
        <v>151</v>
      </c>
      <c r="B4110">
        <v>552</v>
      </c>
      <c r="C4110" t="s">
        <v>161</v>
      </c>
      <c r="D4110">
        <v>2429</v>
      </c>
      <c r="E4110" t="s">
        <v>375</v>
      </c>
      <c r="F4110" s="4">
        <v>259156</v>
      </c>
      <c r="G4110" s="4">
        <v>59</v>
      </c>
      <c r="H4110" s="4">
        <v>8</v>
      </c>
      <c r="I4110" s="4">
        <v>51</v>
      </c>
      <c r="J4110" s="4">
        <v>259215</v>
      </c>
    </row>
    <row r="4111" spans="1:10" x14ac:dyDescent="0.75">
      <c r="A4111" t="s">
        <v>151</v>
      </c>
      <c r="B4111">
        <v>552</v>
      </c>
      <c r="C4111" t="s">
        <v>161</v>
      </c>
      <c r="D4111">
        <v>3110</v>
      </c>
      <c r="E4111" t="s">
        <v>405</v>
      </c>
      <c r="F4111" s="4">
        <v>0</v>
      </c>
      <c r="G4111" s="4">
        <v>257667</v>
      </c>
      <c r="H4111" s="4">
        <v>255803</v>
      </c>
      <c r="I4111" s="4">
        <v>1864</v>
      </c>
      <c r="J4111" s="4">
        <v>257667</v>
      </c>
    </row>
    <row r="4112" spans="1:10" x14ac:dyDescent="0.75">
      <c r="A4112" t="s">
        <v>151</v>
      </c>
      <c r="B4112">
        <v>552</v>
      </c>
      <c r="C4112" t="s">
        <v>161</v>
      </c>
      <c r="D4112">
        <v>4420</v>
      </c>
      <c r="E4112" t="s">
        <v>381</v>
      </c>
      <c r="F4112" s="4">
        <v>22513</v>
      </c>
      <c r="G4112" s="4">
        <v>227942</v>
      </c>
      <c r="H4112" s="4">
        <v>2259</v>
      </c>
      <c r="I4112" s="4">
        <v>225683</v>
      </c>
      <c r="J4112" s="4">
        <v>250455</v>
      </c>
    </row>
    <row r="4113" spans="1:10" x14ac:dyDescent="0.75">
      <c r="A4113" t="s">
        <v>151</v>
      </c>
      <c r="B4113">
        <v>552</v>
      </c>
      <c r="C4113" t="s">
        <v>161</v>
      </c>
      <c r="D4113">
        <v>3286</v>
      </c>
      <c r="E4113" t="s">
        <v>423</v>
      </c>
      <c r="F4113" s="4">
        <v>0</v>
      </c>
      <c r="G4113" s="4">
        <v>226194</v>
      </c>
      <c r="H4113" s="4">
        <v>164156</v>
      </c>
      <c r="I4113" s="4">
        <v>62038</v>
      </c>
      <c r="J4113" s="4">
        <v>226194</v>
      </c>
    </row>
    <row r="4114" spans="1:10" x14ac:dyDescent="0.75">
      <c r="A4114" t="s">
        <v>151</v>
      </c>
      <c r="B4114">
        <v>552</v>
      </c>
      <c r="C4114" t="s">
        <v>161</v>
      </c>
      <c r="D4114">
        <v>4189</v>
      </c>
      <c r="E4114" t="s">
        <v>451</v>
      </c>
      <c r="F4114" s="4">
        <v>0</v>
      </c>
      <c r="G4114" s="4">
        <v>223024</v>
      </c>
      <c r="H4114" s="4">
        <v>221947</v>
      </c>
      <c r="I4114" s="4">
        <v>1077</v>
      </c>
      <c r="J4114" s="4">
        <v>223024</v>
      </c>
    </row>
    <row r="4115" spans="1:10" x14ac:dyDescent="0.75">
      <c r="A4115" t="s">
        <v>151</v>
      </c>
      <c r="B4115">
        <v>552</v>
      </c>
      <c r="C4115" t="s">
        <v>161</v>
      </c>
      <c r="D4115">
        <v>2330</v>
      </c>
      <c r="E4115" t="s">
        <v>368</v>
      </c>
      <c r="F4115" s="4">
        <v>164370</v>
      </c>
      <c r="G4115" s="4">
        <v>50641</v>
      </c>
      <c r="H4115" s="4">
        <v>44526</v>
      </c>
      <c r="I4115" s="4">
        <v>6115</v>
      </c>
      <c r="J4115" s="4">
        <v>215011</v>
      </c>
    </row>
    <row r="4116" spans="1:10" x14ac:dyDescent="0.75">
      <c r="A4116" t="s">
        <v>151</v>
      </c>
      <c r="B4116">
        <v>552</v>
      </c>
      <c r="C4116" t="s">
        <v>161</v>
      </c>
      <c r="D4116">
        <v>7600</v>
      </c>
      <c r="E4116" t="s">
        <v>503</v>
      </c>
      <c r="F4116" s="4">
        <v>0</v>
      </c>
      <c r="G4116" s="4">
        <v>208603</v>
      </c>
      <c r="H4116" s="4">
        <v>162285</v>
      </c>
      <c r="I4116" s="4">
        <v>46318</v>
      </c>
      <c r="J4116" s="4">
        <v>208603</v>
      </c>
    </row>
    <row r="4117" spans="1:10" x14ac:dyDescent="0.75">
      <c r="A4117" t="s">
        <v>151</v>
      </c>
      <c r="B4117">
        <v>552</v>
      </c>
      <c r="C4117" t="s">
        <v>161</v>
      </c>
      <c r="D4117">
        <v>5330</v>
      </c>
      <c r="E4117" t="s">
        <v>385</v>
      </c>
      <c r="F4117" s="4">
        <v>0</v>
      </c>
      <c r="G4117" s="4">
        <v>193331</v>
      </c>
      <c r="H4117" s="4">
        <v>188672</v>
      </c>
      <c r="I4117" s="4">
        <v>4659</v>
      </c>
      <c r="J4117" s="4">
        <v>193331</v>
      </c>
    </row>
    <row r="4118" spans="1:10" x14ac:dyDescent="0.75">
      <c r="A4118" t="s">
        <v>151</v>
      </c>
      <c r="B4118">
        <v>552</v>
      </c>
      <c r="C4118" t="s">
        <v>161</v>
      </c>
      <c r="D4118">
        <v>3260</v>
      </c>
      <c r="E4118" t="s">
        <v>436</v>
      </c>
      <c r="F4118" s="4">
        <v>167353</v>
      </c>
      <c r="G4118" s="4">
        <v>19541</v>
      </c>
      <c r="H4118" s="4">
        <v>12387</v>
      </c>
      <c r="I4118" s="4">
        <v>7154</v>
      </c>
      <c r="J4118" s="4">
        <v>186894</v>
      </c>
    </row>
    <row r="4119" spans="1:10" x14ac:dyDescent="0.75">
      <c r="A4119" t="s">
        <v>151</v>
      </c>
      <c r="B4119">
        <v>552</v>
      </c>
      <c r="C4119" t="s">
        <v>161</v>
      </c>
      <c r="D4119">
        <v>7110</v>
      </c>
      <c r="E4119" t="s">
        <v>371</v>
      </c>
      <c r="F4119" s="4">
        <v>0</v>
      </c>
      <c r="G4119" s="4">
        <v>185543</v>
      </c>
      <c r="H4119" s="4">
        <v>131811</v>
      </c>
      <c r="I4119" s="4">
        <v>53732</v>
      </c>
      <c r="J4119" s="4">
        <v>185543</v>
      </c>
    </row>
    <row r="4120" spans="1:10" x14ac:dyDescent="0.75">
      <c r="A4120" t="s">
        <v>151</v>
      </c>
      <c r="B4120">
        <v>552</v>
      </c>
      <c r="C4120" t="s">
        <v>161</v>
      </c>
      <c r="D4120">
        <v>4860</v>
      </c>
      <c r="E4120" t="s">
        <v>400</v>
      </c>
      <c r="F4120" s="4">
        <v>0</v>
      </c>
      <c r="G4120" s="4">
        <v>173002</v>
      </c>
      <c r="H4120" s="4">
        <v>173002</v>
      </c>
      <c r="I4120" s="4">
        <v>0</v>
      </c>
      <c r="J4120" s="4">
        <v>173002</v>
      </c>
    </row>
    <row r="4121" spans="1:10" x14ac:dyDescent="0.75">
      <c r="A4121" t="s">
        <v>151</v>
      </c>
      <c r="B4121">
        <v>552</v>
      </c>
      <c r="C4121" t="s">
        <v>161</v>
      </c>
      <c r="D4121">
        <v>6654</v>
      </c>
      <c r="E4121" t="s">
        <v>419</v>
      </c>
      <c r="F4121" s="4">
        <v>0</v>
      </c>
      <c r="G4121" s="4">
        <v>170431</v>
      </c>
      <c r="H4121" s="4">
        <v>156943</v>
      </c>
      <c r="I4121" s="4">
        <v>13488</v>
      </c>
      <c r="J4121" s="4">
        <v>170431</v>
      </c>
    </row>
    <row r="4122" spans="1:10" x14ac:dyDescent="0.75">
      <c r="A4122" t="s">
        <v>151</v>
      </c>
      <c r="B4122">
        <v>552</v>
      </c>
      <c r="C4122" t="s">
        <v>161</v>
      </c>
      <c r="D4122">
        <v>5360</v>
      </c>
      <c r="E4122" t="s">
        <v>465</v>
      </c>
      <c r="F4122" s="4">
        <v>538</v>
      </c>
      <c r="G4122" s="4">
        <v>168918</v>
      </c>
      <c r="H4122" s="4">
        <v>166426</v>
      </c>
      <c r="I4122" s="4">
        <v>2492</v>
      </c>
      <c r="J4122" s="4">
        <v>169456</v>
      </c>
    </row>
    <row r="4123" spans="1:10" x14ac:dyDescent="0.75">
      <c r="A4123" t="s">
        <v>151</v>
      </c>
      <c r="B4123">
        <v>552</v>
      </c>
      <c r="C4123" t="s">
        <v>161</v>
      </c>
      <c r="D4123">
        <v>5480</v>
      </c>
      <c r="E4123" t="s">
        <v>386</v>
      </c>
      <c r="F4123" s="4">
        <v>0</v>
      </c>
      <c r="G4123" s="4">
        <v>134612</v>
      </c>
      <c r="H4123" s="4">
        <v>107348</v>
      </c>
      <c r="I4123" s="4">
        <v>27264</v>
      </c>
      <c r="J4123" s="4">
        <v>134612</v>
      </c>
    </row>
    <row r="4124" spans="1:10" x14ac:dyDescent="0.75">
      <c r="A4124" t="s">
        <v>151</v>
      </c>
      <c r="B4124">
        <v>552</v>
      </c>
      <c r="C4124" t="s">
        <v>161</v>
      </c>
      <c r="D4124">
        <v>4331</v>
      </c>
      <c r="E4124" t="s">
        <v>390</v>
      </c>
      <c r="F4124" s="4">
        <v>0</v>
      </c>
      <c r="G4124" s="4">
        <v>132124</v>
      </c>
      <c r="H4124" s="4">
        <v>107387</v>
      </c>
      <c r="I4124" s="4">
        <v>24737</v>
      </c>
      <c r="J4124" s="4">
        <v>132124</v>
      </c>
    </row>
    <row r="4125" spans="1:10" x14ac:dyDescent="0.75">
      <c r="A4125" t="s">
        <v>151</v>
      </c>
      <c r="B4125">
        <v>552</v>
      </c>
      <c r="C4125" t="s">
        <v>161</v>
      </c>
      <c r="D4125">
        <v>6861</v>
      </c>
      <c r="E4125" t="s">
        <v>489</v>
      </c>
      <c r="F4125" s="4">
        <v>0</v>
      </c>
      <c r="G4125" s="4">
        <v>120247</v>
      </c>
      <c r="H4125" s="4">
        <v>119911</v>
      </c>
      <c r="I4125" s="4">
        <v>336</v>
      </c>
      <c r="J4125" s="4">
        <v>120247</v>
      </c>
    </row>
    <row r="4126" spans="1:10" x14ac:dyDescent="0.75">
      <c r="A4126" t="s">
        <v>151</v>
      </c>
      <c r="B4126">
        <v>552</v>
      </c>
      <c r="C4126" t="s">
        <v>161</v>
      </c>
      <c r="D4126">
        <v>6888</v>
      </c>
      <c r="E4126" t="s">
        <v>494</v>
      </c>
      <c r="F4126" s="4">
        <v>0</v>
      </c>
      <c r="G4126" s="4">
        <v>118911</v>
      </c>
      <c r="H4126" s="4">
        <v>118407</v>
      </c>
      <c r="I4126" s="4">
        <v>504</v>
      </c>
      <c r="J4126" s="4">
        <v>118911</v>
      </c>
    </row>
    <row r="4127" spans="1:10" x14ac:dyDescent="0.75">
      <c r="A4127" t="s">
        <v>151</v>
      </c>
      <c r="B4127">
        <v>552</v>
      </c>
      <c r="C4127" t="s">
        <v>161</v>
      </c>
      <c r="D4127">
        <v>7120</v>
      </c>
      <c r="E4127" t="s">
        <v>499</v>
      </c>
      <c r="F4127" s="4">
        <v>0</v>
      </c>
      <c r="G4127" s="4">
        <v>115503</v>
      </c>
      <c r="H4127" s="4">
        <v>94109</v>
      </c>
      <c r="I4127" s="4">
        <v>21394</v>
      </c>
      <c r="J4127" s="4">
        <v>115503</v>
      </c>
    </row>
    <row r="4128" spans="1:10" x14ac:dyDescent="0.75">
      <c r="A4128" t="s">
        <v>151</v>
      </c>
      <c r="B4128">
        <v>552</v>
      </c>
      <c r="C4128" t="s">
        <v>161</v>
      </c>
      <c r="D4128">
        <v>3292</v>
      </c>
      <c r="E4128" t="s">
        <v>413</v>
      </c>
      <c r="F4128" s="4">
        <v>0</v>
      </c>
      <c r="G4128" s="4">
        <v>114480</v>
      </c>
      <c r="H4128" s="4">
        <v>109747</v>
      </c>
      <c r="I4128" s="4">
        <v>4733</v>
      </c>
      <c r="J4128" s="4">
        <v>114480</v>
      </c>
    </row>
    <row r="4129" spans="1:10" x14ac:dyDescent="0.75">
      <c r="A4129" t="s">
        <v>151</v>
      </c>
      <c r="B4129">
        <v>552</v>
      </c>
      <c r="C4129" t="s">
        <v>161</v>
      </c>
      <c r="D4129">
        <v>2430</v>
      </c>
      <c r="E4129" t="s">
        <v>376</v>
      </c>
      <c r="F4129" s="4">
        <v>103529</v>
      </c>
      <c r="G4129" s="4">
        <v>9379</v>
      </c>
      <c r="H4129" s="4">
        <v>527</v>
      </c>
      <c r="I4129" s="4">
        <v>8852</v>
      </c>
      <c r="J4129" s="4">
        <v>112908</v>
      </c>
    </row>
    <row r="4130" spans="1:10" x14ac:dyDescent="0.75">
      <c r="A4130" t="s">
        <v>151</v>
      </c>
      <c r="B4130">
        <v>552</v>
      </c>
      <c r="C4130" t="s">
        <v>161</v>
      </c>
      <c r="D4130">
        <v>5540</v>
      </c>
      <c r="E4130" t="s">
        <v>469</v>
      </c>
      <c r="F4130" s="4">
        <v>0</v>
      </c>
      <c r="G4130" s="4">
        <v>111392</v>
      </c>
      <c r="H4130" s="4">
        <v>110458</v>
      </c>
      <c r="I4130" s="4">
        <v>934</v>
      </c>
      <c r="J4130" s="4">
        <v>111392</v>
      </c>
    </row>
    <row r="4131" spans="1:10" x14ac:dyDescent="0.75">
      <c r="A4131" t="s">
        <v>151</v>
      </c>
      <c r="B4131">
        <v>552</v>
      </c>
      <c r="C4131" t="s">
        <v>161</v>
      </c>
      <c r="D4131">
        <v>4323</v>
      </c>
      <c r="E4131" t="s">
        <v>373</v>
      </c>
      <c r="F4131" s="4">
        <v>0</v>
      </c>
      <c r="G4131" s="4">
        <v>104578</v>
      </c>
      <c r="H4131" s="4">
        <v>104525</v>
      </c>
      <c r="I4131" s="4">
        <v>53</v>
      </c>
      <c r="J4131" s="4">
        <v>104578</v>
      </c>
    </row>
    <row r="4132" spans="1:10" x14ac:dyDescent="0.75">
      <c r="A4132" t="s">
        <v>151</v>
      </c>
      <c r="B4132">
        <v>552</v>
      </c>
      <c r="C4132" t="s">
        <v>161</v>
      </c>
      <c r="D4132">
        <v>6822</v>
      </c>
      <c r="E4132" t="s">
        <v>482</v>
      </c>
      <c r="F4132" s="4">
        <v>0</v>
      </c>
      <c r="G4132" s="4">
        <v>98710</v>
      </c>
      <c r="H4132" s="4">
        <v>89085</v>
      </c>
      <c r="I4132" s="4">
        <v>9625</v>
      </c>
      <c r="J4132" s="4">
        <v>98710</v>
      </c>
    </row>
    <row r="4133" spans="1:10" x14ac:dyDescent="0.75">
      <c r="A4133" t="s">
        <v>151</v>
      </c>
      <c r="B4133">
        <v>552</v>
      </c>
      <c r="C4133" t="s">
        <v>161</v>
      </c>
      <c r="D4133">
        <v>9900</v>
      </c>
      <c r="E4133" t="s">
        <v>389</v>
      </c>
      <c r="F4133" s="4">
        <v>0</v>
      </c>
      <c r="G4133" s="4">
        <v>96503</v>
      </c>
      <c r="H4133" s="4">
        <v>77449</v>
      </c>
      <c r="I4133" s="4">
        <v>19054</v>
      </c>
      <c r="J4133" s="4">
        <v>96503</v>
      </c>
    </row>
    <row r="4134" spans="1:10" x14ac:dyDescent="0.75">
      <c r="A4134" t="s">
        <v>151</v>
      </c>
      <c r="B4134">
        <v>552</v>
      </c>
      <c r="C4134" t="s">
        <v>161</v>
      </c>
      <c r="D4134">
        <v>3276</v>
      </c>
      <c r="E4134" t="s">
        <v>379</v>
      </c>
      <c r="F4134" s="4">
        <v>66228</v>
      </c>
      <c r="G4134" s="4">
        <v>27097</v>
      </c>
      <c r="H4134" s="4">
        <v>16938</v>
      </c>
      <c r="I4134" s="4">
        <v>10159</v>
      </c>
      <c r="J4134" s="4">
        <v>93325</v>
      </c>
    </row>
    <row r="4135" spans="1:10" x14ac:dyDescent="0.75">
      <c r="A4135" t="s">
        <v>151</v>
      </c>
      <c r="B4135">
        <v>552</v>
      </c>
      <c r="C4135" t="s">
        <v>161</v>
      </c>
      <c r="D4135">
        <v>3230</v>
      </c>
      <c r="E4135" t="s">
        <v>434</v>
      </c>
      <c r="F4135" s="4">
        <v>0</v>
      </c>
      <c r="G4135" s="4">
        <v>89994</v>
      </c>
      <c r="H4135" s="4">
        <v>83881</v>
      </c>
      <c r="I4135" s="4">
        <v>6113</v>
      </c>
      <c r="J4135" s="4">
        <v>89994</v>
      </c>
    </row>
    <row r="4136" spans="1:10" x14ac:dyDescent="0.75">
      <c r="A4136" t="s">
        <v>151</v>
      </c>
      <c r="B4136">
        <v>552</v>
      </c>
      <c r="C4136" t="s">
        <v>161</v>
      </c>
      <c r="D4136">
        <v>6858</v>
      </c>
      <c r="E4136" t="s">
        <v>488</v>
      </c>
      <c r="F4136" s="4">
        <v>0</v>
      </c>
      <c r="G4136" s="4">
        <v>83154</v>
      </c>
      <c r="H4136" s="4">
        <v>74973</v>
      </c>
      <c r="I4136" s="4">
        <v>8181</v>
      </c>
      <c r="J4136" s="4">
        <v>83154</v>
      </c>
    </row>
    <row r="4137" spans="1:10" x14ac:dyDescent="0.75">
      <c r="A4137" t="s">
        <v>151</v>
      </c>
      <c r="B4137">
        <v>552</v>
      </c>
      <c r="C4137" t="s">
        <v>161</v>
      </c>
      <c r="D4137">
        <v>6885</v>
      </c>
      <c r="E4137" t="s">
        <v>493</v>
      </c>
      <c r="F4137" s="4">
        <v>0</v>
      </c>
      <c r="G4137" s="4">
        <v>82890</v>
      </c>
      <c r="H4137" s="4">
        <v>72519</v>
      </c>
      <c r="I4137" s="4">
        <v>10371</v>
      </c>
      <c r="J4137" s="4">
        <v>82890</v>
      </c>
    </row>
    <row r="4138" spans="1:10" x14ac:dyDescent="0.75">
      <c r="A4138" t="s">
        <v>151</v>
      </c>
      <c r="B4138">
        <v>552</v>
      </c>
      <c r="C4138" t="s">
        <v>161</v>
      </c>
      <c r="D4138">
        <v>5320</v>
      </c>
      <c r="E4138" t="s">
        <v>384</v>
      </c>
      <c r="F4138" s="4">
        <v>0</v>
      </c>
      <c r="G4138" s="4">
        <v>81702</v>
      </c>
      <c r="H4138" s="4">
        <v>80784</v>
      </c>
      <c r="I4138" s="4">
        <v>918</v>
      </c>
      <c r="J4138" s="4">
        <v>81702</v>
      </c>
    </row>
    <row r="4139" spans="1:10" x14ac:dyDescent="0.75">
      <c r="A4139" t="s">
        <v>151</v>
      </c>
      <c r="B4139">
        <v>552</v>
      </c>
      <c r="C4139" t="s">
        <v>161</v>
      </c>
      <c r="D4139">
        <v>7500</v>
      </c>
      <c r="E4139" t="s">
        <v>427</v>
      </c>
      <c r="F4139" s="4">
        <v>0</v>
      </c>
      <c r="G4139" s="4">
        <v>80766</v>
      </c>
      <c r="H4139" s="4">
        <v>42656</v>
      </c>
      <c r="I4139" s="4">
        <v>38110</v>
      </c>
      <c r="J4139" s="4">
        <v>80766</v>
      </c>
    </row>
    <row r="4140" spans="1:10" x14ac:dyDescent="0.75">
      <c r="A4140" t="s">
        <v>151</v>
      </c>
      <c r="B4140">
        <v>552</v>
      </c>
      <c r="C4140" t="s">
        <v>161</v>
      </c>
      <c r="D4140">
        <v>3274</v>
      </c>
      <c r="E4140" t="s">
        <v>438</v>
      </c>
      <c r="F4140" s="4">
        <v>7317</v>
      </c>
      <c r="G4140" s="4">
        <v>64265</v>
      </c>
      <c r="H4140" s="4">
        <v>63070</v>
      </c>
      <c r="I4140" s="4">
        <v>1195</v>
      </c>
      <c r="J4140" s="4">
        <v>71582</v>
      </c>
    </row>
    <row r="4141" spans="1:10" x14ac:dyDescent="0.75">
      <c r="A4141" t="s">
        <v>151</v>
      </c>
      <c r="B4141">
        <v>552</v>
      </c>
      <c r="C4141" t="s">
        <v>161</v>
      </c>
      <c r="D4141">
        <v>3285</v>
      </c>
      <c r="E4141" t="s">
        <v>443</v>
      </c>
      <c r="F4141" s="4">
        <v>0</v>
      </c>
      <c r="G4141" s="4">
        <v>68168</v>
      </c>
      <c r="H4141" s="4">
        <v>38862</v>
      </c>
      <c r="I4141" s="4">
        <v>29306</v>
      </c>
      <c r="J4141" s="4">
        <v>68168</v>
      </c>
    </row>
    <row r="4142" spans="1:10" x14ac:dyDescent="0.75">
      <c r="A4142" t="s">
        <v>151</v>
      </c>
      <c r="B4142">
        <v>552</v>
      </c>
      <c r="C4142" t="s">
        <v>161</v>
      </c>
      <c r="D4142">
        <v>3275</v>
      </c>
      <c r="E4142" t="s">
        <v>412</v>
      </c>
      <c r="F4142" s="4">
        <v>0</v>
      </c>
      <c r="G4142" s="4">
        <v>67796</v>
      </c>
      <c r="H4142" s="4">
        <v>58740</v>
      </c>
      <c r="I4142" s="4">
        <v>9056</v>
      </c>
      <c r="J4142" s="4">
        <v>67796</v>
      </c>
    </row>
    <row r="4143" spans="1:10" x14ac:dyDescent="0.75">
      <c r="A4143" t="s">
        <v>151</v>
      </c>
      <c r="B4143">
        <v>552</v>
      </c>
      <c r="C4143" t="s">
        <v>161</v>
      </c>
      <c r="D4143">
        <v>6817</v>
      </c>
      <c r="E4143" t="s">
        <v>481</v>
      </c>
      <c r="F4143" s="4">
        <v>0</v>
      </c>
      <c r="G4143" s="4">
        <v>65187</v>
      </c>
      <c r="H4143" s="4">
        <v>64391</v>
      </c>
      <c r="I4143" s="4">
        <v>796</v>
      </c>
      <c r="J4143" s="4">
        <v>65187</v>
      </c>
    </row>
    <row r="4144" spans="1:10" x14ac:dyDescent="0.75">
      <c r="A4144" t="s">
        <v>151</v>
      </c>
      <c r="B4144">
        <v>552</v>
      </c>
      <c r="C4144" t="s">
        <v>161</v>
      </c>
      <c r="D4144">
        <v>5290</v>
      </c>
      <c r="E4144" t="s">
        <v>415</v>
      </c>
      <c r="F4144" s="4">
        <v>0</v>
      </c>
      <c r="G4144" s="4">
        <v>61203</v>
      </c>
      <c r="H4144" s="4">
        <v>41108</v>
      </c>
      <c r="I4144" s="4">
        <v>20095</v>
      </c>
      <c r="J4144" s="4">
        <v>61203</v>
      </c>
    </row>
    <row r="4145" spans="1:10" x14ac:dyDescent="0.75">
      <c r="A4145" t="s">
        <v>151</v>
      </c>
      <c r="B4145">
        <v>552</v>
      </c>
      <c r="C4145" t="s">
        <v>161</v>
      </c>
      <c r="D4145">
        <v>1100</v>
      </c>
      <c r="E4145" t="s">
        <v>397</v>
      </c>
      <c r="F4145" s="4">
        <v>0</v>
      </c>
      <c r="G4145" s="4">
        <v>59411</v>
      </c>
      <c r="H4145" s="4">
        <v>2465</v>
      </c>
      <c r="I4145" s="4">
        <v>56946</v>
      </c>
      <c r="J4145" s="4">
        <v>59411</v>
      </c>
    </row>
    <row r="4146" spans="1:10" x14ac:dyDescent="0.75">
      <c r="A4146" t="s">
        <v>151</v>
      </c>
      <c r="B4146">
        <v>552</v>
      </c>
      <c r="C4146" t="s">
        <v>161</v>
      </c>
      <c r="D4146">
        <v>3299</v>
      </c>
      <c r="E4146" t="s">
        <v>448</v>
      </c>
      <c r="F4146" s="4">
        <v>0</v>
      </c>
      <c r="G4146" s="4">
        <v>55950</v>
      </c>
      <c r="H4146" s="4">
        <v>21418</v>
      </c>
      <c r="I4146" s="4">
        <v>34532</v>
      </c>
      <c r="J4146" s="4">
        <v>55950</v>
      </c>
    </row>
    <row r="4147" spans="1:10" x14ac:dyDescent="0.75">
      <c r="A4147" t="s">
        <v>151</v>
      </c>
      <c r="B4147">
        <v>552</v>
      </c>
      <c r="C4147" t="s">
        <v>161</v>
      </c>
      <c r="D4147">
        <v>6871</v>
      </c>
      <c r="E4147" t="s">
        <v>491</v>
      </c>
      <c r="F4147" s="4">
        <v>0</v>
      </c>
      <c r="G4147" s="4">
        <v>47680</v>
      </c>
      <c r="H4147" s="4">
        <v>47169</v>
      </c>
      <c r="I4147" s="4">
        <v>511</v>
      </c>
      <c r="J4147" s="4">
        <v>47680</v>
      </c>
    </row>
    <row r="4148" spans="1:10" x14ac:dyDescent="0.75">
      <c r="A4148" t="s">
        <v>151</v>
      </c>
      <c r="B4148">
        <v>552</v>
      </c>
      <c r="C4148" t="s">
        <v>161</v>
      </c>
      <c r="D4148">
        <v>6747</v>
      </c>
      <c r="E4148" t="s">
        <v>478</v>
      </c>
      <c r="F4148" s="4">
        <v>0</v>
      </c>
      <c r="G4148" s="4">
        <v>41994</v>
      </c>
      <c r="H4148" s="4">
        <v>22986</v>
      </c>
      <c r="I4148" s="4">
        <v>19008</v>
      </c>
      <c r="J4148" s="4">
        <v>41994</v>
      </c>
    </row>
    <row r="4149" spans="1:10" x14ac:dyDescent="0.75">
      <c r="A4149" t="s">
        <v>151</v>
      </c>
      <c r="B4149">
        <v>552</v>
      </c>
      <c r="C4149" t="s">
        <v>161</v>
      </c>
      <c r="D4149">
        <v>6839</v>
      </c>
      <c r="E4149" t="s">
        <v>485</v>
      </c>
      <c r="F4149" s="4">
        <v>0</v>
      </c>
      <c r="G4149" s="4">
        <v>38467</v>
      </c>
      <c r="H4149" s="4">
        <v>28115</v>
      </c>
      <c r="I4149" s="4">
        <v>10352</v>
      </c>
      <c r="J4149" s="4">
        <v>38467</v>
      </c>
    </row>
    <row r="4150" spans="1:10" x14ac:dyDescent="0.75">
      <c r="A4150" t="s">
        <v>151</v>
      </c>
      <c r="B4150">
        <v>552</v>
      </c>
      <c r="C4150" t="s">
        <v>161</v>
      </c>
      <c r="D4150">
        <v>3130</v>
      </c>
      <c r="E4150" t="s">
        <v>407</v>
      </c>
      <c r="F4150" s="4">
        <v>0</v>
      </c>
      <c r="G4150" s="4">
        <v>32148</v>
      </c>
      <c r="H4150" s="4">
        <v>32136</v>
      </c>
      <c r="I4150" s="4">
        <v>12</v>
      </c>
      <c r="J4150" s="4">
        <v>32148</v>
      </c>
    </row>
    <row r="4151" spans="1:10" x14ac:dyDescent="0.75">
      <c r="A4151" t="s">
        <v>151</v>
      </c>
      <c r="B4151">
        <v>552</v>
      </c>
      <c r="C4151" t="s">
        <v>161</v>
      </c>
      <c r="D4151">
        <v>4680</v>
      </c>
      <c r="E4151" t="s">
        <v>459</v>
      </c>
      <c r="F4151" s="4">
        <v>0</v>
      </c>
      <c r="G4151" s="4">
        <v>30032</v>
      </c>
      <c r="H4151" s="4">
        <v>2253</v>
      </c>
      <c r="I4151" s="4">
        <v>27779</v>
      </c>
      <c r="J4151" s="4">
        <v>30032</v>
      </c>
    </row>
    <row r="4152" spans="1:10" x14ac:dyDescent="0.75">
      <c r="A4152" t="s">
        <v>151</v>
      </c>
      <c r="B4152">
        <v>552</v>
      </c>
      <c r="C4152" t="s">
        <v>161</v>
      </c>
      <c r="D4152">
        <v>7400</v>
      </c>
      <c r="E4152" t="s">
        <v>502</v>
      </c>
      <c r="F4152" s="4">
        <v>0</v>
      </c>
      <c r="G4152" s="4">
        <v>29589</v>
      </c>
      <c r="H4152" s="4">
        <v>27914</v>
      </c>
      <c r="I4152" s="4">
        <v>1675</v>
      </c>
      <c r="J4152" s="4">
        <v>29589</v>
      </c>
    </row>
    <row r="4153" spans="1:10" x14ac:dyDescent="0.75">
      <c r="A4153" t="s">
        <v>151</v>
      </c>
      <c r="B4153">
        <v>552</v>
      </c>
      <c r="C4153" t="s">
        <v>161</v>
      </c>
      <c r="D4153">
        <v>3284</v>
      </c>
      <c r="E4153" t="s">
        <v>442</v>
      </c>
      <c r="F4153" s="4">
        <v>0</v>
      </c>
      <c r="G4153" s="4">
        <v>29579</v>
      </c>
      <c r="H4153" s="4">
        <v>25897</v>
      </c>
      <c r="I4153" s="4">
        <v>3682</v>
      </c>
      <c r="J4153" s="4">
        <v>29579</v>
      </c>
    </row>
    <row r="4154" spans="1:10" x14ac:dyDescent="0.75">
      <c r="A4154" t="s">
        <v>151</v>
      </c>
      <c r="B4154">
        <v>552</v>
      </c>
      <c r="C4154" t="s">
        <v>161</v>
      </c>
      <c r="D4154">
        <v>2410</v>
      </c>
      <c r="E4154" t="s">
        <v>430</v>
      </c>
      <c r="F4154" s="4">
        <v>0</v>
      </c>
      <c r="G4154" s="4">
        <v>29318</v>
      </c>
      <c r="H4154" s="4">
        <v>28922</v>
      </c>
      <c r="I4154" s="4">
        <v>396</v>
      </c>
      <c r="J4154" s="4">
        <v>29318</v>
      </c>
    </row>
    <row r="4155" spans="1:10" x14ac:dyDescent="0.75">
      <c r="A4155" t="s">
        <v>151</v>
      </c>
      <c r="B4155">
        <v>552</v>
      </c>
      <c r="C4155" t="s">
        <v>161</v>
      </c>
      <c r="D4155">
        <v>5370</v>
      </c>
      <c r="E4155" t="s">
        <v>466</v>
      </c>
      <c r="F4155" s="4">
        <v>0</v>
      </c>
      <c r="G4155" s="4">
        <v>28848</v>
      </c>
      <c r="H4155" s="4">
        <v>27799</v>
      </c>
      <c r="I4155" s="4">
        <v>1049</v>
      </c>
      <c r="J4155" s="4">
        <v>28848</v>
      </c>
    </row>
    <row r="4156" spans="1:10" x14ac:dyDescent="0.75">
      <c r="A4156" t="s">
        <v>151</v>
      </c>
      <c r="B4156">
        <v>552</v>
      </c>
      <c r="C4156" t="s">
        <v>161</v>
      </c>
      <c r="D4156">
        <v>5240</v>
      </c>
      <c r="E4156" t="s">
        <v>464</v>
      </c>
      <c r="F4156" s="4">
        <v>0</v>
      </c>
      <c r="G4156" s="4">
        <v>28475</v>
      </c>
      <c r="H4156" s="4">
        <v>18498</v>
      </c>
      <c r="I4156" s="4">
        <v>9977</v>
      </c>
      <c r="J4156" s="4">
        <v>28475</v>
      </c>
    </row>
    <row r="4157" spans="1:10" x14ac:dyDescent="0.75">
      <c r="A4157" t="s">
        <v>151</v>
      </c>
      <c r="B4157">
        <v>552</v>
      </c>
      <c r="C4157" t="s">
        <v>161</v>
      </c>
      <c r="D4157">
        <v>6782</v>
      </c>
      <c r="E4157" t="s">
        <v>396</v>
      </c>
      <c r="F4157" s="4">
        <v>0</v>
      </c>
      <c r="G4157" s="4">
        <v>27367</v>
      </c>
      <c r="H4157" s="4">
        <v>8294</v>
      </c>
      <c r="I4157" s="4">
        <v>19073</v>
      </c>
      <c r="J4157" s="4">
        <v>27367</v>
      </c>
    </row>
    <row r="4158" spans="1:10" x14ac:dyDescent="0.75">
      <c r="A4158" t="s">
        <v>151</v>
      </c>
      <c r="B4158">
        <v>552</v>
      </c>
      <c r="C4158" t="s">
        <v>161</v>
      </c>
      <c r="D4158">
        <v>5429</v>
      </c>
      <c r="E4158" t="s">
        <v>429</v>
      </c>
      <c r="F4158" s="4">
        <v>0</v>
      </c>
      <c r="G4158" s="4">
        <v>24331</v>
      </c>
      <c r="H4158" s="4">
        <v>12422</v>
      </c>
      <c r="I4158" s="4">
        <v>11909</v>
      </c>
      <c r="J4158" s="4">
        <v>24331</v>
      </c>
    </row>
    <row r="4159" spans="1:10" x14ac:dyDescent="0.75">
      <c r="A4159" t="s">
        <v>151</v>
      </c>
      <c r="B4159">
        <v>552</v>
      </c>
      <c r="C4159" t="s">
        <v>161</v>
      </c>
      <c r="D4159">
        <v>4690</v>
      </c>
      <c r="E4159" t="s">
        <v>428</v>
      </c>
      <c r="F4159" s="4">
        <v>0</v>
      </c>
      <c r="G4159" s="4">
        <v>23671</v>
      </c>
      <c r="H4159" s="4">
        <v>11641</v>
      </c>
      <c r="I4159" s="4">
        <v>12030</v>
      </c>
      <c r="J4159" s="4">
        <v>23671</v>
      </c>
    </row>
    <row r="4160" spans="1:10" x14ac:dyDescent="0.75">
      <c r="A4160" t="s">
        <v>151</v>
      </c>
      <c r="B4160">
        <v>552</v>
      </c>
      <c r="C4160" t="s">
        <v>161</v>
      </c>
      <c r="D4160">
        <v>5422</v>
      </c>
      <c r="E4160" t="s">
        <v>468</v>
      </c>
      <c r="F4160" s="4">
        <v>0</v>
      </c>
      <c r="G4160" s="4">
        <v>22973</v>
      </c>
      <c r="H4160" s="4">
        <v>21865</v>
      </c>
      <c r="I4160" s="4">
        <v>1108</v>
      </c>
      <c r="J4160" s="4">
        <v>22973</v>
      </c>
    </row>
    <row r="4161" spans="1:10" x14ac:dyDescent="0.75">
      <c r="A4161" t="s">
        <v>151</v>
      </c>
      <c r="B4161">
        <v>552</v>
      </c>
      <c r="C4161" t="s">
        <v>161</v>
      </c>
      <c r="D4161">
        <v>3282</v>
      </c>
      <c r="E4161" t="s">
        <v>440</v>
      </c>
      <c r="F4161" s="4">
        <v>0</v>
      </c>
      <c r="G4161" s="4">
        <v>21891</v>
      </c>
      <c r="H4161" s="4">
        <v>11192</v>
      </c>
      <c r="I4161" s="4">
        <v>10699</v>
      </c>
      <c r="J4161" s="4">
        <v>21891</v>
      </c>
    </row>
    <row r="4162" spans="1:10" x14ac:dyDescent="0.75">
      <c r="A4162" t="s">
        <v>151</v>
      </c>
      <c r="B4162">
        <v>552</v>
      </c>
      <c r="C4162" t="s">
        <v>161</v>
      </c>
      <c r="D4162">
        <v>6899</v>
      </c>
      <c r="E4162" t="s">
        <v>498</v>
      </c>
      <c r="F4162" s="4">
        <v>0</v>
      </c>
      <c r="G4162" s="4">
        <v>20275</v>
      </c>
      <c r="H4162" s="4">
        <v>19229</v>
      </c>
      <c r="I4162" s="4">
        <v>1046</v>
      </c>
      <c r="J4162" s="4">
        <v>20275</v>
      </c>
    </row>
    <row r="4163" spans="1:10" x14ac:dyDescent="0.75">
      <c r="A4163" t="s">
        <v>151</v>
      </c>
      <c r="B4163">
        <v>552</v>
      </c>
      <c r="C4163" t="s">
        <v>161</v>
      </c>
      <c r="D4163">
        <v>3190</v>
      </c>
      <c r="E4163" t="s">
        <v>408</v>
      </c>
      <c r="F4163" s="4">
        <v>0</v>
      </c>
      <c r="G4163" s="4">
        <v>19589</v>
      </c>
      <c r="H4163" s="4">
        <v>15651</v>
      </c>
      <c r="I4163" s="4">
        <v>3938</v>
      </c>
      <c r="J4163" s="4">
        <v>19589</v>
      </c>
    </row>
    <row r="4164" spans="1:10" x14ac:dyDescent="0.75">
      <c r="A4164" t="s">
        <v>151</v>
      </c>
      <c r="B4164">
        <v>552</v>
      </c>
      <c r="C4164" t="s">
        <v>161</v>
      </c>
      <c r="D4164">
        <v>3297</v>
      </c>
      <c r="E4164" t="s">
        <v>446</v>
      </c>
      <c r="F4164" s="4">
        <v>0</v>
      </c>
      <c r="G4164" s="4">
        <v>19330</v>
      </c>
      <c r="H4164" s="4">
        <v>1524</v>
      </c>
      <c r="I4164" s="4">
        <v>17806</v>
      </c>
      <c r="J4164" s="4">
        <v>19330</v>
      </c>
    </row>
    <row r="4165" spans="1:10" x14ac:dyDescent="0.75">
      <c r="A4165" t="s">
        <v>151</v>
      </c>
      <c r="B4165">
        <v>552</v>
      </c>
      <c r="C4165" t="s">
        <v>161</v>
      </c>
      <c r="D4165">
        <v>6134</v>
      </c>
      <c r="E4165" t="s">
        <v>470</v>
      </c>
      <c r="F4165" s="4">
        <v>0</v>
      </c>
      <c r="G4165" s="4">
        <v>18631</v>
      </c>
      <c r="H4165" s="4">
        <v>18280</v>
      </c>
      <c r="I4165" s="4">
        <v>351</v>
      </c>
      <c r="J4165" s="4">
        <v>18631</v>
      </c>
    </row>
    <row r="4166" spans="1:10" x14ac:dyDescent="0.75">
      <c r="A4166" t="s">
        <v>151</v>
      </c>
      <c r="B4166">
        <v>552</v>
      </c>
      <c r="C4166" t="s">
        <v>161</v>
      </c>
      <c r="D4166">
        <v>6522</v>
      </c>
      <c r="E4166" t="s">
        <v>393</v>
      </c>
      <c r="F4166" s="4">
        <v>0</v>
      </c>
      <c r="G4166" s="4">
        <v>18100</v>
      </c>
      <c r="H4166" s="4">
        <v>15938</v>
      </c>
      <c r="I4166" s="4">
        <v>2162</v>
      </c>
      <c r="J4166" s="4">
        <v>18100</v>
      </c>
    </row>
    <row r="4167" spans="1:10" x14ac:dyDescent="0.75">
      <c r="A4167" t="s">
        <v>151</v>
      </c>
      <c r="B4167">
        <v>552</v>
      </c>
      <c r="C4167" t="s">
        <v>161</v>
      </c>
      <c r="D4167">
        <v>4170</v>
      </c>
      <c r="E4167" t="s">
        <v>424</v>
      </c>
      <c r="F4167" s="4">
        <v>0</v>
      </c>
      <c r="G4167" s="4">
        <v>16778</v>
      </c>
      <c r="H4167" s="4">
        <v>13977</v>
      </c>
      <c r="I4167" s="4">
        <v>2801</v>
      </c>
      <c r="J4167" s="4">
        <v>16778</v>
      </c>
    </row>
    <row r="4168" spans="1:10" x14ac:dyDescent="0.75">
      <c r="A4168" t="s">
        <v>151</v>
      </c>
      <c r="B4168">
        <v>552</v>
      </c>
      <c r="C4168" t="s">
        <v>161</v>
      </c>
      <c r="D4168">
        <v>7300</v>
      </c>
      <c r="E4168" t="s">
        <v>501</v>
      </c>
      <c r="F4168" s="4">
        <v>0</v>
      </c>
      <c r="G4168" s="4">
        <v>16490</v>
      </c>
      <c r="H4168" s="4">
        <v>16477</v>
      </c>
      <c r="I4168" s="4">
        <v>13</v>
      </c>
      <c r="J4168" s="4">
        <v>16490</v>
      </c>
    </row>
    <row r="4169" spans="1:10" x14ac:dyDescent="0.75">
      <c r="A4169" t="s">
        <v>151</v>
      </c>
      <c r="B4169">
        <v>552</v>
      </c>
      <c r="C4169" t="s">
        <v>161</v>
      </c>
      <c r="D4169">
        <v>6136</v>
      </c>
      <c r="E4169" t="s">
        <v>471</v>
      </c>
      <c r="F4169" s="4">
        <v>0</v>
      </c>
      <c r="G4169" s="4">
        <v>15505</v>
      </c>
      <c r="H4169" s="4">
        <v>14754</v>
      </c>
      <c r="I4169" s="4">
        <v>751</v>
      </c>
      <c r="J4169" s="4">
        <v>15505</v>
      </c>
    </row>
    <row r="4170" spans="1:10" x14ac:dyDescent="0.75">
      <c r="A4170" t="s">
        <v>151</v>
      </c>
      <c r="B4170">
        <v>552</v>
      </c>
      <c r="C4170" t="s">
        <v>161</v>
      </c>
      <c r="D4170">
        <v>5421</v>
      </c>
      <c r="E4170" t="s">
        <v>467</v>
      </c>
      <c r="F4170" s="4">
        <v>0</v>
      </c>
      <c r="G4170" s="4">
        <v>15289</v>
      </c>
      <c r="H4170" s="4">
        <v>14257</v>
      </c>
      <c r="I4170" s="4">
        <v>1032</v>
      </c>
      <c r="J4170" s="4">
        <v>15289</v>
      </c>
    </row>
    <row r="4171" spans="1:10" x14ac:dyDescent="0.75">
      <c r="A4171" t="s">
        <v>151</v>
      </c>
      <c r="B4171">
        <v>552</v>
      </c>
      <c r="C4171" t="s">
        <v>161</v>
      </c>
      <c r="D4171">
        <v>3250</v>
      </c>
      <c r="E4171" t="s">
        <v>435</v>
      </c>
      <c r="F4171" s="4">
        <v>0</v>
      </c>
      <c r="G4171" s="4">
        <v>13096</v>
      </c>
      <c r="H4171" s="4">
        <v>8661</v>
      </c>
      <c r="I4171" s="4">
        <v>4435</v>
      </c>
      <c r="J4171" s="4">
        <v>13096</v>
      </c>
    </row>
    <row r="4172" spans="1:10" x14ac:dyDescent="0.75">
      <c r="A4172" t="s">
        <v>151</v>
      </c>
      <c r="B4172">
        <v>552</v>
      </c>
      <c r="C4172" t="s">
        <v>161</v>
      </c>
      <c r="D4172">
        <v>6344</v>
      </c>
      <c r="E4172" t="s">
        <v>392</v>
      </c>
      <c r="F4172" s="4">
        <v>0</v>
      </c>
      <c r="G4172" s="4">
        <v>12667</v>
      </c>
      <c r="H4172" s="4">
        <v>11945</v>
      </c>
      <c r="I4172" s="4">
        <v>722</v>
      </c>
      <c r="J4172" s="4">
        <v>12667</v>
      </c>
    </row>
    <row r="4173" spans="1:10" x14ac:dyDescent="0.75">
      <c r="A4173" t="s">
        <v>151</v>
      </c>
      <c r="B4173">
        <v>552</v>
      </c>
      <c r="C4173" t="s">
        <v>161</v>
      </c>
      <c r="D4173">
        <v>5110</v>
      </c>
      <c r="E4173" t="s">
        <v>460</v>
      </c>
      <c r="F4173" s="4">
        <v>0</v>
      </c>
      <c r="G4173" s="4">
        <v>10742</v>
      </c>
      <c r="H4173" s="4">
        <v>73</v>
      </c>
      <c r="I4173" s="4">
        <v>10669</v>
      </c>
      <c r="J4173" s="4">
        <v>10742</v>
      </c>
    </row>
    <row r="4174" spans="1:10" x14ac:dyDescent="0.75">
      <c r="A4174" t="s">
        <v>151</v>
      </c>
      <c r="B4174">
        <v>552</v>
      </c>
      <c r="C4174" t="s">
        <v>161</v>
      </c>
      <c r="D4174">
        <v>5190</v>
      </c>
      <c r="E4174" t="s">
        <v>462</v>
      </c>
      <c r="F4174" s="4">
        <v>0</v>
      </c>
      <c r="G4174" s="4">
        <v>10730</v>
      </c>
      <c r="H4174" s="4">
        <v>4464</v>
      </c>
      <c r="I4174" s="4">
        <v>6266</v>
      </c>
      <c r="J4174" s="4">
        <v>10730</v>
      </c>
    </row>
    <row r="4175" spans="1:10" x14ac:dyDescent="0.75">
      <c r="A4175" t="s">
        <v>151</v>
      </c>
      <c r="B4175">
        <v>552</v>
      </c>
      <c r="C4175" t="s">
        <v>161</v>
      </c>
      <c r="D4175">
        <v>3240</v>
      </c>
      <c r="E4175" t="s">
        <v>410</v>
      </c>
      <c r="F4175" s="4">
        <v>0</v>
      </c>
      <c r="G4175" s="4">
        <v>10726</v>
      </c>
      <c r="H4175" s="4">
        <v>4635</v>
      </c>
      <c r="I4175" s="4">
        <v>6091</v>
      </c>
      <c r="J4175" s="4">
        <v>10726</v>
      </c>
    </row>
    <row r="4176" spans="1:10" x14ac:dyDescent="0.75">
      <c r="A4176" t="s">
        <v>151</v>
      </c>
      <c r="B4176">
        <v>552</v>
      </c>
      <c r="C4176" t="s">
        <v>161</v>
      </c>
      <c r="D4176">
        <v>6653</v>
      </c>
      <c r="E4176" t="s">
        <v>395</v>
      </c>
      <c r="F4176" s="4">
        <v>0</v>
      </c>
      <c r="G4176" s="4">
        <v>10358</v>
      </c>
      <c r="H4176" s="4">
        <v>7660</v>
      </c>
      <c r="I4176" s="4">
        <v>2698</v>
      </c>
      <c r="J4176" s="4">
        <v>10358</v>
      </c>
    </row>
    <row r="4177" spans="1:10" x14ac:dyDescent="0.75">
      <c r="A4177" t="s">
        <v>151</v>
      </c>
      <c r="B4177">
        <v>552</v>
      </c>
      <c r="C4177" t="s">
        <v>161</v>
      </c>
      <c r="D4177">
        <v>6891</v>
      </c>
      <c r="E4177" t="s">
        <v>495</v>
      </c>
      <c r="F4177" s="4">
        <v>0</v>
      </c>
      <c r="G4177" s="4">
        <v>10170</v>
      </c>
      <c r="H4177" s="4">
        <v>2488</v>
      </c>
      <c r="I4177" s="4">
        <v>7682</v>
      </c>
      <c r="J4177" s="4">
        <v>10170</v>
      </c>
    </row>
    <row r="4178" spans="1:10" x14ac:dyDescent="0.75">
      <c r="A4178" t="s">
        <v>151</v>
      </c>
      <c r="B4178">
        <v>552</v>
      </c>
      <c r="C4178" t="s">
        <v>161</v>
      </c>
      <c r="D4178">
        <v>3279</v>
      </c>
      <c r="E4178" t="s">
        <v>422</v>
      </c>
      <c r="F4178" s="4">
        <v>0</v>
      </c>
      <c r="G4178" s="4">
        <v>9462</v>
      </c>
      <c r="H4178" s="4">
        <v>6080</v>
      </c>
      <c r="I4178" s="4">
        <v>3382</v>
      </c>
      <c r="J4178" s="4">
        <v>9462</v>
      </c>
    </row>
    <row r="4179" spans="1:10" x14ac:dyDescent="0.75">
      <c r="A4179" t="s">
        <v>151</v>
      </c>
      <c r="B4179">
        <v>552</v>
      </c>
      <c r="C4179" t="s">
        <v>161</v>
      </c>
      <c r="D4179">
        <v>4190</v>
      </c>
      <c r="E4179" t="s">
        <v>452</v>
      </c>
      <c r="F4179" s="4">
        <v>0</v>
      </c>
      <c r="G4179" s="4">
        <v>9316</v>
      </c>
      <c r="H4179" s="4">
        <v>9095</v>
      </c>
      <c r="I4179" s="4">
        <v>221</v>
      </c>
      <c r="J4179" s="4">
        <v>9316</v>
      </c>
    </row>
    <row r="4180" spans="1:10" x14ac:dyDescent="0.75">
      <c r="A4180" t="s">
        <v>151</v>
      </c>
      <c r="B4180">
        <v>552</v>
      </c>
      <c r="C4180" t="s">
        <v>161</v>
      </c>
      <c r="D4180">
        <v>4110</v>
      </c>
      <c r="E4180" t="s">
        <v>449</v>
      </c>
      <c r="F4180" s="4">
        <v>0</v>
      </c>
      <c r="G4180" s="4">
        <v>8781</v>
      </c>
      <c r="H4180" s="4">
        <v>8743</v>
      </c>
      <c r="I4180" s="4">
        <v>38</v>
      </c>
      <c r="J4180" s="4">
        <v>8781</v>
      </c>
    </row>
    <row r="4181" spans="1:10" x14ac:dyDescent="0.75">
      <c r="A4181" t="s">
        <v>151</v>
      </c>
      <c r="B4181">
        <v>552</v>
      </c>
      <c r="C4181" t="s">
        <v>161</v>
      </c>
      <c r="D4181">
        <v>4782</v>
      </c>
      <c r="E4181" t="s">
        <v>414</v>
      </c>
      <c r="F4181" s="4">
        <v>0</v>
      </c>
      <c r="G4181" s="4">
        <v>7507</v>
      </c>
      <c r="H4181" s="4">
        <v>5246</v>
      </c>
      <c r="I4181" s="4">
        <v>2261</v>
      </c>
      <c r="J4181" s="4">
        <v>7507</v>
      </c>
    </row>
    <row r="4182" spans="1:10" x14ac:dyDescent="0.75">
      <c r="A4182" t="s">
        <v>151</v>
      </c>
      <c r="B4182">
        <v>552</v>
      </c>
      <c r="C4182" t="s">
        <v>161</v>
      </c>
      <c r="D4182">
        <v>3281</v>
      </c>
      <c r="E4182" t="s">
        <v>439</v>
      </c>
      <c r="F4182" s="4">
        <v>0</v>
      </c>
      <c r="G4182" s="4">
        <v>7430</v>
      </c>
      <c r="H4182" s="4">
        <v>7430</v>
      </c>
      <c r="I4182" s="4">
        <v>0</v>
      </c>
      <c r="J4182" s="4">
        <v>7430</v>
      </c>
    </row>
    <row r="4183" spans="1:10" x14ac:dyDescent="0.75">
      <c r="A4183" t="s">
        <v>151</v>
      </c>
      <c r="B4183">
        <v>552</v>
      </c>
      <c r="C4183" t="s">
        <v>161</v>
      </c>
      <c r="D4183">
        <v>3291</v>
      </c>
      <c r="E4183" t="s">
        <v>444</v>
      </c>
      <c r="F4183" s="4">
        <v>0</v>
      </c>
      <c r="G4183" s="4">
        <v>6138</v>
      </c>
      <c r="H4183" s="4">
        <v>3526</v>
      </c>
      <c r="I4183" s="4">
        <v>2612</v>
      </c>
      <c r="J4183" s="4">
        <v>6138</v>
      </c>
    </row>
    <row r="4184" spans="1:10" x14ac:dyDescent="0.75">
      <c r="A4184" t="s">
        <v>151</v>
      </c>
      <c r="B4184">
        <v>552</v>
      </c>
      <c r="C4184" t="s">
        <v>161</v>
      </c>
      <c r="D4184">
        <v>5390</v>
      </c>
      <c r="E4184" t="s">
        <v>418</v>
      </c>
      <c r="F4184" s="4">
        <v>0</v>
      </c>
      <c r="G4184" s="4">
        <v>6078</v>
      </c>
      <c r="H4184" s="4">
        <v>5915</v>
      </c>
      <c r="I4184" s="4">
        <v>163</v>
      </c>
      <c r="J4184" s="4">
        <v>6078</v>
      </c>
    </row>
    <row r="4185" spans="1:10" x14ac:dyDescent="0.75">
      <c r="A4185" t="s">
        <v>151</v>
      </c>
      <c r="B4185">
        <v>552</v>
      </c>
      <c r="C4185" t="s">
        <v>161</v>
      </c>
      <c r="D4185">
        <v>5312</v>
      </c>
      <c r="E4185" t="s">
        <v>416</v>
      </c>
      <c r="F4185" s="4">
        <v>0</v>
      </c>
      <c r="G4185" s="4">
        <v>6045</v>
      </c>
      <c r="H4185" s="4">
        <v>2922</v>
      </c>
      <c r="I4185" s="4">
        <v>3123</v>
      </c>
      <c r="J4185" s="4">
        <v>6045</v>
      </c>
    </row>
    <row r="4186" spans="1:10" x14ac:dyDescent="0.75">
      <c r="A4186" t="s">
        <v>151</v>
      </c>
      <c r="B4186">
        <v>552</v>
      </c>
      <c r="C4186" t="s">
        <v>161</v>
      </c>
      <c r="D4186">
        <v>4150</v>
      </c>
      <c r="E4186" t="s">
        <v>450</v>
      </c>
      <c r="F4186" s="4">
        <v>0</v>
      </c>
      <c r="G4186" s="4">
        <v>5869</v>
      </c>
      <c r="H4186" s="4">
        <v>5808</v>
      </c>
      <c r="I4186" s="4">
        <v>61</v>
      </c>
      <c r="J4186" s="4">
        <v>5869</v>
      </c>
    </row>
    <row r="4187" spans="1:10" x14ac:dyDescent="0.75">
      <c r="A4187" t="s">
        <v>151</v>
      </c>
      <c r="B4187">
        <v>552</v>
      </c>
      <c r="C4187" t="s">
        <v>161</v>
      </c>
      <c r="D4187">
        <v>6835</v>
      </c>
      <c r="E4187" t="s">
        <v>483</v>
      </c>
      <c r="F4187" s="4">
        <v>0</v>
      </c>
      <c r="G4187" s="4">
        <v>4692</v>
      </c>
      <c r="H4187" s="4">
        <v>4380</v>
      </c>
      <c r="I4187" s="4">
        <v>312</v>
      </c>
      <c r="J4187" s="4">
        <v>4692</v>
      </c>
    </row>
    <row r="4188" spans="1:10" x14ac:dyDescent="0.75">
      <c r="A4188" t="s">
        <v>151</v>
      </c>
      <c r="B4188">
        <v>552</v>
      </c>
      <c r="C4188" t="s">
        <v>161</v>
      </c>
      <c r="D4188">
        <v>3283</v>
      </c>
      <c r="E4188" t="s">
        <v>441</v>
      </c>
      <c r="F4188" s="4">
        <v>0</v>
      </c>
      <c r="G4188" s="4">
        <v>4382</v>
      </c>
      <c r="H4188" s="4">
        <v>4032</v>
      </c>
      <c r="I4188" s="4">
        <v>350</v>
      </c>
      <c r="J4188" s="4">
        <v>4382</v>
      </c>
    </row>
    <row r="4189" spans="1:10" x14ac:dyDescent="0.75">
      <c r="A4189" t="s">
        <v>151</v>
      </c>
      <c r="B4189">
        <v>552</v>
      </c>
      <c r="C4189" t="s">
        <v>161</v>
      </c>
      <c r="D4189">
        <v>5315</v>
      </c>
      <c r="E4189" t="s">
        <v>417</v>
      </c>
      <c r="F4189" s="4">
        <v>0</v>
      </c>
      <c r="G4189" s="4">
        <v>4136</v>
      </c>
      <c r="H4189" s="4">
        <v>3408</v>
      </c>
      <c r="I4189" s="4">
        <v>728</v>
      </c>
      <c r="J4189" s="4">
        <v>4136</v>
      </c>
    </row>
    <row r="4190" spans="1:10" x14ac:dyDescent="0.75">
      <c r="A4190" t="s">
        <v>151</v>
      </c>
      <c r="B4190">
        <v>552</v>
      </c>
      <c r="C4190" t="s">
        <v>161</v>
      </c>
      <c r="D4190">
        <v>4900</v>
      </c>
      <c r="E4190" t="s">
        <v>383</v>
      </c>
      <c r="F4190" s="4">
        <v>0</v>
      </c>
      <c r="G4190" s="4">
        <v>3681</v>
      </c>
      <c r="H4190" s="4">
        <v>1195</v>
      </c>
      <c r="I4190" s="4">
        <v>2486</v>
      </c>
      <c r="J4190" s="4">
        <v>3681</v>
      </c>
    </row>
    <row r="4191" spans="1:10" x14ac:dyDescent="0.75">
      <c r="A4191" t="s">
        <v>151</v>
      </c>
      <c r="B4191">
        <v>552</v>
      </c>
      <c r="C4191" t="s">
        <v>161</v>
      </c>
      <c r="D4191">
        <v>4650</v>
      </c>
      <c r="E4191" t="s">
        <v>457</v>
      </c>
      <c r="F4191" s="4">
        <v>0</v>
      </c>
      <c r="G4191" s="4">
        <v>3622</v>
      </c>
      <c r="H4191" s="4">
        <v>2764</v>
      </c>
      <c r="I4191" s="4">
        <v>858</v>
      </c>
      <c r="J4191" s="4">
        <v>3622</v>
      </c>
    </row>
    <row r="4192" spans="1:10" x14ac:dyDescent="0.75">
      <c r="A4192" t="s">
        <v>151</v>
      </c>
      <c r="B4192">
        <v>552</v>
      </c>
      <c r="C4192" t="s">
        <v>161</v>
      </c>
      <c r="D4192">
        <v>6838</v>
      </c>
      <c r="E4192" t="s">
        <v>484</v>
      </c>
      <c r="F4192" s="4">
        <v>0</v>
      </c>
      <c r="G4192" s="4">
        <v>3292</v>
      </c>
      <c r="H4192" s="4">
        <v>329</v>
      </c>
      <c r="I4192" s="4">
        <v>2963</v>
      </c>
      <c r="J4192" s="4">
        <v>3292</v>
      </c>
    </row>
    <row r="4193" spans="1:10" x14ac:dyDescent="0.75">
      <c r="A4193" t="s">
        <v>151</v>
      </c>
      <c r="B4193">
        <v>552</v>
      </c>
      <c r="C4193" t="s">
        <v>161</v>
      </c>
      <c r="D4193">
        <v>2540</v>
      </c>
      <c r="E4193" t="s">
        <v>377</v>
      </c>
      <c r="F4193" s="4">
        <v>0</v>
      </c>
      <c r="G4193" s="4">
        <v>3026</v>
      </c>
      <c r="H4193" s="4">
        <v>105</v>
      </c>
      <c r="I4193" s="4">
        <v>2921</v>
      </c>
      <c r="J4193" s="4">
        <v>3026</v>
      </c>
    </row>
    <row r="4194" spans="1:10" x14ac:dyDescent="0.75">
      <c r="A4194" t="s">
        <v>151</v>
      </c>
      <c r="B4194">
        <v>552</v>
      </c>
      <c r="C4194" t="s">
        <v>161</v>
      </c>
      <c r="D4194">
        <v>6590</v>
      </c>
      <c r="E4194" t="s">
        <v>394</v>
      </c>
      <c r="F4194" s="4">
        <v>0</v>
      </c>
      <c r="G4194" s="4">
        <v>2411</v>
      </c>
      <c r="H4194" s="4">
        <v>1893</v>
      </c>
      <c r="I4194" s="4">
        <v>518</v>
      </c>
      <c r="J4194" s="4">
        <v>2411</v>
      </c>
    </row>
    <row r="4195" spans="1:10" x14ac:dyDescent="0.75">
      <c r="A4195" t="s">
        <v>151</v>
      </c>
      <c r="B4195">
        <v>552</v>
      </c>
      <c r="C4195" t="s">
        <v>161</v>
      </c>
      <c r="D4195">
        <v>6865</v>
      </c>
      <c r="E4195" t="s">
        <v>490</v>
      </c>
      <c r="F4195" s="4">
        <v>0</v>
      </c>
      <c r="G4195" s="4">
        <v>2194</v>
      </c>
      <c r="H4195" s="4">
        <v>2187</v>
      </c>
      <c r="I4195" s="4">
        <v>7</v>
      </c>
      <c r="J4195" s="4">
        <v>2194</v>
      </c>
    </row>
    <row r="4196" spans="1:10" x14ac:dyDescent="0.75">
      <c r="A4196" t="s">
        <v>151</v>
      </c>
      <c r="B4196">
        <v>552</v>
      </c>
      <c r="C4196" t="s">
        <v>161</v>
      </c>
      <c r="D4196">
        <v>4161</v>
      </c>
      <c r="E4196" t="s">
        <v>421</v>
      </c>
      <c r="F4196" s="4">
        <v>0</v>
      </c>
      <c r="G4196" s="4">
        <v>1061</v>
      </c>
      <c r="H4196" s="4">
        <v>987</v>
      </c>
      <c r="I4196" s="4">
        <v>74</v>
      </c>
      <c r="J4196" s="4">
        <v>1061</v>
      </c>
    </row>
    <row r="4197" spans="1:10" x14ac:dyDescent="0.75">
      <c r="A4197" t="s">
        <v>151</v>
      </c>
      <c r="B4197">
        <v>552</v>
      </c>
      <c r="C4197" t="s">
        <v>161</v>
      </c>
      <c r="D4197">
        <v>6746</v>
      </c>
      <c r="E4197" t="s">
        <v>477</v>
      </c>
      <c r="F4197" s="4">
        <v>0</v>
      </c>
      <c r="G4197" s="4">
        <v>1024</v>
      </c>
      <c r="H4197" s="4">
        <v>672</v>
      </c>
      <c r="I4197" s="4">
        <v>352</v>
      </c>
      <c r="J4197" s="4">
        <v>1024</v>
      </c>
    </row>
    <row r="4198" spans="1:10" x14ac:dyDescent="0.75">
      <c r="A4198" t="s">
        <v>151</v>
      </c>
      <c r="B4198">
        <v>552</v>
      </c>
      <c r="C4198" t="s">
        <v>161</v>
      </c>
      <c r="D4198">
        <v>4630</v>
      </c>
      <c r="E4198" t="s">
        <v>456</v>
      </c>
      <c r="F4198" s="4">
        <v>0</v>
      </c>
      <c r="G4198" s="4">
        <v>914</v>
      </c>
      <c r="H4198" s="4">
        <v>869</v>
      </c>
      <c r="I4198" s="4">
        <v>45</v>
      </c>
      <c r="J4198" s="4">
        <v>914</v>
      </c>
    </row>
    <row r="4199" spans="1:10" x14ac:dyDescent="0.75">
      <c r="A4199" t="s">
        <v>151</v>
      </c>
      <c r="B4199">
        <v>552</v>
      </c>
      <c r="C4199" t="s">
        <v>161</v>
      </c>
      <c r="D4199">
        <v>7230</v>
      </c>
      <c r="E4199" t="s">
        <v>387</v>
      </c>
      <c r="F4199" s="4">
        <v>0</v>
      </c>
      <c r="G4199" s="4">
        <v>903</v>
      </c>
      <c r="H4199" s="4">
        <v>681</v>
      </c>
      <c r="I4199" s="4">
        <v>222</v>
      </c>
      <c r="J4199" s="4">
        <v>903</v>
      </c>
    </row>
    <row r="4200" spans="1:10" x14ac:dyDescent="0.75">
      <c r="A4200" t="s">
        <v>151</v>
      </c>
      <c r="B4200">
        <v>552</v>
      </c>
      <c r="C4200" t="s">
        <v>161</v>
      </c>
      <c r="D4200">
        <v>6893</v>
      </c>
      <c r="E4200" t="s">
        <v>496</v>
      </c>
      <c r="F4200" s="4">
        <v>0</v>
      </c>
      <c r="G4200" s="4">
        <v>763</v>
      </c>
      <c r="H4200" s="4">
        <v>718</v>
      </c>
      <c r="I4200" s="4">
        <v>45</v>
      </c>
      <c r="J4200" s="4">
        <v>763</v>
      </c>
    </row>
    <row r="4201" spans="1:10" x14ac:dyDescent="0.75">
      <c r="A4201" t="s">
        <v>151</v>
      </c>
      <c r="B4201">
        <v>552</v>
      </c>
      <c r="C4201" t="s">
        <v>161</v>
      </c>
      <c r="D4201">
        <v>6781</v>
      </c>
      <c r="E4201" t="s">
        <v>479</v>
      </c>
      <c r="F4201" s="4">
        <v>0</v>
      </c>
      <c r="G4201" s="4">
        <v>712</v>
      </c>
      <c r="H4201" s="4">
        <v>0</v>
      </c>
      <c r="I4201" s="4">
        <v>712</v>
      </c>
      <c r="J4201" s="4">
        <v>712</v>
      </c>
    </row>
    <row r="4202" spans="1:10" x14ac:dyDescent="0.75">
      <c r="A4202" t="s">
        <v>151</v>
      </c>
      <c r="B4202">
        <v>552</v>
      </c>
      <c r="C4202" t="s">
        <v>161</v>
      </c>
      <c r="D4202">
        <v>4310</v>
      </c>
      <c r="E4202" t="s">
        <v>453</v>
      </c>
      <c r="F4202" s="4">
        <v>0</v>
      </c>
      <c r="G4202" s="4">
        <v>646</v>
      </c>
      <c r="H4202" s="4">
        <v>646</v>
      </c>
      <c r="I4202" s="4">
        <v>0</v>
      </c>
      <c r="J4202" s="4">
        <v>646</v>
      </c>
    </row>
    <row r="4203" spans="1:10" x14ac:dyDescent="0.75">
      <c r="A4203" t="s">
        <v>151</v>
      </c>
      <c r="B4203">
        <v>552</v>
      </c>
      <c r="C4203" t="s">
        <v>161</v>
      </c>
      <c r="D4203">
        <v>5210</v>
      </c>
      <c r="E4203" t="s">
        <v>463</v>
      </c>
      <c r="F4203" s="4">
        <v>0</v>
      </c>
      <c r="G4203" s="4">
        <v>616</v>
      </c>
      <c r="H4203" s="4">
        <v>599</v>
      </c>
      <c r="I4203" s="4">
        <v>17</v>
      </c>
      <c r="J4203" s="4">
        <v>616</v>
      </c>
    </row>
    <row r="4204" spans="1:10" x14ac:dyDescent="0.75">
      <c r="A4204" t="s">
        <v>151</v>
      </c>
      <c r="B4204">
        <v>552</v>
      </c>
      <c r="C4204" t="s">
        <v>161</v>
      </c>
      <c r="D4204">
        <v>6521</v>
      </c>
      <c r="E4204" t="s">
        <v>476</v>
      </c>
      <c r="F4204" s="4">
        <v>0</v>
      </c>
      <c r="G4204" s="4">
        <v>566</v>
      </c>
      <c r="H4204" s="4">
        <v>566</v>
      </c>
      <c r="I4204" s="4">
        <v>0</v>
      </c>
      <c r="J4204" s="4">
        <v>566</v>
      </c>
    </row>
    <row r="4205" spans="1:10" x14ac:dyDescent="0.75">
      <c r="A4205" t="s">
        <v>151</v>
      </c>
      <c r="B4205">
        <v>552</v>
      </c>
      <c r="C4205" t="s">
        <v>161</v>
      </c>
      <c r="D4205">
        <v>6894</v>
      </c>
      <c r="E4205" t="s">
        <v>497</v>
      </c>
      <c r="F4205" s="4">
        <v>0</v>
      </c>
      <c r="G4205" s="4">
        <v>556</v>
      </c>
      <c r="H4205" s="4">
        <v>555</v>
      </c>
      <c r="I4205" s="4">
        <v>1</v>
      </c>
      <c r="J4205" s="4">
        <v>556</v>
      </c>
    </row>
    <row r="4206" spans="1:10" x14ac:dyDescent="0.75">
      <c r="A4206" t="s">
        <v>151</v>
      </c>
      <c r="B4206">
        <v>552</v>
      </c>
      <c r="C4206" t="s">
        <v>161</v>
      </c>
      <c r="D4206">
        <v>7220</v>
      </c>
      <c r="E4206" t="s">
        <v>500</v>
      </c>
      <c r="F4206" s="4">
        <v>0</v>
      </c>
      <c r="G4206" s="4">
        <v>533</v>
      </c>
      <c r="H4206" s="4">
        <v>120</v>
      </c>
      <c r="I4206" s="4">
        <v>413</v>
      </c>
      <c r="J4206" s="4">
        <v>533</v>
      </c>
    </row>
    <row r="4207" spans="1:10" x14ac:dyDescent="0.75">
      <c r="A4207" t="s">
        <v>151</v>
      </c>
      <c r="B4207">
        <v>552</v>
      </c>
      <c r="C4207" t="s">
        <v>161</v>
      </c>
      <c r="D4207">
        <v>3298</v>
      </c>
      <c r="E4207" t="s">
        <v>447</v>
      </c>
      <c r="F4207" s="4">
        <v>0</v>
      </c>
      <c r="G4207" s="4">
        <v>394</v>
      </c>
      <c r="H4207" s="4">
        <v>309</v>
      </c>
      <c r="I4207" s="4">
        <v>85</v>
      </c>
      <c r="J4207" s="4">
        <v>394</v>
      </c>
    </row>
    <row r="4208" spans="1:10" x14ac:dyDescent="0.75">
      <c r="A4208" t="s">
        <v>151</v>
      </c>
      <c r="B4208">
        <v>552</v>
      </c>
      <c r="C4208" t="s">
        <v>161</v>
      </c>
      <c r="D4208">
        <v>3293</v>
      </c>
      <c r="E4208" t="s">
        <v>445</v>
      </c>
      <c r="F4208" s="4">
        <v>0</v>
      </c>
      <c r="G4208" s="4">
        <v>382</v>
      </c>
      <c r="H4208" s="4">
        <v>130</v>
      </c>
      <c r="I4208" s="4">
        <v>252</v>
      </c>
      <c r="J4208" s="4">
        <v>382</v>
      </c>
    </row>
    <row r="4209" spans="1:10" x14ac:dyDescent="0.75">
      <c r="A4209" t="s">
        <v>151</v>
      </c>
      <c r="B4209">
        <v>552</v>
      </c>
      <c r="C4209" t="s">
        <v>161</v>
      </c>
      <c r="D4209">
        <v>6442</v>
      </c>
      <c r="E4209" t="s">
        <v>472</v>
      </c>
      <c r="F4209" s="4">
        <v>0</v>
      </c>
      <c r="G4209" s="4">
        <v>232</v>
      </c>
      <c r="H4209" s="4">
        <v>66</v>
      </c>
      <c r="I4209" s="4">
        <v>166</v>
      </c>
      <c r="J4209" s="4">
        <v>232</v>
      </c>
    </row>
    <row r="4210" spans="1:10" x14ac:dyDescent="0.75">
      <c r="A4210" t="s">
        <v>151</v>
      </c>
      <c r="B4210">
        <v>552</v>
      </c>
      <c r="C4210" t="s">
        <v>161</v>
      </c>
      <c r="D4210">
        <v>4410</v>
      </c>
      <c r="E4210" t="s">
        <v>399</v>
      </c>
      <c r="F4210" s="4">
        <v>0</v>
      </c>
      <c r="G4210" s="4">
        <v>124</v>
      </c>
      <c r="H4210" s="4">
        <v>123</v>
      </c>
      <c r="I4210" s="4">
        <v>1</v>
      </c>
      <c r="J4210" s="4">
        <v>124</v>
      </c>
    </row>
    <row r="4211" spans="1:10" x14ac:dyDescent="0.75">
      <c r="A4211" t="s">
        <v>151</v>
      </c>
      <c r="B4211">
        <v>552</v>
      </c>
      <c r="C4211" t="s">
        <v>161</v>
      </c>
      <c r="D4211">
        <v>3273</v>
      </c>
      <c r="E4211" t="s">
        <v>411</v>
      </c>
      <c r="F4211" s="4">
        <v>0</v>
      </c>
      <c r="G4211" s="4">
        <v>48</v>
      </c>
      <c r="H4211" s="4">
        <v>0</v>
      </c>
      <c r="I4211" s="4">
        <v>48</v>
      </c>
      <c r="J4211" s="4">
        <v>48</v>
      </c>
    </row>
    <row r="4212" spans="1:10" x14ac:dyDescent="0.75">
      <c r="A4212" t="s">
        <v>151</v>
      </c>
      <c r="B4212">
        <v>552</v>
      </c>
      <c r="C4212" t="s">
        <v>161</v>
      </c>
      <c r="D4212">
        <v>3272</v>
      </c>
      <c r="E4212" t="s">
        <v>504</v>
      </c>
      <c r="F4212" s="4">
        <v>0</v>
      </c>
      <c r="G4212" s="4">
        <v>38</v>
      </c>
      <c r="H4212" s="4">
        <v>31</v>
      </c>
      <c r="I4212" s="4">
        <v>7</v>
      </c>
      <c r="J4212" s="4">
        <v>38</v>
      </c>
    </row>
    <row r="4213" spans="1:10" x14ac:dyDescent="0.75">
      <c r="A4213" t="s">
        <v>151</v>
      </c>
      <c r="B4213">
        <v>552</v>
      </c>
      <c r="C4213" t="s">
        <v>161</v>
      </c>
      <c r="D4213">
        <v>4515</v>
      </c>
      <c r="E4213" t="s">
        <v>455</v>
      </c>
      <c r="F4213" s="4">
        <v>0</v>
      </c>
      <c r="G4213" s="4">
        <v>27</v>
      </c>
      <c r="H4213" s="4">
        <v>27</v>
      </c>
      <c r="I4213" s="4">
        <v>0</v>
      </c>
      <c r="J4213" s="4">
        <v>27</v>
      </c>
    </row>
    <row r="4214" spans="1:10" x14ac:dyDescent="0.75">
      <c r="A4214" t="s">
        <v>151</v>
      </c>
      <c r="B4214">
        <v>552</v>
      </c>
      <c r="C4214" t="s">
        <v>161</v>
      </c>
      <c r="D4214">
        <v>1200</v>
      </c>
      <c r="E4214" t="s">
        <v>402</v>
      </c>
      <c r="F4214" s="4">
        <v>0</v>
      </c>
      <c r="G4214" s="4">
        <v>25</v>
      </c>
      <c r="H4214" s="4">
        <v>0</v>
      </c>
      <c r="I4214" s="4">
        <v>25</v>
      </c>
      <c r="J4214" s="4">
        <v>25</v>
      </c>
    </row>
    <row r="4215" spans="1:10" x14ac:dyDescent="0.75">
      <c r="A4215" t="s">
        <v>151</v>
      </c>
      <c r="B4215">
        <v>552</v>
      </c>
      <c r="C4215" t="s">
        <v>161</v>
      </c>
      <c r="D4215">
        <v>3212</v>
      </c>
      <c r="E4215" t="s">
        <v>409</v>
      </c>
      <c r="F4215" s="4">
        <v>0</v>
      </c>
      <c r="G4215" s="4">
        <v>24</v>
      </c>
      <c r="H4215" s="4">
        <v>24</v>
      </c>
      <c r="I4215" s="4">
        <v>0</v>
      </c>
      <c r="J4215" s="4">
        <v>24</v>
      </c>
    </row>
    <row r="4216" spans="1:10" x14ac:dyDescent="0.75">
      <c r="A4216" t="s">
        <v>151</v>
      </c>
      <c r="B4216">
        <v>552</v>
      </c>
      <c r="C4216" t="s">
        <v>161</v>
      </c>
      <c r="D4216">
        <v>6241</v>
      </c>
      <c r="E4216" t="s">
        <v>391</v>
      </c>
      <c r="F4216" s="4">
        <v>0</v>
      </c>
      <c r="G4216" s="4">
        <v>22</v>
      </c>
      <c r="H4216" s="4">
        <v>22</v>
      </c>
      <c r="I4216" s="4">
        <v>0</v>
      </c>
      <c r="J4216" s="4">
        <v>22</v>
      </c>
    </row>
    <row r="4217" spans="1:10" x14ac:dyDescent="0.75">
      <c r="A4217" t="s">
        <v>151</v>
      </c>
      <c r="B4217">
        <v>552</v>
      </c>
      <c r="C4217" t="s">
        <v>161</v>
      </c>
      <c r="D4217">
        <v>4322</v>
      </c>
      <c r="E4217" t="s">
        <v>398</v>
      </c>
      <c r="F4217" s="4">
        <v>0</v>
      </c>
      <c r="G4217" s="4">
        <v>1</v>
      </c>
      <c r="H4217" s="4">
        <v>1</v>
      </c>
      <c r="I4217" s="4">
        <v>0</v>
      </c>
      <c r="J4217" s="4">
        <v>1</v>
      </c>
    </row>
    <row r="4218" spans="1:10" x14ac:dyDescent="0.75">
      <c r="A4218" t="s">
        <v>163</v>
      </c>
      <c r="B4218">
        <v>6103</v>
      </c>
      <c r="C4218" t="s">
        <v>279</v>
      </c>
      <c r="D4218">
        <v>6522</v>
      </c>
      <c r="E4218" t="s">
        <v>393</v>
      </c>
      <c r="F4218" s="4">
        <v>116429</v>
      </c>
      <c r="G4218" s="4">
        <v>0</v>
      </c>
      <c r="H4218" s="4">
        <v>0</v>
      </c>
      <c r="I4218" s="4">
        <v>0</v>
      </c>
      <c r="J4218" s="4">
        <v>116429</v>
      </c>
    </row>
    <row r="4219" spans="1:10" x14ac:dyDescent="0.75">
      <c r="A4219" t="s">
        <v>163</v>
      </c>
      <c r="B4219">
        <v>6103</v>
      </c>
      <c r="C4219" t="s">
        <v>279</v>
      </c>
      <c r="D4219">
        <v>4335</v>
      </c>
      <c r="E4219" t="s">
        <v>372</v>
      </c>
      <c r="F4219" s="4">
        <v>86876</v>
      </c>
      <c r="G4219" s="4">
        <v>0</v>
      </c>
      <c r="H4219" s="4">
        <v>0</v>
      </c>
      <c r="I4219" s="4">
        <v>0</v>
      </c>
      <c r="J4219" s="4">
        <v>86876</v>
      </c>
    </row>
    <row r="4220" spans="1:10" x14ac:dyDescent="0.75">
      <c r="A4220" t="s">
        <v>163</v>
      </c>
      <c r="B4220">
        <v>6103</v>
      </c>
      <c r="C4220" t="s">
        <v>279</v>
      </c>
      <c r="D4220">
        <v>6442</v>
      </c>
      <c r="E4220" t="s">
        <v>472</v>
      </c>
      <c r="F4220" s="4">
        <v>52730</v>
      </c>
      <c r="G4220" s="4">
        <v>0</v>
      </c>
      <c r="H4220" s="4">
        <v>0</v>
      </c>
      <c r="I4220" s="4">
        <v>0</v>
      </c>
      <c r="J4220" s="4">
        <v>52730</v>
      </c>
    </row>
    <row r="4221" spans="1:10" x14ac:dyDescent="0.75">
      <c r="A4221" t="s">
        <v>163</v>
      </c>
      <c r="B4221">
        <v>6103</v>
      </c>
      <c r="C4221" t="s">
        <v>279</v>
      </c>
      <c r="D4221">
        <v>3110</v>
      </c>
      <c r="E4221" t="s">
        <v>405</v>
      </c>
      <c r="F4221" s="4">
        <v>49033</v>
      </c>
      <c r="G4221" s="4">
        <v>0</v>
      </c>
      <c r="H4221" s="4">
        <v>0</v>
      </c>
      <c r="I4221" s="4">
        <v>0</v>
      </c>
      <c r="J4221" s="4">
        <v>49033</v>
      </c>
    </row>
    <row r="4222" spans="1:10" x14ac:dyDescent="0.75">
      <c r="A4222" t="s">
        <v>163</v>
      </c>
      <c r="B4222">
        <v>6103</v>
      </c>
      <c r="C4222" t="s">
        <v>279</v>
      </c>
      <c r="D4222">
        <v>3190</v>
      </c>
      <c r="E4222" t="s">
        <v>408</v>
      </c>
      <c r="F4222" s="4">
        <v>40887</v>
      </c>
      <c r="G4222" s="4">
        <v>0</v>
      </c>
      <c r="H4222" s="4">
        <v>0</v>
      </c>
      <c r="I4222" s="4">
        <v>0</v>
      </c>
      <c r="J4222" s="4">
        <v>40887</v>
      </c>
    </row>
    <row r="4223" spans="1:10" x14ac:dyDescent="0.75">
      <c r="A4223" t="s">
        <v>163</v>
      </c>
      <c r="B4223">
        <v>6103</v>
      </c>
      <c r="C4223" t="s">
        <v>279</v>
      </c>
      <c r="D4223">
        <v>2330</v>
      </c>
      <c r="E4223" t="s">
        <v>368</v>
      </c>
      <c r="F4223" s="4">
        <v>26588</v>
      </c>
      <c r="G4223" s="4">
        <v>0</v>
      </c>
      <c r="H4223" s="4">
        <v>0</v>
      </c>
      <c r="I4223" s="4">
        <v>0</v>
      </c>
      <c r="J4223" s="4">
        <v>26588</v>
      </c>
    </row>
    <row r="4224" spans="1:10" x14ac:dyDescent="0.75">
      <c r="A4224" t="s">
        <v>163</v>
      </c>
      <c r="B4224">
        <v>6103</v>
      </c>
      <c r="C4224" t="s">
        <v>279</v>
      </c>
      <c r="D4224">
        <v>3130</v>
      </c>
      <c r="E4224" t="s">
        <v>407</v>
      </c>
      <c r="F4224" s="4">
        <v>24255</v>
      </c>
      <c r="G4224" s="4">
        <v>0</v>
      </c>
      <c r="H4224" s="4">
        <v>0</v>
      </c>
      <c r="I4224" s="4">
        <v>0</v>
      </c>
      <c r="J4224" s="4">
        <v>24255</v>
      </c>
    </row>
    <row r="4225" spans="1:10" x14ac:dyDescent="0.75">
      <c r="A4225" t="s">
        <v>163</v>
      </c>
      <c r="B4225">
        <v>6103</v>
      </c>
      <c r="C4225" t="s">
        <v>279</v>
      </c>
      <c r="D4225">
        <v>4310</v>
      </c>
      <c r="E4225" t="s">
        <v>453</v>
      </c>
      <c r="F4225" s="4">
        <v>24013</v>
      </c>
      <c r="G4225" s="4">
        <v>0</v>
      </c>
      <c r="H4225" s="4">
        <v>0</v>
      </c>
      <c r="I4225" s="4">
        <v>0</v>
      </c>
      <c r="J4225" s="4">
        <v>24013</v>
      </c>
    </row>
    <row r="4226" spans="1:10" x14ac:dyDescent="0.75">
      <c r="A4226" t="s">
        <v>163</v>
      </c>
      <c r="B4226">
        <v>6103</v>
      </c>
      <c r="C4226" t="s">
        <v>279</v>
      </c>
      <c r="D4226">
        <v>3120</v>
      </c>
      <c r="E4226" t="s">
        <v>406</v>
      </c>
      <c r="F4226" s="4">
        <v>18698</v>
      </c>
      <c r="G4226" s="4">
        <v>0</v>
      </c>
      <c r="H4226" s="4">
        <v>0</v>
      </c>
      <c r="I4226" s="4">
        <v>0</v>
      </c>
      <c r="J4226" s="4">
        <v>18698</v>
      </c>
    </row>
    <row r="4227" spans="1:10" x14ac:dyDescent="0.75">
      <c r="A4227" t="s">
        <v>163</v>
      </c>
      <c r="B4227">
        <v>6103</v>
      </c>
      <c r="C4227" t="s">
        <v>279</v>
      </c>
      <c r="D4227">
        <v>6241</v>
      </c>
      <c r="E4227" t="s">
        <v>391</v>
      </c>
      <c r="F4227" s="4">
        <v>16457</v>
      </c>
      <c r="G4227" s="4">
        <v>0</v>
      </c>
      <c r="H4227" s="4">
        <v>0</v>
      </c>
      <c r="I4227" s="4">
        <v>0</v>
      </c>
      <c r="J4227" s="4">
        <v>16457</v>
      </c>
    </row>
    <row r="4228" spans="1:10" x14ac:dyDescent="0.75">
      <c r="A4228" t="s">
        <v>163</v>
      </c>
      <c r="B4228">
        <v>6103</v>
      </c>
      <c r="C4228" t="s">
        <v>279</v>
      </c>
      <c r="D4228">
        <v>5390</v>
      </c>
      <c r="E4228" t="s">
        <v>418</v>
      </c>
      <c r="F4228" s="4">
        <v>15635</v>
      </c>
      <c r="G4228" s="4">
        <v>0</v>
      </c>
      <c r="H4228" s="4">
        <v>0</v>
      </c>
      <c r="I4228" s="4">
        <v>0</v>
      </c>
      <c r="J4228" s="4">
        <v>15635</v>
      </c>
    </row>
    <row r="4229" spans="1:10" x14ac:dyDescent="0.75">
      <c r="A4229" t="s">
        <v>163</v>
      </c>
      <c r="B4229">
        <v>6103</v>
      </c>
      <c r="C4229" t="s">
        <v>279</v>
      </c>
      <c r="D4229">
        <v>4900</v>
      </c>
      <c r="E4229" t="s">
        <v>383</v>
      </c>
      <c r="F4229" s="4">
        <v>8319</v>
      </c>
      <c r="G4229" s="4">
        <v>0</v>
      </c>
      <c r="H4229" s="4">
        <v>0</v>
      </c>
      <c r="I4229" s="4">
        <v>0</v>
      </c>
      <c r="J4229" s="4">
        <v>8319</v>
      </c>
    </row>
    <row r="4230" spans="1:10" x14ac:dyDescent="0.75">
      <c r="A4230" t="s">
        <v>163</v>
      </c>
      <c r="B4230">
        <v>6103</v>
      </c>
      <c r="C4230" t="s">
        <v>279</v>
      </c>
      <c r="D4230">
        <v>6344</v>
      </c>
      <c r="E4230" t="s">
        <v>392</v>
      </c>
      <c r="F4230" s="4">
        <v>8111</v>
      </c>
      <c r="G4230" s="4">
        <v>0</v>
      </c>
      <c r="H4230" s="4">
        <v>0</v>
      </c>
      <c r="I4230" s="4">
        <v>0</v>
      </c>
      <c r="J4230" s="4">
        <v>8111</v>
      </c>
    </row>
    <row r="4231" spans="1:10" x14ac:dyDescent="0.75">
      <c r="A4231" t="s">
        <v>163</v>
      </c>
      <c r="B4231">
        <v>6103</v>
      </c>
      <c r="C4231" t="s">
        <v>279</v>
      </c>
      <c r="D4231">
        <v>5422</v>
      </c>
      <c r="E4231" t="s">
        <v>468</v>
      </c>
      <c r="F4231" s="4">
        <v>4612</v>
      </c>
      <c r="G4231" s="4">
        <v>0</v>
      </c>
      <c r="H4231" s="4">
        <v>0</v>
      </c>
      <c r="I4231" s="4">
        <v>0</v>
      </c>
      <c r="J4231" s="4">
        <v>4612</v>
      </c>
    </row>
    <row r="4232" spans="1:10" x14ac:dyDescent="0.75">
      <c r="A4232" t="s">
        <v>163</v>
      </c>
      <c r="B4232">
        <v>6103</v>
      </c>
      <c r="C4232" t="s">
        <v>279</v>
      </c>
      <c r="D4232">
        <v>5330</v>
      </c>
      <c r="E4232" t="s">
        <v>385</v>
      </c>
      <c r="F4232" s="4">
        <v>3224</v>
      </c>
      <c r="G4232" s="4">
        <v>0</v>
      </c>
      <c r="H4232" s="4">
        <v>0</v>
      </c>
      <c r="I4232" s="4">
        <v>0</v>
      </c>
      <c r="J4232" s="4">
        <v>3224</v>
      </c>
    </row>
    <row r="4233" spans="1:10" x14ac:dyDescent="0.75">
      <c r="A4233" t="s">
        <v>163</v>
      </c>
      <c r="B4233">
        <v>2358</v>
      </c>
      <c r="C4233" t="s">
        <v>168</v>
      </c>
      <c r="D4233">
        <v>1100</v>
      </c>
      <c r="E4233" t="s">
        <v>397</v>
      </c>
      <c r="F4233" s="4">
        <v>9541880</v>
      </c>
      <c r="G4233" s="4">
        <v>0</v>
      </c>
      <c r="H4233" s="4">
        <v>0</v>
      </c>
      <c r="I4233" s="4">
        <v>0</v>
      </c>
      <c r="J4233" s="4">
        <v>9541880</v>
      </c>
    </row>
    <row r="4234" spans="1:10" x14ac:dyDescent="0.75">
      <c r="A4234" t="s">
        <v>163</v>
      </c>
      <c r="B4234">
        <v>2358</v>
      </c>
      <c r="C4234" t="s">
        <v>168</v>
      </c>
      <c r="D4234">
        <v>4322</v>
      </c>
      <c r="E4234" t="s">
        <v>398</v>
      </c>
      <c r="F4234" s="4">
        <v>1556387</v>
      </c>
      <c r="G4234" s="4">
        <v>0</v>
      </c>
      <c r="H4234" s="4">
        <v>0</v>
      </c>
      <c r="I4234" s="4">
        <v>0</v>
      </c>
      <c r="J4234" s="4">
        <v>1556387</v>
      </c>
    </row>
    <row r="4235" spans="1:10" x14ac:dyDescent="0.75">
      <c r="A4235" t="s">
        <v>163</v>
      </c>
      <c r="B4235">
        <v>2358</v>
      </c>
      <c r="C4235" t="s">
        <v>168</v>
      </c>
      <c r="D4235">
        <v>4331</v>
      </c>
      <c r="E4235" t="s">
        <v>390</v>
      </c>
      <c r="F4235" s="4">
        <v>986284</v>
      </c>
      <c r="G4235" s="4">
        <v>0</v>
      </c>
      <c r="H4235" s="4">
        <v>0</v>
      </c>
      <c r="I4235" s="4">
        <v>0</v>
      </c>
      <c r="J4235" s="4">
        <v>986284</v>
      </c>
    </row>
    <row r="4236" spans="1:10" x14ac:dyDescent="0.75">
      <c r="A4236" t="s">
        <v>163</v>
      </c>
      <c r="B4236">
        <v>2358</v>
      </c>
      <c r="C4236" t="s">
        <v>168</v>
      </c>
      <c r="D4236">
        <v>4323</v>
      </c>
      <c r="E4236" t="s">
        <v>373</v>
      </c>
      <c r="F4236" s="4">
        <v>889631</v>
      </c>
      <c r="G4236" s="4">
        <v>0</v>
      </c>
      <c r="H4236" s="4">
        <v>0</v>
      </c>
      <c r="I4236" s="4">
        <v>0</v>
      </c>
      <c r="J4236" s="4">
        <v>889631</v>
      </c>
    </row>
    <row r="4237" spans="1:10" x14ac:dyDescent="0.75">
      <c r="A4237" t="s">
        <v>163</v>
      </c>
      <c r="B4237">
        <v>2358</v>
      </c>
      <c r="C4237" t="s">
        <v>168</v>
      </c>
      <c r="D4237">
        <v>1200</v>
      </c>
      <c r="E4237" t="s">
        <v>402</v>
      </c>
      <c r="F4237" s="4">
        <v>620994</v>
      </c>
      <c r="G4237" s="4">
        <v>0</v>
      </c>
      <c r="H4237" s="4">
        <v>0</v>
      </c>
      <c r="I4237" s="4">
        <v>0</v>
      </c>
      <c r="J4237" s="4">
        <v>620994</v>
      </c>
    </row>
    <row r="4238" spans="1:10" x14ac:dyDescent="0.75">
      <c r="A4238" t="s">
        <v>163</v>
      </c>
      <c r="B4238">
        <v>2358</v>
      </c>
      <c r="C4238" t="s">
        <v>168</v>
      </c>
      <c r="D4238">
        <v>2330</v>
      </c>
      <c r="E4238" t="s">
        <v>368</v>
      </c>
      <c r="F4238" s="4">
        <v>418363</v>
      </c>
      <c r="G4238" s="4">
        <v>0</v>
      </c>
      <c r="H4238" s="4">
        <v>0</v>
      </c>
      <c r="I4238" s="4">
        <v>0</v>
      </c>
      <c r="J4238" s="4">
        <v>418363</v>
      </c>
    </row>
    <row r="4239" spans="1:10" x14ac:dyDescent="0.75">
      <c r="A4239" t="s">
        <v>163</v>
      </c>
      <c r="B4239">
        <v>2358</v>
      </c>
      <c r="C4239" t="s">
        <v>168</v>
      </c>
      <c r="D4239">
        <v>4420</v>
      </c>
      <c r="E4239" t="s">
        <v>381</v>
      </c>
      <c r="F4239" s="4">
        <v>340665</v>
      </c>
      <c r="G4239" s="4">
        <v>0</v>
      </c>
      <c r="H4239" s="4">
        <v>0</v>
      </c>
      <c r="I4239" s="4">
        <v>0</v>
      </c>
      <c r="J4239" s="4">
        <v>340665</v>
      </c>
    </row>
    <row r="4240" spans="1:10" x14ac:dyDescent="0.75">
      <c r="A4240" t="s">
        <v>163</v>
      </c>
      <c r="B4240">
        <v>2358</v>
      </c>
      <c r="C4240" t="s">
        <v>168</v>
      </c>
      <c r="D4240">
        <v>2350</v>
      </c>
      <c r="E4240" t="s">
        <v>404</v>
      </c>
      <c r="F4240" s="4">
        <v>222402</v>
      </c>
      <c r="G4240" s="4">
        <v>0</v>
      </c>
      <c r="H4240" s="4">
        <v>0</v>
      </c>
      <c r="I4240" s="4">
        <v>0</v>
      </c>
      <c r="J4240" s="4">
        <v>222402</v>
      </c>
    </row>
    <row r="4241" spans="1:10" x14ac:dyDescent="0.75">
      <c r="A4241" t="s">
        <v>163</v>
      </c>
      <c r="B4241">
        <v>2358</v>
      </c>
      <c r="C4241" t="s">
        <v>168</v>
      </c>
      <c r="D4241">
        <v>5315</v>
      </c>
      <c r="E4241" t="s">
        <v>417</v>
      </c>
      <c r="F4241" s="4">
        <v>206101</v>
      </c>
      <c r="G4241" s="4">
        <v>0</v>
      </c>
      <c r="H4241" s="4">
        <v>0</v>
      </c>
      <c r="I4241" s="4">
        <v>0</v>
      </c>
      <c r="J4241" s="4">
        <v>206101</v>
      </c>
    </row>
    <row r="4242" spans="1:10" x14ac:dyDescent="0.75">
      <c r="A4242" t="s">
        <v>163</v>
      </c>
      <c r="B4242">
        <v>2358</v>
      </c>
      <c r="C4242" t="s">
        <v>168</v>
      </c>
      <c r="D4242">
        <v>4783</v>
      </c>
      <c r="E4242" t="s">
        <v>382</v>
      </c>
      <c r="F4242" s="4">
        <v>186657</v>
      </c>
      <c r="G4242" s="4">
        <v>0</v>
      </c>
      <c r="H4242" s="4">
        <v>0</v>
      </c>
      <c r="I4242" s="4">
        <v>0</v>
      </c>
      <c r="J4242" s="4">
        <v>186657</v>
      </c>
    </row>
    <row r="4243" spans="1:10" x14ac:dyDescent="0.75">
      <c r="A4243" t="s">
        <v>163</v>
      </c>
      <c r="B4243">
        <v>2358</v>
      </c>
      <c r="C4243" t="s">
        <v>168</v>
      </c>
      <c r="D4243">
        <v>5330</v>
      </c>
      <c r="E4243" t="s">
        <v>385</v>
      </c>
      <c r="F4243" s="4">
        <v>173736</v>
      </c>
      <c r="G4243" s="4">
        <v>0</v>
      </c>
      <c r="H4243" s="4">
        <v>0</v>
      </c>
      <c r="I4243" s="4">
        <v>0</v>
      </c>
      <c r="J4243" s="4">
        <v>173736</v>
      </c>
    </row>
    <row r="4244" spans="1:10" x14ac:dyDescent="0.75">
      <c r="A4244" t="s">
        <v>163</v>
      </c>
      <c r="B4244">
        <v>2358</v>
      </c>
      <c r="C4244" t="s">
        <v>168</v>
      </c>
      <c r="D4244">
        <v>2211</v>
      </c>
      <c r="E4244" t="s">
        <v>367</v>
      </c>
      <c r="F4244" s="4">
        <v>158852</v>
      </c>
      <c r="G4244" s="4">
        <v>0</v>
      </c>
      <c r="H4244" s="4">
        <v>0</v>
      </c>
      <c r="I4244" s="4">
        <v>0</v>
      </c>
      <c r="J4244" s="4">
        <v>158852</v>
      </c>
    </row>
    <row r="4245" spans="1:10" x14ac:dyDescent="0.75">
      <c r="A4245" t="s">
        <v>163</v>
      </c>
      <c r="B4245">
        <v>2358</v>
      </c>
      <c r="C4245" t="s">
        <v>168</v>
      </c>
      <c r="D4245">
        <v>5360</v>
      </c>
      <c r="E4245" t="s">
        <v>465</v>
      </c>
      <c r="F4245" s="4">
        <v>114436</v>
      </c>
      <c r="G4245" s="4">
        <v>0</v>
      </c>
      <c r="H4245" s="4">
        <v>0</v>
      </c>
      <c r="I4245" s="4">
        <v>0</v>
      </c>
      <c r="J4245" s="4">
        <v>114436</v>
      </c>
    </row>
    <row r="4246" spans="1:10" x14ac:dyDescent="0.75">
      <c r="A4246" t="s">
        <v>163</v>
      </c>
      <c r="B4246">
        <v>2358</v>
      </c>
      <c r="C4246" t="s">
        <v>168</v>
      </c>
      <c r="D4246">
        <v>2430</v>
      </c>
      <c r="E4246" t="s">
        <v>376</v>
      </c>
      <c r="F4246" s="4">
        <v>110735</v>
      </c>
      <c r="G4246" s="4">
        <v>0</v>
      </c>
      <c r="H4246" s="4">
        <v>0</v>
      </c>
      <c r="I4246" s="4">
        <v>0</v>
      </c>
      <c r="J4246" s="4">
        <v>110735</v>
      </c>
    </row>
    <row r="4247" spans="1:10" x14ac:dyDescent="0.75">
      <c r="A4247" t="s">
        <v>163</v>
      </c>
      <c r="B4247">
        <v>2358</v>
      </c>
      <c r="C4247" t="s">
        <v>168</v>
      </c>
      <c r="D4247">
        <v>3219</v>
      </c>
      <c r="E4247" t="s">
        <v>378</v>
      </c>
      <c r="F4247" s="4">
        <v>71250</v>
      </c>
      <c r="G4247" s="4">
        <v>0</v>
      </c>
      <c r="H4247" s="4">
        <v>0</v>
      </c>
      <c r="I4247" s="4">
        <v>0</v>
      </c>
      <c r="J4247" s="4">
        <v>71250</v>
      </c>
    </row>
    <row r="4248" spans="1:10" x14ac:dyDescent="0.75">
      <c r="A4248" t="s">
        <v>163</v>
      </c>
      <c r="B4248">
        <v>2358</v>
      </c>
      <c r="C4248" t="s">
        <v>168</v>
      </c>
      <c r="D4248">
        <v>3274</v>
      </c>
      <c r="E4248" t="s">
        <v>438</v>
      </c>
      <c r="F4248" s="4">
        <v>70361</v>
      </c>
      <c r="G4248" s="4">
        <v>0</v>
      </c>
      <c r="H4248" s="4">
        <v>0</v>
      </c>
      <c r="I4248" s="4">
        <v>0</v>
      </c>
      <c r="J4248" s="4">
        <v>70361</v>
      </c>
    </row>
    <row r="4249" spans="1:10" x14ac:dyDescent="0.75">
      <c r="A4249" t="s">
        <v>163</v>
      </c>
      <c r="B4249">
        <v>2358</v>
      </c>
      <c r="C4249" t="s">
        <v>168</v>
      </c>
      <c r="D4249">
        <v>3260</v>
      </c>
      <c r="E4249" t="s">
        <v>436</v>
      </c>
      <c r="F4249" s="4">
        <v>66312</v>
      </c>
      <c r="G4249" s="4">
        <v>0</v>
      </c>
      <c r="H4249" s="4">
        <v>0</v>
      </c>
      <c r="I4249" s="4">
        <v>0</v>
      </c>
      <c r="J4249" s="4">
        <v>66312</v>
      </c>
    </row>
    <row r="4250" spans="1:10" x14ac:dyDescent="0.75">
      <c r="A4250" t="s">
        <v>163</v>
      </c>
      <c r="B4250">
        <v>2358</v>
      </c>
      <c r="C4250" t="s">
        <v>168</v>
      </c>
      <c r="D4250">
        <v>5220</v>
      </c>
      <c r="E4250" t="s">
        <v>401</v>
      </c>
      <c r="F4250" s="4">
        <v>63968</v>
      </c>
      <c r="G4250" s="4">
        <v>0</v>
      </c>
      <c r="H4250" s="4">
        <v>0</v>
      </c>
      <c r="I4250" s="4">
        <v>0</v>
      </c>
      <c r="J4250" s="4">
        <v>63968</v>
      </c>
    </row>
    <row r="4251" spans="1:10" x14ac:dyDescent="0.75">
      <c r="A4251" t="s">
        <v>163</v>
      </c>
      <c r="B4251">
        <v>2358</v>
      </c>
      <c r="C4251" t="s">
        <v>168</v>
      </c>
      <c r="D4251">
        <v>5370</v>
      </c>
      <c r="E4251" t="s">
        <v>466</v>
      </c>
      <c r="F4251" s="4">
        <v>59297</v>
      </c>
      <c r="G4251" s="4">
        <v>0</v>
      </c>
      <c r="H4251" s="4">
        <v>0</v>
      </c>
      <c r="I4251" s="4">
        <v>0</v>
      </c>
      <c r="J4251" s="4">
        <v>59297</v>
      </c>
    </row>
    <row r="4252" spans="1:10" x14ac:dyDescent="0.75">
      <c r="A4252" t="s">
        <v>163</v>
      </c>
      <c r="B4252">
        <v>2358</v>
      </c>
      <c r="C4252" t="s">
        <v>168</v>
      </c>
      <c r="D4252">
        <v>4860</v>
      </c>
      <c r="E4252" t="s">
        <v>400</v>
      </c>
      <c r="F4252" s="4">
        <v>54106</v>
      </c>
      <c r="G4252" s="4">
        <v>0</v>
      </c>
      <c r="H4252" s="4">
        <v>0</v>
      </c>
      <c r="I4252" s="4">
        <v>0</v>
      </c>
      <c r="J4252" s="4">
        <v>54106</v>
      </c>
    </row>
    <row r="4253" spans="1:10" x14ac:dyDescent="0.75">
      <c r="A4253" t="s">
        <v>163</v>
      </c>
      <c r="B4253">
        <v>2358</v>
      </c>
      <c r="C4253" t="s">
        <v>168</v>
      </c>
      <c r="D4253">
        <v>2340</v>
      </c>
      <c r="E4253" t="s">
        <v>369</v>
      </c>
      <c r="F4253" s="4">
        <v>52676</v>
      </c>
      <c r="G4253" s="4">
        <v>0</v>
      </c>
      <c r="H4253" s="4">
        <v>0</v>
      </c>
      <c r="I4253" s="4">
        <v>0</v>
      </c>
      <c r="J4253" s="4">
        <v>52676</v>
      </c>
    </row>
    <row r="4254" spans="1:10" x14ac:dyDescent="0.75">
      <c r="A4254" t="s">
        <v>163</v>
      </c>
      <c r="B4254">
        <v>2358</v>
      </c>
      <c r="C4254" t="s">
        <v>168</v>
      </c>
      <c r="D4254">
        <v>3220</v>
      </c>
      <c r="E4254" t="s">
        <v>370</v>
      </c>
      <c r="F4254" s="4">
        <v>46025</v>
      </c>
      <c r="G4254" s="4">
        <v>0</v>
      </c>
      <c r="H4254" s="4">
        <v>0</v>
      </c>
      <c r="I4254" s="4">
        <v>0</v>
      </c>
      <c r="J4254" s="4">
        <v>46025</v>
      </c>
    </row>
    <row r="4255" spans="1:10" x14ac:dyDescent="0.75">
      <c r="A4255" t="s">
        <v>163</v>
      </c>
      <c r="B4255">
        <v>2358</v>
      </c>
      <c r="C4255" t="s">
        <v>168</v>
      </c>
      <c r="D4255">
        <v>2540</v>
      </c>
      <c r="E4255" t="s">
        <v>377</v>
      </c>
      <c r="F4255" s="4">
        <v>42647</v>
      </c>
      <c r="G4255" s="4">
        <v>0</v>
      </c>
      <c r="H4255" s="4">
        <v>0</v>
      </c>
      <c r="I4255" s="4">
        <v>0</v>
      </c>
      <c r="J4255" s="4">
        <v>42647</v>
      </c>
    </row>
    <row r="4256" spans="1:10" x14ac:dyDescent="0.75">
      <c r="A4256" t="s">
        <v>163</v>
      </c>
      <c r="B4256">
        <v>2358</v>
      </c>
      <c r="C4256" t="s">
        <v>168</v>
      </c>
      <c r="D4256">
        <v>4782</v>
      </c>
      <c r="E4256" t="s">
        <v>414</v>
      </c>
      <c r="F4256" s="4">
        <v>40227</v>
      </c>
      <c r="G4256" s="4">
        <v>0</v>
      </c>
      <c r="H4256" s="4">
        <v>0</v>
      </c>
      <c r="I4256" s="4">
        <v>0</v>
      </c>
      <c r="J4256" s="4">
        <v>40227</v>
      </c>
    </row>
    <row r="4257" spans="1:10" x14ac:dyDescent="0.75">
      <c r="A4257" t="s">
        <v>163</v>
      </c>
      <c r="B4257">
        <v>2358</v>
      </c>
      <c r="C4257" t="s">
        <v>168</v>
      </c>
      <c r="D4257">
        <v>4650</v>
      </c>
      <c r="E4257" t="s">
        <v>457</v>
      </c>
      <c r="F4257" s="4">
        <v>37131</v>
      </c>
      <c r="G4257" s="4">
        <v>0</v>
      </c>
      <c r="H4257" s="4">
        <v>0</v>
      </c>
      <c r="I4257" s="4">
        <v>0</v>
      </c>
      <c r="J4257" s="4">
        <v>37131</v>
      </c>
    </row>
    <row r="4258" spans="1:10" x14ac:dyDescent="0.75">
      <c r="A4258" t="s">
        <v>163</v>
      </c>
      <c r="B4258">
        <v>2358</v>
      </c>
      <c r="C4258" t="s">
        <v>168</v>
      </c>
      <c r="D4258">
        <v>3276</v>
      </c>
      <c r="E4258" t="s">
        <v>379</v>
      </c>
      <c r="F4258" s="4">
        <v>34176</v>
      </c>
      <c r="G4258" s="4">
        <v>0</v>
      </c>
      <c r="H4258" s="4">
        <v>0</v>
      </c>
      <c r="I4258" s="4">
        <v>0</v>
      </c>
      <c r="J4258" s="4">
        <v>34176</v>
      </c>
    </row>
    <row r="4259" spans="1:10" x14ac:dyDescent="0.75">
      <c r="A4259" t="s">
        <v>163</v>
      </c>
      <c r="B4259">
        <v>2358</v>
      </c>
      <c r="C4259" t="s">
        <v>168</v>
      </c>
      <c r="D4259">
        <v>3110</v>
      </c>
      <c r="E4259" t="s">
        <v>405</v>
      </c>
      <c r="F4259" s="4">
        <v>32712</v>
      </c>
      <c r="G4259" s="4">
        <v>0</v>
      </c>
      <c r="H4259" s="4">
        <v>0</v>
      </c>
      <c r="I4259" s="4">
        <v>0</v>
      </c>
      <c r="J4259" s="4">
        <v>32712</v>
      </c>
    </row>
    <row r="4260" spans="1:10" x14ac:dyDescent="0.75">
      <c r="A4260" t="s">
        <v>163</v>
      </c>
      <c r="B4260">
        <v>2358</v>
      </c>
      <c r="C4260" t="s">
        <v>168</v>
      </c>
      <c r="D4260">
        <v>4161</v>
      </c>
      <c r="E4260" t="s">
        <v>421</v>
      </c>
      <c r="F4260" s="4">
        <v>25192</v>
      </c>
      <c r="G4260" s="4">
        <v>0</v>
      </c>
      <c r="H4260" s="4">
        <v>0</v>
      </c>
      <c r="I4260" s="4">
        <v>0</v>
      </c>
      <c r="J4260" s="4">
        <v>25192</v>
      </c>
    </row>
    <row r="4261" spans="1:10" x14ac:dyDescent="0.75">
      <c r="A4261" t="s">
        <v>163</v>
      </c>
      <c r="B4261">
        <v>2358</v>
      </c>
      <c r="C4261" t="s">
        <v>168</v>
      </c>
      <c r="D4261">
        <v>4900</v>
      </c>
      <c r="E4261" t="s">
        <v>383</v>
      </c>
      <c r="F4261" s="4">
        <v>22659</v>
      </c>
      <c r="G4261" s="4">
        <v>0</v>
      </c>
      <c r="H4261" s="4">
        <v>0</v>
      </c>
      <c r="I4261" s="4">
        <v>0</v>
      </c>
      <c r="J4261" s="4">
        <v>22659</v>
      </c>
    </row>
    <row r="4262" spans="1:10" x14ac:dyDescent="0.75">
      <c r="A4262" t="s">
        <v>163</v>
      </c>
      <c r="B4262">
        <v>2358</v>
      </c>
      <c r="C4262" t="s">
        <v>168</v>
      </c>
      <c r="D4262">
        <v>2221</v>
      </c>
      <c r="E4262" t="s">
        <v>374</v>
      </c>
      <c r="F4262" s="4">
        <v>21861</v>
      </c>
      <c r="G4262" s="4">
        <v>0</v>
      </c>
      <c r="H4262" s="4">
        <v>0</v>
      </c>
      <c r="I4262" s="4">
        <v>0</v>
      </c>
      <c r="J4262" s="4">
        <v>21861</v>
      </c>
    </row>
    <row r="4263" spans="1:10" x14ac:dyDescent="0.75">
      <c r="A4263" t="s">
        <v>163</v>
      </c>
      <c r="B4263">
        <v>2358</v>
      </c>
      <c r="C4263" t="s">
        <v>168</v>
      </c>
      <c r="D4263">
        <v>4670</v>
      </c>
      <c r="E4263" t="s">
        <v>458</v>
      </c>
      <c r="F4263" s="4">
        <v>19569</v>
      </c>
      <c r="G4263" s="4">
        <v>0</v>
      </c>
      <c r="H4263" s="4">
        <v>0</v>
      </c>
      <c r="I4263" s="4">
        <v>0</v>
      </c>
      <c r="J4263" s="4">
        <v>19569</v>
      </c>
    </row>
    <row r="4264" spans="1:10" x14ac:dyDescent="0.75">
      <c r="A4264" t="s">
        <v>163</v>
      </c>
      <c r="B4264">
        <v>2358</v>
      </c>
      <c r="C4264" t="s">
        <v>168</v>
      </c>
      <c r="D4264">
        <v>4410</v>
      </c>
      <c r="E4264" t="s">
        <v>399</v>
      </c>
      <c r="F4264" s="4">
        <v>18091</v>
      </c>
      <c r="G4264" s="4">
        <v>0</v>
      </c>
      <c r="H4264" s="4">
        <v>0</v>
      </c>
      <c r="I4264" s="4">
        <v>0</v>
      </c>
      <c r="J4264" s="4">
        <v>18091</v>
      </c>
    </row>
    <row r="4265" spans="1:10" x14ac:dyDescent="0.75">
      <c r="A4265" t="s">
        <v>163</v>
      </c>
      <c r="B4265">
        <v>2358</v>
      </c>
      <c r="C4265" t="s">
        <v>168</v>
      </c>
      <c r="D4265">
        <v>3130</v>
      </c>
      <c r="E4265" t="s">
        <v>407</v>
      </c>
      <c r="F4265" s="4">
        <v>17067</v>
      </c>
      <c r="G4265" s="4">
        <v>0</v>
      </c>
      <c r="H4265" s="4">
        <v>0</v>
      </c>
      <c r="I4265" s="4">
        <v>0</v>
      </c>
      <c r="J4265" s="4">
        <v>17067</v>
      </c>
    </row>
    <row r="4266" spans="1:10" x14ac:dyDescent="0.75">
      <c r="A4266" t="s">
        <v>163</v>
      </c>
      <c r="B4266">
        <v>2358</v>
      </c>
      <c r="C4266" t="s">
        <v>168</v>
      </c>
      <c r="D4266">
        <v>3212</v>
      </c>
      <c r="E4266" t="s">
        <v>409</v>
      </c>
      <c r="F4266" s="4">
        <v>15707</v>
      </c>
      <c r="G4266" s="4">
        <v>0</v>
      </c>
      <c r="H4266" s="4">
        <v>0</v>
      </c>
      <c r="I4266" s="4">
        <v>0</v>
      </c>
      <c r="J4266" s="4">
        <v>15707</v>
      </c>
    </row>
    <row r="4267" spans="1:10" x14ac:dyDescent="0.75">
      <c r="A4267" t="s">
        <v>163</v>
      </c>
      <c r="B4267">
        <v>2358</v>
      </c>
      <c r="C4267" t="s">
        <v>168</v>
      </c>
      <c r="D4267">
        <v>5390</v>
      </c>
      <c r="E4267" t="s">
        <v>418</v>
      </c>
      <c r="F4267" s="4">
        <v>11721</v>
      </c>
      <c r="G4267" s="4">
        <v>0</v>
      </c>
      <c r="H4267" s="4">
        <v>0</v>
      </c>
      <c r="I4267" s="4">
        <v>0</v>
      </c>
      <c r="J4267" s="4">
        <v>11721</v>
      </c>
    </row>
    <row r="4268" spans="1:10" x14ac:dyDescent="0.75">
      <c r="A4268" t="s">
        <v>163</v>
      </c>
      <c r="B4268">
        <v>2358</v>
      </c>
      <c r="C4268" t="s">
        <v>168</v>
      </c>
      <c r="D4268">
        <v>4690</v>
      </c>
      <c r="E4268" t="s">
        <v>428</v>
      </c>
      <c r="F4268" s="4">
        <v>11494</v>
      </c>
      <c r="G4268" s="4">
        <v>0</v>
      </c>
      <c r="H4268" s="4">
        <v>0</v>
      </c>
      <c r="I4268" s="4">
        <v>0</v>
      </c>
      <c r="J4268" s="4">
        <v>11494</v>
      </c>
    </row>
    <row r="4269" spans="1:10" x14ac:dyDescent="0.75">
      <c r="A4269" t="s">
        <v>163</v>
      </c>
      <c r="B4269">
        <v>2358</v>
      </c>
      <c r="C4269" t="s">
        <v>168</v>
      </c>
      <c r="D4269">
        <v>5290</v>
      </c>
      <c r="E4269" t="s">
        <v>415</v>
      </c>
      <c r="F4269" s="4">
        <v>11301</v>
      </c>
      <c r="G4269" s="4">
        <v>0</v>
      </c>
      <c r="H4269" s="4">
        <v>0</v>
      </c>
      <c r="I4269" s="4">
        <v>0</v>
      </c>
      <c r="J4269" s="4">
        <v>11301</v>
      </c>
    </row>
    <row r="4270" spans="1:10" x14ac:dyDescent="0.75">
      <c r="A4270" t="s">
        <v>163</v>
      </c>
      <c r="B4270">
        <v>2358</v>
      </c>
      <c r="C4270" t="s">
        <v>168</v>
      </c>
      <c r="D4270">
        <v>3275</v>
      </c>
      <c r="E4270" t="s">
        <v>412</v>
      </c>
      <c r="F4270" s="4">
        <v>9457</v>
      </c>
      <c r="G4270" s="4">
        <v>0</v>
      </c>
      <c r="H4270" s="4">
        <v>0</v>
      </c>
      <c r="I4270" s="4">
        <v>0</v>
      </c>
      <c r="J4270" s="4">
        <v>9457</v>
      </c>
    </row>
    <row r="4271" spans="1:10" x14ac:dyDescent="0.75">
      <c r="A4271" t="s">
        <v>163</v>
      </c>
      <c r="B4271">
        <v>2358</v>
      </c>
      <c r="C4271" t="s">
        <v>168</v>
      </c>
      <c r="D4271">
        <v>5480</v>
      </c>
      <c r="E4271" t="s">
        <v>386</v>
      </c>
      <c r="F4271" s="4">
        <v>9343</v>
      </c>
      <c r="G4271" s="4">
        <v>0</v>
      </c>
      <c r="H4271" s="4">
        <v>0</v>
      </c>
      <c r="I4271" s="4">
        <v>0</v>
      </c>
      <c r="J4271" s="4">
        <v>9343</v>
      </c>
    </row>
    <row r="4272" spans="1:10" x14ac:dyDescent="0.75">
      <c r="A4272" t="s">
        <v>163</v>
      </c>
      <c r="B4272">
        <v>2358</v>
      </c>
      <c r="C4272" t="s">
        <v>168</v>
      </c>
      <c r="D4272">
        <v>3230</v>
      </c>
      <c r="E4272" t="s">
        <v>434</v>
      </c>
      <c r="F4272" s="4">
        <v>8260</v>
      </c>
      <c r="G4272" s="4">
        <v>0</v>
      </c>
      <c r="H4272" s="4">
        <v>0</v>
      </c>
      <c r="I4272" s="4">
        <v>0</v>
      </c>
      <c r="J4272" s="4">
        <v>8260</v>
      </c>
    </row>
    <row r="4273" spans="1:10" x14ac:dyDescent="0.75">
      <c r="A4273" t="s">
        <v>163</v>
      </c>
      <c r="B4273">
        <v>2358</v>
      </c>
      <c r="C4273" t="s">
        <v>168</v>
      </c>
      <c r="D4273">
        <v>2410</v>
      </c>
      <c r="E4273" t="s">
        <v>430</v>
      </c>
      <c r="F4273" s="4">
        <v>6637</v>
      </c>
      <c r="G4273" s="4">
        <v>0</v>
      </c>
      <c r="H4273" s="4">
        <v>0</v>
      </c>
      <c r="I4273" s="4">
        <v>0</v>
      </c>
      <c r="J4273" s="4">
        <v>6637</v>
      </c>
    </row>
    <row r="4274" spans="1:10" x14ac:dyDescent="0.75">
      <c r="A4274" t="s">
        <v>163</v>
      </c>
      <c r="B4274">
        <v>2358</v>
      </c>
      <c r="C4274" t="s">
        <v>168</v>
      </c>
      <c r="D4274">
        <v>3190</v>
      </c>
      <c r="E4274" t="s">
        <v>408</v>
      </c>
      <c r="F4274" s="4">
        <v>5952</v>
      </c>
      <c r="G4274" s="4">
        <v>0</v>
      </c>
      <c r="H4274" s="4">
        <v>0</v>
      </c>
      <c r="I4274" s="4">
        <v>0</v>
      </c>
      <c r="J4274" s="4">
        <v>5952</v>
      </c>
    </row>
    <row r="4275" spans="1:10" x14ac:dyDescent="0.75">
      <c r="A4275" t="s">
        <v>163</v>
      </c>
      <c r="B4275">
        <v>2358</v>
      </c>
      <c r="C4275" t="s">
        <v>168</v>
      </c>
      <c r="D4275">
        <v>2429</v>
      </c>
      <c r="E4275" t="s">
        <v>375</v>
      </c>
      <c r="F4275" s="4">
        <v>4692</v>
      </c>
      <c r="G4275" s="4">
        <v>0</v>
      </c>
      <c r="H4275" s="4">
        <v>0</v>
      </c>
      <c r="I4275" s="4">
        <v>0</v>
      </c>
      <c r="J4275" s="4">
        <v>4692</v>
      </c>
    </row>
    <row r="4276" spans="1:10" x14ac:dyDescent="0.75">
      <c r="A4276" t="s">
        <v>163</v>
      </c>
      <c r="B4276">
        <v>2358</v>
      </c>
      <c r="C4276" t="s">
        <v>168</v>
      </c>
      <c r="D4276">
        <v>3120</v>
      </c>
      <c r="E4276" t="s">
        <v>406</v>
      </c>
      <c r="F4276" s="4">
        <v>4466</v>
      </c>
      <c r="G4276" s="4">
        <v>0</v>
      </c>
      <c r="H4276" s="4">
        <v>0</v>
      </c>
      <c r="I4276" s="4">
        <v>0</v>
      </c>
      <c r="J4276" s="4">
        <v>4466</v>
      </c>
    </row>
    <row r="4277" spans="1:10" x14ac:dyDescent="0.75">
      <c r="A4277" t="s">
        <v>163</v>
      </c>
      <c r="B4277">
        <v>2358</v>
      </c>
      <c r="C4277" t="s">
        <v>168</v>
      </c>
      <c r="D4277">
        <v>5312</v>
      </c>
      <c r="E4277" t="s">
        <v>416</v>
      </c>
      <c r="F4277" s="4">
        <v>3226</v>
      </c>
      <c r="G4277" s="4">
        <v>0</v>
      </c>
      <c r="H4277" s="4">
        <v>0</v>
      </c>
      <c r="I4277" s="4">
        <v>0</v>
      </c>
      <c r="J4277" s="4">
        <v>3226</v>
      </c>
    </row>
    <row r="4278" spans="1:10" x14ac:dyDescent="0.75">
      <c r="A4278" t="s">
        <v>163</v>
      </c>
      <c r="B4278">
        <v>2358</v>
      </c>
      <c r="C4278" t="s">
        <v>168</v>
      </c>
      <c r="D4278">
        <v>7120</v>
      </c>
      <c r="E4278" t="s">
        <v>499</v>
      </c>
      <c r="F4278" s="4">
        <v>3033</v>
      </c>
      <c r="G4278" s="4">
        <v>0</v>
      </c>
      <c r="H4278" s="4">
        <v>0</v>
      </c>
      <c r="I4278" s="4">
        <v>0</v>
      </c>
      <c r="J4278" s="4">
        <v>3033</v>
      </c>
    </row>
    <row r="4279" spans="1:10" x14ac:dyDescent="0.75">
      <c r="A4279" t="s">
        <v>163</v>
      </c>
      <c r="B4279">
        <v>2358</v>
      </c>
      <c r="C4279" t="s">
        <v>168</v>
      </c>
      <c r="D4279">
        <v>6522</v>
      </c>
      <c r="E4279" t="s">
        <v>393</v>
      </c>
      <c r="F4279" s="4">
        <v>1710</v>
      </c>
      <c r="G4279" s="4">
        <v>0</v>
      </c>
      <c r="H4279" s="4">
        <v>0</v>
      </c>
      <c r="I4279" s="4">
        <v>0</v>
      </c>
      <c r="J4279" s="4">
        <v>1710</v>
      </c>
    </row>
    <row r="4280" spans="1:10" x14ac:dyDescent="0.75">
      <c r="A4280" t="s">
        <v>163</v>
      </c>
      <c r="B4280">
        <v>2358</v>
      </c>
      <c r="C4280" t="s">
        <v>168</v>
      </c>
      <c r="D4280">
        <v>3299</v>
      </c>
      <c r="E4280" t="s">
        <v>448</v>
      </c>
      <c r="F4280" s="4">
        <v>1658</v>
      </c>
      <c r="G4280" s="4">
        <v>0</v>
      </c>
      <c r="H4280" s="4">
        <v>0</v>
      </c>
      <c r="I4280" s="4">
        <v>0</v>
      </c>
      <c r="J4280" s="4">
        <v>1658</v>
      </c>
    </row>
    <row r="4281" spans="1:10" x14ac:dyDescent="0.75">
      <c r="A4281" t="s">
        <v>163</v>
      </c>
      <c r="B4281">
        <v>2358</v>
      </c>
      <c r="C4281" t="s">
        <v>168</v>
      </c>
      <c r="D4281">
        <v>5240</v>
      </c>
      <c r="E4281" t="s">
        <v>464</v>
      </c>
      <c r="F4281" s="4">
        <v>80</v>
      </c>
      <c r="G4281" s="4">
        <v>0</v>
      </c>
      <c r="H4281" s="4">
        <v>0</v>
      </c>
      <c r="I4281" s="4">
        <v>0</v>
      </c>
      <c r="J4281" s="4">
        <v>80</v>
      </c>
    </row>
    <row r="4282" spans="1:10" x14ac:dyDescent="0.75">
      <c r="A4282" t="s">
        <v>151</v>
      </c>
      <c r="B4282">
        <v>2255</v>
      </c>
      <c r="C4282" t="s">
        <v>158</v>
      </c>
      <c r="D4282">
        <v>2540</v>
      </c>
      <c r="E4282" t="s">
        <v>377</v>
      </c>
      <c r="F4282" s="4">
        <v>3345139</v>
      </c>
      <c r="G4282" s="4">
        <v>6171543</v>
      </c>
      <c r="H4282" s="4">
        <v>87403</v>
      </c>
      <c r="I4282" s="4">
        <v>6084140</v>
      </c>
      <c r="J4282" s="4">
        <v>9516682</v>
      </c>
    </row>
    <row r="4283" spans="1:10" x14ac:dyDescent="0.75">
      <c r="A4283" t="s">
        <v>151</v>
      </c>
      <c r="B4283">
        <v>2255</v>
      </c>
      <c r="C4283" t="s">
        <v>158</v>
      </c>
      <c r="D4283">
        <v>1100</v>
      </c>
      <c r="E4283" t="s">
        <v>397</v>
      </c>
      <c r="F4283" s="4">
        <v>5360121</v>
      </c>
      <c r="G4283" s="4">
        <v>2314835</v>
      </c>
      <c r="H4283" s="4">
        <v>38756</v>
      </c>
      <c r="I4283" s="4">
        <v>2276079</v>
      </c>
      <c r="J4283" s="4">
        <v>7674956</v>
      </c>
    </row>
    <row r="4284" spans="1:10" x14ac:dyDescent="0.75">
      <c r="A4284" t="s">
        <v>151</v>
      </c>
      <c r="B4284">
        <v>2255</v>
      </c>
      <c r="C4284" t="s">
        <v>158</v>
      </c>
      <c r="D4284">
        <v>6344</v>
      </c>
      <c r="E4284" t="s">
        <v>392</v>
      </c>
      <c r="F4284" s="4">
        <v>3806477</v>
      </c>
      <c r="G4284" s="4">
        <v>3794413</v>
      </c>
      <c r="H4284" s="4">
        <v>0</v>
      </c>
      <c r="I4284" s="4">
        <v>3794413</v>
      </c>
      <c r="J4284" s="4">
        <v>7600890</v>
      </c>
    </row>
    <row r="4285" spans="1:10" x14ac:dyDescent="0.75">
      <c r="A4285" t="s">
        <v>151</v>
      </c>
      <c r="B4285">
        <v>2255</v>
      </c>
      <c r="C4285" t="s">
        <v>158</v>
      </c>
      <c r="D4285">
        <v>5312</v>
      </c>
      <c r="E4285" t="s">
        <v>416</v>
      </c>
      <c r="F4285" s="4">
        <v>1992520</v>
      </c>
      <c r="G4285" s="4">
        <v>1698036</v>
      </c>
      <c r="H4285" s="4">
        <v>1698036</v>
      </c>
      <c r="I4285" s="4">
        <v>0</v>
      </c>
      <c r="J4285" s="4">
        <v>3690556</v>
      </c>
    </row>
    <row r="4286" spans="1:10" x14ac:dyDescent="0.75">
      <c r="A4286" t="s">
        <v>151</v>
      </c>
      <c r="B4286">
        <v>2255</v>
      </c>
      <c r="C4286" t="s">
        <v>158</v>
      </c>
      <c r="D4286">
        <v>2330</v>
      </c>
      <c r="E4286" t="s">
        <v>368</v>
      </c>
      <c r="F4286" s="4">
        <v>1930325</v>
      </c>
      <c r="G4286" s="4">
        <v>1537342</v>
      </c>
      <c r="H4286" s="4">
        <v>59067</v>
      </c>
      <c r="I4286" s="4">
        <v>1478275</v>
      </c>
      <c r="J4286" s="4">
        <v>3467667</v>
      </c>
    </row>
    <row r="4287" spans="1:10" x14ac:dyDescent="0.75">
      <c r="A4287" t="s">
        <v>151</v>
      </c>
      <c r="B4287">
        <v>2255</v>
      </c>
      <c r="C4287" t="s">
        <v>158</v>
      </c>
      <c r="D4287">
        <v>1200</v>
      </c>
      <c r="E4287" t="s">
        <v>402</v>
      </c>
      <c r="F4287" s="4">
        <v>2912055</v>
      </c>
      <c r="G4287" s="4">
        <v>134083</v>
      </c>
      <c r="H4287" s="4">
        <v>0</v>
      </c>
      <c r="I4287" s="4">
        <v>134083</v>
      </c>
      <c r="J4287" s="4">
        <v>3046138</v>
      </c>
    </row>
    <row r="4288" spans="1:10" x14ac:dyDescent="0.75">
      <c r="A4288" t="s">
        <v>151</v>
      </c>
      <c r="B4288">
        <v>2255</v>
      </c>
      <c r="C4288" t="s">
        <v>158</v>
      </c>
      <c r="D4288">
        <v>6522</v>
      </c>
      <c r="E4288" t="s">
        <v>393</v>
      </c>
      <c r="F4288" s="4">
        <v>1533303</v>
      </c>
      <c r="G4288" s="4">
        <v>1374155</v>
      </c>
      <c r="H4288" s="4">
        <v>32886</v>
      </c>
      <c r="I4288" s="4">
        <v>1341269</v>
      </c>
      <c r="J4288" s="4">
        <v>2907458</v>
      </c>
    </row>
    <row r="4289" spans="1:10" x14ac:dyDescent="0.75">
      <c r="A4289" t="s">
        <v>151</v>
      </c>
      <c r="B4289">
        <v>2255</v>
      </c>
      <c r="C4289" t="s">
        <v>158</v>
      </c>
      <c r="D4289">
        <v>6782</v>
      </c>
      <c r="E4289" t="s">
        <v>396</v>
      </c>
      <c r="F4289" s="4">
        <v>651364</v>
      </c>
      <c r="G4289" s="4">
        <v>1588108</v>
      </c>
      <c r="H4289" s="4">
        <v>16457</v>
      </c>
      <c r="I4289" s="4">
        <v>1571651</v>
      </c>
      <c r="J4289" s="4">
        <v>2239472</v>
      </c>
    </row>
    <row r="4290" spans="1:10" x14ac:dyDescent="0.75">
      <c r="A4290" t="s">
        <v>151</v>
      </c>
      <c r="B4290">
        <v>2255</v>
      </c>
      <c r="C4290" t="s">
        <v>158</v>
      </c>
      <c r="D4290">
        <v>6241</v>
      </c>
      <c r="E4290" t="s">
        <v>391</v>
      </c>
      <c r="F4290" s="4">
        <v>1119512</v>
      </c>
      <c r="G4290" s="4">
        <v>969186</v>
      </c>
      <c r="H4290" s="4">
        <v>0</v>
      </c>
      <c r="I4290" s="4">
        <v>969186</v>
      </c>
      <c r="J4290" s="4">
        <v>2088698</v>
      </c>
    </row>
    <row r="4291" spans="1:10" x14ac:dyDescent="0.75">
      <c r="A4291" t="s">
        <v>151</v>
      </c>
      <c r="B4291">
        <v>2255</v>
      </c>
      <c r="C4291" t="s">
        <v>158</v>
      </c>
      <c r="D4291">
        <v>2100</v>
      </c>
      <c r="E4291" t="s">
        <v>403</v>
      </c>
      <c r="F4291" s="4">
        <v>1327885</v>
      </c>
      <c r="G4291" s="4">
        <v>441220</v>
      </c>
      <c r="H4291" s="4">
        <v>0</v>
      </c>
      <c r="I4291" s="4">
        <v>441220</v>
      </c>
      <c r="J4291" s="4">
        <v>1769105</v>
      </c>
    </row>
    <row r="4292" spans="1:10" x14ac:dyDescent="0.75">
      <c r="A4292" t="s">
        <v>151</v>
      </c>
      <c r="B4292">
        <v>2255</v>
      </c>
      <c r="C4292" t="s">
        <v>158</v>
      </c>
      <c r="D4292">
        <v>6442</v>
      </c>
      <c r="E4292" t="s">
        <v>472</v>
      </c>
      <c r="F4292" s="4">
        <v>679884</v>
      </c>
      <c r="G4292" s="4">
        <v>557506</v>
      </c>
      <c r="H4292" s="4">
        <v>0</v>
      </c>
      <c r="I4292" s="4">
        <v>557506</v>
      </c>
      <c r="J4292" s="4">
        <v>1237390</v>
      </c>
    </row>
    <row r="4293" spans="1:10" x14ac:dyDescent="0.75">
      <c r="A4293" t="s">
        <v>151</v>
      </c>
      <c r="B4293">
        <v>2255</v>
      </c>
      <c r="C4293" t="s">
        <v>158</v>
      </c>
      <c r="D4293">
        <v>2211</v>
      </c>
      <c r="E4293" t="s">
        <v>367</v>
      </c>
      <c r="F4293" s="4">
        <v>240150</v>
      </c>
      <c r="G4293" s="4">
        <v>477593</v>
      </c>
      <c r="H4293" s="4">
        <v>0</v>
      </c>
      <c r="I4293" s="4">
        <v>477593</v>
      </c>
      <c r="J4293" s="4">
        <v>717743</v>
      </c>
    </row>
    <row r="4294" spans="1:10" x14ac:dyDescent="0.75">
      <c r="A4294" t="s">
        <v>151</v>
      </c>
      <c r="B4294">
        <v>2255</v>
      </c>
      <c r="C4294" t="s">
        <v>158</v>
      </c>
      <c r="D4294">
        <v>2340</v>
      </c>
      <c r="E4294" t="s">
        <v>369</v>
      </c>
      <c r="F4294" s="4">
        <v>477633</v>
      </c>
      <c r="G4294" s="4">
        <v>103614</v>
      </c>
      <c r="H4294" s="4">
        <v>103614</v>
      </c>
      <c r="I4294" s="4">
        <v>0</v>
      </c>
      <c r="J4294" s="4">
        <v>581247</v>
      </c>
    </row>
    <row r="4295" spans="1:10" x14ac:dyDescent="0.75">
      <c r="A4295" t="s">
        <v>151</v>
      </c>
      <c r="B4295">
        <v>2255</v>
      </c>
      <c r="C4295" t="s">
        <v>158</v>
      </c>
      <c r="D4295">
        <v>3130</v>
      </c>
      <c r="E4295" t="s">
        <v>407</v>
      </c>
      <c r="F4295" s="4">
        <v>240135</v>
      </c>
      <c r="G4295" s="4">
        <v>338562</v>
      </c>
      <c r="H4295" s="4">
        <v>338562</v>
      </c>
      <c r="I4295" s="4">
        <v>0</v>
      </c>
      <c r="J4295" s="4">
        <v>578697</v>
      </c>
    </row>
    <row r="4296" spans="1:10" x14ac:dyDescent="0.75">
      <c r="A4296" t="s">
        <v>151</v>
      </c>
      <c r="B4296">
        <v>2255</v>
      </c>
      <c r="C4296" t="s">
        <v>158</v>
      </c>
      <c r="D4296">
        <v>2350</v>
      </c>
      <c r="E4296" t="s">
        <v>404</v>
      </c>
      <c r="F4296" s="4">
        <v>222569</v>
      </c>
      <c r="G4296" s="4">
        <v>303513</v>
      </c>
      <c r="H4296" s="4">
        <v>259895</v>
      </c>
      <c r="I4296" s="4">
        <v>43618</v>
      </c>
      <c r="J4296" s="4">
        <v>526082</v>
      </c>
    </row>
    <row r="4297" spans="1:10" x14ac:dyDescent="0.75">
      <c r="A4297" t="s">
        <v>151</v>
      </c>
      <c r="B4297">
        <v>2255</v>
      </c>
      <c r="C4297" t="s">
        <v>158</v>
      </c>
      <c r="D4297">
        <v>3219</v>
      </c>
      <c r="E4297" t="s">
        <v>378</v>
      </c>
      <c r="F4297" s="4">
        <v>331211</v>
      </c>
      <c r="G4297" s="4">
        <v>81947</v>
      </c>
      <c r="H4297" s="4">
        <v>2194</v>
      </c>
      <c r="I4297" s="4">
        <v>79753</v>
      </c>
      <c r="J4297" s="4">
        <v>413158</v>
      </c>
    </row>
    <row r="4298" spans="1:10" x14ac:dyDescent="0.75">
      <c r="A4298" t="s">
        <v>151</v>
      </c>
      <c r="B4298">
        <v>2255</v>
      </c>
      <c r="C4298" t="s">
        <v>158</v>
      </c>
      <c r="D4298">
        <v>5315</v>
      </c>
      <c r="E4298" t="s">
        <v>417</v>
      </c>
      <c r="F4298" s="4">
        <v>169590</v>
      </c>
      <c r="G4298" s="4">
        <v>242377</v>
      </c>
      <c r="H4298" s="4">
        <v>242377</v>
      </c>
      <c r="I4298" s="4">
        <v>0</v>
      </c>
      <c r="J4298" s="4">
        <v>411967</v>
      </c>
    </row>
    <row r="4299" spans="1:10" x14ac:dyDescent="0.75">
      <c r="A4299" t="s">
        <v>151</v>
      </c>
      <c r="B4299">
        <v>2255</v>
      </c>
      <c r="C4299" t="s">
        <v>158</v>
      </c>
      <c r="D4299">
        <v>4900</v>
      </c>
      <c r="E4299" t="s">
        <v>383</v>
      </c>
      <c r="F4299" s="4">
        <v>0</v>
      </c>
      <c r="G4299" s="4">
        <v>352461</v>
      </c>
      <c r="H4299" s="4">
        <v>352461</v>
      </c>
      <c r="I4299" s="4">
        <v>0</v>
      </c>
      <c r="J4299" s="4">
        <v>352461</v>
      </c>
    </row>
    <row r="4300" spans="1:10" x14ac:dyDescent="0.75">
      <c r="A4300" t="s">
        <v>151</v>
      </c>
      <c r="B4300">
        <v>2255</v>
      </c>
      <c r="C4300" t="s">
        <v>158</v>
      </c>
      <c r="D4300">
        <v>3110</v>
      </c>
      <c r="E4300" t="s">
        <v>405</v>
      </c>
      <c r="F4300" s="4">
        <v>72522</v>
      </c>
      <c r="G4300" s="4">
        <v>243820</v>
      </c>
      <c r="H4300" s="4">
        <v>243820</v>
      </c>
      <c r="I4300" s="4">
        <v>0</v>
      </c>
      <c r="J4300" s="4">
        <v>316342</v>
      </c>
    </row>
    <row r="4301" spans="1:10" x14ac:dyDescent="0.75">
      <c r="A4301" t="s">
        <v>151</v>
      </c>
      <c r="B4301">
        <v>2255</v>
      </c>
      <c r="C4301" t="s">
        <v>158</v>
      </c>
      <c r="D4301">
        <v>6590</v>
      </c>
      <c r="E4301" t="s">
        <v>394</v>
      </c>
      <c r="F4301" s="4">
        <v>224027</v>
      </c>
      <c r="G4301" s="4">
        <v>17489</v>
      </c>
      <c r="H4301" s="4">
        <v>0</v>
      </c>
      <c r="I4301" s="4">
        <v>17489</v>
      </c>
      <c r="J4301" s="4">
        <v>241516</v>
      </c>
    </row>
    <row r="4302" spans="1:10" x14ac:dyDescent="0.75">
      <c r="A4302" t="s">
        <v>151</v>
      </c>
      <c r="B4302">
        <v>2255</v>
      </c>
      <c r="C4302" t="s">
        <v>158</v>
      </c>
      <c r="D4302">
        <v>4331</v>
      </c>
      <c r="E4302" t="s">
        <v>390</v>
      </c>
      <c r="F4302" s="4">
        <v>222789</v>
      </c>
      <c r="G4302" s="4">
        <v>121</v>
      </c>
      <c r="H4302" s="4">
        <v>121</v>
      </c>
      <c r="I4302" s="4">
        <v>0</v>
      </c>
      <c r="J4302" s="4">
        <v>222910</v>
      </c>
    </row>
    <row r="4303" spans="1:10" x14ac:dyDescent="0.75">
      <c r="A4303" t="s">
        <v>151</v>
      </c>
      <c r="B4303">
        <v>2255</v>
      </c>
      <c r="C4303" t="s">
        <v>158</v>
      </c>
      <c r="D4303">
        <v>4322</v>
      </c>
      <c r="E4303" t="s">
        <v>398</v>
      </c>
      <c r="F4303" s="4">
        <v>169782</v>
      </c>
      <c r="G4303" s="4">
        <v>36456</v>
      </c>
      <c r="H4303" s="4">
        <v>36456</v>
      </c>
      <c r="I4303" s="4">
        <v>0</v>
      </c>
      <c r="J4303" s="4">
        <v>206238</v>
      </c>
    </row>
    <row r="4304" spans="1:10" x14ac:dyDescent="0.75">
      <c r="A4304" t="s">
        <v>151</v>
      </c>
      <c r="B4304">
        <v>2255</v>
      </c>
      <c r="C4304" t="s">
        <v>158</v>
      </c>
      <c r="D4304">
        <v>3212</v>
      </c>
      <c r="E4304" t="s">
        <v>409</v>
      </c>
      <c r="F4304" s="4">
        <v>179325</v>
      </c>
      <c r="G4304" s="4">
        <v>22241</v>
      </c>
      <c r="H4304" s="4">
        <v>22241</v>
      </c>
      <c r="I4304" s="4">
        <v>0</v>
      </c>
      <c r="J4304" s="4">
        <v>201566</v>
      </c>
    </row>
    <row r="4305" spans="1:10" x14ac:dyDescent="0.75">
      <c r="A4305" t="s">
        <v>151</v>
      </c>
      <c r="B4305">
        <v>2255</v>
      </c>
      <c r="C4305" t="s">
        <v>158</v>
      </c>
      <c r="D4305">
        <v>2429</v>
      </c>
      <c r="E4305" t="s">
        <v>375</v>
      </c>
      <c r="F4305" s="4">
        <v>150930</v>
      </c>
      <c r="G4305" s="4">
        <v>37556</v>
      </c>
      <c r="H4305" s="4">
        <v>0</v>
      </c>
      <c r="I4305" s="4">
        <v>37556</v>
      </c>
      <c r="J4305" s="4">
        <v>188486</v>
      </c>
    </row>
    <row r="4306" spans="1:10" x14ac:dyDescent="0.75">
      <c r="A4306" t="s">
        <v>151</v>
      </c>
      <c r="B4306">
        <v>2255</v>
      </c>
      <c r="C4306" t="s">
        <v>158</v>
      </c>
      <c r="D4306">
        <v>4335</v>
      </c>
      <c r="E4306" t="s">
        <v>372</v>
      </c>
      <c r="F4306" s="4">
        <v>182753</v>
      </c>
      <c r="G4306" s="4">
        <v>0</v>
      </c>
      <c r="H4306" s="4">
        <v>0</v>
      </c>
      <c r="I4306" s="4">
        <v>0</v>
      </c>
      <c r="J4306" s="4">
        <v>182753</v>
      </c>
    </row>
    <row r="4307" spans="1:10" x14ac:dyDescent="0.75">
      <c r="A4307" t="s">
        <v>151</v>
      </c>
      <c r="B4307">
        <v>2255</v>
      </c>
      <c r="C4307" t="s">
        <v>158</v>
      </c>
      <c r="D4307">
        <v>3190</v>
      </c>
      <c r="E4307" t="s">
        <v>408</v>
      </c>
      <c r="F4307" s="4">
        <v>45905</v>
      </c>
      <c r="G4307" s="4">
        <v>117584</v>
      </c>
      <c r="H4307" s="4">
        <v>117584</v>
      </c>
      <c r="I4307" s="4">
        <v>0</v>
      </c>
      <c r="J4307" s="4">
        <v>163489</v>
      </c>
    </row>
    <row r="4308" spans="1:10" x14ac:dyDescent="0.75">
      <c r="A4308" t="s">
        <v>151</v>
      </c>
      <c r="B4308">
        <v>2255</v>
      </c>
      <c r="C4308" t="s">
        <v>158</v>
      </c>
      <c r="D4308">
        <v>3220</v>
      </c>
      <c r="E4308" t="s">
        <v>370</v>
      </c>
      <c r="F4308" s="4">
        <v>47781</v>
      </c>
      <c r="G4308" s="4">
        <v>113657</v>
      </c>
      <c r="H4308" s="4">
        <v>51793</v>
      </c>
      <c r="I4308" s="4">
        <v>61864</v>
      </c>
      <c r="J4308" s="4">
        <v>161438</v>
      </c>
    </row>
    <row r="4309" spans="1:10" x14ac:dyDescent="0.75">
      <c r="A4309" t="s">
        <v>151</v>
      </c>
      <c r="B4309">
        <v>2255</v>
      </c>
      <c r="C4309" t="s">
        <v>158</v>
      </c>
      <c r="D4309">
        <v>4420</v>
      </c>
      <c r="E4309" t="s">
        <v>381</v>
      </c>
      <c r="F4309" s="4">
        <v>82058</v>
      </c>
      <c r="G4309" s="4">
        <v>63203</v>
      </c>
      <c r="H4309" s="4">
        <v>63203</v>
      </c>
      <c r="I4309" s="4">
        <v>0</v>
      </c>
      <c r="J4309" s="4">
        <v>145261</v>
      </c>
    </row>
    <row r="4310" spans="1:10" x14ac:dyDescent="0.75">
      <c r="A4310" t="s">
        <v>151</v>
      </c>
      <c r="B4310">
        <v>2255</v>
      </c>
      <c r="C4310" t="s">
        <v>158</v>
      </c>
      <c r="D4310">
        <v>4410</v>
      </c>
      <c r="E4310" t="s">
        <v>399</v>
      </c>
      <c r="F4310" s="4">
        <v>39256</v>
      </c>
      <c r="G4310" s="4">
        <v>89911</v>
      </c>
      <c r="H4310" s="4">
        <v>65648</v>
      </c>
      <c r="I4310" s="4">
        <v>24263</v>
      </c>
      <c r="J4310" s="4">
        <v>129167</v>
      </c>
    </row>
    <row r="4311" spans="1:10" x14ac:dyDescent="0.75">
      <c r="A4311" t="s">
        <v>151</v>
      </c>
      <c r="B4311">
        <v>2255</v>
      </c>
      <c r="C4311" t="s">
        <v>158</v>
      </c>
      <c r="D4311">
        <v>3211</v>
      </c>
      <c r="E4311" t="s">
        <v>433</v>
      </c>
      <c r="F4311" s="4">
        <v>76840</v>
      </c>
      <c r="G4311" s="4">
        <v>51249</v>
      </c>
      <c r="H4311" s="4">
        <v>5443</v>
      </c>
      <c r="I4311" s="4">
        <v>45806</v>
      </c>
      <c r="J4311" s="4">
        <v>128089</v>
      </c>
    </row>
    <row r="4312" spans="1:10" x14ac:dyDescent="0.75">
      <c r="A4312" t="s">
        <v>151</v>
      </c>
      <c r="B4312">
        <v>2255</v>
      </c>
      <c r="C4312" t="s">
        <v>158</v>
      </c>
      <c r="D4312">
        <v>7110</v>
      </c>
      <c r="E4312" t="s">
        <v>371</v>
      </c>
      <c r="F4312" s="4">
        <v>86691</v>
      </c>
      <c r="G4312" s="4">
        <v>34886</v>
      </c>
      <c r="H4312" s="4">
        <v>551</v>
      </c>
      <c r="I4312" s="4">
        <v>34335</v>
      </c>
      <c r="J4312" s="4">
        <v>121577</v>
      </c>
    </row>
    <row r="4313" spans="1:10" x14ac:dyDescent="0.75">
      <c r="A4313" t="s">
        <v>151</v>
      </c>
      <c r="B4313">
        <v>2255</v>
      </c>
      <c r="C4313" t="s">
        <v>158</v>
      </c>
      <c r="D4313">
        <v>3276</v>
      </c>
      <c r="E4313" t="s">
        <v>379</v>
      </c>
      <c r="F4313" s="4">
        <v>749</v>
      </c>
      <c r="G4313" s="4">
        <v>119776</v>
      </c>
      <c r="H4313" s="4">
        <v>112593</v>
      </c>
      <c r="I4313" s="4">
        <v>7183</v>
      </c>
      <c r="J4313" s="4">
        <v>120525</v>
      </c>
    </row>
    <row r="4314" spans="1:10" x14ac:dyDescent="0.75">
      <c r="A4314" t="s">
        <v>151</v>
      </c>
      <c r="B4314">
        <v>2255</v>
      </c>
      <c r="C4314" t="s">
        <v>158</v>
      </c>
      <c r="D4314">
        <v>4650</v>
      </c>
      <c r="E4314" t="s">
        <v>457</v>
      </c>
      <c r="F4314" s="4">
        <v>41430</v>
      </c>
      <c r="G4314" s="4">
        <v>75158</v>
      </c>
      <c r="H4314" s="4">
        <v>75158</v>
      </c>
      <c r="I4314" s="4">
        <v>0</v>
      </c>
      <c r="J4314" s="4">
        <v>116588</v>
      </c>
    </row>
    <row r="4315" spans="1:10" x14ac:dyDescent="0.75">
      <c r="A4315" t="s">
        <v>151</v>
      </c>
      <c r="B4315">
        <v>2255</v>
      </c>
      <c r="C4315" t="s">
        <v>158</v>
      </c>
      <c r="D4315">
        <v>3286</v>
      </c>
      <c r="E4315" t="s">
        <v>423</v>
      </c>
      <c r="F4315" s="4">
        <v>69415</v>
      </c>
      <c r="G4315" s="4">
        <v>43290</v>
      </c>
      <c r="H4315" s="4">
        <v>37433</v>
      </c>
      <c r="I4315" s="4">
        <v>5857</v>
      </c>
      <c r="J4315" s="4">
        <v>112705</v>
      </c>
    </row>
    <row r="4316" spans="1:10" x14ac:dyDescent="0.75">
      <c r="A4316" t="s">
        <v>151</v>
      </c>
      <c r="B4316">
        <v>2255</v>
      </c>
      <c r="C4316" t="s">
        <v>158</v>
      </c>
      <c r="D4316">
        <v>5220</v>
      </c>
      <c r="E4316" t="s">
        <v>401</v>
      </c>
      <c r="F4316" s="4">
        <v>105177</v>
      </c>
      <c r="G4316" s="4">
        <v>0</v>
      </c>
      <c r="H4316" s="4">
        <v>0</v>
      </c>
      <c r="I4316" s="4">
        <v>0</v>
      </c>
      <c r="J4316" s="4">
        <v>105177</v>
      </c>
    </row>
    <row r="4317" spans="1:10" x14ac:dyDescent="0.75">
      <c r="A4317" t="s">
        <v>151</v>
      </c>
      <c r="B4317">
        <v>2255</v>
      </c>
      <c r="C4317" t="s">
        <v>158</v>
      </c>
      <c r="D4317">
        <v>6747</v>
      </c>
      <c r="E4317" t="s">
        <v>478</v>
      </c>
      <c r="F4317" s="4">
        <v>98490</v>
      </c>
      <c r="G4317" s="4">
        <v>0</v>
      </c>
      <c r="H4317" s="4">
        <v>0</v>
      </c>
      <c r="I4317" s="4">
        <v>0</v>
      </c>
      <c r="J4317" s="4">
        <v>98490</v>
      </c>
    </row>
    <row r="4318" spans="1:10" x14ac:dyDescent="0.75">
      <c r="A4318" t="s">
        <v>151</v>
      </c>
      <c r="B4318">
        <v>2255</v>
      </c>
      <c r="C4318" t="s">
        <v>158</v>
      </c>
      <c r="D4318">
        <v>4783</v>
      </c>
      <c r="E4318" t="s">
        <v>382</v>
      </c>
      <c r="F4318" s="4">
        <v>20670</v>
      </c>
      <c r="G4318" s="4">
        <v>75178</v>
      </c>
      <c r="H4318" s="4">
        <v>75178</v>
      </c>
      <c r="I4318" s="4">
        <v>0</v>
      </c>
      <c r="J4318" s="4">
        <v>95848</v>
      </c>
    </row>
    <row r="4319" spans="1:10" x14ac:dyDescent="0.75">
      <c r="A4319" t="s">
        <v>151</v>
      </c>
      <c r="B4319">
        <v>2255</v>
      </c>
      <c r="C4319" t="s">
        <v>158</v>
      </c>
      <c r="D4319">
        <v>4670</v>
      </c>
      <c r="E4319" t="s">
        <v>458</v>
      </c>
      <c r="F4319" s="4">
        <v>5401</v>
      </c>
      <c r="G4319" s="4">
        <v>73968</v>
      </c>
      <c r="H4319" s="4">
        <v>73968</v>
      </c>
      <c r="I4319" s="4">
        <v>0</v>
      </c>
      <c r="J4319" s="4">
        <v>79369</v>
      </c>
    </row>
    <row r="4320" spans="1:10" x14ac:dyDescent="0.75">
      <c r="A4320" t="s">
        <v>151</v>
      </c>
      <c r="B4320">
        <v>2255</v>
      </c>
      <c r="C4320" t="s">
        <v>158</v>
      </c>
      <c r="D4320">
        <v>6861</v>
      </c>
      <c r="E4320" t="s">
        <v>489</v>
      </c>
      <c r="F4320" s="4">
        <v>72831</v>
      </c>
      <c r="G4320" s="4">
        <v>0</v>
      </c>
      <c r="H4320" s="4">
        <v>0</v>
      </c>
      <c r="I4320" s="4">
        <v>0</v>
      </c>
      <c r="J4320" s="4">
        <v>72831</v>
      </c>
    </row>
    <row r="4321" spans="1:10" x14ac:dyDescent="0.75">
      <c r="A4321" t="s">
        <v>151</v>
      </c>
      <c r="B4321">
        <v>2255</v>
      </c>
      <c r="C4321" t="s">
        <v>158</v>
      </c>
      <c r="D4321">
        <v>3120</v>
      </c>
      <c r="E4321" t="s">
        <v>406</v>
      </c>
      <c r="F4321" s="4">
        <v>70801</v>
      </c>
      <c r="G4321" s="4">
        <v>0</v>
      </c>
      <c r="H4321" s="4">
        <v>0</v>
      </c>
      <c r="I4321" s="4">
        <v>0</v>
      </c>
      <c r="J4321" s="4">
        <v>70801</v>
      </c>
    </row>
    <row r="4322" spans="1:10" x14ac:dyDescent="0.75">
      <c r="A4322" t="s">
        <v>151</v>
      </c>
      <c r="B4322">
        <v>2255</v>
      </c>
      <c r="C4322" t="s">
        <v>158</v>
      </c>
      <c r="D4322">
        <v>3240</v>
      </c>
      <c r="E4322" t="s">
        <v>410</v>
      </c>
      <c r="F4322" s="4">
        <v>0</v>
      </c>
      <c r="G4322" s="4">
        <v>64837</v>
      </c>
      <c r="H4322" s="4">
        <v>20204</v>
      </c>
      <c r="I4322" s="4">
        <v>44633</v>
      </c>
      <c r="J4322" s="4">
        <v>64837</v>
      </c>
    </row>
    <row r="4323" spans="1:10" x14ac:dyDescent="0.75">
      <c r="A4323" t="s">
        <v>151</v>
      </c>
      <c r="B4323">
        <v>2255</v>
      </c>
      <c r="C4323" t="s">
        <v>158</v>
      </c>
      <c r="D4323">
        <v>2221</v>
      </c>
      <c r="E4323" t="s">
        <v>374</v>
      </c>
      <c r="F4323" s="4">
        <v>20294</v>
      </c>
      <c r="G4323" s="4">
        <v>41971</v>
      </c>
      <c r="H4323" s="4">
        <v>0</v>
      </c>
      <c r="I4323" s="4">
        <v>41971</v>
      </c>
      <c r="J4323" s="4">
        <v>62265</v>
      </c>
    </row>
    <row r="4324" spans="1:10" x14ac:dyDescent="0.75">
      <c r="A4324" t="s">
        <v>151</v>
      </c>
      <c r="B4324">
        <v>2255</v>
      </c>
      <c r="C4324" t="s">
        <v>158</v>
      </c>
      <c r="D4324">
        <v>2430</v>
      </c>
      <c r="E4324" t="s">
        <v>376</v>
      </c>
      <c r="F4324" s="4">
        <v>7688</v>
      </c>
      <c r="G4324" s="4">
        <v>45632</v>
      </c>
      <c r="H4324" s="4">
        <v>29122</v>
      </c>
      <c r="I4324" s="4">
        <v>16510</v>
      </c>
      <c r="J4324" s="4">
        <v>53320</v>
      </c>
    </row>
    <row r="4325" spans="1:10" x14ac:dyDescent="0.75">
      <c r="A4325" t="s">
        <v>151</v>
      </c>
      <c r="B4325">
        <v>2255</v>
      </c>
      <c r="C4325" t="s">
        <v>158</v>
      </c>
      <c r="D4325">
        <v>6653</v>
      </c>
      <c r="E4325" t="s">
        <v>395</v>
      </c>
      <c r="F4325" s="4">
        <v>0</v>
      </c>
      <c r="G4325" s="4">
        <v>52151</v>
      </c>
      <c r="H4325" s="4">
        <v>17979</v>
      </c>
      <c r="I4325" s="4">
        <v>34172</v>
      </c>
      <c r="J4325" s="4">
        <v>52151</v>
      </c>
    </row>
    <row r="4326" spans="1:10" x14ac:dyDescent="0.75">
      <c r="A4326" t="s">
        <v>151</v>
      </c>
      <c r="B4326">
        <v>2255</v>
      </c>
      <c r="C4326" t="s">
        <v>158</v>
      </c>
      <c r="D4326">
        <v>3230</v>
      </c>
      <c r="E4326" t="s">
        <v>434</v>
      </c>
      <c r="F4326" s="4">
        <v>12378</v>
      </c>
      <c r="G4326" s="4">
        <v>36039</v>
      </c>
      <c r="H4326" s="4">
        <v>22885</v>
      </c>
      <c r="I4326" s="4">
        <v>13154</v>
      </c>
      <c r="J4326" s="4">
        <v>48417</v>
      </c>
    </row>
    <row r="4327" spans="1:10" x14ac:dyDescent="0.75">
      <c r="A4327" t="s">
        <v>151</v>
      </c>
      <c r="B4327">
        <v>2255</v>
      </c>
      <c r="C4327" t="s">
        <v>158</v>
      </c>
      <c r="D4327">
        <v>3275</v>
      </c>
      <c r="E4327" t="s">
        <v>412</v>
      </c>
      <c r="F4327" s="4">
        <v>5706</v>
      </c>
      <c r="G4327" s="4">
        <v>42429</v>
      </c>
      <c r="H4327" s="4">
        <v>36242</v>
      </c>
      <c r="I4327" s="4">
        <v>6187</v>
      </c>
      <c r="J4327" s="4">
        <v>48135</v>
      </c>
    </row>
    <row r="4328" spans="1:10" x14ac:dyDescent="0.75">
      <c r="A4328" t="s">
        <v>151</v>
      </c>
      <c r="B4328">
        <v>2255</v>
      </c>
      <c r="C4328" t="s">
        <v>158</v>
      </c>
      <c r="D4328">
        <v>7900</v>
      </c>
      <c r="E4328" t="s">
        <v>388</v>
      </c>
      <c r="F4328" s="4">
        <v>11652</v>
      </c>
      <c r="G4328" s="4">
        <v>18849</v>
      </c>
      <c r="H4328" s="4">
        <v>16525</v>
      </c>
      <c r="I4328" s="4">
        <v>2324</v>
      </c>
      <c r="J4328" s="4">
        <v>30501</v>
      </c>
    </row>
    <row r="4329" spans="1:10" x14ac:dyDescent="0.75">
      <c r="A4329" t="s">
        <v>151</v>
      </c>
      <c r="B4329">
        <v>2255</v>
      </c>
      <c r="C4329" t="s">
        <v>158</v>
      </c>
      <c r="D4329">
        <v>2640</v>
      </c>
      <c r="E4329" t="s">
        <v>431</v>
      </c>
      <c r="F4329" s="4">
        <v>25752</v>
      </c>
      <c r="G4329" s="4">
        <v>0</v>
      </c>
      <c r="H4329" s="4">
        <v>0</v>
      </c>
      <c r="I4329" s="4">
        <v>0</v>
      </c>
      <c r="J4329" s="4">
        <v>25752</v>
      </c>
    </row>
    <row r="4330" spans="1:10" x14ac:dyDescent="0.75">
      <c r="A4330" t="s">
        <v>151</v>
      </c>
      <c r="B4330">
        <v>2255</v>
      </c>
      <c r="C4330" t="s">
        <v>158</v>
      </c>
      <c r="D4330">
        <v>3298</v>
      </c>
      <c r="E4330" t="s">
        <v>447</v>
      </c>
      <c r="F4330" s="4">
        <v>0</v>
      </c>
      <c r="G4330" s="4">
        <v>25074</v>
      </c>
      <c r="H4330" s="4">
        <v>0</v>
      </c>
      <c r="I4330" s="4">
        <v>25074</v>
      </c>
      <c r="J4330" s="4">
        <v>25074</v>
      </c>
    </row>
    <row r="4331" spans="1:10" x14ac:dyDescent="0.75">
      <c r="A4331" t="s">
        <v>151</v>
      </c>
      <c r="B4331">
        <v>2255</v>
      </c>
      <c r="C4331" t="s">
        <v>158</v>
      </c>
      <c r="D4331">
        <v>4782</v>
      </c>
      <c r="E4331" t="s">
        <v>414</v>
      </c>
      <c r="F4331" s="4">
        <v>23444</v>
      </c>
      <c r="G4331" s="4">
        <v>1101</v>
      </c>
      <c r="H4331" s="4">
        <v>1101</v>
      </c>
      <c r="I4331" s="4">
        <v>0</v>
      </c>
      <c r="J4331" s="4">
        <v>24545</v>
      </c>
    </row>
    <row r="4332" spans="1:10" x14ac:dyDescent="0.75">
      <c r="A4332" t="s">
        <v>151</v>
      </c>
      <c r="B4332">
        <v>2255</v>
      </c>
      <c r="C4332" t="s">
        <v>158</v>
      </c>
      <c r="D4332">
        <v>2410</v>
      </c>
      <c r="E4332" t="s">
        <v>430</v>
      </c>
      <c r="F4332" s="4">
        <v>11683</v>
      </c>
      <c r="G4332" s="4">
        <v>9222</v>
      </c>
      <c r="H4332" s="4">
        <v>9222</v>
      </c>
      <c r="I4332" s="4">
        <v>0</v>
      </c>
      <c r="J4332" s="4">
        <v>20905</v>
      </c>
    </row>
    <row r="4333" spans="1:10" x14ac:dyDescent="0.75">
      <c r="A4333" t="s">
        <v>151</v>
      </c>
      <c r="B4333">
        <v>2255</v>
      </c>
      <c r="C4333" t="s">
        <v>158</v>
      </c>
      <c r="D4333">
        <v>4690</v>
      </c>
      <c r="E4333" t="s">
        <v>428</v>
      </c>
      <c r="F4333" s="4">
        <v>7136</v>
      </c>
      <c r="G4333" s="4">
        <v>13241</v>
      </c>
      <c r="H4333" s="4">
        <v>13241</v>
      </c>
      <c r="I4333" s="4">
        <v>0</v>
      </c>
      <c r="J4333" s="4">
        <v>20377</v>
      </c>
    </row>
    <row r="4334" spans="1:10" x14ac:dyDescent="0.75">
      <c r="A4334" t="s">
        <v>151</v>
      </c>
      <c r="B4334">
        <v>2255</v>
      </c>
      <c r="C4334" t="s">
        <v>158</v>
      </c>
      <c r="D4334">
        <v>6889</v>
      </c>
      <c r="E4334" t="s">
        <v>420</v>
      </c>
      <c r="F4334" s="4">
        <v>0</v>
      </c>
      <c r="G4334" s="4">
        <v>17155</v>
      </c>
      <c r="H4334" s="4">
        <v>17155</v>
      </c>
      <c r="I4334" s="4">
        <v>0</v>
      </c>
      <c r="J4334" s="4">
        <v>17155</v>
      </c>
    </row>
    <row r="4335" spans="1:10" x14ac:dyDescent="0.75">
      <c r="A4335" t="s">
        <v>151</v>
      </c>
      <c r="B4335">
        <v>2255</v>
      </c>
      <c r="C4335" t="s">
        <v>158</v>
      </c>
      <c r="D4335">
        <v>6654</v>
      </c>
      <c r="E4335" t="s">
        <v>419</v>
      </c>
      <c r="F4335" s="4">
        <v>10455</v>
      </c>
      <c r="G4335" s="4">
        <v>6462</v>
      </c>
      <c r="H4335" s="4">
        <v>0</v>
      </c>
      <c r="I4335" s="4">
        <v>6462</v>
      </c>
      <c r="J4335" s="4">
        <v>16917</v>
      </c>
    </row>
    <row r="4336" spans="1:10" x14ac:dyDescent="0.75">
      <c r="A4336" t="s">
        <v>151</v>
      </c>
      <c r="B4336">
        <v>2255</v>
      </c>
      <c r="C4336" t="s">
        <v>158</v>
      </c>
      <c r="D4336">
        <v>5290</v>
      </c>
      <c r="E4336" t="s">
        <v>415</v>
      </c>
      <c r="F4336" s="4">
        <v>0</v>
      </c>
      <c r="G4336" s="4">
        <v>11766</v>
      </c>
      <c r="H4336" s="4">
        <v>11766</v>
      </c>
      <c r="I4336" s="4">
        <v>0</v>
      </c>
      <c r="J4336" s="4">
        <v>11766</v>
      </c>
    </row>
    <row r="4337" spans="1:10" x14ac:dyDescent="0.75">
      <c r="A4337" t="s">
        <v>151</v>
      </c>
      <c r="B4337">
        <v>2255</v>
      </c>
      <c r="C4337" t="s">
        <v>158</v>
      </c>
      <c r="D4337">
        <v>7500</v>
      </c>
      <c r="E4337" t="s">
        <v>427</v>
      </c>
      <c r="F4337" s="4">
        <v>0</v>
      </c>
      <c r="G4337" s="4">
        <v>11355</v>
      </c>
      <c r="H4337" s="4">
        <v>11355</v>
      </c>
      <c r="I4337" s="4">
        <v>0</v>
      </c>
      <c r="J4337" s="4">
        <v>11355</v>
      </c>
    </row>
    <row r="4338" spans="1:10" x14ac:dyDescent="0.75">
      <c r="A4338" t="s">
        <v>151</v>
      </c>
      <c r="B4338">
        <v>2255</v>
      </c>
      <c r="C4338" t="s">
        <v>158</v>
      </c>
      <c r="D4338">
        <v>6838</v>
      </c>
      <c r="E4338" t="s">
        <v>484</v>
      </c>
      <c r="F4338" s="4">
        <v>0</v>
      </c>
      <c r="G4338" s="4">
        <v>11044</v>
      </c>
      <c r="H4338" s="4">
        <v>11044</v>
      </c>
      <c r="I4338" s="4">
        <v>0</v>
      </c>
      <c r="J4338" s="4">
        <v>11044</v>
      </c>
    </row>
    <row r="4339" spans="1:10" x14ac:dyDescent="0.75">
      <c r="A4339" t="s">
        <v>151</v>
      </c>
      <c r="B4339">
        <v>2255</v>
      </c>
      <c r="C4339" t="s">
        <v>158</v>
      </c>
      <c r="D4339">
        <v>7600</v>
      </c>
      <c r="E4339" t="s">
        <v>503</v>
      </c>
      <c r="F4339" s="4">
        <v>0</v>
      </c>
      <c r="G4339" s="4">
        <v>7358</v>
      </c>
      <c r="H4339" s="4">
        <v>0</v>
      </c>
      <c r="I4339" s="4">
        <v>7358</v>
      </c>
      <c r="J4339" s="4">
        <v>7358</v>
      </c>
    </row>
    <row r="4340" spans="1:10" x14ac:dyDescent="0.75">
      <c r="A4340" t="s">
        <v>151</v>
      </c>
      <c r="B4340">
        <v>2255</v>
      </c>
      <c r="C4340" t="s">
        <v>158</v>
      </c>
      <c r="D4340">
        <v>3297</v>
      </c>
      <c r="E4340" t="s">
        <v>446</v>
      </c>
      <c r="F4340" s="4">
        <v>0</v>
      </c>
      <c r="G4340" s="4">
        <v>7326</v>
      </c>
      <c r="H4340" s="4">
        <v>1862</v>
      </c>
      <c r="I4340" s="4">
        <v>5464</v>
      </c>
      <c r="J4340" s="4">
        <v>7326</v>
      </c>
    </row>
    <row r="4341" spans="1:10" x14ac:dyDescent="0.75">
      <c r="A4341" t="s">
        <v>151</v>
      </c>
      <c r="B4341">
        <v>2255</v>
      </c>
      <c r="C4341" t="s">
        <v>158</v>
      </c>
      <c r="D4341">
        <v>5370</v>
      </c>
      <c r="E4341" t="s">
        <v>466</v>
      </c>
      <c r="F4341" s="4">
        <v>5437</v>
      </c>
      <c r="G4341" s="4">
        <v>0</v>
      </c>
      <c r="H4341" s="4">
        <v>0</v>
      </c>
      <c r="I4341" s="4">
        <v>0</v>
      </c>
      <c r="J4341" s="4">
        <v>5437</v>
      </c>
    </row>
    <row r="4342" spans="1:10" x14ac:dyDescent="0.75">
      <c r="A4342" t="s">
        <v>151</v>
      </c>
      <c r="B4342">
        <v>2255</v>
      </c>
      <c r="C4342" t="s">
        <v>158</v>
      </c>
      <c r="D4342">
        <v>5190</v>
      </c>
      <c r="E4342" t="s">
        <v>462</v>
      </c>
      <c r="F4342" s="4">
        <v>0</v>
      </c>
      <c r="G4342" s="4">
        <v>4395</v>
      </c>
      <c r="H4342" s="4">
        <v>4395</v>
      </c>
      <c r="I4342" s="4">
        <v>0</v>
      </c>
      <c r="J4342" s="4">
        <v>4395</v>
      </c>
    </row>
    <row r="4343" spans="1:10" x14ac:dyDescent="0.75">
      <c r="A4343" t="s">
        <v>151</v>
      </c>
      <c r="B4343">
        <v>2255</v>
      </c>
      <c r="C4343" t="s">
        <v>158</v>
      </c>
      <c r="D4343">
        <v>3260</v>
      </c>
      <c r="E4343" t="s">
        <v>436</v>
      </c>
      <c r="F4343" s="4">
        <v>0</v>
      </c>
      <c r="G4343" s="4">
        <v>3578</v>
      </c>
      <c r="H4343" s="4">
        <v>1102</v>
      </c>
      <c r="I4343" s="4">
        <v>2476</v>
      </c>
      <c r="J4343" s="4">
        <v>3578</v>
      </c>
    </row>
    <row r="4344" spans="1:10" x14ac:dyDescent="0.75">
      <c r="A4344" t="s">
        <v>151</v>
      </c>
      <c r="B4344">
        <v>2255</v>
      </c>
      <c r="C4344" t="s">
        <v>158</v>
      </c>
      <c r="D4344">
        <v>5390</v>
      </c>
      <c r="E4344" t="s">
        <v>418</v>
      </c>
      <c r="F4344" s="4">
        <v>3271</v>
      </c>
      <c r="G4344" s="4">
        <v>0</v>
      </c>
      <c r="H4344" s="4">
        <v>0</v>
      </c>
      <c r="I4344" s="4">
        <v>0</v>
      </c>
      <c r="J4344" s="4">
        <v>3271</v>
      </c>
    </row>
    <row r="4345" spans="1:10" x14ac:dyDescent="0.75">
      <c r="A4345" t="s">
        <v>151</v>
      </c>
      <c r="B4345">
        <v>2255</v>
      </c>
      <c r="C4345" t="s">
        <v>158</v>
      </c>
      <c r="D4345">
        <v>3285</v>
      </c>
      <c r="E4345" t="s">
        <v>443</v>
      </c>
      <c r="F4345" s="4">
        <v>0</v>
      </c>
      <c r="G4345" s="4">
        <v>3031</v>
      </c>
      <c r="H4345" s="4">
        <v>1929</v>
      </c>
      <c r="I4345" s="4">
        <v>1102</v>
      </c>
      <c r="J4345" s="4">
        <v>3031</v>
      </c>
    </row>
    <row r="4346" spans="1:10" x14ac:dyDescent="0.75">
      <c r="A4346" t="s">
        <v>151</v>
      </c>
      <c r="B4346">
        <v>2255</v>
      </c>
      <c r="C4346" t="s">
        <v>158</v>
      </c>
      <c r="D4346">
        <v>5422</v>
      </c>
      <c r="E4346" t="s">
        <v>468</v>
      </c>
      <c r="F4346" s="4">
        <v>1155</v>
      </c>
      <c r="G4346" s="4">
        <v>1646</v>
      </c>
      <c r="H4346" s="4">
        <v>1646</v>
      </c>
      <c r="I4346" s="4">
        <v>0</v>
      </c>
      <c r="J4346" s="4">
        <v>2801</v>
      </c>
    </row>
    <row r="4347" spans="1:10" x14ac:dyDescent="0.75">
      <c r="A4347" t="s">
        <v>151</v>
      </c>
      <c r="B4347">
        <v>2255</v>
      </c>
      <c r="C4347" t="s">
        <v>158</v>
      </c>
      <c r="D4347">
        <v>3279</v>
      </c>
      <c r="E4347" t="s">
        <v>422</v>
      </c>
      <c r="F4347" s="4">
        <v>0</v>
      </c>
      <c r="G4347" s="4">
        <v>2230</v>
      </c>
      <c r="H4347" s="4">
        <v>0</v>
      </c>
      <c r="I4347" s="4">
        <v>2230</v>
      </c>
      <c r="J4347" s="4">
        <v>2230</v>
      </c>
    </row>
    <row r="4348" spans="1:10" x14ac:dyDescent="0.75">
      <c r="A4348" t="s">
        <v>151</v>
      </c>
      <c r="B4348">
        <v>2255</v>
      </c>
      <c r="C4348" t="s">
        <v>158</v>
      </c>
      <c r="D4348">
        <v>5421</v>
      </c>
      <c r="E4348" t="s">
        <v>467</v>
      </c>
      <c r="F4348" s="4">
        <v>0</v>
      </c>
      <c r="G4348" s="4">
        <v>2207</v>
      </c>
      <c r="H4348" s="4">
        <v>2207</v>
      </c>
      <c r="I4348" s="4">
        <v>0</v>
      </c>
      <c r="J4348" s="4">
        <v>2207</v>
      </c>
    </row>
    <row r="4349" spans="1:10" x14ac:dyDescent="0.75">
      <c r="A4349" t="s">
        <v>151</v>
      </c>
      <c r="B4349">
        <v>2255</v>
      </c>
      <c r="C4349" t="s">
        <v>158</v>
      </c>
      <c r="D4349">
        <v>3282</v>
      </c>
      <c r="E4349" t="s">
        <v>440</v>
      </c>
      <c r="F4349" s="4">
        <v>0</v>
      </c>
      <c r="G4349" s="4">
        <v>2120</v>
      </c>
      <c r="H4349" s="4">
        <v>0</v>
      </c>
      <c r="I4349" s="4">
        <v>2120</v>
      </c>
      <c r="J4349" s="4">
        <v>2120</v>
      </c>
    </row>
    <row r="4350" spans="1:10" x14ac:dyDescent="0.75">
      <c r="A4350" t="s">
        <v>151</v>
      </c>
      <c r="B4350">
        <v>2255</v>
      </c>
      <c r="C4350" t="s">
        <v>158</v>
      </c>
      <c r="D4350">
        <v>8900</v>
      </c>
      <c r="E4350" t="s">
        <v>506</v>
      </c>
      <c r="F4350" s="4">
        <v>1832</v>
      </c>
      <c r="G4350" s="4">
        <v>0</v>
      </c>
      <c r="H4350" s="4">
        <v>0</v>
      </c>
      <c r="I4350" s="4">
        <v>0</v>
      </c>
      <c r="J4350" s="4">
        <v>1832</v>
      </c>
    </row>
    <row r="4351" spans="1:10" x14ac:dyDescent="0.75">
      <c r="A4351" t="s">
        <v>151</v>
      </c>
      <c r="B4351">
        <v>2255</v>
      </c>
      <c r="C4351" t="s">
        <v>158</v>
      </c>
      <c r="D4351">
        <v>5429</v>
      </c>
      <c r="E4351" t="s">
        <v>429</v>
      </c>
      <c r="F4351" s="4">
        <v>1598</v>
      </c>
      <c r="G4351" s="4">
        <v>0</v>
      </c>
      <c r="H4351" s="4">
        <v>0</v>
      </c>
      <c r="I4351" s="4">
        <v>0</v>
      </c>
      <c r="J4351" s="4">
        <v>1598</v>
      </c>
    </row>
    <row r="4352" spans="1:10" x14ac:dyDescent="0.75">
      <c r="A4352" t="s">
        <v>151</v>
      </c>
      <c r="B4352">
        <v>2255</v>
      </c>
      <c r="C4352" t="s">
        <v>158</v>
      </c>
      <c r="D4352">
        <v>7120</v>
      </c>
      <c r="E4352" t="s">
        <v>499</v>
      </c>
      <c r="F4352" s="4">
        <v>0</v>
      </c>
      <c r="G4352" s="4">
        <v>1552</v>
      </c>
      <c r="H4352" s="4">
        <v>1552</v>
      </c>
      <c r="I4352" s="4">
        <v>0</v>
      </c>
      <c r="J4352" s="4">
        <v>1552</v>
      </c>
    </row>
    <row r="4353" spans="1:10" x14ac:dyDescent="0.75">
      <c r="A4353" t="s">
        <v>151</v>
      </c>
      <c r="B4353">
        <v>2255</v>
      </c>
      <c r="C4353" t="s">
        <v>158</v>
      </c>
      <c r="D4353">
        <v>4310</v>
      </c>
      <c r="E4353" t="s">
        <v>453</v>
      </c>
      <c r="F4353" s="4">
        <v>0</v>
      </c>
      <c r="G4353" s="4">
        <v>1257</v>
      </c>
      <c r="H4353" s="4">
        <v>1257</v>
      </c>
      <c r="I4353" s="4">
        <v>0</v>
      </c>
      <c r="J4353" s="4">
        <v>1257</v>
      </c>
    </row>
    <row r="4354" spans="1:10" x14ac:dyDescent="0.75">
      <c r="A4354" t="s">
        <v>151</v>
      </c>
      <c r="B4354">
        <v>2255</v>
      </c>
      <c r="C4354" t="s">
        <v>158</v>
      </c>
      <c r="D4354">
        <v>5360</v>
      </c>
      <c r="E4354" t="s">
        <v>465</v>
      </c>
      <c r="F4354" s="4">
        <v>802</v>
      </c>
      <c r="G4354" s="4">
        <v>0</v>
      </c>
      <c r="H4354" s="4">
        <v>0</v>
      </c>
      <c r="I4354" s="4">
        <v>0</v>
      </c>
      <c r="J4354" s="4">
        <v>802</v>
      </c>
    </row>
    <row r="4355" spans="1:10" x14ac:dyDescent="0.75">
      <c r="A4355" t="s">
        <v>151</v>
      </c>
      <c r="B4355">
        <v>2255</v>
      </c>
      <c r="C4355" t="s">
        <v>158</v>
      </c>
      <c r="D4355">
        <v>5480</v>
      </c>
      <c r="E4355" t="s">
        <v>386</v>
      </c>
      <c r="F4355" s="4">
        <v>250</v>
      </c>
      <c r="G4355" s="4">
        <v>166</v>
      </c>
      <c r="H4355" s="4">
        <v>166</v>
      </c>
      <c r="I4355" s="4">
        <v>0</v>
      </c>
      <c r="J4355" s="4">
        <v>416</v>
      </c>
    </row>
    <row r="4356" spans="1:10" x14ac:dyDescent="0.75">
      <c r="A4356" t="s">
        <v>151</v>
      </c>
      <c r="B4356">
        <v>2255</v>
      </c>
      <c r="C4356" t="s">
        <v>158</v>
      </c>
      <c r="D4356">
        <v>3299</v>
      </c>
      <c r="E4356" t="s">
        <v>448</v>
      </c>
      <c r="F4356" s="4">
        <v>0</v>
      </c>
      <c r="G4356" s="4">
        <v>386</v>
      </c>
      <c r="H4356" s="4">
        <v>0</v>
      </c>
      <c r="I4356" s="4">
        <v>386</v>
      </c>
      <c r="J4356" s="4">
        <v>386</v>
      </c>
    </row>
    <row r="4357" spans="1:10" x14ac:dyDescent="0.75">
      <c r="A4357" t="s">
        <v>151</v>
      </c>
      <c r="B4357">
        <v>2255</v>
      </c>
      <c r="C4357" t="s">
        <v>158</v>
      </c>
      <c r="D4357">
        <v>4338</v>
      </c>
      <c r="E4357" t="s">
        <v>509</v>
      </c>
      <c r="F4357" s="4">
        <v>360</v>
      </c>
      <c r="G4357" s="4">
        <v>0</v>
      </c>
      <c r="H4357" s="4">
        <v>0</v>
      </c>
      <c r="I4357" s="4">
        <v>0</v>
      </c>
      <c r="J4357" s="4">
        <v>360</v>
      </c>
    </row>
    <row r="4358" spans="1:10" x14ac:dyDescent="0.75">
      <c r="A4358" t="s">
        <v>151</v>
      </c>
      <c r="B4358">
        <v>2255</v>
      </c>
      <c r="C4358" t="s">
        <v>158</v>
      </c>
      <c r="D4358">
        <v>2990</v>
      </c>
      <c r="E4358" t="s">
        <v>432</v>
      </c>
      <c r="F4358" s="4">
        <v>0</v>
      </c>
      <c r="G4358" s="4">
        <v>72</v>
      </c>
      <c r="H4358" s="4">
        <v>72</v>
      </c>
      <c r="I4358" s="4">
        <v>0</v>
      </c>
      <c r="J4358" s="4">
        <v>72</v>
      </c>
    </row>
    <row r="4359" spans="1:10" x14ac:dyDescent="0.75">
      <c r="A4359" t="s">
        <v>151</v>
      </c>
      <c r="B4359">
        <v>2255</v>
      </c>
      <c r="C4359" t="s">
        <v>158</v>
      </c>
      <c r="D4359">
        <v>7230</v>
      </c>
      <c r="E4359" t="s">
        <v>387</v>
      </c>
      <c r="F4359" s="4">
        <v>0</v>
      </c>
      <c r="G4359" s="4">
        <v>5</v>
      </c>
      <c r="H4359" s="4">
        <v>5</v>
      </c>
      <c r="I4359" s="4">
        <v>0</v>
      </c>
      <c r="J4359" s="4">
        <v>5</v>
      </c>
    </row>
    <row r="4360" spans="1:10" x14ac:dyDescent="0.75">
      <c r="A4360" t="s">
        <v>151</v>
      </c>
      <c r="B4360">
        <v>4981</v>
      </c>
      <c r="C4360" t="s">
        <v>105</v>
      </c>
      <c r="D4360">
        <v>2330</v>
      </c>
      <c r="E4360" t="s">
        <v>368</v>
      </c>
      <c r="F4360" s="4">
        <v>3910</v>
      </c>
      <c r="G4360" s="4">
        <v>0</v>
      </c>
      <c r="H4360" s="4">
        <v>0</v>
      </c>
      <c r="I4360" s="4">
        <v>0</v>
      </c>
      <c r="J4360" s="4">
        <v>3910</v>
      </c>
    </row>
    <row r="4361" spans="1:10" x14ac:dyDescent="0.75">
      <c r="A4361" t="s">
        <v>151</v>
      </c>
      <c r="B4361">
        <v>4981</v>
      </c>
      <c r="C4361" t="s">
        <v>105</v>
      </c>
      <c r="D4361">
        <v>2211</v>
      </c>
      <c r="E4361" t="s">
        <v>367</v>
      </c>
      <c r="F4361" s="4">
        <v>340</v>
      </c>
      <c r="G4361" s="4">
        <v>0</v>
      </c>
      <c r="H4361" s="4">
        <v>0</v>
      </c>
      <c r="I4361" s="4">
        <v>0</v>
      </c>
      <c r="J4361" s="4">
        <v>340</v>
      </c>
    </row>
    <row r="4362" spans="1:10" x14ac:dyDescent="0.75">
      <c r="A4362" t="s">
        <v>151</v>
      </c>
      <c r="B4362">
        <v>4981</v>
      </c>
      <c r="C4362" t="s">
        <v>105</v>
      </c>
      <c r="D4362">
        <v>7210</v>
      </c>
      <c r="E4362" t="s">
        <v>426</v>
      </c>
      <c r="F4362" s="4">
        <v>70</v>
      </c>
      <c r="G4362" s="4">
        <v>0</v>
      </c>
      <c r="H4362" s="4">
        <v>0</v>
      </c>
      <c r="I4362" s="4">
        <v>0</v>
      </c>
      <c r="J4362" s="4">
        <v>70</v>
      </c>
    </row>
    <row r="4363" spans="1:10" x14ac:dyDescent="0.75">
      <c r="A4363" t="s">
        <v>151</v>
      </c>
      <c r="B4363">
        <v>4981</v>
      </c>
      <c r="C4363" t="s">
        <v>105</v>
      </c>
      <c r="D4363">
        <v>4189</v>
      </c>
      <c r="E4363" t="s">
        <v>451</v>
      </c>
      <c r="F4363" s="4">
        <v>62</v>
      </c>
      <c r="G4363" s="4">
        <v>0</v>
      </c>
      <c r="H4363" s="4">
        <v>0</v>
      </c>
      <c r="I4363" s="4">
        <v>0</v>
      </c>
      <c r="J4363" s="4">
        <v>62</v>
      </c>
    </row>
    <row r="4364" spans="1:10" x14ac:dyDescent="0.75">
      <c r="A4364" t="s">
        <v>151</v>
      </c>
      <c r="B4364">
        <v>4981</v>
      </c>
      <c r="C4364" t="s">
        <v>105</v>
      </c>
      <c r="D4364">
        <v>2990</v>
      </c>
      <c r="E4364" t="s">
        <v>432</v>
      </c>
      <c r="F4364" s="4">
        <v>56</v>
      </c>
      <c r="G4364" s="4">
        <v>0</v>
      </c>
      <c r="H4364" s="4">
        <v>0</v>
      </c>
      <c r="I4364" s="4">
        <v>0</v>
      </c>
      <c r="J4364" s="4">
        <v>56</v>
      </c>
    </row>
    <row r="4365" spans="1:10" x14ac:dyDescent="0.75">
      <c r="A4365" t="s">
        <v>151</v>
      </c>
      <c r="B4365">
        <v>4981</v>
      </c>
      <c r="C4365" t="s">
        <v>105</v>
      </c>
      <c r="D4365">
        <v>7900</v>
      </c>
      <c r="E4365" t="s">
        <v>388</v>
      </c>
      <c r="F4365" s="4">
        <v>53</v>
      </c>
      <c r="G4365" s="4">
        <v>0</v>
      </c>
      <c r="H4365" s="4">
        <v>0</v>
      </c>
      <c r="I4365" s="4">
        <v>0</v>
      </c>
      <c r="J4365" s="4">
        <v>53</v>
      </c>
    </row>
    <row r="4366" spans="1:10" x14ac:dyDescent="0.75">
      <c r="A4366" t="s">
        <v>151</v>
      </c>
      <c r="B4366">
        <v>4981</v>
      </c>
      <c r="C4366" t="s">
        <v>105</v>
      </c>
      <c r="D4366">
        <v>3299</v>
      </c>
      <c r="E4366" t="s">
        <v>448</v>
      </c>
      <c r="F4366" s="4">
        <v>20</v>
      </c>
      <c r="G4366" s="4">
        <v>0</v>
      </c>
      <c r="H4366" s="4">
        <v>0</v>
      </c>
      <c r="I4366" s="4">
        <v>0</v>
      </c>
      <c r="J4366" s="4">
        <v>20</v>
      </c>
    </row>
    <row r="4367" spans="1:10" x14ac:dyDescent="0.75">
      <c r="A4367" t="s">
        <v>151</v>
      </c>
      <c r="B4367">
        <v>4981</v>
      </c>
      <c r="C4367" t="s">
        <v>105</v>
      </c>
      <c r="D4367">
        <v>7110</v>
      </c>
      <c r="E4367" t="s">
        <v>371</v>
      </c>
      <c r="F4367" s="4">
        <v>20</v>
      </c>
      <c r="G4367" s="4">
        <v>0</v>
      </c>
      <c r="H4367" s="4">
        <v>0</v>
      </c>
      <c r="I4367" s="4">
        <v>0</v>
      </c>
      <c r="J4367" s="4">
        <v>20</v>
      </c>
    </row>
    <row r="4368" spans="1:10" x14ac:dyDescent="0.75">
      <c r="A4368" t="s">
        <v>151</v>
      </c>
      <c r="B4368">
        <v>4981</v>
      </c>
      <c r="C4368" t="s">
        <v>105</v>
      </c>
      <c r="D4368">
        <v>7400</v>
      </c>
      <c r="E4368" t="s">
        <v>502</v>
      </c>
      <c r="F4368" s="4">
        <v>16</v>
      </c>
      <c r="G4368" s="4">
        <v>0</v>
      </c>
      <c r="H4368" s="4">
        <v>0</v>
      </c>
      <c r="I4368" s="4">
        <v>0</v>
      </c>
      <c r="J4368" s="4">
        <v>16</v>
      </c>
    </row>
    <row r="4369" spans="1:10" x14ac:dyDescent="0.75">
      <c r="A4369" t="s">
        <v>151</v>
      </c>
      <c r="B4369">
        <v>4981</v>
      </c>
      <c r="C4369" t="s">
        <v>105</v>
      </c>
      <c r="D4369">
        <v>6887</v>
      </c>
      <c r="E4369" t="s">
        <v>505</v>
      </c>
      <c r="F4369" s="4">
        <v>12</v>
      </c>
      <c r="G4369" s="4">
        <v>0</v>
      </c>
      <c r="H4369" s="4">
        <v>0</v>
      </c>
      <c r="I4369" s="4">
        <v>0</v>
      </c>
      <c r="J4369" s="4">
        <v>12</v>
      </c>
    </row>
    <row r="4370" spans="1:10" x14ac:dyDescent="0.75">
      <c r="A4370" t="s">
        <v>151</v>
      </c>
      <c r="B4370">
        <v>4981</v>
      </c>
      <c r="C4370" t="s">
        <v>105</v>
      </c>
      <c r="D4370">
        <v>5370</v>
      </c>
      <c r="E4370" t="s">
        <v>466</v>
      </c>
      <c r="F4370" s="4">
        <v>8</v>
      </c>
      <c r="G4370" s="4">
        <v>0</v>
      </c>
      <c r="H4370" s="4">
        <v>0</v>
      </c>
      <c r="I4370" s="4">
        <v>0</v>
      </c>
      <c r="J4370" s="4">
        <v>8</v>
      </c>
    </row>
    <row r="4371" spans="1:10" x14ac:dyDescent="0.75">
      <c r="A4371" t="s">
        <v>151</v>
      </c>
      <c r="B4371">
        <v>4981</v>
      </c>
      <c r="C4371" t="s">
        <v>105</v>
      </c>
      <c r="D4371">
        <v>7120</v>
      </c>
      <c r="E4371" t="s">
        <v>499</v>
      </c>
      <c r="F4371" s="4">
        <v>4</v>
      </c>
      <c r="G4371" s="4">
        <v>0</v>
      </c>
      <c r="H4371" s="4">
        <v>0</v>
      </c>
      <c r="I4371" s="4">
        <v>0</v>
      </c>
      <c r="J4371" s="4">
        <v>4</v>
      </c>
    </row>
    <row r="4372" spans="1:10" x14ac:dyDescent="0.75">
      <c r="A4372" t="s">
        <v>151</v>
      </c>
      <c r="B4372">
        <v>4981</v>
      </c>
      <c r="C4372" t="s">
        <v>105</v>
      </c>
      <c r="D4372">
        <v>4331</v>
      </c>
      <c r="E4372" t="s">
        <v>390</v>
      </c>
      <c r="F4372" s="4">
        <v>2</v>
      </c>
      <c r="G4372" s="4">
        <v>0</v>
      </c>
      <c r="H4372" s="4">
        <v>0</v>
      </c>
      <c r="I4372" s="4">
        <v>0</v>
      </c>
      <c r="J4372" s="4">
        <v>2</v>
      </c>
    </row>
    <row r="4373" spans="1:10" x14ac:dyDescent="0.75">
      <c r="A4373" t="s">
        <v>151</v>
      </c>
      <c r="B4373">
        <v>4981</v>
      </c>
      <c r="C4373" t="s">
        <v>105</v>
      </c>
      <c r="D4373">
        <v>7230</v>
      </c>
      <c r="E4373" t="s">
        <v>387</v>
      </c>
      <c r="F4373" s="4">
        <v>2</v>
      </c>
      <c r="G4373" s="4">
        <v>0</v>
      </c>
      <c r="H4373" s="4">
        <v>0</v>
      </c>
      <c r="I4373" s="4">
        <v>0</v>
      </c>
      <c r="J4373" s="4">
        <v>2</v>
      </c>
    </row>
    <row r="4374" spans="1:10" x14ac:dyDescent="0.75">
      <c r="A4374" t="s">
        <v>151</v>
      </c>
      <c r="B4374">
        <v>2151</v>
      </c>
      <c r="C4374" t="s">
        <v>142</v>
      </c>
      <c r="D4374">
        <v>1100</v>
      </c>
      <c r="E4374" t="s">
        <v>397</v>
      </c>
      <c r="F4374" s="4">
        <v>0</v>
      </c>
      <c r="G4374" s="4">
        <v>1456201</v>
      </c>
      <c r="H4374" s="4">
        <v>1456201</v>
      </c>
      <c r="I4374" s="4">
        <v>0</v>
      </c>
      <c r="J4374" s="4">
        <v>1456201</v>
      </c>
    </row>
    <row r="4375" spans="1:10" x14ac:dyDescent="0.75">
      <c r="A4375" t="s">
        <v>151</v>
      </c>
      <c r="B4375">
        <v>2151</v>
      </c>
      <c r="C4375" t="s">
        <v>142</v>
      </c>
      <c r="D4375">
        <v>5220</v>
      </c>
      <c r="E4375" t="s">
        <v>401</v>
      </c>
      <c r="F4375" s="4">
        <v>0</v>
      </c>
      <c r="G4375" s="4">
        <v>309242</v>
      </c>
      <c r="H4375" s="4">
        <v>309242</v>
      </c>
      <c r="I4375" s="4">
        <v>0</v>
      </c>
      <c r="J4375" s="4">
        <v>309242</v>
      </c>
    </row>
    <row r="4376" spans="1:10" x14ac:dyDescent="0.75">
      <c r="A4376" t="s">
        <v>151</v>
      </c>
      <c r="B4376">
        <v>2151</v>
      </c>
      <c r="C4376" t="s">
        <v>142</v>
      </c>
      <c r="D4376">
        <v>6865</v>
      </c>
      <c r="E4376" t="s">
        <v>490</v>
      </c>
      <c r="F4376" s="4">
        <v>0</v>
      </c>
      <c r="G4376" s="4">
        <v>104182</v>
      </c>
      <c r="H4376" s="4">
        <v>104182</v>
      </c>
      <c r="I4376" s="4">
        <v>0</v>
      </c>
      <c r="J4376" s="4">
        <v>104182</v>
      </c>
    </row>
    <row r="4377" spans="1:10" x14ac:dyDescent="0.75">
      <c r="A4377" t="s">
        <v>151</v>
      </c>
      <c r="B4377">
        <v>2151</v>
      </c>
      <c r="C4377" t="s">
        <v>142</v>
      </c>
      <c r="D4377">
        <v>4420</v>
      </c>
      <c r="E4377" t="s">
        <v>381</v>
      </c>
      <c r="F4377" s="4">
        <v>0</v>
      </c>
      <c r="G4377" s="4">
        <v>55226</v>
      </c>
      <c r="H4377" s="4">
        <v>0</v>
      </c>
      <c r="I4377" s="4">
        <v>55226</v>
      </c>
      <c r="J4377" s="4">
        <v>55226</v>
      </c>
    </row>
    <row r="4378" spans="1:10" x14ac:dyDescent="0.75">
      <c r="A4378" t="s">
        <v>151</v>
      </c>
      <c r="B4378">
        <v>2151</v>
      </c>
      <c r="C4378" t="s">
        <v>142</v>
      </c>
      <c r="D4378">
        <v>2330</v>
      </c>
      <c r="E4378" t="s">
        <v>368</v>
      </c>
      <c r="F4378" s="4">
        <v>0</v>
      </c>
      <c r="G4378" s="4">
        <v>38649</v>
      </c>
      <c r="H4378" s="4">
        <v>38551</v>
      </c>
      <c r="I4378" s="4">
        <v>98</v>
      </c>
      <c r="J4378" s="4">
        <v>38649</v>
      </c>
    </row>
    <row r="4379" spans="1:10" x14ac:dyDescent="0.75">
      <c r="A4379" t="s">
        <v>151</v>
      </c>
      <c r="B4379">
        <v>2151</v>
      </c>
      <c r="C4379" t="s">
        <v>142</v>
      </c>
      <c r="D4379">
        <v>7110</v>
      </c>
      <c r="E4379" t="s">
        <v>371</v>
      </c>
      <c r="F4379" s="4">
        <v>0</v>
      </c>
      <c r="G4379" s="4">
        <v>14713</v>
      </c>
      <c r="H4379" s="4">
        <v>14713</v>
      </c>
      <c r="I4379" s="4">
        <v>0</v>
      </c>
      <c r="J4379" s="4">
        <v>14713</v>
      </c>
    </row>
    <row r="4380" spans="1:10" x14ac:dyDescent="0.75">
      <c r="A4380" t="s">
        <v>151</v>
      </c>
      <c r="B4380">
        <v>2151</v>
      </c>
      <c r="C4380" t="s">
        <v>142</v>
      </c>
      <c r="D4380">
        <v>5360</v>
      </c>
      <c r="E4380" t="s">
        <v>465</v>
      </c>
      <c r="F4380" s="4">
        <v>0</v>
      </c>
      <c r="G4380" s="4">
        <v>5322</v>
      </c>
      <c r="H4380" s="4">
        <v>5322</v>
      </c>
      <c r="I4380" s="4">
        <v>0</v>
      </c>
      <c r="J4380" s="4">
        <v>5322</v>
      </c>
    </row>
    <row r="4381" spans="1:10" x14ac:dyDescent="0.75">
      <c r="A4381" t="s">
        <v>151</v>
      </c>
      <c r="B4381">
        <v>2151</v>
      </c>
      <c r="C4381" t="s">
        <v>142</v>
      </c>
      <c r="D4381">
        <v>9900</v>
      </c>
      <c r="E4381" t="s">
        <v>389</v>
      </c>
      <c r="F4381" s="4">
        <v>0</v>
      </c>
      <c r="G4381" s="4">
        <v>2876</v>
      </c>
      <c r="H4381" s="4">
        <v>2876</v>
      </c>
      <c r="I4381" s="4">
        <v>0</v>
      </c>
      <c r="J4381" s="4">
        <v>2876</v>
      </c>
    </row>
    <row r="4382" spans="1:10" x14ac:dyDescent="0.75">
      <c r="A4382" t="s">
        <v>151</v>
      </c>
      <c r="B4382">
        <v>2151</v>
      </c>
      <c r="C4382" t="s">
        <v>142</v>
      </c>
      <c r="D4382">
        <v>5480</v>
      </c>
      <c r="E4382" t="s">
        <v>386</v>
      </c>
      <c r="F4382" s="4">
        <v>0</v>
      </c>
      <c r="G4382" s="4">
        <v>410</v>
      </c>
      <c r="H4382" s="4">
        <v>410</v>
      </c>
      <c r="I4382" s="4">
        <v>0</v>
      </c>
      <c r="J4382" s="4">
        <v>410</v>
      </c>
    </row>
    <row r="4383" spans="1:10" x14ac:dyDescent="0.75">
      <c r="A4383" t="s">
        <v>151</v>
      </c>
      <c r="B4383">
        <v>2151</v>
      </c>
      <c r="C4383" t="s">
        <v>142</v>
      </c>
      <c r="D4383">
        <v>2211</v>
      </c>
      <c r="E4383" t="s">
        <v>367</v>
      </c>
      <c r="F4383" s="4">
        <v>0</v>
      </c>
      <c r="G4383" s="4">
        <v>181</v>
      </c>
      <c r="H4383" s="4">
        <v>0</v>
      </c>
      <c r="I4383" s="4">
        <v>181</v>
      </c>
      <c r="J4383" s="4">
        <v>181</v>
      </c>
    </row>
    <row r="4384" spans="1:10" x14ac:dyDescent="0.75">
      <c r="A4384" t="s">
        <v>151</v>
      </c>
      <c r="B4384">
        <v>2151</v>
      </c>
      <c r="C4384" t="s">
        <v>142</v>
      </c>
      <c r="D4384">
        <v>7120</v>
      </c>
      <c r="E4384" t="s">
        <v>499</v>
      </c>
      <c r="F4384" s="4">
        <v>0</v>
      </c>
      <c r="G4384" s="4">
        <v>51</v>
      </c>
      <c r="H4384" s="4">
        <v>51</v>
      </c>
      <c r="I4384" s="4">
        <v>0</v>
      </c>
      <c r="J4384" s="4">
        <v>51</v>
      </c>
    </row>
    <row r="4385" spans="1:10" x14ac:dyDescent="0.75">
      <c r="A4385" t="s">
        <v>151</v>
      </c>
      <c r="B4385">
        <v>2151</v>
      </c>
      <c r="C4385" t="s">
        <v>142</v>
      </c>
      <c r="D4385">
        <v>3286</v>
      </c>
      <c r="E4385" t="s">
        <v>423</v>
      </c>
      <c r="F4385" s="4">
        <v>0</v>
      </c>
      <c r="G4385" s="4">
        <v>9</v>
      </c>
      <c r="H4385" s="4">
        <v>9</v>
      </c>
      <c r="I4385" s="4">
        <v>0</v>
      </c>
      <c r="J4385" s="4">
        <v>9</v>
      </c>
    </row>
    <row r="4386" spans="1:10" x14ac:dyDescent="0.75">
      <c r="A4386" t="s">
        <v>151</v>
      </c>
      <c r="B4386">
        <v>2416</v>
      </c>
      <c r="C4386" t="s">
        <v>102</v>
      </c>
      <c r="D4386">
        <v>2330</v>
      </c>
      <c r="E4386" t="s">
        <v>368</v>
      </c>
      <c r="F4386" s="4">
        <v>3980042</v>
      </c>
      <c r="G4386" s="4">
        <v>8157815</v>
      </c>
      <c r="H4386" s="4">
        <v>2161704</v>
      </c>
      <c r="I4386" s="4">
        <v>5996111</v>
      </c>
      <c r="J4386" s="4">
        <v>12137857</v>
      </c>
    </row>
    <row r="4387" spans="1:10" x14ac:dyDescent="0.75">
      <c r="A4387" t="s">
        <v>151</v>
      </c>
      <c r="B4387">
        <v>2416</v>
      </c>
      <c r="C4387" t="s">
        <v>102</v>
      </c>
      <c r="D4387">
        <v>2211</v>
      </c>
      <c r="E4387" t="s">
        <v>367</v>
      </c>
      <c r="F4387" s="4">
        <v>5605302</v>
      </c>
      <c r="G4387" s="4">
        <v>3474537</v>
      </c>
      <c r="H4387" s="4">
        <v>231441</v>
      </c>
      <c r="I4387" s="4">
        <v>3243096</v>
      </c>
      <c r="J4387" s="4">
        <v>9079839</v>
      </c>
    </row>
    <row r="4388" spans="1:10" x14ac:dyDescent="0.75">
      <c r="A4388" t="s">
        <v>151</v>
      </c>
      <c r="B4388">
        <v>2416</v>
      </c>
      <c r="C4388" t="s">
        <v>102</v>
      </c>
      <c r="D4388">
        <v>2540</v>
      </c>
      <c r="E4388" t="s">
        <v>377</v>
      </c>
      <c r="F4388" s="4">
        <v>169110</v>
      </c>
      <c r="G4388" s="4">
        <v>6116705</v>
      </c>
      <c r="H4388" s="4">
        <v>136415</v>
      </c>
      <c r="I4388" s="4">
        <v>5980290</v>
      </c>
      <c r="J4388" s="4">
        <v>6285815</v>
      </c>
    </row>
    <row r="4389" spans="1:10" x14ac:dyDescent="0.75">
      <c r="A4389" t="s">
        <v>151</v>
      </c>
      <c r="B4389">
        <v>2416</v>
      </c>
      <c r="C4389" t="s">
        <v>102</v>
      </c>
      <c r="D4389">
        <v>2340</v>
      </c>
      <c r="E4389" t="s">
        <v>369</v>
      </c>
      <c r="F4389" s="4">
        <v>1432467</v>
      </c>
      <c r="G4389" s="4">
        <v>916779</v>
      </c>
      <c r="H4389" s="4">
        <v>916779</v>
      </c>
      <c r="I4389" s="4">
        <v>0</v>
      </c>
      <c r="J4389" s="4">
        <v>2349246</v>
      </c>
    </row>
    <row r="4390" spans="1:10" x14ac:dyDescent="0.75">
      <c r="A4390" t="s">
        <v>151</v>
      </c>
      <c r="B4390">
        <v>2416</v>
      </c>
      <c r="C4390" t="s">
        <v>102</v>
      </c>
      <c r="D4390">
        <v>2100</v>
      </c>
      <c r="E4390" t="s">
        <v>403</v>
      </c>
      <c r="F4390" s="4">
        <v>166015</v>
      </c>
      <c r="G4390" s="4">
        <v>1800230</v>
      </c>
      <c r="H4390" s="4">
        <v>1733548</v>
      </c>
      <c r="I4390" s="4">
        <v>66682</v>
      </c>
      <c r="J4390" s="4">
        <v>1966245</v>
      </c>
    </row>
    <row r="4391" spans="1:10" x14ac:dyDescent="0.75">
      <c r="A4391" t="s">
        <v>151</v>
      </c>
      <c r="B4391">
        <v>2416</v>
      </c>
      <c r="C4391" t="s">
        <v>102</v>
      </c>
      <c r="D4391">
        <v>2429</v>
      </c>
      <c r="E4391" t="s">
        <v>375</v>
      </c>
      <c r="F4391" s="4">
        <v>1873711</v>
      </c>
      <c r="G4391" s="4">
        <v>80938</v>
      </c>
      <c r="H4391" s="4">
        <v>0</v>
      </c>
      <c r="I4391" s="4">
        <v>80938</v>
      </c>
      <c r="J4391" s="4">
        <v>1954649</v>
      </c>
    </row>
    <row r="4392" spans="1:10" x14ac:dyDescent="0.75">
      <c r="A4392" t="s">
        <v>151</v>
      </c>
      <c r="B4392">
        <v>2416</v>
      </c>
      <c r="C4392" t="s">
        <v>102</v>
      </c>
      <c r="D4392">
        <v>2350</v>
      </c>
      <c r="E4392" t="s">
        <v>404</v>
      </c>
      <c r="F4392" s="4">
        <v>730274</v>
      </c>
      <c r="G4392" s="4">
        <v>102213</v>
      </c>
      <c r="H4392" s="4">
        <v>0</v>
      </c>
      <c r="I4392" s="4">
        <v>102213</v>
      </c>
      <c r="J4392" s="4">
        <v>832487</v>
      </c>
    </row>
    <row r="4393" spans="1:10" x14ac:dyDescent="0.75">
      <c r="A4393" t="s">
        <v>151</v>
      </c>
      <c r="B4393">
        <v>2416</v>
      </c>
      <c r="C4393" t="s">
        <v>102</v>
      </c>
      <c r="D4393">
        <v>2221</v>
      </c>
      <c r="E4393" t="s">
        <v>374</v>
      </c>
      <c r="F4393" s="4">
        <v>468722</v>
      </c>
      <c r="G4393" s="4">
        <v>314234</v>
      </c>
      <c r="H4393" s="4">
        <v>0</v>
      </c>
      <c r="I4393" s="4">
        <v>314234</v>
      </c>
      <c r="J4393" s="4">
        <v>782956</v>
      </c>
    </row>
    <row r="4394" spans="1:10" x14ac:dyDescent="0.75">
      <c r="A4394" t="s">
        <v>151</v>
      </c>
      <c r="B4394">
        <v>2416</v>
      </c>
      <c r="C4394" t="s">
        <v>102</v>
      </c>
      <c r="D4394">
        <v>3211</v>
      </c>
      <c r="E4394" t="s">
        <v>433</v>
      </c>
      <c r="F4394" s="4">
        <v>650287</v>
      </c>
      <c r="G4394" s="4">
        <v>8657</v>
      </c>
      <c r="H4394" s="4">
        <v>8657</v>
      </c>
      <c r="I4394" s="4">
        <v>0</v>
      </c>
      <c r="J4394" s="4">
        <v>658944</v>
      </c>
    </row>
    <row r="4395" spans="1:10" x14ac:dyDescent="0.75">
      <c r="A4395" t="s">
        <v>151</v>
      </c>
      <c r="B4395">
        <v>2416</v>
      </c>
      <c r="C4395" t="s">
        <v>102</v>
      </c>
      <c r="D4395">
        <v>3212</v>
      </c>
      <c r="E4395" t="s">
        <v>409</v>
      </c>
      <c r="F4395" s="4">
        <v>581469</v>
      </c>
      <c r="G4395" s="4">
        <v>0</v>
      </c>
      <c r="H4395" s="4">
        <v>0</v>
      </c>
      <c r="I4395" s="4">
        <v>0</v>
      </c>
      <c r="J4395" s="4">
        <v>581469</v>
      </c>
    </row>
    <row r="4396" spans="1:10" x14ac:dyDescent="0.75">
      <c r="A4396" t="s">
        <v>151</v>
      </c>
      <c r="B4396">
        <v>2416</v>
      </c>
      <c r="C4396" t="s">
        <v>102</v>
      </c>
      <c r="D4396">
        <v>3219</v>
      </c>
      <c r="E4396" t="s">
        <v>378</v>
      </c>
      <c r="F4396" s="4">
        <v>442408</v>
      </c>
      <c r="G4396" s="4">
        <v>100117</v>
      </c>
      <c r="H4396" s="4">
        <v>0</v>
      </c>
      <c r="I4396" s="4">
        <v>100117</v>
      </c>
      <c r="J4396" s="4">
        <v>542525</v>
      </c>
    </row>
    <row r="4397" spans="1:10" x14ac:dyDescent="0.75">
      <c r="A4397" t="s">
        <v>151</v>
      </c>
      <c r="B4397">
        <v>2416</v>
      </c>
      <c r="C4397" t="s">
        <v>102</v>
      </c>
      <c r="D4397">
        <v>4225</v>
      </c>
      <c r="E4397" t="s">
        <v>380</v>
      </c>
      <c r="F4397" s="4">
        <v>0</v>
      </c>
      <c r="G4397" s="4">
        <v>471196</v>
      </c>
      <c r="H4397" s="4">
        <v>436997</v>
      </c>
      <c r="I4397" s="4">
        <v>34199</v>
      </c>
      <c r="J4397" s="4">
        <v>471196</v>
      </c>
    </row>
    <row r="4398" spans="1:10" x14ac:dyDescent="0.75">
      <c r="A4398" t="s">
        <v>151</v>
      </c>
      <c r="B4398">
        <v>2416</v>
      </c>
      <c r="C4398" t="s">
        <v>102</v>
      </c>
      <c r="D4398">
        <v>2640</v>
      </c>
      <c r="E4398" t="s">
        <v>431</v>
      </c>
      <c r="F4398" s="4">
        <v>116634</v>
      </c>
      <c r="G4398" s="4">
        <v>313030</v>
      </c>
      <c r="H4398" s="4">
        <v>1</v>
      </c>
      <c r="I4398" s="4">
        <v>313029</v>
      </c>
      <c r="J4398" s="4">
        <v>429664</v>
      </c>
    </row>
    <row r="4399" spans="1:10" x14ac:dyDescent="0.75">
      <c r="A4399" t="s">
        <v>151</v>
      </c>
      <c r="B4399">
        <v>2416</v>
      </c>
      <c r="C4399" t="s">
        <v>102</v>
      </c>
      <c r="D4399">
        <v>2990</v>
      </c>
      <c r="E4399" t="s">
        <v>432</v>
      </c>
      <c r="F4399" s="4">
        <v>356105</v>
      </c>
      <c r="G4399" s="4">
        <v>1097</v>
      </c>
      <c r="H4399" s="4">
        <v>1097</v>
      </c>
      <c r="I4399" s="4">
        <v>0</v>
      </c>
      <c r="J4399" s="4">
        <v>357202</v>
      </c>
    </row>
    <row r="4400" spans="1:10" x14ac:dyDescent="0.75">
      <c r="A4400" t="s">
        <v>151</v>
      </c>
      <c r="B4400">
        <v>2416</v>
      </c>
      <c r="C4400" t="s">
        <v>102</v>
      </c>
      <c r="D4400">
        <v>3220</v>
      </c>
      <c r="E4400" t="s">
        <v>370</v>
      </c>
      <c r="F4400" s="4">
        <v>34552</v>
      </c>
      <c r="G4400" s="4">
        <v>303894</v>
      </c>
      <c r="H4400" s="4">
        <v>2370</v>
      </c>
      <c r="I4400" s="4">
        <v>301524</v>
      </c>
      <c r="J4400" s="4">
        <v>338446</v>
      </c>
    </row>
    <row r="4401" spans="1:10" x14ac:dyDescent="0.75">
      <c r="A4401" t="s">
        <v>151</v>
      </c>
      <c r="B4401">
        <v>2416</v>
      </c>
      <c r="C4401" t="s">
        <v>102</v>
      </c>
      <c r="D4401">
        <v>4150</v>
      </c>
      <c r="E4401" t="s">
        <v>450</v>
      </c>
      <c r="F4401" s="4">
        <v>0</v>
      </c>
      <c r="G4401" s="4">
        <v>300860</v>
      </c>
      <c r="H4401" s="4">
        <v>0</v>
      </c>
      <c r="I4401" s="4">
        <v>300860</v>
      </c>
      <c r="J4401" s="4">
        <v>300860</v>
      </c>
    </row>
    <row r="4402" spans="1:10" x14ac:dyDescent="0.75">
      <c r="A4402" t="s">
        <v>151</v>
      </c>
      <c r="B4402">
        <v>2416</v>
      </c>
      <c r="C4402" t="s">
        <v>102</v>
      </c>
      <c r="D4402">
        <v>2430</v>
      </c>
      <c r="E4402" t="s">
        <v>376</v>
      </c>
      <c r="F4402" s="4">
        <v>176855</v>
      </c>
      <c r="G4402" s="4">
        <v>12410</v>
      </c>
      <c r="H4402" s="4">
        <v>5774</v>
      </c>
      <c r="I4402" s="4">
        <v>6636</v>
      </c>
      <c r="J4402" s="4">
        <v>189265</v>
      </c>
    </row>
    <row r="4403" spans="1:10" x14ac:dyDescent="0.75">
      <c r="A4403" t="s">
        <v>151</v>
      </c>
      <c r="B4403">
        <v>2416</v>
      </c>
      <c r="C4403" t="s">
        <v>102</v>
      </c>
      <c r="D4403">
        <v>3297</v>
      </c>
      <c r="E4403" t="s">
        <v>446</v>
      </c>
      <c r="F4403" s="4">
        <v>180645</v>
      </c>
      <c r="G4403" s="4">
        <v>0</v>
      </c>
      <c r="H4403" s="4">
        <v>0</v>
      </c>
      <c r="I4403" s="4">
        <v>0</v>
      </c>
      <c r="J4403" s="4">
        <v>180645</v>
      </c>
    </row>
    <row r="4404" spans="1:10" x14ac:dyDescent="0.75">
      <c r="A4404" t="s">
        <v>151</v>
      </c>
      <c r="B4404">
        <v>2416</v>
      </c>
      <c r="C4404" t="s">
        <v>102</v>
      </c>
      <c r="D4404">
        <v>3299</v>
      </c>
      <c r="E4404" t="s">
        <v>448</v>
      </c>
      <c r="F4404" s="4">
        <v>123972</v>
      </c>
      <c r="G4404" s="4">
        <v>2</v>
      </c>
      <c r="H4404" s="4">
        <v>2</v>
      </c>
      <c r="I4404" s="4">
        <v>0</v>
      </c>
      <c r="J4404" s="4">
        <v>123974</v>
      </c>
    </row>
    <row r="4405" spans="1:10" x14ac:dyDescent="0.75">
      <c r="A4405" t="s">
        <v>151</v>
      </c>
      <c r="B4405">
        <v>2416</v>
      </c>
      <c r="C4405" t="s">
        <v>102</v>
      </c>
      <c r="D4405">
        <v>1200</v>
      </c>
      <c r="E4405" t="s">
        <v>402</v>
      </c>
      <c r="F4405" s="4">
        <v>99959</v>
      </c>
      <c r="G4405" s="4">
        <v>11971</v>
      </c>
      <c r="H4405" s="4">
        <v>11971</v>
      </c>
      <c r="I4405" s="4">
        <v>0</v>
      </c>
      <c r="J4405" s="4">
        <v>111930</v>
      </c>
    </row>
    <row r="4406" spans="1:10" x14ac:dyDescent="0.75">
      <c r="A4406" t="s">
        <v>151</v>
      </c>
      <c r="B4406">
        <v>2416</v>
      </c>
      <c r="C4406" t="s">
        <v>102</v>
      </c>
      <c r="D4406">
        <v>4322</v>
      </c>
      <c r="E4406" t="s">
        <v>398</v>
      </c>
      <c r="F4406" s="4">
        <v>34705</v>
      </c>
      <c r="G4406" s="4">
        <v>37834</v>
      </c>
      <c r="H4406" s="4">
        <v>37834</v>
      </c>
      <c r="I4406" s="4">
        <v>0</v>
      </c>
      <c r="J4406" s="4">
        <v>72539</v>
      </c>
    </row>
    <row r="4407" spans="1:10" x14ac:dyDescent="0.75">
      <c r="A4407" t="s">
        <v>151</v>
      </c>
      <c r="B4407">
        <v>2416</v>
      </c>
      <c r="C4407" t="s">
        <v>102</v>
      </c>
      <c r="D4407">
        <v>4189</v>
      </c>
      <c r="E4407" t="s">
        <v>451</v>
      </c>
      <c r="F4407" s="4">
        <v>0</v>
      </c>
      <c r="G4407" s="4">
        <v>61720</v>
      </c>
      <c r="H4407" s="4">
        <v>61720</v>
      </c>
      <c r="I4407" s="4">
        <v>0</v>
      </c>
      <c r="J4407" s="4">
        <v>61720</v>
      </c>
    </row>
    <row r="4408" spans="1:10" x14ac:dyDescent="0.75">
      <c r="A4408" t="s">
        <v>151</v>
      </c>
      <c r="B4408">
        <v>2416</v>
      </c>
      <c r="C4408" t="s">
        <v>102</v>
      </c>
      <c r="D4408">
        <v>9900</v>
      </c>
      <c r="E4408" t="s">
        <v>389</v>
      </c>
      <c r="F4408" s="4">
        <v>0</v>
      </c>
      <c r="G4408" s="4">
        <v>58343</v>
      </c>
      <c r="H4408" s="4">
        <v>58266</v>
      </c>
      <c r="I4408" s="4">
        <v>77</v>
      </c>
      <c r="J4408" s="4">
        <v>58343</v>
      </c>
    </row>
    <row r="4409" spans="1:10" x14ac:dyDescent="0.75">
      <c r="A4409" t="s">
        <v>151</v>
      </c>
      <c r="B4409">
        <v>2416</v>
      </c>
      <c r="C4409" t="s">
        <v>102</v>
      </c>
      <c r="D4409">
        <v>4331</v>
      </c>
      <c r="E4409" t="s">
        <v>390</v>
      </c>
      <c r="F4409" s="4">
        <v>1992</v>
      </c>
      <c r="G4409" s="4">
        <v>54994</v>
      </c>
      <c r="H4409" s="4">
        <v>54994</v>
      </c>
      <c r="I4409" s="4">
        <v>0</v>
      </c>
      <c r="J4409" s="4">
        <v>56986</v>
      </c>
    </row>
    <row r="4410" spans="1:10" x14ac:dyDescent="0.75">
      <c r="A4410" t="s">
        <v>151</v>
      </c>
      <c r="B4410">
        <v>2416</v>
      </c>
      <c r="C4410" t="s">
        <v>102</v>
      </c>
      <c r="D4410">
        <v>3260</v>
      </c>
      <c r="E4410" t="s">
        <v>436</v>
      </c>
      <c r="F4410" s="4">
        <v>0</v>
      </c>
      <c r="G4410" s="4">
        <v>52148</v>
      </c>
      <c r="H4410" s="4">
        <v>0</v>
      </c>
      <c r="I4410" s="4">
        <v>52148</v>
      </c>
      <c r="J4410" s="4">
        <v>52148</v>
      </c>
    </row>
    <row r="4411" spans="1:10" x14ac:dyDescent="0.75">
      <c r="A4411" t="s">
        <v>151</v>
      </c>
      <c r="B4411">
        <v>2416</v>
      </c>
      <c r="C4411" t="s">
        <v>102</v>
      </c>
      <c r="D4411">
        <v>5540</v>
      </c>
      <c r="E4411" t="s">
        <v>469</v>
      </c>
      <c r="F4411" s="4">
        <v>0</v>
      </c>
      <c r="G4411" s="4">
        <v>51621</v>
      </c>
      <c r="H4411" s="4">
        <v>51621</v>
      </c>
      <c r="I4411" s="4">
        <v>0</v>
      </c>
      <c r="J4411" s="4">
        <v>51621</v>
      </c>
    </row>
    <row r="4412" spans="1:10" x14ac:dyDescent="0.75">
      <c r="A4412" t="s">
        <v>151</v>
      </c>
      <c r="B4412">
        <v>2416</v>
      </c>
      <c r="C4412" t="s">
        <v>102</v>
      </c>
      <c r="D4412">
        <v>5120</v>
      </c>
      <c r="E4412" t="s">
        <v>461</v>
      </c>
      <c r="F4412" s="4">
        <v>0</v>
      </c>
      <c r="G4412" s="4">
        <v>43874</v>
      </c>
      <c r="H4412" s="4">
        <v>0</v>
      </c>
      <c r="I4412" s="4">
        <v>43874</v>
      </c>
      <c r="J4412" s="4">
        <v>43874</v>
      </c>
    </row>
    <row r="4413" spans="1:10" x14ac:dyDescent="0.75">
      <c r="A4413" t="s">
        <v>151</v>
      </c>
      <c r="B4413">
        <v>2416</v>
      </c>
      <c r="C4413" t="s">
        <v>102</v>
      </c>
      <c r="D4413">
        <v>5422</v>
      </c>
      <c r="E4413" t="s">
        <v>468</v>
      </c>
      <c r="F4413" s="4">
        <v>1197</v>
      </c>
      <c r="G4413" s="4">
        <v>38285</v>
      </c>
      <c r="H4413" s="4">
        <v>38285</v>
      </c>
      <c r="I4413" s="4">
        <v>0</v>
      </c>
      <c r="J4413" s="4">
        <v>39482</v>
      </c>
    </row>
    <row r="4414" spans="1:10" x14ac:dyDescent="0.75">
      <c r="A4414" t="s">
        <v>151</v>
      </c>
      <c r="B4414">
        <v>2416</v>
      </c>
      <c r="C4414" t="s">
        <v>102</v>
      </c>
      <c r="D4414">
        <v>7210</v>
      </c>
      <c r="E4414" t="s">
        <v>426</v>
      </c>
      <c r="F4414" s="4">
        <v>0</v>
      </c>
      <c r="G4414" s="4">
        <v>28966</v>
      </c>
      <c r="H4414" s="4">
        <v>27590</v>
      </c>
      <c r="I4414" s="4">
        <v>1376</v>
      </c>
      <c r="J4414" s="4">
        <v>28966</v>
      </c>
    </row>
    <row r="4415" spans="1:10" x14ac:dyDescent="0.75">
      <c r="A4415" t="s">
        <v>151</v>
      </c>
      <c r="B4415">
        <v>2416</v>
      </c>
      <c r="C4415" t="s">
        <v>102</v>
      </c>
      <c r="D4415">
        <v>3272</v>
      </c>
      <c r="E4415" t="s">
        <v>504</v>
      </c>
      <c r="F4415" s="4">
        <v>2400</v>
      </c>
      <c r="G4415" s="4">
        <v>24461</v>
      </c>
      <c r="H4415" s="4">
        <v>21835</v>
      </c>
      <c r="I4415" s="4">
        <v>2626</v>
      </c>
      <c r="J4415" s="4">
        <v>26861</v>
      </c>
    </row>
    <row r="4416" spans="1:10" x14ac:dyDescent="0.75">
      <c r="A4416" t="s">
        <v>151</v>
      </c>
      <c r="B4416">
        <v>2416</v>
      </c>
      <c r="C4416" t="s">
        <v>102</v>
      </c>
      <c r="D4416">
        <v>3274</v>
      </c>
      <c r="E4416" t="s">
        <v>438</v>
      </c>
      <c r="F4416" s="4">
        <v>16626</v>
      </c>
      <c r="G4416" s="4">
        <v>0</v>
      </c>
      <c r="H4416" s="4">
        <v>0</v>
      </c>
      <c r="I4416" s="4">
        <v>0</v>
      </c>
      <c r="J4416" s="4">
        <v>16626</v>
      </c>
    </row>
    <row r="4417" spans="1:10" x14ac:dyDescent="0.75">
      <c r="A4417" t="s">
        <v>151</v>
      </c>
      <c r="B4417">
        <v>2416</v>
      </c>
      <c r="C4417" t="s">
        <v>102</v>
      </c>
      <c r="D4417">
        <v>6782</v>
      </c>
      <c r="E4417" t="s">
        <v>396</v>
      </c>
      <c r="F4417" s="4">
        <v>7175</v>
      </c>
      <c r="G4417" s="4">
        <v>0</v>
      </c>
      <c r="H4417" s="4">
        <v>0</v>
      </c>
      <c r="I4417" s="4">
        <v>0</v>
      </c>
      <c r="J4417" s="4">
        <v>7175</v>
      </c>
    </row>
    <row r="4418" spans="1:10" x14ac:dyDescent="0.75">
      <c r="A4418" t="s">
        <v>151</v>
      </c>
      <c r="B4418">
        <v>2416</v>
      </c>
      <c r="C4418" t="s">
        <v>102</v>
      </c>
      <c r="D4418">
        <v>7110</v>
      </c>
      <c r="E4418" t="s">
        <v>371</v>
      </c>
      <c r="F4418" s="4">
        <v>4180</v>
      </c>
      <c r="G4418" s="4">
        <v>1947</v>
      </c>
      <c r="H4418" s="4">
        <v>958</v>
      </c>
      <c r="I4418" s="4">
        <v>989</v>
      </c>
      <c r="J4418" s="4">
        <v>6127</v>
      </c>
    </row>
    <row r="4419" spans="1:10" x14ac:dyDescent="0.75">
      <c r="A4419" t="s">
        <v>151</v>
      </c>
      <c r="B4419">
        <v>2416</v>
      </c>
      <c r="C4419" t="s">
        <v>102</v>
      </c>
      <c r="D4419">
        <v>3110</v>
      </c>
      <c r="E4419" t="s">
        <v>405</v>
      </c>
      <c r="F4419" s="4">
        <v>4686</v>
      </c>
      <c r="G4419" s="4">
        <v>0</v>
      </c>
      <c r="H4419" s="4">
        <v>0</v>
      </c>
      <c r="I4419" s="4">
        <v>0</v>
      </c>
      <c r="J4419" s="4">
        <v>4686</v>
      </c>
    </row>
    <row r="4420" spans="1:10" x14ac:dyDescent="0.75">
      <c r="A4420" t="s">
        <v>151</v>
      </c>
      <c r="B4420">
        <v>2416</v>
      </c>
      <c r="C4420" t="s">
        <v>102</v>
      </c>
      <c r="D4420">
        <v>7400</v>
      </c>
      <c r="E4420" t="s">
        <v>502</v>
      </c>
      <c r="F4420" s="4">
        <v>0</v>
      </c>
      <c r="G4420" s="4">
        <v>4248</v>
      </c>
      <c r="H4420" s="4">
        <v>4248</v>
      </c>
      <c r="I4420" s="4">
        <v>0</v>
      </c>
      <c r="J4420" s="4">
        <v>4248</v>
      </c>
    </row>
    <row r="4421" spans="1:10" x14ac:dyDescent="0.75">
      <c r="A4421" t="s">
        <v>151</v>
      </c>
      <c r="B4421">
        <v>2416</v>
      </c>
      <c r="C4421" t="s">
        <v>102</v>
      </c>
      <c r="D4421">
        <v>3279</v>
      </c>
      <c r="E4421" t="s">
        <v>422</v>
      </c>
      <c r="F4421" s="4">
        <v>0</v>
      </c>
      <c r="G4421" s="4">
        <v>3826</v>
      </c>
      <c r="H4421" s="4">
        <v>1</v>
      </c>
      <c r="I4421" s="4">
        <v>3825</v>
      </c>
      <c r="J4421" s="4">
        <v>3826</v>
      </c>
    </row>
    <row r="4422" spans="1:10" x14ac:dyDescent="0.75">
      <c r="A4422" t="s">
        <v>151</v>
      </c>
      <c r="B4422">
        <v>2416</v>
      </c>
      <c r="C4422" t="s">
        <v>102</v>
      </c>
      <c r="D4422">
        <v>7120</v>
      </c>
      <c r="E4422" t="s">
        <v>499</v>
      </c>
      <c r="F4422" s="4">
        <v>0</v>
      </c>
      <c r="G4422" s="4">
        <v>3237</v>
      </c>
      <c r="H4422" s="4">
        <v>596</v>
      </c>
      <c r="I4422" s="4">
        <v>2641</v>
      </c>
      <c r="J4422" s="4">
        <v>3237</v>
      </c>
    </row>
    <row r="4423" spans="1:10" x14ac:dyDescent="0.75">
      <c r="A4423" t="s">
        <v>151</v>
      </c>
      <c r="B4423">
        <v>2416</v>
      </c>
      <c r="C4423" t="s">
        <v>102</v>
      </c>
      <c r="D4423">
        <v>5480</v>
      </c>
      <c r="E4423" t="s">
        <v>386</v>
      </c>
      <c r="F4423" s="4">
        <v>0</v>
      </c>
      <c r="G4423" s="4">
        <v>1898</v>
      </c>
      <c r="H4423" s="4">
        <v>1898</v>
      </c>
      <c r="I4423" s="4">
        <v>0</v>
      </c>
      <c r="J4423" s="4">
        <v>1898</v>
      </c>
    </row>
    <row r="4424" spans="1:10" x14ac:dyDescent="0.75">
      <c r="A4424" t="s">
        <v>151</v>
      </c>
      <c r="B4424">
        <v>2416</v>
      </c>
      <c r="C4424" t="s">
        <v>102</v>
      </c>
      <c r="D4424">
        <v>7900</v>
      </c>
      <c r="E4424" t="s">
        <v>388</v>
      </c>
      <c r="F4424" s="4">
        <v>200</v>
      </c>
      <c r="G4424" s="4">
        <v>1585</v>
      </c>
      <c r="H4424" s="4">
        <v>1427</v>
      </c>
      <c r="I4424" s="4">
        <v>158</v>
      </c>
      <c r="J4424" s="4">
        <v>1785</v>
      </c>
    </row>
    <row r="4425" spans="1:10" x14ac:dyDescent="0.75">
      <c r="A4425" t="s">
        <v>151</v>
      </c>
      <c r="B4425">
        <v>2416</v>
      </c>
      <c r="C4425" t="s">
        <v>102</v>
      </c>
      <c r="D4425">
        <v>3230</v>
      </c>
      <c r="E4425" t="s">
        <v>434</v>
      </c>
      <c r="F4425" s="4">
        <v>1678</v>
      </c>
      <c r="G4425" s="4">
        <v>0</v>
      </c>
      <c r="H4425" s="4">
        <v>0</v>
      </c>
      <c r="I4425" s="4">
        <v>0</v>
      </c>
      <c r="J4425" s="4">
        <v>1678</v>
      </c>
    </row>
    <row r="4426" spans="1:10" x14ac:dyDescent="0.75">
      <c r="A4426" t="s">
        <v>151</v>
      </c>
      <c r="B4426">
        <v>2416</v>
      </c>
      <c r="C4426" t="s">
        <v>102</v>
      </c>
      <c r="D4426">
        <v>4420</v>
      </c>
      <c r="E4426" t="s">
        <v>381</v>
      </c>
      <c r="F4426" s="4">
        <v>1500</v>
      </c>
      <c r="G4426" s="4">
        <v>0</v>
      </c>
      <c r="H4426" s="4">
        <v>0</v>
      </c>
      <c r="I4426" s="4">
        <v>0</v>
      </c>
      <c r="J4426" s="4">
        <v>1500</v>
      </c>
    </row>
    <row r="4427" spans="1:10" x14ac:dyDescent="0.75">
      <c r="A4427" t="s">
        <v>151</v>
      </c>
      <c r="B4427">
        <v>2416</v>
      </c>
      <c r="C4427" t="s">
        <v>102</v>
      </c>
      <c r="D4427">
        <v>7230</v>
      </c>
      <c r="E4427" t="s">
        <v>387</v>
      </c>
      <c r="F4427" s="4">
        <v>0</v>
      </c>
      <c r="G4427" s="4">
        <v>935</v>
      </c>
      <c r="H4427" s="4">
        <v>785</v>
      </c>
      <c r="I4427" s="4">
        <v>150</v>
      </c>
      <c r="J4427" s="4">
        <v>935</v>
      </c>
    </row>
    <row r="4428" spans="1:10" x14ac:dyDescent="0.75">
      <c r="A4428" t="s">
        <v>151</v>
      </c>
      <c r="B4428">
        <v>2416</v>
      </c>
      <c r="C4428" t="s">
        <v>102</v>
      </c>
      <c r="D4428">
        <v>8900</v>
      </c>
      <c r="E4428" t="s">
        <v>506</v>
      </c>
      <c r="F4428" s="4">
        <v>657</v>
      </c>
      <c r="G4428" s="4">
        <v>0</v>
      </c>
      <c r="H4428" s="4">
        <v>0</v>
      </c>
      <c r="I4428" s="4">
        <v>0</v>
      </c>
      <c r="J4428" s="4">
        <v>657</v>
      </c>
    </row>
    <row r="4429" spans="1:10" x14ac:dyDescent="0.75">
      <c r="A4429" t="s">
        <v>151</v>
      </c>
      <c r="B4429">
        <v>2416</v>
      </c>
      <c r="C4429" t="s">
        <v>102</v>
      </c>
      <c r="D4429">
        <v>7600</v>
      </c>
      <c r="E4429" t="s">
        <v>503</v>
      </c>
      <c r="F4429" s="4">
        <v>0</v>
      </c>
      <c r="G4429" s="4">
        <v>445</v>
      </c>
      <c r="H4429" s="4">
        <v>445</v>
      </c>
      <c r="I4429" s="4">
        <v>0</v>
      </c>
      <c r="J4429" s="4">
        <v>445</v>
      </c>
    </row>
    <row r="4430" spans="1:10" x14ac:dyDescent="0.75">
      <c r="A4430" t="s">
        <v>151</v>
      </c>
      <c r="B4430">
        <v>2416</v>
      </c>
      <c r="C4430" t="s">
        <v>102</v>
      </c>
      <c r="D4430">
        <v>7500</v>
      </c>
      <c r="E4430" t="s">
        <v>427</v>
      </c>
      <c r="F4430" s="4">
        <v>0</v>
      </c>
      <c r="G4430" s="4">
        <v>440</v>
      </c>
      <c r="H4430" s="4">
        <v>106</v>
      </c>
      <c r="I4430" s="4">
        <v>334</v>
      </c>
      <c r="J4430" s="4">
        <v>440</v>
      </c>
    </row>
    <row r="4431" spans="1:10" x14ac:dyDescent="0.75">
      <c r="A4431" t="s">
        <v>151</v>
      </c>
      <c r="B4431">
        <v>2416</v>
      </c>
      <c r="C4431" t="s">
        <v>102</v>
      </c>
      <c r="D4431">
        <v>5370</v>
      </c>
      <c r="E4431" t="s">
        <v>466</v>
      </c>
      <c r="F4431" s="4">
        <v>410</v>
      </c>
      <c r="G4431" s="4">
        <v>0</v>
      </c>
      <c r="H4431" s="4">
        <v>0</v>
      </c>
      <c r="I4431" s="4">
        <v>0</v>
      </c>
      <c r="J4431" s="4">
        <v>410</v>
      </c>
    </row>
    <row r="4432" spans="1:10" x14ac:dyDescent="0.75">
      <c r="A4432" t="s">
        <v>151</v>
      </c>
      <c r="B4432">
        <v>2416</v>
      </c>
      <c r="C4432" t="s">
        <v>102</v>
      </c>
      <c r="D4432">
        <v>6888</v>
      </c>
      <c r="E4432" t="s">
        <v>494</v>
      </c>
      <c r="F4432" s="4">
        <v>0</v>
      </c>
      <c r="G4432" s="4">
        <v>226</v>
      </c>
      <c r="H4432" s="4">
        <v>226</v>
      </c>
      <c r="I4432" s="4">
        <v>0</v>
      </c>
      <c r="J4432" s="4">
        <v>226</v>
      </c>
    </row>
    <row r="4433" spans="1:10" x14ac:dyDescent="0.75">
      <c r="A4433" t="s">
        <v>151</v>
      </c>
      <c r="B4433">
        <v>2416</v>
      </c>
      <c r="C4433" t="s">
        <v>102</v>
      </c>
      <c r="D4433">
        <v>3286</v>
      </c>
      <c r="E4433" t="s">
        <v>423</v>
      </c>
      <c r="F4433" s="4">
        <v>0</v>
      </c>
      <c r="G4433" s="4">
        <v>155</v>
      </c>
      <c r="H4433" s="4">
        <v>0</v>
      </c>
      <c r="I4433" s="4">
        <v>155</v>
      </c>
      <c r="J4433" s="4">
        <v>155</v>
      </c>
    </row>
    <row r="4434" spans="1:10" x14ac:dyDescent="0.75">
      <c r="A4434" t="s">
        <v>151</v>
      </c>
      <c r="B4434">
        <v>2416</v>
      </c>
      <c r="C4434" t="s">
        <v>102</v>
      </c>
      <c r="D4434">
        <v>7220</v>
      </c>
      <c r="E4434" t="s">
        <v>500</v>
      </c>
      <c r="F4434" s="4">
        <v>0</v>
      </c>
      <c r="G4434" s="4">
        <v>71</v>
      </c>
      <c r="H4434" s="4">
        <v>30</v>
      </c>
      <c r="I4434" s="4">
        <v>41</v>
      </c>
      <c r="J4434" s="4">
        <v>71</v>
      </c>
    </row>
    <row r="4435" spans="1:10" x14ac:dyDescent="0.75">
      <c r="A4435" t="s">
        <v>151</v>
      </c>
      <c r="B4435">
        <v>2416</v>
      </c>
      <c r="C4435" t="s">
        <v>102</v>
      </c>
      <c r="D4435">
        <v>4650</v>
      </c>
      <c r="E4435" t="s">
        <v>457</v>
      </c>
      <c r="F4435" s="4">
        <v>0</v>
      </c>
      <c r="G4435" s="4">
        <v>54</v>
      </c>
      <c r="H4435" s="4">
        <v>54</v>
      </c>
      <c r="I4435" s="4">
        <v>0</v>
      </c>
      <c r="J4435" s="4">
        <v>54</v>
      </c>
    </row>
    <row r="4436" spans="1:10" x14ac:dyDescent="0.75">
      <c r="A4436" t="s">
        <v>151</v>
      </c>
      <c r="B4436">
        <v>2416</v>
      </c>
      <c r="C4436" t="s">
        <v>102</v>
      </c>
      <c r="D4436">
        <v>6889</v>
      </c>
      <c r="E4436" t="s">
        <v>420</v>
      </c>
      <c r="F4436" s="4">
        <v>0</v>
      </c>
      <c r="G4436" s="4">
        <v>32</v>
      </c>
      <c r="H4436" s="4">
        <v>32</v>
      </c>
      <c r="I4436" s="4">
        <v>0</v>
      </c>
      <c r="J4436" s="4">
        <v>32</v>
      </c>
    </row>
    <row r="4437" spans="1:10" x14ac:dyDescent="0.75">
      <c r="A4437" t="s">
        <v>151</v>
      </c>
      <c r="B4437">
        <v>2416</v>
      </c>
      <c r="C4437" t="s">
        <v>102</v>
      </c>
      <c r="D4437">
        <v>6653</v>
      </c>
      <c r="E4437" t="s">
        <v>395</v>
      </c>
      <c r="F4437" s="4">
        <v>0</v>
      </c>
      <c r="G4437" s="4">
        <v>20</v>
      </c>
      <c r="H4437" s="4">
        <v>0</v>
      </c>
      <c r="I4437" s="4">
        <v>20</v>
      </c>
      <c r="J4437" s="4">
        <v>20</v>
      </c>
    </row>
    <row r="4438" spans="1:10" x14ac:dyDescent="0.75">
      <c r="A4438" t="s">
        <v>151</v>
      </c>
      <c r="B4438">
        <v>2416</v>
      </c>
      <c r="C4438" t="s">
        <v>102</v>
      </c>
      <c r="D4438">
        <v>6654</v>
      </c>
      <c r="E4438" t="s">
        <v>419</v>
      </c>
      <c r="F4438" s="4">
        <v>0</v>
      </c>
      <c r="G4438" s="4">
        <v>20</v>
      </c>
      <c r="H4438" s="4">
        <v>16</v>
      </c>
      <c r="I4438" s="4">
        <v>4</v>
      </c>
      <c r="J4438" s="4">
        <v>20</v>
      </c>
    </row>
    <row r="4439" spans="1:10" x14ac:dyDescent="0.75">
      <c r="A4439" t="s">
        <v>151</v>
      </c>
      <c r="B4439">
        <v>2416</v>
      </c>
      <c r="C4439" t="s">
        <v>102</v>
      </c>
      <c r="D4439">
        <v>6241</v>
      </c>
      <c r="E4439" t="s">
        <v>391</v>
      </c>
      <c r="F4439" s="4">
        <v>0</v>
      </c>
      <c r="G4439" s="4">
        <v>16</v>
      </c>
      <c r="H4439" s="4">
        <v>16</v>
      </c>
      <c r="I4439" s="4">
        <v>0</v>
      </c>
      <c r="J4439" s="4">
        <v>16</v>
      </c>
    </row>
    <row r="4440" spans="1:10" x14ac:dyDescent="0.75">
      <c r="A4440" t="s">
        <v>151</v>
      </c>
      <c r="B4440">
        <v>2416</v>
      </c>
      <c r="C4440" t="s">
        <v>102</v>
      </c>
      <c r="D4440">
        <v>6885</v>
      </c>
      <c r="E4440" t="s">
        <v>493</v>
      </c>
      <c r="F4440" s="4">
        <v>0</v>
      </c>
      <c r="G4440" s="4">
        <v>16</v>
      </c>
      <c r="H4440" s="4">
        <v>16</v>
      </c>
      <c r="I4440" s="4">
        <v>0</v>
      </c>
      <c r="J4440" s="4">
        <v>16</v>
      </c>
    </row>
    <row r="4441" spans="1:10" x14ac:dyDescent="0.75">
      <c r="A4441" t="s">
        <v>151</v>
      </c>
      <c r="B4441">
        <v>2416</v>
      </c>
      <c r="C4441" t="s">
        <v>102</v>
      </c>
      <c r="D4441">
        <v>7300</v>
      </c>
      <c r="E4441" t="s">
        <v>501</v>
      </c>
      <c r="F4441" s="4">
        <v>0</v>
      </c>
      <c r="G4441" s="4">
        <v>10</v>
      </c>
      <c r="H4441" s="4">
        <v>10</v>
      </c>
      <c r="I4441" s="4">
        <v>0</v>
      </c>
      <c r="J4441" s="4">
        <v>10</v>
      </c>
    </row>
    <row r="4442" spans="1:10" x14ac:dyDescent="0.75">
      <c r="A4442" t="s">
        <v>151</v>
      </c>
      <c r="B4442">
        <v>2416</v>
      </c>
      <c r="C4442" t="s">
        <v>102</v>
      </c>
      <c r="D4442">
        <v>3275</v>
      </c>
      <c r="E4442" t="s">
        <v>412</v>
      </c>
      <c r="F4442" s="4">
        <v>0</v>
      </c>
      <c r="G4442" s="4">
        <v>9</v>
      </c>
      <c r="H4442" s="4">
        <v>9</v>
      </c>
      <c r="I4442" s="4">
        <v>0</v>
      </c>
      <c r="J4442" s="4">
        <v>9</v>
      </c>
    </row>
    <row r="4443" spans="1:10" x14ac:dyDescent="0.75">
      <c r="A4443" t="s">
        <v>151</v>
      </c>
      <c r="B4443">
        <v>2416</v>
      </c>
      <c r="C4443" t="s">
        <v>102</v>
      </c>
      <c r="D4443">
        <v>3285</v>
      </c>
      <c r="E4443" t="s">
        <v>443</v>
      </c>
      <c r="F4443" s="4">
        <v>0</v>
      </c>
      <c r="G4443" s="4">
        <v>3</v>
      </c>
      <c r="H4443" s="4">
        <v>3</v>
      </c>
      <c r="I4443" s="4">
        <v>0</v>
      </c>
      <c r="J4443" s="4">
        <v>3</v>
      </c>
    </row>
    <row r="4444" spans="1:10" x14ac:dyDescent="0.75">
      <c r="A4444" t="s">
        <v>151</v>
      </c>
      <c r="B4444">
        <v>2416</v>
      </c>
      <c r="C4444" t="s">
        <v>102</v>
      </c>
      <c r="D4444">
        <v>6857</v>
      </c>
      <c r="E4444" t="s">
        <v>487</v>
      </c>
      <c r="F4444" s="4">
        <v>0</v>
      </c>
      <c r="G4444" s="4">
        <v>2</v>
      </c>
      <c r="H4444" s="4">
        <v>2</v>
      </c>
      <c r="I4444" s="4">
        <v>0</v>
      </c>
      <c r="J4444" s="4">
        <v>2</v>
      </c>
    </row>
    <row r="4445" spans="1:10" x14ac:dyDescent="0.75">
      <c r="A4445" t="s">
        <v>151</v>
      </c>
      <c r="B4445">
        <v>2257</v>
      </c>
      <c r="C4445" t="s">
        <v>295</v>
      </c>
      <c r="D4445">
        <v>3220</v>
      </c>
      <c r="E4445" t="s">
        <v>370</v>
      </c>
      <c r="F4445" s="4">
        <v>109018</v>
      </c>
      <c r="G4445" s="4">
        <v>0</v>
      </c>
      <c r="H4445" s="4">
        <v>0</v>
      </c>
      <c r="I4445" s="4">
        <v>0</v>
      </c>
      <c r="J4445" s="4">
        <v>109018</v>
      </c>
    </row>
    <row r="4446" spans="1:10" x14ac:dyDescent="0.75">
      <c r="A4446" t="s">
        <v>151</v>
      </c>
      <c r="B4446">
        <v>2257</v>
      </c>
      <c r="C4446" t="s">
        <v>295</v>
      </c>
      <c r="D4446">
        <v>3219</v>
      </c>
      <c r="E4446" t="s">
        <v>378</v>
      </c>
      <c r="F4446" s="4">
        <v>74143</v>
      </c>
      <c r="G4446" s="4">
        <v>0</v>
      </c>
      <c r="H4446" s="4">
        <v>0</v>
      </c>
      <c r="I4446" s="4">
        <v>0</v>
      </c>
      <c r="J4446" s="4">
        <v>74143</v>
      </c>
    </row>
    <row r="4447" spans="1:10" x14ac:dyDescent="0.75">
      <c r="A4447" t="s">
        <v>151</v>
      </c>
      <c r="B4447">
        <v>2257</v>
      </c>
      <c r="C4447" t="s">
        <v>295</v>
      </c>
      <c r="D4447">
        <v>1100</v>
      </c>
      <c r="E4447" t="s">
        <v>397</v>
      </c>
      <c r="F4447" s="4">
        <v>71286</v>
      </c>
      <c r="G4447" s="4">
        <v>0</v>
      </c>
      <c r="H4447" s="4">
        <v>0</v>
      </c>
      <c r="I4447" s="4">
        <v>0</v>
      </c>
      <c r="J4447" s="4">
        <v>71286</v>
      </c>
    </row>
    <row r="4448" spans="1:10" x14ac:dyDescent="0.75">
      <c r="A4448" t="s">
        <v>151</v>
      </c>
      <c r="B4448">
        <v>2257</v>
      </c>
      <c r="C4448" t="s">
        <v>295</v>
      </c>
      <c r="D4448">
        <v>3240</v>
      </c>
      <c r="E4448" t="s">
        <v>410</v>
      </c>
      <c r="F4448" s="4">
        <v>18000</v>
      </c>
      <c r="G4448" s="4">
        <v>0</v>
      </c>
      <c r="H4448" s="4">
        <v>0</v>
      </c>
      <c r="I4448" s="4">
        <v>0</v>
      </c>
      <c r="J4448" s="4">
        <v>18000</v>
      </c>
    </row>
    <row r="4449" spans="1:10" x14ac:dyDescent="0.75">
      <c r="A4449" t="s">
        <v>151</v>
      </c>
      <c r="B4449">
        <v>2257</v>
      </c>
      <c r="C4449" t="s">
        <v>295</v>
      </c>
      <c r="D4449">
        <v>5330</v>
      </c>
      <c r="E4449" t="s">
        <v>385</v>
      </c>
      <c r="F4449" s="4">
        <v>7388</v>
      </c>
      <c r="G4449" s="4">
        <v>0</v>
      </c>
      <c r="H4449" s="4">
        <v>0</v>
      </c>
      <c r="I4449" s="4">
        <v>0</v>
      </c>
      <c r="J4449" s="4">
        <v>7388</v>
      </c>
    </row>
    <row r="4450" spans="1:10" x14ac:dyDescent="0.75">
      <c r="A4450" t="s">
        <v>151</v>
      </c>
      <c r="B4450">
        <v>1911</v>
      </c>
      <c r="C4450" t="s">
        <v>26</v>
      </c>
      <c r="D4450">
        <v>2211</v>
      </c>
      <c r="E4450" t="s">
        <v>367</v>
      </c>
      <c r="F4450" s="4">
        <v>6557560</v>
      </c>
      <c r="G4450" s="4">
        <v>1330540</v>
      </c>
      <c r="H4450" s="4">
        <v>1319884</v>
      </c>
      <c r="I4450" s="4">
        <v>10656</v>
      </c>
      <c r="J4450" s="4">
        <v>7888100</v>
      </c>
    </row>
    <row r="4451" spans="1:10" x14ac:dyDescent="0.75">
      <c r="A4451" t="s">
        <v>151</v>
      </c>
      <c r="B4451">
        <v>1911</v>
      </c>
      <c r="C4451" t="s">
        <v>26</v>
      </c>
      <c r="D4451">
        <v>2221</v>
      </c>
      <c r="E4451" t="s">
        <v>374</v>
      </c>
      <c r="F4451" s="4">
        <v>2356960</v>
      </c>
      <c r="G4451" s="4">
        <v>1363582</v>
      </c>
      <c r="H4451" s="4">
        <v>1351936</v>
      </c>
      <c r="I4451" s="4">
        <v>11646</v>
      </c>
      <c r="J4451" s="4">
        <v>3720542</v>
      </c>
    </row>
    <row r="4452" spans="1:10" x14ac:dyDescent="0.75">
      <c r="A4452" t="s">
        <v>151</v>
      </c>
      <c r="B4452">
        <v>1911</v>
      </c>
      <c r="C4452" t="s">
        <v>26</v>
      </c>
      <c r="D4452">
        <v>2330</v>
      </c>
      <c r="E4452" t="s">
        <v>368</v>
      </c>
      <c r="F4452" s="4">
        <v>2141412</v>
      </c>
      <c r="G4452" s="4">
        <v>379775</v>
      </c>
      <c r="H4452" s="4">
        <v>323892</v>
      </c>
      <c r="I4452" s="4">
        <v>55883</v>
      </c>
      <c r="J4452" s="4">
        <v>2521187</v>
      </c>
    </row>
    <row r="4453" spans="1:10" x14ac:dyDescent="0.75">
      <c r="A4453" t="s">
        <v>151</v>
      </c>
      <c r="B4453">
        <v>1911</v>
      </c>
      <c r="C4453" t="s">
        <v>26</v>
      </c>
      <c r="D4453">
        <v>5220</v>
      </c>
      <c r="E4453" t="s">
        <v>401</v>
      </c>
      <c r="F4453" s="4">
        <v>0</v>
      </c>
      <c r="G4453" s="4">
        <v>1118693</v>
      </c>
      <c r="H4453" s="4">
        <v>1081248</v>
      </c>
      <c r="I4453" s="4">
        <v>37445</v>
      </c>
      <c r="J4453" s="4">
        <v>1118693</v>
      </c>
    </row>
    <row r="4454" spans="1:10" x14ac:dyDescent="0.75">
      <c r="A4454" t="s">
        <v>151</v>
      </c>
      <c r="B4454">
        <v>1911</v>
      </c>
      <c r="C4454" t="s">
        <v>26</v>
      </c>
      <c r="D4454">
        <v>7900</v>
      </c>
      <c r="E4454" t="s">
        <v>388</v>
      </c>
      <c r="F4454" s="4">
        <v>0</v>
      </c>
      <c r="G4454" s="4">
        <v>812847</v>
      </c>
      <c r="H4454" s="4">
        <v>379187</v>
      </c>
      <c r="I4454" s="4">
        <v>433660</v>
      </c>
      <c r="J4454" s="4">
        <v>812847</v>
      </c>
    </row>
    <row r="4455" spans="1:10" x14ac:dyDescent="0.75">
      <c r="A4455" t="s">
        <v>151</v>
      </c>
      <c r="B4455">
        <v>1911</v>
      </c>
      <c r="C4455" t="s">
        <v>26</v>
      </c>
      <c r="D4455">
        <v>5290</v>
      </c>
      <c r="E4455" t="s">
        <v>415</v>
      </c>
      <c r="F4455" s="4">
        <v>0</v>
      </c>
      <c r="G4455" s="4">
        <v>795155</v>
      </c>
      <c r="H4455" s="4">
        <v>759426</v>
      </c>
      <c r="I4455" s="4">
        <v>35729</v>
      </c>
      <c r="J4455" s="4">
        <v>795155</v>
      </c>
    </row>
    <row r="4456" spans="1:10" x14ac:dyDescent="0.75">
      <c r="A4456" t="s">
        <v>151</v>
      </c>
      <c r="B4456">
        <v>1911</v>
      </c>
      <c r="C4456" t="s">
        <v>26</v>
      </c>
      <c r="D4456">
        <v>7500</v>
      </c>
      <c r="E4456" t="s">
        <v>427</v>
      </c>
      <c r="F4456" s="4">
        <v>0</v>
      </c>
      <c r="G4456" s="4">
        <v>595529</v>
      </c>
      <c r="H4456" s="4">
        <v>278954</v>
      </c>
      <c r="I4456" s="4">
        <v>316575</v>
      </c>
      <c r="J4456" s="4">
        <v>595529</v>
      </c>
    </row>
    <row r="4457" spans="1:10" x14ac:dyDescent="0.75">
      <c r="A4457" t="s">
        <v>151</v>
      </c>
      <c r="B4457">
        <v>1911</v>
      </c>
      <c r="C4457" t="s">
        <v>26</v>
      </c>
      <c r="D4457">
        <v>6857</v>
      </c>
      <c r="E4457" t="s">
        <v>487</v>
      </c>
      <c r="F4457" s="4">
        <v>0</v>
      </c>
      <c r="G4457" s="4">
        <v>422170</v>
      </c>
      <c r="H4457" s="4">
        <v>412290</v>
      </c>
      <c r="I4457" s="4">
        <v>9880</v>
      </c>
      <c r="J4457" s="4">
        <v>422170</v>
      </c>
    </row>
    <row r="4458" spans="1:10" x14ac:dyDescent="0.75">
      <c r="A4458" t="s">
        <v>151</v>
      </c>
      <c r="B4458">
        <v>1911</v>
      </c>
      <c r="C4458" t="s">
        <v>26</v>
      </c>
      <c r="D4458">
        <v>6856</v>
      </c>
      <c r="E4458" t="s">
        <v>486</v>
      </c>
      <c r="F4458" s="4">
        <v>0</v>
      </c>
      <c r="G4458" s="4">
        <v>309922</v>
      </c>
      <c r="H4458" s="4">
        <v>305186</v>
      </c>
      <c r="I4458" s="4">
        <v>4736</v>
      </c>
      <c r="J4458" s="4">
        <v>309922</v>
      </c>
    </row>
    <row r="4459" spans="1:10" x14ac:dyDescent="0.75">
      <c r="A4459" t="s">
        <v>151</v>
      </c>
      <c r="B4459">
        <v>1911</v>
      </c>
      <c r="C4459" t="s">
        <v>26</v>
      </c>
      <c r="D4459">
        <v>6654</v>
      </c>
      <c r="E4459" t="s">
        <v>419</v>
      </c>
      <c r="F4459" s="4">
        <v>0</v>
      </c>
      <c r="G4459" s="4">
        <v>285926</v>
      </c>
      <c r="H4459" s="4">
        <v>239570</v>
      </c>
      <c r="I4459" s="4">
        <v>46356</v>
      </c>
      <c r="J4459" s="4">
        <v>285926</v>
      </c>
    </row>
    <row r="4460" spans="1:10" x14ac:dyDescent="0.75">
      <c r="A4460" t="s">
        <v>151</v>
      </c>
      <c r="B4460">
        <v>1911</v>
      </c>
      <c r="C4460" t="s">
        <v>26</v>
      </c>
      <c r="D4460">
        <v>7210</v>
      </c>
      <c r="E4460" t="s">
        <v>426</v>
      </c>
      <c r="F4460" s="4">
        <v>0</v>
      </c>
      <c r="G4460" s="4">
        <v>278015</v>
      </c>
      <c r="H4460" s="4">
        <v>46906</v>
      </c>
      <c r="I4460" s="4">
        <v>231109</v>
      </c>
      <c r="J4460" s="4">
        <v>278015</v>
      </c>
    </row>
    <row r="4461" spans="1:10" x14ac:dyDescent="0.75">
      <c r="A4461" t="s">
        <v>151</v>
      </c>
      <c r="B4461">
        <v>1911</v>
      </c>
      <c r="C4461" t="s">
        <v>26</v>
      </c>
      <c r="D4461">
        <v>6885</v>
      </c>
      <c r="E4461" t="s">
        <v>493</v>
      </c>
      <c r="F4461" s="4">
        <v>0</v>
      </c>
      <c r="G4461" s="4">
        <v>262451</v>
      </c>
      <c r="H4461" s="4">
        <v>233378</v>
      </c>
      <c r="I4461" s="4">
        <v>29073</v>
      </c>
      <c r="J4461" s="4">
        <v>262451</v>
      </c>
    </row>
    <row r="4462" spans="1:10" x14ac:dyDescent="0.75">
      <c r="A4462" t="s">
        <v>151</v>
      </c>
      <c r="B4462">
        <v>1911</v>
      </c>
      <c r="C4462" t="s">
        <v>26</v>
      </c>
      <c r="D4462">
        <v>6889</v>
      </c>
      <c r="E4462" t="s">
        <v>420</v>
      </c>
      <c r="F4462" s="4">
        <v>0</v>
      </c>
      <c r="G4462" s="4">
        <v>260001</v>
      </c>
      <c r="H4462" s="4">
        <v>85045</v>
      </c>
      <c r="I4462" s="4">
        <v>174956</v>
      </c>
      <c r="J4462" s="4">
        <v>260001</v>
      </c>
    </row>
    <row r="4463" spans="1:10" x14ac:dyDescent="0.75">
      <c r="A4463" t="s">
        <v>151</v>
      </c>
      <c r="B4463">
        <v>1911</v>
      </c>
      <c r="C4463" t="s">
        <v>26</v>
      </c>
      <c r="D4463">
        <v>4860</v>
      </c>
      <c r="E4463" t="s">
        <v>400</v>
      </c>
      <c r="F4463" s="4">
        <v>0</v>
      </c>
      <c r="G4463" s="4">
        <v>240486</v>
      </c>
      <c r="H4463" s="4">
        <v>240484</v>
      </c>
      <c r="I4463" s="4">
        <v>2</v>
      </c>
      <c r="J4463" s="4">
        <v>240486</v>
      </c>
    </row>
    <row r="4464" spans="1:10" x14ac:dyDescent="0.75">
      <c r="A4464" t="s">
        <v>151</v>
      </c>
      <c r="B4464">
        <v>1911</v>
      </c>
      <c r="C4464" t="s">
        <v>26</v>
      </c>
      <c r="D4464">
        <v>2340</v>
      </c>
      <c r="E4464" t="s">
        <v>369</v>
      </c>
      <c r="F4464" s="4">
        <v>150384</v>
      </c>
      <c r="G4464" s="4">
        <v>79873</v>
      </c>
      <c r="H4464" s="4">
        <v>79873</v>
      </c>
      <c r="I4464" s="4">
        <v>0</v>
      </c>
      <c r="J4464" s="4">
        <v>230257</v>
      </c>
    </row>
    <row r="4465" spans="1:10" x14ac:dyDescent="0.75">
      <c r="A4465" t="s">
        <v>151</v>
      </c>
      <c r="B4465">
        <v>1911</v>
      </c>
      <c r="C4465" t="s">
        <v>26</v>
      </c>
      <c r="D4465">
        <v>5540</v>
      </c>
      <c r="E4465" t="s">
        <v>469</v>
      </c>
      <c r="F4465" s="4">
        <v>0</v>
      </c>
      <c r="G4465" s="4">
        <v>220744</v>
      </c>
      <c r="H4465" s="4">
        <v>195501</v>
      </c>
      <c r="I4465" s="4">
        <v>25243</v>
      </c>
      <c r="J4465" s="4">
        <v>220744</v>
      </c>
    </row>
    <row r="4466" spans="1:10" x14ac:dyDescent="0.75">
      <c r="A4466" t="s">
        <v>151</v>
      </c>
      <c r="B4466">
        <v>1911</v>
      </c>
      <c r="C4466" t="s">
        <v>26</v>
      </c>
      <c r="D4466">
        <v>9900</v>
      </c>
      <c r="E4466" t="s">
        <v>389</v>
      </c>
      <c r="F4466" s="4">
        <v>0</v>
      </c>
      <c r="G4466" s="4">
        <v>206385</v>
      </c>
      <c r="H4466" s="4">
        <v>52910</v>
      </c>
      <c r="I4466" s="4">
        <v>153475</v>
      </c>
      <c r="J4466" s="4">
        <v>206385</v>
      </c>
    </row>
    <row r="4467" spans="1:10" x14ac:dyDescent="0.75">
      <c r="A4467" t="s">
        <v>151</v>
      </c>
      <c r="B4467">
        <v>1911</v>
      </c>
      <c r="C4467" t="s">
        <v>26</v>
      </c>
      <c r="D4467">
        <v>3220</v>
      </c>
      <c r="E4467" t="s">
        <v>370</v>
      </c>
      <c r="F4467" s="4">
        <v>157699</v>
      </c>
      <c r="G4467" s="4">
        <v>48143</v>
      </c>
      <c r="H4467" s="4">
        <v>2705</v>
      </c>
      <c r="I4467" s="4">
        <v>45438</v>
      </c>
      <c r="J4467" s="4">
        <v>205842</v>
      </c>
    </row>
    <row r="4468" spans="1:10" x14ac:dyDescent="0.75">
      <c r="A4468" t="s">
        <v>151</v>
      </c>
      <c r="B4468">
        <v>1911</v>
      </c>
      <c r="C4468" t="s">
        <v>26</v>
      </c>
      <c r="D4468">
        <v>5480</v>
      </c>
      <c r="E4468" t="s">
        <v>386</v>
      </c>
      <c r="F4468" s="4">
        <v>0</v>
      </c>
      <c r="G4468" s="4">
        <v>204688</v>
      </c>
      <c r="H4468" s="4">
        <v>95435</v>
      </c>
      <c r="I4468" s="4">
        <v>109253</v>
      </c>
      <c r="J4468" s="4">
        <v>204688</v>
      </c>
    </row>
    <row r="4469" spans="1:10" x14ac:dyDescent="0.75">
      <c r="A4469" t="s">
        <v>151</v>
      </c>
      <c r="B4469">
        <v>1911</v>
      </c>
      <c r="C4469" t="s">
        <v>26</v>
      </c>
      <c r="D4469">
        <v>6858</v>
      </c>
      <c r="E4469" t="s">
        <v>488</v>
      </c>
      <c r="F4469" s="4">
        <v>0</v>
      </c>
      <c r="G4469" s="4">
        <v>199459</v>
      </c>
      <c r="H4469" s="4">
        <v>151186</v>
      </c>
      <c r="I4469" s="4">
        <v>48273</v>
      </c>
      <c r="J4469" s="4">
        <v>199459</v>
      </c>
    </row>
    <row r="4470" spans="1:10" x14ac:dyDescent="0.75">
      <c r="A4470" t="s">
        <v>151</v>
      </c>
      <c r="B4470">
        <v>1911</v>
      </c>
      <c r="C4470" t="s">
        <v>26</v>
      </c>
      <c r="D4470">
        <v>5120</v>
      </c>
      <c r="E4470" t="s">
        <v>461</v>
      </c>
      <c r="F4470" s="4">
        <v>0</v>
      </c>
      <c r="G4470" s="4">
        <v>190833</v>
      </c>
      <c r="H4470" s="4">
        <v>103354</v>
      </c>
      <c r="I4470" s="4">
        <v>87479</v>
      </c>
      <c r="J4470" s="4">
        <v>190833</v>
      </c>
    </row>
    <row r="4471" spans="1:10" x14ac:dyDescent="0.75">
      <c r="A4471" t="s">
        <v>151</v>
      </c>
      <c r="B4471">
        <v>1911</v>
      </c>
      <c r="C4471" t="s">
        <v>26</v>
      </c>
      <c r="D4471">
        <v>5360</v>
      </c>
      <c r="E4471" t="s">
        <v>465</v>
      </c>
      <c r="F4471" s="4">
        <v>0</v>
      </c>
      <c r="G4471" s="4">
        <v>176898</v>
      </c>
      <c r="H4471" s="4">
        <v>135566</v>
      </c>
      <c r="I4471" s="4">
        <v>41332</v>
      </c>
      <c r="J4471" s="4">
        <v>176898</v>
      </c>
    </row>
    <row r="4472" spans="1:10" x14ac:dyDescent="0.75">
      <c r="A4472" t="s">
        <v>151</v>
      </c>
      <c r="B4472">
        <v>1911</v>
      </c>
      <c r="C4472" t="s">
        <v>26</v>
      </c>
      <c r="D4472">
        <v>7600</v>
      </c>
      <c r="E4472" t="s">
        <v>503</v>
      </c>
      <c r="F4472" s="4">
        <v>0</v>
      </c>
      <c r="G4472" s="4">
        <v>156488</v>
      </c>
      <c r="H4472" s="4">
        <v>58937</v>
      </c>
      <c r="I4472" s="4">
        <v>97551</v>
      </c>
      <c r="J4472" s="4">
        <v>156488</v>
      </c>
    </row>
    <row r="4473" spans="1:10" x14ac:dyDescent="0.75">
      <c r="A4473" t="s">
        <v>151</v>
      </c>
      <c r="B4473">
        <v>1911</v>
      </c>
      <c r="C4473" t="s">
        <v>26</v>
      </c>
      <c r="D4473">
        <v>7110</v>
      </c>
      <c r="E4473" t="s">
        <v>371</v>
      </c>
      <c r="F4473" s="4">
        <v>0</v>
      </c>
      <c r="G4473" s="4">
        <v>155900</v>
      </c>
      <c r="H4473" s="4">
        <v>36627</v>
      </c>
      <c r="I4473" s="4">
        <v>119273</v>
      </c>
      <c r="J4473" s="4">
        <v>155900</v>
      </c>
    </row>
    <row r="4474" spans="1:10" x14ac:dyDescent="0.75">
      <c r="A4474" t="s">
        <v>151</v>
      </c>
      <c r="B4474">
        <v>1911</v>
      </c>
      <c r="C4474" t="s">
        <v>26</v>
      </c>
      <c r="D4474">
        <v>6811</v>
      </c>
      <c r="E4474" t="s">
        <v>480</v>
      </c>
      <c r="F4474" s="4">
        <v>0</v>
      </c>
      <c r="G4474" s="4">
        <v>121216</v>
      </c>
      <c r="H4474" s="4">
        <v>34408</v>
      </c>
      <c r="I4474" s="4">
        <v>86808</v>
      </c>
      <c r="J4474" s="4">
        <v>121216</v>
      </c>
    </row>
    <row r="4475" spans="1:10" x14ac:dyDescent="0.75">
      <c r="A4475" t="s">
        <v>151</v>
      </c>
      <c r="B4475">
        <v>1911</v>
      </c>
      <c r="C4475" t="s">
        <v>26</v>
      </c>
      <c r="D4475">
        <v>2430</v>
      </c>
      <c r="E4475" t="s">
        <v>376</v>
      </c>
      <c r="F4475" s="4">
        <v>117766</v>
      </c>
      <c r="G4475" s="4">
        <v>2751</v>
      </c>
      <c r="H4475" s="4">
        <v>1</v>
      </c>
      <c r="I4475" s="4">
        <v>2750</v>
      </c>
      <c r="J4475" s="4">
        <v>120517</v>
      </c>
    </row>
    <row r="4476" spans="1:10" x14ac:dyDescent="0.75">
      <c r="A4476" t="s">
        <v>151</v>
      </c>
      <c r="B4476">
        <v>1911</v>
      </c>
      <c r="C4476" t="s">
        <v>26</v>
      </c>
      <c r="D4476">
        <v>3286</v>
      </c>
      <c r="E4476" t="s">
        <v>423</v>
      </c>
      <c r="F4476" s="4">
        <v>0</v>
      </c>
      <c r="G4476" s="4">
        <v>117978</v>
      </c>
      <c r="H4476" s="4">
        <v>94209</v>
      </c>
      <c r="I4476" s="4">
        <v>23769</v>
      </c>
      <c r="J4476" s="4">
        <v>117978</v>
      </c>
    </row>
    <row r="4477" spans="1:10" x14ac:dyDescent="0.75">
      <c r="A4477" t="s">
        <v>151</v>
      </c>
      <c r="B4477">
        <v>1911</v>
      </c>
      <c r="C4477" t="s">
        <v>26</v>
      </c>
      <c r="D4477">
        <v>7120</v>
      </c>
      <c r="E4477" t="s">
        <v>499</v>
      </c>
      <c r="F4477" s="4">
        <v>0</v>
      </c>
      <c r="G4477" s="4">
        <v>115565</v>
      </c>
      <c r="H4477" s="4">
        <v>56771</v>
      </c>
      <c r="I4477" s="4">
        <v>58794</v>
      </c>
      <c r="J4477" s="4">
        <v>115565</v>
      </c>
    </row>
    <row r="4478" spans="1:10" x14ac:dyDescent="0.75">
      <c r="A4478" t="s">
        <v>151</v>
      </c>
      <c r="B4478">
        <v>1911</v>
      </c>
      <c r="C4478" t="s">
        <v>26</v>
      </c>
      <c r="D4478">
        <v>6747</v>
      </c>
      <c r="E4478" t="s">
        <v>478</v>
      </c>
      <c r="F4478" s="4">
        <v>0</v>
      </c>
      <c r="G4478" s="4">
        <v>109784</v>
      </c>
      <c r="H4478" s="4">
        <v>43270</v>
      </c>
      <c r="I4478" s="4">
        <v>66514</v>
      </c>
      <c r="J4478" s="4">
        <v>109784</v>
      </c>
    </row>
    <row r="4479" spans="1:10" x14ac:dyDescent="0.75">
      <c r="A4479" t="s">
        <v>151</v>
      </c>
      <c r="B4479">
        <v>1911</v>
      </c>
      <c r="C4479" t="s">
        <v>26</v>
      </c>
      <c r="D4479">
        <v>3275</v>
      </c>
      <c r="E4479" t="s">
        <v>412</v>
      </c>
      <c r="F4479" s="4">
        <v>0</v>
      </c>
      <c r="G4479" s="4">
        <v>94364</v>
      </c>
      <c r="H4479" s="4">
        <v>67611</v>
      </c>
      <c r="I4479" s="4">
        <v>26753</v>
      </c>
      <c r="J4479" s="4">
        <v>94364</v>
      </c>
    </row>
    <row r="4480" spans="1:10" x14ac:dyDescent="0.75">
      <c r="A4480" t="s">
        <v>151</v>
      </c>
      <c r="B4480">
        <v>1911</v>
      </c>
      <c r="C4480" t="s">
        <v>26</v>
      </c>
      <c r="D4480">
        <v>6822</v>
      </c>
      <c r="E4480" t="s">
        <v>482</v>
      </c>
      <c r="F4480" s="4">
        <v>0</v>
      </c>
      <c r="G4480" s="4">
        <v>89190</v>
      </c>
      <c r="H4480" s="4">
        <v>7410</v>
      </c>
      <c r="I4480" s="4">
        <v>81780</v>
      </c>
      <c r="J4480" s="4">
        <v>89190</v>
      </c>
    </row>
    <row r="4481" spans="1:10" x14ac:dyDescent="0.75">
      <c r="A4481" t="s">
        <v>151</v>
      </c>
      <c r="B4481">
        <v>1911</v>
      </c>
      <c r="C4481" t="s">
        <v>26</v>
      </c>
      <c r="D4481">
        <v>4690</v>
      </c>
      <c r="E4481" t="s">
        <v>428</v>
      </c>
      <c r="F4481" s="4">
        <v>0</v>
      </c>
      <c r="G4481" s="4">
        <v>88612</v>
      </c>
      <c r="H4481" s="4">
        <v>88569</v>
      </c>
      <c r="I4481" s="4">
        <v>43</v>
      </c>
      <c r="J4481" s="4">
        <v>88612</v>
      </c>
    </row>
    <row r="4482" spans="1:10" x14ac:dyDescent="0.75">
      <c r="A4482" t="s">
        <v>151</v>
      </c>
      <c r="B4482">
        <v>1911</v>
      </c>
      <c r="C4482" t="s">
        <v>26</v>
      </c>
      <c r="D4482">
        <v>4189</v>
      </c>
      <c r="E4482" t="s">
        <v>451</v>
      </c>
      <c r="F4482" s="4">
        <v>0</v>
      </c>
      <c r="G4482" s="4">
        <v>78694</v>
      </c>
      <c r="H4482" s="4">
        <v>52516</v>
      </c>
      <c r="I4482" s="4">
        <v>26178</v>
      </c>
      <c r="J4482" s="4">
        <v>78694</v>
      </c>
    </row>
    <row r="4483" spans="1:10" x14ac:dyDescent="0.75">
      <c r="A4483" t="s">
        <v>151</v>
      </c>
      <c r="B4483">
        <v>1911</v>
      </c>
      <c r="C4483" t="s">
        <v>26</v>
      </c>
      <c r="D4483">
        <v>4650</v>
      </c>
      <c r="E4483" t="s">
        <v>457</v>
      </c>
      <c r="F4483" s="4">
        <v>0</v>
      </c>
      <c r="G4483" s="4">
        <v>74335</v>
      </c>
      <c r="H4483" s="4">
        <v>72095</v>
      </c>
      <c r="I4483" s="4">
        <v>2240</v>
      </c>
      <c r="J4483" s="4">
        <v>74335</v>
      </c>
    </row>
    <row r="4484" spans="1:10" x14ac:dyDescent="0.75">
      <c r="A4484" t="s">
        <v>151</v>
      </c>
      <c r="B4484">
        <v>1911</v>
      </c>
      <c r="C4484" t="s">
        <v>26</v>
      </c>
      <c r="D4484">
        <v>3211</v>
      </c>
      <c r="E4484" t="s">
        <v>433</v>
      </c>
      <c r="F4484" s="4">
        <v>70823</v>
      </c>
      <c r="G4484" s="4">
        <v>627</v>
      </c>
      <c r="H4484" s="4">
        <v>0</v>
      </c>
      <c r="I4484" s="4">
        <v>627</v>
      </c>
      <c r="J4484" s="4">
        <v>71450</v>
      </c>
    </row>
    <row r="4485" spans="1:10" x14ac:dyDescent="0.75">
      <c r="A4485" t="s">
        <v>151</v>
      </c>
      <c r="B4485">
        <v>1911</v>
      </c>
      <c r="C4485" t="s">
        <v>26</v>
      </c>
      <c r="D4485">
        <v>2100</v>
      </c>
      <c r="E4485" t="s">
        <v>403</v>
      </c>
      <c r="F4485" s="4">
        <v>0</v>
      </c>
      <c r="G4485" s="4">
        <v>69674</v>
      </c>
      <c r="H4485" s="4">
        <v>69674</v>
      </c>
      <c r="I4485" s="4">
        <v>0</v>
      </c>
      <c r="J4485" s="4">
        <v>69674</v>
      </c>
    </row>
    <row r="4486" spans="1:10" x14ac:dyDescent="0.75">
      <c r="A4486" t="s">
        <v>151</v>
      </c>
      <c r="B4486">
        <v>1911</v>
      </c>
      <c r="C4486" t="s">
        <v>26</v>
      </c>
      <c r="D4486">
        <v>3285</v>
      </c>
      <c r="E4486" t="s">
        <v>443</v>
      </c>
      <c r="F4486" s="4">
        <v>0</v>
      </c>
      <c r="G4486" s="4">
        <v>68260</v>
      </c>
      <c r="H4486" s="4">
        <v>24708</v>
      </c>
      <c r="I4486" s="4">
        <v>43552</v>
      </c>
      <c r="J4486" s="4">
        <v>68260</v>
      </c>
    </row>
    <row r="4487" spans="1:10" x14ac:dyDescent="0.75">
      <c r="A4487" t="s">
        <v>151</v>
      </c>
      <c r="B4487">
        <v>1911</v>
      </c>
      <c r="C4487" t="s">
        <v>26</v>
      </c>
      <c r="D4487">
        <v>6134</v>
      </c>
      <c r="E4487" t="s">
        <v>470</v>
      </c>
      <c r="F4487" s="4">
        <v>0</v>
      </c>
      <c r="G4487" s="4">
        <v>62317</v>
      </c>
      <c r="H4487" s="4">
        <v>45678</v>
      </c>
      <c r="I4487" s="4">
        <v>16639</v>
      </c>
      <c r="J4487" s="4">
        <v>62317</v>
      </c>
    </row>
    <row r="4488" spans="1:10" x14ac:dyDescent="0.75">
      <c r="A4488" t="s">
        <v>151</v>
      </c>
      <c r="B4488">
        <v>1911</v>
      </c>
      <c r="C4488" t="s">
        <v>26</v>
      </c>
      <c r="D4488">
        <v>6891</v>
      </c>
      <c r="E4488" t="s">
        <v>495</v>
      </c>
      <c r="F4488" s="4">
        <v>0</v>
      </c>
      <c r="G4488" s="4">
        <v>58406</v>
      </c>
      <c r="H4488" s="4">
        <v>19450</v>
      </c>
      <c r="I4488" s="4">
        <v>38956</v>
      </c>
      <c r="J4488" s="4">
        <v>58406</v>
      </c>
    </row>
    <row r="4489" spans="1:10" x14ac:dyDescent="0.75">
      <c r="A4489" t="s">
        <v>151</v>
      </c>
      <c r="B4489">
        <v>1911</v>
      </c>
      <c r="C4489" t="s">
        <v>26</v>
      </c>
      <c r="D4489">
        <v>4225</v>
      </c>
      <c r="E4489" t="s">
        <v>380</v>
      </c>
      <c r="F4489" s="4">
        <v>0</v>
      </c>
      <c r="G4489" s="4">
        <v>54599</v>
      </c>
      <c r="H4489" s="4">
        <v>15773</v>
      </c>
      <c r="I4489" s="4">
        <v>38826</v>
      </c>
      <c r="J4489" s="4">
        <v>54599</v>
      </c>
    </row>
    <row r="4490" spans="1:10" x14ac:dyDescent="0.75">
      <c r="A4490" t="s">
        <v>151</v>
      </c>
      <c r="B4490">
        <v>1911</v>
      </c>
      <c r="C4490" t="s">
        <v>26</v>
      </c>
      <c r="D4490">
        <v>4323</v>
      </c>
      <c r="E4490" t="s">
        <v>373</v>
      </c>
      <c r="F4490" s="4">
        <v>0</v>
      </c>
      <c r="G4490" s="4">
        <v>53781</v>
      </c>
      <c r="H4490" s="4">
        <v>53250</v>
      </c>
      <c r="I4490" s="4">
        <v>531</v>
      </c>
      <c r="J4490" s="4">
        <v>53781</v>
      </c>
    </row>
    <row r="4491" spans="1:10" x14ac:dyDescent="0.75">
      <c r="A4491" t="s">
        <v>151</v>
      </c>
      <c r="B4491">
        <v>1911</v>
      </c>
      <c r="C4491" t="s">
        <v>26</v>
      </c>
      <c r="D4491">
        <v>5240</v>
      </c>
      <c r="E4491" t="s">
        <v>464</v>
      </c>
      <c r="F4491" s="4">
        <v>0</v>
      </c>
      <c r="G4491" s="4">
        <v>43127</v>
      </c>
      <c r="H4491" s="4">
        <v>31206</v>
      </c>
      <c r="I4491" s="4">
        <v>11921</v>
      </c>
      <c r="J4491" s="4">
        <v>43127</v>
      </c>
    </row>
    <row r="4492" spans="1:10" x14ac:dyDescent="0.75">
      <c r="A4492" t="s">
        <v>151</v>
      </c>
      <c r="B4492">
        <v>1911</v>
      </c>
      <c r="C4492" t="s">
        <v>26</v>
      </c>
      <c r="D4492">
        <v>6888</v>
      </c>
      <c r="E4492" t="s">
        <v>494</v>
      </c>
      <c r="F4492" s="4">
        <v>0</v>
      </c>
      <c r="G4492" s="4">
        <v>36521</v>
      </c>
      <c r="H4492" s="4">
        <v>11611</v>
      </c>
      <c r="I4492" s="4">
        <v>24910</v>
      </c>
      <c r="J4492" s="4">
        <v>36521</v>
      </c>
    </row>
    <row r="4493" spans="1:10" x14ac:dyDescent="0.75">
      <c r="A4493" t="s">
        <v>151</v>
      </c>
      <c r="B4493">
        <v>1911</v>
      </c>
      <c r="C4493" t="s">
        <v>26</v>
      </c>
      <c r="D4493">
        <v>7230</v>
      </c>
      <c r="E4493" t="s">
        <v>387</v>
      </c>
      <c r="F4493" s="4">
        <v>0</v>
      </c>
      <c r="G4493" s="4">
        <v>35571</v>
      </c>
      <c r="H4493" s="4">
        <v>28188</v>
      </c>
      <c r="I4493" s="4">
        <v>7383</v>
      </c>
      <c r="J4493" s="4">
        <v>35571</v>
      </c>
    </row>
    <row r="4494" spans="1:10" x14ac:dyDescent="0.75">
      <c r="A4494" t="s">
        <v>151</v>
      </c>
      <c r="B4494">
        <v>1911</v>
      </c>
      <c r="C4494" t="s">
        <v>26</v>
      </c>
      <c r="D4494">
        <v>6653</v>
      </c>
      <c r="E4494" t="s">
        <v>395</v>
      </c>
      <c r="F4494" s="4">
        <v>0</v>
      </c>
      <c r="G4494" s="4">
        <v>34128</v>
      </c>
      <c r="H4494" s="4">
        <v>11780</v>
      </c>
      <c r="I4494" s="4">
        <v>22348</v>
      </c>
      <c r="J4494" s="4">
        <v>34128</v>
      </c>
    </row>
    <row r="4495" spans="1:10" x14ac:dyDescent="0.75">
      <c r="A4495" t="s">
        <v>151</v>
      </c>
      <c r="B4495">
        <v>1911</v>
      </c>
      <c r="C4495" t="s">
        <v>26</v>
      </c>
      <c r="D4495">
        <v>4680</v>
      </c>
      <c r="E4495" t="s">
        <v>459</v>
      </c>
      <c r="F4495" s="4">
        <v>0</v>
      </c>
      <c r="G4495" s="4">
        <v>33070</v>
      </c>
      <c r="H4495" s="4">
        <v>28603</v>
      </c>
      <c r="I4495" s="4">
        <v>4467</v>
      </c>
      <c r="J4495" s="4">
        <v>33070</v>
      </c>
    </row>
    <row r="4496" spans="1:10" x14ac:dyDescent="0.75">
      <c r="A4496" t="s">
        <v>151</v>
      </c>
      <c r="B4496">
        <v>1911</v>
      </c>
      <c r="C4496" t="s">
        <v>26</v>
      </c>
      <c r="D4496">
        <v>5190</v>
      </c>
      <c r="E4496" t="s">
        <v>462</v>
      </c>
      <c r="F4496" s="4">
        <v>0</v>
      </c>
      <c r="G4496" s="4">
        <v>31737</v>
      </c>
      <c r="H4496" s="4">
        <v>15290</v>
      </c>
      <c r="I4496" s="4">
        <v>16447</v>
      </c>
      <c r="J4496" s="4">
        <v>31737</v>
      </c>
    </row>
    <row r="4497" spans="1:10" x14ac:dyDescent="0.75">
      <c r="A4497" t="s">
        <v>151</v>
      </c>
      <c r="B4497">
        <v>1911</v>
      </c>
      <c r="C4497" t="s">
        <v>26</v>
      </c>
      <c r="D4497">
        <v>5110</v>
      </c>
      <c r="E4497" t="s">
        <v>460</v>
      </c>
      <c r="F4497" s="4">
        <v>0</v>
      </c>
      <c r="G4497" s="4">
        <v>30991</v>
      </c>
      <c r="H4497" s="4">
        <v>30861</v>
      </c>
      <c r="I4497" s="4">
        <v>130</v>
      </c>
      <c r="J4497" s="4">
        <v>30991</v>
      </c>
    </row>
    <row r="4498" spans="1:10" x14ac:dyDescent="0.75">
      <c r="A4498" t="s">
        <v>151</v>
      </c>
      <c r="B4498">
        <v>1911</v>
      </c>
      <c r="C4498" t="s">
        <v>26</v>
      </c>
      <c r="D4498">
        <v>6861</v>
      </c>
      <c r="E4498" t="s">
        <v>489</v>
      </c>
      <c r="F4498" s="4">
        <v>0</v>
      </c>
      <c r="G4498" s="4">
        <v>30125</v>
      </c>
      <c r="H4498" s="4">
        <v>28312</v>
      </c>
      <c r="I4498" s="4">
        <v>1813</v>
      </c>
      <c r="J4498" s="4">
        <v>30125</v>
      </c>
    </row>
    <row r="4499" spans="1:10" x14ac:dyDescent="0.75">
      <c r="A4499" t="s">
        <v>151</v>
      </c>
      <c r="B4499">
        <v>1911</v>
      </c>
      <c r="C4499" t="s">
        <v>26</v>
      </c>
      <c r="D4499">
        <v>7400</v>
      </c>
      <c r="E4499" t="s">
        <v>502</v>
      </c>
      <c r="F4499" s="4">
        <v>0</v>
      </c>
      <c r="G4499" s="4">
        <v>29206</v>
      </c>
      <c r="H4499" s="4">
        <v>23468</v>
      </c>
      <c r="I4499" s="4">
        <v>5738</v>
      </c>
      <c r="J4499" s="4">
        <v>29206</v>
      </c>
    </row>
    <row r="4500" spans="1:10" x14ac:dyDescent="0.75">
      <c r="A4500" t="s">
        <v>151</v>
      </c>
      <c r="B4500">
        <v>1911</v>
      </c>
      <c r="C4500" t="s">
        <v>26</v>
      </c>
      <c r="D4500">
        <v>2640</v>
      </c>
      <c r="E4500" t="s">
        <v>431</v>
      </c>
      <c r="F4500" s="4">
        <v>0</v>
      </c>
      <c r="G4500" s="4">
        <v>28622</v>
      </c>
      <c r="H4500" s="4">
        <v>6818</v>
      </c>
      <c r="I4500" s="4">
        <v>21804</v>
      </c>
      <c r="J4500" s="4">
        <v>28622</v>
      </c>
    </row>
    <row r="4501" spans="1:10" x14ac:dyDescent="0.75">
      <c r="A4501" t="s">
        <v>151</v>
      </c>
      <c r="B4501">
        <v>1911</v>
      </c>
      <c r="C4501" t="s">
        <v>26</v>
      </c>
      <c r="D4501">
        <v>5422</v>
      </c>
      <c r="E4501" t="s">
        <v>468</v>
      </c>
      <c r="F4501" s="4">
        <v>0</v>
      </c>
      <c r="G4501" s="4">
        <v>26615</v>
      </c>
      <c r="H4501" s="4">
        <v>23487</v>
      </c>
      <c r="I4501" s="4">
        <v>3128</v>
      </c>
      <c r="J4501" s="4">
        <v>26615</v>
      </c>
    </row>
    <row r="4502" spans="1:10" x14ac:dyDescent="0.75">
      <c r="A4502" t="s">
        <v>151</v>
      </c>
      <c r="B4502">
        <v>1911</v>
      </c>
      <c r="C4502" t="s">
        <v>26</v>
      </c>
      <c r="D4502">
        <v>6442</v>
      </c>
      <c r="E4502" t="s">
        <v>472</v>
      </c>
      <c r="F4502" s="4">
        <v>0</v>
      </c>
      <c r="G4502" s="4">
        <v>26613</v>
      </c>
      <c r="H4502" s="4">
        <v>17946</v>
      </c>
      <c r="I4502" s="4">
        <v>8667</v>
      </c>
      <c r="J4502" s="4">
        <v>26613</v>
      </c>
    </row>
    <row r="4503" spans="1:10" x14ac:dyDescent="0.75">
      <c r="A4503" t="s">
        <v>151</v>
      </c>
      <c r="B4503">
        <v>1911</v>
      </c>
      <c r="C4503" t="s">
        <v>26</v>
      </c>
      <c r="D4503">
        <v>6893</v>
      </c>
      <c r="E4503" t="s">
        <v>496</v>
      </c>
      <c r="F4503" s="4">
        <v>0</v>
      </c>
      <c r="G4503" s="4">
        <v>25510</v>
      </c>
      <c r="H4503" s="4">
        <v>22785</v>
      </c>
      <c r="I4503" s="4">
        <v>2725</v>
      </c>
      <c r="J4503" s="4">
        <v>25510</v>
      </c>
    </row>
    <row r="4504" spans="1:10" x14ac:dyDescent="0.75">
      <c r="A4504" t="s">
        <v>151</v>
      </c>
      <c r="B4504">
        <v>1911</v>
      </c>
      <c r="C4504" t="s">
        <v>26</v>
      </c>
      <c r="D4504">
        <v>3274</v>
      </c>
      <c r="E4504" t="s">
        <v>438</v>
      </c>
      <c r="F4504" s="4">
        <v>0</v>
      </c>
      <c r="G4504" s="4">
        <v>25365</v>
      </c>
      <c r="H4504" s="4">
        <v>219</v>
      </c>
      <c r="I4504" s="4">
        <v>25146</v>
      </c>
      <c r="J4504" s="4">
        <v>25365</v>
      </c>
    </row>
    <row r="4505" spans="1:10" x14ac:dyDescent="0.75">
      <c r="A4505" t="s">
        <v>151</v>
      </c>
      <c r="B4505">
        <v>1911</v>
      </c>
      <c r="C4505" t="s">
        <v>26</v>
      </c>
      <c r="D4505">
        <v>6136</v>
      </c>
      <c r="E4505" t="s">
        <v>471</v>
      </c>
      <c r="F4505" s="4">
        <v>0</v>
      </c>
      <c r="G4505" s="4">
        <v>20929</v>
      </c>
      <c r="H4505" s="4">
        <v>19141</v>
      </c>
      <c r="I4505" s="4">
        <v>1788</v>
      </c>
      <c r="J4505" s="4">
        <v>20929</v>
      </c>
    </row>
    <row r="4506" spans="1:10" x14ac:dyDescent="0.75">
      <c r="A4506" t="s">
        <v>151</v>
      </c>
      <c r="B4506">
        <v>1911</v>
      </c>
      <c r="C4506" t="s">
        <v>26</v>
      </c>
      <c r="D4506">
        <v>6899</v>
      </c>
      <c r="E4506" t="s">
        <v>498</v>
      </c>
      <c r="F4506" s="4">
        <v>0</v>
      </c>
      <c r="G4506" s="4">
        <v>20876</v>
      </c>
      <c r="H4506" s="4">
        <v>17215</v>
      </c>
      <c r="I4506" s="4">
        <v>3661</v>
      </c>
      <c r="J4506" s="4">
        <v>20876</v>
      </c>
    </row>
    <row r="4507" spans="1:10" x14ac:dyDescent="0.75">
      <c r="A4507" t="s">
        <v>151</v>
      </c>
      <c r="B4507">
        <v>1911</v>
      </c>
      <c r="C4507" t="s">
        <v>26</v>
      </c>
      <c r="D4507">
        <v>3276</v>
      </c>
      <c r="E4507" t="s">
        <v>379</v>
      </c>
      <c r="F4507" s="4">
        <v>0</v>
      </c>
      <c r="G4507" s="4">
        <v>17814</v>
      </c>
      <c r="H4507" s="4">
        <v>7562</v>
      </c>
      <c r="I4507" s="4">
        <v>10252</v>
      </c>
      <c r="J4507" s="4">
        <v>17814</v>
      </c>
    </row>
    <row r="4508" spans="1:10" x14ac:dyDescent="0.75">
      <c r="A4508" t="s">
        <v>151</v>
      </c>
      <c r="B4508">
        <v>1911</v>
      </c>
      <c r="C4508" t="s">
        <v>26</v>
      </c>
      <c r="D4508">
        <v>3299</v>
      </c>
      <c r="E4508" t="s">
        <v>448</v>
      </c>
      <c r="F4508" s="4">
        <v>0</v>
      </c>
      <c r="G4508" s="4">
        <v>17344</v>
      </c>
      <c r="H4508" s="4">
        <v>4300</v>
      </c>
      <c r="I4508" s="4">
        <v>13044</v>
      </c>
      <c r="J4508" s="4">
        <v>17344</v>
      </c>
    </row>
    <row r="4509" spans="1:10" x14ac:dyDescent="0.75">
      <c r="A4509" t="s">
        <v>151</v>
      </c>
      <c r="B4509">
        <v>1911</v>
      </c>
      <c r="C4509" t="s">
        <v>26</v>
      </c>
      <c r="D4509">
        <v>5312</v>
      </c>
      <c r="E4509" t="s">
        <v>416</v>
      </c>
      <c r="F4509" s="4">
        <v>0</v>
      </c>
      <c r="G4509" s="4">
        <v>15978</v>
      </c>
      <c r="H4509" s="4">
        <v>14506</v>
      </c>
      <c r="I4509" s="4">
        <v>1472</v>
      </c>
      <c r="J4509" s="4">
        <v>15978</v>
      </c>
    </row>
    <row r="4510" spans="1:10" x14ac:dyDescent="0.75">
      <c r="A4510" t="s">
        <v>151</v>
      </c>
      <c r="B4510">
        <v>1911</v>
      </c>
      <c r="C4510" t="s">
        <v>26</v>
      </c>
      <c r="D4510">
        <v>6871</v>
      </c>
      <c r="E4510" t="s">
        <v>491</v>
      </c>
      <c r="F4510" s="4">
        <v>0</v>
      </c>
      <c r="G4510" s="4">
        <v>15690</v>
      </c>
      <c r="H4510" s="4">
        <v>14590</v>
      </c>
      <c r="I4510" s="4">
        <v>1100</v>
      </c>
      <c r="J4510" s="4">
        <v>15690</v>
      </c>
    </row>
    <row r="4511" spans="1:10" x14ac:dyDescent="0.75">
      <c r="A4511" t="s">
        <v>151</v>
      </c>
      <c r="B4511">
        <v>1911</v>
      </c>
      <c r="C4511" t="s">
        <v>26</v>
      </c>
      <c r="D4511">
        <v>6782</v>
      </c>
      <c r="E4511" t="s">
        <v>396</v>
      </c>
      <c r="F4511" s="4">
        <v>0</v>
      </c>
      <c r="G4511" s="4">
        <v>15283</v>
      </c>
      <c r="H4511" s="4">
        <v>3785</v>
      </c>
      <c r="I4511" s="4">
        <v>11498</v>
      </c>
      <c r="J4511" s="4">
        <v>15283</v>
      </c>
    </row>
    <row r="4512" spans="1:10" x14ac:dyDescent="0.75">
      <c r="A4512" t="s">
        <v>151</v>
      </c>
      <c r="B4512">
        <v>1911</v>
      </c>
      <c r="C4512" t="s">
        <v>26</v>
      </c>
      <c r="D4512">
        <v>4782</v>
      </c>
      <c r="E4512" t="s">
        <v>414</v>
      </c>
      <c r="F4512" s="4">
        <v>0</v>
      </c>
      <c r="G4512" s="4">
        <v>15233</v>
      </c>
      <c r="H4512" s="4">
        <v>12902</v>
      </c>
      <c r="I4512" s="4">
        <v>2331</v>
      </c>
      <c r="J4512" s="4">
        <v>15233</v>
      </c>
    </row>
    <row r="4513" spans="1:10" x14ac:dyDescent="0.75">
      <c r="A4513" t="s">
        <v>151</v>
      </c>
      <c r="B4513">
        <v>1911</v>
      </c>
      <c r="C4513" t="s">
        <v>26</v>
      </c>
      <c r="D4513">
        <v>4420</v>
      </c>
      <c r="E4513" t="s">
        <v>381</v>
      </c>
      <c r="F4513" s="4">
        <v>0</v>
      </c>
      <c r="G4513" s="4">
        <v>14689</v>
      </c>
      <c r="H4513" s="4">
        <v>2023</v>
      </c>
      <c r="I4513" s="4">
        <v>12666</v>
      </c>
      <c r="J4513" s="4">
        <v>14689</v>
      </c>
    </row>
    <row r="4514" spans="1:10" x14ac:dyDescent="0.75">
      <c r="A4514" t="s">
        <v>151</v>
      </c>
      <c r="B4514">
        <v>1911</v>
      </c>
      <c r="C4514" t="s">
        <v>26</v>
      </c>
      <c r="D4514">
        <v>4331</v>
      </c>
      <c r="E4514" t="s">
        <v>390</v>
      </c>
      <c r="F4514" s="4">
        <v>0</v>
      </c>
      <c r="G4514" s="4">
        <v>13770</v>
      </c>
      <c r="H4514" s="4">
        <v>11442</v>
      </c>
      <c r="I4514" s="4">
        <v>2328</v>
      </c>
      <c r="J4514" s="4">
        <v>13770</v>
      </c>
    </row>
    <row r="4515" spans="1:10" x14ac:dyDescent="0.75">
      <c r="A4515" t="s">
        <v>151</v>
      </c>
      <c r="B4515">
        <v>1911</v>
      </c>
      <c r="C4515" t="s">
        <v>26</v>
      </c>
      <c r="D4515">
        <v>3282</v>
      </c>
      <c r="E4515" t="s">
        <v>440</v>
      </c>
      <c r="F4515" s="4">
        <v>0</v>
      </c>
      <c r="G4515" s="4">
        <v>13380</v>
      </c>
      <c r="H4515" s="4">
        <v>4855</v>
      </c>
      <c r="I4515" s="4">
        <v>8525</v>
      </c>
      <c r="J4515" s="4">
        <v>13380</v>
      </c>
    </row>
    <row r="4516" spans="1:10" x14ac:dyDescent="0.75">
      <c r="A4516" t="s">
        <v>151</v>
      </c>
      <c r="B4516">
        <v>1911</v>
      </c>
      <c r="C4516" t="s">
        <v>26</v>
      </c>
      <c r="D4516">
        <v>6894</v>
      </c>
      <c r="E4516" t="s">
        <v>497</v>
      </c>
      <c r="F4516" s="4">
        <v>0</v>
      </c>
      <c r="G4516" s="4">
        <v>12256</v>
      </c>
      <c r="H4516" s="4">
        <v>12056</v>
      </c>
      <c r="I4516" s="4">
        <v>200</v>
      </c>
      <c r="J4516" s="4">
        <v>12256</v>
      </c>
    </row>
    <row r="4517" spans="1:10" x14ac:dyDescent="0.75">
      <c r="A4517" t="s">
        <v>151</v>
      </c>
      <c r="B4517">
        <v>1911</v>
      </c>
      <c r="C4517" t="s">
        <v>26</v>
      </c>
      <c r="D4517">
        <v>4310</v>
      </c>
      <c r="E4517" t="s">
        <v>453</v>
      </c>
      <c r="F4517" s="4">
        <v>0</v>
      </c>
      <c r="G4517" s="4">
        <v>11995</v>
      </c>
      <c r="H4517" s="4">
        <v>11866</v>
      </c>
      <c r="I4517" s="4">
        <v>129</v>
      </c>
      <c r="J4517" s="4">
        <v>11995</v>
      </c>
    </row>
    <row r="4518" spans="1:10" x14ac:dyDescent="0.75">
      <c r="A4518" t="s">
        <v>151</v>
      </c>
      <c r="B4518">
        <v>1911</v>
      </c>
      <c r="C4518" t="s">
        <v>26</v>
      </c>
      <c r="D4518">
        <v>4150</v>
      </c>
      <c r="E4518" t="s">
        <v>450</v>
      </c>
      <c r="F4518" s="4">
        <v>0</v>
      </c>
      <c r="G4518" s="4">
        <v>11421</v>
      </c>
      <c r="H4518" s="4">
        <v>11287</v>
      </c>
      <c r="I4518" s="4">
        <v>134</v>
      </c>
      <c r="J4518" s="4">
        <v>11421</v>
      </c>
    </row>
    <row r="4519" spans="1:10" x14ac:dyDescent="0.75">
      <c r="A4519" t="s">
        <v>151</v>
      </c>
      <c r="B4519">
        <v>1911</v>
      </c>
      <c r="C4519" t="s">
        <v>26</v>
      </c>
      <c r="D4519">
        <v>6344</v>
      </c>
      <c r="E4519" t="s">
        <v>392</v>
      </c>
      <c r="F4519" s="4">
        <v>0</v>
      </c>
      <c r="G4519" s="4">
        <v>10908</v>
      </c>
      <c r="H4519" s="4">
        <v>7142</v>
      </c>
      <c r="I4519" s="4">
        <v>3766</v>
      </c>
      <c r="J4519" s="4">
        <v>10908</v>
      </c>
    </row>
    <row r="4520" spans="1:10" x14ac:dyDescent="0.75">
      <c r="A4520" t="s">
        <v>151</v>
      </c>
      <c r="B4520">
        <v>1911</v>
      </c>
      <c r="C4520" t="s">
        <v>26</v>
      </c>
      <c r="D4520">
        <v>5370</v>
      </c>
      <c r="E4520" t="s">
        <v>466</v>
      </c>
      <c r="F4520" s="4">
        <v>0</v>
      </c>
      <c r="G4520" s="4">
        <v>10437</v>
      </c>
      <c r="H4520" s="4">
        <v>4672</v>
      </c>
      <c r="I4520" s="4">
        <v>5765</v>
      </c>
      <c r="J4520" s="4">
        <v>10437</v>
      </c>
    </row>
    <row r="4521" spans="1:10" x14ac:dyDescent="0.75">
      <c r="A4521" t="s">
        <v>151</v>
      </c>
      <c r="B4521">
        <v>1911</v>
      </c>
      <c r="C4521" t="s">
        <v>26</v>
      </c>
      <c r="D4521">
        <v>6835</v>
      </c>
      <c r="E4521" t="s">
        <v>483</v>
      </c>
      <c r="F4521" s="4">
        <v>0</v>
      </c>
      <c r="G4521" s="4">
        <v>9836</v>
      </c>
      <c r="H4521" s="4">
        <v>8125</v>
      </c>
      <c r="I4521" s="4">
        <v>1711</v>
      </c>
      <c r="J4521" s="4">
        <v>9836</v>
      </c>
    </row>
    <row r="4522" spans="1:10" x14ac:dyDescent="0.75">
      <c r="A4522" t="s">
        <v>151</v>
      </c>
      <c r="B4522">
        <v>1911</v>
      </c>
      <c r="C4522" t="s">
        <v>26</v>
      </c>
      <c r="D4522">
        <v>3279</v>
      </c>
      <c r="E4522" t="s">
        <v>422</v>
      </c>
      <c r="F4522" s="4">
        <v>0</v>
      </c>
      <c r="G4522" s="4">
        <v>9723</v>
      </c>
      <c r="H4522" s="4">
        <v>647</v>
      </c>
      <c r="I4522" s="4">
        <v>9076</v>
      </c>
      <c r="J4522" s="4">
        <v>9723</v>
      </c>
    </row>
    <row r="4523" spans="1:10" x14ac:dyDescent="0.75">
      <c r="A4523" t="s">
        <v>151</v>
      </c>
      <c r="B4523">
        <v>1911</v>
      </c>
      <c r="C4523" t="s">
        <v>26</v>
      </c>
      <c r="D4523">
        <v>4900</v>
      </c>
      <c r="E4523" t="s">
        <v>383</v>
      </c>
      <c r="F4523" s="4">
        <v>0</v>
      </c>
      <c r="G4523" s="4">
        <v>9568</v>
      </c>
      <c r="H4523" s="4">
        <v>8763</v>
      </c>
      <c r="I4523" s="4">
        <v>805</v>
      </c>
      <c r="J4523" s="4">
        <v>9568</v>
      </c>
    </row>
    <row r="4524" spans="1:10" x14ac:dyDescent="0.75">
      <c r="A4524" t="s">
        <v>151</v>
      </c>
      <c r="B4524">
        <v>1911</v>
      </c>
      <c r="C4524" t="s">
        <v>26</v>
      </c>
      <c r="D4524">
        <v>6839</v>
      </c>
      <c r="E4524" t="s">
        <v>485</v>
      </c>
      <c r="F4524" s="4">
        <v>0</v>
      </c>
      <c r="G4524" s="4">
        <v>9148</v>
      </c>
      <c r="H4524" s="4">
        <v>1931</v>
      </c>
      <c r="I4524" s="4">
        <v>7217</v>
      </c>
      <c r="J4524" s="4">
        <v>9148</v>
      </c>
    </row>
    <row r="4525" spans="1:10" x14ac:dyDescent="0.75">
      <c r="A4525" t="s">
        <v>151</v>
      </c>
      <c r="B4525">
        <v>1911</v>
      </c>
      <c r="C4525" t="s">
        <v>26</v>
      </c>
      <c r="D4525">
        <v>5421</v>
      </c>
      <c r="E4525" t="s">
        <v>467</v>
      </c>
      <c r="F4525" s="4">
        <v>0</v>
      </c>
      <c r="G4525" s="4">
        <v>8865</v>
      </c>
      <c r="H4525" s="4">
        <v>1334</v>
      </c>
      <c r="I4525" s="4">
        <v>7531</v>
      </c>
      <c r="J4525" s="4">
        <v>8865</v>
      </c>
    </row>
    <row r="4526" spans="1:10" x14ac:dyDescent="0.75">
      <c r="A4526" t="s">
        <v>151</v>
      </c>
      <c r="B4526">
        <v>1911</v>
      </c>
      <c r="C4526" t="s">
        <v>26</v>
      </c>
      <c r="D4526">
        <v>5330</v>
      </c>
      <c r="E4526" t="s">
        <v>385</v>
      </c>
      <c r="F4526" s="4">
        <v>0</v>
      </c>
      <c r="G4526" s="4">
        <v>8669</v>
      </c>
      <c r="H4526" s="4">
        <v>7519</v>
      </c>
      <c r="I4526" s="4">
        <v>1150</v>
      </c>
      <c r="J4526" s="4">
        <v>8669</v>
      </c>
    </row>
    <row r="4527" spans="1:10" x14ac:dyDescent="0.75">
      <c r="A4527" t="s">
        <v>151</v>
      </c>
      <c r="B4527">
        <v>1911</v>
      </c>
      <c r="C4527" t="s">
        <v>26</v>
      </c>
      <c r="D4527">
        <v>3292</v>
      </c>
      <c r="E4527" t="s">
        <v>413</v>
      </c>
      <c r="F4527" s="4">
        <v>0</v>
      </c>
      <c r="G4527" s="4">
        <v>8656</v>
      </c>
      <c r="H4527" s="4">
        <v>2831</v>
      </c>
      <c r="I4527" s="4">
        <v>5825</v>
      </c>
      <c r="J4527" s="4">
        <v>8656</v>
      </c>
    </row>
    <row r="4528" spans="1:10" x14ac:dyDescent="0.75">
      <c r="A4528" t="s">
        <v>151</v>
      </c>
      <c r="B4528">
        <v>1911</v>
      </c>
      <c r="C4528" t="s">
        <v>26</v>
      </c>
      <c r="D4528">
        <v>6817</v>
      </c>
      <c r="E4528" t="s">
        <v>481</v>
      </c>
      <c r="F4528" s="4">
        <v>0</v>
      </c>
      <c r="G4528" s="4">
        <v>8022</v>
      </c>
      <c r="H4528" s="4">
        <v>3917</v>
      </c>
      <c r="I4528" s="4">
        <v>4105</v>
      </c>
      <c r="J4528" s="4">
        <v>8022</v>
      </c>
    </row>
    <row r="4529" spans="1:10" x14ac:dyDescent="0.75">
      <c r="A4529" t="s">
        <v>151</v>
      </c>
      <c r="B4529">
        <v>1911</v>
      </c>
      <c r="C4529" t="s">
        <v>26</v>
      </c>
      <c r="D4529">
        <v>3284</v>
      </c>
      <c r="E4529" t="s">
        <v>442</v>
      </c>
      <c r="F4529" s="4">
        <v>0</v>
      </c>
      <c r="G4529" s="4">
        <v>6822</v>
      </c>
      <c r="H4529" s="4">
        <v>4104</v>
      </c>
      <c r="I4529" s="4">
        <v>2718</v>
      </c>
      <c r="J4529" s="4">
        <v>6822</v>
      </c>
    </row>
    <row r="4530" spans="1:10" x14ac:dyDescent="0.75">
      <c r="A4530" t="s">
        <v>151</v>
      </c>
      <c r="B4530">
        <v>1911</v>
      </c>
      <c r="C4530" t="s">
        <v>26</v>
      </c>
      <c r="D4530">
        <v>3230</v>
      </c>
      <c r="E4530" t="s">
        <v>434</v>
      </c>
      <c r="F4530" s="4">
        <v>0</v>
      </c>
      <c r="G4530" s="4">
        <v>6182</v>
      </c>
      <c r="H4530" s="4">
        <v>4893</v>
      </c>
      <c r="I4530" s="4">
        <v>1289</v>
      </c>
      <c r="J4530" s="4">
        <v>6182</v>
      </c>
    </row>
    <row r="4531" spans="1:10" x14ac:dyDescent="0.75">
      <c r="A4531" t="s">
        <v>151</v>
      </c>
      <c r="B4531">
        <v>1911</v>
      </c>
      <c r="C4531" t="s">
        <v>26</v>
      </c>
      <c r="D4531">
        <v>7220</v>
      </c>
      <c r="E4531" t="s">
        <v>500</v>
      </c>
      <c r="F4531" s="4">
        <v>0</v>
      </c>
      <c r="G4531" s="4">
        <v>5824</v>
      </c>
      <c r="H4531" s="4">
        <v>629</v>
      </c>
      <c r="I4531" s="4">
        <v>5195</v>
      </c>
      <c r="J4531" s="4">
        <v>5824</v>
      </c>
    </row>
    <row r="4532" spans="1:10" x14ac:dyDescent="0.75">
      <c r="A4532" t="s">
        <v>151</v>
      </c>
      <c r="B4532">
        <v>1911</v>
      </c>
      <c r="C4532" t="s">
        <v>26</v>
      </c>
      <c r="D4532">
        <v>3250</v>
      </c>
      <c r="E4532" t="s">
        <v>435</v>
      </c>
      <c r="F4532" s="4">
        <v>0</v>
      </c>
      <c r="G4532" s="4">
        <v>5673</v>
      </c>
      <c r="H4532" s="4">
        <v>338</v>
      </c>
      <c r="I4532" s="4">
        <v>5335</v>
      </c>
      <c r="J4532" s="4">
        <v>5673</v>
      </c>
    </row>
    <row r="4533" spans="1:10" x14ac:dyDescent="0.75">
      <c r="A4533" t="s">
        <v>151</v>
      </c>
      <c r="B4533">
        <v>1911</v>
      </c>
      <c r="C4533" t="s">
        <v>26</v>
      </c>
      <c r="D4533">
        <v>4783</v>
      </c>
      <c r="E4533" t="s">
        <v>382</v>
      </c>
      <c r="F4533" s="4">
        <v>0</v>
      </c>
      <c r="G4533" s="4">
        <v>5449</v>
      </c>
      <c r="H4533" s="4">
        <v>3380</v>
      </c>
      <c r="I4533" s="4">
        <v>2069</v>
      </c>
      <c r="J4533" s="4">
        <v>5449</v>
      </c>
    </row>
    <row r="4534" spans="1:10" x14ac:dyDescent="0.75">
      <c r="A4534" t="s">
        <v>151</v>
      </c>
      <c r="B4534">
        <v>1911</v>
      </c>
      <c r="C4534" t="s">
        <v>26</v>
      </c>
      <c r="D4534">
        <v>4190</v>
      </c>
      <c r="E4534" t="s">
        <v>452</v>
      </c>
      <c r="F4534" s="4">
        <v>0</v>
      </c>
      <c r="G4534" s="4">
        <v>5218</v>
      </c>
      <c r="H4534" s="4">
        <v>3719</v>
      </c>
      <c r="I4534" s="4">
        <v>1499</v>
      </c>
      <c r="J4534" s="4">
        <v>5218</v>
      </c>
    </row>
    <row r="4535" spans="1:10" x14ac:dyDescent="0.75">
      <c r="A4535" t="s">
        <v>151</v>
      </c>
      <c r="B4535">
        <v>1911</v>
      </c>
      <c r="C4535" t="s">
        <v>26</v>
      </c>
      <c r="D4535">
        <v>5429</v>
      </c>
      <c r="E4535" t="s">
        <v>429</v>
      </c>
      <c r="F4535" s="4">
        <v>0</v>
      </c>
      <c r="G4535" s="4">
        <v>4845</v>
      </c>
      <c r="H4535" s="4">
        <v>4136</v>
      </c>
      <c r="I4535" s="4">
        <v>709</v>
      </c>
      <c r="J4535" s="4">
        <v>4845</v>
      </c>
    </row>
    <row r="4536" spans="1:10" x14ac:dyDescent="0.75">
      <c r="A4536" t="s">
        <v>151</v>
      </c>
      <c r="B4536">
        <v>1911</v>
      </c>
      <c r="C4536" t="s">
        <v>26</v>
      </c>
      <c r="D4536">
        <v>3297</v>
      </c>
      <c r="E4536" t="s">
        <v>446</v>
      </c>
      <c r="F4536" s="4">
        <v>0</v>
      </c>
      <c r="G4536" s="4">
        <v>4631</v>
      </c>
      <c r="H4536" s="4">
        <v>983</v>
      </c>
      <c r="I4536" s="4">
        <v>3648</v>
      </c>
      <c r="J4536" s="4">
        <v>4631</v>
      </c>
    </row>
    <row r="4537" spans="1:10" x14ac:dyDescent="0.75">
      <c r="A4537" t="s">
        <v>151</v>
      </c>
      <c r="B4537">
        <v>1911</v>
      </c>
      <c r="C4537" t="s">
        <v>26</v>
      </c>
      <c r="D4537">
        <v>3190</v>
      </c>
      <c r="E4537" t="s">
        <v>408</v>
      </c>
      <c r="F4537" s="4">
        <v>0</v>
      </c>
      <c r="G4537" s="4">
        <v>4548</v>
      </c>
      <c r="H4537" s="4">
        <v>2038</v>
      </c>
      <c r="I4537" s="4">
        <v>2510</v>
      </c>
      <c r="J4537" s="4">
        <v>4548</v>
      </c>
    </row>
    <row r="4538" spans="1:10" x14ac:dyDescent="0.75">
      <c r="A4538" t="s">
        <v>151</v>
      </c>
      <c r="B4538">
        <v>1911</v>
      </c>
      <c r="C4538" t="s">
        <v>26</v>
      </c>
      <c r="D4538">
        <v>3291</v>
      </c>
      <c r="E4538" t="s">
        <v>444</v>
      </c>
      <c r="F4538" s="4">
        <v>0</v>
      </c>
      <c r="G4538" s="4">
        <v>4456</v>
      </c>
      <c r="H4538" s="4">
        <v>2555</v>
      </c>
      <c r="I4538" s="4">
        <v>1901</v>
      </c>
      <c r="J4538" s="4">
        <v>4456</v>
      </c>
    </row>
    <row r="4539" spans="1:10" x14ac:dyDescent="0.75">
      <c r="A4539" t="s">
        <v>151</v>
      </c>
      <c r="B4539">
        <v>1911</v>
      </c>
      <c r="C4539" t="s">
        <v>26</v>
      </c>
      <c r="D4539">
        <v>6746</v>
      </c>
      <c r="E4539" t="s">
        <v>477</v>
      </c>
      <c r="F4539" s="4">
        <v>0</v>
      </c>
      <c r="G4539" s="4">
        <v>3472</v>
      </c>
      <c r="H4539" s="4">
        <v>1584</v>
      </c>
      <c r="I4539" s="4">
        <v>1888</v>
      </c>
      <c r="J4539" s="4">
        <v>3472</v>
      </c>
    </row>
    <row r="4540" spans="1:10" x14ac:dyDescent="0.75">
      <c r="A4540" t="s">
        <v>151</v>
      </c>
      <c r="B4540">
        <v>1911</v>
      </c>
      <c r="C4540" t="s">
        <v>26</v>
      </c>
      <c r="D4540">
        <v>4170</v>
      </c>
      <c r="E4540" t="s">
        <v>424</v>
      </c>
      <c r="F4540" s="4">
        <v>0</v>
      </c>
      <c r="G4540" s="4">
        <v>3061</v>
      </c>
      <c r="H4540" s="4">
        <v>519</v>
      </c>
      <c r="I4540" s="4">
        <v>2542</v>
      </c>
      <c r="J4540" s="4">
        <v>3061</v>
      </c>
    </row>
    <row r="4541" spans="1:10" x14ac:dyDescent="0.75">
      <c r="A4541" t="s">
        <v>151</v>
      </c>
      <c r="B4541">
        <v>1911</v>
      </c>
      <c r="C4541" t="s">
        <v>26</v>
      </c>
      <c r="D4541">
        <v>3293</v>
      </c>
      <c r="E4541" t="s">
        <v>445</v>
      </c>
      <c r="F4541" s="4">
        <v>0</v>
      </c>
      <c r="G4541" s="4">
        <v>2484</v>
      </c>
      <c r="H4541" s="4">
        <v>105</v>
      </c>
      <c r="I4541" s="4">
        <v>2379</v>
      </c>
      <c r="J4541" s="4">
        <v>2484</v>
      </c>
    </row>
    <row r="4542" spans="1:10" x14ac:dyDescent="0.75">
      <c r="A4542" t="s">
        <v>151</v>
      </c>
      <c r="B4542">
        <v>1911</v>
      </c>
      <c r="C4542" t="s">
        <v>26</v>
      </c>
      <c r="D4542">
        <v>4322</v>
      </c>
      <c r="E4542" t="s">
        <v>398</v>
      </c>
      <c r="F4542" s="4">
        <v>0</v>
      </c>
      <c r="G4542" s="4">
        <v>2453</v>
      </c>
      <c r="H4542" s="4">
        <v>1672</v>
      </c>
      <c r="I4542" s="4">
        <v>781</v>
      </c>
      <c r="J4542" s="4">
        <v>2453</v>
      </c>
    </row>
    <row r="4543" spans="1:10" x14ac:dyDescent="0.75">
      <c r="A4543" t="s">
        <v>151</v>
      </c>
      <c r="B4543">
        <v>1911</v>
      </c>
      <c r="C4543" t="s">
        <v>26</v>
      </c>
      <c r="D4543">
        <v>1100</v>
      </c>
      <c r="E4543" t="s">
        <v>397</v>
      </c>
      <c r="F4543" s="4">
        <v>0</v>
      </c>
      <c r="G4543" s="4">
        <v>2110</v>
      </c>
      <c r="H4543" s="4">
        <v>2057</v>
      </c>
      <c r="I4543" s="4">
        <v>53</v>
      </c>
      <c r="J4543" s="4">
        <v>2110</v>
      </c>
    </row>
    <row r="4544" spans="1:10" x14ac:dyDescent="0.75">
      <c r="A4544" t="s">
        <v>151</v>
      </c>
      <c r="B4544">
        <v>1911</v>
      </c>
      <c r="C4544" t="s">
        <v>26</v>
      </c>
      <c r="D4544">
        <v>3240</v>
      </c>
      <c r="E4544" t="s">
        <v>410</v>
      </c>
      <c r="F4544" s="4">
        <v>0</v>
      </c>
      <c r="G4544" s="4">
        <v>2057</v>
      </c>
      <c r="H4544" s="4">
        <v>667</v>
      </c>
      <c r="I4544" s="4">
        <v>1390</v>
      </c>
      <c r="J4544" s="4">
        <v>2057</v>
      </c>
    </row>
    <row r="4545" spans="1:10" x14ac:dyDescent="0.75">
      <c r="A4545" t="s">
        <v>151</v>
      </c>
      <c r="B4545">
        <v>1911</v>
      </c>
      <c r="C4545" t="s">
        <v>26</v>
      </c>
      <c r="D4545">
        <v>3219</v>
      </c>
      <c r="E4545" t="s">
        <v>378</v>
      </c>
      <c r="F4545" s="4">
        <v>0</v>
      </c>
      <c r="G4545" s="4">
        <v>1739</v>
      </c>
      <c r="H4545" s="4">
        <v>335</v>
      </c>
      <c r="I4545" s="4">
        <v>1404</v>
      </c>
      <c r="J4545" s="4">
        <v>1739</v>
      </c>
    </row>
    <row r="4546" spans="1:10" x14ac:dyDescent="0.75">
      <c r="A4546" t="s">
        <v>151</v>
      </c>
      <c r="B4546">
        <v>1911</v>
      </c>
      <c r="C4546" t="s">
        <v>26</v>
      </c>
      <c r="D4546">
        <v>6590</v>
      </c>
      <c r="E4546" t="s">
        <v>394</v>
      </c>
      <c r="F4546" s="4">
        <v>0</v>
      </c>
      <c r="G4546" s="4">
        <v>1730</v>
      </c>
      <c r="H4546" s="4">
        <v>1208</v>
      </c>
      <c r="I4546" s="4">
        <v>522</v>
      </c>
      <c r="J4546" s="4">
        <v>1730</v>
      </c>
    </row>
    <row r="4547" spans="1:10" x14ac:dyDescent="0.75">
      <c r="A4547" t="s">
        <v>151</v>
      </c>
      <c r="B4547">
        <v>1911</v>
      </c>
      <c r="C4547" t="s">
        <v>26</v>
      </c>
      <c r="D4547">
        <v>3260</v>
      </c>
      <c r="E4547" t="s">
        <v>436</v>
      </c>
      <c r="F4547" s="4">
        <v>0</v>
      </c>
      <c r="G4547" s="4">
        <v>1667</v>
      </c>
      <c r="H4547" s="4">
        <v>901</v>
      </c>
      <c r="I4547" s="4">
        <v>766</v>
      </c>
      <c r="J4547" s="4">
        <v>1667</v>
      </c>
    </row>
    <row r="4548" spans="1:10" x14ac:dyDescent="0.75">
      <c r="A4548" t="s">
        <v>151</v>
      </c>
      <c r="B4548">
        <v>1911</v>
      </c>
      <c r="C4548" t="s">
        <v>26</v>
      </c>
      <c r="D4548">
        <v>6838</v>
      </c>
      <c r="E4548" t="s">
        <v>484</v>
      </c>
      <c r="F4548" s="4">
        <v>0</v>
      </c>
      <c r="G4548" s="4">
        <v>1474</v>
      </c>
      <c r="H4548" s="4">
        <v>1456</v>
      </c>
      <c r="I4548" s="4">
        <v>18</v>
      </c>
      <c r="J4548" s="4">
        <v>1474</v>
      </c>
    </row>
    <row r="4549" spans="1:10" x14ac:dyDescent="0.75">
      <c r="A4549" t="s">
        <v>151</v>
      </c>
      <c r="B4549">
        <v>1911</v>
      </c>
      <c r="C4549" t="s">
        <v>26</v>
      </c>
      <c r="D4549">
        <v>2350</v>
      </c>
      <c r="E4549" t="s">
        <v>404</v>
      </c>
      <c r="F4549" s="4">
        <v>0</v>
      </c>
      <c r="G4549" s="4">
        <v>1378</v>
      </c>
      <c r="H4549" s="4">
        <v>190</v>
      </c>
      <c r="I4549" s="4">
        <v>1188</v>
      </c>
      <c r="J4549" s="4">
        <v>1378</v>
      </c>
    </row>
    <row r="4550" spans="1:10" x14ac:dyDescent="0.75">
      <c r="A4550" t="s">
        <v>151</v>
      </c>
      <c r="B4550">
        <v>1911</v>
      </c>
      <c r="C4550" t="s">
        <v>26</v>
      </c>
      <c r="D4550">
        <v>3130</v>
      </c>
      <c r="E4550" t="s">
        <v>407</v>
      </c>
      <c r="F4550" s="4">
        <v>0</v>
      </c>
      <c r="G4550" s="4">
        <v>1374</v>
      </c>
      <c r="H4550" s="4">
        <v>1195</v>
      </c>
      <c r="I4550" s="4">
        <v>179</v>
      </c>
      <c r="J4550" s="4">
        <v>1374</v>
      </c>
    </row>
    <row r="4551" spans="1:10" x14ac:dyDescent="0.75">
      <c r="A4551" t="s">
        <v>151</v>
      </c>
      <c r="B4551">
        <v>1911</v>
      </c>
      <c r="C4551" t="s">
        <v>26</v>
      </c>
      <c r="D4551">
        <v>6781</v>
      </c>
      <c r="E4551" t="s">
        <v>479</v>
      </c>
      <c r="F4551" s="4">
        <v>0</v>
      </c>
      <c r="G4551" s="4">
        <v>1341</v>
      </c>
      <c r="H4551" s="4">
        <v>970</v>
      </c>
      <c r="I4551" s="4">
        <v>371</v>
      </c>
      <c r="J4551" s="4">
        <v>1341</v>
      </c>
    </row>
    <row r="4552" spans="1:10" x14ac:dyDescent="0.75">
      <c r="A4552" t="s">
        <v>151</v>
      </c>
      <c r="B4552">
        <v>1911</v>
      </c>
      <c r="C4552" t="s">
        <v>26</v>
      </c>
      <c r="D4552">
        <v>6522</v>
      </c>
      <c r="E4552" t="s">
        <v>393</v>
      </c>
      <c r="F4552" s="4">
        <v>0</v>
      </c>
      <c r="G4552" s="4">
        <v>1312</v>
      </c>
      <c r="H4552" s="4">
        <v>43</v>
      </c>
      <c r="I4552" s="4">
        <v>1269</v>
      </c>
      <c r="J4552" s="4">
        <v>1312</v>
      </c>
    </row>
    <row r="4553" spans="1:10" x14ac:dyDescent="0.75">
      <c r="A4553" t="s">
        <v>151</v>
      </c>
      <c r="B4553">
        <v>1911</v>
      </c>
      <c r="C4553" t="s">
        <v>26</v>
      </c>
      <c r="D4553">
        <v>5390</v>
      </c>
      <c r="E4553" t="s">
        <v>418</v>
      </c>
      <c r="F4553" s="4">
        <v>0</v>
      </c>
      <c r="G4553" s="4">
        <v>1220</v>
      </c>
      <c r="H4553" s="4">
        <v>679</v>
      </c>
      <c r="I4553" s="4">
        <v>541</v>
      </c>
      <c r="J4553" s="4">
        <v>1220</v>
      </c>
    </row>
    <row r="4554" spans="1:10" x14ac:dyDescent="0.75">
      <c r="A4554" t="s">
        <v>151</v>
      </c>
      <c r="B4554">
        <v>1911</v>
      </c>
      <c r="C4554" t="s">
        <v>26</v>
      </c>
      <c r="D4554">
        <v>2540</v>
      </c>
      <c r="E4554" t="s">
        <v>377</v>
      </c>
      <c r="F4554" s="4">
        <v>0</v>
      </c>
      <c r="G4554" s="4">
        <v>1004</v>
      </c>
      <c r="H4554" s="4">
        <v>966</v>
      </c>
      <c r="I4554" s="4">
        <v>38</v>
      </c>
      <c r="J4554" s="4">
        <v>1004</v>
      </c>
    </row>
    <row r="4555" spans="1:10" x14ac:dyDescent="0.75">
      <c r="A4555" t="s">
        <v>151</v>
      </c>
      <c r="B4555">
        <v>1911</v>
      </c>
      <c r="C4555" t="s">
        <v>26</v>
      </c>
      <c r="D4555">
        <v>3283</v>
      </c>
      <c r="E4555" t="s">
        <v>441</v>
      </c>
      <c r="F4555" s="4">
        <v>0</v>
      </c>
      <c r="G4555" s="4">
        <v>958</v>
      </c>
      <c r="H4555" s="4">
        <v>181</v>
      </c>
      <c r="I4555" s="4">
        <v>777</v>
      </c>
      <c r="J4555" s="4">
        <v>958</v>
      </c>
    </row>
    <row r="4556" spans="1:10" x14ac:dyDescent="0.75">
      <c r="A4556" t="s">
        <v>151</v>
      </c>
      <c r="B4556">
        <v>1911</v>
      </c>
      <c r="C4556" t="s">
        <v>26</v>
      </c>
      <c r="D4556">
        <v>3110</v>
      </c>
      <c r="E4556" t="s">
        <v>405</v>
      </c>
      <c r="F4556" s="4">
        <v>0</v>
      </c>
      <c r="G4556" s="4">
        <v>881</v>
      </c>
      <c r="H4556" s="4">
        <v>541</v>
      </c>
      <c r="I4556" s="4">
        <v>340</v>
      </c>
      <c r="J4556" s="4">
        <v>881</v>
      </c>
    </row>
    <row r="4557" spans="1:10" x14ac:dyDescent="0.75">
      <c r="A4557" t="s">
        <v>151</v>
      </c>
      <c r="B4557">
        <v>1911</v>
      </c>
      <c r="C4557" t="s">
        <v>26</v>
      </c>
      <c r="D4557">
        <v>4110</v>
      </c>
      <c r="E4557" t="s">
        <v>449</v>
      </c>
      <c r="F4557" s="4">
        <v>0</v>
      </c>
      <c r="G4557" s="4">
        <v>577</v>
      </c>
      <c r="H4557" s="4">
        <v>486</v>
      </c>
      <c r="I4557" s="4">
        <v>91</v>
      </c>
      <c r="J4557" s="4">
        <v>577</v>
      </c>
    </row>
    <row r="4558" spans="1:10" x14ac:dyDescent="0.75">
      <c r="A4558" t="s">
        <v>151</v>
      </c>
      <c r="B4558">
        <v>1911</v>
      </c>
      <c r="C4558" t="s">
        <v>26</v>
      </c>
      <c r="D4558">
        <v>7300</v>
      </c>
      <c r="E4558" t="s">
        <v>501</v>
      </c>
      <c r="F4558" s="4">
        <v>0</v>
      </c>
      <c r="G4558" s="4">
        <v>514</v>
      </c>
      <c r="H4558" s="4">
        <v>374</v>
      </c>
      <c r="I4558" s="4">
        <v>140</v>
      </c>
      <c r="J4558" s="4">
        <v>514</v>
      </c>
    </row>
    <row r="4559" spans="1:10" x14ac:dyDescent="0.75">
      <c r="A4559" t="s">
        <v>151</v>
      </c>
      <c r="B4559">
        <v>1911</v>
      </c>
      <c r="C4559" t="s">
        <v>26</v>
      </c>
      <c r="D4559">
        <v>3273</v>
      </c>
      <c r="E4559" t="s">
        <v>411</v>
      </c>
      <c r="F4559" s="4">
        <v>0</v>
      </c>
      <c r="G4559" s="4">
        <v>487</v>
      </c>
      <c r="H4559" s="4">
        <v>8</v>
      </c>
      <c r="I4559" s="4">
        <v>479</v>
      </c>
      <c r="J4559" s="4">
        <v>487</v>
      </c>
    </row>
    <row r="4560" spans="1:10" x14ac:dyDescent="0.75">
      <c r="A4560" t="s">
        <v>151</v>
      </c>
      <c r="B4560">
        <v>1911</v>
      </c>
      <c r="C4560" t="s">
        <v>26</v>
      </c>
      <c r="D4560">
        <v>5315</v>
      </c>
      <c r="E4560" t="s">
        <v>417</v>
      </c>
      <c r="F4560" s="4">
        <v>0</v>
      </c>
      <c r="G4560" s="4">
        <v>437</v>
      </c>
      <c r="H4560" s="4">
        <v>391</v>
      </c>
      <c r="I4560" s="4">
        <v>46</v>
      </c>
      <c r="J4560" s="4">
        <v>437</v>
      </c>
    </row>
    <row r="4561" spans="1:10" x14ac:dyDescent="0.75">
      <c r="A4561" t="s">
        <v>151</v>
      </c>
      <c r="B4561">
        <v>1911</v>
      </c>
      <c r="C4561" t="s">
        <v>26</v>
      </c>
      <c r="D4561">
        <v>6872</v>
      </c>
      <c r="E4561" t="s">
        <v>492</v>
      </c>
      <c r="F4561" s="4">
        <v>0</v>
      </c>
      <c r="G4561" s="4">
        <v>384</v>
      </c>
      <c r="H4561" s="4">
        <v>211</v>
      </c>
      <c r="I4561" s="4">
        <v>173</v>
      </c>
      <c r="J4561" s="4">
        <v>384</v>
      </c>
    </row>
    <row r="4562" spans="1:10" x14ac:dyDescent="0.75">
      <c r="A4562" t="s">
        <v>151</v>
      </c>
      <c r="B4562">
        <v>1911</v>
      </c>
      <c r="C4562" t="s">
        <v>26</v>
      </c>
      <c r="D4562">
        <v>6445</v>
      </c>
      <c r="E4562" t="s">
        <v>474</v>
      </c>
      <c r="F4562" s="4">
        <v>0</v>
      </c>
      <c r="G4562" s="4">
        <v>383</v>
      </c>
      <c r="H4562" s="4">
        <v>230</v>
      </c>
      <c r="I4562" s="4">
        <v>153</v>
      </c>
      <c r="J4562" s="4">
        <v>383</v>
      </c>
    </row>
    <row r="4563" spans="1:10" x14ac:dyDescent="0.75">
      <c r="A4563" t="s">
        <v>151</v>
      </c>
      <c r="B4563">
        <v>1911</v>
      </c>
      <c r="C4563" t="s">
        <v>26</v>
      </c>
      <c r="D4563">
        <v>3298</v>
      </c>
      <c r="E4563" t="s">
        <v>447</v>
      </c>
      <c r="F4563" s="4">
        <v>0</v>
      </c>
      <c r="G4563" s="4">
        <v>324</v>
      </c>
      <c r="H4563" s="4">
        <v>167</v>
      </c>
      <c r="I4563" s="4">
        <v>157</v>
      </c>
      <c r="J4563" s="4">
        <v>324</v>
      </c>
    </row>
    <row r="4564" spans="1:10" x14ac:dyDescent="0.75">
      <c r="A4564" t="s">
        <v>151</v>
      </c>
      <c r="B4564">
        <v>1911</v>
      </c>
      <c r="C4564" t="s">
        <v>26</v>
      </c>
      <c r="D4564">
        <v>3272</v>
      </c>
      <c r="E4564" t="s">
        <v>504</v>
      </c>
      <c r="F4564" s="4">
        <v>0</v>
      </c>
      <c r="G4564" s="4">
        <v>275</v>
      </c>
      <c r="H4564" s="4">
        <v>1</v>
      </c>
      <c r="I4564" s="4">
        <v>274</v>
      </c>
      <c r="J4564" s="4">
        <v>275</v>
      </c>
    </row>
    <row r="4565" spans="1:10" x14ac:dyDescent="0.75">
      <c r="A4565" t="s">
        <v>151</v>
      </c>
      <c r="B4565">
        <v>1911</v>
      </c>
      <c r="C4565" t="s">
        <v>26</v>
      </c>
      <c r="D4565">
        <v>2410</v>
      </c>
      <c r="E4565" t="s">
        <v>430</v>
      </c>
      <c r="F4565" s="4">
        <v>0</v>
      </c>
      <c r="G4565" s="4">
        <v>272</v>
      </c>
      <c r="H4565" s="4">
        <v>29</v>
      </c>
      <c r="I4565" s="4">
        <v>243</v>
      </c>
      <c r="J4565" s="4">
        <v>272</v>
      </c>
    </row>
    <row r="4566" spans="1:10" x14ac:dyDescent="0.75">
      <c r="A4566" t="s">
        <v>151</v>
      </c>
      <c r="B4566">
        <v>1911</v>
      </c>
      <c r="C4566" t="s">
        <v>26</v>
      </c>
      <c r="D4566">
        <v>4161</v>
      </c>
      <c r="E4566" t="s">
        <v>421</v>
      </c>
      <c r="F4566" s="4">
        <v>0</v>
      </c>
      <c r="G4566" s="4">
        <v>262</v>
      </c>
      <c r="H4566" s="4">
        <v>72</v>
      </c>
      <c r="I4566" s="4">
        <v>190</v>
      </c>
      <c r="J4566" s="4">
        <v>262</v>
      </c>
    </row>
    <row r="4567" spans="1:10" x14ac:dyDescent="0.75">
      <c r="A4567" t="s">
        <v>151</v>
      </c>
      <c r="B4567">
        <v>1911</v>
      </c>
      <c r="C4567" t="s">
        <v>26</v>
      </c>
      <c r="D4567">
        <v>6241</v>
      </c>
      <c r="E4567" t="s">
        <v>391</v>
      </c>
      <c r="F4567" s="4">
        <v>0</v>
      </c>
      <c r="G4567" s="4">
        <v>238</v>
      </c>
      <c r="H4567" s="4">
        <v>11</v>
      </c>
      <c r="I4567" s="4">
        <v>227</v>
      </c>
      <c r="J4567" s="4">
        <v>238</v>
      </c>
    </row>
    <row r="4568" spans="1:10" x14ac:dyDescent="0.75">
      <c r="A4568" t="s">
        <v>151</v>
      </c>
      <c r="B4568">
        <v>1911</v>
      </c>
      <c r="C4568" t="s">
        <v>26</v>
      </c>
      <c r="D4568">
        <v>4515</v>
      </c>
      <c r="E4568" t="s">
        <v>455</v>
      </c>
      <c r="F4568" s="4">
        <v>0</v>
      </c>
      <c r="G4568" s="4">
        <v>181</v>
      </c>
      <c r="H4568" s="4">
        <v>181</v>
      </c>
      <c r="I4568" s="4">
        <v>0</v>
      </c>
      <c r="J4568" s="4">
        <v>181</v>
      </c>
    </row>
    <row r="4569" spans="1:10" x14ac:dyDescent="0.75">
      <c r="A4569" t="s">
        <v>151</v>
      </c>
      <c r="B4569">
        <v>1911</v>
      </c>
      <c r="C4569" t="s">
        <v>26</v>
      </c>
      <c r="D4569">
        <v>2429</v>
      </c>
      <c r="E4569" t="s">
        <v>375</v>
      </c>
      <c r="F4569" s="4">
        <v>0</v>
      </c>
      <c r="G4569" s="4">
        <v>161</v>
      </c>
      <c r="H4569" s="4">
        <v>0</v>
      </c>
      <c r="I4569" s="4">
        <v>161</v>
      </c>
      <c r="J4569" s="4">
        <v>161</v>
      </c>
    </row>
    <row r="4570" spans="1:10" x14ac:dyDescent="0.75">
      <c r="A4570" t="s">
        <v>151</v>
      </c>
      <c r="B4570">
        <v>1911</v>
      </c>
      <c r="C4570" t="s">
        <v>26</v>
      </c>
      <c r="D4570">
        <v>6521</v>
      </c>
      <c r="E4570" t="s">
        <v>476</v>
      </c>
      <c r="F4570" s="4">
        <v>0</v>
      </c>
      <c r="G4570" s="4">
        <v>149</v>
      </c>
      <c r="H4570" s="4">
        <v>25</v>
      </c>
      <c r="I4570" s="4">
        <v>124</v>
      </c>
      <c r="J4570" s="4">
        <v>149</v>
      </c>
    </row>
    <row r="4571" spans="1:10" x14ac:dyDescent="0.75">
      <c r="A4571" t="s">
        <v>151</v>
      </c>
      <c r="B4571">
        <v>1911</v>
      </c>
      <c r="C4571" t="s">
        <v>26</v>
      </c>
      <c r="D4571">
        <v>6447</v>
      </c>
      <c r="E4571" t="s">
        <v>475</v>
      </c>
      <c r="F4571" s="4">
        <v>0</v>
      </c>
      <c r="G4571" s="4">
        <v>118</v>
      </c>
      <c r="H4571" s="4">
        <v>32</v>
      </c>
      <c r="I4571" s="4">
        <v>86</v>
      </c>
      <c r="J4571" s="4">
        <v>118</v>
      </c>
    </row>
    <row r="4572" spans="1:10" x14ac:dyDescent="0.75">
      <c r="A4572" t="s">
        <v>151</v>
      </c>
      <c r="B4572">
        <v>1911</v>
      </c>
      <c r="C4572" t="s">
        <v>26</v>
      </c>
      <c r="D4572">
        <v>4410</v>
      </c>
      <c r="E4572" t="s">
        <v>399</v>
      </c>
      <c r="F4572" s="4">
        <v>0</v>
      </c>
      <c r="G4572" s="4">
        <v>108</v>
      </c>
      <c r="H4572" s="4">
        <v>0</v>
      </c>
      <c r="I4572" s="4">
        <v>108</v>
      </c>
      <c r="J4572" s="4">
        <v>108</v>
      </c>
    </row>
    <row r="4573" spans="1:10" x14ac:dyDescent="0.75">
      <c r="A4573" t="s">
        <v>151</v>
      </c>
      <c r="B4573">
        <v>1911</v>
      </c>
      <c r="C4573" t="s">
        <v>26</v>
      </c>
      <c r="D4573">
        <v>5210</v>
      </c>
      <c r="E4573" t="s">
        <v>463</v>
      </c>
      <c r="F4573" s="4">
        <v>0</v>
      </c>
      <c r="G4573" s="4">
        <v>78</v>
      </c>
      <c r="H4573" s="4">
        <v>53</v>
      </c>
      <c r="I4573" s="4">
        <v>25</v>
      </c>
      <c r="J4573" s="4">
        <v>78</v>
      </c>
    </row>
    <row r="4574" spans="1:10" x14ac:dyDescent="0.75">
      <c r="A4574" t="s">
        <v>151</v>
      </c>
      <c r="B4574">
        <v>1911</v>
      </c>
      <c r="C4574" t="s">
        <v>26</v>
      </c>
      <c r="D4574">
        <v>6534</v>
      </c>
      <c r="E4574" t="s">
        <v>508</v>
      </c>
      <c r="F4574" s="4">
        <v>0</v>
      </c>
      <c r="G4574" s="4">
        <v>69</v>
      </c>
      <c r="H4574" s="4">
        <v>69</v>
      </c>
      <c r="I4574" s="4">
        <v>0</v>
      </c>
      <c r="J4574" s="4">
        <v>69</v>
      </c>
    </row>
    <row r="4575" spans="1:10" x14ac:dyDescent="0.75">
      <c r="A4575" t="s">
        <v>151</v>
      </c>
      <c r="B4575">
        <v>1911</v>
      </c>
      <c r="C4575" t="s">
        <v>26</v>
      </c>
      <c r="D4575">
        <v>2990</v>
      </c>
      <c r="E4575" t="s">
        <v>432</v>
      </c>
      <c r="F4575" s="4">
        <v>0</v>
      </c>
      <c r="G4575" s="4">
        <v>68</v>
      </c>
      <c r="H4575" s="4">
        <v>68</v>
      </c>
      <c r="I4575" s="4">
        <v>0</v>
      </c>
      <c r="J4575" s="4">
        <v>68</v>
      </c>
    </row>
    <row r="4576" spans="1:10" x14ac:dyDescent="0.75">
      <c r="A4576" t="s">
        <v>151</v>
      </c>
      <c r="B4576">
        <v>1911</v>
      </c>
      <c r="C4576" t="s">
        <v>26</v>
      </c>
      <c r="D4576">
        <v>4741</v>
      </c>
      <c r="E4576" t="s">
        <v>425</v>
      </c>
      <c r="F4576" s="4">
        <v>0</v>
      </c>
      <c r="G4576" s="4">
        <v>27</v>
      </c>
      <c r="H4576" s="4">
        <v>1</v>
      </c>
      <c r="I4576" s="4">
        <v>26</v>
      </c>
      <c r="J4576" s="4">
        <v>27</v>
      </c>
    </row>
    <row r="4577" spans="1:10" x14ac:dyDescent="0.75">
      <c r="A4577" t="s">
        <v>151</v>
      </c>
      <c r="B4577">
        <v>1911</v>
      </c>
      <c r="C4577" t="s">
        <v>26</v>
      </c>
      <c r="D4577">
        <v>3212</v>
      </c>
      <c r="E4577" t="s">
        <v>409</v>
      </c>
      <c r="F4577" s="4">
        <v>0</v>
      </c>
      <c r="G4577" s="4">
        <v>12</v>
      </c>
      <c r="H4577" s="4">
        <v>0</v>
      </c>
      <c r="I4577" s="4">
        <v>12</v>
      </c>
      <c r="J4577" s="4">
        <v>12</v>
      </c>
    </row>
    <row r="4578" spans="1:10" x14ac:dyDescent="0.75">
      <c r="A4578" t="s">
        <v>151</v>
      </c>
      <c r="B4578">
        <v>1911</v>
      </c>
      <c r="C4578" t="s">
        <v>26</v>
      </c>
      <c r="D4578">
        <v>5320</v>
      </c>
      <c r="E4578" t="s">
        <v>384</v>
      </c>
      <c r="F4578" s="4">
        <v>0</v>
      </c>
      <c r="G4578" s="4">
        <v>7</v>
      </c>
      <c r="H4578" s="4">
        <v>3</v>
      </c>
      <c r="I4578" s="4">
        <v>4</v>
      </c>
      <c r="J4578" s="4">
        <v>7</v>
      </c>
    </row>
    <row r="4579" spans="1:10" x14ac:dyDescent="0.75">
      <c r="A4579" t="s">
        <v>151</v>
      </c>
      <c r="B4579">
        <v>1911</v>
      </c>
      <c r="C4579" t="s">
        <v>26</v>
      </c>
      <c r="D4579">
        <v>4670</v>
      </c>
      <c r="E4579" t="s">
        <v>458</v>
      </c>
      <c r="F4579" s="4">
        <v>0</v>
      </c>
      <c r="G4579" s="4">
        <v>5</v>
      </c>
      <c r="H4579" s="4">
        <v>4</v>
      </c>
      <c r="I4579" s="4">
        <v>1</v>
      </c>
      <c r="J4579" s="4">
        <v>5</v>
      </c>
    </row>
    <row r="4580" spans="1:10" x14ac:dyDescent="0.75">
      <c r="A4580" t="s">
        <v>151</v>
      </c>
      <c r="B4580">
        <v>1911</v>
      </c>
      <c r="C4580" t="s">
        <v>26</v>
      </c>
      <c r="D4580">
        <v>6865</v>
      </c>
      <c r="E4580" t="s">
        <v>490</v>
      </c>
      <c r="F4580" s="4">
        <v>0</v>
      </c>
      <c r="G4580" s="4">
        <v>2</v>
      </c>
      <c r="H4580" s="4">
        <v>0</v>
      </c>
      <c r="I4580" s="4">
        <v>2</v>
      </c>
      <c r="J4580" s="4">
        <v>2</v>
      </c>
    </row>
    <row r="4581" spans="1:10" x14ac:dyDescent="0.75">
      <c r="A4581" t="s">
        <v>151</v>
      </c>
      <c r="B4581">
        <v>1911</v>
      </c>
      <c r="C4581" t="s">
        <v>26</v>
      </c>
      <c r="D4581">
        <v>3281</v>
      </c>
      <c r="E4581" t="s">
        <v>439</v>
      </c>
      <c r="F4581" s="4">
        <v>0</v>
      </c>
      <c r="G4581" s="4">
        <v>1</v>
      </c>
      <c r="H4581" s="4">
        <v>0</v>
      </c>
      <c r="I4581" s="4">
        <v>1</v>
      </c>
      <c r="J4581" s="4">
        <v>1</v>
      </c>
    </row>
    <row r="4582" spans="1:10" x14ac:dyDescent="0.75">
      <c r="A4582" t="s">
        <v>151</v>
      </c>
      <c r="B4582">
        <v>2408</v>
      </c>
      <c r="C4582" t="s">
        <v>58</v>
      </c>
      <c r="D4582">
        <v>2640</v>
      </c>
      <c r="E4582" t="s">
        <v>431</v>
      </c>
      <c r="F4582" s="4">
        <v>23731</v>
      </c>
      <c r="G4582" s="4">
        <v>22205105</v>
      </c>
      <c r="H4582" s="4">
        <v>1799</v>
      </c>
      <c r="I4582" s="4">
        <v>22203306</v>
      </c>
      <c r="J4582" s="4">
        <v>22228836</v>
      </c>
    </row>
    <row r="4583" spans="1:10" x14ac:dyDescent="0.75">
      <c r="A4583" t="s">
        <v>151</v>
      </c>
      <c r="B4583">
        <v>2408</v>
      </c>
      <c r="C4583" t="s">
        <v>58</v>
      </c>
      <c r="D4583">
        <v>2100</v>
      </c>
      <c r="E4583" t="s">
        <v>403</v>
      </c>
      <c r="F4583" s="4">
        <v>83939</v>
      </c>
      <c r="G4583" s="4">
        <v>8332121</v>
      </c>
      <c r="H4583" s="4">
        <v>3032623</v>
      </c>
      <c r="I4583" s="4">
        <v>5299498</v>
      </c>
      <c r="J4583" s="4">
        <v>8416060</v>
      </c>
    </row>
    <row r="4584" spans="1:10" x14ac:dyDescent="0.75">
      <c r="A4584" t="s">
        <v>151</v>
      </c>
      <c r="B4584">
        <v>2408</v>
      </c>
      <c r="C4584" t="s">
        <v>58</v>
      </c>
      <c r="D4584">
        <v>2429</v>
      </c>
      <c r="E4584" t="s">
        <v>375</v>
      </c>
      <c r="F4584" s="4">
        <v>442743</v>
      </c>
      <c r="G4584" s="4">
        <v>1072557</v>
      </c>
      <c r="H4584" s="4">
        <v>0</v>
      </c>
      <c r="I4584" s="4">
        <v>1072557</v>
      </c>
      <c r="J4584" s="4">
        <v>1515300</v>
      </c>
    </row>
    <row r="4585" spans="1:10" x14ac:dyDescent="0.75">
      <c r="A4585" t="s">
        <v>151</v>
      </c>
      <c r="B4585">
        <v>2408</v>
      </c>
      <c r="C4585" t="s">
        <v>58</v>
      </c>
      <c r="D4585">
        <v>3220</v>
      </c>
      <c r="E4585" t="s">
        <v>370</v>
      </c>
      <c r="F4585" s="4">
        <v>250577</v>
      </c>
      <c r="G4585" s="4">
        <v>1059625</v>
      </c>
      <c r="H4585" s="4">
        <v>21869</v>
      </c>
      <c r="I4585" s="4">
        <v>1037756</v>
      </c>
      <c r="J4585" s="4">
        <v>1310202</v>
      </c>
    </row>
    <row r="4586" spans="1:10" x14ac:dyDescent="0.75">
      <c r="A4586" t="s">
        <v>151</v>
      </c>
      <c r="B4586">
        <v>2408</v>
      </c>
      <c r="C4586" t="s">
        <v>58</v>
      </c>
      <c r="D4586">
        <v>3274</v>
      </c>
      <c r="E4586" t="s">
        <v>438</v>
      </c>
      <c r="F4586" s="4">
        <v>183218</v>
      </c>
      <c r="G4586" s="4">
        <v>1095520</v>
      </c>
      <c r="H4586" s="4">
        <v>0</v>
      </c>
      <c r="I4586" s="4">
        <v>1095520</v>
      </c>
      <c r="J4586" s="4">
        <v>1278738</v>
      </c>
    </row>
    <row r="4587" spans="1:10" x14ac:dyDescent="0.75">
      <c r="A4587" t="s">
        <v>151</v>
      </c>
      <c r="B4587">
        <v>2408</v>
      </c>
      <c r="C4587" t="s">
        <v>58</v>
      </c>
      <c r="D4587">
        <v>2330</v>
      </c>
      <c r="E4587" t="s">
        <v>368</v>
      </c>
      <c r="F4587" s="4">
        <v>679035</v>
      </c>
      <c r="G4587" s="4">
        <v>327147</v>
      </c>
      <c r="H4587" s="4">
        <v>152569</v>
      </c>
      <c r="I4587" s="4">
        <v>174578</v>
      </c>
      <c r="J4587" s="4">
        <v>1006182</v>
      </c>
    </row>
    <row r="4588" spans="1:10" x14ac:dyDescent="0.75">
      <c r="A4588" t="s">
        <v>151</v>
      </c>
      <c r="B4588">
        <v>2408</v>
      </c>
      <c r="C4588" t="s">
        <v>58</v>
      </c>
      <c r="D4588">
        <v>3211</v>
      </c>
      <c r="E4588" t="s">
        <v>433</v>
      </c>
      <c r="F4588" s="4">
        <v>255602</v>
      </c>
      <c r="G4588" s="4">
        <v>689419</v>
      </c>
      <c r="H4588" s="4">
        <v>9962</v>
      </c>
      <c r="I4588" s="4">
        <v>679457</v>
      </c>
      <c r="J4588" s="4">
        <v>945021</v>
      </c>
    </row>
    <row r="4589" spans="1:10" x14ac:dyDescent="0.75">
      <c r="A4589" t="s">
        <v>151</v>
      </c>
      <c r="B4589">
        <v>2408</v>
      </c>
      <c r="C4589" t="s">
        <v>58</v>
      </c>
      <c r="D4589">
        <v>3219</v>
      </c>
      <c r="E4589" t="s">
        <v>378</v>
      </c>
      <c r="F4589" s="4">
        <v>574485</v>
      </c>
      <c r="G4589" s="4">
        <v>321024</v>
      </c>
      <c r="H4589" s="4">
        <v>13821</v>
      </c>
      <c r="I4589" s="4">
        <v>307203</v>
      </c>
      <c r="J4589" s="4">
        <v>895509</v>
      </c>
    </row>
    <row r="4590" spans="1:10" x14ac:dyDescent="0.75">
      <c r="A4590" t="s">
        <v>151</v>
      </c>
      <c r="B4590">
        <v>2408</v>
      </c>
      <c r="C4590" t="s">
        <v>58</v>
      </c>
      <c r="D4590">
        <v>3273</v>
      </c>
      <c r="E4590" t="s">
        <v>411</v>
      </c>
      <c r="F4590" s="4">
        <v>406960</v>
      </c>
      <c r="G4590" s="4">
        <v>72211</v>
      </c>
      <c r="H4590" s="4">
        <v>23820</v>
      </c>
      <c r="I4590" s="4">
        <v>48391</v>
      </c>
      <c r="J4590" s="4">
        <v>479171</v>
      </c>
    </row>
    <row r="4591" spans="1:10" x14ac:dyDescent="0.75">
      <c r="A4591" t="s">
        <v>151</v>
      </c>
      <c r="B4591">
        <v>2408</v>
      </c>
      <c r="C4591" t="s">
        <v>58</v>
      </c>
      <c r="D4591">
        <v>3286</v>
      </c>
      <c r="E4591" t="s">
        <v>423</v>
      </c>
      <c r="F4591" s="4">
        <v>80811</v>
      </c>
      <c r="G4591" s="4">
        <v>323445</v>
      </c>
      <c r="H4591" s="4">
        <v>670</v>
      </c>
      <c r="I4591" s="4">
        <v>322775</v>
      </c>
      <c r="J4591" s="4">
        <v>404256</v>
      </c>
    </row>
    <row r="4592" spans="1:10" x14ac:dyDescent="0.75">
      <c r="A4592" t="s">
        <v>151</v>
      </c>
      <c r="B4592">
        <v>2408</v>
      </c>
      <c r="C4592" t="s">
        <v>58</v>
      </c>
      <c r="D4592">
        <v>5360</v>
      </c>
      <c r="E4592" t="s">
        <v>465</v>
      </c>
      <c r="F4592" s="4">
        <v>60212</v>
      </c>
      <c r="G4592" s="4">
        <v>327308</v>
      </c>
      <c r="H4592" s="4">
        <v>327265</v>
      </c>
      <c r="I4592" s="4">
        <v>43</v>
      </c>
      <c r="J4592" s="4">
        <v>387520</v>
      </c>
    </row>
    <row r="4593" spans="1:10" x14ac:dyDescent="0.75">
      <c r="A4593" t="s">
        <v>151</v>
      </c>
      <c r="B4593">
        <v>2408</v>
      </c>
      <c r="C4593" t="s">
        <v>58</v>
      </c>
      <c r="D4593">
        <v>3212</v>
      </c>
      <c r="E4593" t="s">
        <v>409</v>
      </c>
      <c r="F4593" s="4">
        <v>354959</v>
      </c>
      <c r="G4593" s="4">
        <v>21231</v>
      </c>
      <c r="H4593" s="4">
        <v>20415</v>
      </c>
      <c r="I4593" s="4">
        <v>816</v>
      </c>
      <c r="J4593" s="4">
        <v>376190</v>
      </c>
    </row>
    <row r="4594" spans="1:10" x14ac:dyDescent="0.75">
      <c r="A4594" t="s">
        <v>151</v>
      </c>
      <c r="B4594">
        <v>2408</v>
      </c>
      <c r="C4594" t="s">
        <v>58</v>
      </c>
      <c r="D4594">
        <v>3272</v>
      </c>
      <c r="E4594" t="s">
        <v>504</v>
      </c>
      <c r="F4594" s="4">
        <v>325306</v>
      </c>
      <c r="G4594" s="4">
        <v>0</v>
      </c>
      <c r="H4594" s="4">
        <v>0</v>
      </c>
      <c r="I4594" s="4">
        <v>0</v>
      </c>
      <c r="J4594" s="4">
        <v>325306</v>
      </c>
    </row>
    <row r="4595" spans="1:10" x14ac:dyDescent="0.75">
      <c r="A4595" t="s">
        <v>151</v>
      </c>
      <c r="B4595">
        <v>2408</v>
      </c>
      <c r="C4595" t="s">
        <v>58</v>
      </c>
      <c r="D4595">
        <v>2211</v>
      </c>
      <c r="E4595" t="s">
        <v>367</v>
      </c>
      <c r="F4595" s="4">
        <v>276140</v>
      </c>
      <c r="G4595" s="4">
        <v>6042</v>
      </c>
      <c r="H4595" s="4">
        <v>4185</v>
      </c>
      <c r="I4595" s="4">
        <v>1857</v>
      </c>
      <c r="J4595" s="4">
        <v>282182</v>
      </c>
    </row>
    <row r="4596" spans="1:10" x14ac:dyDescent="0.75">
      <c r="A4596" t="s">
        <v>151</v>
      </c>
      <c r="B4596">
        <v>2408</v>
      </c>
      <c r="C4596" t="s">
        <v>58</v>
      </c>
      <c r="D4596">
        <v>3260</v>
      </c>
      <c r="E4596" t="s">
        <v>436</v>
      </c>
      <c r="F4596" s="4">
        <v>175151</v>
      </c>
      <c r="G4596" s="4">
        <v>103898</v>
      </c>
      <c r="H4596" s="4">
        <v>5387</v>
      </c>
      <c r="I4596" s="4">
        <v>98511</v>
      </c>
      <c r="J4596" s="4">
        <v>279049</v>
      </c>
    </row>
    <row r="4597" spans="1:10" x14ac:dyDescent="0.75">
      <c r="A4597" t="s">
        <v>151</v>
      </c>
      <c r="B4597">
        <v>2408</v>
      </c>
      <c r="C4597" t="s">
        <v>58</v>
      </c>
      <c r="D4597">
        <v>6856</v>
      </c>
      <c r="E4597" t="s">
        <v>486</v>
      </c>
      <c r="F4597" s="4">
        <v>0</v>
      </c>
      <c r="G4597" s="4">
        <v>276338</v>
      </c>
      <c r="H4597" s="4">
        <v>274124</v>
      </c>
      <c r="I4597" s="4">
        <v>2214</v>
      </c>
      <c r="J4597" s="4">
        <v>276338</v>
      </c>
    </row>
    <row r="4598" spans="1:10" x14ac:dyDescent="0.75">
      <c r="A4598" t="s">
        <v>151</v>
      </c>
      <c r="B4598">
        <v>2408</v>
      </c>
      <c r="C4598" t="s">
        <v>58</v>
      </c>
      <c r="D4598">
        <v>4322</v>
      </c>
      <c r="E4598" t="s">
        <v>398</v>
      </c>
      <c r="F4598" s="4">
        <v>0</v>
      </c>
      <c r="G4598" s="4">
        <v>275823</v>
      </c>
      <c r="H4598" s="4">
        <v>275823</v>
      </c>
      <c r="I4598" s="4">
        <v>0</v>
      </c>
      <c r="J4598" s="4">
        <v>275823</v>
      </c>
    </row>
    <row r="4599" spans="1:10" x14ac:dyDescent="0.75">
      <c r="A4599" t="s">
        <v>151</v>
      </c>
      <c r="B4599">
        <v>2408</v>
      </c>
      <c r="C4599" t="s">
        <v>58</v>
      </c>
      <c r="D4599">
        <v>2340</v>
      </c>
      <c r="E4599" t="s">
        <v>369</v>
      </c>
      <c r="F4599" s="4">
        <v>156551</v>
      </c>
      <c r="G4599" s="4">
        <v>112187</v>
      </c>
      <c r="H4599" s="4">
        <v>112187</v>
      </c>
      <c r="I4599" s="4">
        <v>0</v>
      </c>
      <c r="J4599" s="4">
        <v>268738</v>
      </c>
    </row>
    <row r="4600" spans="1:10" x14ac:dyDescent="0.75">
      <c r="A4600" t="s">
        <v>151</v>
      </c>
      <c r="B4600">
        <v>2408</v>
      </c>
      <c r="C4600" t="s">
        <v>58</v>
      </c>
      <c r="D4600">
        <v>3240</v>
      </c>
      <c r="E4600" t="s">
        <v>410</v>
      </c>
      <c r="F4600" s="4">
        <v>145739</v>
      </c>
      <c r="G4600" s="4">
        <v>45490</v>
      </c>
      <c r="H4600" s="4">
        <v>24493</v>
      </c>
      <c r="I4600" s="4">
        <v>20997</v>
      </c>
      <c r="J4600" s="4">
        <v>191229</v>
      </c>
    </row>
    <row r="4601" spans="1:10" x14ac:dyDescent="0.75">
      <c r="A4601" t="s">
        <v>151</v>
      </c>
      <c r="B4601">
        <v>2408</v>
      </c>
      <c r="C4601" t="s">
        <v>58</v>
      </c>
      <c r="D4601">
        <v>7210</v>
      </c>
      <c r="E4601" t="s">
        <v>426</v>
      </c>
      <c r="F4601" s="4">
        <v>0</v>
      </c>
      <c r="G4601" s="4">
        <v>189598</v>
      </c>
      <c r="H4601" s="4">
        <v>83440</v>
      </c>
      <c r="I4601" s="4">
        <v>106158</v>
      </c>
      <c r="J4601" s="4">
        <v>189598</v>
      </c>
    </row>
    <row r="4602" spans="1:10" x14ac:dyDescent="0.75">
      <c r="A4602" t="s">
        <v>151</v>
      </c>
      <c r="B4602">
        <v>2408</v>
      </c>
      <c r="C4602" t="s">
        <v>58</v>
      </c>
      <c r="D4602">
        <v>3230</v>
      </c>
      <c r="E4602" t="s">
        <v>434</v>
      </c>
      <c r="F4602" s="4">
        <v>91260</v>
      </c>
      <c r="G4602" s="4">
        <v>27387</v>
      </c>
      <c r="H4602" s="4">
        <v>7188</v>
      </c>
      <c r="I4602" s="4">
        <v>20199</v>
      </c>
      <c r="J4602" s="4">
        <v>118647</v>
      </c>
    </row>
    <row r="4603" spans="1:10" x14ac:dyDescent="0.75">
      <c r="A4603" t="s">
        <v>151</v>
      </c>
      <c r="B4603">
        <v>2408</v>
      </c>
      <c r="C4603" t="s">
        <v>58</v>
      </c>
      <c r="D4603">
        <v>5370</v>
      </c>
      <c r="E4603" t="s">
        <v>466</v>
      </c>
      <c r="F4603" s="4">
        <v>26769</v>
      </c>
      <c r="G4603" s="4">
        <v>83508</v>
      </c>
      <c r="H4603" s="4">
        <v>83361</v>
      </c>
      <c r="I4603" s="4">
        <v>147</v>
      </c>
      <c r="J4603" s="4">
        <v>110277</v>
      </c>
    </row>
    <row r="4604" spans="1:10" x14ac:dyDescent="0.75">
      <c r="A4604" t="s">
        <v>151</v>
      </c>
      <c r="B4604">
        <v>2408</v>
      </c>
      <c r="C4604" t="s">
        <v>58</v>
      </c>
      <c r="D4604">
        <v>6442</v>
      </c>
      <c r="E4604" t="s">
        <v>472</v>
      </c>
      <c r="F4604" s="4">
        <v>52700</v>
      </c>
      <c r="G4604" s="4">
        <v>37662</v>
      </c>
      <c r="H4604" s="4">
        <v>14</v>
      </c>
      <c r="I4604" s="4">
        <v>37648</v>
      </c>
      <c r="J4604" s="4">
        <v>90362</v>
      </c>
    </row>
    <row r="4605" spans="1:10" x14ac:dyDescent="0.75">
      <c r="A4605" t="s">
        <v>151</v>
      </c>
      <c r="B4605">
        <v>2408</v>
      </c>
      <c r="C4605" t="s">
        <v>58</v>
      </c>
      <c r="D4605">
        <v>7110</v>
      </c>
      <c r="E4605" t="s">
        <v>371</v>
      </c>
      <c r="F4605" s="4">
        <v>1338</v>
      </c>
      <c r="G4605" s="4">
        <v>84554</v>
      </c>
      <c r="H4605" s="4">
        <v>65217</v>
      </c>
      <c r="I4605" s="4">
        <v>19337</v>
      </c>
      <c r="J4605" s="4">
        <v>85892</v>
      </c>
    </row>
    <row r="4606" spans="1:10" x14ac:dyDescent="0.75">
      <c r="A4606" t="s">
        <v>151</v>
      </c>
      <c r="B4606">
        <v>2408</v>
      </c>
      <c r="C4606" t="s">
        <v>58</v>
      </c>
      <c r="D4606">
        <v>4331</v>
      </c>
      <c r="E4606" t="s">
        <v>390</v>
      </c>
      <c r="F4606" s="4">
        <v>0</v>
      </c>
      <c r="G4606" s="4">
        <v>71401</v>
      </c>
      <c r="H4606" s="4">
        <v>71127</v>
      </c>
      <c r="I4606" s="4">
        <v>274</v>
      </c>
      <c r="J4606" s="4">
        <v>71401</v>
      </c>
    </row>
    <row r="4607" spans="1:10" x14ac:dyDescent="0.75">
      <c r="A4607" t="s">
        <v>151</v>
      </c>
      <c r="B4607">
        <v>2408</v>
      </c>
      <c r="C4607" t="s">
        <v>58</v>
      </c>
      <c r="D4607">
        <v>2990</v>
      </c>
      <c r="E4607" t="s">
        <v>432</v>
      </c>
      <c r="F4607" s="4">
        <v>45284</v>
      </c>
      <c r="G4607" s="4">
        <v>536</v>
      </c>
      <c r="H4607" s="4">
        <v>536</v>
      </c>
      <c r="I4607" s="4">
        <v>0</v>
      </c>
      <c r="J4607" s="4">
        <v>45820</v>
      </c>
    </row>
    <row r="4608" spans="1:10" x14ac:dyDescent="0.75">
      <c r="A4608" t="s">
        <v>151</v>
      </c>
      <c r="B4608">
        <v>2408</v>
      </c>
      <c r="C4608" t="s">
        <v>58</v>
      </c>
      <c r="D4608">
        <v>2430</v>
      </c>
      <c r="E4608" t="s">
        <v>376</v>
      </c>
      <c r="F4608" s="4">
        <v>40149</v>
      </c>
      <c r="G4608" s="4">
        <v>2234</v>
      </c>
      <c r="H4608" s="4">
        <v>0</v>
      </c>
      <c r="I4608" s="4">
        <v>2234</v>
      </c>
      <c r="J4608" s="4">
        <v>42383</v>
      </c>
    </row>
    <row r="4609" spans="1:10" x14ac:dyDescent="0.75">
      <c r="A4609" t="s">
        <v>151</v>
      </c>
      <c r="B4609">
        <v>2408</v>
      </c>
      <c r="C4609" t="s">
        <v>58</v>
      </c>
      <c r="D4609">
        <v>7900</v>
      </c>
      <c r="E4609" t="s">
        <v>388</v>
      </c>
      <c r="F4609" s="4">
        <v>4275</v>
      </c>
      <c r="G4609" s="4">
        <v>28093</v>
      </c>
      <c r="H4609" s="4">
        <v>13838</v>
      </c>
      <c r="I4609" s="4">
        <v>14255</v>
      </c>
      <c r="J4609" s="4">
        <v>32368</v>
      </c>
    </row>
    <row r="4610" spans="1:10" x14ac:dyDescent="0.75">
      <c r="A4610" t="s">
        <v>151</v>
      </c>
      <c r="B4610">
        <v>2408</v>
      </c>
      <c r="C4610" t="s">
        <v>58</v>
      </c>
      <c r="D4610">
        <v>3279</v>
      </c>
      <c r="E4610" t="s">
        <v>422</v>
      </c>
      <c r="F4610" s="4">
        <v>0</v>
      </c>
      <c r="G4610" s="4">
        <v>30368</v>
      </c>
      <c r="H4610" s="4">
        <v>11554</v>
      </c>
      <c r="I4610" s="4">
        <v>18814</v>
      </c>
      <c r="J4610" s="4">
        <v>30368</v>
      </c>
    </row>
    <row r="4611" spans="1:10" x14ac:dyDescent="0.75">
      <c r="A4611" t="s">
        <v>151</v>
      </c>
      <c r="B4611">
        <v>2408</v>
      </c>
      <c r="C4611" t="s">
        <v>58</v>
      </c>
      <c r="D4611">
        <v>6857</v>
      </c>
      <c r="E4611" t="s">
        <v>487</v>
      </c>
      <c r="F4611" s="4">
        <v>0</v>
      </c>
      <c r="G4611" s="4">
        <v>26319</v>
      </c>
      <c r="H4611" s="4">
        <v>23217</v>
      </c>
      <c r="I4611" s="4">
        <v>3102</v>
      </c>
      <c r="J4611" s="4">
        <v>26319</v>
      </c>
    </row>
    <row r="4612" spans="1:10" x14ac:dyDescent="0.75">
      <c r="A4612" t="s">
        <v>151</v>
      </c>
      <c r="B4612">
        <v>2408</v>
      </c>
      <c r="C4612" t="s">
        <v>58</v>
      </c>
      <c r="D4612">
        <v>3250</v>
      </c>
      <c r="E4612" t="s">
        <v>435</v>
      </c>
      <c r="F4612" s="4">
        <v>25430</v>
      </c>
      <c r="G4612" s="4">
        <v>122</v>
      </c>
      <c r="H4612" s="4">
        <v>0</v>
      </c>
      <c r="I4612" s="4">
        <v>122</v>
      </c>
      <c r="J4612" s="4">
        <v>25552</v>
      </c>
    </row>
    <row r="4613" spans="1:10" x14ac:dyDescent="0.75">
      <c r="A4613" t="s">
        <v>151</v>
      </c>
      <c r="B4613">
        <v>2408</v>
      </c>
      <c r="C4613" t="s">
        <v>58</v>
      </c>
      <c r="D4613">
        <v>7500</v>
      </c>
      <c r="E4613" t="s">
        <v>427</v>
      </c>
      <c r="F4613" s="4">
        <v>0</v>
      </c>
      <c r="G4613" s="4">
        <v>20703</v>
      </c>
      <c r="H4613" s="4">
        <v>1648</v>
      </c>
      <c r="I4613" s="4">
        <v>19055</v>
      </c>
      <c r="J4613" s="4">
        <v>20703</v>
      </c>
    </row>
    <row r="4614" spans="1:10" x14ac:dyDescent="0.75">
      <c r="A4614" t="s">
        <v>151</v>
      </c>
      <c r="B4614">
        <v>2408</v>
      </c>
      <c r="C4614" t="s">
        <v>58</v>
      </c>
      <c r="D4614">
        <v>5320</v>
      </c>
      <c r="E4614" t="s">
        <v>384</v>
      </c>
      <c r="F4614" s="4">
        <v>0</v>
      </c>
      <c r="G4614" s="4">
        <v>20533</v>
      </c>
      <c r="H4614" s="4">
        <v>20533</v>
      </c>
      <c r="I4614" s="4">
        <v>0</v>
      </c>
      <c r="J4614" s="4">
        <v>20533</v>
      </c>
    </row>
    <row r="4615" spans="1:10" x14ac:dyDescent="0.75">
      <c r="A4615" t="s">
        <v>151</v>
      </c>
      <c r="B4615">
        <v>2408</v>
      </c>
      <c r="C4615" t="s">
        <v>58</v>
      </c>
      <c r="D4615">
        <v>9900</v>
      </c>
      <c r="E4615" t="s">
        <v>389</v>
      </c>
      <c r="F4615" s="4">
        <v>0</v>
      </c>
      <c r="G4615" s="4">
        <v>20139</v>
      </c>
      <c r="H4615" s="4">
        <v>1247</v>
      </c>
      <c r="I4615" s="4">
        <v>18892</v>
      </c>
      <c r="J4615" s="4">
        <v>20139</v>
      </c>
    </row>
    <row r="4616" spans="1:10" x14ac:dyDescent="0.75">
      <c r="A4616" t="s">
        <v>151</v>
      </c>
      <c r="B4616">
        <v>2408</v>
      </c>
      <c r="C4616" t="s">
        <v>58</v>
      </c>
      <c r="D4616">
        <v>3299</v>
      </c>
      <c r="E4616" t="s">
        <v>448</v>
      </c>
      <c r="F4616" s="4">
        <v>7228</v>
      </c>
      <c r="G4616" s="4">
        <v>12017</v>
      </c>
      <c r="H4616" s="4">
        <v>143</v>
      </c>
      <c r="I4616" s="4">
        <v>11874</v>
      </c>
      <c r="J4616" s="4">
        <v>19245</v>
      </c>
    </row>
    <row r="4617" spans="1:10" x14ac:dyDescent="0.75">
      <c r="A4617" t="s">
        <v>151</v>
      </c>
      <c r="B4617">
        <v>2408</v>
      </c>
      <c r="C4617" t="s">
        <v>58</v>
      </c>
      <c r="D4617">
        <v>4650</v>
      </c>
      <c r="E4617" t="s">
        <v>457</v>
      </c>
      <c r="F4617" s="4">
        <v>0</v>
      </c>
      <c r="G4617" s="4">
        <v>14499</v>
      </c>
      <c r="H4617" s="4">
        <v>14499</v>
      </c>
      <c r="I4617" s="4">
        <v>0</v>
      </c>
      <c r="J4617" s="4">
        <v>14499</v>
      </c>
    </row>
    <row r="4618" spans="1:10" x14ac:dyDescent="0.75">
      <c r="A4618" t="s">
        <v>151</v>
      </c>
      <c r="B4618">
        <v>2408</v>
      </c>
      <c r="C4618" t="s">
        <v>58</v>
      </c>
      <c r="D4618">
        <v>5480</v>
      </c>
      <c r="E4618" t="s">
        <v>386</v>
      </c>
      <c r="F4618" s="4">
        <v>0</v>
      </c>
      <c r="G4618" s="4">
        <v>13769</v>
      </c>
      <c r="H4618" s="4">
        <v>13086</v>
      </c>
      <c r="I4618" s="4">
        <v>683</v>
      </c>
      <c r="J4618" s="4">
        <v>13769</v>
      </c>
    </row>
    <row r="4619" spans="1:10" x14ac:dyDescent="0.75">
      <c r="A4619" t="s">
        <v>151</v>
      </c>
      <c r="B4619">
        <v>2408</v>
      </c>
      <c r="C4619" t="s">
        <v>58</v>
      </c>
      <c r="D4619">
        <v>6811</v>
      </c>
      <c r="E4619" t="s">
        <v>480</v>
      </c>
      <c r="F4619" s="4">
        <v>0</v>
      </c>
      <c r="G4619" s="4">
        <v>11522</v>
      </c>
      <c r="H4619" s="4">
        <v>359</v>
      </c>
      <c r="I4619" s="4">
        <v>11163</v>
      </c>
      <c r="J4619" s="4">
        <v>11522</v>
      </c>
    </row>
    <row r="4620" spans="1:10" x14ac:dyDescent="0.75">
      <c r="A4620" t="s">
        <v>151</v>
      </c>
      <c r="B4620">
        <v>2408</v>
      </c>
      <c r="C4620" t="s">
        <v>58</v>
      </c>
      <c r="D4620">
        <v>5421</v>
      </c>
      <c r="E4620" t="s">
        <v>467</v>
      </c>
      <c r="F4620" s="4">
        <v>0</v>
      </c>
      <c r="G4620" s="4">
        <v>10381</v>
      </c>
      <c r="H4620" s="4">
        <v>47</v>
      </c>
      <c r="I4620" s="4">
        <v>10334</v>
      </c>
      <c r="J4620" s="4">
        <v>10381</v>
      </c>
    </row>
    <row r="4621" spans="1:10" x14ac:dyDescent="0.75">
      <c r="A4621" t="s">
        <v>151</v>
      </c>
      <c r="B4621">
        <v>2408</v>
      </c>
      <c r="C4621" t="s">
        <v>58</v>
      </c>
      <c r="D4621">
        <v>3275</v>
      </c>
      <c r="E4621" t="s">
        <v>412</v>
      </c>
      <c r="F4621" s="4">
        <v>6638</v>
      </c>
      <c r="G4621" s="4">
        <v>3233</v>
      </c>
      <c r="H4621" s="4">
        <v>638</v>
      </c>
      <c r="I4621" s="4">
        <v>2595</v>
      </c>
      <c r="J4621" s="4">
        <v>9871</v>
      </c>
    </row>
    <row r="4622" spans="1:10" x14ac:dyDescent="0.75">
      <c r="A4622" t="s">
        <v>151</v>
      </c>
      <c r="B4622">
        <v>2408</v>
      </c>
      <c r="C4622" t="s">
        <v>58</v>
      </c>
      <c r="D4622">
        <v>5330</v>
      </c>
      <c r="E4622" t="s">
        <v>385</v>
      </c>
      <c r="F4622" s="4">
        <v>3282</v>
      </c>
      <c r="G4622" s="4">
        <v>6538</v>
      </c>
      <c r="H4622" s="4">
        <v>6520</v>
      </c>
      <c r="I4622" s="4">
        <v>18</v>
      </c>
      <c r="J4622" s="4">
        <v>9820</v>
      </c>
    </row>
    <row r="4623" spans="1:10" x14ac:dyDescent="0.75">
      <c r="A4623" t="s">
        <v>151</v>
      </c>
      <c r="B4623">
        <v>2408</v>
      </c>
      <c r="C4623" t="s">
        <v>58</v>
      </c>
      <c r="D4623">
        <v>2350</v>
      </c>
      <c r="E4623" t="s">
        <v>404</v>
      </c>
      <c r="F4623" s="4">
        <v>0</v>
      </c>
      <c r="G4623" s="4">
        <v>9082</v>
      </c>
      <c r="H4623" s="4">
        <v>0</v>
      </c>
      <c r="I4623" s="4">
        <v>9082</v>
      </c>
      <c r="J4623" s="4">
        <v>9082</v>
      </c>
    </row>
    <row r="4624" spans="1:10" x14ac:dyDescent="0.75">
      <c r="A4624" t="s">
        <v>151</v>
      </c>
      <c r="B4624">
        <v>2408</v>
      </c>
      <c r="C4624" t="s">
        <v>58</v>
      </c>
      <c r="D4624">
        <v>7600</v>
      </c>
      <c r="E4624" t="s">
        <v>503</v>
      </c>
      <c r="F4624" s="4">
        <v>0</v>
      </c>
      <c r="G4624" s="4">
        <v>7006</v>
      </c>
      <c r="H4624" s="4">
        <v>4114</v>
      </c>
      <c r="I4624" s="4">
        <v>2892</v>
      </c>
      <c r="J4624" s="4">
        <v>7006</v>
      </c>
    </row>
    <row r="4625" spans="1:10" x14ac:dyDescent="0.75">
      <c r="A4625" t="s">
        <v>151</v>
      </c>
      <c r="B4625">
        <v>2408</v>
      </c>
      <c r="C4625" t="s">
        <v>58</v>
      </c>
      <c r="D4625">
        <v>6654</v>
      </c>
      <c r="E4625" t="s">
        <v>419</v>
      </c>
      <c r="F4625" s="4">
        <v>0</v>
      </c>
      <c r="G4625" s="4">
        <v>5961</v>
      </c>
      <c r="H4625" s="4">
        <v>5017</v>
      </c>
      <c r="I4625" s="4">
        <v>944</v>
      </c>
      <c r="J4625" s="4">
        <v>5961</v>
      </c>
    </row>
    <row r="4626" spans="1:10" x14ac:dyDescent="0.75">
      <c r="A4626" t="s">
        <v>151</v>
      </c>
      <c r="B4626">
        <v>2408</v>
      </c>
      <c r="C4626" t="s">
        <v>58</v>
      </c>
      <c r="D4626">
        <v>4741</v>
      </c>
      <c r="E4626" t="s">
        <v>425</v>
      </c>
      <c r="F4626" s="4">
        <v>0</v>
      </c>
      <c r="G4626" s="4">
        <v>5844</v>
      </c>
      <c r="H4626" s="4">
        <v>0</v>
      </c>
      <c r="I4626" s="4">
        <v>5844</v>
      </c>
      <c r="J4626" s="4">
        <v>5844</v>
      </c>
    </row>
    <row r="4627" spans="1:10" x14ac:dyDescent="0.75">
      <c r="A4627" t="s">
        <v>151</v>
      </c>
      <c r="B4627">
        <v>2408</v>
      </c>
      <c r="C4627" t="s">
        <v>58</v>
      </c>
      <c r="D4627">
        <v>5290</v>
      </c>
      <c r="E4627" t="s">
        <v>415</v>
      </c>
      <c r="F4627" s="4">
        <v>0</v>
      </c>
      <c r="G4627" s="4">
        <v>5675</v>
      </c>
      <c r="H4627" s="4">
        <v>3989</v>
      </c>
      <c r="I4627" s="4">
        <v>1686</v>
      </c>
      <c r="J4627" s="4">
        <v>5675</v>
      </c>
    </row>
    <row r="4628" spans="1:10" x14ac:dyDescent="0.75">
      <c r="A4628" t="s">
        <v>151</v>
      </c>
      <c r="B4628">
        <v>2408</v>
      </c>
      <c r="C4628" t="s">
        <v>58</v>
      </c>
      <c r="D4628">
        <v>6858</v>
      </c>
      <c r="E4628" t="s">
        <v>488</v>
      </c>
      <c r="F4628" s="4">
        <v>0</v>
      </c>
      <c r="G4628" s="4">
        <v>5311</v>
      </c>
      <c r="H4628" s="4">
        <v>4403</v>
      </c>
      <c r="I4628" s="4">
        <v>908</v>
      </c>
      <c r="J4628" s="4">
        <v>5311</v>
      </c>
    </row>
    <row r="4629" spans="1:10" x14ac:dyDescent="0.75">
      <c r="A4629" t="s">
        <v>151</v>
      </c>
      <c r="B4629">
        <v>2408</v>
      </c>
      <c r="C4629" t="s">
        <v>58</v>
      </c>
      <c r="D4629">
        <v>6885</v>
      </c>
      <c r="E4629" t="s">
        <v>493</v>
      </c>
      <c r="F4629" s="4">
        <v>0</v>
      </c>
      <c r="G4629" s="4">
        <v>4740</v>
      </c>
      <c r="H4629" s="4">
        <v>825</v>
      </c>
      <c r="I4629" s="4">
        <v>3915</v>
      </c>
      <c r="J4629" s="4">
        <v>4740</v>
      </c>
    </row>
    <row r="4630" spans="1:10" x14ac:dyDescent="0.75">
      <c r="A4630" t="s">
        <v>151</v>
      </c>
      <c r="B4630">
        <v>2408</v>
      </c>
      <c r="C4630" t="s">
        <v>58</v>
      </c>
      <c r="D4630">
        <v>6889</v>
      </c>
      <c r="E4630" t="s">
        <v>420</v>
      </c>
      <c r="F4630" s="4">
        <v>0</v>
      </c>
      <c r="G4630" s="4">
        <v>4091</v>
      </c>
      <c r="H4630" s="4">
        <v>2975</v>
      </c>
      <c r="I4630" s="4">
        <v>1116</v>
      </c>
      <c r="J4630" s="4">
        <v>4091</v>
      </c>
    </row>
    <row r="4631" spans="1:10" x14ac:dyDescent="0.75">
      <c r="A4631" t="s">
        <v>151</v>
      </c>
      <c r="B4631">
        <v>2408</v>
      </c>
      <c r="C4631" t="s">
        <v>58</v>
      </c>
      <c r="D4631">
        <v>7120</v>
      </c>
      <c r="E4631" t="s">
        <v>499</v>
      </c>
      <c r="F4631" s="4">
        <v>0</v>
      </c>
      <c r="G4631" s="4">
        <v>3937</v>
      </c>
      <c r="H4631" s="4">
        <v>3180</v>
      </c>
      <c r="I4631" s="4">
        <v>757</v>
      </c>
      <c r="J4631" s="4">
        <v>3937</v>
      </c>
    </row>
    <row r="4632" spans="1:10" x14ac:dyDescent="0.75">
      <c r="A4632" t="s">
        <v>151</v>
      </c>
      <c r="B4632">
        <v>2408</v>
      </c>
      <c r="C4632" t="s">
        <v>58</v>
      </c>
      <c r="D4632">
        <v>2410</v>
      </c>
      <c r="E4632" t="s">
        <v>430</v>
      </c>
      <c r="F4632" s="4">
        <v>0</v>
      </c>
      <c r="G4632" s="4">
        <v>3526</v>
      </c>
      <c r="H4632" s="4">
        <v>3418</v>
      </c>
      <c r="I4632" s="4">
        <v>108</v>
      </c>
      <c r="J4632" s="4">
        <v>3526</v>
      </c>
    </row>
    <row r="4633" spans="1:10" x14ac:dyDescent="0.75">
      <c r="A4633" t="s">
        <v>151</v>
      </c>
      <c r="B4633">
        <v>2408</v>
      </c>
      <c r="C4633" t="s">
        <v>58</v>
      </c>
      <c r="D4633">
        <v>6839</v>
      </c>
      <c r="E4633" t="s">
        <v>485</v>
      </c>
      <c r="F4633" s="4">
        <v>0</v>
      </c>
      <c r="G4633" s="4">
        <v>3472</v>
      </c>
      <c r="H4633" s="4">
        <v>0</v>
      </c>
      <c r="I4633" s="4">
        <v>3472</v>
      </c>
      <c r="J4633" s="4">
        <v>3472</v>
      </c>
    </row>
    <row r="4634" spans="1:10" x14ac:dyDescent="0.75">
      <c r="A4634" t="s">
        <v>151</v>
      </c>
      <c r="B4634">
        <v>2408</v>
      </c>
      <c r="C4634" t="s">
        <v>58</v>
      </c>
      <c r="D4634">
        <v>3285</v>
      </c>
      <c r="E4634" t="s">
        <v>443</v>
      </c>
      <c r="F4634" s="4">
        <v>0</v>
      </c>
      <c r="G4634" s="4">
        <v>2237</v>
      </c>
      <c r="H4634" s="4">
        <v>75</v>
      </c>
      <c r="I4634" s="4">
        <v>2162</v>
      </c>
      <c r="J4634" s="4">
        <v>2237</v>
      </c>
    </row>
    <row r="4635" spans="1:10" x14ac:dyDescent="0.75">
      <c r="A4635" t="s">
        <v>151</v>
      </c>
      <c r="B4635">
        <v>2408</v>
      </c>
      <c r="C4635" t="s">
        <v>58</v>
      </c>
      <c r="D4635">
        <v>3130</v>
      </c>
      <c r="E4635" t="s">
        <v>407</v>
      </c>
      <c r="F4635" s="4">
        <v>0</v>
      </c>
      <c r="G4635" s="4">
        <v>2216</v>
      </c>
      <c r="H4635" s="4">
        <v>2206</v>
      </c>
      <c r="I4635" s="4">
        <v>10</v>
      </c>
      <c r="J4635" s="4">
        <v>2216</v>
      </c>
    </row>
    <row r="4636" spans="1:10" x14ac:dyDescent="0.75">
      <c r="A4636" t="s">
        <v>151</v>
      </c>
      <c r="B4636">
        <v>2408</v>
      </c>
      <c r="C4636" t="s">
        <v>58</v>
      </c>
      <c r="D4636">
        <v>3297</v>
      </c>
      <c r="E4636" t="s">
        <v>446</v>
      </c>
      <c r="F4636" s="4">
        <v>0</v>
      </c>
      <c r="G4636" s="4">
        <v>1998</v>
      </c>
      <c r="H4636" s="4">
        <v>0</v>
      </c>
      <c r="I4636" s="4">
        <v>1998</v>
      </c>
      <c r="J4636" s="4">
        <v>1998</v>
      </c>
    </row>
    <row r="4637" spans="1:10" x14ac:dyDescent="0.75">
      <c r="A4637" t="s">
        <v>151</v>
      </c>
      <c r="B4637">
        <v>2408</v>
      </c>
      <c r="C4637" t="s">
        <v>58</v>
      </c>
      <c r="D4637">
        <v>4420</v>
      </c>
      <c r="E4637" t="s">
        <v>381</v>
      </c>
      <c r="F4637" s="4">
        <v>1731</v>
      </c>
      <c r="G4637" s="4">
        <v>66</v>
      </c>
      <c r="H4637" s="4">
        <v>0</v>
      </c>
      <c r="I4637" s="4">
        <v>66</v>
      </c>
      <c r="J4637" s="4">
        <v>1797</v>
      </c>
    </row>
    <row r="4638" spans="1:10" x14ac:dyDescent="0.75">
      <c r="A4638" t="s">
        <v>151</v>
      </c>
      <c r="B4638">
        <v>2408</v>
      </c>
      <c r="C4638" t="s">
        <v>58</v>
      </c>
      <c r="D4638">
        <v>4189</v>
      </c>
      <c r="E4638" t="s">
        <v>451</v>
      </c>
      <c r="F4638" s="4">
        <v>0</v>
      </c>
      <c r="G4638" s="4">
        <v>1336</v>
      </c>
      <c r="H4638" s="4">
        <v>133</v>
      </c>
      <c r="I4638" s="4">
        <v>1203</v>
      </c>
      <c r="J4638" s="4">
        <v>1336</v>
      </c>
    </row>
    <row r="4639" spans="1:10" x14ac:dyDescent="0.75">
      <c r="A4639" t="s">
        <v>151</v>
      </c>
      <c r="B4639">
        <v>2408</v>
      </c>
      <c r="C4639" t="s">
        <v>58</v>
      </c>
      <c r="D4639">
        <v>6822</v>
      </c>
      <c r="E4639" t="s">
        <v>482</v>
      </c>
      <c r="F4639" s="4">
        <v>0</v>
      </c>
      <c r="G4639" s="4">
        <v>1327</v>
      </c>
      <c r="H4639" s="4">
        <v>211</v>
      </c>
      <c r="I4639" s="4">
        <v>1116</v>
      </c>
      <c r="J4639" s="4">
        <v>1327</v>
      </c>
    </row>
    <row r="4640" spans="1:10" x14ac:dyDescent="0.75">
      <c r="A4640" t="s">
        <v>151</v>
      </c>
      <c r="B4640">
        <v>2408</v>
      </c>
      <c r="C4640" t="s">
        <v>58</v>
      </c>
      <c r="D4640">
        <v>4782</v>
      </c>
      <c r="E4640" t="s">
        <v>414</v>
      </c>
      <c r="F4640" s="4">
        <v>0</v>
      </c>
      <c r="G4640" s="4">
        <v>1085</v>
      </c>
      <c r="H4640" s="4">
        <v>0</v>
      </c>
      <c r="I4640" s="4">
        <v>1085</v>
      </c>
      <c r="J4640" s="4">
        <v>1085</v>
      </c>
    </row>
    <row r="4641" spans="1:10" x14ac:dyDescent="0.75">
      <c r="A4641" t="s">
        <v>151</v>
      </c>
      <c r="B4641">
        <v>2408</v>
      </c>
      <c r="C4641" t="s">
        <v>58</v>
      </c>
      <c r="D4641">
        <v>4783</v>
      </c>
      <c r="E4641" t="s">
        <v>382</v>
      </c>
      <c r="F4641" s="4">
        <v>0</v>
      </c>
      <c r="G4641" s="4">
        <v>1056</v>
      </c>
      <c r="H4641" s="4">
        <v>0</v>
      </c>
      <c r="I4641" s="4">
        <v>1056</v>
      </c>
      <c r="J4641" s="4">
        <v>1056</v>
      </c>
    </row>
    <row r="4642" spans="1:10" x14ac:dyDescent="0.75">
      <c r="A4642" t="s">
        <v>151</v>
      </c>
      <c r="B4642">
        <v>2408</v>
      </c>
      <c r="C4642" t="s">
        <v>58</v>
      </c>
      <c r="D4642">
        <v>5120</v>
      </c>
      <c r="E4642" t="s">
        <v>461</v>
      </c>
      <c r="F4642" s="4">
        <v>0</v>
      </c>
      <c r="G4642" s="4">
        <v>988</v>
      </c>
      <c r="H4642" s="4">
        <v>78</v>
      </c>
      <c r="I4642" s="4">
        <v>910</v>
      </c>
      <c r="J4642" s="4">
        <v>988</v>
      </c>
    </row>
    <row r="4643" spans="1:10" x14ac:dyDescent="0.75">
      <c r="A4643" t="s">
        <v>151</v>
      </c>
      <c r="B4643">
        <v>2408</v>
      </c>
      <c r="C4643" t="s">
        <v>58</v>
      </c>
      <c r="D4643">
        <v>7230</v>
      </c>
      <c r="E4643" t="s">
        <v>387</v>
      </c>
      <c r="F4643" s="4">
        <v>0</v>
      </c>
      <c r="G4643" s="4">
        <v>962</v>
      </c>
      <c r="H4643" s="4">
        <v>755</v>
      </c>
      <c r="I4643" s="4">
        <v>207</v>
      </c>
      <c r="J4643" s="4">
        <v>962</v>
      </c>
    </row>
    <row r="4644" spans="1:10" x14ac:dyDescent="0.75">
      <c r="A4644" t="s">
        <v>151</v>
      </c>
      <c r="B4644">
        <v>2408</v>
      </c>
      <c r="C4644" t="s">
        <v>58</v>
      </c>
      <c r="D4644">
        <v>6747</v>
      </c>
      <c r="E4644" t="s">
        <v>478</v>
      </c>
      <c r="F4644" s="4">
        <v>0</v>
      </c>
      <c r="G4644" s="4">
        <v>868</v>
      </c>
      <c r="H4644" s="4">
        <v>471</v>
      </c>
      <c r="I4644" s="4">
        <v>397</v>
      </c>
      <c r="J4644" s="4">
        <v>868</v>
      </c>
    </row>
    <row r="4645" spans="1:10" x14ac:dyDescent="0.75">
      <c r="A4645" t="s">
        <v>151</v>
      </c>
      <c r="B4645">
        <v>2408</v>
      </c>
      <c r="C4645" t="s">
        <v>58</v>
      </c>
      <c r="D4645">
        <v>6893</v>
      </c>
      <c r="E4645" t="s">
        <v>496</v>
      </c>
      <c r="F4645" s="4">
        <v>0</v>
      </c>
      <c r="G4645" s="4">
        <v>851</v>
      </c>
      <c r="H4645" s="4">
        <v>0</v>
      </c>
      <c r="I4645" s="4">
        <v>851</v>
      </c>
      <c r="J4645" s="4">
        <v>851</v>
      </c>
    </row>
    <row r="4646" spans="1:10" x14ac:dyDescent="0.75">
      <c r="A4646" t="s">
        <v>151</v>
      </c>
      <c r="B4646">
        <v>2408</v>
      </c>
      <c r="C4646" t="s">
        <v>58</v>
      </c>
      <c r="D4646">
        <v>5540</v>
      </c>
      <c r="E4646" t="s">
        <v>469</v>
      </c>
      <c r="F4646" s="4">
        <v>0</v>
      </c>
      <c r="G4646" s="4">
        <v>790</v>
      </c>
      <c r="H4646" s="4">
        <v>633</v>
      </c>
      <c r="I4646" s="4">
        <v>157</v>
      </c>
      <c r="J4646" s="4">
        <v>790</v>
      </c>
    </row>
    <row r="4647" spans="1:10" x14ac:dyDescent="0.75">
      <c r="A4647" t="s">
        <v>151</v>
      </c>
      <c r="B4647">
        <v>2408</v>
      </c>
      <c r="C4647" t="s">
        <v>58</v>
      </c>
      <c r="D4647">
        <v>7220</v>
      </c>
      <c r="E4647" t="s">
        <v>500</v>
      </c>
      <c r="F4647" s="4">
        <v>0</v>
      </c>
      <c r="G4647" s="4">
        <v>685</v>
      </c>
      <c r="H4647" s="4">
        <v>572</v>
      </c>
      <c r="I4647" s="4">
        <v>113</v>
      </c>
      <c r="J4647" s="4">
        <v>685</v>
      </c>
    </row>
    <row r="4648" spans="1:10" x14ac:dyDescent="0.75">
      <c r="A4648" t="s">
        <v>151</v>
      </c>
      <c r="B4648">
        <v>2408</v>
      </c>
      <c r="C4648" t="s">
        <v>58</v>
      </c>
      <c r="D4648">
        <v>6782</v>
      </c>
      <c r="E4648" t="s">
        <v>396</v>
      </c>
      <c r="F4648" s="4">
        <v>0</v>
      </c>
      <c r="G4648" s="4">
        <v>647</v>
      </c>
      <c r="H4648" s="4">
        <v>374</v>
      </c>
      <c r="I4648" s="4">
        <v>273</v>
      </c>
      <c r="J4648" s="4">
        <v>647</v>
      </c>
    </row>
    <row r="4649" spans="1:10" x14ac:dyDescent="0.75">
      <c r="A4649" t="s">
        <v>151</v>
      </c>
      <c r="B4649">
        <v>2408</v>
      </c>
      <c r="C4649" t="s">
        <v>58</v>
      </c>
      <c r="D4649">
        <v>4225</v>
      </c>
      <c r="E4649" t="s">
        <v>380</v>
      </c>
      <c r="F4649" s="4">
        <v>0</v>
      </c>
      <c r="G4649" s="4">
        <v>516</v>
      </c>
      <c r="H4649" s="4">
        <v>46</v>
      </c>
      <c r="I4649" s="4">
        <v>470</v>
      </c>
      <c r="J4649" s="4">
        <v>516</v>
      </c>
    </row>
    <row r="4650" spans="1:10" x14ac:dyDescent="0.75">
      <c r="A4650" t="s">
        <v>151</v>
      </c>
      <c r="B4650">
        <v>2408</v>
      </c>
      <c r="C4650" t="s">
        <v>58</v>
      </c>
      <c r="D4650">
        <v>3276</v>
      </c>
      <c r="E4650" t="s">
        <v>379</v>
      </c>
      <c r="F4650" s="4">
        <v>0</v>
      </c>
      <c r="G4650" s="4">
        <v>501</v>
      </c>
      <c r="H4650" s="4">
        <v>68</v>
      </c>
      <c r="I4650" s="4">
        <v>433</v>
      </c>
      <c r="J4650" s="4">
        <v>501</v>
      </c>
    </row>
    <row r="4651" spans="1:10" x14ac:dyDescent="0.75">
      <c r="A4651" t="s">
        <v>151</v>
      </c>
      <c r="B4651">
        <v>2408</v>
      </c>
      <c r="C4651" t="s">
        <v>58</v>
      </c>
      <c r="D4651">
        <v>6134</v>
      </c>
      <c r="E4651" t="s">
        <v>470</v>
      </c>
      <c r="F4651" s="4">
        <v>0</v>
      </c>
      <c r="G4651" s="4">
        <v>341</v>
      </c>
      <c r="H4651" s="4">
        <v>207</v>
      </c>
      <c r="I4651" s="4">
        <v>134</v>
      </c>
      <c r="J4651" s="4">
        <v>341</v>
      </c>
    </row>
    <row r="4652" spans="1:10" x14ac:dyDescent="0.75">
      <c r="A4652" t="s">
        <v>151</v>
      </c>
      <c r="B4652">
        <v>2408</v>
      </c>
      <c r="C4652" t="s">
        <v>58</v>
      </c>
      <c r="D4652">
        <v>4900</v>
      </c>
      <c r="E4652" t="s">
        <v>383</v>
      </c>
      <c r="F4652" s="4">
        <v>0</v>
      </c>
      <c r="G4652" s="4">
        <v>322</v>
      </c>
      <c r="H4652" s="4">
        <v>0</v>
      </c>
      <c r="I4652" s="4">
        <v>322</v>
      </c>
      <c r="J4652" s="4">
        <v>322</v>
      </c>
    </row>
    <row r="4653" spans="1:10" x14ac:dyDescent="0.75">
      <c r="A4653" t="s">
        <v>151</v>
      </c>
      <c r="B4653">
        <v>2408</v>
      </c>
      <c r="C4653" t="s">
        <v>58</v>
      </c>
      <c r="D4653">
        <v>7400</v>
      </c>
      <c r="E4653" t="s">
        <v>502</v>
      </c>
      <c r="F4653" s="4">
        <v>0</v>
      </c>
      <c r="G4653" s="4">
        <v>280</v>
      </c>
      <c r="H4653" s="4">
        <v>121</v>
      </c>
      <c r="I4653" s="4">
        <v>159</v>
      </c>
      <c r="J4653" s="4">
        <v>280</v>
      </c>
    </row>
    <row r="4654" spans="1:10" x14ac:dyDescent="0.75">
      <c r="A4654" t="s">
        <v>151</v>
      </c>
      <c r="B4654">
        <v>2408</v>
      </c>
      <c r="C4654" t="s">
        <v>58</v>
      </c>
      <c r="D4654">
        <v>4161</v>
      </c>
      <c r="E4654" t="s">
        <v>421</v>
      </c>
      <c r="F4654" s="4">
        <v>0</v>
      </c>
      <c r="G4654" s="4">
        <v>275</v>
      </c>
      <c r="H4654" s="4">
        <v>275</v>
      </c>
      <c r="I4654" s="4">
        <v>0</v>
      </c>
      <c r="J4654" s="4">
        <v>275</v>
      </c>
    </row>
    <row r="4655" spans="1:10" x14ac:dyDescent="0.75">
      <c r="A4655" t="s">
        <v>151</v>
      </c>
      <c r="B4655">
        <v>2408</v>
      </c>
      <c r="C4655" t="s">
        <v>58</v>
      </c>
      <c r="D4655">
        <v>3292</v>
      </c>
      <c r="E4655" t="s">
        <v>413</v>
      </c>
      <c r="F4655" s="4">
        <v>0</v>
      </c>
      <c r="G4655" s="4">
        <v>238</v>
      </c>
      <c r="H4655" s="4">
        <v>20</v>
      </c>
      <c r="I4655" s="4">
        <v>218</v>
      </c>
      <c r="J4655" s="4">
        <v>238</v>
      </c>
    </row>
    <row r="4656" spans="1:10" x14ac:dyDescent="0.75">
      <c r="A4656" t="s">
        <v>151</v>
      </c>
      <c r="B4656">
        <v>2408</v>
      </c>
      <c r="C4656" t="s">
        <v>58</v>
      </c>
      <c r="D4656">
        <v>4310</v>
      </c>
      <c r="E4656" t="s">
        <v>453</v>
      </c>
      <c r="F4656" s="4">
        <v>0</v>
      </c>
      <c r="G4656" s="4">
        <v>219</v>
      </c>
      <c r="H4656" s="4">
        <v>110</v>
      </c>
      <c r="I4656" s="4">
        <v>109</v>
      </c>
      <c r="J4656" s="4">
        <v>219</v>
      </c>
    </row>
    <row r="4657" spans="1:10" x14ac:dyDescent="0.75">
      <c r="A4657" t="s">
        <v>151</v>
      </c>
      <c r="B4657">
        <v>2408</v>
      </c>
      <c r="C4657" t="s">
        <v>58</v>
      </c>
      <c r="D4657">
        <v>3291</v>
      </c>
      <c r="E4657" t="s">
        <v>444</v>
      </c>
      <c r="F4657" s="4">
        <v>0</v>
      </c>
      <c r="G4657" s="4">
        <v>174</v>
      </c>
      <c r="H4657" s="4">
        <v>168</v>
      </c>
      <c r="I4657" s="4">
        <v>6</v>
      </c>
      <c r="J4657" s="4">
        <v>174</v>
      </c>
    </row>
    <row r="4658" spans="1:10" x14ac:dyDescent="0.75">
      <c r="A4658" t="s">
        <v>151</v>
      </c>
      <c r="B4658">
        <v>2408</v>
      </c>
      <c r="C4658" t="s">
        <v>58</v>
      </c>
      <c r="D4658">
        <v>3284</v>
      </c>
      <c r="E4658" t="s">
        <v>442</v>
      </c>
      <c r="F4658" s="4">
        <v>0</v>
      </c>
      <c r="G4658" s="4">
        <v>173</v>
      </c>
      <c r="H4658" s="4">
        <v>95</v>
      </c>
      <c r="I4658" s="4">
        <v>78</v>
      </c>
      <c r="J4658" s="4">
        <v>173</v>
      </c>
    </row>
    <row r="4659" spans="1:10" x14ac:dyDescent="0.75">
      <c r="A4659" t="s">
        <v>151</v>
      </c>
      <c r="B4659">
        <v>2408</v>
      </c>
      <c r="C4659" t="s">
        <v>58</v>
      </c>
      <c r="D4659">
        <v>5240</v>
      </c>
      <c r="E4659" t="s">
        <v>464</v>
      </c>
      <c r="F4659" s="4">
        <v>0</v>
      </c>
      <c r="G4659" s="4">
        <v>168</v>
      </c>
      <c r="H4659" s="4">
        <v>39</v>
      </c>
      <c r="I4659" s="4">
        <v>129</v>
      </c>
      <c r="J4659" s="4">
        <v>168</v>
      </c>
    </row>
    <row r="4660" spans="1:10" x14ac:dyDescent="0.75">
      <c r="A4660" t="s">
        <v>151</v>
      </c>
      <c r="B4660">
        <v>2408</v>
      </c>
      <c r="C4660" t="s">
        <v>58</v>
      </c>
      <c r="D4660">
        <v>6136</v>
      </c>
      <c r="E4660" t="s">
        <v>471</v>
      </c>
      <c r="F4660" s="4">
        <v>0</v>
      </c>
      <c r="G4660" s="4">
        <v>168</v>
      </c>
      <c r="H4660" s="4">
        <v>109</v>
      </c>
      <c r="I4660" s="4">
        <v>59</v>
      </c>
      <c r="J4660" s="4">
        <v>168</v>
      </c>
    </row>
    <row r="4661" spans="1:10" x14ac:dyDescent="0.75">
      <c r="A4661" t="s">
        <v>151</v>
      </c>
      <c r="B4661">
        <v>2408</v>
      </c>
      <c r="C4661" t="s">
        <v>58</v>
      </c>
      <c r="D4661">
        <v>6888</v>
      </c>
      <c r="E4661" t="s">
        <v>494</v>
      </c>
      <c r="F4661" s="4">
        <v>0</v>
      </c>
      <c r="G4661" s="4">
        <v>148</v>
      </c>
      <c r="H4661" s="4">
        <v>0</v>
      </c>
      <c r="I4661" s="4">
        <v>148</v>
      </c>
      <c r="J4661" s="4">
        <v>148</v>
      </c>
    </row>
    <row r="4662" spans="1:10" x14ac:dyDescent="0.75">
      <c r="A4662" t="s">
        <v>151</v>
      </c>
      <c r="B4662">
        <v>2408</v>
      </c>
      <c r="C4662" t="s">
        <v>58</v>
      </c>
      <c r="D4662">
        <v>3298</v>
      </c>
      <c r="E4662" t="s">
        <v>447</v>
      </c>
      <c r="F4662" s="4">
        <v>0</v>
      </c>
      <c r="G4662" s="4">
        <v>142</v>
      </c>
      <c r="H4662" s="4">
        <v>0</v>
      </c>
      <c r="I4662" s="4">
        <v>142</v>
      </c>
      <c r="J4662" s="4">
        <v>142</v>
      </c>
    </row>
    <row r="4663" spans="1:10" x14ac:dyDescent="0.75">
      <c r="A4663" t="s">
        <v>151</v>
      </c>
      <c r="B4663">
        <v>2408</v>
      </c>
      <c r="C4663" t="s">
        <v>58</v>
      </c>
      <c r="D4663">
        <v>5190</v>
      </c>
      <c r="E4663" t="s">
        <v>462</v>
      </c>
      <c r="F4663" s="4">
        <v>0</v>
      </c>
      <c r="G4663" s="4">
        <v>141</v>
      </c>
      <c r="H4663" s="4">
        <v>45</v>
      </c>
      <c r="I4663" s="4">
        <v>96</v>
      </c>
      <c r="J4663" s="4">
        <v>141</v>
      </c>
    </row>
    <row r="4664" spans="1:10" x14ac:dyDescent="0.75">
      <c r="A4664" t="s">
        <v>151</v>
      </c>
      <c r="B4664">
        <v>2408</v>
      </c>
      <c r="C4664" t="s">
        <v>58</v>
      </c>
      <c r="D4664">
        <v>6590</v>
      </c>
      <c r="E4664" t="s">
        <v>394</v>
      </c>
      <c r="F4664" s="4">
        <v>0</v>
      </c>
      <c r="G4664" s="4">
        <v>129</v>
      </c>
      <c r="H4664" s="4">
        <v>129</v>
      </c>
      <c r="I4664" s="4">
        <v>0</v>
      </c>
      <c r="J4664" s="4">
        <v>129</v>
      </c>
    </row>
    <row r="4665" spans="1:10" x14ac:dyDescent="0.75">
      <c r="A4665" t="s">
        <v>151</v>
      </c>
      <c r="B4665">
        <v>2408</v>
      </c>
      <c r="C4665" t="s">
        <v>58</v>
      </c>
      <c r="D4665">
        <v>6653</v>
      </c>
      <c r="E4665" t="s">
        <v>395</v>
      </c>
      <c r="F4665" s="4">
        <v>0</v>
      </c>
      <c r="G4665" s="4">
        <v>129</v>
      </c>
      <c r="H4665" s="4">
        <v>3</v>
      </c>
      <c r="I4665" s="4">
        <v>126</v>
      </c>
      <c r="J4665" s="4">
        <v>129</v>
      </c>
    </row>
    <row r="4666" spans="1:10" x14ac:dyDescent="0.75">
      <c r="A4666" t="s">
        <v>151</v>
      </c>
      <c r="B4666">
        <v>2408</v>
      </c>
      <c r="C4666" t="s">
        <v>58</v>
      </c>
      <c r="D4666">
        <v>3282</v>
      </c>
      <c r="E4666" t="s">
        <v>440</v>
      </c>
      <c r="F4666" s="4">
        <v>0</v>
      </c>
      <c r="G4666" s="4">
        <v>95</v>
      </c>
      <c r="H4666" s="4">
        <v>0</v>
      </c>
      <c r="I4666" s="4">
        <v>95</v>
      </c>
      <c r="J4666" s="4">
        <v>95</v>
      </c>
    </row>
    <row r="4667" spans="1:10" x14ac:dyDescent="0.75">
      <c r="A4667" t="s">
        <v>151</v>
      </c>
      <c r="B4667">
        <v>2408</v>
      </c>
      <c r="C4667" t="s">
        <v>58</v>
      </c>
      <c r="D4667">
        <v>5422</v>
      </c>
      <c r="E4667" t="s">
        <v>468</v>
      </c>
      <c r="F4667" s="4">
        <v>0</v>
      </c>
      <c r="G4667" s="4">
        <v>74</v>
      </c>
      <c r="H4667" s="4">
        <v>2</v>
      </c>
      <c r="I4667" s="4">
        <v>72</v>
      </c>
      <c r="J4667" s="4">
        <v>74</v>
      </c>
    </row>
    <row r="4668" spans="1:10" x14ac:dyDescent="0.75">
      <c r="A4668" t="s">
        <v>151</v>
      </c>
      <c r="B4668">
        <v>2408</v>
      </c>
      <c r="C4668" t="s">
        <v>58</v>
      </c>
      <c r="D4668">
        <v>3283</v>
      </c>
      <c r="E4668" t="s">
        <v>441</v>
      </c>
      <c r="F4668" s="4">
        <v>0</v>
      </c>
      <c r="G4668" s="4">
        <v>70</v>
      </c>
      <c r="H4668" s="4">
        <v>0</v>
      </c>
      <c r="I4668" s="4">
        <v>70</v>
      </c>
      <c r="J4668" s="4">
        <v>70</v>
      </c>
    </row>
    <row r="4669" spans="1:10" x14ac:dyDescent="0.75">
      <c r="A4669" t="s">
        <v>151</v>
      </c>
      <c r="B4669">
        <v>2408</v>
      </c>
      <c r="C4669" t="s">
        <v>58</v>
      </c>
      <c r="D4669">
        <v>5312</v>
      </c>
      <c r="E4669" t="s">
        <v>416</v>
      </c>
      <c r="F4669" s="4">
        <v>0</v>
      </c>
      <c r="G4669" s="4">
        <v>59</v>
      </c>
      <c r="H4669" s="4">
        <v>0</v>
      </c>
      <c r="I4669" s="4">
        <v>59</v>
      </c>
      <c r="J4669" s="4">
        <v>59</v>
      </c>
    </row>
    <row r="4670" spans="1:10" x14ac:dyDescent="0.75">
      <c r="A4670" t="s">
        <v>151</v>
      </c>
      <c r="B4670">
        <v>2408</v>
      </c>
      <c r="C4670" t="s">
        <v>58</v>
      </c>
      <c r="D4670">
        <v>4680</v>
      </c>
      <c r="E4670" t="s">
        <v>459</v>
      </c>
      <c r="F4670" s="4">
        <v>0</v>
      </c>
      <c r="G4670" s="4">
        <v>44</v>
      </c>
      <c r="H4670" s="4">
        <v>0</v>
      </c>
      <c r="I4670" s="4">
        <v>44</v>
      </c>
      <c r="J4670" s="4">
        <v>44</v>
      </c>
    </row>
    <row r="4671" spans="1:10" x14ac:dyDescent="0.75">
      <c r="A4671" t="s">
        <v>151</v>
      </c>
      <c r="B4671">
        <v>2408</v>
      </c>
      <c r="C4671" t="s">
        <v>58</v>
      </c>
      <c r="D4671">
        <v>4323</v>
      </c>
      <c r="E4671" t="s">
        <v>373</v>
      </c>
      <c r="F4671" s="4">
        <v>0</v>
      </c>
      <c r="G4671" s="4">
        <v>41</v>
      </c>
      <c r="H4671" s="4">
        <v>41</v>
      </c>
      <c r="I4671" s="4">
        <v>0</v>
      </c>
      <c r="J4671" s="4">
        <v>41</v>
      </c>
    </row>
    <row r="4672" spans="1:10" x14ac:dyDescent="0.75">
      <c r="A4672" t="s">
        <v>151</v>
      </c>
      <c r="B4672">
        <v>2408</v>
      </c>
      <c r="C4672" t="s">
        <v>58</v>
      </c>
      <c r="D4672">
        <v>6817</v>
      </c>
      <c r="E4672" t="s">
        <v>481</v>
      </c>
      <c r="F4672" s="4">
        <v>0</v>
      </c>
      <c r="G4672" s="4">
        <v>38</v>
      </c>
      <c r="H4672" s="4">
        <v>0</v>
      </c>
      <c r="I4672" s="4">
        <v>38</v>
      </c>
      <c r="J4672" s="4">
        <v>38</v>
      </c>
    </row>
    <row r="4673" spans="1:10" x14ac:dyDescent="0.75">
      <c r="A4673" t="s">
        <v>151</v>
      </c>
      <c r="B4673">
        <v>2408</v>
      </c>
      <c r="C4673" t="s">
        <v>58</v>
      </c>
      <c r="D4673">
        <v>6871</v>
      </c>
      <c r="E4673" t="s">
        <v>491</v>
      </c>
      <c r="F4673" s="4">
        <v>0</v>
      </c>
      <c r="G4673" s="4">
        <v>35</v>
      </c>
      <c r="H4673" s="4">
        <v>35</v>
      </c>
      <c r="I4673" s="4">
        <v>0</v>
      </c>
      <c r="J4673" s="4">
        <v>35</v>
      </c>
    </row>
    <row r="4674" spans="1:10" x14ac:dyDescent="0.75">
      <c r="A4674" t="s">
        <v>151</v>
      </c>
      <c r="B4674">
        <v>2408</v>
      </c>
      <c r="C4674" t="s">
        <v>58</v>
      </c>
      <c r="D4674">
        <v>6344</v>
      </c>
      <c r="E4674" t="s">
        <v>392</v>
      </c>
      <c r="F4674" s="4">
        <v>0</v>
      </c>
      <c r="G4674" s="4">
        <v>31</v>
      </c>
      <c r="H4674" s="4">
        <v>3</v>
      </c>
      <c r="I4674" s="4">
        <v>28</v>
      </c>
      <c r="J4674" s="4">
        <v>31</v>
      </c>
    </row>
    <row r="4675" spans="1:10" x14ac:dyDescent="0.75">
      <c r="A4675" t="s">
        <v>151</v>
      </c>
      <c r="B4675">
        <v>2408</v>
      </c>
      <c r="C4675" t="s">
        <v>58</v>
      </c>
      <c r="D4675">
        <v>6835</v>
      </c>
      <c r="E4675" t="s">
        <v>483</v>
      </c>
      <c r="F4675" s="4">
        <v>0</v>
      </c>
      <c r="G4675" s="4">
        <v>31</v>
      </c>
      <c r="H4675" s="4">
        <v>0</v>
      </c>
      <c r="I4675" s="4">
        <v>31</v>
      </c>
      <c r="J4675" s="4">
        <v>31</v>
      </c>
    </row>
    <row r="4676" spans="1:10" x14ac:dyDescent="0.75">
      <c r="A4676" t="s">
        <v>151</v>
      </c>
      <c r="B4676">
        <v>2408</v>
      </c>
      <c r="C4676" t="s">
        <v>58</v>
      </c>
      <c r="D4676">
        <v>4190</v>
      </c>
      <c r="E4676" t="s">
        <v>452</v>
      </c>
      <c r="F4676" s="4">
        <v>0</v>
      </c>
      <c r="G4676" s="4">
        <v>28</v>
      </c>
      <c r="H4676" s="4">
        <v>0</v>
      </c>
      <c r="I4676" s="4">
        <v>28</v>
      </c>
      <c r="J4676" s="4">
        <v>28</v>
      </c>
    </row>
    <row r="4677" spans="1:10" x14ac:dyDescent="0.75">
      <c r="A4677" t="s">
        <v>151</v>
      </c>
      <c r="B4677">
        <v>2408</v>
      </c>
      <c r="C4677" t="s">
        <v>58</v>
      </c>
      <c r="D4677">
        <v>5220</v>
      </c>
      <c r="E4677" t="s">
        <v>401</v>
      </c>
      <c r="F4677" s="4">
        <v>0</v>
      </c>
      <c r="G4677" s="4">
        <v>22</v>
      </c>
      <c r="H4677" s="4">
        <v>0</v>
      </c>
      <c r="I4677" s="4">
        <v>22</v>
      </c>
      <c r="J4677" s="4">
        <v>22</v>
      </c>
    </row>
    <row r="4678" spans="1:10" x14ac:dyDescent="0.75">
      <c r="A4678" t="s">
        <v>151</v>
      </c>
      <c r="B4678">
        <v>2408</v>
      </c>
      <c r="C4678" t="s">
        <v>58</v>
      </c>
      <c r="D4678">
        <v>5429</v>
      </c>
      <c r="E4678" t="s">
        <v>429</v>
      </c>
      <c r="F4678" s="4">
        <v>0</v>
      </c>
      <c r="G4678" s="4">
        <v>14</v>
      </c>
      <c r="H4678" s="4">
        <v>0</v>
      </c>
      <c r="I4678" s="4">
        <v>14</v>
      </c>
      <c r="J4678" s="4">
        <v>14</v>
      </c>
    </row>
    <row r="4679" spans="1:10" x14ac:dyDescent="0.75">
      <c r="A4679" t="s">
        <v>151</v>
      </c>
      <c r="B4679">
        <v>2408</v>
      </c>
      <c r="C4679" t="s">
        <v>58</v>
      </c>
      <c r="D4679">
        <v>3190</v>
      </c>
      <c r="E4679" t="s">
        <v>408</v>
      </c>
      <c r="F4679" s="4">
        <v>0</v>
      </c>
      <c r="G4679" s="4">
        <v>8</v>
      </c>
      <c r="H4679" s="4">
        <v>0</v>
      </c>
      <c r="I4679" s="4">
        <v>8</v>
      </c>
      <c r="J4679" s="4">
        <v>8</v>
      </c>
    </row>
    <row r="4680" spans="1:10" x14ac:dyDescent="0.75">
      <c r="A4680" t="s">
        <v>151</v>
      </c>
      <c r="B4680">
        <v>2408</v>
      </c>
      <c r="C4680" t="s">
        <v>58</v>
      </c>
      <c r="D4680">
        <v>6746</v>
      </c>
      <c r="E4680" t="s">
        <v>477</v>
      </c>
      <c r="F4680" s="4">
        <v>0</v>
      </c>
      <c r="G4680" s="4">
        <v>5</v>
      </c>
      <c r="H4680" s="4">
        <v>5</v>
      </c>
      <c r="I4680" s="4">
        <v>0</v>
      </c>
      <c r="J4680" s="4">
        <v>5</v>
      </c>
    </row>
    <row r="4681" spans="1:10" x14ac:dyDescent="0.75">
      <c r="A4681" t="s">
        <v>151</v>
      </c>
      <c r="B4681">
        <v>2408</v>
      </c>
      <c r="C4681" t="s">
        <v>58</v>
      </c>
      <c r="D4681">
        <v>7300</v>
      </c>
      <c r="E4681" t="s">
        <v>501</v>
      </c>
      <c r="F4681" s="4">
        <v>0</v>
      </c>
      <c r="G4681" s="4">
        <v>2</v>
      </c>
      <c r="H4681" s="4">
        <v>2</v>
      </c>
      <c r="I4681" s="4">
        <v>0</v>
      </c>
      <c r="J4681" s="4">
        <v>2</v>
      </c>
    </row>
    <row r="4682" spans="1:10" x14ac:dyDescent="0.75">
      <c r="A4682" t="s">
        <v>151</v>
      </c>
      <c r="B4682">
        <v>2408</v>
      </c>
      <c r="C4682" t="s">
        <v>58</v>
      </c>
      <c r="D4682">
        <v>6521</v>
      </c>
      <c r="E4682" t="s">
        <v>476</v>
      </c>
      <c r="F4682" s="4">
        <v>0</v>
      </c>
      <c r="G4682" s="4">
        <v>1</v>
      </c>
      <c r="H4682" s="4">
        <v>0</v>
      </c>
      <c r="I4682" s="4">
        <v>1</v>
      </c>
      <c r="J4682" s="4">
        <v>1</v>
      </c>
    </row>
    <row r="4683" spans="1:10" x14ac:dyDescent="0.75">
      <c r="A4683" t="s">
        <v>151</v>
      </c>
      <c r="B4683">
        <v>4835</v>
      </c>
      <c r="C4683" t="s">
        <v>350</v>
      </c>
      <c r="D4683">
        <v>2211</v>
      </c>
      <c r="E4683" t="s">
        <v>367</v>
      </c>
      <c r="F4683" s="4">
        <v>974</v>
      </c>
      <c r="G4683" s="4">
        <v>0</v>
      </c>
      <c r="H4683" s="4">
        <v>0</v>
      </c>
      <c r="I4683" s="4">
        <v>0</v>
      </c>
      <c r="J4683" s="4">
        <v>974</v>
      </c>
    </row>
    <row r="4684" spans="1:10" x14ac:dyDescent="0.75">
      <c r="A4684" t="s">
        <v>151</v>
      </c>
      <c r="B4684">
        <v>4835</v>
      </c>
      <c r="C4684" t="s">
        <v>350</v>
      </c>
      <c r="D4684">
        <v>2221</v>
      </c>
      <c r="E4684" t="s">
        <v>374</v>
      </c>
      <c r="F4684" s="4">
        <v>359</v>
      </c>
      <c r="G4684" s="4">
        <v>0</v>
      </c>
      <c r="H4684" s="4">
        <v>0</v>
      </c>
      <c r="I4684" s="4">
        <v>0</v>
      </c>
      <c r="J4684" s="4">
        <v>359</v>
      </c>
    </row>
    <row r="4685" spans="1:10" x14ac:dyDescent="0.75">
      <c r="A4685" t="s">
        <v>160</v>
      </c>
      <c r="B4685">
        <v>3516</v>
      </c>
      <c r="C4685" t="s">
        <v>143</v>
      </c>
      <c r="D4685">
        <v>4322</v>
      </c>
      <c r="E4685" t="s">
        <v>398</v>
      </c>
      <c r="F4685" s="4">
        <v>0</v>
      </c>
      <c r="G4685" s="4">
        <v>45017</v>
      </c>
      <c r="H4685" s="4">
        <v>45017</v>
      </c>
      <c r="I4685" s="4">
        <v>0</v>
      </c>
      <c r="J4685" s="4">
        <v>45017</v>
      </c>
    </row>
    <row r="4686" spans="1:10" x14ac:dyDescent="0.75">
      <c r="A4686" t="s">
        <v>160</v>
      </c>
      <c r="B4686">
        <v>3516</v>
      </c>
      <c r="C4686" t="s">
        <v>143</v>
      </c>
      <c r="D4686">
        <v>4331</v>
      </c>
      <c r="E4686" t="s">
        <v>390</v>
      </c>
      <c r="F4686" s="4">
        <v>0</v>
      </c>
      <c r="G4686" s="4">
        <v>39072</v>
      </c>
      <c r="H4686" s="4">
        <v>39072</v>
      </c>
      <c r="I4686" s="4">
        <v>0</v>
      </c>
      <c r="J4686" s="4">
        <v>39072</v>
      </c>
    </row>
    <row r="4687" spans="1:10" x14ac:dyDescent="0.75">
      <c r="A4687" t="s">
        <v>160</v>
      </c>
      <c r="B4687">
        <v>3516</v>
      </c>
      <c r="C4687" t="s">
        <v>143</v>
      </c>
      <c r="D4687">
        <v>4782</v>
      </c>
      <c r="E4687" t="s">
        <v>414</v>
      </c>
      <c r="F4687" s="4">
        <v>0</v>
      </c>
      <c r="G4687" s="4">
        <v>19098</v>
      </c>
      <c r="H4687" s="4">
        <v>19098</v>
      </c>
      <c r="I4687" s="4">
        <v>0</v>
      </c>
      <c r="J4687" s="4">
        <v>19098</v>
      </c>
    </row>
    <row r="4688" spans="1:10" x14ac:dyDescent="0.75">
      <c r="A4688" t="s">
        <v>160</v>
      </c>
      <c r="B4688">
        <v>3516</v>
      </c>
      <c r="C4688" t="s">
        <v>143</v>
      </c>
      <c r="D4688">
        <v>2211</v>
      </c>
      <c r="E4688" t="s">
        <v>367</v>
      </c>
      <c r="F4688" s="4">
        <v>0</v>
      </c>
      <c r="G4688" s="4">
        <v>8</v>
      </c>
      <c r="H4688" s="4">
        <v>8</v>
      </c>
      <c r="I4688" s="4">
        <v>0</v>
      </c>
      <c r="J4688" s="4">
        <v>8</v>
      </c>
    </row>
    <row r="4689" spans="1:10" x14ac:dyDescent="0.75">
      <c r="A4689" t="s">
        <v>151</v>
      </c>
      <c r="B4689">
        <v>2422</v>
      </c>
      <c r="C4689" t="s">
        <v>306</v>
      </c>
      <c r="D4689">
        <v>2221</v>
      </c>
      <c r="E4689" t="s">
        <v>374</v>
      </c>
      <c r="F4689" s="4">
        <v>53009</v>
      </c>
      <c r="G4689" s="4">
        <v>0</v>
      </c>
      <c r="H4689" s="4">
        <v>0</v>
      </c>
      <c r="I4689" s="4">
        <v>0</v>
      </c>
      <c r="J4689" s="4">
        <v>53009</v>
      </c>
    </row>
    <row r="4690" spans="1:10" x14ac:dyDescent="0.75">
      <c r="A4690" t="s">
        <v>151</v>
      </c>
      <c r="B4690">
        <v>2422</v>
      </c>
      <c r="C4690" t="s">
        <v>306</v>
      </c>
      <c r="D4690">
        <v>2330</v>
      </c>
      <c r="E4690" t="s">
        <v>368</v>
      </c>
      <c r="F4690" s="4">
        <v>48242</v>
      </c>
      <c r="G4690" s="4">
        <v>0</v>
      </c>
      <c r="H4690" s="4">
        <v>0</v>
      </c>
      <c r="I4690" s="4">
        <v>0</v>
      </c>
      <c r="J4690" s="4">
        <v>48242</v>
      </c>
    </row>
    <row r="4691" spans="1:10" x14ac:dyDescent="0.75">
      <c r="A4691" t="s">
        <v>151</v>
      </c>
      <c r="B4691">
        <v>2422</v>
      </c>
      <c r="C4691" t="s">
        <v>306</v>
      </c>
      <c r="D4691">
        <v>2350</v>
      </c>
      <c r="E4691" t="s">
        <v>404</v>
      </c>
      <c r="F4691" s="4">
        <v>6918</v>
      </c>
      <c r="G4691" s="4">
        <v>0</v>
      </c>
      <c r="H4691" s="4">
        <v>0</v>
      </c>
      <c r="I4691" s="4">
        <v>0</v>
      </c>
      <c r="J4691" s="4">
        <v>6918</v>
      </c>
    </row>
    <row r="4692" spans="1:10" x14ac:dyDescent="0.75">
      <c r="A4692" t="s">
        <v>151</v>
      </c>
      <c r="B4692">
        <v>522</v>
      </c>
      <c r="C4692" t="s">
        <v>215</v>
      </c>
      <c r="D4692">
        <v>2211</v>
      </c>
      <c r="E4692" t="s">
        <v>367</v>
      </c>
      <c r="F4692" s="4">
        <v>1561946</v>
      </c>
      <c r="G4692" s="4">
        <v>0</v>
      </c>
      <c r="H4692" s="4">
        <v>0</v>
      </c>
      <c r="I4692" s="4">
        <v>0</v>
      </c>
      <c r="J4692" s="4">
        <v>1561946</v>
      </c>
    </row>
    <row r="4693" spans="1:10" x14ac:dyDescent="0.75">
      <c r="A4693" t="s">
        <v>151</v>
      </c>
      <c r="B4693">
        <v>522</v>
      </c>
      <c r="C4693" t="s">
        <v>215</v>
      </c>
      <c r="D4693">
        <v>2330</v>
      </c>
      <c r="E4693" t="s">
        <v>368</v>
      </c>
      <c r="F4693" s="4">
        <v>466129</v>
      </c>
      <c r="G4693" s="4">
        <v>0</v>
      </c>
      <c r="H4693" s="4">
        <v>0</v>
      </c>
      <c r="I4693" s="4">
        <v>0</v>
      </c>
      <c r="J4693" s="4">
        <v>466129</v>
      </c>
    </row>
    <row r="4694" spans="1:10" x14ac:dyDescent="0.75">
      <c r="A4694" t="s">
        <v>151</v>
      </c>
      <c r="B4694">
        <v>522</v>
      </c>
      <c r="C4694" t="s">
        <v>215</v>
      </c>
      <c r="D4694">
        <v>4331</v>
      </c>
      <c r="E4694" t="s">
        <v>390</v>
      </c>
      <c r="F4694" s="4">
        <v>346505</v>
      </c>
      <c r="G4694" s="4">
        <v>0</v>
      </c>
      <c r="H4694" s="4">
        <v>0</v>
      </c>
      <c r="I4694" s="4">
        <v>0</v>
      </c>
      <c r="J4694" s="4">
        <v>346505</v>
      </c>
    </row>
    <row r="4695" spans="1:10" x14ac:dyDescent="0.75">
      <c r="A4695" t="s">
        <v>151</v>
      </c>
      <c r="B4695">
        <v>522</v>
      </c>
      <c r="C4695" t="s">
        <v>215</v>
      </c>
      <c r="D4695">
        <v>3220</v>
      </c>
      <c r="E4695" t="s">
        <v>370</v>
      </c>
      <c r="F4695" s="4">
        <v>184476</v>
      </c>
      <c r="G4695" s="4">
        <v>0</v>
      </c>
      <c r="H4695" s="4">
        <v>0</v>
      </c>
      <c r="I4695" s="4">
        <v>0</v>
      </c>
      <c r="J4695" s="4">
        <v>184476</v>
      </c>
    </row>
    <row r="4696" spans="1:10" x14ac:dyDescent="0.75">
      <c r="A4696" t="s">
        <v>151</v>
      </c>
      <c r="B4696">
        <v>522</v>
      </c>
      <c r="C4696" t="s">
        <v>215</v>
      </c>
      <c r="D4696">
        <v>4335</v>
      </c>
      <c r="E4696" t="s">
        <v>372</v>
      </c>
      <c r="F4696" s="4">
        <v>38917</v>
      </c>
      <c r="G4696" s="4">
        <v>0</v>
      </c>
      <c r="H4696" s="4">
        <v>0</v>
      </c>
      <c r="I4696" s="4">
        <v>0</v>
      </c>
      <c r="J4696" s="4">
        <v>38917</v>
      </c>
    </row>
    <row r="4697" spans="1:10" x14ac:dyDescent="0.75">
      <c r="A4697" t="s">
        <v>151</v>
      </c>
      <c r="B4697">
        <v>522</v>
      </c>
      <c r="C4697" t="s">
        <v>215</v>
      </c>
      <c r="D4697">
        <v>2221</v>
      </c>
      <c r="E4697" t="s">
        <v>374</v>
      </c>
      <c r="F4697" s="4">
        <v>30117</v>
      </c>
      <c r="G4697" s="4">
        <v>0</v>
      </c>
      <c r="H4697" s="4">
        <v>0</v>
      </c>
      <c r="I4697" s="4">
        <v>0</v>
      </c>
      <c r="J4697" s="4">
        <v>30117</v>
      </c>
    </row>
    <row r="4698" spans="1:10" x14ac:dyDescent="0.75">
      <c r="A4698" t="s">
        <v>151</v>
      </c>
      <c r="B4698">
        <v>522</v>
      </c>
      <c r="C4698" t="s">
        <v>215</v>
      </c>
      <c r="D4698">
        <v>2340</v>
      </c>
      <c r="E4698" t="s">
        <v>369</v>
      </c>
      <c r="F4698" s="4">
        <v>15094</v>
      </c>
      <c r="G4698" s="4">
        <v>0</v>
      </c>
      <c r="H4698" s="4">
        <v>0</v>
      </c>
      <c r="I4698" s="4">
        <v>0</v>
      </c>
      <c r="J4698" s="4">
        <v>15094</v>
      </c>
    </row>
    <row r="4699" spans="1:10" x14ac:dyDescent="0.75">
      <c r="A4699" t="s">
        <v>151</v>
      </c>
      <c r="B4699">
        <v>522</v>
      </c>
      <c r="C4699" t="s">
        <v>215</v>
      </c>
      <c r="D4699">
        <v>2429</v>
      </c>
      <c r="E4699" t="s">
        <v>375</v>
      </c>
      <c r="F4699" s="4">
        <v>1507</v>
      </c>
      <c r="G4699" s="4">
        <v>0</v>
      </c>
      <c r="H4699" s="4">
        <v>0</v>
      </c>
      <c r="I4699" s="4">
        <v>0</v>
      </c>
      <c r="J4699" s="4">
        <v>1507</v>
      </c>
    </row>
    <row r="4700" spans="1:10" x14ac:dyDescent="0.75">
      <c r="A4700" t="s">
        <v>151</v>
      </c>
      <c r="B4700">
        <v>5002</v>
      </c>
      <c r="C4700" t="s">
        <v>339</v>
      </c>
      <c r="D4700">
        <v>2221</v>
      </c>
      <c r="E4700" t="s">
        <v>374</v>
      </c>
      <c r="F4700" s="4">
        <v>3096</v>
      </c>
      <c r="G4700" s="4">
        <v>0</v>
      </c>
      <c r="H4700" s="4">
        <v>0</v>
      </c>
      <c r="I4700" s="4">
        <v>0</v>
      </c>
      <c r="J4700" s="4">
        <v>3096</v>
      </c>
    </row>
    <row r="4701" spans="1:10" x14ac:dyDescent="0.75">
      <c r="A4701" t="s">
        <v>151</v>
      </c>
      <c r="B4701">
        <v>5002</v>
      </c>
      <c r="C4701" t="s">
        <v>339</v>
      </c>
      <c r="D4701">
        <v>2330</v>
      </c>
      <c r="E4701" t="s">
        <v>368</v>
      </c>
      <c r="F4701" s="4">
        <v>1163</v>
      </c>
      <c r="G4701" s="4">
        <v>0</v>
      </c>
      <c r="H4701" s="4">
        <v>0</v>
      </c>
      <c r="I4701" s="4">
        <v>0</v>
      </c>
      <c r="J4701" s="4">
        <v>1163</v>
      </c>
    </row>
    <row r="4702" spans="1:10" x14ac:dyDescent="0.75">
      <c r="A4702" t="s">
        <v>151</v>
      </c>
      <c r="B4702">
        <v>5002</v>
      </c>
      <c r="C4702" t="s">
        <v>339</v>
      </c>
      <c r="D4702">
        <v>2211</v>
      </c>
      <c r="E4702" t="s">
        <v>367</v>
      </c>
      <c r="F4702" s="4">
        <v>380</v>
      </c>
      <c r="G4702" s="4">
        <v>0</v>
      </c>
      <c r="H4702" s="4">
        <v>0</v>
      </c>
      <c r="I4702" s="4">
        <v>0</v>
      </c>
      <c r="J4702" s="4">
        <v>380</v>
      </c>
    </row>
    <row r="4703" spans="1:10" x14ac:dyDescent="0.75">
      <c r="A4703" t="s">
        <v>151</v>
      </c>
      <c r="B4703">
        <v>4926</v>
      </c>
      <c r="C4703" t="s">
        <v>114</v>
      </c>
      <c r="D4703">
        <v>6134</v>
      </c>
      <c r="E4703" t="s">
        <v>470</v>
      </c>
      <c r="F4703" s="4">
        <v>1984</v>
      </c>
      <c r="G4703" s="4">
        <v>0</v>
      </c>
      <c r="H4703" s="4">
        <v>0</v>
      </c>
      <c r="I4703" s="4">
        <v>0</v>
      </c>
      <c r="J4703" s="4">
        <v>1984</v>
      </c>
    </row>
    <row r="4704" spans="1:10" x14ac:dyDescent="0.75">
      <c r="A4704" t="s">
        <v>151</v>
      </c>
      <c r="B4704">
        <v>4926</v>
      </c>
      <c r="C4704" t="s">
        <v>114</v>
      </c>
      <c r="D4704">
        <v>7900</v>
      </c>
      <c r="E4704" t="s">
        <v>388</v>
      </c>
      <c r="F4704" s="4">
        <v>520</v>
      </c>
      <c r="G4704" s="4">
        <v>0</v>
      </c>
      <c r="H4704" s="4">
        <v>0</v>
      </c>
      <c r="I4704" s="4">
        <v>0</v>
      </c>
      <c r="J4704" s="4">
        <v>520</v>
      </c>
    </row>
    <row r="4705" spans="1:10" x14ac:dyDescent="0.75">
      <c r="A4705" t="s">
        <v>151</v>
      </c>
      <c r="B4705">
        <v>4926</v>
      </c>
      <c r="C4705" t="s">
        <v>114</v>
      </c>
      <c r="D4705">
        <v>7110</v>
      </c>
      <c r="E4705" t="s">
        <v>371</v>
      </c>
      <c r="F4705" s="4">
        <v>31</v>
      </c>
      <c r="G4705" s="4">
        <v>0</v>
      </c>
      <c r="H4705" s="4">
        <v>0</v>
      </c>
      <c r="I4705" s="4">
        <v>0</v>
      </c>
      <c r="J4705" s="4">
        <v>31</v>
      </c>
    </row>
    <row r="4706" spans="1:10" x14ac:dyDescent="0.75">
      <c r="A4706" t="s">
        <v>151</v>
      </c>
      <c r="B4706">
        <v>4926</v>
      </c>
      <c r="C4706" t="s">
        <v>114</v>
      </c>
      <c r="D4706">
        <v>7400</v>
      </c>
      <c r="E4706" t="s">
        <v>502</v>
      </c>
      <c r="F4706" s="4">
        <v>5</v>
      </c>
      <c r="G4706" s="4">
        <v>0</v>
      </c>
      <c r="H4706" s="4">
        <v>0</v>
      </c>
      <c r="I4706" s="4">
        <v>0</v>
      </c>
      <c r="J4706" s="4">
        <v>5</v>
      </c>
    </row>
    <row r="4707" spans="1:10" x14ac:dyDescent="0.75">
      <c r="A4707" t="s">
        <v>151</v>
      </c>
      <c r="B4707">
        <v>4820</v>
      </c>
      <c r="C4707" t="s">
        <v>31</v>
      </c>
      <c r="D4707">
        <v>2221</v>
      </c>
      <c r="E4707" t="s">
        <v>374</v>
      </c>
      <c r="F4707" s="4">
        <v>437592</v>
      </c>
      <c r="G4707" s="4">
        <v>1289934</v>
      </c>
      <c r="H4707" s="4">
        <v>1289934</v>
      </c>
      <c r="I4707" s="4">
        <v>0</v>
      </c>
      <c r="J4707" s="4">
        <v>1727526</v>
      </c>
    </row>
    <row r="4708" spans="1:10" x14ac:dyDescent="0.75">
      <c r="A4708" t="s">
        <v>151</v>
      </c>
      <c r="B4708">
        <v>4820</v>
      </c>
      <c r="C4708" t="s">
        <v>31</v>
      </c>
      <c r="D4708">
        <v>7900</v>
      </c>
      <c r="E4708" t="s">
        <v>388</v>
      </c>
      <c r="F4708" s="4">
        <v>726952</v>
      </c>
      <c r="G4708" s="4">
        <v>745</v>
      </c>
      <c r="H4708" s="4">
        <v>745</v>
      </c>
      <c r="I4708" s="4">
        <v>0</v>
      </c>
      <c r="J4708" s="4">
        <v>727697</v>
      </c>
    </row>
    <row r="4709" spans="1:10" x14ac:dyDescent="0.75">
      <c r="A4709" t="s">
        <v>151</v>
      </c>
      <c r="B4709">
        <v>4820</v>
      </c>
      <c r="C4709" t="s">
        <v>31</v>
      </c>
      <c r="D4709">
        <v>6889</v>
      </c>
      <c r="E4709" t="s">
        <v>420</v>
      </c>
      <c r="F4709" s="4">
        <v>184477</v>
      </c>
      <c r="G4709" s="4">
        <v>0</v>
      </c>
      <c r="H4709" s="4">
        <v>0</v>
      </c>
      <c r="I4709" s="4">
        <v>0</v>
      </c>
      <c r="J4709" s="4">
        <v>184477</v>
      </c>
    </row>
    <row r="4710" spans="1:10" x14ac:dyDescent="0.75">
      <c r="A4710" t="s">
        <v>151</v>
      </c>
      <c r="B4710">
        <v>4820</v>
      </c>
      <c r="C4710" t="s">
        <v>31</v>
      </c>
      <c r="D4710">
        <v>2330</v>
      </c>
      <c r="E4710" t="s">
        <v>368</v>
      </c>
      <c r="F4710" s="4">
        <v>17465</v>
      </c>
      <c r="G4710" s="4">
        <v>101140</v>
      </c>
      <c r="H4710" s="4">
        <v>101140</v>
      </c>
      <c r="I4710" s="4">
        <v>0</v>
      </c>
      <c r="J4710" s="4">
        <v>118605</v>
      </c>
    </row>
    <row r="4711" spans="1:10" x14ac:dyDescent="0.75">
      <c r="A4711" t="s">
        <v>151</v>
      </c>
      <c r="B4711">
        <v>4820</v>
      </c>
      <c r="C4711" t="s">
        <v>31</v>
      </c>
      <c r="D4711">
        <v>5220</v>
      </c>
      <c r="E4711" t="s">
        <v>401</v>
      </c>
      <c r="F4711" s="4">
        <v>299</v>
      </c>
      <c r="G4711" s="4">
        <v>87964</v>
      </c>
      <c r="H4711" s="4">
        <v>87964</v>
      </c>
      <c r="I4711" s="4">
        <v>0</v>
      </c>
      <c r="J4711" s="4">
        <v>88263</v>
      </c>
    </row>
    <row r="4712" spans="1:10" x14ac:dyDescent="0.75">
      <c r="A4712" t="s">
        <v>151</v>
      </c>
      <c r="B4712">
        <v>4820</v>
      </c>
      <c r="C4712" t="s">
        <v>31</v>
      </c>
      <c r="D4712">
        <v>7210</v>
      </c>
      <c r="E4712" t="s">
        <v>426</v>
      </c>
      <c r="F4712" s="4">
        <v>72469</v>
      </c>
      <c r="G4712" s="4">
        <v>0</v>
      </c>
      <c r="H4712" s="4">
        <v>0</v>
      </c>
      <c r="I4712" s="4">
        <v>0</v>
      </c>
      <c r="J4712" s="4">
        <v>72469</v>
      </c>
    </row>
    <row r="4713" spans="1:10" x14ac:dyDescent="0.75">
      <c r="A4713" t="s">
        <v>151</v>
      </c>
      <c r="B4713">
        <v>4820</v>
      </c>
      <c r="C4713" t="s">
        <v>31</v>
      </c>
      <c r="D4713">
        <v>7400</v>
      </c>
      <c r="E4713" t="s">
        <v>502</v>
      </c>
      <c r="F4713" s="4">
        <v>72115</v>
      </c>
      <c r="G4713" s="4">
        <v>0</v>
      </c>
      <c r="H4713" s="4">
        <v>0</v>
      </c>
      <c r="I4713" s="4">
        <v>0</v>
      </c>
      <c r="J4713" s="4">
        <v>72115</v>
      </c>
    </row>
    <row r="4714" spans="1:10" x14ac:dyDescent="0.75">
      <c r="A4714" t="s">
        <v>151</v>
      </c>
      <c r="B4714">
        <v>4820</v>
      </c>
      <c r="C4714" t="s">
        <v>31</v>
      </c>
      <c r="D4714">
        <v>6887</v>
      </c>
      <c r="E4714" t="s">
        <v>505</v>
      </c>
      <c r="F4714" s="4">
        <v>68531</v>
      </c>
      <c r="G4714" s="4">
        <v>0</v>
      </c>
      <c r="H4714" s="4">
        <v>0</v>
      </c>
      <c r="I4714" s="4">
        <v>0</v>
      </c>
      <c r="J4714" s="4">
        <v>68531</v>
      </c>
    </row>
    <row r="4715" spans="1:10" x14ac:dyDescent="0.75">
      <c r="A4715" t="s">
        <v>151</v>
      </c>
      <c r="B4715">
        <v>4820</v>
      </c>
      <c r="C4715" t="s">
        <v>31</v>
      </c>
      <c r="D4715">
        <v>6885</v>
      </c>
      <c r="E4715" t="s">
        <v>493</v>
      </c>
      <c r="F4715" s="4">
        <v>33609</v>
      </c>
      <c r="G4715" s="4">
        <v>10</v>
      </c>
      <c r="H4715" s="4">
        <v>10</v>
      </c>
      <c r="I4715" s="4">
        <v>0</v>
      </c>
      <c r="J4715" s="4">
        <v>33619</v>
      </c>
    </row>
    <row r="4716" spans="1:10" x14ac:dyDescent="0.75">
      <c r="A4716" t="s">
        <v>151</v>
      </c>
      <c r="B4716">
        <v>4820</v>
      </c>
      <c r="C4716" t="s">
        <v>31</v>
      </c>
      <c r="D4716">
        <v>4189</v>
      </c>
      <c r="E4716" t="s">
        <v>451</v>
      </c>
      <c r="F4716" s="4">
        <v>33287</v>
      </c>
      <c r="G4716" s="4">
        <v>34</v>
      </c>
      <c r="H4716" s="4">
        <v>34</v>
      </c>
      <c r="I4716" s="4">
        <v>0</v>
      </c>
      <c r="J4716" s="4">
        <v>33321</v>
      </c>
    </row>
    <row r="4717" spans="1:10" x14ac:dyDescent="0.75">
      <c r="A4717" t="s">
        <v>151</v>
      </c>
      <c r="B4717">
        <v>4820</v>
      </c>
      <c r="C4717" t="s">
        <v>31</v>
      </c>
      <c r="D4717">
        <v>6134</v>
      </c>
      <c r="E4717" t="s">
        <v>470</v>
      </c>
      <c r="F4717" s="4">
        <v>9147</v>
      </c>
      <c r="G4717" s="4">
        <v>16652</v>
      </c>
      <c r="H4717" s="4">
        <v>5029</v>
      </c>
      <c r="I4717" s="4">
        <v>11623</v>
      </c>
      <c r="J4717" s="4">
        <v>25799</v>
      </c>
    </row>
    <row r="4718" spans="1:10" x14ac:dyDescent="0.75">
      <c r="A4718" t="s">
        <v>151</v>
      </c>
      <c r="B4718">
        <v>4820</v>
      </c>
      <c r="C4718" t="s">
        <v>31</v>
      </c>
      <c r="D4718">
        <v>7110</v>
      </c>
      <c r="E4718" t="s">
        <v>371</v>
      </c>
      <c r="F4718" s="4">
        <v>21916</v>
      </c>
      <c r="G4718" s="4">
        <v>0</v>
      </c>
      <c r="H4718" s="4">
        <v>0</v>
      </c>
      <c r="I4718" s="4">
        <v>0</v>
      </c>
      <c r="J4718" s="4">
        <v>21916</v>
      </c>
    </row>
    <row r="4719" spans="1:10" x14ac:dyDescent="0.75">
      <c r="A4719" t="s">
        <v>151</v>
      </c>
      <c r="B4719">
        <v>4820</v>
      </c>
      <c r="C4719" t="s">
        <v>31</v>
      </c>
      <c r="D4719">
        <v>4420</v>
      </c>
      <c r="E4719" t="s">
        <v>381</v>
      </c>
      <c r="F4719" s="4">
        <v>19104</v>
      </c>
      <c r="G4719" s="4">
        <v>0</v>
      </c>
      <c r="H4719" s="4">
        <v>0</v>
      </c>
      <c r="I4719" s="4">
        <v>0</v>
      </c>
      <c r="J4719" s="4">
        <v>19104</v>
      </c>
    </row>
    <row r="4720" spans="1:10" x14ac:dyDescent="0.75">
      <c r="A4720" t="s">
        <v>151</v>
      </c>
      <c r="B4720">
        <v>4820</v>
      </c>
      <c r="C4720" t="s">
        <v>31</v>
      </c>
      <c r="D4720">
        <v>3220</v>
      </c>
      <c r="E4720" t="s">
        <v>370</v>
      </c>
      <c r="F4720" s="4">
        <v>705</v>
      </c>
      <c r="G4720" s="4">
        <v>18090</v>
      </c>
      <c r="H4720" s="4">
        <v>18090</v>
      </c>
      <c r="I4720" s="4">
        <v>0</v>
      </c>
      <c r="J4720" s="4">
        <v>18795</v>
      </c>
    </row>
    <row r="4721" spans="1:10" x14ac:dyDescent="0.75">
      <c r="A4721" t="s">
        <v>151</v>
      </c>
      <c r="B4721">
        <v>4820</v>
      </c>
      <c r="C4721" t="s">
        <v>31</v>
      </c>
      <c r="D4721">
        <v>2211</v>
      </c>
      <c r="E4721" t="s">
        <v>367</v>
      </c>
      <c r="F4721" s="4">
        <v>13573</v>
      </c>
      <c r="G4721" s="4">
        <v>0</v>
      </c>
      <c r="H4721" s="4">
        <v>0</v>
      </c>
      <c r="I4721" s="4">
        <v>0</v>
      </c>
      <c r="J4721" s="4">
        <v>13573</v>
      </c>
    </row>
    <row r="4722" spans="1:10" x14ac:dyDescent="0.75">
      <c r="A4722" t="s">
        <v>151</v>
      </c>
      <c r="B4722">
        <v>4820</v>
      </c>
      <c r="C4722" t="s">
        <v>31</v>
      </c>
      <c r="D4722">
        <v>4783</v>
      </c>
      <c r="E4722" t="s">
        <v>382</v>
      </c>
      <c r="F4722" s="4">
        <v>1955</v>
      </c>
      <c r="G4722" s="4">
        <v>10362</v>
      </c>
      <c r="H4722" s="4">
        <v>10362</v>
      </c>
      <c r="I4722" s="4">
        <v>0</v>
      </c>
      <c r="J4722" s="4">
        <v>12317</v>
      </c>
    </row>
    <row r="4723" spans="1:10" x14ac:dyDescent="0.75">
      <c r="A4723" t="s">
        <v>151</v>
      </c>
      <c r="B4723">
        <v>4820</v>
      </c>
      <c r="C4723" t="s">
        <v>31</v>
      </c>
      <c r="D4723">
        <v>6856</v>
      </c>
      <c r="E4723" t="s">
        <v>486</v>
      </c>
      <c r="F4723" s="4">
        <v>8545</v>
      </c>
      <c r="G4723" s="4">
        <v>0</v>
      </c>
      <c r="H4723" s="4">
        <v>0</v>
      </c>
      <c r="I4723" s="4">
        <v>0</v>
      </c>
      <c r="J4723" s="4">
        <v>8545</v>
      </c>
    </row>
    <row r="4724" spans="1:10" x14ac:dyDescent="0.75">
      <c r="A4724" t="s">
        <v>151</v>
      </c>
      <c r="B4724">
        <v>4820</v>
      </c>
      <c r="C4724" t="s">
        <v>31</v>
      </c>
      <c r="D4724">
        <v>5190</v>
      </c>
      <c r="E4724" t="s">
        <v>462</v>
      </c>
      <c r="F4724" s="4">
        <v>6587</v>
      </c>
      <c r="G4724" s="4">
        <v>755</v>
      </c>
      <c r="H4724" s="4">
        <v>755</v>
      </c>
      <c r="I4724" s="4">
        <v>0</v>
      </c>
      <c r="J4724" s="4">
        <v>7342</v>
      </c>
    </row>
    <row r="4725" spans="1:10" x14ac:dyDescent="0.75">
      <c r="A4725" t="s">
        <v>151</v>
      </c>
      <c r="B4725">
        <v>4820</v>
      </c>
      <c r="C4725" t="s">
        <v>31</v>
      </c>
      <c r="D4725">
        <v>6654</v>
      </c>
      <c r="E4725" t="s">
        <v>419</v>
      </c>
      <c r="F4725" s="4">
        <v>5475</v>
      </c>
      <c r="G4725" s="4">
        <v>0</v>
      </c>
      <c r="H4725" s="4">
        <v>0</v>
      </c>
      <c r="I4725" s="4">
        <v>0</v>
      </c>
      <c r="J4725" s="4">
        <v>5475</v>
      </c>
    </row>
    <row r="4726" spans="1:10" x14ac:dyDescent="0.75">
      <c r="A4726" t="s">
        <v>151</v>
      </c>
      <c r="B4726">
        <v>4820</v>
      </c>
      <c r="C4726" t="s">
        <v>31</v>
      </c>
      <c r="D4726">
        <v>7230</v>
      </c>
      <c r="E4726" t="s">
        <v>387</v>
      </c>
      <c r="F4726" s="4">
        <v>5257</v>
      </c>
      <c r="G4726" s="4">
        <v>0</v>
      </c>
      <c r="H4726" s="4">
        <v>0</v>
      </c>
      <c r="I4726" s="4">
        <v>0</v>
      </c>
      <c r="J4726" s="4">
        <v>5257</v>
      </c>
    </row>
    <row r="4727" spans="1:10" x14ac:dyDescent="0.75">
      <c r="A4727" t="s">
        <v>151</v>
      </c>
      <c r="B4727">
        <v>4820</v>
      </c>
      <c r="C4727" t="s">
        <v>31</v>
      </c>
      <c r="D4727">
        <v>2990</v>
      </c>
      <c r="E4727" t="s">
        <v>432</v>
      </c>
      <c r="F4727" s="4">
        <v>5139</v>
      </c>
      <c r="G4727" s="4">
        <v>0</v>
      </c>
      <c r="H4727" s="4">
        <v>0</v>
      </c>
      <c r="I4727" s="4">
        <v>0</v>
      </c>
      <c r="J4727" s="4">
        <v>5139</v>
      </c>
    </row>
    <row r="4728" spans="1:10" x14ac:dyDescent="0.75">
      <c r="A4728" t="s">
        <v>151</v>
      </c>
      <c r="B4728">
        <v>4820</v>
      </c>
      <c r="C4728" t="s">
        <v>31</v>
      </c>
      <c r="D4728">
        <v>3299</v>
      </c>
      <c r="E4728" t="s">
        <v>448</v>
      </c>
      <c r="F4728" s="4">
        <v>5127</v>
      </c>
      <c r="G4728" s="4">
        <v>0</v>
      </c>
      <c r="H4728" s="4">
        <v>0</v>
      </c>
      <c r="I4728" s="4">
        <v>0</v>
      </c>
      <c r="J4728" s="4">
        <v>5127</v>
      </c>
    </row>
    <row r="4729" spans="1:10" x14ac:dyDescent="0.75">
      <c r="A4729" t="s">
        <v>151</v>
      </c>
      <c r="B4729">
        <v>4820</v>
      </c>
      <c r="C4729" t="s">
        <v>31</v>
      </c>
      <c r="D4729">
        <v>7600</v>
      </c>
      <c r="E4729" t="s">
        <v>503</v>
      </c>
      <c r="F4729" s="4">
        <v>4585</v>
      </c>
      <c r="G4729" s="4">
        <v>527</v>
      </c>
      <c r="H4729" s="4">
        <v>527</v>
      </c>
      <c r="I4729" s="4">
        <v>0</v>
      </c>
      <c r="J4729" s="4">
        <v>5112</v>
      </c>
    </row>
    <row r="4730" spans="1:10" x14ac:dyDescent="0.75">
      <c r="A4730" t="s">
        <v>151</v>
      </c>
      <c r="B4730">
        <v>4820</v>
      </c>
      <c r="C4730" t="s">
        <v>31</v>
      </c>
      <c r="D4730">
        <v>7120</v>
      </c>
      <c r="E4730" t="s">
        <v>499</v>
      </c>
      <c r="F4730" s="4">
        <v>4374</v>
      </c>
      <c r="G4730" s="4">
        <v>0</v>
      </c>
      <c r="H4730" s="4">
        <v>0</v>
      </c>
      <c r="I4730" s="4">
        <v>0</v>
      </c>
      <c r="J4730" s="4">
        <v>4374</v>
      </c>
    </row>
    <row r="4731" spans="1:10" x14ac:dyDescent="0.75">
      <c r="A4731" t="s">
        <v>151</v>
      </c>
      <c r="B4731">
        <v>4820</v>
      </c>
      <c r="C4731" t="s">
        <v>31</v>
      </c>
      <c r="D4731">
        <v>2350</v>
      </c>
      <c r="E4731" t="s">
        <v>404</v>
      </c>
      <c r="F4731" s="4">
        <v>3408</v>
      </c>
      <c r="G4731" s="4">
        <v>0</v>
      </c>
      <c r="H4731" s="4">
        <v>0</v>
      </c>
      <c r="I4731" s="4">
        <v>0</v>
      </c>
      <c r="J4731" s="4">
        <v>3408</v>
      </c>
    </row>
    <row r="4732" spans="1:10" x14ac:dyDescent="0.75">
      <c r="A4732" t="s">
        <v>151</v>
      </c>
      <c r="B4732">
        <v>4820</v>
      </c>
      <c r="C4732" t="s">
        <v>31</v>
      </c>
      <c r="D4732">
        <v>5480</v>
      </c>
      <c r="E4732" t="s">
        <v>386</v>
      </c>
      <c r="F4732" s="4">
        <v>2837</v>
      </c>
      <c r="G4732" s="4">
        <v>15</v>
      </c>
      <c r="H4732" s="4">
        <v>15</v>
      </c>
      <c r="I4732" s="4">
        <v>0</v>
      </c>
      <c r="J4732" s="4">
        <v>2852</v>
      </c>
    </row>
    <row r="4733" spans="1:10" x14ac:dyDescent="0.75">
      <c r="A4733" t="s">
        <v>151</v>
      </c>
      <c r="B4733">
        <v>4820</v>
      </c>
      <c r="C4733" t="s">
        <v>31</v>
      </c>
      <c r="D4733">
        <v>6782</v>
      </c>
      <c r="E4733" t="s">
        <v>396</v>
      </c>
      <c r="F4733" s="4">
        <v>812</v>
      </c>
      <c r="G4733" s="4">
        <v>1976</v>
      </c>
      <c r="H4733" s="4">
        <v>10</v>
      </c>
      <c r="I4733" s="4">
        <v>1966</v>
      </c>
      <c r="J4733" s="4">
        <v>2788</v>
      </c>
    </row>
    <row r="4734" spans="1:10" x14ac:dyDescent="0.75">
      <c r="A4734" t="s">
        <v>151</v>
      </c>
      <c r="B4734">
        <v>4820</v>
      </c>
      <c r="C4734" t="s">
        <v>31</v>
      </c>
      <c r="D4734">
        <v>5360</v>
      </c>
      <c r="E4734" t="s">
        <v>465</v>
      </c>
      <c r="F4734" s="4">
        <v>2691</v>
      </c>
      <c r="G4734" s="4">
        <v>0</v>
      </c>
      <c r="H4734" s="4">
        <v>0</v>
      </c>
      <c r="I4734" s="4">
        <v>0</v>
      </c>
      <c r="J4734" s="4">
        <v>2691</v>
      </c>
    </row>
    <row r="4735" spans="1:10" x14ac:dyDescent="0.75">
      <c r="A4735" t="s">
        <v>151</v>
      </c>
      <c r="B4735">
        <v>4820</v>
      </c>
      <c r="C4735" t="s">
        <v>31</v>
      </c>
      <c r="D4735">
        <v>6899</v>
      </c>
      <c r="E4735" t="s">
        <v>498</v>
      </c>
      <c r="F4735" s="4">
        <v>2585</v>
      </c>
      <c r="G4735" s="4">
        <v>0</v>
      </c>
      <c r="H4735" s="4">
        <v>0</v>
      </c>
      <c r="I4735" s="4">
        <v>0</v>
      </c>
      <c r="J4735" s="4">
        <v>2585</v>
      </c>
    </row>
    <row r="4736" spans="1:10" x14ac:dyDescent="0.75">
      <c r="A4736" t="s">
        <v>151</v>
      </c>
      <c r="B4736">
        <v>4820</v>
      </c>
      <c r="C4736" t="s">
        <v>31</v>
      </c>
      <c r="D4736">
        <v>6811</v>
      </c>
      <c r="E4736" t="s">
        <v>480</v>
      </c>
      <c r="F4736" s="4">
        <v>2560</v>
      </c>
      <c r="G4736" s="4">
        <v>0</v>
      </c>
      <c r="H4736" s="4">
        <v>0</v>
      </c>
      <c r="I4736" s="4">
        <v>0</v>
      </c>
      <c r="J4736" s="4">
        <v>2560</v>
      </c>
    </row>
    <row r="4737" spans="1:10" x14ac:dyDescent="0.75">
      <c r="A4737" t="s">
        <v>151</v>
      </c>
      <c r="B4737">
        <v>4820</v>
      </c>
      <c r="C4737" t="s">
        <v>31</v>
      </c>
      <c r="D4737">
        <v>6781</v>
      </c>
      <c r="E4737" t="s">
        <v>479</v>
      </c>
      <c r="F4737" s="4">
        <v>2448</v>
      </c>
      <c r="G4737" s="4">
        <v>0</v>
      </c>
      <c r="H4737" s="4">
        <v>0</v>
      </c>
      <c r="I4737" s="4">
        <v>0</v>
      </c>
      <c r="J4737" s="4">
        <v>2448</v>
      </c>
    </row>
    <row r="4738" spans="1:10" x14ac:dyDescent="0.75">
      <c r="A4738" t="s">
        <v>151</v>
      </c>
      <c r="B4738">
        <v>4820</v>
      </c>
      <c r="C4738" t="s">
        <v>31</v>
      </c>
      <c r="D4738">
        <v>5370</v>
      </c>
      <c r="E4738" t="s">
        <v>466</v>
      </c>
      <c r="F4738" s="4">
        <v>2302</v>
      </c>
      <c r="G4738" s="4">
        <v>0</v>
      </c>
      <c r="H4738" s="4">
        <v>0</v>
      </c>
      <c r="I4738" s="4">
        <v>0</v>
      </c>
      <c r="J4738" s="4">
        <v>2302</v>
      </c>
    </row>
    <row r="4739" spans="1:10" x14ac:dyDescent="0.75">
      <c r="A4739" t="s">
        <v>151</v>
      </c>
      <c r="B4739">
        <v>4820</v>
      </c>
      <c r="C4739" t="s">
        <v>31</v>
      </c>
      <c r="D4739">
        <v>3276</v>
      </c>
      <c r="E4739" t="s">
        <v>379</v>
      </c>
      <c r="F4739" s="4">
        <v>2129</v>
      </c>
      <c r="G4739" s="4">
        <v>24</v>
      </c>
      <c r="H4739" s="4">
        <v>0</v>
      </c>
      <c r="I4739" s="4">
        <v>24</v>
      </c>
      <c r="J4739" s="4">
        <v>2153</v>
      </c>
    </row>
    <row r="4740" spans="1:10" x14ac:dyDescent="0.75">
      <c r="A4740" t="s">
        <v>151</v>
      </c>
      <c r="B4740">
        <v>4820</v>
      </c>
      <c r="C4740" t="s">
        <v>31</v>
      </c>
      <c r="D4740">
        <v>4331</v>
      </c>
      <c r="E4740" t="s">
        <v>390</v>
      </c>
      <c r="F4740" s="4">
        <v>1365</v>
      </c>
      <c r="G4740" s="4">
        <v>0</v>
      </c>
      <c r="H4740" s="4">
        <v>0</v>
      </c>
      <c r="I4740" s="4">
        <v>0</v>
      </c>
      <c r="J4740" s="4">
        <v>1365</v>
      </c>
    </row>
    <row r="4741" spans="1:10" x14ac:dyDescent="0.75">
      <c r="A4741" t="s">
        <v>151</v>
      </c>
      <c r="B4741">
        <v>4820</v>
      </c>
      <c r="C4741" t="s">
        <v>31</v>
      </c>
      <c r="D4741">
        <v>5110</v>
      </c>
      <c r="E4741" t="s">
        <v>460</v>
      </c>
      <c r="F4741" s="4">
        <v>1147</v>
      </c>
      <c r="G4741" s="4">
        <v>0</v>
      </c>
      <c r="H4741" s="4">
        <v>0</v>
      </c>
      <c r="I4741" s="4">
        <v>0</v>
      </c>
      <c r="J4741" s="4">
        <v>1147</v>
      </c>
    </row>
    <row r="4742" spans="1:10" x14ac:dyDescent="0.75">
      <c r="A4742" t="s">
        <v>151</v>
      </c>
      <c r="B4742">
        <v>4820</v>
      </c>
      <c r="C4742" t="s">
        <v>31</v>
      </c>
      <c r="D4742">
        <v>5540</v>
      </c>
      <c r="E4742" t="s">
        <v>469</v>
      </c>
      <c r="F4742" s="4">
        <v>1092</v>
      </c>
      <c r="G4742" s="4">
        <v>55</v>
      </c>
      <c r="H4742" s="4">
        <v>55</v>
      </c>
      <c r="I4742" s="4">
        <v>0</v>
      </c>
      <c r="J4742" s="4">
        <v>1147</v>
      </c>
    </row>
    <row r="4743" spans="1:10" x14ac:dyDescent="0.75">
      <c r="A4743" t="s">
        <v>151</v>
      </c>
      <c r="B4743">
        <v>4820</v>
      </c>
      <c r="C4743" t="s">
        <v>31</v>
      </c>
      <c r="D4743">
        <v>3297</v>
      </c>
      <c r="E4743" t="s">
        <v>446</v>
      </c>
      <c r="F4743" s="4">
        <v>0</v>
      </c>
      <c r="G4743" s="4">
        <v>1017</v>
      </c>
      <c r="H4743" s="4">
        <v>1017</v>
      </c>
      <c r="I4743" s="4">
        <v>0</v>
      </c>
      <c r="J4743" s="4">
        <v>1017</v>
      </c>
    </row>
    <row r="4744" spans="1:10" x14ac:dyDescent="0.75">
      <c r="A4744" t="s">
        <v>151</v>
      </c>
      <c r="B4744">
        <v>4820</v>
      </c>
      <c r="C4744" t="s">
        <v>31</v>
      </c>
      <c r="D4744">
        <v>6747</v>
      </c>
      <c r="E4744" t="s">
        <v>478</v>
      </c>
      <c r="F4744" s="4">
        <v>970</v>
      </c>
      <c r="G4744" s="4">
        <v>0</v>
      </c>
      <c r="H4744" s="4">
        <v>0</v>
      </c>
      <c r="I4744" s="4">
        <v>0</v>
      </c>
      <c r="J4744" s="4">
        <v>970</v>
      </c>
    </row>
    <row r="4745" spans="1:10" x14ac:dyDescent="0.75">
      <c r="A4745" t="s">
        <v>151</v>
      </c>
      <c r="B4745">
        <v>4820</v>
      </c>
      <c r="C4745" t="s">
        <v>31</v>
      </c>
      <c r="D4745">
        <v>6861</v>
      </c>
      <c r="E4745" t="s">
        <v>489</v>
      </c>
      <c r="F4745" s="4">
        <v>129</v>
      </c>
      <c r="G4745" s="4">
        <v>660</v>
      </c>
      <c r="H4745" s="4">
        <v>660</v>
      </c>
      <c r="I4745" s="4">
        <v>0</v>
      </c>
      <c r="J4745" s="4">
        <v>789</v>
      </c>
    </row>
    <row r="4746" spans="1:10" x14ac:dyDescent="0.75">
      <c r="A4746" t="s">
        <v>151</v>
      </c>
      <c r="B4746">
        <v>4820</v>
      </c>
      <c r="C4746" t="s">
        <v>31</v>
      </c>
      <c r="D4746">
        <v>5240</v>
      </c>
      <c r="E4746" t="s">
        <v>464</v>
      </c>
      <c r="F4746" s="4">
        <v>610</v>
      </c>
      <c r="G4746" s="4">
        <v>0</v>
      </c>
      <c r="H4746" s="4">
        <v>0</v>
      </c>
      <c r="I4746" s="4">
        <v>0</v>
      </c>
      <c r="J4746" s="4">
        <v>610</v>
      </c>
    </row>
    <row r="4747" spans="1:10" x14ac:dyDescent="0.75">
      <c r="A4747" t="s">
        <v>151</v>
      </c>
      <c r="B4747">
        <v>4820</v>
      </c>
      <c r="C4747" t="s">
        <v>31</v>
      </c>
      <c r="D4747">
        <v>6835</v>
      </c>
      <c r="E4747" t="s">
        <v>483</v>
      </c>
      <c r="F4747" s="4">
        <v>0</v>
      </c>
      <c r="G4747" s="4">
        <v>571</v>
      </c>
      <c r="H4747" s="4">
        <v>376</v>
      </c>
      <c r="I4747" s="4">
        <v>195</v>
      </c>
      <c r="J4747" s="4">
        <v>571</v>
      </c>
    </row>
    <row r="4748" spans="1:10" x14ac:dyDescent="0.75">
      <c r="A4748" t="s">
        <v>151</v>
      </c>
      <c r="B4748">
        <v>4820</v>
      </c>
      <c r="C4748" t="s">
        <v>31</v>
      </c>
      <c r="D4748">
        <v>6136</v>
      </c>
      <c r="E4748" t="s">
        <v>471</v>
      </c>
      <c r="F4748" s="4">
        <v>0</v>
      </c>
      <c r="G4748" s="4">
        <v>510</v>
      </c>
      <c r="H4748" s="4">
        <v>111</v>
      </c>
      <c r="I4748" s="4">
        <v>399</v>
      </c>
      <c r="J4748" s="4">
        <v>510</v>
      </c>
    </row>
    <row r="4749" spans="1:10" x14ac:dyDescent="0.75">
      <c r="A4749" t="s">
        <v>151</v>
      </c>
      <c r="B4749">
        <v>4820</v>
      </c>
      <c r="C4749" t="s">
        <v>31</v>
      </c>
      <c r="D4749">
        <v>4338</v>
      </c>
      <c r="E4749" t="s">
        <v>509</v>
      </c>
      <c r="F4749" s="4">
        <v>416</v>
      </c>
      <c r="G4749" s="4">
        <v>0</v>
      </c>
      <c r="H4749" s="4">
        <v>0</v>
      </c>
      <c r="I4749" s="4">
        <v>0</v>
      </c>
      <c r="J4749" s="4">
        <v>416</v>
      </c>
    </row>
    <row r="4750" spans="1:10" x14ac:dyDescent="0.75">
      <c r="A4750" t="s">
        <v>151</v>
      </c>
      <c r="B4750">
        <v>4820</v>
      </c>
      <c r="C4750" t="s">
        <v>31</v>
      </c>
      <c r="D4750">
        <v>7500</v>
      </c>
      <c r="E4750" t="s">
        <v>427</v>
      </c>
      <c r="F4750" s="4">
        <v>351</v>
      </c>
      <c r="G4750" s="4">
        <v>21</v>
      </c>
      <c r="H4750" s="4">
        <v>21</v>
      </c>
      <c r="I4750" s="4">
        <v>0</v>
      </c>
      <c r="J4750" s="4">
        <v>372</v>
      </c>
    </row>
    <row r="4751" spans="1:10" x14ac:dyDescent="0.75">
      <c r="A4751" t="s">
        <v>151</v>
      </c>
      <c r="B4751">
        <v>4820</v>
      </c>
      <c r="C4751" t="s">
        <v>31</v>
      </c>
      <c r="D4751">
        <v>5290</v>
      </c>
      <c r="E4751" t="s">
        <v>415</v>
      </c>
      <c r="F4751" s="4">
        <v>326</v>
      </c>
      <c r="G4751" s="4">
        <v>0</v>
      </c>
      <c r="H4751" s="4">
        <v>0</v>
      </c>
      <c r="I4751" s="4">
        <v>0</v>
      </c>
      <c r="J4751" s="4">
        <v>326</v>
      </c>
    </row>
    <row r="4752" spans="1:10" x14ac:dyDescent="0.75">
      <c r="A4752" t="s">
        <v>151</v>
      </c>
      <c r="B4752">
        <v>4820</v>
      </c>
      <c r="C4752" t="s">
        <v>31</v>
      </c>
      <c r="D4752">
        <v>6839</v>
      </c>
      <c r="E4752" t="s">
        <v>485</v>
      </c>
      <c r="F4752" s="4">
        <v>4</v>
      </c>
      <c r="G4752" s="4">
        <v>316</v>
      </c>
      <c r="H4752" s="4">
        <v>0</v>
      </c>
      <c r="I4752" s="4">
        <v>316</v>
      </c>
      <c r="J4752" s="4">
        <v>320</v>
      </c>
    </row>
    <row r="4753" spans="1:10" x14ac:dyDescent="0.75">
      <c r="A4753" t="s">
        <v>151</v>
      </c>
      <c r="B4753">
        <v>4820</v>
      </c>
      <c r="C4753" t="s">
        <v>31</v>
      </c>
      <c r="D4753">
        <v>2640</v>
      </c>
      <c r="E4753" t="s">
        <v>431</v>
      </c>
      <c r="F4753" s="4">
        <v>253</v>
      </c>
      <c r="G4753" s="4">
        <v>0</v>
      </c>
      <c r="H4753" s="4">
        <v>0</v>
      </c>
      <c r="I4753" s="4">
        <v>0</v>
      </c>
      <c r="J4753" s="4">
        <v>253</v>
      </c>
    </row>
    <row r="4754" spans="1:10" x14ac:dyDescent="0.75">
      <c r="A4754" t="s">
        <v>151</v>
      </c>
      <c r="B4754">
        <v>4820</v>
      </c>
      <c r="C4754" t="s">
        <v>31</v>
      </c>
      <c r="D4754">
        <v>8900</v>
      </c>
      <c r="E4754" t="s">
        <v>506</v>
      </c>
      <c r="F4754" s="4">
        <v>200</v>
      </c>
      <c r="G4754" s="4">
        <v>0</v>
      </c>
      <c r="H4754" s="4">
        <v>0</v>
      </c>
      <c r="I4754" s="4">
        <v>0</v>
      </c>
      <c r="J4754" s="4">
        <v>200</v>
      </c>
    </row>
    <row r="4755" spans="1:10" x14ac:dyDescent="0.75">
      <c r="A4755" t="s">
        <v>151</v>
      </c>
      <c r="B4755">
        <v>4820</v>
      </c>
      <c r="C4755" t="s">
        <v>31</v>
      </c>
      <c r="D4755">
        <v>3286</v>
      </c>
      <c r="E4755" t="s">
        <v>423</v>
      </c>
      <c r="F4755" s="4">
        <v>23</v>
      </c>
      <c r="G4755" s="4">
        <v>158</v>
      </c>
      <c r="H4755" s="4">
        <v>158</v>
      </c>
      <c r="I4755" s="4">
        <v>0</v>
      </c>
      <c r="J4755" s="4">
        <v>181</v>
      </c>
    </row>
    <row r="4756" spans="1:10" x14ac:dyDescent="0.75">
      <c r="A4756" t="s">
        <v>151</v>
      </c>
      <c r="B4756">
        <v>4820</v>
      </c>
      <c r="C4756" t="s">
        <v>31</v>
      </c>
      <c r="D4756">
        <v>3282</v>
      </c>
      <c r="E4756" t="s">
        <v>440</v>
      </c>
      <c r="F4756" s="4">
        <v>124</v>
      </c>
      <c r="G4756" s="4">
        <v>0</v>
      </c>
      <c r="H4756" s="4">
        <v>0</v>
      </c>
      <c r="I4756" s="4">
        <v>0</v>
      </c>
      <c r="J4756" s="4">
        <v>124</v>
      </c>
    </row>
    <row r="4757" spans="1:10" x14ac:dyDescent="0.75">
      <c r="A4757" t="s">
        <v>151</v>
      </c>
      <c r="B4757">
        <v>4820</v>
      </c>
      <c r="C4757" t="s">
        <v>31</v>
      </c>
      <c r="D4757">
        <v>7220</v>
      </c>
      <c r="E4757" t="s">
        <v>500</v>
      </c>
      <c r="F4757" s="4">
        <v>102</v>
      </c>
      <c r="G4757" s="4">
        <v>0</v>
      </c>
      <c r="H4757" s="4">
        <v>0</v>
      </c>
      <c r="I4757" s="4">
        <v>0</v>
      </c>
      <c r="J4757" s="4">
        <v>102</v>
      </c>
    </row>
    <row r="4758" spans="1:10" x14ac:dyDescent="0.75">
      <c r="A4758" t="s">
        <v>151</v>
      </c>
      <c r="B4758">
        <v>4820</v>
      </c>
      <c r="C4758" t="s">
        <v>31</v>
      </c>
      <c r="D4758">
        <v>6838</v>
      </c>
      <c r="E4758" t="s">
        <v>484</v>
      </c>
      <c r="F4758" s="4">
        <v>0</v>
      </c>
      <c r="G4758" s="4">
        <v>88</v>
      </c>
      <c r="H4758" s="4">
        <v>0</v>
      </c>
      <c r="I4758" s="4">
        <v>88</v>
      </c>
      <c r="J4758" s="4">
        <v>88</v>
      </c>
    </row>
    <row r="4759" spans="1:10" x14ac:dyDescent="0.75">
      <c r="A4759" t="s">
        <v>151</v>
      </c>
      <c r="B4759">
        <v>4820</v>
      </c>
      <c r="C4759" t="s">
        <v>31</v>
      </c>
      <c r="D4759">
        <v>4650</v>
      </c>
      <c r="E4759" t="s">
        <v>457</v>
      </c>
      <c r="F4759" s="4">
        <v>0</v>
      </c>
      <c r="G4759" s="4">
        <v>56</v>
      </c>
      <c r="H4759" s="4">
        <v>56</v>
      </c>
      <c r="I4759" s="4">
        <v>0</v>
      </c>
      <c r="J4759" s="4">
        <v>56</v>
      </c>
    </row>
    <row r="4760" spans="1:10" x14ac:dyDescent="0.75">
      <c r="A4760" t="s">
        <v>151</v>
      </c>
      <c r="B4760">
        <v>4820</v>
      </c>
      <c r="C4760" t="s">
        <v>31</v>
      </c>
      <c r="D4760">
        <v>6746</v>
      </c>
      <c r="E4760" t="s">
        <v>477</v>
      </c>
      <c r="F4760" s="4">
        <v>54</v>
      </c>
      <c r="G4760" s="4">
        <v>0</v>
      </c>
      <c r="H4760" s="4">
        <v>0</v>
      </c>
      <c r="I4760" s="4">
        <v>0</v>
      </c>
      <c r="J4760" s="4">
        <v>54</v>
      </c>
    </row>
    <row r="4761" spans="1:10" x14ac:dyDescent="0.75">
      <c r="A4761" t="s">
        <v>151</v>
      </c>
      <c r="B4761">
        <v>4820</v>
      </c>
      <c r="C4761" t="s">
        <v>31</v>
      </c>
      <c r="D4761">
        <v>3285</v>
      </c>
      <c r="E4761" t="s">
        <v>443</v>
      </c>
      <c r="F4761" s="4">
        <v>53</v>
      </c>
      <c r="G4761" s="4">
        <v>0</v>
      </c>
      <c r="H4761" s="4">
        <v>0</v>
      </c>
      <c r="I4761" s="4">
        <v>0</v>
      </c>
      <c r="J4761" s="4">
        <v>53</v>
      </c>
    </row>
    <row r="4762" spans="1:10" x14ac:dyDescent="0.75">
      <c r="A4762" t="s">
        <v>151</v>
      </c>
      <c r="B4762">
        <v>4820</v>
      </c>
      <c r="C4762" t="s">
        <v>31</v>
      </c>
      <c r="D4762">
        <v>6653</v>
      </c>
      <c r="E4762" t="s">
        <v>395</v>
      </c>
      <c r="F4762" s="4">
        <v>0</v>
      </c>
      <c r="G4762" s="4">
        <v>16</v>
      </c>
      <c r="H4762" s="4">
        <v>16</v>
      </c>
      <c r="I4762" s="4">
        <v>0</v>
      </c>
      <c r="J4762" s="4">
        <v>16</v>
      </c>
    </row>
    <row r="4763" spans="1:10" x14ac:dyDescent="0.75">
      <c r="A4763" t="s">
        <v>151</v>
      </c>
      <c r="B4763">
        <v>4820</v>
      </c>
      <c r="C4763" t="s">
        <v>31</v>
      </c>
      <c r="D4763">
        <v>3190</v>
      </c>
      <c r="E4763" t="s">
        <v>408</v>
      </c>
      <c r="F4763" s="4">
        <v>5</v>
      </c>
      <c r="G4763" s="4">
        <v>0</v>
      </c>
      <c r="H4763" s="4">
        <v>0</v>
      </c>
      <c r="I4763" s="4">
        <v>0</v>
      </c>
      <c r="J4763" s="4">
        <v>5</v>
      </c>
    </row>
    <row r="4764" spans="1:10" x14ac:dyDescent="0.75">
      <c r="A4764" t="s">
        <v>151</v>
      </c>
      <c r="B4764">
        <v>4820</v>
      </c>
      <c r="C4764" t="s">
        <v>31</v>
      </c>
      <c r="D4764">
        <v>9900</v>
      </c>
      <c r="E4764" t="s">
        <v>389</v>
      </c>
      <c r="F4764" s="4">
        <v>0</v>
      </c>
      <c r="G4764" s="4">
        <v>1</v>
      </c>
      <c r="H4764" s="4">
        <v>1</v>
      </c>
      <c r="I4764" s="4">
        <v>0</v>
      </c>
      <c r="J4764" s="4">
        <v>1</v>
      </c>
    </row>
    <row r="4765" spans="1:10" x14ac:dyDescent="0.75">
      <c r="A4765" t="s">
        <v>151</v>
      </c>
      <c r="B4765">
        <v>2430</v>
      </c>
      <c r="C4765" t="s">
        <v>266</v>
      </c>
      <c r="D4765">
        <v>3230</v>
      </c>
      <c r="E4765" t="s">
        <v>434</v>
      </c>
      <c r="F4765" s="4">
        <v>312528</v>
      </c>
      <c r="G4765" s="4">
        <v>0</v>
      </c>
      <c r="H4765" s="4">
        <v>0</v>
      </c>
      <c r="I4765" s="4">
        <v>0</v>
      </c>
      <c r="J4765" s="4">
        <v>312528</v>
      </c>
    </row>
    <row r="4766" spans="1:10" x14ac:dyDescent="0.75">
      <c r="A4766" t="s">
        <v>151</v>
      </c>
      <c r="B4766">
        <v>2430</v>
      </c>
      <c r="C4766" t="s">
        <v>266</v>
      </c>
      <c r="D4766">
        <v>3220</v>
      </c>
      <c r="E4766" t="s">
        <v>370</v>
      </c>
      <c r="F4766" s="4">
        <v>291014</v>
      </c>
      <c r="G4766" s="4">
        <v>0</v>
      </c>
      <c r="H4766" s="4">
        <v>0</v>
      </c>
      <c r="I4766" s="4">
        <v>0</v>
      </c>
      <c r="J4766" s="4">
        <v>291014</v>
      </c>
    </row>
    <row r="4767" spans="1:10" x14ac:dyDescent="0.75">
      <c r="A4767" t="s">
        <v>151</v>
      </c>
      <c r="B4767">
        <v>2430</v>
      </c>
      <c r="C4767" t="s">
        <v>266</v>
      </c>
      <c r="D4767">
        <v>2100</v>
      </c>
      <c r="E4767" t="s">
        <v>403</v>
      </c>
      <c r="F4767" s="4">
        <v>190868</v>
      </c>
      <c r="G4767" s="4">
        <v>0</v>
      </c>
      <c r="H4767" s="4">
        <v>0</v>
      </c>
      <c r="I4767" s="4">
        <v>0</v>
      </c>
      <c r="J4767" s="4">
        <v>190868</v>
      </c>
    </row>
    <row r="4768" spans="1:10" x14ac:dyDescent="0.75">
      <c r="A4768" t="s">
        <v>151</v>
      </c>
      <c r="B4768">
        <v>2430</v>
      </c>
      <c r="C4768" t="s">
        <v>266</v>
      </c>
      <c r="D4768">
        <v>2640</v>
      </c>
      <c r="E4768" t="s">
        <v>431</v>
      </c>
      <c r="F4768" s="4">
        <v>4800</v>
      </c>
      <c r="G4768" s="4">
        <v>0</v>
      </c>
      <c r="H4768" s="4">
        <v>0</v>
      </c>
      <c r="I4768" s="4">
        <v>0</v>
      </c>
      <c r="J4768" s="4">
        <v>4800</v>
      </c>
    </row>
    <row r="4769" spans="1:10" x14ac:dyDescent="0.75">
      <c r="A4769" t="s">
        <v>151</v>
      </c>
      <c r="B4769">
        <v>783</v>
      </c>
      <c r="C4769" t="s">
        <v>122</v>
      </c>
      <c r="D4769">
        <v>7210</v>
      </c>
      <c r="E4769" t="s">
        <v>426</v>
      </c>
      <c r="F4769" s="4">
        <v>0</v>
      </c>
      <c r="G4769" s="4">
        <v>1227823</v>
      </c>
      <c r="H4769" s="4">
        <v>841553</v>
      </c>
      <c r="I4769" s="4">
        <v>386270</v>
      </c>
      <c r="J4769" s="4">
        <v>1227823</v>
      </c>
    </row>
    <row r="4770" spans="1:10" x14ac:dyDescent="0.75">
      <c r="A4770" t="s">
        <v>151</v>
      </c>
      <c r="B4770">
        <v>783</v>
      </c>
      <c r="C4770" t="s">
        <v>122</v>
      </c>
      <c r="D4770">
        <v>4150</v>
      </c>
      <c r="E4770" t="s">
        <v>450</v>
      </c>
      <c r="F4770" s="4">
        <v>0</v>
      </c>
      <c r="G4770" s="4">
        <v>338584</v>
      </c>
      <c r="H4770" s="4">
        <v>0</v>
      </c>
      <c r="I4770" s="4">
        <v>338584</v>
      </c>
      <c r="J4770" s="4">
        <v>338584</v>
      </c>
    </row>
    <row r="4771" spans="1:10" x14ac:dyDescent="0.75">
      <c r="A4771" t="s">
        <v>151</v>
      </c>
      <c r="B4771">
        <v>783</v>
      </c>
      <c r="C4771" t="s">
        <v>122</v>
      </c>
      <c r="D4771">
        <v>4783</v>
      </c>
      <c r="E4771" t="s">
        <v>382</v>
      </c>
      <c r="F4771" s="4">
        <v>0</v>
      </c>
      <c r="G4771" s="4">
        <v>120162</v>
      </c>
      <c r="H4771" s="4">
        <v>120162</v>
      </c>
      <c r="I4771" s="4">
        <v>0</v>
      </c>
      <c r="J4771" s="4">
        <v>120162</v>
      </c>
    </row>
    <row r="4772" spans="1:10" x14ac:dyDescent="0.75">
      <c r="A4772" t="s">
        <v>151</v>
      </c>
      <c r="B4772">
        <v>783</v>
      </c>
      <c r="C4772" t="s">
        <v>122</v>
      </c>
      <c r="D4772">
        <v>4900</v>
      </c>
      <c r="E4772" t="s">
        <v>383</v>
      </c>
      <c r="F4772" s="4">
        <v>0</v>
      </c>
      <c r="G4772" s="4">
        <v>113137</v>
      </c>
      <c r="H4772" s="4">
        <v>113137</v>
      </c>
      <c r="I4772" s="4">
        <v>0</v>
      </c>
      <c r="J4772" s="4">
        <v>113137</v>
      </c>
    </row>
    <row r="4773" spans="1:10" x14ac:dyDescent="0.75">
      <c r="A4773" t="s">
        <v>151</v>
      </c>
      <c r="B4773">
        <v>783</v>
      </c>
      <c r="C4773" t="s">
        <v>122</v>
      </c>
      <c r="D4773">
        <v>7110</v>
      </c>
      <c r="E4773" t="s">
        <v>371</v>
      </c>
      <c r="F4773" s="4">
        <v>0</v>
      </c>
      <c r="G4773" s="4">
        <v>96394</v>
      </c>
      <c r="H4773" s="4">
        <v>82238</v>
      </c>
      <c r="I4773" s="4">
        <v>14156</v>
      </c>
      <c r="J4773" s="4">
        <v>96394</v>
      </c>
    </row>
    <row r="4774" spans="1:10" x14ac:dyDescent="0.75">
      <c r="A4774" t="s">
        <v>151</v>
      </c>
      <c r="B4774">
        <v>783</v>
      </c>
      <c r="C4774" t="s">
        <v>122</v>
      </c>
      <c r="D4774">
        <v>6782</v>
      </c>
      <c r="E4774" t="s">
        <v>396</v>
      </c>
      <c r="F4774" s="4">
        <v>0</v>
      </c>
      <c r="G4774" s="4">
        <v>61091</v>
      </c>
      <c r="H4774" s="4">
        <v>0</v>
      </c>
      <c r="I4774" s="4">
        <v>61091</v>
      </c>
      <c r="J4774" s="4">
        <v>61091</v>
      </c>
    </row>
    <row r="4775" spans="1:10" x14ac:dyDescent="0.75">
      <c r="A4775" t="s">
        <v>151</v>
      </c>
      <c r="B4775">
        <v>783</v>
      </c>
      <c r="C4775" t="s">
        <v>122</v>
      </c>
      <c r="D4775">
        <v>6858</v>
      </c>
      <c r="E4775" t="s">
        <v>488</v>
      </c>
      <c r="F4775" s="4">
        <v>0</v>
      </c>
      <c r="G4775" s="4">
        <v>60622</v>
      </c>
      <c r="H4775" s="4">
        <v>127</v>
      </c>
      <c r="I4775" s="4">
        <v>60495</v>
      </c>
      <c r="J4775" s="4">
        <v>60622</v>
      </c>
    </row>
    <row r="4776" spans="1:10" x14ac:dyDescent="0.75">
      <c r="A4776" t="s">
        <v>151</v>
      </c>
      <c r="B4776">
        <v>783</v>
      </c>
      <c r="C4776" t="s">
        <v>122</v>
      </c>
      <c r="D4776">
        <v>3274</v>
      </c>
      <c r="E4776" t="s">
        <v>438</v>
      </c>
      <c r="F4776" s="4">
        <v>48494</v>
      </c>
      <c r="G4776" s="4">
        <v>8099</v>
      </c>
      <c r="H4776" s="4">
        <v>8099</v>
      </c>
      <c r="I4776" s="4">
        <v>0</v>
      </c>
      <c r="J4776" s="4">
        <v>56593</v>
      </c>
    </row>
    <row r="4777" spans="1:10" x14ac:dyDescent="0.75">
      <c r="A4777" t="s">
        <v>151</v>
      </c>
      <c r="B4777">
        <v>783</v>
      </c>
      <c r="C4777" t="s">
        <v>122</v>
      </c>
      <c r="D4777">
        <v>3110</v>
      </c>
      <c r="E4777" t="s">
        <v>405</v>
      </c>
      <c r="F4777" s="4">
        <v>15000</v>
      </c>
      <c r="G4777" s="4">
        <v>30631</v>
      </c>
      <c r="H4777" s="4">
        <v>30631</v>
      </c>
      <c r="I4777" s="4">
        <v>0</v>
      </c>
      <c r="J4777" s="4">
        <v>45631</v>
      </c>
    </row>
    <row r="4778" spans="1:10" x14ac:dyDescent="0.75">
      <c r="A4778" t="s">
        <v>151</v>
      </c>
      <c r="B4778">
        <v>783</v>
      </c>
      <c r="C4778" t="s">
        <v>122</v>
      </c>
      <c r="D4778">
        <v>4225</v>
      </c>
      <c r="E4778" t="s">
        <v>380</v>
      </c>
      <c r="F4778" s="4">
        <v>0</v>
      </c>
      <c r="G4778" s="4">
        <v>37913</v>
      </c>
      <c r="H4778" s="4">
        <v>51</v>
      </c>
      <c r="I4778" s="4">
        <v>37862</v>
      </c>
      <c r="J4778" s="4">
        <v>37913</v>
      </c>
    </row>
    <row r="4779" spans="1:10" x14ac:dyDescent="0.75">
      <c r="A4779" t="s">
        <v>151</v>
      </c>
      <c r="B4779">
        <v>783</v>
      </c>
      <c r="C4779" t="s">
        <v>122</v>
      </c>
      <c r="D4779">
        <v>3220</v>
      </c>
      <c r="E4779" t="s">
        <v>370</v>
      </c>
      <c r="F4779" s="4">
        <v>0</v>
      </c>
      <c r="G4779" s="4">
        <v>22048</v>
      </c>
      <c r="H4779" s="4">
        <v>48</v>
      </c>
      <c r="I4779" s="4">
        <v>22000</v>
      </c>
      <c r="J4779" s="4">
        <v>22048</v>
      </c>
    </row>
    <row r="4780" spans="1:10" x14ac:dyDescent="0.75">
      <c r="A4780" t="s">
        <v>151</v>
      </c>
      <c r="B4780">
        <v>783</v>
      </c>
      <c r="C4780" t="s">
        <v>122</v>
      </c>
      <c r="D4780">
        <v>3190</v>
      </c>
      <c r="E4780" t="s">
        <v>408</v>
      </c>
      <c r="F4780" s="4">
        <v>0</v>
      </c>
      <c r="G4780" s="4">
        <v>22047</v>
      </c>
      <c r="H4780" s="4">
        <v>6063</v>
      </c>
      <c r="I4780" s="4">
        <v>15984</v>
      </c>
      <c r="J4780" s="4">
        <v>22047</v>
      </c>
    </row>
    <row r="4781" spans="1:10" x14ac:dyDescent="0.75">
      <c r="A4781" t="s">
        <v>151</v>
      </c>
      <c r="B4781">
        <v>783</v>
      </c>
      <c r="C4781" t="s">
        <v>122</v>
      </c>
      <c r="D4781">
        <v>5120</v>
      </c>
      <c r="E4781" t="s">
        <v>461</v>
      </c>
      <c r="F4781" s="4">
        <v>0</v>
      </c>
      <c r="G4781" s="4">
        <v>15868</v>
      </c>
      <c r="H4781" s="4">
        <v>64</v>
      </c>
      <c r="I4781" s="4">
        <v>15804</v>
      </c>
      <c r="J4781" s="4">
        <v>15868</v>
      </c>
    </row>
    <row r="4782" spans="1:10" x14ac:dyDescent="0.75">
      <c r="A4782" t="s">
        <v>151</v>
      </c>
      <c r="B4782">
        <v>783</v>
      </c>
      <c r="C4782" t="s">
        <v>122</v>
      </c>
      <c r="D4782">
        <v>7900</v>
      </c>
      <c r="E4782" t="s">
        <v>388</v>
      </c>
      <c r="F4782" s="4">
        <v>294</v>
      </c>
      <c r="G4782" s="4">
        <v>11686</v>
      </c>
      <c r="H4782" s="4">
        <v>8291</v>
      </c>
      <c r="I4782" s="4">
        <v>3395</v>
      </c>
      <c r="J4782" s="4">
        <v>11980</v>
      </c>
    </row>
    <row r="4783" spans="1:10" x14ac:dyDescent="0.75">
      <c r="A4783" t="s">
        <v>151</v>
      </c>
      <c r="B4783">
        <v>783</v>
      </c>
      <c r="C4783" t="s">
        <v>122</v>
      </c>
      <c r="D4783">
        <v>5540</v>
      </c>
      <c r="E4783" t="s">
        <v>469</v>
      </c>
      <c r="F4783" s="4">
        <v>0</v>
      </c>
      <c r="G4783" s="4">
        <v>10301</v>
      </c>
      <c r="H4783" s="4">
        <v>10301</v>
      </c>
      <c r="I4783" s="4">
        <v>0</v>
      </c>
      <c r="J4783" s="4">
        <v>10301</v>
      </c>
    </row>
    <row r="4784" spans="1:10" x14ac:dyDescent="0.75">
      <c r="A4784" t="s">
        <v>151</v>
      </c>
      <c r="B4784">
        <v>783</v>
      </c>
      <c r="C4784" t="s">
        <v>122</v>
      </c>
      <c r="D4784">
        <v>4189</v>
      </c>
      <c r="E4784" t="s">
        <v>451</v>
      </c>
      <c r="F4784" s="4">
        <v>0</v>
      </c>
      <c r="G4784" s="4">
        <v>8182</v>
      </c>
      <c r="H4784" s="4">
        <v>8182</v>
      </c>
      <c r="I4784" s="4">
        <v>0</v>
      </c>
      <c r="J4784" s="4">
        <v>8182</v>
      </c>
    </row>
    <row r="4785" spans="1:10" x14ac:dyDescent="0.75">
      <c r="A4785" t="s">
        <v>151</v>
      </c>
      <c r="B4785">
        <v>783</v>
      </c>
      <c r="C4785" t="s">
        <v>122</v>
      </c>
      <c r="D4785">
        <v>5480</v>
      </c>
      <c r="E4785" t="s">
        <v>386</v>
      </c>
      <c r="F4785" s="4">
        <v>0</v>
      </c>
      <c r="G4785" s="4">
        <v>5072</v>
      </c>
      <c r="H4785" s="4">
        <v>2745</v>
      </c>
      <c r="I4785" s="4">
        <v>2327</v>
      </c>
      <c r="J4785" s="4">
        <v>5072</v>
      </c>
    </row>
    <row r="4786" spans="1:10" x14ac:dyDescent="0.75">
      <c r="A4786" t="s">
        <v>151</v>
      </c>
      <c r="B4786">
        <v>783</v>
      </c>
      <c r="C4786" t="s">
        <v>122</v>
      </c>
      <c r="D4786">
        <v>4310</v>
      </c>
      <c r="E4786" t="s">
        <v>453</v>
      </c>
      <c r="F4786" s="4">
        <v>0</v>
      </c>
      <c r="G4786" s="4">
        <v>4968</v>
      </c>
      <c r="H4786" s="4">
        <v>0</v>
      </c>
      <c r="I4786" s="4">
        <v>4968</v>
      </c>
      <c r="J4786" s="4">
        <v>4968</v>
      </c>
    </row>
    <row r="4787" spans="1:10" x14ac:dyDescent="0.75">
      <c r="A4787" t="s">
        <v>151</v>
      </c>
      <c r="B4787">
        <v>783</v>
      </c>
      <c r="C4787" t="s">
        <v>122</v>
      </c>
      <c r="D4787">
        <v>4110</v>
      </c>
      <c r="E4787" t="s">
        <v>449</v>
      </c>
      <c r="F4787" s="4">
        <v>0</v>
      </c>
      <c r="G4787" s="4">
        <v>4346</v>
      </c>
      <c r="H4787" s="4">
        <v>4346</v>
      </c>
      <c r="I4787" s="4">
        <v>0</v>
      </c>
      <c r="J4787" s="4">
        <v>4346</v>
      </c>
    </row>
    <row r="4788" spans="1:10" x14ac:dyDescent="0.75">
      <c r="A4788" t="s">
        <v>151</v>
      </c>
      <c r="B4788">
        <v>783</v>
      </c>
      <c r="C4788" t="s">
        <v>122</v>
      </c>
      <c r="D4788">
        <v>5421</v>
      </c>
      <c r="E4788" t="s">
        <v>467</v>
      </c>
      <c r="F4788" s="4">
        <v>0</v>
      </c>
      <c r="G4788" s="4">
        <v>4280</v>
      </c>
      <c r="H4788" s="4">
        <v>0</v>
      </c>
      <c r="I4788" s="4">
        <v>4280</v>
      </c>
      <c r="J4788" s="4">
        <v>4280</v>
      </c>
    </row>
    <row r="4789" spans="1:10" x14ac:dyDescent="0.75">
      <c r="A4789" t="s">
        <v>151</v>
      </c>
      <c r="B4789">
        <v>783</v>
      </c>
      <c r="C4789" t="s">
        <v>122</v>
      </c>
      <c r="D4789">
        <v>7120</v>
      </c>
      <c r="E4789" t="s">
        <v>499</v>
      </c>
      <c r="F4789" s="4">
        <v>0</v>
      </c>
      <c r="G4789" s="4">
        <v>4160</v>
      </c>
      <c r="H4789" s="4">
        <v>3539</v>
      </c>
      <c r="I4789" s="4">
        <v>621</v>
      </c>
      <c r="J4789" s="4">
        <v>4160</v>
      </c>
    </row>
    <row r="4790" spans="1:10" x14ac:dyDescent="0.75">
      <c r="A4790" t="s">
        <v>151</v>
      </c>
      <c r="B4790">
        <v>783</v>
      </c>
      <c r="C4790" t="s">
        <v>122</v>
      </c>
      <c r="D4790">
        <v>6822</v>
      </c>
      <c r="E4790" t="s">
        <v>482</v>
      </c>
      <c r="F4790" s="4">
        <v>0</v>
      </c>
      <c r="G4790" s="4">
        <v>3342</v>
      </c>
      <c r="H4790" s="4">
        <v>10</v>
      </c>
      <c r="I4790" s="4">
        <v>3332</v>
      </c>
      <c r="J4790" s="4">
        <v>3342</v>
      </c>
    </row>
    <row r="4791" spans="1:10" x14ac:dyDescent="0.75">
      <c r="A4791" t="s">
        <v>151</v>
      </c>
      <c r="B4791">
        <v>783</v>
      </c>
      <c r="C4791" t="s">
        <v>122</v>
      </c>
      <c r="D4791">
        <v>7600</v>
      </c>
      <c r="E4791" t="s">
        <v>503</v>
      </c>
      <c r="F4791" s="4">
        <v>0</v>
      </c>
      <c r="G4791" s="4">
        <v>2610</v>
      </c>
      <c r="H4791" s="4">
        <v>1398</v>
      </c>
      <c r="I4791" s="4">
        <v>1212</v>
      </c>
      <c r="J4791" s="4">
        <v>2610</v>
      </c>
    </row>
    <row r="4792" spans="1:10" x14ac:dyDescent="0.75">
      <c r="A4792" t="s">
        <v>151</v>
      </c>
      <c r="B4792">
        <v>783</v>
      </c>
      <c r="C4792" t="s">
        <v>122</v>
      </c>
      <c r="D4792">
        <v>3284</v>
      </c>
      <c r="E4792" t="s">
        <v>442</v>
      </c>
      <c r="F4792" s="4">
        <v>0</v>
      </c>
      <c r="G4792" s="4">
        <v>2563</v>
      </c>
      <c r="H4792" s="4">
        <v>0</v>
      </c>
      <c r="I4792" s="4">
        <v>2563</v>
      </c>
      <c r="J4792" s="4">
        <v>2563</v>
      </c>
    </row>
    <row r="4793" spans="1:10" x14ac:dyDescent="0.75">
      <c r="A4793" t="s">
        <v>151</v>
      </c>
      <c r="B4793">
        <v>783</v>
      </c>
      <c r="C4793" t="s">
        <v>122</v>
      </c>
      <c r="D4793">
        <v>7500</v>
      </c>
      <c r="E4793" t="s">
        <v>427</v>
      </c>
      <c r="F4793" s="4">
        <v>0</v>
      </c>
      <c r="G4793" s="4">
        <v>1837</v>
      </c>
      <c r="H4793" s="4">
        <v>1368</v>
      </c>
      <c r="I4793" s="4">
        <v>469</v>
      </c>
      <c r="J4793" s="4">
        <v>1837</v>
      </c>
    </row>
    <row r="4794" spans="1:10" x14ac:dyDescent="0.75">
      <c r="A4794" t="s">
        <v>151</v>
      </c>
      <c r="B4794">
        <v>783</v>
      </c>
      <c r="C4794" t="s">
        <v>122</v>
      </c>
      <c r="D4794">
        <v>7230</v>
      </c>
      <c r="E4794" t="s">
        <v>387</v>
      </c>
      <c r="F4794" s="4">
        <v>0</v>
      </c>
      <c r="G4794" s="4">
        <v>1556</v>
      </c>
      <c r="H4794" s="4">
        <v>792</v>
      </c>
      <c r="I4794" s="4">
        <v>764</v>
      </c>
      <c r="J4794" s="4">
        <v>1556</v>
      </c>
    </row>
    <row r="4795" spans="1:10" x14ac:dyDescent="0.75">
      <c r="A4795" t="s">
        <v>151</v>
      </c>
      <c r="B4795">
        <v>783</v>
      </c>
      <c r="C4795" t="s">
        <v>122</v>
      </c>
      <c r="D4795">
        <v>6654</v>
      </c>
      <c r="E4795" t="s">
        <v>419</v>
      </c>
      <c r="F4795" s="4">
        <v>0</v>
      </c>
      <c r="G4795" s="4">
        <v>1247</v>
      </c>
      <c r="H4795" s="4">
        <v>957</v>
      </c>
      <c r="I4795" s="4">
        <v>290</v>
      </c>
      <c r="J4795" s="4">
        <v>1247</v>
      </c>
    </row>
    <row r="4796" spans="1:10" x14ac:dyDescent="0.75">
      <c r="A4796" t="s">
        <v>151</v>
      </c>
      <c r="B4796">
        <v>783</v>
      </c>
      <c r="C4796" t="s">
        <v>122</v>
      </c>
      <c r="D4796">
        <v>4420</v>
      </c>
      <c r="E4796" t="s">
        <v>381</v>
      </c>
      <c r="F4796" s="4">
        <v>0</v>
      </c>
      <c r="G4796" s="4">
        <v>1132</v>
      </c>
      <c r="H4796" s="4">
        <v>725</v>
      </c>
      <c r="I4796" s="4">
        <v>407</v>
      </c>
      <c r="J4796" s="4">
        <v>1132</v>
      </c>
    </row>
    <row r="4797" spans="1:10" x14ac:dyDescent="0.75">
      <c r="A4797" t="s">
        <v>151</v>
      </c>
      <c r="B4797">
        <v>783</v>
      </c>
      <c r="C4797" t="s">
        <v>122</v>
      </c>
      <c r="D4797">
        <v>9900</v>
      </c>
      <c r="E4797" t="s">
        <v>389</v>
      </c>
      <c r="F4797" s="4">
        <v>0</v>
      </c>
      <c r="G4797" s="4">
        <v>1072</v>
      </c>
      <c r="H4797" s="4">
        <v>640</v>
      </c>
      <c r="I4797" s="4">
        <v>432</v>
      </c>
      <c r="J4797" s="4">
        <v>1072</v>
      </c>
    </row>
    <row r="4798" spans="1:10" x14ac:dyDescent="0.75">
      <c r="A4798" t="s">
        <v>151</v>
      </c>
      <c r="B4798">
        <v>783</v>
      </c>
      <c r="C4798" t="s">
        <v>122</v>
      </c>
      <c r="D4798">
        <v>5370</v>
      </c>
      <c r="E4798" t="s">
        <v>466</v>
      </c>
      <c r="F4798" s="4">
        <v>0</v>
      </c>
      <c r="G4798" s="4">
        <v>774</v>
      </c>
      <c r="H4798" s="4">
        <v>774</v>
      </c>
      <c r="I4798" s="4">
        <v>0</v>
      </c>
      <c r="J4798" s="4">
        <v>774</v>
      </c>
    </row>
    <row r="4799" spans="1:10" x14ac:dyDescent="0.75">
      <c r="A4799" t="s">
        <v>151</v>
      </c>
      <c r="B4799">
        <v>783</v>
      </c>
      <c r="C4799" t="s">
        <v>122</v>
      </c>
      <c r="D4799">
        <v>7220</v>
      </c>
      <c r="E4799" t="s">
        <v>500</v>
      </c>
      <c r="F4799" s="4">
        <v>0</v>
      </c>
      <c r="G4799" s="4">
        <v>769</v>
      </c>
      <c r="H4799" s="4">
        <v>54</v>
      </c>
      <c r="I4799" s="4">
        <v>715</v>
      </c>
      <c r="J4799" s="4">
        <v>769</v>
      </c>
    </row>
    <row r="4800" spans="1:10" x14ac:dyDescent="0.75">
      <c r="A4800" t="s">
        <v>151</v>
      </c>
      <c r="B4800">
        <v>783</v>
      </c>
      <c r="C4800" t="s">
        <v>122</v>
      </c>
      <c r="D4800">
        <v>5190</v>
      </c>
      <c r="E4800" t="s">
        <v>462</v>
      </c>
      <c r="F4800" s="4">
        <v>0</v>
      </c>
      <c r="G4800" s="4">
        <v>463</v>
      </c>
      <c r="H4800" s="4">
        <v>306</v>
      </c>
      <c r="I4800" s="4">
        <v>157</v>
      </c>
      <c r="J4800" s="4">
        <v>463</v>
      </c>
    </row>
    <row r="4801" spans="1:10" x14ac:dyDescent="0.75">
      <c r="A4801" t="s">
        <v>151</v>
      </c>
      <c r="B4801">
        <v>783</v>
      </c>
      <c r="C4801" t="s">
        <v>122</v>
      </c>
      <c r="D4801">
        <v>6889</v>
      </c>
      <c r="E4801" t="s">
        <v>420</v>
      </c>
      <c r="F4801" s="4">
        <v>0</v>
      </c>
      <c r="G4801" s="4">
        <v>393</v>
      </c>
      <c r="H4801" s="4">
        <v>386</v>
      </c>
      <c r="I4801" s="4">
        <v>7</v>
      </c>
      <c r="J4801" s="4">
        <v>393</v>
      </c>
    </row>
    <row r="4802" spans="1:10" x14ac:dyDescent="0.75">
      <c r="A4802" t="s">
        <v>151</v>
      </c>
      <c r="B4802">
        <v>783</v>
      </c>
      <c r="C4802" t="s">
        <v>122</v>
      </c>
      <c r="D4802">
        <v>7400</v>
      </c>
      <c r="E4802" t="s">
        <v>502</v>
      </c>
      <c r="F4802" s="4">
        <v>0</v>
      </c>
      <c r="G4802" s="4">
        <v>364</v>
      </c>
      <c r="H4802" s="4">
        <v>67</v>
      </c>
      <c r="I4802" s="4">
        <v>297</v>
      </c>
      <c r="J4802" s="4">
        <v>364</v>
      </c>
    </row>
    <row r="4803" spans="1:10" x14ac:dyDescent="0.75">
      <c r="A4803" t="s">
        <v>151</v>
      </c>
      <c r="B4803">
        <v>783</v>
      </c>
      <c r="C4803" t="s">
        <v>122</v>
      </c>
      <c r="D4803">
        <v>5422</v>
      </c>
      <c r="E4803" t="s">
        <v>468</v>
      </c>
      <c r="F4803" s="4">
        <v>0</v>
      </c>
      <c r="G4803" s="4">
        <v>276</v>
      </c>
      <c r="H4803" s="4">
        <v>219</v>
      </c>
      <c r="I4803" s="4">
        <v>57</v>
      </c>
      <c r="J4803" s="4">
        <v>276</v>
      </c>
    </row>
    <row r="4804" spans="1:10" x14ac:dyDescent="0.75">
      <c r="A4804" t="s">
        <v>151</v>
      </c>
      <c r="B4804">
        <v>783</v>
      </c>
      <c r="C4804" t="s">
        <v>122</v>
      </c>
      <c r="D4804">
        <v>5290</v>
      </c>
      <c r="E4804" t="s">
        <v>415</v>
      </c>
      <c r="F4804" s="4">
        <v>0</v>
      </c>
      <c r="G4804" s="4">
        <v>272</v>
      </c>
      <c r="H4804" s="4">
        <v>257</v>
      </c>
      <c r="I4804" s="4">
        <v>15</v>
      </c>
      <c r="J4804" s="4">
        <v>272</v>
      </c>
    </row>
    <row r="4805" spans="1:10" x14ac:dyDescent="0.75">
      <c r="A4805" t="s">
        <v>151</v>
      </c>
      <c r="B4805">
        <v>783</v>
      </c>
      <c r="C4805" t="s">
        <v>122</v>
      </c>
      <c r="D4805">
        <v>3286</v>
      </c>
      <c r="E4805" t="s">
        <v>423</v>
      </c>
      <c r="F4805" s="4">
        <v>0</v>
      </c>
      <c r="G4805" s="4">
        <v>227</v>
      </c>
      <c r="H4805" s="4">
        <v>227</v>
      </c>
      <c r="I4805" s="4">
        <v>0</v>
      </c>
      <c r="J4805" s="4">
        <v>227</v>
      </c>
    </row>
    <row r="4806" spans="1:10" x14ac:dyDescent="0.75">
      <c r="A4806" t="s">
        <v>151</v>
      </c>
      <c r="B4806">
        <v>783</v>
      </c>
      <c r="C4806" t="s">
        <v>122</v>
      </c>
      <c r="D4806">
        <v>2430</v>
      </c>
      <c r="E4806" t="s">
        <v>376</v>
      </c>
      <c r="F4806" s="4">
        <v>0</v>
      </c>
      <c r="G4806" s="4">
        <v>188</v>
      </c>
      <c r="H4806" s="4">
        <v>188</v>
      </c>
      <c r="I4806" s="4">
        <v>0</v>
      </c>
      <c r="J4806" s="4">
        <v>188</v>
      </c>
    </row>
    <row r="4807" spans="1:10" x14ac:dyDescent="0.75">
      <c r="A4807" t="s">
        <v>151</v>
      </c>
      <c r="B4807">
        <v>783</v>
      </c>
      <c r="C4807" t="s">
        <v>122</v>
      </c>
      <c r="D4807">
        <v>6899</v>
      </c>
      <c r="E4807" t="s">
        <v>498</v>
      </c>
      <c r="F4807" s="4">
        <v>0</v>
      </c>
      <c r="G4807" s="4">
        <v>167</v>
      </c>
      <c r="H4807" s="4">
        <v>9</v>
      </c>
      <c r="I4807" s="4">
        <v>158</v>
      </c>
      <c r="J4807" s="4">
        <v>167</v>
      </c>
    </row>
    <row r="4808" spans="1:10" x14ac:dyDescent="0.75">
      <c r="A4808" t="s">
        <v>151</v>
      </c>
      <c r="B4808">
        <v>783</v>
      </c>
      <c r="C4808" t="s">
        <v>122</v>
      </c>
      <c r="D4808">
        <v>3240</v>
      </c>
      <c r="E4808" t="s">
        <v>410</v>
      </c>
      <c r="F4808" s="4">
        <v>0</v>
      </c>
      <c r="G4808" s="4">
        <v>155</v>
      </c>
      <c r="H4808" s="4">
        <v>141</v>
      </c>
      <c r="I4808" s="4">
        <v>14</v>
      </c>
      <c r="J4808" s="4">
        <v>155</v>
      </c>
    </row>
    <row r="4809" spans="1:10" x14ac:dyDescent="0.75">
      <c r="A4809" t="s">
        <v>151</v>
      </c>
      <c r="B4809">
        <v>783</v>
      </c>
      <c r="C4809" t="s">
        <v>122</v>
      </c>
      <c r="D4809">
        <v>3250</v>
      </c>
      <c r="E4809" t="s">
        <v>435</v>
      </c>
      <c r="F4809" s="4">
        <v>0</v>
      </c>
      <c r="G4809" s="4">
        <v>138</v>
      </c>
      <c r="H4809" s="4">
        <v>9</v>
      </c>
      <c r="I4809" s="4">
        <v>129</v>
      </c>
      <c r="J4809" s="4">
        <v>138</v>
      </c>
    </row>
    <row r="4810" spans="1:10" x14ac:dyDescent="0.75">
      <c r="A4810" t="s">
        <v>151</v>
      </c>
      <c r="B4810">
        <v>783</v>
      </c>
      <c r="C4810" t="s">
        <v>122</v>
      </c>
      <c r="D4810">
        <v>6885</v>
      </c>
      <c r="E4810" t="s">
        <v>493</v>
      </c>
      <c r="F4810" s="4">
        <v>0</v>
      </c>
      <c r="G4810" s="4">
        <v>133</v>
      </c>
      <c r="H4810" s="4">
        <v>56</v>
      </c>
      <c r="I4810" s="4">
        <v>77</v>
      </c>
      <c r="J4810" s="4">
        <v>133</v>
      </c>
    </row>
    <row r="4811" spans="1:10" x14ac:dyDescent="0.75">
      <c r="A4811" t="s">
        <v>151</v>
      </c>
      <c r="B4811">
        <v>783</v>
      </c>
      <c r="C4811" t="s">
        <v>122</v>
      </c>
      <c r="D4811">
        <v>6590</v>
      </c>
      <c r="E4811" t="s">
        <v>394</v>
      </c>
      <c r="F4811" s="4">
        <v>0</v>
      </c>
      <c r="G4811" s="4">
        <v>129</v>
      </c>
      <c r="H4811" s="4">
        <v>129</v>
      </c>
      <c r="I4811" s="4">
        <v>0</v>
      </c>
      <c r="J4811" s="4">
        <v>129</v>
      </c>
    </row>
    <row r="4812" spans="1:10" x14ac:dyDescent="0.75">
      <c r="A4812" t="s">
        <v>151</v>
      </c>
      <c r="B4812">
        <v>783</v>
      </c>
      <c r="C4812" t="s">
        <v>122</v>
      </c>
      <c r="D4812">
        <v>4331</v>
      </c>
      <c r="E4812" t="s">
        <v>390</v>
      </c>
      <c r="F4812" s="4">
        <v>0</v>
      </c>
      <c r="G4812" s="4">
        <v>125</v>
      </c>
      <c r="H4812" s="4">
        <v>0</v>
      </c>
      <c r="I4812" s="4">
        <v>125</v>
      </c>
      <c r="J4812" s="4">
        <v>125</v>
      </c>
    </row>
    <row r="4813" spans="1:10" x14ac:dyDescent="0.75">
      <c r="A4813" t="s">
        <v>151</v>
      </c>
      <c r="B4813">
        <v>783</v>
      </c>
      <c r="C4813" t="s">
        <v>122</v>
      </c>
      <c r="D4813">
        <v>3275</v>
      </c>
      <c r="E4813" t="s">
        <v>412</v>
      </c>
      <c r="F4813" s="4">
        <v>0</v>
      </c>
      <c r="G4813" s="4">
        <v>114</v>
      </c>
      <c r="H4813" s="4">
        <v>1</v>
      </c>
      <c r="I4813" s="4">
        <v>113</v>
      </c>
      <c r="J4813" s="4">
        <v>114</v>
      </c>
    </row>
    <row r="4814" spans="1:10" x14ac:dyDescent="0.75">
      <c r="A4814" t="s">
        <v>151</v>
      </c>
      <c r="B4814">
        <v>783</v>
      </c>
      <c r="C4814" t="s">
        <v>122</v>
      </c>
      <c r="D4814">
        <v>3285</v>
      </c>
      <c r="E4814" t="s">
        <v>443</v>
      </c>
      <c r="F4814" s="4">
        <v>0</v>
      </c>
      <c r="G4814" s="4">
        <v>102</v>
      </c>
      <c r="H4814" s="4">
        <v>8</v>
      </c>
      <c r="I4814" s="4">
        <v>94</v>
      </c>
      <c r="J4814" s="4">
        <v>102</v>
      </c>
    </row>
    <row r="4815" spans="1:10" x14ac:dyDescent="0.75">
      <c r="A4815" t="s">
        <v>151</v>
      </c>
      <c r="B4815">
        <v>783</v>
      </c>
      <c r="C4815" t="s">
        <v>122</v>
      </c>
      <c r="D4815">
        <v>2330</v>
      </c>
      <c r="E4815" t="s">
        <v>368</v>
      </c>
      <c r="F4815" s="4">
        <v>0</v>
      </c>
      <c r="G4815" s="4">
        <v>91</v>
      </c>
      <c r="H4815" s="4">
        <v>28</v>
      </c>
      <c r="I4815" s="4">
        <v>63</v>
      </c>
      <c r="J4815" s="4">
        <v>91</v>
      </c>
    </row>
    <row r="4816" spans="1:10" x14ac:dyDescent="0.75">
      <c r="A4816" t="s">
        <v>151</v>
      </c>
      <c r="B4816">
        <v>783</v>
      </c>
      <c r="C4816" t="s">
        <v>122</v>
      </c>
      <c r="D4816">
        <v>7300</v>
      </c>
      <c r="E4816" t="s">
        <v>501</v>
      </c>
      <c r="F4816" s="4">
        <v>0</v>
      </c>
      <c r="G4816" s="4">
        <v>84</v>
      </c>
      <c r="H4816" s="4">
        <v>0</v>
      </c>
      <c r="I4816" s="4">
        <v>84</v>
      </c>
      <c r="J4816" s="4">
        <v>84</v>
      </c>
    </row>
    <row r="4817" spans="1:10" x14ac:dyDescent="0.75">
      <c r="A4817" t="s">
        <v>151</v>
      </c>
      <c r="B4817">
        <v>783</v>
      </c>
      <c r="C4817" t="s">
        <v>122</v>
      </c>
      <c r="D4817">
        <v>5220</v>
      </c>
      <c r="E4817" t="s">
        <v>401</v>
      </c>
      <c r="F4817" s="4">
        <v>0</v>
      </c>
      <c r="G4817" s="4">
        <v>71</v>
      </c>
      <c r="H4817" s="4">
        <v>71</v>
      </c>
      <c r="I4817" s="4">
        <v>0</v>
      </c>
      <c r="J4817" s="4">
        <v>71</v>
      </c>
    </row>
    <row r="4818" spans="1:10" x14ac:dyDescent="0.75">
      <c r="A4818" t="s">
        <v>151</v>
      </c>
      <c r="B4818">
        <v>783</v>
      </c>
      <c r="C4818" t="s">
        <v>122</v>
      </c>
      <c r="D4818">
        <v>3293</v>
      </c>
      <c r="E4818" t="s">
        <v>445</v>
      </c>
      <c r="F4818" s="4">
        <v>0</v>
      </c>
      <c r="G4818" s="4">
        <v>68</v>
      </c>
      <c r="H4818" s="4">
        <v>27</v>
      </c>
      <c r="I4818" s="4">
        <v>41</v>
      </c>
      <c r="J4818" s="4">
        <v>68</v>
      </c>
    </row>
    <row r="4819" spans="1:10" x14ac:dyDescent="0.75">
      <c r="A4819" t="s">
        <v>151</v>
      </c>
      <c r="B4819">
        <v>783</v>
      </c>
      <c r="C4819" t="s">
        <v>122</v>
      </c>
      <c r="D4819">
        <v>3230</v>
      </c>
      <c r="E4819" t="s">
        <v>434</v>
      </c>
      <c r="F4819" s="4">
        <v>0</v>
      </c>
      <c r="G4819" s="4">
        <v>43</v>
      </c>
      <c r="H4819" s="4">
        <v>26</v>
      </c>
      <c r="I4819" s="4">
        <v>17</v>
      </c>
      <c r="J4819" s="4">
        <v>43</v>
      </c>
    </row>
    <row r="4820" spans="1:10" x14ac:dyDescent="0.75">
      <c r="A4820" t="s">
        <v>151</v>
      </c>
      <c r="B4820">
        <v>783</v>
      </c>
      <c r="C4820" t="s">
        <v>122</v>
      </c>
      <c r="D4820">
        <v>2410</v>
      </c>
      <c r="E4820" t="s">
        <v>430</v>
      </c>
      <c r="F4820" s="4">
        <v>0</v>
      </c>
      <c r="G4820" s="4">
        <v>42</v>
      </c>
      <c r="H4820" s="4">
        <v>0</v>
      </c>
      <c r="I4820" s="4">
        <v>42</v>
      </c>
      <c r="J4820" s="4">
        <v>42</v>
      </c>
    </row>
    <row r="4821" spans="1:10" x14ac:dyDescent="0.75">
      <c r="A4821" t="s">
        <v>151</v>
      </c>
      <c r="B4821">
        <v>783</v>
      </c>
      <c r="C4821" t="s">
        <v>122</v>
      </c>
      <c r="D4821">
        <v>6811</v>
      </c>
      <c r="E4821" t="s">
        <v>480</v>
      </c>
      <c r="F4821" s="4">
        <v>0</v>
      </c>
      <c r="G4821" s="4">
        <v>37</v>
      </c>
      <c r="H4821" s="4">
        <v>37</v>
      </c>
      <c r="I4821" s="4">
        <v>0</v>
      </c>
      <c r="J4821" s="4">
        <v>37</v>
      </c>
    </row>
    <row r="4822" spans="1:10" x14ac:dyDescent="0.75">
      <c r="A4822" t="s">
        <v>151</v>
      </c>
      <c r="B4822">
        <v>783</v>
      </c>
      <c r="C4822" t="s">
        <v>122</v>
      </c>
      <c r="D4822">
        <v>5110</v>
      </c>
      <c r="E4822" t="s">
        <v>460</v>
      </c>
      <c r="F4822" s="4">
        <v>0</v>
      </c>
      <c r="G4822" s="4">
        <v>35</v>
      </c>
      <c r="H4822" s="4">
        <v>0</v>
      </c>
      <c r="I4822" s="4">
        <v>35</v>
      </c>
      <c r="J4822" s="4">
        <v>35</v>
      </c>
    </row>
    <row r="4823" spans="1:10" x14ac:dyDescent="0.75">
      <c r="A4823" t="s">
        <v>151</v>
      </c>
      <c r="B4823">
        <v>783</v>
      </c>
      <c r="C4823" t="s">
        <v>122</v>
      </c>
      <c r="D4823">
        <v>5360</v>
      </c>
      <c r="E4823" t="s">
        <v>465</v>
      </c>
      <c r="F4823" s="4">
        <v>0</v>
      </c>
      <c r="G4823" s="4">
        <v>32</v>
      </c>
      <c r="H4823" s="4">
        <v>0</v>
      </c>
      <c r="I4823" s="4">
        <v>32</v>
      </c>
      <c r="J4823" s="4">
        <v>32</v>
      </c>
    </row>
    <row r="4824" spans="1:10" x14ac:dyDescent="0.75">
      <c r="A4824" t="s">
        <v>151</v>
      </c>
      <c r="B4824">
        <v>783</v>
      </c>
      <c r="C4824" t="s">
        <v>122</v>
      </c>
      <c r="D4824">
        <v>5320</v>
      </c>
      <c r="E4824" t="s">
        <v>384</v>
      </c>
      <c r="F4824" s="4">
        <v>0</v>
      </c>
      <c r="G4824" s="4">
        <v>30</v>
      </c>
      <c r="H4824" s="4">
        <v>30</v>
      </c>
      <c r="I4824" s="4">
        <v>0</v>
      </c>
      <c r="J4824" s="4">
        <v>30</v>
      </c>
    </row>
    <row r="4825" spans="1:10" x14ac:dyDescent="0.75">
      <c r="A4825" t="s">
        <v>151</v>
      </c>
      <c r="B4825">
        <v>783</v>
      </c>
      <c r="C4825" t="s">
        <v>122</v>
      </c>
      <c r="D4825">
        <v>5240</v>
      </c>
      <c r="E4825" t="s">
        <v>464</v>
      </c>
      <c r="F4825" s="4">
        <v>0</v>
      </c>
      <c r="G4825" s="4">
        <v>29</v>
      </c>
      <c r="H4825" s="4">
        <v>29</v>
      </c>
      <c r="I4825" s="4">
        <v>0</v>
      </c>
      <c r="J4825" s="4">
        <v>29</v>
      </c>
    </row>
    <row r="4826" spans="1:10" x14ac:dyDescent="0.75">
      <c r="A4826" t="s">
        <v>151</v>
      </c>
      <c r="B4826">
        <v>783</v>
      </c>
      <c r="C4826" t="s">
        <v>122</v>
      </c>
      <c r="D4826">
        <v>3282</v>
      </c>
      <c r="E4826" t="s">
        <v>440</v>
      </c>
      <c r="F4826" s="4">
        <v>0</v>
      </c>
      <c r="G4826" s="4">
        <v>27</v>
      </c>
      <c r="H4826" s="4">
        <v>27</v>
      </c>
      <c r="I4826" s="4">
        <v>0</v>
      </c>
      <c r="J4826" s="4">
        <v>27</v>
      </c>
    </row>
    <row r="4827" spans="1:10" x14ac:dyDescent="0.75">
      <c r="A4827" t="s">
        <v>151</v>
      </c>
      <c r="B4827">
        <v>783</v>
      </c>
      <c r="C4827" t="s">
        <v>122</v>
      </c>
      <c r="D4827">
        <v>6891</v>
      </c>
      <c r="E4827" t="s">
        <v>495</v>
      </c>
      <c r="F4827" s="4">
        <v>0</v>
      </c>
      <c r="G4827" s="4">
        <v>22</v>
      </c>
      <c r="H4827" s="4">
        <v>22</v>
      </c>
      <c r="I4827" s="4">
        <v>0</v>
      </c>
      <c r="J4827" s="4">
        <v>22</v>
      </c>
    </row>
    <row r="4828" spans="1:10" x14ac:dyDescent="0.75">
      <c r="A4828" t="s">
        <v>151</v>
      </c>
      <c r="B4828">
        <v>783</v>
      </c>
      <c r="C4828" t="s">
        <v>122</v>
      </c>
      <c r="D4828">
        <v>6134</v>
      </c>
      <c r="E4828" t="s">
        <v>470</v>
      </c>
      <c r="F4828" s="4">
        <v>0</v>
      </c>
      <c r="G4828" s="4">
        <v>21</v>
      </c>
      <c r="H4828" s="4">
        <v>0</v>
      </c>
      <c r="I4828" s="4">
        <v>21</v>
      </c>
      <c r="J4828" s="4">
        <v>21</v>
      </c>
    </row>
    <row r="4829" spans="1:10" x14ac:dyDescent="0.75">
      <c r="A4829" t="s">
        <v>151</v>
      </c>
      <c r="B4829">
        <v>783</v>
      </c>
      <c r="C4829" t="s">
        <v>122</v>
      </c>
      <c r="D4829">
        <v>4190</v>
      </c>
      <c r="E4829" t="s">
        <v>452</v>
      </c>
      <c r="F4829" s="4">
        <v>0</v>
      </c>
      <c r="G4829" s="4">
        <v>19</v>
      </c>
      <c r="H4829" s="4">
        <v>19</v>
      </c>
      <c r="I4829" s="4">
        <v>0</v>
      </c>
      <c r="J4829" s="4">
        <v>19</v>
      </c>
    </row>
    <row r="4830" spans="1:10" x14ac:dyDescent="0.75">
      <c r="A4830" t="s">
        <v>151</v>
      </c>
      <c r="B4830">
        <v>783</v>
      </c>
      <c r="C4830" t="s">
        <v>122</v>
      </c>
      <c r="D4830">
        <v>5330</v>
      </c>
      <c r="E4830" t="s">
        <v>385</v>
      </c>
      <c r="F4830" s="4">
        <v>0</v>
      </c>
      <c r="G4830" s="4">
        <v>19</v>
      </c>
      <c r="H4830" s="4">
        <v>19</v>
      </c>
      <c r="I4830" s="4">
        <v>0</v>
      </c>
      <c r="J4830" s="4">
        <v>19</v>
      </c>
    </row>
    <row r="4831" spans="1:10" x14ac:dyDescent="0.75">
      <c r="A4831" t="s">
        <v>151</v>
      </c>
      <c r="B4831">
        <v>783</v>
      </c>
      <c r="C4831" t="s">
        <v>122</v>
      </c>
      <c r="D4831">
        <v>3299</v>
      </c>
      <c r="E4831" t="s">
        <v>448</v>
      </c>
      <c r="F4831" s="4">
        <v>0</v>
      </c>
      <c r="G4831" s="4">
        <v>13</v>
      </c>
      <c r="H4831" s="4">
        <v>13</v>
      </c>
      <c r="I4831" s="4">
        <v>0</v>
      </c>
      <c r="J4831" s="4">
        <v>13</v>
      </c>
    </row>
    <row r="4832" spans="1:10" x14ac:dyDescent="0.75">
      <c r="A4832" t="s">
        <v>151</v>
      </c>
      <c r="B4832">
        <v>783</v>
      </c>
      <c r="C4832" t="s">
        <v>122</v>
      </c>
      <c r="D4832">
        <v>3276</v>
      </c>
      <c r="E4832" t="s">
        <v>379</v>
      </c>
      <c r="F4832" s="4">
        <v>0</v>
      </c>
      <c r="G4832" s="4">
        <v>8</v>
      </c>
      <c r="H4832" s="4">
        <v>8</v>
      </c>
      <c r="I4832" s="4">
        <v>0</v>
      </c>
      <c r="J4832" s="4">
        <v>8</v>
      </c>
    </row>
    <row r="4833" spans="1:10" x14ac:dyDescent="0.75">
      <c r="A4833" t="s">
        <v>151</v>
      </c>
      <c r="B4833">
        <v>783</v>
      </c>
      <c r="C4833" t="s">
        <v>122</v>
      </c>
      <c r="D4833">
        <v>3260</v>
      </c>
      <c r="E4833" t="s">
        <v>436</v>
      </c>
      <c r="F4833" s="4">
        <v>0</v>
      </c>
      <c r="G4833" s="4">
        <v>7</v>
      </c>
      <c r="H4833" s="4">
        <v>0</v>
      </c>
      <c r="I4833" s="4">
        <v>7</v>
      </c>
      <c r="J4833" s="4">
        <v>7</v>
      </c>
    </row>
    <row r="4834" spans="1:10" x14ac:dyDescent="0.75">
      <c r="A4834" t="s">
        <v>151</v>
      </c>
      <c r="B4834">
        <v>783</v>
      </c>
      <c r="C4834" t="s">
        <v>122</v>
      </c>
      <c r="D4834">
        <v>3279</v>
      </c>
      <c r="E4834" t="s">
        <v>422</v>
      </c>
      <c r="F4834" s="4">
        <v>0</v>
      </c>
      <c r="G4834" s="4">
        <v>7</v>
      </c>
      <c r="H4834" s="4">
        <v>0</v>
      </c>
      <c r="I4834" s="4">
        <v>7</v>
      </c>
      <c r="J4834" s="4">
        <v>7</v>
      </c>
    </row>
    <row r="4835" spans="1:10" x14ac:dyDescent="0.75">
      <c r="A4835" t="s">
        <v>151</v>
      </c>
      <c r="B4835">
        <v>783</v>
      </c>
      <c r="C4835" t="s">
        <v>122</v>
      </c>
      <c r="D4835">
        <v>5429</v>
      </c>
      <c r="E4835" t="s">
        <v>429</v>
      </c>
      <c r="F4835" s="4">
        <v>0</v>
      </c>
      <c r="G4835" s="4">
        <v>6</v>
      </c>
      <c r="H4835" s="4">
        <v>6</v>
      </c>
      <c r="I4835" s="4">
        <v>0</v>
      </c>
      <c r="J4835" s="4">
        <v>6</v>
      </c>
    </row>
    <row r="4836" spans="1:10" x14ac:dyDescent="0.75">
      <c r="A4836" t="s">
        <v>151</v>
      </c>
      <c r="B4836">
        <v>783</v>
      </c>
      <c r="C4836" t="s">
        <v>122</v>
      </c>
      <c r="D4836">
        <v>3219</v>
      </c>
      <c r="E4836" t="s">
        <v>378</v>
      </c>
      <c r="F4836" s="4">
        <v>0</v>
      </c>
      <c r="G4836" s="4">
        <v>3</v>
      </c>
      <c r="H4836" s="4">
        <v>0</v>
      </c>
      <c r="I4836" s="4">
        <v>3</v>
      </c>
      <c r="J4836" s="4">
        <v>3</v>
      </c>
    </row>
    <row r="4837" spans="1:10" x14ac:dyDescent="0.75">
      <c r="A4837" t="s">
        <v>151</v>
      </c>
      <c r="B4837">
        <v>783</v>
      </c>
      <c r="C4837" t="s">
        <v>122</v>
      </c>
      <c r="D4837">
        <v>5312</v>
      </c>
      <c r="E4837" t="s">
        <v>416</v>
      </c>
      <c r="F4837" s="4">
        <v>0</v>
      </c>
      <c r="G4837" s="4">
        <v>1</v>
      </c>
      <c r="H4837" s="4">
        <v>1</v>
      </c>
      <c r="I4837" s="4">
        <v>0</v>
      </c>
      <c r="J4837" s="4">
        <v>1</v>
      </c>
    </row>
    <row r="4838" spans="1:10" x14ac:dyDescent="0.75">
      <c r="A4838" t="s">
        <v>151</v>
      </c>
      <c r="B4838">
        <v>775</v>
      </c>
      <c r="C4838" t="s">
        <v>11</v>
      </c>
      <c r="D4838">
        <v>5312</v>
      </c>
      <c r="E4838" t="s">
        <v>416</v>
      </c>
      <c r="F4838" s="4">
        <v>0</v>
      </c>
      <c r="G4838" s="4">
        <v>2077181</v>
      </c>
      <c r="H4838" s="4">
        <v>2073864</v>
      </c>
      <c r="I4838" s="4">
        <v>3317</v>
      </c>
      <c r="J4838" s="4">
        <v>2077181</v>
      </c>
    </row>
    <row r="4839" spans="1:10" x14ac:dyDescent="0.75">
      <c r="A4839" t="s">
        <v>151</v>
      </c>
      <c r="B4839">
        <v>775</v>
      </c>
      <c r="C4839" t="s">
        <v>11</v>
      </c>
      <c r="D4839">
        <v>3286</v>
      </c>
      <c r="E4839" t="s">
        <v>423</v>
      </c>
      <c r="F4839" s="4">
        <v>0</v>
      </c>
      <c r="G4839" s="4">
        <v>2023091</v>
      </c>
      <c r="H4839" s="4">
        <v>779438</v>
      </c>
      <c r="I4839" s="4">
        <v>1243653</v>
      </c>
      <c r="J4839" s="4">
        <v>2023091</v>
      </c>
    </row>
    <row r="4840" spans="1:10" x14ac:dyDescent="0.75">
      <c r="A4840" t="s">
        <v>151</v>
      </c>
      <c r="B4840">
        <v>775</v>
      </c>
      <c r="C4840" t="s">
        <v>11</v>
      </c>
      <c r="D4840">
        <v>7210</v>
      </c>
      <c r="E4840" t="s">
        <v>426</v>
      </c>
      <c r="F4840" s="4">
        <v>0</v>
      </c>
      <c r="G4840" s="4">
        <v>1774842</v>
      </c>
      <c r="H4840" s="4">
        <v>1054987</v>
      </c>
      <c r="I4840" s="4">
        <v>719855</v>
      </c>
      <c r="J4840" s="4">
        <v>1774842</v>
      </c>
    </row>
    <row r="4841" spans="1:10" x14ac:dyDescent="0.75">
      <c r="A4841" t="s">
        <v>151</v>
      </c>
      <c r="B4841">
        <v>775</v>
      </c>
      <c r="C4841" t="s">
        <v>11</v>
      </c>
      <c r="D4841">
        <v>3219</v>
      </c>
      <c r="E4841" t="s">
        <v>378</v>
      </c>
      <c r="F4841" s="4">
        <v>795100</v>
      </c>
      <c r="G4841" s="4">
        <v>898393</v>
      </c>
      <c r="H4841" s="4">
        <v>886759</v>
      </c>
      <c r="I4841" s="4">
        <v>11634</v>
      </c>
      <c r="J4841" s="4">
        <v>1693493</v>
      </c>
    </row>
    <row r="4842" spans="1:10" x14ac:dyDescent="0.75">
      <c r="A4842" t="s">
        <v>151</v>
      </c>
      <c r="B4842">
        <v>775</v>
      </c>
      <c r="C4842" t="s">
        <v>11</v>
      </c>
      <c r="D4842">
        <v>7900</v>
      </c>
      <c r="E4842" t="s">
        <v>388</v>
      </c>
      <c r="F4842" s="4">
        <v>1553</v>
      </c>
      <c r="G4842" s="4">
        <v>1612901</v>
      </c>
      <c r="H4842" s="4">
        <v>1348677</v>
      </c>
      <c r="I4842" s="4">
        <v>264224</v>
      </c>
      <c r="J4842" s="4">
        <v>1614454</v>
      </c>
    </row>
    <row r="4843" spans="1:10" x14ac:dyDescent="0.75">
      <c r="A4843" t="s">
        <v>151</v>
      </c>
      <c r="B4843">
        <v>775</v>
      </c>
      <c r="C4843" t="s">
        <v>11</v>
      </c>
      <c r="D4843">
        <v>7500</v>
      </c>
      <c r="E4843" t="s">
        <v>427</v>
      </c>
      <c r="F4843" s="4">
        <v>0</v>
      </c>
      <c r="G4843" s="4">
        <v>1528734</v>
      </c>
      <c r="H4843" s="4">
        <v>1202922</v>
      </c>
      <c r="I4843" s="4">
        <v>325812</v>
      </c>
      <c r="J4843" s="4">
        <v>1528734</v>
      </c>
    </row>
    <row r="4844" spans="1:10" x14ac:dyDescent="0.75">
      <c r="A4844" t="s">
        <v>151</v>
      </c>
      <c r="B4844">
        <v>775</v>
      </c>
      <c r="C4844" t="s">
        <v>11</v>
      </c>
      <c r="D4844">
        <v>7110</v>
      </c>
      <c r="E4844" t="s">
        <v>371</v>
      </c>
      <c r="F4844" s="4">
        <v>0</v>
      </c>
      <c r="G4844" s="4">
        <v>1418835</v>
      </c>
      <c r="H4844" s="4">
        <v>1249926</v>
      </c>
      <c r="I4844" s="4">
        <v>168909</v>
      </c>
      <c r="J4844" s="4">
        <v>1418835</v>
      </c>
    </row>
    <row r="4845" spans="1:10" x14ac:dyDescent="0.75">
      <c r="A4845" t="s">
        <v>151</v>
      </c>
      <c r="B4845">
        <v>775</v>
      </c>
      <c r="C4845" t="s">
        <v>11</v>
      </c>
      <c r="D4845">
        <v>7600</v>
      </c>
      <c r="E4845" t="s">
        <v>503</v>
      </c>
      <c r="F4845" s="4">
        <v>0</v>
      </c>
      <c r="G4845" s="4">
        <v>1185090</v>
      </c>
      <c r="H4845" s="4">
        <v>871523</v>
      </c>
      <c r="I4845" s="4">
        <v>313567</v>
      </c>
      <c r="J4845" s="4">
        <v>1185090</v>
      </c>
    </row>
    <row r="4846" spans="1:10" x14ac:dyDescent="0.75">
      <c r="A4846" t="s">
        <v>151</v>
      </c>
      <c r="B4846">
        <v>775</v>
      </c>
      <c r="C4846" t="s">
        <v>11</v>
      </c>
      <c r="D4846">
        <v>4225</v>
      </c>
      <c r="E4846" t="s">
        <v>380</v>
      </c>
      <c r="F4846" s="4">
        <v>0</v>
      </c>
      <c r="G4846" s="4">
        <v>1117789</v>
      </c>
      <c r="H4846" s="4">
        <v>60847</v>
      </c>
      <c r="I4846" s="4">
        <v>1056942</v>
      </c>
      <c r="J4846" s="4">
        <v>1117789</v>
      </c>
    </row>
    <row r="4847" spans="1:10" x14ac:dyDescent="0.75">
      <c r="A4847" t="s">
        <v>151</v>
      </c>
      <c r="B4847">
        <v>775</v>
      </c>
      <c r="C4847" t="s">
        <v>11</v>
      </c>
      <c r="D4847">
        <v>2211</v>
      </c>
      <c r="E4847" t="s">
        <v>367</v>
      </c>
      <c r="F4847" s="4">
        <v>389761</v>
      </c>
      <c r="G4847" s="4">
        <v>717234</v>
      </c>
      <c r="H4847" s="4">
        <v>717182</v>
      </c>
      <c r="I4847" s="4">
        <v>52</v>
      </c>
      <c r="J4847" s="4">
        <v>1106995</v>
      </c>
    </row>
    <row r="4848" spans="1:10" x14ac:dyDescent="0.75">
      <c r="A4848" t="s">
        <v>151</v>
      </c>
      <c r="B4848">
        <v>775</v>
      </c>
      <c r="C4848" t="s">
        <v>11</v>
      </c>
      <c r="D4848">
        <v>7120</v>
      </c>
      <c r="E4848" t="s">
        <v>499</v>
      </c>
      <c r="F4848" s="4">
        <v>0</v>
      </c>
      <c r="G4848" s="4">
        <v>911617</v>
      </c>
      <c r="H4848" s="4">
        <v>842232</v>
      </c>
      <c r="I4848" s="4">
        <v>69385</v>
      </c>
      <c r="J4848" s="4">
        <v>911617</v>
      </c>
    </row>
    <row r="4849" spans="1:10" x14ac:dyDescent="0.75">
      <c r="A4849" t="s">
        <v>151</v>
      </c>
      <c r="B4849">
        <v>775</v>
      </c>
      <c r="C4849" t="s">
        <v>11</v>
      </c>
      <c r="D4849">
        <v>5480</v>
      </c>
      <c r="E4849" t="s">
        <v>386</v>
      </c>
      <c r="F4849" s="4">
        <v>0</v>
      </c>
      <c r="G4849" s="4">
        <v>751523</v>
      </c>
      <c r="H4849" s="4">
        <v>639146</v>
      </c>
      <c r="I4849" s="4">
        <v>112377</v>
      </c>
      <c r="J4849" s="4">
        <v>751523</v>
      </c>
    </row>
    <row r="4850" spans="1:10" x14ac:dyDescent="0.75">
      <c r="A4850" t="s">
        <v>151</v>
      </c>
      <c r="B4850">
        <v>775</v>
      </c>
      <c r="C4850" t="s">
        <v>11</v>
      </c>
      <c r="D4850">
        <v>5120</v>
      </c>
      <c r="E4850" t="s">
        <v>461</v>
      </c>
      <c r="F4850" s="4">
        <v>0</v>
      </c>
      <c r="G4850" s="4">
        <v>599453</v>
      </c>
      <c r="H4850" s="4">
        <v>156635</v>
      </c>
      <c r="I4850" s="4">
        <v>442818</v>
      </c>
      <c r="J4850" s="4">
        <v>599453</v>
      </c>
    </row>
    <row r="4851" spans="1:10" x14ac:dyDescent="0.75">
      <c r="A4851" t="s">
        <v>151</v>
      </c>
      <c r="B4851">
        <v>775</v>
      </c>
      <c r="C4851" t="s">
        <v>11</v>
      </c>
      <c r="D4851">
        <v>6811</v>
      </c>
      <c r="E4851" t="s">
        <v>480</v>
      </c>
      <c r="F4851" s="4">
        <v>0</v>
      </c>
      <c r="G4851" s="4">
        <v>598583</v>
      </c>
      <c r="H4851" s="4">
        <v>28832</v>
      </c>
      <c r="I4851" s="4">
        <v>569751</v>
      </c>
      <c r="J4851" s="4">
        <v>598583</v>
      </c>
    </row>
    <row r="4852" spans="1:10" x14ac:dyDescent="0.75">
      <c r="A4852" t="s">
        <v>151</v>
      </c>
      <c r="B4852">
        <v>775</v>
      </c>
      <c r="C4852" t="s">
        <v>11</v>
      </c>
      <c r="D4852">
        <v>4189</v>
      </c>
      <c r="E4852" t="s">
        <v>451</v>
      </c>
      <c r="F4852" s="4">
        <v>0</v>
      </c>
      <c r="G4852" s="4">
        <v>532745</v>
      </c>
      <c r="H4852" s="4">
        <v>265753</v>
      </c>
      <c r="I4852" s="4">
        <v>266992</v>
      </c>
      <c r="J4852" s="4">
        <v>532745</v>
      </c>
    </row>
    <row r="4853" spans="1:10" x14ac:dyDescent="0.75">
      <c r="A4853" t="s">
        <v>151</v>
      </c>
      <c r="B4853">
        <v>775</v>
      </c>
      <c r="C4853" t="s">
        <v>11</v>
      </c>
      <c r="D4853">
        <v>2330</v>
      </c>
      <c r="E4853" t="s">
        <v>368</v>
      </c>
      <c r="F4853" s="4">
        <v>119964</v>
      </c>
      <c r="G4853" s="4">
        <v>379582</v>
      </c>
      <c r="H4853" s="4">
        <v>362866</v>
      </c>
      <c r="I4853" s="4">
        <v>16716</v>
      </c>
      <c r="J4853" s="4">
        <v>499546</v>
      </c>
    </row>
    <row r="4854" spans="1:10" x14ac:dyDescent="0.75">
      <c r="A4854" t="s">
        <v>151</v>
      </c>
      <c r="B4854">
        <v>775</v>
      </c>
      <c r="C4854" t="s">
        <v>11</v>
      </c>
      <c r="D4854">
        <v>6782</v>
      </c>
      <c r="E4854" t="s">
        <v>396</v>
      </c>
      <c r="F4854" s="4">
        <v>0</v>
      </c>
      <c r="G4854" s="4">
        <v>398970</v>
      </c>
      <c r="H4854" s="4">
        <v>64595</v>
      </c>
      <c r="I4854" s="4">
        <v>334375</v>
      </c>
      <c r="J4854" s="4">
        <v>398970</v>
      </c>
    </row>
    <row r="4855" spans="1:10" x14ac:dyDescent="0.75">
      <c r="A4855" t="s">
        <v>151</v>
      </c>
      <c r="B4855">
        <v>775</v>
      </c>
      <c r="C4855" t="s">
        <v>11</v>
      </c>
      <c r="D4855">
        <v>4170</v>
      </c>
      <c r="E4855" t="s">
        <v>424</v>
      </c>
      <c r="F4855" s="4">
        <v>0</v>
      </c>
      <c r="G4855" s="4">
        <v>372222</v>
      </c>
      <c r="H4855" s="4">
        <v>4018</v>
      </c>
      <c r="I4855" s="4">
        <v>368204</v>
      </c>
      <c r="J4855" s="4">
        <v>372222</v>
      </c>
    </row>
    <row r="4856" spans="1:10" x14ac:dyDescent="0.75">
      <c r="A4856" t="s">
        <v>151</v>
      </c>
      <c r="B4856">
        <v>775</v>
      </c>
      <c r="C4856" t="s">
        <v>11</v>
      </c>
      <c r="D4856">
        <v>5290</v>
      </c>
      <c r="E4856" t="s">
        <v>415</v>
      </c>
      <c r="F4856" s="4">
        <v>0</v>
      </c>
      <c r="G4856" s="4">
        <v>365961</v>
      </c>
      <c r="H4856" s="4">
        <v>348926</v>
      </c>
      <c r="I4856" s="4">
        <v>17035</v>
      </c>
      <c r="J4856" s="4">
        <v>365961</v>
      </c>
    </row>
    <row r="4857" spans="1:10" x14ac:dyDescent="0.75">
      <c r="A4857" t="s">
        <v>151</v>
      </c>
      <c r="B4857">
        <v>775</v>
      </c>
      <c r="C4857" t="s">
        <v>11</v>
      </c>
      <c r="D4857">
        <v>4420</v>
      </c>
      <c r="E4857" t="s">
        <v>381</v>
      </c>
      <c r="F4857" s="4">
        <v>0</v>
      </c>
      <c r="G4857" s="4">
        <v>354997</v>
      </c>
      <c r="H4857" s="4">
        <v>258300</v>
      </c>
      <c r="I4857" s="4">
        <v>96697</v>
      </c>
      <c r="J4857" s="4">
        <v>354997</v>
      </c>
    </row>
    <row r="4858" spans="1:10" x14ac:dyDescent="0.75">
      <c r="A4858" t="s">
        <v>151</v>
      </c>
      <c r="B4858">
        <v>775</v>
      </c>
      <c r="C4858" t="s">
        <v>11</v>
      </c>
      <c r="D4858">
        <v>4322</v>
      </c>
      <c r="E4858" t="s">
        <v>398</v>
      </c>
      <c r="F4858" s="4">
        <v>0</v>
      </c>
      <c r="G4858" s="4">
        <v>354929</v>
      </c>
      <c r="H4858" s="4">
        <v>354929</v>
      </c>
      <c r="I4858" s="4">
        <v>0</v>
      </c>
      <c r="J4858" s="4">
        <v>354929</v>
      </c>
    </row>
    <row r="4859" spans="1:10" x14ac:dyDescent="0.75">
      <c r="A4859" t="s">
        <v>151</v>
      </c>
      <c r="B4859">
        <v>775</v>
      </c>
      <c r="C4859" t="s">
        <v>11</v>
      </c>
      <c r="D4859">
        <v>4331</v>
      </c>
      <c r="E4859" t="s">
        <v>390</v>
      </c>
      <c r="F4859" s="4">
        <v>0</v>
      </c>
      <c r="G4859" s="4">
        <v>348118</v>
      </c>
      <c r="H4859" s="4">
        <v>327789</v>
      </c>
      <c r="I4859" s="4">
        <v>20329</v>
      </c>
      <c r="J4859" s="4">
        <v>348118</v>
      </c>
    </row>
    <row r="4860" spans="1:10" x14ac:dyDescent="0.75">
      <c r="A4860" t="s">
        <v>151</v>
      </c>
      <c r="B4860">
        <v>775</v>
      </c>
      <c r="C4860" t="s">
        <v>11</v>
      </c>
      <c r="D4860">
        <v>3299</v>
      </c>
      <c r="E4860" t="s">
        <v>448</v>
      </c>
      <c r="F4860" s="4">
        <v>0</v>
      </c>
      <c r="G4860" s="4">
        <v>279023</v>
      </c>
      <c r="H4860" s="4">
        <v>101427</v>
      </c>
      <c r="I4860" s="4">
        <v>177596</v>
      </c>
      <c r="J4860" s="4">
        <v>279023</v>
      </c>
    </row>
    <row r="4861" spans="1:10" x14ac:dyDescent="0.75">
      <c r="A4861" t="s">
        <v>151</v>
      </c>
      <c r="B4861">
        <v>775</v>
      </c>
      <c r="C4861" t="s">
        <v>11</v>
      </c>
      <c r="D4861">
        <v>5540</v>
      </c>
      <c r="E4861" t="s">
        <v>469</v>
      </c>
      <c r="F4861" s="4">
        <v>0</v>
      </c>
      <c r="G4861" s="4">
        <v>243821</v>
      </c>
      <c r="H4861" s="4">
        <v>235053</v>
      </c>
      <c r="I4861" s="4">
        <v>8768</v>
      </c>
      <c r="J4861" s="4">
        <v>243821</v>
      </c>
    </row>
    <row r="4862" spans="1:10" x14ac:dyDescent="0.75">
      <c r="A4862" t="s">
        <v>151</v>
      </c>
      <c r="B4862">
        <v>775</v>
      </c>
      <c r="C4862" t="s">
        <v>11</v>
      </c>
      <c r="D4862">
        <v>4680</v>
      </c>
      <c r="E4862" t="s">
        <v>459</v>
      </c>
      <c r="F4862" s="4">
        <v>0</v>
      </c>
      <c r="G4862" s="4">
        <v>239679</v>
      </c>
      <c r="H4862" s="4">
        <v>23281</v>
      </c>
      <c r="I4862" s="4">
        <v>216398</v>
      </c>
      <c r="J4862" s="4">
        <v>239679</v>
      </c>
    </row>
    <row r="4863" spans="1:10" x14ac:dyDescent="0.75">
      <c r="A4863" t="s">
        <v>151</v>
      </c>
      <c r="B4863">
        <v>775</v>
      </c>
      <c r="C4863" t="s">
        <v>11</v>
      </c>
      <c r="D4863">
        <v>4650</v>
      </c>
      <c r="E4863" t="s">
        <v>457</v>
      </c>
      <c r="F4863" s="4">
        <v>0</v>
      </c>
      <c r="G4863" s="4">
        <v>238907</v>
      </c>
      <c r="H4863" s="4">
        <v>234950</v>
      </c>
      <c r="I4863" s="4">
        <v>3957</v>
      </c>
      <c r="J4863" s="4">
        <v>238907</v>
      </c>
    </row>
    <row r="4864" spans="1:10" x14ac:dyDescent="0.75">
      <c r="A4864" t="s">
        <v>151</v>
      </c>
      <c r="B4864">
        <v>775</v>
      </c>
      <c r="C4864" t="s">
        <v>11</v>
      </c>
      <c r="D4864">
        <v>9900</v>
      </c>
      <c r="E4864" t="s">
        <v>389</v>
      </c>
      <c r="F4864" s="4">
        <v>0</v>
      </c>
      <c r="G4864" s="4">
        <v>220356</v>
      </c>
      <c r="H4864" s="4">
        <v>109907</v>
      </c>
      <c r="I4864" s="4">
        <v>110449</v>
      </c>
      <c r="J4864" s="4">
        <v>220356</v>
      </c>
    </row>
    <row r="4865" spans="1:10" x14ac:dyDescent="0.75">
      <c r="A4865" t="s">
        <v>151</v>
      </c>
      <c r="B4865">
        <v>775</v>
      </c>
      <c r="C4865" t="s">
        <v>11</v>
      </c>
      <c r="D4865">
        <v>3220</v>
      </c>
      <c r="E4865" t="s">
        <v>370</v>
      </c>
      <c r="F4865" s="4">
        <v>9158</v>
      </c>
      <c r="G4865" s="4">
        <v>206491</v>
      </c>
      <c r="H4865" s="4">
        <v>160011</v>
      </c>
      <c r="I4865" s="4">
        <v>46480</v>
      </c>
      <c r="J4865" s="4">
        <v>215649</v>
      </c>
    </row>
    <row r="4866" spans="1:10" x14ac:dyDescent="0.75">
      <c r="A4866" t="s">
        <v>151</v>
      </c>
      <c r="B4866">
        <v>775</v>
      </c>
      <c r="C4866" t="s">
        <v>11</v>
      </c>
      <c r="D4866">
        <v>5220</v>
      </c>
      <c r="E4866" t="s">
        <v>401</v>
      </c>
      <c r="F4866" s="4">
        <v>0</v>
      </c>
      <c r="G4866" s="4">
        <v>204843</v>
      </c>
      <c r="H4866" s="4">
        <v>204765</v>
      </c>
      <c r="I4866" s="4">
        <v>78</v>
      </c>
      <c r="J4866" s="4">
        <v>204843</v>
      </c>
    </row>
    <row r="4867" spans="1:10" x14ac:dyDescent="0.75">
      <c r="A4867" t="s">
        <v>151</v>
      </c>
      <c r="B4867">
        <v>775</v>
      </c>
      <c r="C4867" t="s">
        <v>11</v>
      </c>
      <c r="D4867">
        <v>6885</v>
      </c>
      <c r="E4867" t="s">
        <v>493</v>
      </c>
      <c r="F4867" s="4">
        <v>0</v>
      </c>
      <c r="G4867" s="4">
        <v>203619</v>
      </c>
      <c r="H4867" s="4">
        <v>89342</v>
      </c>
      <c r="I4867" s="4">
        <v>114277</v>
      </c>
      <c r="J4867" s="4">
        <v>203619</v>
      </c>
    </row>
    <row r="4868" spans="1:10" x14ac:dyDescent="0.75">
      <c r="A4868" t="s">
        <v>151</v>
      </c>
      <c r="B4868">
        <v>775</v>
      </c>
      <c r="C4868" t="s">
        <v>11</v>
      </c>
      <c r="D4868">
        <v>3285</v>
      </c>
      <c r="E4868" t="s">
        <v>443</v>
      </c>
      <c r="F4868" s="4">
        <v>0</v>
      </c>
      <c r="G4868" s="4">
        <v>189234</v>
      </c>
      <c r="H4868" s="4">
        <v>100884</v>
      </c>
      <c r="I4868" s="4">
        <v>88350</v>
      </c>
      <c r="J4868" s="4">
        <v>189234</v>
      </c>
    </row>
    <row r="4869" spans="1:10" x14ac:dyDescent="0.75">
      <c r="A4869" t="s">
        <v>151</v>
      </c>
      <c r="B4869">
        <v>775</v>
      </c>
      <c r="C4869" t="s">
        <v>11</v>
      </c>
      <c r="D4869">
        <v>6893</v>
      </c>
      <c r="E4869" t="s">
        <v>496</v>
      </c>
      <c r="F4869" s="4">
        <v>0</v>
      </c>
      <c r="G4869" s="4">
        <v>189135</v>
      </c>
      <c r="H4869" s="4">
        <v>24723</v>
      </c>
      <c r="I4869" s="4">
        <v>164412</v>
      </c>
      <c r="J4869" s="4">
        <v>189135</v>
      </c>
    </row>
    <row r="4870" spans="1:10" x14ac:dyDescent="0.75">
      <c r="A4870" t="s">
        <v>151</v>
      </c>
      <c r="B4870">
        <v>775</v>
      </c>
      <c r="C4870" t="s">
        <v>11</v>
      </c>
      <c r="D4870">
        <v>4110</v>
      </c>
      <c r="E4870" t="s">
        <v>449</v>
      </c>
      <c r="F4870" s="4">
        <v>0</v>
      </c>
      <c r="G4870" s="4">
        <v>188674</v>
      </c>
      <c r="H4870" s="4">
        <v>188437</v>
      </c>
      <c r="I4870" s="4">
        <v>237</v>
      </c>
      <c r="J4870" s="4">
        <v>188674</v>
      </c>
    </row>
    <row r="4871" spans="1:10" x14ac:dyDescent="0.75">
      <c r="A4871" t="s">
        <v>151</v>
      </c>
      <c r="B4871">
        <v>775</v>
      </c>
      <c r="C4871" t="s">
        <v>11</v>
      </c>
      <c r="D4871">
        <v>3230</v>
      </c>
      <c r="E4871" t="s">
        <v>434</v>
      </c>
      <c r="F4871" s="4">
        <v>0</v>
      </c>
      <c r="G4871" s="4">
        <v>184140</v>
      </c>
      <c r="H4871" s="4">
        <v>125662</v>
      </c>
      <c r="I4871" s="4">
        <v>58478</v>
      </c>
      <c r="J4871" s="4">
        <v>184140</v>
      </c>
    </row>
    <row r="4872" spans="1:10" x14ac:dyDescent="0.75">
      <c r="A4872" t="s">
        <v>151</v>
      </c>
      <c r="B4872">
        <v>775</v>
      </c>
      <c r="C4872" t="s">
        <v>11</v>
      </c>
      <c r="D4872">
        <v>6654</v>
      </c>
      <c r="E4872" t="s">
        <v>419</v>
      </c>
      <c r="F4872" s="4">
        <v>0</v>
      </c>
      <c r="G4872" s="4">
        <v>171428</v>
      </c>
      <c r="H4872" s="4">
        <v>149596</v>
      </c>
      <c r="I4872" s="4">
        <v>21832</v>
      </c>
      <c r="J4872" s="4">
        <v>171428</v>
      </c>
    </row>
    <row r="4873" spans="1:10" x14ac:dyDescent="0.75">
      <c r="A4873" t="s">
        <v>151</v>
      </c>
      <c r="B4873">
        <v>775</v>
      </c>
      <c r="C4873" t="s">
        <v>11</v>
      </c>
      <c r="D4873">
        <v>5422</v>
      </c>
      <c r="E4873" t="s">
        <v>468</v>
      </c>
      <c r="F4873" s="4">
        <v>0</v>
      </c>
      <c r="G4873" s="4">
        <v>168008</v>
      </c>
      <c r="H4873" s="4">
        <v>155193</v>
      </c>
      <c r="I4873" s="4">
        <v>12815</v>
      </c>
      <c r="J4873" s="4">
        <v>168008</v>
      </c>
    </row>
    <row r="4874" spans="1:10" x14ac:dyDescent="0.75">
      <c r="A4874" t="s">
        <v>151</v>
      </c>
      <c r="B4874">
        <v>775</v>
      </c>
      <c r="C4874" t="s">
        <v>11</v>
      </c>
      <c r="D4874">
        <v>6522</v>
      </c>
      <c r="E4874" t="s">
        <v>393</v>
      </c>
      <c r="F4874" s="4">
        <v>0</v>
      </c>
      <c r="G4874" s="4">
        <v>165039</v>
      </c>
      <c r="H4874" s="4">
        <v>6517</v>
      </c>
      <c r="I4874" s="4">
        <v>158522</v>
      </c>
      <c r="J4874" s="4">
        <v>165039</v>
      </c>
    </row>
    <row r="4875" spans="1:10" x14ac:dyDescent="0.75">
      <c r="A4875" t="s">
        <v>151</v>
      </c>
      <c r="B4875">
        <v>775</v>
      </c>
      <c r="C4875" t="s">
        <v>11</v>
      </c>
      <c r="D4875">
        <v>6871</v>
      </c>
      <c r="E4875" t="s">
        <v>491</v>
      </c>
      <c r="F4875" s="4">
        <v>0</v>
      </c>
      <c r="G4875" s="4">
        <v>164678</v>
      </c>
      <c r="H4875" s="4">
        <v>164085</v>
      </c>
      <c r="I4875" s="4">
        <v>593</v>
      </c>
      <c r="J4875" s="4">
        <v>164678</v>
      </c>
    </row>
    <row r="4876" spans="1:10" x14ac:dyDescent="0.75">
      <c r="A4876" t="s">
        <v>151</v>
      </c>
      <c r="B4876">
        <v>775</v>
      </c>
      <c r="C4876" t="s">
        <v>11</v>
      </c>
      <c r="D4876">
        <v>4900</v>
      </c>
      <c r="E4876" t="s">
        <v>383</v>
      </c>
      <c r="F4876" s="4">
        <v>0</v>
      </c>
      <c r="G4876" s="4">
        <v>163260</v>
      </c>
      <c r="H4876" s="4">
        <v>113004</v>
      </c>
      <c r="I4876" s="4">
        <v>50256</v>
      </c>
      <c r="J4876" s="4">
        <v>163260</v>
      </c>
    </row>
    <row r="4877" spans="1:10" x14ac:dyDescent="0.75">
      <c r="A4877" t="s">
        <v>151</v>
      </c>
      <c r="B4877">
        <v>775</v>
      </c>
      <c r="C4877" t="s">
        <v>11</v>
      </c>
      <c r="D4877">
        <v>3276</v>
      </c>
      <c r="E4877" t="s">
        <v>379</v>
      </c>
      <c r="F4877" s="4">
        <v>0</v>
      </c>
      <c r="G4877" s="4">
        <v>161427</v>
      </c>
      <c r="H4877" s="4">
        <v>129851</v>
      </c>
      <c r="I4877" s="4">
        <v>31576</v>
      </c>
      <c r="J4877" s="4">
        <v>161427</v>
      </c>
    </row>
    <row r="4878" spans="1:10" x14ac:dyDescent="0.75">
      <c r="A4878" t="s">
        <v>151</v>
      </c>
      <c r="B4878">
        <v>775</v>
      </c>
      <c r="C4878" t="s">
        <v>11</v>
      </c>
      <c r="D4878">
        <v>4783</v>
      </c>
      <c r="E4878" t="s">
        <v>382</v>
      </c>
      <c r="F4878" s="4">
        <v>0</v>
      </c>
      <c r="G4878" s="4">
        <v>159232</v>
      </c>
      <c r="H4878" s="4">
        <v>158615</v>
      </c>
      <c r="I4878" s="4">
        <v>617</v>
      </c>
      <c r="J4878" s="4">
        <v>159232</v>
      </c>
    </row>
    <row r="4879" spans="1:10" x14ac:dyDescent="0.75">
      <c r="A4879" t="s">
        <v>151</v>
      </c>
      <c r="B4879">
        <v>775</v>
      </c>
      <c r="C4879" t="s">
        <v>11</v>
      </c>
      <c r="D4879">
        <v>4323</v>
      </c>
      <c r="E4879" t="s">
        <v>373</v>
      </c>
      <c r="F4879" s="4">
        <v>0</v>
      </c>
      <c r="G4879" s="4">
        <v>158881</v>
      </c>
      <c r="H4879" s="4">
        <v>158370</v>
      </c>
      <c r="I4879" s="4">
        <v>511</v>
      </c>
      <c r="J4879" s="4">
        <v>158881</v>
      </c>
    </row>
    <row r="4880" spans="1:10" x14ac:dyDescent="0.75">
      <c r="A4880" t="s">
        <v>151</v>
      </c>
      <c r="B4880">
        <v>775</v>
      </c>
      <c r="C4880" t="s">
        <v>11</v>
      </c>
      <c r="D4880">
        <v>3275</v>
      </c>
      <c r="E4880" t="s">
        <v>412</v>
      </c>
      <c r="F4880" s="4">
        <v>0</v>
      </c>
      <c r="G4880" s="4">
        <v>156981</v>
      </c>
      <c r="H4880" s="4">
        <v>108502</v>
      </c>
      <c r="I4880" s="4">
        <v>48479</v>
      </c>
      <c r="J4880" s="4">
        <v>156981</v>
      </c>
    </row>
    <row r="4881" spans="1:10" x14ac:dyDescent="0.75">
      <c r="A4881" t="s">
        <v>151</v>
      </c>
      <c r="B4881">
        <v>775</v>
      </c>
      <c r="C4881" t="s">
        <v>11</v>
      </c>
      <c r="D4881">
        <v>5240</v>
      </c>
      <c r="E4881" t="s">
        <v>464</v>
      </c>
      <c r="F4881" s="4">
        <v>0</v>
      </c>
      <c r="G4881" s="4">
        <v>155102</v>
      </c>
      <c r="H4881" s="4">
        <v>123422</v>
      </c>
      <c r="I4881" s="4">
        <v>31680</v>
      </c>
      <c r="J4881" s="4">
        <v>155102</v>
      </c>
    </row>
    <row r="4882" spans="1:10" x14ac:dyDescent="0.75">
      <c r="A4882" t="s">
        <v>151</v>
      </c>
      <c r="B4882">
        <v>775</v>
      </c>
      <c r="C4882" t="s">
        <v>11</v>
      </c>
      <c r="D4882">
        <v>6889</v>
      </c>
      <c r="E4882" t="s">
        <v>420</v>
      </c>
      <c r="F4882" s="4">
        <v>0</v>
      </c>
      <c r="G4882" s="4">
        <v>142044</v>
      </c>
      <c r="H4882" s="4">
        <v>68389</v>
      </c>
      <c r="I4882" s="4">
        <v>73655</v>
      </c>
      <c r="J4882" s="4">
        <v>142044</v>
      </c>
    </row>
    <row r="4883" spans="1:10" x14ac:dyDescent="0.75">
      <c r="A4883" t="s">
        <v>151</v>
      </c>
      <c r="B4883">
        <v>775</v>
      </c>
      <c r="C4883" t="s">
        <v>11</v>
      </c>
      <c r="D4883">
        <v>3240</v>
      </c>
      <c r="E4883" t="s">
        <v>410</v>
      </c>
      <c r="F4883" s="4">
        <v>0</v>
      </c>
      <c r="G4883" s="4">
        <v>139294</v>
      </c>
      <c r="H4883" s="4">
        <v>73456</v>
      </c>
      <c r="I4883" s="4">
        <v>65838</v>
      </c>
      <c r="J4883" s="4">
        <v>139294</v>
      </c>
    </row>
    <row r="4884" spans="1:10" x14ac:dyDescent="0.75">
      <c r="A4884" t="s">
        <v>151</v>
      </c>
      <c r="B4884">
        <v>775</v>
      </c>
      <c r="C4884" t="s">
        <v>11</v>
      </c>
      <c r="D4884">
        <v>6653</v>
      </c>
      <c r="E4884" t="s">
        <v>395</v>
      </c>
      <c r="F4884" s="4">
        <v>0</v>
      </c>
      <c r="G4884" s="4">
        <v>134256</v>
      </c>
      <c r="H4884" s="4">
        <v>128174</v>
      </c>
      <c r="I4884" s="4">
        <v>6082</v>
      </c>
      <c r="J4884" s="4">
        <v>134256</v>
      </c>
    </row>
    <row r="4885" spans="1:10" x14ac:dyDescent="0.75">
      <c r="A4885" t="s">
        <v>151</v>
      </c>
      <c r="B4885">
        <v>775</v>
      </c>
      <c r="C4885" t="s">
        <v>11</v>
      </c>
      <c r="D4885">
        <v>2221</v>
      </c>
      <c r="E4885" t="s">
        <v>374</v>
      </c>
      <c r="F4885" s="4">
        <v>133180</v>
      </c>
      <c r="G4885" s="4">
        <v>0</v>
      </c>
      <c r="H4885" s="4">
        <v>0</v>
      </c>
      <c r="I4885" s="4">
        <v>0</v>
      </c>
      <c r="J4885" s="4">
        <v>133180</v>
      </c>
    </row>
    <row r="4886" spans="1:10" x14ac:dyDescent="0.75">
      <c r="A4886" t="s">
        <v>151</v>
      </c>
      <c r="B4886">
        <v>775</v>
      </c>
      <c r="C4886" t="s">
        <v>11</v>
      </c>
      <c r="D4886">
        <v>7400</v>
      </c>
      <c r="E4886" t="s">
        <v>502</v>
      </c>
      <c r="F4886" s="4">
        <v>0</v>
      </c>
      <c r="G4886" s="4">
        <v>119346</v>
      </c>
      <c r="H4886" s="4">
        <v>106173</v>
      </c>
      <c r="I4886" s="4">
        <v>13173</v>
      </c>
      <c r="J4886" s="4">
        <v>119346</v>
      </c>
    </row>
    <row r="4887" spans="1:10" x14ac:dyDescent="0.75">
      <c r="A4887" t="s">
        <v>151</v>
      </c>
      <c r="B4887">
        <v>775</v>
      </c>
      <c r="C4887" t="s">
        <v>11</v>
      </c>
      <c r="D4887">
        <v>3250</v>
      </c>
      <c r="E4887" t="s">
        <v>435</v>
      </c>
      <c r="F4887" s="4">
        <v>0</v>
      </c>
      <c r="G4887" s="4">
        <v>109109</v>
      </c>
      <c r="H4887" s="4">
        <v>76372</v>
      </c>
      <c r="I4887" s="4">
        <v>32737</v>
      </c>
      <c r="J4887" s="4">
        <v>109109</v>
      </c>
    </row>
    <row r="4888" spans="1:10" x14ac:dyDescent="0.75">
      <c r="A4888" t="s">
        <v>151</v>
      </c>
      <c r="B4888">
        <v>775</v>
      </c>
      <c r="C4888" t="s">
        <v>11</v>
      </c>
      <c r="D4888">
        <v>5330</v>
      </c>
      <c r="E4888" t="s">
        <v>385</v>
      </c>
      <c r="F4888" s="4">
        <v>8114</v>
      </c>
      <c r="G4888" s="4">
        <v>96467</v>
      </c>
      <c r="H4888" s="4">
        <v>60997</v>
      </c>
      <c r="I4888" s="4">
        <v>35470</v>
      </c>
      <c r="J4888" s="4">
        <v>104581</v>
      </c>
    </row>
    <row r="4889" spans="1:10" x14ac:dyDescent="0.75">
      <c r="A4889" t="s">
        <v>151</v>
      </c>
      <c r="B4889">
        <v>775</v>
      </c>
      <c r="C4889" t="s">
        <v>11</v>
      </c>
      <c r="D4889">
        <v>5190</v>
      </c>
      <c r="E4889" t="s">
        <v>462</v>
      </c>
      <c r="F4889" s="4">
        <v>0</v>
      </c>
      <c r="G4889" s="4">
        <v>95389</v>
      </c>
      <c r="H4889" s="4">
        <v>66273</v>
      </c>
      <c r="I4889" s="4">
        <v>29116</v>
      </c>
      <c r="J4889" s="4">
        <v>95389</v>
      </c>
    </row>
    <row r="4890" spans="1:10" x14ac:dyDescent="0.75">
      <c r="A4890" t="s">
        <v>151</v>
      </c>
      <c r="B4890">
        <v>775</v>
      </c>
      <c r="C4890" t="s">
        <v>11</v>
      </c>
      <c r="D4890">
        <v>2340</v>
      </c>
      <c r="E4890" t="s">
        <v>369</v>
      </c>
      <c r="F4890" s="4">
        <v>88594</v>
      </c>
      <c r="G4890" s="4">
        <v>8</v>
      </c>
      <c r="H4890" s="4">
        <v>8</v>
      </c>
      <c r="I4890" s="4">
        <v>0</v>
      </c>
      <c r="J4890" s="4">
        <v>88602</v>
      </c>
    </row>
    <row r="4891" spans="1:10" x14ac:dyDescent="0.75">
      <c r="A4891" t="s">
        <v>151</v>
      </c>
      <c r="B4891">
        <v>775</v>
      </c>
      <c r="C4891" t="s">
        <v>11</v>
      </c>
      <c r="D4891">
        <v>3292</v>
      </c>
      <c r="E4891" t="s">
        <v>413</v>
      </c>
      <c r="F4891" s="4">
        <v>0</v>
      </c>
      <c r="G4891" s="4">
        <v>82539</v>
      </c>
      <c r="H4891" s="4">
        <v>68305</v>
      </c>
      <c r="I4891" s="4">
        <v>14234</v>
      </c>
      <c r="J4891" s="4">
        <v>82539</v>
      </c>
    </row>
    <row r="4892" spans="1:10" x14ac:dyDescent="0.75">
      <c r="A4892" t="s">
        <v>151</v>
      </c>
      <c r="B4892">
        <v>775</v>
      </c>
      <c r="C4892" t="s">
        <v>11</v>
      </c>
      <c r="D4892">
        <v>3282</v>
      </c>
      <c r="E4892" t="s">
        <v>440</v>
      </c>
      <c r="F4892" s="4">
        <v>0</v>
      </c>
      <c r="G4892" s="4">
        <v>77378</v>
      </c>
      <c r="H4892" s="4">
        <v>51526</v>
      </c>
      <c r="I4892" s="4">
        <v>25852</v>
      </c>
      <c r="J4892" s="4">
        <v>77378</v>
      </c>
    </row>
    <row r="4893" spans="1:10" x14ac:dyDescent="0.75">
      <c r="A4893" t="s">
        <v>151</v>
      </c>
      <c r="B4893">
        <v>775</v>
      </c>
      <c r="C4893" t="s">
        <v>11</v>
      </c>
      <c r="D4893">
        <v>4782</v>
      </c>
      <c r="E4893" t="s">
        <v>414</v>
      </c>
      <c r="F4893" s="4">
        <v>0</v>
      </c>
      <c r="G4893" s="4">
        <v>74408</v>
      </c>
      <c r="H4893" s="4">
        <v>17743</v>
      </c>
      <c r="I4893" s="4">
        <v>56665</v>
      </c>
      <c r="J4893" s="4">
        <v>74408</v>
      </c>
    </row>
    <row r="4894" spans="1:10" x14ac:dyDescent="0.75">
      <c r="A4894" t="s">
        <v>151</v>
      </c>
      <c r="B4894">
        <v>775</v>
      </c>
      <c r="C4894" t="s">
        <v>11</v>
      </c>
      <c r="D4894">
        <v>3284</v>
      </c>
      <c r="E4894" t="s">
        <v>442</v>
      </c>
      <c r="F4894" s="4">
        <v>0</v>
      </c>
      <c r="G4894" s="4">
        <v>72555</v>
      </c>
      <c r="H4894" s="4">
        <v>64413</v>
      </c>
      <c r="I4894" s="4">
        <v>8142</v>
      </c>
      <c r="J4894" s="4">
        <v>72555</v>
      </c>
    </row>
    <row r="4895" spans="1:10" x14ac:dyDescent="0.75">
      <c r="A4895" t="s">
        <v>151</v>
      </c>
      <c r="B4895">
        <v>775</v>
      </c>
      <c r="C4895" t="s">
        <v>11</v>
      </c>
      <c r="D4895">
        <v>6590</v>
      </c>
      <c r="E4895" t="s">
        <v>394</v>
      </c>
      <c r="F4895" s="4">
        <v>0</v>
      </c>
      <c r="G4895" s="4">
        <v>66004</v>
      </c>
      <c r="H4895" s="4">
        <v>3975</v>
      </c>
      <c r="I4895" s="4">
        <v>62029</v>
      </c>
      <c r="J4895" s="4">
        <v>66004</v>
      </c>
    </row>
    <row r="4896" spans="1:10" x14ac:dyDescent="0.75">
      <c r="A4896" t="s">
        <v>151</v>
      </c>
      <c r="B4896">
        <v>775</v>
      </c>
      <c r="C4896" t="s">
        <v>11</v>
      </c>
      <c r="D4896">
        <v>5360</v>
      </c>
      <c r="E4896" t="s">
        <v>465</v>
      </c>
      <c r="F4896" s="4">
        <v>0</v>
      </c>
      <c r="G4896" s="4">
        <v>65703</v>
      </c>
      <c r="H4896" s="4">
        <v>63144</v>
      </c>
      <c r="I4896" s="4">
        <v>2559</v>
      </c>
      <c r="J4896" s="4">
        <v>65703</v>
      </c>
    </row>
    <row r="4897" spans="1:10" x14ac:dyDescent="0.75">
      <c r="A4897" t="s">
        <v>151</v>
      </c>
      <c r="B4897">
        <v>775</v>
      </c>
      <c r="C4897" t="s">
        <v>11</v>
      </c>
      <c r="D4897">
        <v>3110</v>
      </c>
      <c r="E4897" t="s">
        <v>405</v>
      </c>
      <c r="F4897" s="4">
        <v>0</v>
      </c>
      <c r="G4897" s="4">
        <v>56228</v>
      </c>
      <c r="H4897" s="4">
        <v>50177</v>
      </c>
      <c r="I4897" s="4">
        <v>6051</v>
      </c>
      <c r="J4897" s="4">
        <v>56228</v>
      </c>
    </row>
    <row r="4898" spans="1:10" x14ac:dyDescent="0.75">
      <c r="A4898" t="s">
        <v>151</v>
      </c>
      <c r="B4898">
        <v>775</v>
      </c>
      <c r="C4898" t="s">
        <v>11</v>
      </c>
      <c r="D4898">
        <v>3260</v>
      </c>
      <c r="E4898" t="s">
        <v>436</v>
      </c>
      <c r="F4898" s="4">
        <v>0</v>
      </c>
      <c r="G4898" s="4">
        <v>55180</v>
      </c>
      <c r="H4898" s="4">
        <v>38795</v>
      </c>
      <c r="I4898" s="4">
        <v>16385</v>
      </c>
      <c r="J4898" s="4">
        <v>55180</v>
      </c>
    </row>
    <row r="4899" spans="1:10" x14ac:dyDescent="0.75">
      <c r="A4899" t="s">
        <v>151</v>
      </c>
      <c r="B4899">
        <v>775</v>
      </c>
      <c r="C4899" t="s">
        <v>11</v>
      </c>
      <c r="D4899">
        <v>6747</v>
      </c>
      <c r="E4899" t="s">
        <v>478</v>
      </c>
      <c r="F4899" s="4">
        <v>0</v>
      </c>
      <c r="G4899" s="4">
        <v>51937</v>
      </c>
      <c r="H4899" s="4">
        <v>31483</v>
      </c>
      <c r="I4899" s="4">
        <v>20454</v>
      </c>
      <c r="J4899" s="4">
        <v>51937</v>
      </c>
    </row>
    <row r="4900" spans="1:10" x14ac:dyDescent="0.75">
      <c r="A4900" t="s">
        <v>151</v>
      </c>
      <c r="B4900">
        <v>775</v>
      </c>
      <c r="C4900" t="s">
        <v>11</v>
      </c>
      <c r="D4900">
        <v>5429</v>
      </c>
      <c r="E4900" t="s">
        <v>429</v>
      </c>
      <c r="F4900" s="4">
        <v>0</v>
      </c>
      <c r="G4900" s="4">
        <v>49184</v>
      </c>
      <c r="H4900" s="4">
        <v>39134</v>
      </c>
      <c r="I4900" s="4">
        <v>10050</v>
      </c>
      <c r="J4900" s="4">
        <v>49184</v>
      </c>
    </row>
    <row r="4901" spans="1:10" x14ac:dyDescent="0.75">
      <c r="A4901" t="s">
        <v>151</v>
      </c>
      <c r="B4901">
        <v>775</v>
      </c>
      <c r="C4901" t="s">
        <v>11</v>
      </c>
      <c r="D4901">
        <v>3291</v>
      </c>
      <c r="E4901" t="s">
        <v>444</v>
      </c>
      <c r="F4901" s="4">
        <v>0</v>
      </c>
      <c r="G4901" s="4">
        <v>46488</v>
      </c>
      <c r="H4901" s="4">
        <v>36069</v>
      </c>
      <c r="I4901" s="4">
        <v>10419</v>
      </c>
      <c r="J4901" s="4">
        <v>46488</v>
      </c>
    </row>
    <row r="4902" spans="1:10" x14ac:dyDescent="0.75">
      <c r="A4902" t="s">
        <v>151</v>
      </c>
      <c r="B4902">
        <v>775</v>
      </c>
      <c r="C4902" t="s">
        <v>11</v>
      </c>
      <c r="D4902">
        <v>5370</v>
      </c>
      <c r="E4902" t="s">
        <v>466</v>
      </c>
      <c r="F4902" s="4">
        <v>0</v>
      </c>
      <c r="G4902" s="4">
        <v>44626</v>
      </c>
      <c r="H4902" s="4">
        <v>40113</v>
      </c>
      <c r="I4902" s="4">
        <v>4513</v>
      </c>
      <c r="J4902" s="4">
        <v>44626</v>
      </c>
    </row>
    <row r="4903" spans="1:10" x14ac:dyDescent="0.75">
      <c r="A4903" t="s">
        <v>151</v>
      </c>
      <c r="B4903">
        <v>775</v>
      </c>
      <c r="C4903" t="s">
        <v>11</v>
      </c>
      <c r="D4903">
        <v>6839</v>
      </c>
      <c r="E4903" t="s">
        <v>485</v>
      </c>
      <c r="F4903" s="4">
        <v>0</v>
      </c>
      <c r="G4903" s="4">
        <v>44509</v>
      </c>
      <c r="H4903" s="4">
        <v>5080</v>
      </c>
      <c r="I4903" s="4">
        <v>39429</v>
      </c>
      <c r="J4903" s="4">
        <v>44509</v>
      </c>
    </row>
    <row r="4904" spans="1:10" x14ac:dyDescent="0.75">
      <c r="A4904" t="s">
        <v>151</v>
      </c>
      <c r="B4904">
        <v>775</v>
      </c>
      <c r="C4904" t="s">
        <v>11</v>
      </c>
      <c r="D4904">
        <v>6858</v>
      </c>
      <c r="E4904" t="s">
        <v>488</v>
      </c>
      <c r="F4904" s="4">
        <v>0</v>
      </c>
      <c r="G4904" s="4">
        <v>42678</v>
      </c>
      <c r="H4904" s="4">
        <v>38321</v>
      </c>
      <c r="I4904" s="4">
        <v>4357</v>
      </c>
      <c r="J4904" s="4">
        <v>42678</v>
      </c>
    </row>
    <row r="4905" spans="1:10" x14ac:dyDescent="0.75">
      <c r="A4905" t="s">
        <v>151</v>
      </c>
      <c r="B4905">
        <v>775</v>
      </c>
      <c r="C4905" t="s">
        <v>11</v>
      </c>
      <c r="D4905">
        <v>1100</v>
      </c>
      <c r="E4905" t="s">
        <v>397</v>
      </c>
      <c r="F4905" s="4">
        <v>0</v>
      </c>
      <c r="G4905" s="4">
        <v>42306</v>
      </c>
      <c r="H4905" s="4">
        <v>42178</v>
      </c>
      <c r="I4905" s="4">
        <v>128</v>
      </c>
      <c r="J4905" s="4">
        <v>42306</v>
      </c>
    </row>
    <row r="4906" spans="1:10" x14ac:dyDescent="0.75">
      <c r="A4906" t="s">
        <v>151</v>
      </c>
      <c r="B4906">
        <v>775</v>
      </c>
      <c r="C4906" t="s">
        <v>11</v>
      </c>
      <c r="D4906">
        <v>7300</v>
      </c>
      <c r="E4906" t="s">
        <v>501</v>
      </c>
      <c r="F4906" s="4">
        <v>0</v>
      </c>
      <c r="G4906" s="4">
        <v>39673</v>
      </c>
      <c r="H4906" s="4">
        <v>37984</v>
      </c>
      <c r="I4906" s="4">
        <v>1689</v>
      </c>
      <c r="J4906" s="4">
        <v>39673</v>
      </c>
    </row>
    <row r="4907" spans="1:10" x14ac:dyDescent="0.75">
      <c r="A4907" t="s">
        <v>151</v>
      </c>
      <c r="B4907">
        <v>775</v>
      </c>
      <c r="C4907" t="s">
        <v>11</v>
      </c>
      <c r="D4907">
        <v>5421</v>
      </c>
      <c r="E4907" t="s">
        <v>467</v>
      </c>
      <c r="F4907" s="4">
        <v>0</v>
      </c>
      <c r="G4907" s="4">
        <v>36708</v>
      </c>
      <c r="H4907" s="4">
        <v>19733</v>
      </c>
      <c r="I4907" s="4">
        <v>16975</v>
      </c>
      <c r="J4907" s="4">
        <v>36708</v>
      </c>
    </row>
    <row r="4908" spans="1:10" x14ac:dyDescent="0.75">
      <c r="A4908" t="s">
        <v>151</v>
      </c>
      <c r="B4908">
        <v>775</v>
      </c>
      <c r="C4908" t="s">
        <v>11</v>
      </c>
      <c r="D4908">
        <v>3274</v>
      </c>
      <c r="E4908" t="s">
        <v>438</v>
      </c>
      <c r="F4908" s="4">
        <v>3791</v>
      </c>
      <c r="G4908" s="4">
        <v>28136</v>
      </c>
      <c r="H4908" s="4">
        <v>24347</v>
      </c>
      <c r="I4908" s="4">
        <v>3789</v>
      </c>
      <c r="J4908" s="4">
        <v>31927</v>
      </c>
    </row>
    <row r="4909" spans="1:10" x14ac:dyDescent="0.75">
      <c r="A4909" t="s">
        <v>151</v>
      </c>
      <c r="B4909">
        <v>775</v>
      </c>
      <c r="C4909" t="s">
        <v>11</v>
      </c>
      <c r="D4909">
        <v>3283</v>
      </c>
      <c r="E4909" t="s">
        <v>441</v>
      </c>
      <c r="F4909" s="4">
        <v>0</v>
      </c>
      <c r="G4909" s="4">
        <v>31720</v>
      </c>
      <c r="H4909" s="4">
        <v>26678</v>
      </c>
      <c r="I4909" s="4">
        <v>5042</v>
      </c>
      <c r="J4909" s="4">
        <v>31720</v>
      </c>
    </row>
    <row r="4910" spans="1:10" x14ac:dyDescent="0.75">
      <c r="A4910" t="s">
        <v>151</v>
      </c>
      <c r="B4910">
        <v>775</v>
      </c>
      <c r="C4910" t="s">
        <v>11</v>
      </c>
      <c r="D4910">
        <v>3297</v>
      </c>
      <c r="E4910" t="s">
        <v>446</v>
      </c>
      <c r="F4910" s="4">
        <v>0</v>
      </c>
      <c r="G4910" s="4">
        <v>28106</v>
      </c>
      <c r="H4910" s="4">
        <v>11663</v>
      </c>
      <c r="I4910" s="4">
        <v>16443</v>
      </c>
      <c r="J4910" s="4">
        <v>28106</v>
      </c>
    </row>
    <row r="4911" spans="1:10" x14ac:dyDescent="0.75">
      <c r="A4911" t="s">
        <v>151</v>
      </c>
      <c r="B4911">
        <v>775</v>
      </c>
      <c r="C4911" t="s">
        <v>11</v>
      </c>
      <c r="D4911">
        <v>3298</v>
      </c>
      <c r="E4911" t="s">
        <v>447</v>
      </c>
      <c r="F4911" s="4">
        <v>0</v>
      </c>
      <c r="G4911" s="4">
        <v>28087</v>
      </c>
      <c r="H4911" s="4">
        <v>3813</v>
      </c>
      <c r="I4911" s="4">
        <v>24274</v>
      </c>
      <c r="J4911" s="4">
        <v>28087</v>
      </c>
    </row>
    <row r="4912" spans="1:10" x14ac:dyDescent="0.75">
      <c r="A4912" t="s">
        <v>151</v>
      </c>
      <c r="B4912">
        <v>775</v>
      </c>
      <c r="C4912" t="s">
        <v>11</v>
      </c>
      <c r="D4912">
        <v>6442</v>
      </c>
      <c r="E4912" t="s">
        <v>472</v>
      </c>
      <c r="F4912" s="4">
        <v>0</v>
      </c>
      <c r="G4912" s="4">
        <v>28049</v>
      </c>
      <c r="H4912" s="4">
        <v>25974</v>
      </c>
      <c r="I4912" s="4">
        <v>2075</v>
      </c>
      <c r="J4912" s="4">
        <v>28049</v>
      </c>
    </row>
    <row r="4913" spans="1:10" x14ac:dyDescent="0.75">
      <c r="A4913" t="s">
        <v>151</v>
      </c>
      <c r="B4913">
        <v>775</v>
      </c>
      <c r="C4913" t="s">
        <v>11</v>
      </c>
      <c r="D4913">
        <v>3293</v>
      </c>
      <c r="E4913" t="s">
        <v>445</v>
      </c>
      <c r="F4913" s="4">
        <v>0</v>
      </c>
      <c r="G4913" s="4">
        <v>24481</v>
      </c>
      <c r="H4913" s="4">
        <v>20650</v>
      </c>
      <c r="I4913" s="4">
        <v>3831</v>
      </c>
      <c r="J4913" s="4">
        <v>24481</v>
      </c>
    </row>
    <row r="4914" spans="1:10" x14ac:dyDescent="0.75">
      <c r="A4914" t="s">
        <v>151</v>
      </c>
      <c r="B4914">
        <v>775</v>
      </c>
      <c r="C4914" t="s">
        <v>11</v>
      </c>
      <c r="D4914">
        <v>4690</v>
      </c>
      <c r="E4914" t="s">
        <v>428</v>
      </c>
      <c r="F4914" s="4">
        <v>0</v>
      </c>
      <c r="G4914" s="4">
        <v>23285</v>
      </c>
      <c r="H4914" s="4">
        <v>9275</v>
      </c>
      <c r="I4914" s="4">
        <v>14010</v>
      </c>
      <c r="J4914" s="4">
        <v>23285</v>
      </c>
    </row>
    <row r="4915" spans="1:10" x14ac:dyDescent="0.75">
      <c r="A4915" t="s">
        <v>151</v>
      </c>
      <c r="B4915">
        <v>775</v>
      </c>
      <c r="C4915" t="s">
        <v>11</v>
      </c>
      <c r="D4915">
        <v>5390</v>
      </c>
      <c r="E4915" t="s">
        <v>418</v>
      </c>
      <c r="F4915" s="4">
        <v>0</v>
      </c>
      <c r="G4915" s="4">
        <v>21750</v>
      </c>
      <c r="H4915" s="4">
        <v>20707</v>
      </c>
      <c r="I4915" s="4">
        <v>1043</v>
      </c>
      <c r="J4915" s="4">
        <v>21750</v>
      </c>
    </row>
    <row r="4916" spans="1:10" x14ac:dyDescent="0.75">
      <c r="A4916" t="s">
        <v>151</v>
      </c>
      <c r="B4916">
        <v>775</v>
      </c>
      <c r="C4916" t="s">
        <v>11</v>
      </c>
      <c r="D4916">
        <v>6781</v>
      </c>
      <c r="E4916" t="s">
        <v>479</v>
      </c>
      <c r="F4916" s="4">
        <v>0</v>
      </c>
      <c r="G4916" s="4">
        <v>19888</v>
      </c>
      <c r="H4916" s="4">
        <v>18651</v>
      </c>
      <c r="I4916" s="4">
        <v>1237</v>
      </c>
      <c r="J4916" s="4">
        <v>19888</v>
      </c>
    </row>
    <row r="4917" spans="1:10" x14ac:dyDescent="0.75">
      <c r="A4917" t="s">
        <v>151</v>
      </c>
      <c r="B4917">
        <v>775</v>
      </c>
      <c r="C4917" t="s">
        <v>11</v>
      </c>
      <c r="D4917">
        <v>3130</v>
      </c>
      <c r="E4917" t="s">
        <v>407</v>
      </c>
      <c r="F4917" s="4">
        <v>0</v>
      </c>
      <c r="G4917" s="4">
        <v>19307</v>
      </c>
      <c r="H4917" s="4">
        <v>19112</v>
      </c>
      <c r="I4917" s="4">
        <v>195</v>
      </c>
      <c r="J4917" s="4">
        <v>19307</v>
      </c>
    </row>
    <row r="4918" spans="1:10" x14ac:dyDescent="0.75">
      <c r="A4918" t="s">
        <v>151</v>
      </c>
      <c r="B4918">
        <v>775</v>
      </c>
      <c r="C4918" t="s">
        <v>11</v>
      </c>
      <c r="D4918">
        <v>5315</v>
      </c>
      <c r="E4918" t="s">
        <v>417</v>
      </c>
      <c r="F4918" s="4">
        <v>0</v>
      </c>
      <c r="G4918" s="4">
        <v>17836</v>
      </c>
      <c r="H4918" s="4">
        <v>17635</v>
      </c>
      <c r="I4918" s="4">
        <v>201</v>
      </c>
      <c r="J4918" s="4">
        <v>17836</v>
      </c>
    </row>
    <row r="4919" spans="1:10" x14ac:dyDescent="0.75">
      <c r="A4919" t="s">
        <v>151</v>
      </c>
      <c r="B4919">
        <v>775</v>
      </c>
      <c r="C4919" t="s">
        <v>11</v>
      </c>
      <c r="D4919">
        <v>6899</v>
      </c>
      <c r="E4919" t="s">
        <v>498</v>
      </c>
      <c r="F4919" s="4">
        <v>0</v>
      </c>
      <c r="G4919" s="4">
        <v>17453</v>
      </c>
      <c r="H4919" s="4">
        <v>8351</v>
      </c>
      <c r="I4919" s="4">
        <v>9102</v>
      </c>
      <c r="J4919" s="4">
        <v>17453</v>
      </c>
    </row>
    <row r="4920" spans="1:10" x14ac:dyDescent="0.75">
      <c r="A4920" t="s">
        <v>151</v>
      </c>
      <c r="B4920">
        <v>775</v>
      </c>
      <c r="C4920" t="s">
        <v>11</v>
      </c>
      <c r="D4920">
        <v>6822</v>
      </c>
      <c r="E4920" t="s">
        <v>482</v>
      </c>
      <c r="F4920" s="4">
        <v>0</v>
      </c>
      <c r="G4920" s="4">
        <v>17065</v>
      </c>
      <c r="H4920" s="4">
        <v>13890</v>
      </c>
      <c r="I4920" s="4">
        <v>3175</v>
      </c>
      <c r="J4920" s="4">
        <v>17065</v>
      </c>
    </row>
    <row r="4921" spans="1:10" x14ac:dyDescent="0.75">
      <c r="A4921" t="s">
        <v>151</v>
      </c>
      <c r="B4921">
        <v>775</v>
      </c>
      <c r="C4921" t="s">
        <v>11</v>
      </c>
      <c r="D4921">
        <v>3190</v>
      </c>
      <c r="E4921" t="s">
        <v>408</v>
      </c>
      <c r="F4921" s="4">
        <v>0</v>
      </c>
      <c r="G4921" s="4">
        <v>15395</v>
      </c>
      <c r="H4921" s="4">
        <v>5651</v>
      </c>
      <c r="I4921" s="4">
        <v>9744</v>
      </c>
      <c r="J4921" s="4">
        <v>15395</v>
      </c>
    </row>
    <row r="4922" spans="1:10" x14ac:dyDescent="0.75">
      <c r="A4922" t="s">
        <v>151</v>
      </c>
      <c r="B4922">
        <v>775</v>
      </c>
      <c r="C4922" t="s">
        <v>11</v>
      </c>
      <c r="D4922">
        <v>6344</v>
      </c>
      <c r="E4922" t="s">
        <v>392</v>
      </c>
      <c r="F4922" s="4">
        <v>0</v>
      </c>
      <c r="G4922" s="4">
        <v>14019</v>
      </c>
      <c r="H4922" s="4">
        <v>406</v>
      </c>
      <c r="I4922" s="4">
        <v>13613</v>
      </c>
      <c r="J4922" s="4">
        <v>14019</v>
      </c>
    </row>
    <row r="4923" spans="1:10" x14ac:dyDescent="0.75">
      <c r="A4923" t="s">
        <v>151</v>
      </c>
      <c r="B4923">
        <v>775</v>
      </c>
      <c r="C4923" t="s">
        <v>11</v>
      </c>
      <c r="D4923">
        <v>3279</v>
      </c>
      <c r="E4923" t="s">
        <v>422</v>
      </c>
      <c r="F4923" s="4">
        <v>0</v>
      </c>
      <c r="G4923" s="4">
        <v>13640</v>
      </c>
      <c r="H4923" s="4">
        <v>5787</v>
      </c>
      <c r="I4923" s="4">
        <v>7853</v>
      </c>
      <c r="J4923" s="4">
        <v>13640</v>
      </c>
    </row>
    <row r="4924" spans="1:10" x14ac:dyDescent="0.75">
      <c r="A4924" t="s">
        <v>151</v>
      </c>
      <c r="B4924">
        <v>775</v>
      </c>
      <c r="C4924" t="s">
        <v>11</v>
      </c>
      <c r="D4924">
        <v>2429</v>
      </c>
      <c r="E4924" t="s">
        <v>375</v>
      </c>
      <c r="F4924" s="4">
        <v>958</v>
      </c>
      <c r="G4924" s="4">
        <v>12578</v>
      </c>
      <c r="H4924" s="4">
        <v>12524</v>
      </c>
      <c r="I4924" s="4">
        <v>54</v>
      </c>
      <c r="J4924" s="4">
        <v>13536</v>
      </c>
    </row>
    <row r="4925" spans="1:10" x14ac:dyDescent="0.75">
      <c r="A4925" t="s">
        <v>151</v>
      </c>
      <c r="B4925">
        <v>775</v>
      </c>
      <c r="C4925" t="s">
        <v>11</v>
      </c>
      <c r="D4925">
        <v>6521</v>
      </c>
      <c r="E4925" t="s">
        <v>476</v>
      </c>
      <c r="F4925" s="4">
        <v>0</v>
      </c>
      <c r="G4925" s="4">
        <v>13452</v>
      </c>
      <c r="H4925" s="4">
        <v>618</v>
      </c>
      <c r="I4925" s="4">
        <v>12834</v>
      </c>
      <c r="J4925" s="4">
        <v>13452</v>
      </c>
    </row>
    <row r="4926" spans="1:10" x14ac:dyDescent="0.75">
      <c r="A4926" t="s">
        <v>151</v>
      </c>
      <c r="B4926">
        <v>775</v>
      </c>
      <c r="C4926" t="s">
        <v>11</v>
      </c>
      <c r="D4926">
        <v>6838</v>
      </c>
      <c r="E4926" t="s">
        <v>484</v>
      </c>
      <c r="F4926" s="4">
        <v>0</v>
      </c>
      <c r="G4926" s="4">
        <v>13104</v>
      </c>
      <c r="H4926" s="4">
        <v>2532</v>
      </c>
      <c r="I4926" s="4">
        <v>10572</v>
      </c>
      <c r="J4926" s="4">
        <v>13104</v>
      </c>
    </row>
    <row r="4927" spans="1:10" x14ac:dyDescent="0.75">
      <c r="A4927" t="s">
        <v>151</v>
      </c>
      <c r="B4927">
        <v>775</v>
      </c>
      <c r="C4927" t="s">
        <v>11</v>
      </c>
      <c r="D4927">
        <v>2410</v>
      </c>
      <c r="E4927" t="s">
        <v>430</v>
      </c>
      <c r="F4927" s="4">
        <v>0</v>
      </c>
      <c r="G4927" s="4">
        <v>11314</v>
      </c>
      <c r="H4927" s="4">
        <v>11207</v>
      </c>
      <c r="I4927" s="4">
        <v>107</v>
      </c>
      <c r="J4927" s="4">
        <v>11314</v>
      </c>
    </row>
    <row r="4928" spans="1:10" x14ac:dyDescent="0.75">
      <c r="A4928" t="s">
        <v>151</v>
      </c>
      <c r="B4928">
        <v>775</v>
      </c>
      <c r="C4928" t="s">
        <v>11</v>
      </c>
      <c r="D4928">
        <v>6891</v>
      </c>
      <c r="E4928" t="s">
        <v>495</v>
      </c>
      <c r="F4928" s="4">
        <v>0</v>
      </c>
      <c r="G4928" s="4">
        <v>10763</v>
      </c>
      <c r="H4928" s="4">
        <v>6362</v>
      </c>
      <c r="I4928" s="4">
        <v>4401</v>
      </c>
      <c r="J4928" s="4">
        <v>10763</v>
      </c>
    </row>
    <row r="4929" spans="1:10" x14ac:dyDescent="0.75">
      <c r="A4929" t="s">
        <v>151</v>
      </c>
      <c r="B4929">
        <v>775</v>
      </c>
      <c r="C4929" t="s">
        <v>11</v>
      </c>
      <c r="D4929">
        <v>4161</v>
      </c>
      <c r="E4929" t="s">
        <v>421</v>
      </c>
      <c r="F4929" s="4">
        <v>0</v>
      </c>
      <c r="G4929" s="4">
        <v>10299</v>
      </c>
      <c r="H4929" s="4">
        <v>930</v>
      </c>
      <c r="I4929" s="4">
        <v>9369</v>
      </c>
      <c r="J4929" s="4">
        <v>10299</v>
      </c>
    </row>
    <row r="4930" spans="1:10" x14ac:dyDescent="0.75">
      <c r="A4930" t="s">
        <v>151</v>
      </c>
      <c r="B4930">
        <v>775</v>
      </c>
      <c r="C4930" t="s">
        <v>11</v>
      </c>
      <c r="D4930">
        <v>4310</v>
      </c>
      <c r="E4930" t="s">
        <v>453</v>
      </c>
      <c r="F4930" s="4">
        <v>0</v>
      </c>
      <c r="G4930" s="4">
        <v>9625</v>
      </c>
      <c r="H4930" s="4">
        <v>8699</v>
      </c>
      <c r="I4930" s="4">
        <v>926</v>
      </c>
      <c r="J4930" s="4">
        <v>9625</v>
      </c>
    </row>
    <row r="4931" spans="1:10" x14ac:dyDescent="0.75">
      <c r="A4931" t="s">
        <v>151</v>
      </c>
      <c r="B4931">
        <v>775</v>
      </c>
      <c r="C4931" t="s">
        <v>11</v>
      </c>
      <c r="D4931">
        <v>6835</v>
      </c>
      <c r="E4931" t="s">
        <v>483</v>
      </c>
      <c r="F4931" s="4">
        <v>0</v>
      </c>
      <c r="G4931" s="4">
        <v>9037</v>
      </c>
      <c r="H4931" s="4">
        <v>8862</v>
      </c>
      <c r="I4931" s="4">
        <v>175</v>
      </c>
      <c r="J4931" s="4">
        <v>9037</v>
      </c>
    </row>
    <row r="4932" spans="1:10" x14ac:dyDescent="0.75">
      <c r="A4932" t="s">
        <v>151</v>
      </c>
      <c r="B4932">
        <v>775</v>
      </c>
      <c r="C4932" t="s">
        <v>11</v>
      </c>
      <c r="D4932">
        <v>4190</v>
      </c>
      <c r="E4932" t="s">
        <v>452</v>
      </c>
      <c r="F4932" s="4">
        <v>0</v>
      </c>
      <c r="G4932" s="4">
        <v>8147</v>
      </c>
      <c r="H4932" s="4">
        <v>7534</v>
      </c>
      <c r="I4932" s="4">
        <v>613</v>
      </c>
      <c r="J4932" s="4">
        <v>8147</v>
      </c>
    </row>
    <row r="4933" spans="1:10" x14ac:dyDescent="0.75">
      <c r="A4933" t="s">
        <v>151</v>
      </c>
      <c r="B4933">
        <v>775</v>
      </c>
      <c r="C4933" t="s">
        <v>11</v>
      </c>
      <c r="D4933">
        <v>6857</v>
      </c>
      <c r="E4933" t="s">
        <v>487</v>
      </c>
      <c r="F4933" s="4">
        <v>0</v>
      </c>
      <c r="G4933" s="4">
        <v>7776</v>
      </c>
      <c r="H4933" s="4">
        <v>5341</v>
      </c>
      <c r="I4933" s="4">
        <v>2435</v>
      </c>
      <c r="J4933" s="4">
        <v>7776</v>
      </c>
    </row>
    <row r="4934" spans="1:10" x14ac:dyDescent="0.75">
      <c r="A4934" t="s">
        <v>151</v>
      </c>
      <c r="B4934">
        <v>775</v>
      </c>
      <c r="C4934" t="s">
        <v>11</v>
      </c>
      <c r="D4934">
        <v>7220</v>
      </c>
      <c r="E4934" t="s">
        <v>500</v>
      </c>
      <c r="F4934" s="4">
        <v>0</v>
      </c>
      <c r="G4934" s="4">
        <v>6352</v>
      </c>
      <c r="H4934" s="4">
        <v>2134</v>
      </c>
      <c r="I4934" s="4">
        <v>4218</v>
      </c>
      <c r="J4934" s="4">
        <v>6352</v>
      </c>
    </row>
    <row r="4935" spans="1:10" x14ac:dyDescent="0.75">
      <c r="A4935" t="s">
        <v>151</v>
      </c>
      <c r="B4935">
        <v>775</v>
      </c>
      <c r="C4935" t="s">
        <v>11</v>
      </c>
      <c r="D4935">
        <v>4150</v>
      </c>
      <c r="E4935" t="s">
        <v>450</v>
      </c>
      <c r="F4935" s="4">
        <v>0</v>
      </c>
      <c r="G4935" s="4">
        <v>6174</v>
      </c>
      <c r="H4935" s="4">
        <v>5669</v>
      </c>
      <c r="I4935" s="4">
        <v>505</v>
      </c>
      <c r="J4935" s="4">
        <v>6174</v>
      </c>
    </row>
    <row r="4936" spans="1:10" x14ac:dyDescent="0.75">
      <c r="A4936" t="s">
        <v>151</v>
      </c>
      <c r="B4936">
        <v>775</v>
      </c>
      <c r="C4936" t="s">
        <v>11</v>
      </c>
      <c r="D4936">
        <v>6894</v>
      </c>
      <c r="E4936" t="s">
        <v>497</v>
      </c>
      <c r="F4936" s="4">
        <v>0</v>
      </c>
      <c r="G4936" s="4">
        <v>5903</v>
      </c>
      <c r="H4936" s="4">
        <v>5415</v>
      </c>
      <c r="I4936" s="4">
        <v>488</v>
      </c>
      <c r="J4936" s="4">
        <v>5903</v>
      </c>
    </row>
    <row r="4937" spans="1:10" x14ac:dyDescent="0.75">
      <c r="A4937" t="s">
        <v>151</v>
      </c>
      <c r="B4937">
        <v>775</v>
      </c>
      <c r="C4937" t="s">
        <v>11</v>
      </c>
      <c r="D4937">
        <v>3211</v>
      </c>
      <c r="E4937" t="s">
        <v>433</v>
      </c>
      <c r="F4937" s="4">
        <v>0</v>
      </c>
      <c r="G4937" s="4">
        <v>5775</v>
      </c>
      <c r="H4937" s="4">
        <v>4616</v>
      </c>
      <c r="I4937" s="4">
        <v>1159</v>
      </c>
      <c r="J4937" s="4">
        <v>5775</v>
      </c>
    </row>
    <row r="4938" spans="1:10" x14ac:dyDescent="0.75">
      <c r="A4938" t="s">
        <v>151</v>
      </c>
      <c r="B4938">
        <v>775</v>
      </c>
      <c r="C4938" t="s">
        <v>11</v>
      </c>
      <c r="D4938">
        <v>4630</v>
      </c>
      <c r="E4938" t="s">
        <v>456</v>
      </c>
      <c r="F4938" s="4">
        <v>0</v>
      </c>
      <c r="G4938" s="4">
        <v>5361</v>
      </c>
      <c r="H4938" s="4">
        <v>5361</v>
      </c>
      <c r="I4938" s="4">
        <v>0</v>
      </c>
      <c r="J4938" s="4">
        <v>5361</v>
      </c>
    </row>
    <row r="4939" spans="1:10" x14ac:dyDescent="0.75">
      <c r="A4939" t="s">
        <v>151</v>
      </c>
      <c r="B4939">
        <v>775</v>
      </c>
      <c r="C4939" t="s">
        <v>11</v>
      </c>
      <c r="D4939">
        <v>7230</v>
      </c>
      <c r="E4939" t="s">
        <v>387</v>
      </c>
      <c r="F4939" s="4">
        <v>0</v>
      </c>
      <c r="G4939" s="4">
        <v>5068</v>
      </c>
      <c r="H4939" s="4">
        <v>2953</v>
      </c>
      <c r="I4939" s="4">
        <v>2115</v>
      </c>
      <c r="J4939" s="4">
        <v>5068</v>
      </c>
    </row>
    <row r="4940" spans="1:10" x14ac:dyDescent="0.75">
      <c r="A4940" t="s">
        <v>151</v>
      </c>
      <c r="B4940">
        <v>775</v>
      </c>
      <c r="C4940" t="s">
        <v>11</v>
      </c>
      <c r="D4940">
        <v>6136</v>
      </c>
      <c r="E4940" t="s">
        <v>471</v>
      </c>
      <c r="F4940" s="4">
        <v>0</v>
      </c>
      <c r="G4940" s="4">
        <v>4190</v>
      </c>
      <c r="H4940" s="4">
        <v>3916</v>
      </c>
      <c r="I4940" s="4">
        <v>274</v>
      </c>
      <c r="J4940" s="4">
        <v>4190</v>
      </c>
    </row>
    <row r="4941" spans="1:10" x14ac:dyDescent="0.75">
      <c r="A4941" t="s">
        <v>151</v>
      </c>
      <c r="B4941">
        <v>775</v>
      </c>
      <c r="C4941" t="s">
        <v>11</v>
      </c>
      <c r="D4941">
        <v>2640</v>
      </c>
      <c r="E4941" t="s">
        <v>431</v>
      </c>
      <c r="F4941" s="4">
        <v>0</v>
      </c>
      <c r="G4941" s="4">
        <v>3551</v>
      </c>
      <c r="H4941" s="4">
        <v>1985</v>
      </c>
      <c r="I4941" s="4">
        <v>1566</v>
      </c>
      <c r="J4941" s="4">
        <v>3551</v>
      </c>
    </row>
    <row r="4942" spans="1:10" x14ac:dyDescent="0.75">
      <c r="A4942" t="s">
        <v>151</v>
      </c>
      <c r="B4942">
        <v>775</v>
      </c>
      <c r="C4942" t="s">
        <v>11</v>
      </c>
      <c r="D4942">
        <v>5110</v>
      </c>
      <c r="E4942" t="s">
        <v>460</v>
      </c>
      <c r="F4942" s="4">
        <v>0</v>
      </c>
      <c r="G4942" s="4">
        <v>3360</v>
      </c>
      <c r="H4942" s="4">
        <v>2782</v>
      </c>
      <c r="I4942" s="4">
        <v>578</v>
      </c>
      <c r="J4942" s="4">
        <v>3360</v>
      </c>
    </row>
    <row r="4943" spans="1:10" x14ac:dyDescent="0.75">
      <c r="A4943" t="s">
        <v>151</v>
      </c>
      <c r="B4943">
        <v>775</v>
      </c>
      <c r="C4943" t="s">
        <v>11</v>
      </c>
      <c r="D4943">
        <v>6134</v>
      </c>
      <c r="E4943" t="s">
        <v>470</v>
      </c>
      <c r="F4943" s="4">
        <v>0</v>
      </c>
      <c r="G4943" s="4">
        <v>3252</v>
      </c>
      <c r="H4943" s="4">
        <v>2313</v>
      </c>
      <c r="I4943" s="4">
        <v>939</v>
      </c>
      <c r="J4943" s="4">
        <v>3252</v>
      </c>
    </row>
    <row r="4944" spans="1:10" x14ac:dyDescent="0.75">
      <c r="A4944" t="s">
        <v>151</v>
      </c>
      <c r="B4944">
        <v>775</v>
      </c>
      <c r="C4944" t="s">
        <v>11</v>
      </c>
      <c r="D4944">
        <v>6861</v>
      </c>
      <c r="E4944" t="s">
        <v>489</v>
      </c>
      <c r="F4944" s="4">
        <v>0</v>
      </c>
      <c r="G4944" s="4">
        <v>2971</v>
      </c>
      <c r="H4944" s="4">
        <v>2846</v>
      </c>
      <c r="I4944" s="4">
        <v>125</v>
      </c>
      <c r="J4944" s="4">
        <v>2971</v>
      </c>
    </row>
    <row r="4945" spans="1:10" x14ac:dyDescent="0.75">
      <c r="A4945" t="s">
        <v>151</v>
      </c>
      <c r="B4945">
        <v>775</v>
      </c>
      <c r="C4945" t="s">
        <v>11</v>
      </c>
      <c r="D4945">
        <v>4670</v>
      </c>
      <c r="E4945" t="s">
        <v>458</v>
      </c>
      <c r="F4945" s="4">
        <v>0</v>
      </c>
      <c r="G4945" s="4">
        <v>2932</v>
      </c>
      <c r="H4945" s="4">
        <v>2932</v>
      </c>
      <c r="I4945" s="4">
        <v>0</v>
      </c>
      <c r="J4945" s="4">
        <v>2932</v>
      </c>
    </row>
    <row r="4946" spans="1:10" x14ac:dyDescent="0.75">
      <c r="A4946" t="s">
        <v>151</v>
      </c>
      <c r="B4946">
        <v>775</v>
      </c>
      <c r="C4946" t="s">
        <v>11</v>
      </c>
      <c r="D4946">
        <v>2430</v>
      </c>
      <c r="E4946" t="s">
        <v>376</v>
      </c>
      <c r="F4946" s="4">
        <v>0</v>
      </c>
      <c r="G4946" s="4">
        <v>2835</v>
      </c>
      <c r="H4946" s="4">
        <v>2268</v>
      </c>
      <c r="I4946" s="4">
        <v>567</v>
      </c>
      <c r="J4946" s="4">
        <v>2835</v>
      </c>
    </row>
    <row r="4947" spans="1:10" x14ac:dyDescent="0.75">
      <c r="A4947" t="s">
        <v>151</v>
      </c>
      <c r="B4947">
        <v>775</v>
      </c>
      <c r="C4947" t="s">
        <v>11</v>
      </c>
      <c r="D4947">
        <v>4860</v>
      </c>
      <c r="E4947" t="s">
        <v>400</v>
      </c>
      <c r="F4947" s="4">
        <v>0</v>
      </c>
      <c r="G4947" s="4">
        <v>2787</v>
      </c>
      <c r="H4947" s="4">
        <v>116</v>
      </c>
      <c r="I4947" s="4">
        <v>2671</v>
      </c>
      <c r="J4947" s="4">
        <v>2787</v>
      </c>
    </row>
    <row r="4948" spans="1:10" x14ac:dyDescent="0.75">
      <c r="A4948" t="s">
        <v>151</v>
      </c>
      <c r="B4948">
        <v>775</v>
      </c>
      <c r="C4948" t="s">
        <v>11</v>
      </c>
      <c r="D4948">
        <v>2350</v>
      </c>
      <c r="E4948" t="s">
        <v>404</v>
      </c>
      <c r="F4948" s="4">
        <v>0</v>
      </c>
      <c r="G4948" s="4">
        <v>2467</v>
      </c>
      <c r="H4948" s="4">
        <v>431</v>
      </c>
      <c r="I4948" s="4">
        <v>2036</v>
      </c>
      <c r="J4948" s="4">
        <v>2467</v>
      </c>
    </row>
    <row r="4949" spans="1:10" x14ac:dyDescent="0.75">
      <c r="A4949" t="s">
        <v>151</v>
      </c>
      <c r="B4949">
        <v>775</v>
      </c>
      <c r="C4949" t="s">
        <v>11</v>
      </c>
      <c r="D4949">
        <v>2540</v>
      </c>
      <c r="E4949" t="s">
        <v>377</v>
      </c>
      <c r="F4949" s="4">
        <v>0</v>
      </c>
      <c r="G4949" s="4">
        <v>1945</v>
      </c>
      <c r="H4949" s="4">
        <v>1216</v>
      </c>
      <c r="I4949" s="4">
        <v>729</v>
      </c>
      <c r="J4949" s="4">
        <v>1945</v>
      </c>
    </row>
    <row r="4950" spans="1:10" x14ac:dyDescent="0.75">
      <c r="A4950" t="s">
        <v>151</v>
      </c>
      <c r="B4950">
        <v>775</v>
      </c>
      <c r="C4950" t="s">
        <v>11</v>
      </c>
      <c r="D4950">
        <v>6241</v>
      </c>
      <c r="E4950" t="s">
        <v>391</v>
      </c>
      <c r="F4950" s="4">
        <v>0</v>
      </c>
      <c r="G4950" s="4">
        <v>1915</v>
      </c>
      <c r="H4950" s="4">
        <v>119</v>
      </c>
      <c r="I4950" s="4">
        <v>1796</v>
      </c>
      <c r="J4950" s="4">
        <v>1915</v>
      </c>
    </row>
    <row r="4951" spans="1:10" x14ac:dyDescent="0.75">
      <c r="A4951" t="s">
        <v>151</v>
      </c>
      <c r="B4951">
        <v>775</v>
      </c>
      <c r="C4951" t="s">
        <v>11</v>
      </c>
      <c r="D4951">
        <v>6817</v>
      </c>
      <c r="E4951" t="s">
        <v>481</v>
      </c>
      <c r="F4951" s="4">
        <v>0</v>
      </c>
      <c r="G4951" s="4">
        <v>1799</v>
      </c>
      <c r="H4951" s="4">
        <v>616</v>
      </c>
      <c r="I4951" s="4">
        <v>1183</v>
      </c>
      <c r="J4951" s="4">
        <v>1799</v>
      </c>
    </row>
    <row r="4952" spans="1:10" x14ac:dyDescent="0.75">
      <c r="A4952" t="s">
        <v>151</v>
      </c>
      <c r="B4952">
        <v>775</v>
      </c>
      <c r="C4952" t="s">
        <v>11</v>
      </c>
      <c r="D4952">
        <v>6888</v>
      </c>
      <c r="E4952" t="s">
        <v>494</v>
      </c>
      <c r="F4952" s="4">
        <v>0</v>
      </c>
      <c r="G4952" s="4">
        <v>1570</v>
      </c>
      <c r="H4952" s="4">
        <v>475</v>
      </c>
      <c r="I4952" s="4">
        <v>1095</v>
      </c>
      <c r="J4952" s="4">
        <v>1570</v>
      </c>
    </row>
    <row r="4953" spans="1:10" x14ac:dyDescent="0.75">
      <c r="A4953" t="s">
        <v>151</v>
      </c>
      <c r="B4953">
        <v>775</v>
      </c>
      <c r="C4953" t="s">
        <v>11</v>
      </c>
      <c r="D4953">
        <v>6746</v>
      </c>
      <c r="E4953" t="s">
        <v>477</v>
      </c>
      <c r="F4953" s="4">
        <v>0</v>
      </c>
      <c r="G4953" s="4">
        <v>1412</v>
      </c>
      <c r="H4953" s="4">
        <v>1195</v>
      </c>
      <c r="I4953" s="4">
        <v>217</v>
      </c>
      <c r="J4953" s="4">
        <v>1412</v>
      </c>
    </row>
    <row r="4954" spans="1:10" x14ac:dyDescent="0.75">
      <c r="A4954" t="s">
        <v>151</v>
      </c>
      <c r="B4954">
        <v>775</v>
      </c>
      <c r="C4954" t="s">
        <v>11</v>
      </c>
      <c r="D4954">
        <v>1200</v>
      </c>
      <c r="E4954" t="s">
        <v>402</v>
      </c>
      <c r="F4954" s="4">
        <v>0</v>
      </c>
      <c r="G4954" s="4">
        <v>1229</v>
      </c>
      <c r="H4954" s="4">
        <v>1178</v>
      </c>
      <c r="I4954" s="4">
        <v>51</v>
      </c>
      <c r="J4954" s="4">
        <v>1229</v>
      </c>
    </row>
    <row r="4955" spans="1:10" x14ac:dyDescent="0.75">
      <c r="A4955" t="s">
        <v>151</v>
      </c>
      <c r="B4955">
        <v>775</v>
      </c>
      <c r="C4955" t="s">
        <v>11</v>
      </c>
      <c r="D4955">
        <v>6447</v>
      </c>
      <c r="E4955" t="s">
        <v>475</v>
      </c>
      <c r="F4955" s="4">
        <v>0</v>
      </c>
      <c r="G4955" s="4">
        <v>836</v>
      </c>
      <c r="H4955" s="4">
        <v>26</v>
      </c>
      <c r="I4955" s="4">
        <v>810</v>
      </c>
      <c r="J4955" s="4">
        <v>836</v>
      </c>
    </row>
    <row r="4956" spans="1:10" x14ac:dyDescent="0.75">
      <c r="A4956" t="s">
        <v>151</v>
      </c>
      <c r="B4956">
        <v>775</v>
      </c>
      <c r="C4956" t="s">
        <v>11</v>
      </c>
      <c r="D4956">
        <v>5320</v>
      </c>
      <c r="E4956" t="s">
        <v>384</v>
      </c>
      <c r="F4956" s="4">
        <v>0</v>
      </c>
      <c r="G4956" s="4">
        <v>710</v>
      </c>
      <c r="H4956" s="4">
        <v>453</v>
      </c>
      <c r="I4956" s="4">
        <v>257</v>
      </c>
      <c r="J4956" s="4">
        <v>710</v>
      </c>
    </row>
    <row r="4957" spans="1:10" x14ac:dyDescent="0.75">
      <c r="A4957" t="s">
        <v>151</v>
      </c>
      <c r="B4957">
        <v>775</v>
      </c>
      <c r="C4957" t="s">
        <v>11</v>
      </c>
      <c r="D4957">
        <v>6856</v>
      </c>
      <c r="E4957" t="s">
        <v>486</v>
      </c>
      <c r="F4957" s="4">
        <v>0</v>
      </c>
      <c r="G4957" s="4">
        <v>481</v>
      </c>
      <c r="H4957" s="4">
        <v>433</v>
      </c>
      <c r="I4957" s="4">
        <v>48</v>
      </c>
      <c r="J4957" s="4">
        <v>481</v>
      </c>
    </row>
    <row r="4958" spans="1:10" x14ac:dyDescent="0.75">
      <c r="A4958" t="s">
        <v>151</v>
      </c>
      <c r="B4958">
        <v>775</v>
      </c>
      <c r="C4958" t="s">
        <v>11</v>
      </c>
      <c r="D4958">
        <v>6872</v>
      </c>
      <c r="E4958" t="s">
        <v>492</v>
      </c>
      <c r="F4958" s="4">
        <v>0</v>
      </c>
      <c r="G4958" s="4">
        <v>395</v>
      </c>
      <c r="H4958" s="4">
        <v>198</v>
      </c>
      <c r="I4958" s="4">
        <v>197</v>
      </c>
      <c r="J4958" s="4">
        <v>395</v>
      </c>
    </row>
    <row r="4959" spans="1:10" x14ac:dyDescent="0.75">
      <c r="A4959" t="s">
        <v>151</v>
      </c>
      <c r="B4959">
        <v>775</v>
      </c>
      <c r="C4959" t="s">
        <v>11</v>
      </c>
      <c r="D4959">
        <v>3271</v>
      </c>
      <c r="E4959" t="s">
        <v>437</v>
      </c>
      <c r="F4959" s="4">
        <v>0</v>
      </c>
      <c r="G4959" s="4">
        <v>251</v>
      </c>
      <c r="H4959" s="4">
        <v>251</v>
      </c>
      <c r="I4959" s="4">
        <v>0</v>
      </c>
      <c r="J4959" s="4">
        <v>251</v>
      </c>
    </row>
    <row r="4960" spans="1:10" x14ac:dyDescent="0.75">
      <c r="A4960" t="s">
        <v>151</v>
      </c>
      <c r="B4960">
        <v>775</v>
      </c>
      <c r="C4960" t="s">
        <v>11</v>
      </c>
      <c r="D4960">
        <v>6445</v>
      </c>
      <c r="E4960" t="s">
        <v>474</v>
      </c>
      <c r="F4960" s="4">
        <v>0</v>
      </c>
      <c r="G4960" s="4">
        <v>213</v>
      </c>
      <c r="H4960" s="4">
        <v>213</v>
      </c>
      <c r="I4960" s="4">
        <v>0</v>
      </c>
      <c r="J4960" s="4">
        <v>213</v>
      </c>
    </row>
    <row r="4961" spans="1:10" x14ac:dyDescent="0.75">
      <c r="A4961" t="s">
        <v>151</v>
      </c>
      <c r="B4961">
        <v>775</v>
      </c>
      <c r="C4961" t="s">
        <v>11</v>
      </c>
      <c r="D4961">
        <v>3281</v>
      </c>
      <c r="E4961" t="s">
        <v>439</v>
      </c>
      <c r="F4961" s="4">
        <v>0</v>
      </c>
      <c r="G4961" s="4">
        <v>183</v>
      </c>
      <c r="H4961" s="4">
        <v>177</v>
      </c>
      <c r="I4961" s="4">
        <v>6</v>
      </c>
      <c r="J4961" s="4">
        <v>183</v>
      </c>
    </row>
    <row r="4962" spans="1:10" x14ac:dyDescent="0.75">
      <c r="A4962" t="s">
        <v>151</v>
      </c>
      <c r="B4962">
        <v>775</v>
      </c>
      <c r="C4962" t="s">
        <v>11</v>
      </c>
      <c r="D4962">
        <v>3120</v>
      </c>
      <c r="E4962" t="s">
        <v>406</v>
      </c>
      <c r="F4962" s="4">
        <v>0</v>
      </c>
      <c r="G4962" s="4">
        <v>142</v>
      </c>
      <c r="H4962" s="4">
        <v>99</v>
      </c>
      <c r="I4962" s="4">
        <v>43</v>
      </c>
      <c r="J4962" s="4">
        <v>142</v>
      </c>
    </row>
    <row r="4963" spans="1:10" x14ac:dyDescent="0.75">
      <c r="A4963" t="s">
        <v>151</v>
      </c>
      <c r="B4963">
        <v>775</v>
      </c>
      <c r="C4963" t="s">
        <v>11</v>
      </c>
      <c r="D4963">
        <v>4515</v>
      </c>
      <c r="E4963" t="s">
        <v>455</v>
      </c>
      <c r="F4963" s="4">
        <v>0</v>
      </c>
      <c r="G4963" s="4">
        <v>124</v>
      </c>
      <c r="H4963" s="4">
        <v>113</v>
      </c>
      <c r="I4963" s="4">
        <v>11</v>
      </c>
      <c r="J4963" s="4">
        <v>124</v>
      </c>
    </row>
    <row r="4964" spans="1:10" x14ac:dyDescent="0.75">
      <c r="A4964" t="s">
        <v>151</v>
      </c>
      <c r="B4964">
        <v>775</v>
      </c>
      <c r="C4964" t="s">
        <v>11</v>
      </c>
      <c r="D4964">
        <v>5210</v>
      </c>
      <c r="E4964" t="s">
        <v>463</v>
      </c>
      <c r="F4964" s="4">
        <v>0</v>
      </c>
      <c r="G4964" s="4">
        <v>122</v>
      </c>
      <c r="H4964" s="4">
        <v>63</v>
      </c>
      <c r="I4964" s="4">
        <v>59</v>
      </c>
      <c r="J4964" s="4">
        <v>122</v>
      </c>
    </row>
    <row r="4965" spans="1:10" x14ac:dyDescent="0.75">
      <c r="A4965" t="s">
        <v>151</v>
      </c>
      <c r="B4965">
        <v>775</v>
      </c>
      <c r="C4965" t="s">
        <v>11</v>
      </c>
      <c r="D4965">
        <v>3273</v>
      </c>
      <c r="E4965" t="s">
        <v>411</v>
      </c>
      <c r="F4965" s="4">
        <v>0</v>
      </c>
      <c r="G4965" s="4">
        <v>116</v>
      </c>
      <c r="H4965" s="4">
        <v>20</v>
      </c>
      <c r="I4965" s="4">
        <v>96</v>
      </c>
      <c r="J4965" s="4">
        <v>116</v>
      </c>
    </row>
    <row r="4966" spans="1:10" x14ac:dyDescent="0.75">
      <c r="A4966" t="s">
        <v>151</v>
      </c>
      <c r="B4966">
        <v>775</v>
      </c>
      <c r="C4966" t="s">
        <v>11</v>
      </c>
      <c r="D4966">
        <v>3212</v>
      </c>
      <c r="E4966" t="s">
        <v>409</v>
      </c>
      <c r="F4966" s="4">
        <v>0</v>
      </c>
      <c r="G4966" s="4">
        <v>104</v>
      </c>
      <c r="H4966" s="4">
        <v>85</v>
      </c>
      <c r="I4966" s="4">
        <v>19</v>
      </c>
      <c r="J4966" s="4">
        <v>104</v>
      </c>
    </row>
    <row r="4967" spans="1:10" x14ac:dyDescent="0.75">
      <c r="A4967" t="s">
        <v>151</v>
      </c>
      <c r="B4967">
        <v>775</v>
      </c>
      <c r="C4967" t="s">
        <v>11</v>
      </c>
      <c r="D4967">
        <v>2100</v>
      </c>
      <c r="E4967" t="s">
        <v>403</v>
      </c>
      <c r="F4967" s="4">
        <v>0</v>
      </c>
      <c r="G4967" s="4">
        <v>97</v>
      </c>
      <c r="H4967" s="4">
        <v>97</v>
      </c>
      <c r="I4967" s="4">
        <v>0</v>
      </c>
      <c r="J4967" s="4">
        <v>97</v>
      </c>
    </row>
    <row r="4968" spans="1:10" x14ac:dyDescent="0.75">
      <c r="A4968" t="s">
        <v>151</v>
      </c>
      <c r="B4968">
        <v>775</v>
      </c>
      <c r="C4968" t="s">
        <v>11</v>
      </c>
      <c r="D4968">
        <v>4741</v>
      </c>
      <c r="E4968" t="s">
        <v>425</v>
      </c>
      <c r="F4968" s="4">
        <v>0</v>
      </c>
      <c r="G4968" s="4">
        <v>76</v>
      </c>
      <c r="H4968" s="4">
        <v>76</v>
      </c>
      <c r="I4968" s="4">
        <v>0</v>
      </c>
      <c r="J4968" s="4">
        <v>76</v>
      </c>
    </row>
    <row r="4969" spans="1:10" x14ac:dyDescent="0.75">
      <c r="A4969" t="s">
        <v>151</v>
      </c>
      <c r="B4969">
        <v>775</v>
      </c>
      <c r="C4969" t="s">
        <v>11</v>
      </c>
      <c r="D4969">
        <v>3272</v>
      </c>
      <c r="E4969" t="s">
        <v>504</v>
      </c>
      <c r="F4969" s="4">
        <v>0</v>
      </c>
      <c r="G4969" s="4">
        <v>59</v>
      </c>
      <c r="H4969" s="4">
        <v>9</v>
      </c>
      <c r="I4969" s="4">
        <v>50</v>
      </c>
      <c r="J4969" s="4">
        <v>59</v>
      </c>
    </row>
    <row r="4970" spans="1:10" x14ac:dyDescent="0.75">
      <c r="A4970" t="s">
        <v>151</v>
      </c>
      <c r="B4970">
        <v>775</v>
      </c>
      <c r="C4970" t="s">
        <v>11</v>
      </c>
      <c r="D4970">
        <v>4410</v>
      </c>
      <c r="E4970" t="s">
        <v>399</v>
      </c>
      <c r="F4970" s="4">
        <v>0</v>
      </c>
      <c r="G4970" s="4">
        <v>47</v>
      </c>
      <c r="H4970" s="4">
        <v>47</v>
      </c>
      <c r="I4970" s="4">
        <v>0</v>
      </c>
      <c r="J4970" s="4">
        <v>47</v>
      </c>
    </row>
    <row r="4971" spans="1:10" x14ac:dyDescent="0.75">
      <c r="A4971" t="s">
        <v>151</v>
      </c>
      <c r="B4971">
        <v>775</v>
      </c>
      <c r="C4971" t="s">
        <v>11</v>
      </c>
      <c r="D4971">
        <v>6443</v>
      </c>
      <c r="E4971" t="s">
        <v>473</v>
      </c>
      <c r="F4971" s="4">
        <v>0</v>
      </c>
      <c r="G4971" s="4">
        <v>39</v>
      </c>
      <c r="H4971" s="4">
        <v>39</v>
      </c>
      <c r="I4971" s="4">
        <v>0</v>
      </c>
      <c r="J4971" s="4">
        <v>39</v>
      </c>
    </row>
    <row r="4972" spans="1:10" x14ac:dyDescent="0.75">
      <c r="A4972" t="s">
        <v>151</v>
      </c>
      <c r="B4972">
        <v>775</v>
      </c>
      <c r="C4972" t="s">
        <v>11</v>
      </c>
      <c r="D4972">
        <v>4327</v>
      </c>
      <c r="E4972" t="s">
        <v>454</v>
      </c>
      <c r="F4972" s="4">
        <v>0</v>
      </c>
      <c r="G4972" s="4">
        <v>27</v>
      </c>
      <c r="H4972" s="4">
        <v>27</v>
      </c>
      <c r="I4972" s="4">
        <v>0</v>
      </c>
      <c r="J4972" s="4">
        <v>27</v>
      </c>
    </row>
    <row r="4973" spans="1:10" x14ac:dyDescent="0.75">
      <c r="A4973" t="s">
        <v>151</v>
      </c>
      <c r="B4973">
        <v>775</v>
      </c>
      <c r="C4973" t="s">
        <v>11</v>
      </c>
      <c r="D4973">
        <v>6865</v>
      </c>
      <c r="E4973" t="s">
        <v>490</v>
      </c>
      <c r="F4973" s="4">
        <v>0</v>
      </c>
      <c r="G4973" s="4">
        <v>7</v>
      </c>
      <c r="H4973" s="4">
        <v>7</v>
      </c>
      <c r="I4973" s="4">
        <v>0</v>
      </c>
      <c r="J4973" s="4">
        <v>7</v>
      </c>
    </row>
    <row r="4974" spans="1:10" x14ac:dyDescent="0.75">
      <c r="A4974" t="s">
        <v>163</v>
      </c>
      <c r="B4974">
        <v>4629</v>
      </c>
      <c r="C4974" t="s">
        <v>208</v>
      </c>
      <c r="D4974">
        <v>4331</v>
      </c>
      <c r="E4974" t="s">
        <v>390</v>
      </c>
      <c r="F4974" s="4">
        <v>2457127</v>
      </c>
      <c r="G4974" s="4">
        <v>0</v>
      </c>
      <c r="H4974" s="4">
        <v>0</v>
      </c>
      <c r="I4974" s="4">
        <v>0</v>
      </c>
      <c r="J4974" s="4">
        <v>2457127</v>
      </c>
    </row>
    <row r="4975" spans="1:10" x14ac:dyDescent="0.75">
      <c r="A4975" t="s">
        <v>163</v>
      </c>
      <c r="B4975">
        <v>4629</v>
      </c>
      <c r="C4975" t="s">
        <v>208</v>
      </c>
      <c r="D4975">
        <v>4323</v>
      </c>
      <c r="E4975" t="s">
        <v>373</v>
      </c>
      <c r="F4975" s="4">
        <v>0</v>
      </c>
      <c r="G4975" s="4">
        <v>455639</v>
      </c>
      <c r="H4975" s="4">
        <v>455639</v>
      </c>
      <c r="I4975" s="4">
        <v>0</v>
      </c>
      <c r="J4975" s="4">
        <v>455639</v>
      </c>
    </row>
    <row r="4976" spans="1:10" x14ac:dyDescent="0.75">
      <c r="A4976" t="s">
        <v>163</v>
      </c>
      <c r="B4976">
        <v>4629</v>
      </c>
      <c r="C4976" t="s">
        <v>208</v>
      </c>
      <c r="D4976">
        <v>2330</v>
      </c>
      <c r="E4976" t="s">
        <v>368</v>
      </c>
      <c r="F4976" s="4">
        <v>310752</v>
      </c>
      <c r="G4976" s="4">
        <v>0</v>
      </c>
      <c r="H4976" s="4">
        <v>0</v>
      </c>
      <c r="I4976" s="4">
        <v>0</v>
      </c>
      <c r="J4976" s="4">
        <v>310752</v>
      </c>
    </row>
    <row r="4977" spans="1:10" x14ac:dyDescent="0.75">
      <c r="A4977" t="s">
        <v>163</v>
      </c>
      <c r="B4977">
        <v>4629</v>
      </c>
      <c r="C4977" t="s">
        <v>208</v>
      </c>
      <c r="D4977">
        <v>4189</v>
      </c>
      <c r="E4977" t="s">
        <v>451</v>
      </c>
      <c r="F4977" s="4">
        <v>53287</v>
      </c>
      <c r="G4977" s="4">
        <v>0</v>
      </c>
      <c r="H4977" s="4">
        <v>0</v>
      </c>
      <c r="I4977" s="4">
        <v>0</v>
      </c>
      <c r="J4977" s="4">
        <v>53287</v>
      </c>
    </row>
    <row r="4978" spans="1:10" x14ac:dyDescent="0.75">
      <c r="A4978" t="s">
        <v>163</v>
      </c>
      <c r="B4978">
        <v>4629</v>
      </c>
      <c r="C4978" t="s">
        <v>208</v>
      </c>
      <c r="D4978">
        <v>3190</v>
      </c>
      <c r="E4978" t="s">
        <v>408</v>
      </c>
      <c r="F4978" s="4">
        <v>52856</v>
      </c>
      <c r="G4978" s="4">
        <v>0</v>
      </c>
      <c r="H4978" s="4">
        <v>0</v>
      </c>
      <c r="I4978" s="4">
        <v>0</v>
      </c>
      <c r="J4978" s="4">
        <v>52856</v>
      </c>
    </row>
    <row r="4979" spans="1:10" x14ac:dyDescent="0.75">
      <c r="A4979" t="s">
        <v>163</v>
      </c>
      <c r="B4979">
        <v>4629</v>
      </c>
      <c r="C4979" t="s">
        <v>208</v>
      </c>
      <c r="D4979">
        <v>4170</v>
      </c>
      <c r="E4979" t="s">
        <v>424</v>
      </c>
      <c r="F4979" s="4">
        <v>38085</v>
      </c>
      <c r="G4979" s="4">
        <v>0</v>
      </c>
      <c r="H4979" s="4">
        <v>0</v>
      </c>
      <c r="I4979" s="4">
        <v>0</v>
      </c>
      <c r="J4979" s="4">
        <v>38085</v>
      </c>
    </row>
    <row r="4980" spans="1:10" x14ac:dyDescent="0.75">
      <c r="A4980" t="s">
        <v>163</v>
      </c>
      <c r="B4980">
        <v>4629</v>
      </c>
      <c r="C4980" t="s">
        <v>208</v>
      </c>
      <c r="D4980">
        <v>3220</v>
      </c>
      <c r="E4980" t="s">
        <v>370</v>
      </c>
      <c r="F4980" s="4">
        <v>24325</v>
      </c>
      <c r="G4980" s="4">
        <v>0</v>
      </c>
      <c r="H4980" s="4">
        <v>0</v>
      </c>
      <c r="I4980" s="4">
        <v>0</v>
      </c>
      <c r="J4980" s="4">
        <v>24325</v>
      </c>
    </row>
    <row r="4981" spans="1:10" x14ac:dyDescent="0.75">
      <c r="A4981" t="s">
        <v>163</v>
      </c>
      <c r="B4981">
        <v>4629</v>
      </c>
      <c r="C4981" t="s">
        <v>208</v>
      </c>
      <c r="D4981">
        <v>4150</v>
      </c>
      <c r="E4981" t="s">
        <v>450</v>
      </c>
      <c r="F4981" s="4">
        <v>16369</v>
      </c>
      <c r="G4981" s="4">
        <v>0</v>
      </c>
      <c r="H4981" s="4">
        <v>0</v>
      </c>
      <c r="I4981" s="4">
        <v>0</v>
      </c>
      <c r="J4981" s="4">
        <v>16369</v>
      </c>
    </row>
    <row r="4982" spans="1:10" x14ac:dyDescent="0.75">
      <c r="A4982" t="s">
        <v>163</v>
      </c>
      <c r="B4982">
        <v>4629</v>
      </c>
      <c r="C4982" t="s">
        <v>208</v>
      </c>
      <c r="D4982">
        <v>3110</v>
      </c>
      <c r="E4982" t="s">
        <v>405</v>
      </c>
      <c r="F4982" s="4">
        <v>0</v>
      </c>
      <c r="G4982" s="4">
        <v>4960</v>
      </c>
      <c r="H4982" s="4">
        <v>4960</v>
      </c>
      <c r="I4982" s="4">
        <v>0</v>
      </c>
      <c r="J4982" s="4">
        <v>4960</v>
      </c>
    </row>
    <row r="4983" spans="1:10" x14ac:dyDescent="0.75">
      <c r="A4983" t="s">
        <v>163</v>
      </c>
      <c r="B4983">
        <v>4629</v>
      </c>
      <c r="C4983" t="s">
        <v>208</v>
      </c>
      <c r="D4983">
        <v>4161</v>
      </c>
      <c r="E4983" t="s">
        <v>421</v>
      </c>
      <c r="F4983" s="4">
        <v>3205</v>
      </c>
      <c r="G4983" s="4">
        <v>0</v>
      </c>
      <c r="H4983" s="4">
        <v>0</v>
      </c>
      <c r="I4983" s="4">
        <v>0</v>
      </c>
      <c r="J4983" s="4">
        <v>3205</v>
      </c>
    </row>
    <row r="4984" spans="1:10" x14ac:dyDescent="0.75">
      <c r="A4984" t="s">
        <v>163</v>
      </c>
      <c r="B4984">
        <v>4629</v>
      </c>
      <c r="C4984" t="s">
        <v>208</v>
      </c>
      <c r="D4984">
        <v>2340</v>
      </c>
      <c r="E4984" t="s">
        <v>369</v>
      </c>
      <c r="F4984" s="4">
        <v>441</v>
      </c>
      <c r="G4984" s="4">
        <v>0</v>
      </c>
      <c r="H4984" s="4">
        <v>0</v>
      </c>
      <c r="I4984" s="4">
        <v>0</v>
      </c>
      <c r="J4984" s="4">
        <v>441</v>
      </c>
    </row>
    <row r="4985" spans="1:10" x14ac:dyDescent="0.75">
      <c r="A4985" t="s">
        <v>151</v>
      </c>
      <c r="B4985">
        <v>324</v>
      </c>
      <c r="C4985" t="s">
        <v>140</v>
      </c>
      <c r="D4985">
        <v>7210</v>
      </c>
      <c r="E4985" t="s">
        <v>426</v>
      </c>
      <c r="F4985" s="4">
        <v>0</v>
      </c>
      <c r="G4985" s="4">
        <v>353443</v>
      </c>
      <c r="H4985" s="4">
        <v>348953</v>
      </c>
      <c r="I4985" s="4">
        <v>4490</v>
      </c>
      <c r="J4985" s="4">
        <v>353443</v>
      </c>
    </row>
    <row r="4986" spans="1:10" x14ac:dyDescent="0.75">
      <c r="A4986" t="s">
        <v>151</v>
      </c>
      <c r="B4986">
        <v>324</v>
      </c>
      <c r="C4986" t="s">
        <v>140</v>
      </c>
      <c r="D4986">
        <v>5360</v>
      </c>
      <c r="E4986" t="s">
        <v>465</v>
      </c>
      <c r="F4986" s="4">
        <v>12042</v>
      </c>
      <c r="G4986" s="4">
        <v>0</v>
      </c>
      <c r="H4986" s="4">
        <v>0</v>
      </c>
      <c r="I4986" s="4">
        <v>0</v>
      </c>
      <c r="J4986" s="4">
        <v>12042</v>
      </c>
    </row>
    <row r="4987" spans="1:10" x14ac:dyDescent="0.75">
      <c r="A4987" t="s">
        <v>151</v>
      </c>
      <c r="B4987">
        <v>324</v>
      </c>
      <c r="C4987" t="s">
        <v>140</v>
      </c>
      <c r="D4987">
        <v>9900</v>
      </c>
      <c r="E4987" t="s">
        <v>389</v>
      </c>
      <c r="F4987" s="4">
        <v>0</v>
      </c>
      <c r="G4987" s="4">
        <v>4571</v>
      </c>
      <c r="H4987" s="4">
        <v>4561</v>
      </c>
      <c r="I4987" s="4">
        <v>10</v>
      </c>
      <c r="J4987" s="4">
        <v>4571</v>
      </c>
    </row>
    <row r="4988" spans="1:10" x14ac:dyDescent="0.75">
      <c r="A4988" t="s">
        <v>151</v>
      </c>
      <c r="B4988">
        <v>324</v>
      </c>
      <c r="C4988" t="s">
        <v>140</v>
      </c>
      <c r="D4988">
        <v>5220</v>
      </c>
      <c r="E4988" t="s">
        <v>401</v>
      </c>
      <c r="F4988" s="4">
        <v>0</v>
      </c>
      <c r="G4988" s="4">
        <v>1317</v>
      </c>
      <c r="H4988" s="4">
        <v>1317</v>
      </c>
      <c r="I4988" s="4">
        <v>0</v>
      </c>
      <c r="J4988" s="4">
        <v>1317</v>
      </c>
    </row>
    <row r="4989" spans="1:10" x14ac:dyDescent="0.75">
      <c r="A4989" t="s">
        <v>151</v>
      </c>
      <c r="B4989">
        <v>324</v>
      </c>
      <c r="C4989" t="s">
        <v>140</v>
      </c>
      <c r="D4989">
        <v>7120</v>
      </c>
      <c r="E4989" t="s">
        <v>499</v>
      </c>
      <c r="F4989" s="4">
        <v>0</v>
      </c>
      <c r="G4989" s="4">
        <v>1257</v>
      </c>
      <c r="H4989" s="4">
        <v>1257</v>
      </c>
      <c r="I4989" s="4">
        <v>0</v>
      </c>
      <c r="J4989" s="4">
        <v>1257</v>
      </c>
    </row>
    <row r="4990" spans="1:10" x14ac:dyDescent="0.75">
      <c r="A4990" t="s">
        <v>151</v>
      </c>
      <c r="B4990">
        <v>324</v>
      </c>
      <c r="C4990" t="s">
        <v>140</v>
      </c>
      <c r="D4990">
        <v>7110</v>
      </c>
      <c r="E4990" t="s">
        <v>371</v>
      </c>
      <c r="F4990" s="4">
        <v>0</v>
      </c>
      <c r="G4990" s="4">
        <v>538</v>
      </c>
      <c r="H4990" s="4">
        <v>483</v>
      </c>
      <c r="I4990" s="4">
        <v>55</v>
      </c>
      <c r="J4990" s="4">
        <v>538</v>
      </c>
    </row>
    <row r="4991" spans="1:10" x14ac:dyDescent="0.75">
      <c r="A4991" t="s">
        <v>151</v>
      </c>
      <c r="B4991">
        <v>324</v>
      </c>
      <c r="C4991" t="s">
        <v>140</v>
      </c>
      <c r="D4991">
        <v>7900</v>
      </c>
      <c r="E4991" t="s">
        <v>388</v>
      </c>
      <c r="F4991" s="4">
        <v>0</v>
      </c>
      <c r="G4991" s="4">
        <v>372</v>
      </c>
      <c r="H4991" s="4">
        <v>372</v>
      </c>
      <c r="I4991" s="4">
        <v>0</v>
      </c>
      <c r="J4991" s="4">
        <v>372</v>
      </c>
    </row>
    <row r="4992" spans="1:10" x14ac:dyDescent="0.75">
      <c r="A4992" t="s">
        <v>151</v>
      </c>
      <c r="B4992">
        <v>324</v>
      </c>
      <c r="C4992" t="s">
        <v>140</v>
      </c>
      <c r="D4992">
        <v>7500</v>
      </c>
      <c r="E4992" t="s">
        <v>427</v>
      </c>
      <c r="F4992" s="4">
        <v>0</v>
      </c>
      <c r="G4992" s="4">
        <v>155</v>
      </c>
      <c r="H4992" s="4">
        <v>148</v>
      </c>
      <c r="I4992" s="4">
        <v>7</v>
      </c>
      <c r="J4992" s="4">
        <v>155</v>
      </c>
    </row>
    <row r="4993" spans="1:10" x14ac:dyDescent="0.75">
      <c r="A4993" t="s">
        <v>151</v>
      </c>
      <c r="B4993">
        <v>324</v>
      </c>
      <c r="C4993" t="s">
        <v>140</v>
      </c>
      <c r="D4993">
        <v>7600</v>
      </c>
      <c r="E4993" t="s">
        <v>503</v>
      </c>
      <c r="F4993" s="4">
        <v>0</v>
      </c>
      <c r="G4993" s="4">
        <v>78</v>
      </c>
      <c r="H4993" s="4">
        <v>78</v>
      </c>
      <c r="I4993" s="4">
        <v>0</v>
      </c>
      <c r="J4993" s="4">
        <v>78</v>
      </c>
    </row>
    <row r="4994" spans="1:10" x14ac:dyDescent="0.75">
      <c r="A4994" t="s">
        <v>151</v>
      </c>
      <c r="B4994">
        <v>324</v>
      </c>
      <c r="C4994" t="s">
        <v>140</v>
      </c>
      <c r="D4994">
        <v>3299</v>
      </c>
      <c r="E4994" t="s">
        <v>448</v>
      </c>
      <c r="F4994" s="4">
        <v>0</v>
      </c>
      <c r="G4994" s="4">
        <v>21</v>
      </c>
      <c r="H4994" s="4">
        <v>21</v>
      </c>
      <c r="I4994" s="4">
        <v>0</v>
      </c>
      <c r="J4994" s="4">
        <v>21</v>
      </c>
    </row>
    <row r="4995" spans="1:10" x14ac:dyDescent="0.75">
      <c r="A4995" t="s">
        <v>151</v>
      </c>
      <c r="B4995">
        <v>4727</v>
      </c>
      <c r="C4995" t="s">
        <v>60</v>
      </c>
      <c r="D4995">
        <v>4161</v>
      </c>
      <c r="E4995" t="s">
        <v>421</v>
      </c>
      <c r="F4995" s="4">
        <v>476500</v>
      </c>
      <c r="G4995" s="4">
        <v>2044</v>
      </c>
      <c r="H4995" s="4">
        <v>23</v>
      </c>
      <c r="I4995" s="4">
        <v>2021</v>
      </c>
      <c r="J4995" s="4">
        <v>478544</v>
      </c>
    </row>
    <row r="4996" spans="1:10" x14ac:dyDescent="0.75">
      <c r="A4996" t="s">
        <v>151</v>
      </c>
      <c r="B4996">
        <v>4727</v>
      </c>
      <c r="C4996" t="s">
        <v>60</v>
      </c>
      <c r="D4996">
        <v>5220</v>
      </c>
      <c r="E4996" t="s">
        <v>401</v>
      </c>
      <c r="F4996" s="4">
        <v>0</v>
      </c>
      <c r="G4996" s="4">
        <v>223308</v>
      </c>
      <c r="H4996" s="4">
        <v>223306</v>
      </c>
      <c r="I4996" s="4">
        <v>2</v>
      </c>
      <c r="J4996" s="4">
        <v>223308</v>
      </c>
    </row>
    <row r="4997" spans="1:10" x14ac:dyDescent="0.75">
      <c r="A4997" t="s">
        <v>151</v>
      </c>
      <c r="B4997">
        <v>4727</v>
      </c>
      <c r="C4997" t="s">
        <v>60</v>
      </c>
      <c r="D4997">
        <v>4331</v>
      </c>
      <c r="E4997" t="s">
        <v>390</v>
      </c>
      <c r="F4997" s="4">
        <v>202138</v>
      </c>
      <c r="G4997" s="4">
        <v>6403</v>
      </c>
      <c r="H4997" s="4">
        <v>6172</v>
      </c>
      <c r="I4997" s="4">
        <v>231</v>
      </c>
      <c r="J4997" s="4">
        <v>208541</v>
      </c>
    </row>
    <row r="4998" spans="1:10" x14ac:dyDescent="0.75">
      <c r="A4998" t="s">
        <v>151</v>
      </c>
      <c r="B4998">
        <v>4727</v>
      </c>
      <c r="C4998" t="s">
        <v>60</v>
      </c>
      <c r="D4998">
        <v>4170</v>
      </c>
      <c r="E4998" t="s">
        <v>424</v>
      </c>
      <c r="F4998" s="4">
        <v>148330</v>
      </c>
      <c r="G4998" s="4">
        <v>37292</v>
      </c>
      <c r="H4998" s="4">
        <v>16266</v>
      </c>
      <c r="I4998" s="4">
        <v>21026</v>
      </c>
      <c r="J4998" s="4">
        <v>185622</v>
      </c>
    </row>
    <row r="4999" spans="1:10" x14ac:dyDescent="0.75">
      <c r="A4999" t="s">
        <v>151</v>
      </c>
      <c r="B4999">
        <v>4727</v>
      </c>
      <c r="C4999" t="s">
        <v>60</v>
      </c>
      <c r="D4999">
        <v>4225</v>
      </c>
      <c r="E4999" t="s">
        <v>380</v>
      </c>
      <c r="F4999" s="4">
        <v>0</v>
      </c>
      <c r="G4999" s="4">
        <v>73402</v>
      </c>
      <c r="H4999" s="4">
        <v>78</v>
      </c>
      <c r="I4999" s="4">
        <v>73324</v>
      </c>
      <c r="J4999" s="4">
        <v>73402</v>
      </c>
    </row>
    <row r="5000" spans="1:10" x14ac:dyDescent="0.75">
      <c r="A5000" t="s">
        <v>151</v>
      </c>
      <c r="B5000">
        <v>4727</v>
      </c>
      <c r="C5000" t="s">
        <v>60</v>
      </c>
      <c r="D5000">
        <v>7900</v>
      </c>
      <c r="E5000" t="s">
        <v>388</v>
      </c>
      <c r="F5000" s="4">
        <v>0</v>
      </c>
      <c r="G5000" s="4">
        <v>72155</v>
      </c>
      <c r="H5000" s="4">
        <v>71320</v>
      </c>
      <c r="I5000" s="4">
        <v>835</v>
      </c>
      <c r="J5000" s="4">
        <v>72155</v>
      </c>
    </row>
    <row r="5001" spans="1:10" x14ac:dyDescent="0.75">
      <c r="A5001" t="s">
        <v>151</v>
      </c>
      <c r="B5001">
        <v>4727</v>
      </c>
      <c r="C5001" t="s">
        <v>60</v>
      </c>
      <c r="D5001">
        <v>7210</v>
      </c>
      <c r="E5001" t="s">
        <v>426</v>
      </c>
      <c r="F5001" s="4">
        <v>0</v>
      </c>
      <c r="G5001" s="4">
        <v>53827</v>
      </c>
      <c r="H5001" s="4">
        <v>52655</v>
      </c>
      <c r="I5001" s="4">
        <v>1172</v>
      </c>
      <c r="J5001" s="4">
        <v>53827</v>
      </c>
    </row>
    <row r="5002" spans="1:10" x14ac:dyDescent="0.75">
      <c r="A5002" t="s">
        <v>151</v>
      </c>
      <c r="B5002">
        <v>4727</v>
      </c>
      <c r="C5002" t="s">
        <v>60</v>
      </c>
      <c r="D5002">
        <v>7110</v>
      </c>
      <c r="E5002" t="s">
        <v>371</v>
      </c>
      <c r="F5002" s="4">
        <v>0</v>
      </c>
      <c r="G5002" s="4">
        <v>37980</v>
      </c>
      <c r="H5002" s="4">
        <v>37037</v>
      </c>
      <c r="I5002" s="4">
        <v>943</v>
      </c>
      <c r="J5002" s="4">
        <v>37980</v>
      </c>
    </row>
    <row r="5003" spans="1:10" x14ac:dyDescent="0.75">
      <c r="A5003" t="s">
        <v>151</v>
      </c>
      <c r="B5003">
        <v>4727</v>
      </c>
      <c r="C5003" t="s">
        <v>60</v>
      </c>
      <c r="D5003">
        <v>2640</v>
      </c>
      <c r="E5003" t="s">
        <v>431</v>
      </c>
      <c r="F5003" s="4">
        <v>0</v>
      </c>
      <c r="G5003" s="4">
        <v>37939</v>
      </c>
      <c r="H5003" s="4">
        <v>37939</v>
      </c>
      <c r="I5003" s="4">
        <v>0</v>
      </c>
      <c r="J5003" s="4">
        <v>37939</v>
      </c>
    </row>
    <row r="5004" spans="1:10" x14ac:dyDescent="0.75">
      <c r="A5004" t="s">
        <v>151</v>
      </c>
      <c r="B5004">
        <v>4727</v>
      </c>
      <c r="C5004" t="s">
        <v>60</v>
      </c>
      <c r="D5004">
        <v>2211</v>
      </c>
      <c r="E5004" t="s">
        <v>367</v>
      </c>
      <c r="F5004" s="4">
        <v>0</v>
      </c>
      <c r="G5004" s="4">
        <v>30759</v>
      </c>
      <c r="H5004" s="4">
        <v>30759</v>
      </c>
      <c r="I5004" s="4">
        <v>0</v>
      </c>
      <c r="J5004" s="4">
        <v>30759</v>
      </c>
    </row>
    <row r="5005" spans="1:10" x14ac:dyDescent="0.75">
      <c r="A5005" t="s">
        <v>151</v>
      </c>
      <c r="B5005">
        <v>4727</v>
      </c>
      <c r="C5005" t="s">
        <v>60</v>
      </c>
      <c r="D5005">
        <v>7120</v>
      </c>
      <c r="E5005" t="s">
        <v>499</v>
      </c>
      <c r="F5005" s="4">
        <v>0</v>
      </c>
      <c r="G5005" s="4">
        <v>27432</v>
      </c>
      <c r="H5005" s="4">
        <v>27202</v>
      </c>
      <c r="I5005" s="4">
        <v>230</v>
      </c>
      <c r="J5005" s="4">
        <v>27432</v>
      </c>
    </row>
    <row r="5006" spans="1:10" x14ac:dyDescent="0.75">
      <c r="A5006" t="s">
        <v>151</v>
      </c>
      <c r="B5006">
        <v>4727</v>
      </c>
      <c r="C5006" t="s">
        <v>60</v>
      </c>
      <c r="D5006">
        <v>4420</v>
      </c>
      <c r="E5006" t="s">
        <v>381</v>
      </c>
      <c r="F5006" s="4">
        <v>0</v>
      </c>
      <c r="G5006" s="4">
        <v>23370</v>
      </c>
      <c r="H5006" s="4">
        <v>110</v>
      </c>
      <c r="I5006" s="4">
        <v>23260</v>
      </c>
      <c r="J5006" s="4">
        <v>23370</v>
      </c>
    </row>
    <row r="5007" spans="1:10" x14ac:dyDescent="0.75">
      <c r="A5007" t="s">
        <v>151</v>
      </c>
      <c r="B5007">
        <v>4727</v>
      </c>
      <c r="C5007" t="s">
        <v>60</v>
      </c>
      <c r="D5007">
        <v>6781</v>
      </c>
      <c r="E5007" t="s">
        <v>479</v>
      </c>
      <c r="F5007" s="4">
        <v>0</v>
      </c>
      <c r="G5007" s="4">
        <v>23030</v>
      </c>
      <c r="H5007" s="4">
        <v>9</v>
      </c>
      <c r="I5007" s="4">
        <v>23021</v>
      </c>
      <c r="J5007" s="4">
        <v>23030</v>
      </c>
    </row>
    <row r="5008" spans="1:10" x14ac:dyDescent="0.75">
      <c r="A5008" t="s">
        <v>151</v>
      </c>
      <c r="B5008">
        <v>4727</v>
      </c>
      <c r="C5008" t="s">
        <v>60</v>
      </c>
      <c r="D5008">
        <v>5480</v>
      </c>
      <c r="E5008" t="s">
        <v>386</v>
      </c>
      <c r="F5008" s="4">
        <v>0</v>
      </c>
      <c r="G5008" s="4">
        <v>16023</v>
      </c>
      <c r="H5008" s="4">
        <v>15262</v>
      </c>
      <c r="I5008" s="4">
        <v>761</v>
      </c>
      <c r="J5008" s="4">
        <v>16023</v>
      </c>
    </row>
    <row r="5009" spans="1:10" x14ac:dyDescent="0.75">
      <c r="A5009" t="s">
        <v>151</v>
      </c>
      <c r="B5009">
        <v>4727</v>
      </c>
      <c r="C5009" t="s">
        <v>60</v>
      </c>
      <c r="D5009">
        <v>6654</v>
      </c>
      <c r="E5009" t="s">
        <v>419</v>
      </c>
      <c r="F5009" s="4">
        <v>0</v>
      </c>
      <c r="G5009" s="4">
        <v>15207</v>
      </c>
      <c r="H5009" s="4">
        <v>1804</v>
      </c>
      <c r="I5009" s="4">
        <v>13403</v>
      </c>
      <c r="J5009" s="4">
        <v>15207</v>
      </c>
    </row>
    <row r="5010" spans="1:10" x14ac:dyDescent="0.75">
      <c r="A5010" t="s">
        <v>151</v>
      </c>
      <c r="B5010">
        <v>4727</v>
      </c>
      <c r="C5010" t="s">
        <v>60</v>
      </c>
      <c r="D5010">
        <v>7600</v>
      </c>
      <c r="E5010" t="s">
        <v>503</v>
      </c>
      <c r="F5010" s="4">
        <v>0</v>
      </c>
      <c r="G5010" s="4">
        <v>13110</v>
      </c>
      <c r="H5010" s="4">
        <v>12917</v>
      </c>
      <c r="I5010" s="4">
        <v>193</v>
      </c>
      <c r="J5010" s="4">
        <v>13110</v>
      </c>
    </row>
    <row r="5011" spans="1:10" x14ac:dyDescent="0.75">
      <c r="A5011" t="s">
        <v>151</v>
      </c>
      <c r="B5011">
        <v>4727</v>
      </c>
      <c r="C5011" t="s">
        <v>60</v>
      </c>
      <c r="D5011">
        <v>5120</v>
      </c>
      <c r="E5011" t="s">
        <v>461</v>
      </c>
      <c r="F5011" s="4">
        <v>0</v>
      </c>
      <c r="G5011" s="4">
        <v>11385</v>
      </c>
      <c r="H5011" s="4">
        <v>3372</v>
      </c>
      <c r="I5011" s="4">
        <v>8013</v>
      </c>
      <c r="J5011" s="4">
        <v>11385</v>
      </c>
    </row>
    <row r="5012" spans="1:10" x14ac:dyDescent="0.75">
      <c r="A5012" t="s">
        <v>151</v>
      </c>
      <c r="B5012">
        <v>4727</v>
      </c>
      <c r="C5012" t="s">
        <v>60</v>
      </c>
      <c r="D5012">
        <v>3276</v>
      </c>
      <c r="E5012" t="s">
        <v>379</v>
      </c>
      <c r="F5012" s="4">
        <v>0</v>
      </c>
      <c r="G5012" s="4">
        <v>11212</v>
      </c>
      <c r="H5012" s="4">
        <v>7010</v>
      </c>
      <c r="I5012" s="4">
        <v>4202</v>
      </c>
      <c r="J5012" s="4">
        <v>11212</v>
      </c>
    </row>
    <row r="5013" spans="1:10" x14ac:dyDescent="0.75">
      <c r="A5013" t="s">
        <v>151</v>
      </c>
      <c r="B5013">
        <v>4727</v>
      </c>
      <c r="C5013" t="s">
        <v>60</v>
      </c>
      <c r="D5013">
        <v>2340</v>
      </c>
      <c r="E5013" t="s">
        <v>369</v>
      </c>
      <c r="F5013" s="4">
        <v>10300</v>
      </c>
      <c r="G5013" s="4">
        <v>0</v>
      </c>
      <c r="H5013" s="4">
        <v>0</v>
      </c>
      <c r="I5013" s="4">
        <v>0</v>
      </c>
      <c r="J5013" s="4">
        <v>10300</v>
      </c>
    </row>
    <row r="5014" spans="1:10" x14ac:dyDescent="0.75">
      <c r="A5014" t="s">
        <v>151</v>
      </c>
      <c r="B5014">
        <v>4727</v>
      </c>
      <c r="C5014" t="s">
        <v>60</v>
      </c>
      <c r="D5014">
        <v>9900</v>
      </c>
      <c r="E5014" t="s">
        <v>389</v>
      </c>
      <c r="F5014" s="4">
        <v>0</v>
      </c>
      <c r="G5014" s="4">
        <v>8553</v>
      </c>
      <c r="H5014" s="4">
        <v>6825</v>
      </c>
      <c r="I5014" s="4">
        <v>1728</v>
      </c>
      <c r="J5014" s="4">
        <v>8553</v>
      </c>
    </row>
    <row r="5015" spans="1:10" x14ac:dyDescent="0.75">
      <c r="A5015" t="s">
        <v>151</v>
      </c>
      <c r="B5015">
        <v>4727</v>
      </c>
      <c r="C5015" t="s">
        <v>60</v>
      </c>
      <c r="D5015">
        <v>3286</v>
      </c>
      <c r="E5015" t="s">
        <v>423</v>
      </c>
      <c r="F5015" s="4">
        <v>0</v>
      </c>
      <c r="G5015" s="4">
        <v>7989</v>
      </c>
      <c r="H5015" s="4">
        <v>7173</v>
      </c>
      <c r="I5015" s="4">
        <v>816</v>
      </c>
      <c r="J5015" s="4">
        <v>7989</v>
      </c>
    </row>
    <row r="5016" spans="1:10" x14ac:dyDescent="0.75">
      <c r="A5016" t="s">
        <v>151</v>
      </c>
      <c r="B5016">
        <v>4727</v>
      </c>
      <c r="C5016" t="s">
        <v>60</v>
      </c>
      <c r="D5016">
        <v>7500</v>
      </c>
      <c r="E5016" t="s">
        <v>427</v>
      </c>
      <c r="F5016" s="4">
        <v>0</v>
      </c>
      <c r="G5016" s="4">
        <v>6850</v>
      </c>
      <c r="H5016" s="4">
        <v>5950</v>
      </c>
      <c r="I5016" s="4">
        <v>900</v>
      </c>
      <c r="J5016" s="4">
        <v>6850</v>
      </c>
    </row>
    <row r="5017" spans="1:10" x14ac:dyDescent="0.75">
      <c r="A5017" t="s">
        <v>151</v>
      </c>
      <c r="B5017">
        <v>4727</v>
      </c>
      <c r="C5017" t="s">
        <v>60</v>
      </c>
      <c r="D5017">
        <v>6782</v>
      </c>
      <c r="E5017" t="s">
        <v>396</v>
      </c>
      <c r="F5017" s="4">
        <v>0</v>
      </c>
      <c r="G5017" s="4">
        <v>6505</v>
      </c>
      <c r="H5017" s="4">
        <v>0</v>
      </c>
      <c r="I5017" s="4">
        <v>6505</v>
      </c>
      <c r="J5017" s="4">
        <v>6505</v>
      </c>
    </row>
    <row r="5018" spans="1:10" x14ac:dyDescent="0.75">
      <c r="A5018" t="s">
        <v>151</v>
      </c>
      <c r="B5018">
        <v>4727</v>
      </c>
      <c r="C5018" t="s">
        <v>60</v>
      </c>
      <c r="D5018">
        <v>4323</v>
      </c>
      <c r="E5018" t="s">
        <v>373</v>
      </c>
      <c r="F5018" s="4">
        <v>6000</v>
      </c>
      <c r="G5018" s="4">
        <v>0</v>
      </c>
      <c r="H5018" s="4">
        <v>0</v>
      </c>
      <c r="I5018" s="4">
        <v>0</v>
      </c>
      <c r="J5018" s="4">
        <v>6000</v>
      </c>
    </row>
    <row r="5019" spans="1:10" x14ac:dyDescent="0.75">
      <c r="A5019" t="s">
        <v>151</v>
      </c>
      <c r="B5019">
        <v>4727</v>
      </c>
      <c r="C5019" t="s">
        <v>60</v>
      </c>
      <c r="D5019">
        <v>5330</v>
      </c>
      <c r="E5019" t="s">
        <v>385</v>
      </c>
      <c r="F5019" s="4">
        <v>0</v>
      </c>
      <c r="G5019" s="4">
        <v>5790</v>
      </c>
      <c r="H5019" s="4">
        <v>5790</v>
      </c>
      <c r="I5019" s="4">
        <v>0</v>
      </c>
      <c r="J5019" s="4">
        <v>5790</v>
      </c>
    </row>
    <row r="5020" spans="1:10" x14ac:dyDescent="0.75">
      <c r="A5020" t="s">
        <v>151</v>
      </c>
      <c r="B5020">
        <v>4727</v>
      </c>
      <c r="C5020" t="s">
        <v>60</v>
      </c>
      <c r="D5020">
        <v>6134</v>
      </c>
      <c r="E5020" t="s">
        <v>470</v>
      </c>
      <c r="F5020" s="4">
        <v>0</v>
      </c>
      <c r="G5020" s="4">
        <v>5672</v>
      </c>
      <c r="H5020" s="4">
        <v>445</v>
      </c>
      <c r="I5020" s="4">
        <v>5227</v>
      </c>
      <c r="J5020" s="4">
        <v>5672</v>
      </c>
    </row>
    <row r="5021" spans="1:10" x14ac:dyDescent="0.75">
      <c r="A5021" t="s">
        <v>151</v>
      </c>
      <c r="B5021">
        <v>4727</v>
      </c>
      <c r="C5021" t="s">
        <v>60</v>
      </c>
      <c r="D5021">
        <v>5370</v>
      </c>
      <c r="E5021" t="s">
        <v>466</v>
      </c>
      <c r="F5021" s="4">
        <v>0</v>
      </c>
      <c r="G5021" s="4">
        <v>4973</v>
      </c>
      <c r="H5021" s="4">
        <v>4864</v>
      </c>
      <c r="I5021" s="4">
        <v>109</v>
      </c>
      <c r="J5021" s="4">
        <v>4973</v>
      </c>
    </row>
    <row r="5022" spans="1:10" x14ac:dyDescent="0.75">
      <c r="A5022" t="s">
        <v>151</v>
      </c>
      <c r="B5022">
        <v>4727</v>
      </c>
      <c r="C5022" t="s">
        <v>60</v>
      </c>
      <c r="D5022">
        <v>6822</v>
      </c>
      <c r="E5022" t="s">
        <v>482</v>
      </c>
      <c r="F5022" s="4">
        <v>0</v>
      </c>
      <c r="G5022" s="4">
        <v>4447</v>
      </c>
      <c r="H5022" s="4">
        <v>35</v>
      </c>
      <c r="I5022" s="4">
        <v>4412</v>
      </c>
      <c r="J5022" s="4">
        <v>4447</v>
      </c>
    </row>
    <row r="5023" spans="1:10" x14ac:dyDescent="0.75">
      <c r="A5023" t="s">
        <v>151</v>
      </c>
      <c r="B5023">
        <v>4727</v>
      </c>
      <c r="C5023" t="s">
        <v>60</v>
      </c>
      <c r="D5023">
        <v>7220</v>
      </c>
      <c r="E5023" t="s">
        <v>500</v>
      </c>
      <c r="F5023" s="4">
        <v>0</v>
      </c>
      <c r="G5023" s="4">
        <v>4416</v>
      </c>
      <c r="H5023" s="4">
        <v>4376</v>
      </c>
      <c r="I5023" s="4">
        <v>40</v>
      </c>
      <c r="J5023" s="4">
        <v>4416</v>
      </c>
    </row>
    <row r="5024" spans="1:10" x14ac:dyDescent="0.75">
      <c r="A5024" t="s">
        <v>151</v>
      </c>
      <c r="B5024">
        <v>4727</v>
      </c>
      <c r="C5024" t="s">
        <v>60</v>
      </c>
      <c r="D5024">
        <v>4680</v>
      </c>
      <c r="E5024" t="s">
        <v>459</v>
      </c>
      <c r="F5024" s="4">
        <v>0</v>
      </c>
      <c r="G5024" s="4">
        <v>3429</v>
      </c>
      <c r="H5024" s="4">
        <v>221</v>
      </c>
      <c r="I5024" s="4">
        <v>3208</v>
      </c>
      <c r="J5024" s="4">
        <v>3429</v>
      </c>
    </row>
    <row r="5025" spans="1:10" x14ac:dyDescent="0.75">
      <c r="A5025" t="s">
        <v>151</v>
      </c>
      <c r="B5025">
        <v>4727</v>
      </c>
      <c r="C5025" t="s">
        <v>60</v>
      </c>
      <c r="D5025">
        <v>5290</v>
      </c>
      <c r="E5025" t="s">
        <v>415</v>
      </c>
      <c r="F5025" s="4">
        <v>0</v>
      </c>
      <c r="G5025" s="4">
        <v>3063</v>
      </c>
      <c r="H5025" s="4">
        <v>2623</v>
      </c>
      <c r="I5025" s="4">
        <v>440</v>
      </c>
      <c r="J5025" s="4">
        <v>3063</v>
      </c>
    </row>
    <row r="5026" spans="1:10" x14ac:dyDescent="0.75">
      <c r="A5026" t="s">
        <v>151</v>
      </c>
      <c r="B5026">
        <v>4727</v>
      </c>
      <c r="C5026" t="s">
        <v>60</v>
      </c>
      <c r="D5026">
        <v>4189</v>
      </c>
      <c r="E5026" t="s">
        <v>451</v>
      </c>
      <c r="F5026" s="4">
        <v>0</v>
      </c>
      <c r="G5026" s="4">
        <v>2645</v>
      </c>
      <c r="H5026" s="4">
        <v>484</v>
      </c>
      <c r="I5026" s="4">
        <v>2161</v>
      </c>
      <c r="J5026" s="4">
        <v>2645</v>
      </c>
    </row>
    <row r="5027" spans="1:10" x14ac:dyDescent="0.75">
      <c r="A5027" t="s">
        <v>151</v>
      </c>
      <c r="B5027">
        <v>4727</v>
      </c>
      <c r="C5027" t="s">
        <v>60</v>
      </c>
      <c r="D5027">
        <v>6889</v>
      </c>
      <c r="E5027" t="s">
        <v>420</v>
      </c>
      <c r="F5027" s="4">
        <v>0</v>
      </c>
      <c r="G5027" s="4">
        <v>2031</v>
      </c>
      <c r="H5027" s="4">
        <v>1250</v>
      </c>
      <c r="I5027" s="4">
        <v>781</v>
      </c>
      <c r="J5027" s="4">
        <v>2031</v>
      </c>
    </row>
    <row r="5028" spans="1:10" x14ac:dyDescent="0.75">
      <c r="A5028" t="s">
        <v>151</v>
      </c>
      <c r="B5028">
        <v>4727</v>
      </c>
      <c r="C5028" t="s">
        <v>60</v>
      </c>
      <c r="D5028">
        <v>5240</v>
      </c>
      <c r="E5028" t="s">
        <v>464</v>
      </c>
      <c r="F5028" s="4">
        <v>0</v>
      </c>
      <c r="G5028" s="4">
        <v>2024</v>
      </c>
      <c r="H5028" s="4">
        <v>1588</v>
      </c>
      <c r="I5028" s="4">
        <v>436</v>
      </c>
      <c r="J5028" s="4">
        <v>2024</v>
      </c>
    </row>
    <row r="5029" spans="1:10" x14ac:dyDescent="0.75">
      <c r="A5029" t="s">
        <v>151</v>
      </c>
      <c r="B5029">
        <v>4727</v>
      </c>
      <c r="C5029" t="s">
        <v>60</v>
      </c>
      <c r="D5029">
        <v>3275</v>
      </c>
      <c r="E5029" t="s">
        <v>412</v>
      </c>
      <c r="F5029" s="4">
        <v>0</v>
      </c>
      <c r="G5029" s="4">
        <v>2008</v>
      </c>
      <c r="H5029" s="4">
        <v>1751</v>
      </c>
      <c r="I5029" s="4">
        <v>257</v>
      </c>
      <c r="J5029" s="4">
        <v>2008</v>
      </c>
    </row>
    <row r="5030" spans="1:10" x14ac:dyDescent="0.75">
      <c r="A5030" t="s">
        <v>151</v>
      </c>
      <c r="B5030">
        <v>4727</v>
      </c>
      <c r="C5030" t="s">
        <v>60</v>
      </c>
      <c r="D5030">
        <v>3220</v>
      </c>
      <c r="E5030" t="s">
        <v>370</v>
      </c>
      <c r="F5030" s="4">
        <v>0</v>
      </c>
      <c r="G5030" s="4">
        <v>1849</v>
      </c>
      <c r="H5030" s="4">
        <v>1613</v>
      </c>
      <c r="I5030" s="4">
        <v>236</v>
      </c>
      <c r="J5030" s="4">
        <v>1849</v>
      </c>
    </row>
    <row r="5031" spans="1:10" x14ac:dyDescent="0.75">
      <c r="A5031" t="s">
        <v>151</v>
      </c>
      <c r="B5031">
        <v>4727</v>
      </c>
      <c r="C5031" t="s">
        <v>60</v>
      </c>
      <c r="D5031">
        <v>3230</v>
      </c>
      <c r="E5031" t="s">
        <v>434</v>
      </c>
      <c r="F5031" s="4">
        <v>0</v>
      </c>
      <c r="G5031" s="4">
        <v>1815</v>
      </c>
      <c r="H5031" s="4">
        <v>1419</v>
      </c>
      <c r="I5031" s="4">
        <v>396</v>
      </c>
      <c r="J5031" s="4">
        <v>1815</v>
      </c>
    </row>
    <row r="5032" spans="1:10" x14ac:dyDescent="0.75">
      <c r="A5032" t="s">
        <v>151</v>
      </c>
      <c r="B5032">
        <v>4727</v>
      </c>
      <c r="C5032" t="s">
        <v>60</v>
      </c>
      <c r="D5032">
        <v>3260</v>
      </c>
      <c r="E5032" t="s">
        <v>436</v>
      </c>
      <c r="F5032" s="4">
        <v>0</v>
      </c>
      <c r="G5032" s="4">
        <v>1792</v>
      </c>
      <c r="H5032" s="4">
        <v>1630</v>
      </c>
      <c r="I5032" s="4">
        <v>162</v>
      </c>
      <c r="J5032" s="4">
        <v>1792</v>
      </c>
    </row>
    <row r="5033" spans="1:10" x14ac:dyDescent="0.75">
      <c r="A5033" t="s">
        <v>151</v>
      </c>
      <c r="B5033">
        <v>4727</v>
      </c>
      <c r="C5033" t="s">
        <v>60</v>
      </c>
      <c r="D5033">
        <v>6857</v>
      </c>
      <c r="E5033" t="s">
        <v>487</v>
      </c>
      <c r="F5033" s="4">
        <v>0</v>
      </c>
      <c r="G5033" s="4">
        <v>1698</v>
      </c>
      <c r="H5033" s="4">
        <v>258</v>
      </c>
      <c r="I5033" s="4">
        <v>1440</v>
      </c>
      <c r="J5033" s="4">
        <v>1698</v>
      </c>
    </row>
    <row r="5034" spans="1:10" x14ac:dyDescent="0.75">
      <c r="A5034" t="s">
        <v>151</v>
      </c>
      <c r="B5034">
        <v>4727</v>
      </c>
      <c r="C5034" t="s">
        <v>60</v>
      </c>
      <c r="D5034">
        <v>6885</v>
      </c>
      <c r="E5034" t="s">
        <v>493</v>
      </c>
      <c r="F5034" s="4">
        <v>0</v>
      </c>
      <c r="G5034" s="4">
        <v>1653</v>
      </c>
      <c r="H5034" s="4">
        <v>1307</v>
      </c>
      <c r="I5034" s="4">
        <v>346</v>
      </c>
      <c r="J5034" s="4">
        <v>1653</v>
      </c>
    </row>
    <row r="5035" spans="1:10" x14ac:dyDescent="0.75">
      <c r="A5035" t="s">
        <v>151</v>
      </c>
      <c r="B5035">
        <v>4727</v>
      </c>
      <c r="C5035" t="s">
        <v>60</v>
      </c>
      <c r="D5035">
        <v>6899</v>
      </c>
      <c r="E5035" t="s">
        <v>498</v>
      </c>
      <c r="F5035" s="4">
        <v>0</v>
      </c>
      <c r="G5035" s="4">
        <v>1590</v>
      </c>
      <c r="H5035" s="4">
        <v>14</v>
      </c>
      <c r="I5035" s="4">
        <v>1576</v>
      </c>
      <c r="J5035" s="4">
        <v>1590</v>
      </c>
    </row>
    <row r="5036" spans="1:10" x14ac:dyDescent="0.75">
      <c r="A5036" t="s">
        <v>151</v>
      </c>
      <c r="B5036">
        <v>4727</v>
      </c>
      <c r="C5036" t="s">
        <v>60</v>
      </c>
      <c r="D5036">
        <v>5540</v>
      </c>
      <c r="E5036" t="s">
        <v>469</v>
      </c>
      <c r="F5036" s="4">
        <v>0</v>
      </c>
      <c r="G5036" s="4">
        <v>1485</v>
      </c>
      <c r="H5036" s="4">
        <v>1382</v>
      </c>
      <c r="I5036" s="4">
        <v>103</v>
      </c>
      <c r="J5036" s="4">
        <v>1485</v>
      </c>
    </row>
    <row r="5037" spans="1:10" x14ac:dyDescent="0.75">
      <c r="A5037" t="s">
        <v>151</v>
      </c>
      <c r="B5037">
        <v>4727</v>
      </c>
      <c r="C5037" t="s">
        <v>60</v>
      </c>
      <c r="D5037">
        <v>5422</v>
      </c>
      <c r="E5037" t="s">
        <v>468</v>
      </c>
      <c r="F5037" s="4">
        <v>0</v>
      </c>
      <c r="G5037" s="4">
        <v>1462</v>
      </c>
      <c r="H5037" s="4">
        <v>1127</v>
      </c>
      <c r="I5037" s="4">
        <v>335</v>
      </c>
      <c r="J5037" s="4">
        <v>1462</v>
      </c>
    </row>
    <row r="5038" spans="1:10" x14ac:dyDescent="0.75">
      <c r="A5038" t="s">
        <v>151</v>
      </c>
      <c r="B5038">
        <v>4727</v>
      </c>
      <c r="C5038" t="s">
        <v>60</v>
      </c>
      <c r="D5038">
        <v>6811</v>
      </c>
      <c r="E5038" t="s">
        <v>480</v>
      </c>
      <c r="F5038" s="4">
        <v>0</v>
      </c>
      <c r="G5038" s="4">
        <v>1459</v>
      </c>
      <c r="H5038" s="4">
        <v>26</v>
      </c>
      <c r="I5038" s="4">
        <v>1433</v>
      </c>
      <c r="J5038" s="4">
        <v>1459</v>
      </c>
    </row>
    <row r="5039" spans="1:10" x14ac:dyDescent="0.75">
      <c r="A5039" t="s">
        <v>151</v>
      </c>
      <c r="B5039">
        <v>4727</v>
      </c>
      <c r="C5039" t="s">
        <v>60</v>
      </c>
      <c r="D5039">
        <v>3250</v>
      </c>
      <c r="E5039" t="s">
        <v>435</v>
      </c>
      <c r="F5039" s="4">
        <v>0</v>
      </c>
      <c r="G5039" s="4">
        <v>1404</v>
      </c>
      <c r="H5039" s="4">
        <v>1404</v>
      </c>
      <c r="I5039" s="4">
        <v>0</v>
      </c>
      <c r="J5039" s="4">
        <v>1404</v>
      </c>
    </row>
    <row r="5040" spans="1:10" x14ac:dyDescent="0.75">
      <c r="A5040" t="s">
        <v>151</v>
      </c>
      <c r="B5040">
        <v>4727</v>
      </c>
      <c r="C5040" t="s">
        <v>60</v>
      </c>
      <c r="D5040">
        <v>6839</v>
      </c>
      <c r="E5040" t="s">
        <v>485</v>
      </c>
      <c r="F5040" s="4">
        <v>0</v>
      </c>
      <c r="G5040" s="4">
        <v>1328</v>
      </c>
      <c r="H5040" s="4">
        <v>27</v>
      </c>
      <c r="I5040" s="4">
        <v>1301</v>
      </c>
      <c r="J5040" s="4">
        <v>1328</v>
      </c>
    </row>
    <row r="5041" spans="1:10" x14ac:dyDescent="0.75">
      <c r="A5041" t="s">
        <v>151</v>
      </c>
      <c r="B5041">
        <v>4727</v>
      </c>
      <c r="C5041" t="s">
        <v>60</v>
      </c>
      <c r="D5041">
        <v>4782</v>
      </c>
      <c r="E5041" t="s">
        <v>414</v>
      </c>
      <c r="F5041" s="4">
        <v>0</v>
      </c>
      <c r="G5041" s="4">
        <v>1212</v>
      </c>
      <c r="H5041" s="4">
        <v>54</v>
      </c>
      <c r="I5041" s="4">
        <v>1158</v>
      </c>
      <c r="J5041" s="4">
        <v>1212</v>
      </c>
    </row>
    <row r="5042" spans="1:10" x14ac:dyDescent="0.75">
      <c r="A5042" t="s">
        <v>151</v>
      </c>
      <c r="B5042">
        <v>4727</v>
      </c>
      <c r="C5042" t="s">
        <v>60</v>
      </c>
      <c r="D5042">
        <v>6241</v>
      </c>
      <c r="E5042" t="s">
        <v>391</v>
      </c>
      <c r="F5042" s="4">
        <v>0</v>
      </c>
      <c r="G5042" s="4">
        <v>1183</v>
      </c>
      <c r="H5042" s="4">
        <v>0</v>
      </c>
      <c r="I5042" s="4">
        <v>1183</v>
      </c>
      <c r="J5042" s="4">
        <v>1183</v>
      </c>
    </row>
    <row r="5043" spans="1:10" x14ac:dyDescent="0.75">
      <c r="A5043" t="s">
        <v>151</v>
      </c>
      <c r="B5043">
        <v>4727</v>
      </c>
      <c r="C5043" t="s">
        <v>60</v>
      </c>
      <c r="D5043">
        <v>7400</v>
      </c>
      <c r="E5043" t="s">
        <v>502</v>
      </c>
      <c r="F5043" s="4">
        <v>0</v>
      </c>
      <c r="G5043" s="4">
        <v>1047</v>
      </c>
      <c r="H5043" s="4">
        <v>856</v>
      </c>
      <c r="I5043" s="4">
        <v>191</v>
      </c>
      <c r="J5043" s="4">
        <v>1047</v>
      </c>
    </row>
    <row r="5044" spans="1:10" x14ac:dyDescent="0.75">
      <c r="A5044" t="s">
        <v>151</v>
      </c>
      <c r="B5044">
        <v>4727</v>
      </c>
      <c r="C5044" t="s">
        <v>60</v>
      </c>
      <c r="D5044">
        <v>6522</v>
      </c>
      <c r="E5044" t="s">
        <v>393</v>
      </c>
      <c r="F5044" s="4">
        <v>0</v>
      </c>
      <c r="G5044" s="4">
        <v>1036</v>
      </c>
      <c r="H5044" s="4">
        <v>0</v>
      </c>
      <c r="I5044" s="4">
        <v>1036</v>
      </c>
      <c r="J5044" s="4">
        <v>1036</v>
      </c>
    </row>
    <row r="5045" spans="1:10" x14ac:dyDescent="0.75">
      <c r="A5045" t="s">
        <v>151</v>
      </c>
      <c r="B5045">
        <v>4727</v>
      </c>
      <c r="C5045" t="s">
        <v>60</v>
      </c>
      <c r="D5045">
        <v>4900</v>
      </c>
      <c r="E5045" t="s">
        <v>383</v>
      </c>
      <c r="F5045" s="4">
        <v>0</v>
      </c>
      <c r="G5045" s="4">
        <v>1022</v>
      </c>
      <c r="H5045" s="4">
        <v>80</v>
      </c>
      <c r="I5045" s="4">
        <v>942</v>
      </c>
      <c r="J5045" s="4">
        <v>1022</v>
      </c>
    </row>
    <row r="5046" spans="1:10" x14ac:dyDescent="0.75">
      <c r="A5046" t="s">
        <v>151</v>
      </c>
      <c r="B5046">
        <v>4727</v>
      </c>
      <c r="C5046" t="s">
        <v>60</v>
      </c>
      <c r="D5046">
        <v>3285</v>
      </c>
      <c r="E5046" t="s">
        <v>443</v>
      </c>
      <c r="F5046" s="4">
        <v>0</v>
      </c>
      <c r="G5046" s="4">
        <v>1014</v>
      </c>
      <c r="H5046" s="4">
        <v>877</v>
      </c>
      <c r="I5046" s="4">
        <v>137</v>
      </c>
      <c r="J5046" s="4">
        <v>1014</v>
      </c>
    </row>
    <row r="5047" spans="1:10" x14ac:dyDescent="0.75">
      <c r="A5047" t="s">
        <v>151</v>
      </c>
      <c r="B5047">
        <v>4727</v>
      </c>
      <c r="C5047" t="s">
        <v>60</v>
      </c>
      <c r="D5047">
        <v>6835</v>
      </c>
      <c r="E5047" t="s">
        <v>483</v>
      </c>
      <c r="F5047" s="4">
        <v>0</v>
      </c>
      <c r="G5047" s="4">
        <v>1006</v>
      </c>
      <c r="H5047" s="4">
        <v>934</v>
      </c>
      <c r="I5047" s="4">
        <v>72</v>
      </c>
      <c r="J5047" s="4">
        <v>1006</v>
      </c>
    </row>
    <row r="5048" spans="1:10" x14ac:dyDescent="0.75">
      <c r="A5048" t="s">
        <v>151</v>
      </c>
      <c r="B5048">
        <v>4727</v>
      </c>
      <c r="C5048" t="s">
        <v>60</v>
      </c>
      <c r="D5048">
        <v>6871</v>
      </c>
      <c r="E5048" t="s">
        <v>491</v>
      </c>
      <c r="F5048" s="4">
        <v>0</v>
      </c>
      <c r="G5048" s="4">
        <v>970</v>
      </c>
      <c r="H5048" s="4">
        <v>970</v>
      </c>
      <c r="I5048" s="4">
        <v>0</v>
      </c>
      <c r="J5048" s="4">
        <v>970</v>
      </c>
    </row>
    <row r="5049" spans="1:10" x14ac:dyDescent="0.75">
      <c r="A5049" t="s">
        <v>151</v>
      </c>
      <c r="B5049">
        <v>4727</v>
      </c>
      <c r="C5049" t="s">
        <v>60</v>
      </c>
      <c r="D5049">
        <v>5190</v>
      </c>
      <c r="E5049" t="s">
        <v>462</v>
      </c>
      <c r="F5049" s="4">
        <v>0</v>
      </c>
      <c r="G5049" s="4">
        <v>931</v>
      </c>
      <c r="H5049" s="4">
        <v>882</v>
      </c>
      <c r="I5049" s="4">
        <v>49</v>
      </c>
      <c r="J5049" s="4">
        <v>931</v>
      </c>
    </row>
    <row r="5050" spans="1:10" x14ac:dyDescent="0.75">
      <c r="A5050" t="s">
        <v>151</v>
      </c>
      <c r="B5050">
        <v>4727</v>
      </c>
      <c r="C5050" t="s">
        <v>60</v>
      </c>
      <c r="D5050">
        <v>3299</v>
      </c>
      <c r="E5050" t="s">
        <v>448</v>
      </c>
      <c r="F5050" s="4">
        <v>0</v>
      </c>
      <c r="G5050" s="4">
        <v>923</v>
      </c>
      <c r="H5050" s="4">
        <v>674</v>
      </c>
      <c r="I5050" s="4">
        <v>249</v>
      </c>
      <c r="J5050" s="4">
        <v>923</v>
      </c>
    </row>
    <row r="5051" spans="1:10" x14ac:dyDescent="0.75">
      <c r="A5051" t="s">
        <v>151</v>
      </c>
      <c r="B5051">
        <v>4727</v>
      </c>
      <c r="C5051" t="s">
        <v>60</v>
      </c>
      <c r="D5051">
        <v>5360</v>
      </c>
      <c r="E5051" t="s">
        <v>465</v>
      </c>
      <c r="F5051" s="4">
        <v>0</v>
      </c>
      <c r="G5051" s="4">
        <v>856</v>
      </c>
      <c r="H5051" s="4">
        <v>856</v>
      </c>
      <c r="I5051" s="4">
        <v>0</v>
      </c>
      <c r="J5051" s="4">
        <v>856</v>
      </c>
    </row>
    <row r="5052" spans="1:10" x14ac:dyDescent="0.75">
      <c r="A5052" t="s">
        <v>151</v>
      </c>
      <c r="B5052">
        <v>4727</v>
      </c>
      <c r="C5052" t="s">
        <v>60</v>
      </c>
      <c r="D5052">
        <v>4650</v>
      </c>
      <c r="E5052" t="s">
        <v>457</v>
      </c>
      <c r="F5052" s="4">
        <v>0</v>
      </c>
      <c r="G5052" s="4">
        <v>758</v>
      </c>
      <c r="H5052" s="4">
        <v>758</v>
      </c>
      <c r="I5052" s="4">
        <v>0</v>
      </c>
      <c r="J5052" s="4">
        <v>758</v>
      </c>
    </row>
    <row r="5053" spans="1:10" x14ac:dyDescent="0.75">
      <c r="A5053" t="s">
        <v>151</v>
      </c>
      <c r="B5053">
        <v>4727</v>
      </c>
      <c r="C5053" t="s">
        <v>60</v>
      </c>
      <c r="D5053">
        <v>6858</v>
      </c>
      <c r="E5053" t="s">
        <v>488</v>
      </c>
      <c r="F5053" s="4">
        <v>0</v>
      </c>
      <c r="G5053" s="4">
        <v>727</v>
      </c>
      <c r="H5053" s="4">
        <v>441</v>
      </c>
      <c r="I5053" s="4">
        <v>286</v>
      </c>
      <c r="J5053" s="4">
        <v>727</v>
      </c>
    </row>
    <row r="5054" spans="1:10" x14ac:dyDescent="0.75">
      <c r="A5054" t="s">
        <v>151</v>
      </c>
      <c r="B5054">
        <v>4727</v>
      </c>
      <c r="C5054" t="s">
        <v>60</v>
      </c>
      <c r="D5054">
        <v>6344</v>
      </c>
      <c r="E5054" t="s">
        <v>392</v>
      </c>
      <c r="F5054" s="4">
        <v>0</v>
      </c>
      <c r="G5054" s="4">
        <v>712</v>
      </c>
      <c r="H5054" s="4">
        <v>0</v>
      </c>
      <c r="I5054" s="4">
        <v>712</v>
      </c>
      <c r="J5054" s="4">
        <v>712</v>
      </c>
    </row>
    <row r="5055" spans="1:10" x14ac:dyDescent="0.75">
      <c r="A5055" t="s">
        <v>151</v>
      </c>
      <c r="B5055">
        <v>4727</v>
      </c>
      <c r="C5055" t="s">
        <v>60</v>
      </c>
      <c r="D5055">
        <v>3297</v>
      </c>
      <c r="E5055" t="s">
        <v>446</v>
      </c>
      <c r="F5055" s="4">
        <v>0</v>
      </c>
      <c r="G5055" s="4">
        <v>711</v>
      </c>
      <c r="H5055" s="4">
        <v>646</v>
      </c>
      <c r="I5055" s="4">
        <v>65</v>
      </c>
      <c r="J5055" s="4">
        <v>711</v>
      </c>
    </row>
    <row r="5056" spans="1:10" x14ac:dyDescent="0.75">
      <c r="A5056" t="s">
        <v>151</v>
      </c>
      <c r="B5056">
        <v>4727</v>
      </c>
      <c r="C5056" t="s">
        <v>60</v>
      </c>
      <c r="D5056">
        <v>3279</v>
      </c>
      <c r="E5056" t="s">
        <v>422</v>
      </c>
      <c r="F5056" s="4">
        <v>0</v>
      </c>
      <c r="G5056" s="4">
        <v>638</v>
      </c>
      <c r="H5056" s="4">
        <v>352</v>
      </c>
      <c r="I5056" s="4">
        <v>286</v>
      </c>
      <c r="J5056" s="4">
        <v>638</v>
      </c>
    </row>
    <row r="5057" spans="1:10" x14ac:dyDescent="0.75">
      <c r="A5057" t="s">
        <v>151</v>
      </c>
      <c r="B5057">
        <v>4727</v>
      </c>
      <c r="C5057" t="s">
        <v>60</v>
      </c>
      <c r="D5057">
        <v>3282</v>
      </c>
      <c r="E5057" t="s">
        <v>440</v>
      </c>
      <c r="F5057" s="4">
        <v>0</v>
      </c>
      <c r="G5057" s="4">
        <v>626</v>
      </c>
      <c r="H5057" s="4">
        <v>603</v>
      </c>
      <c r="I5057" s="4">
        <v>23</v>
      </c>
      <c r="J5057" s="4">
        <v>626</v>
      </c>
    </row>
    <row r="5058" spans="1:10" x14ac:dyDescent="0.75">
      <c r="A5058" t="s">
        <v>151</v>
      </c>
      <c r="B5058">
        <v>4727</v>
      </c>
      <c r="C5058" t="s">
        <v>60</v>
      </c>
      <c r="D5058">
        <v>5429</v>
      </c>
      <c r="E5058" t="s">
        <v>429</v>
      </c>
      <c r="F5058" s="4">
        <v>0</v>
      </c>
      <c r="G5058" s="4">
        <v>572</v>
      </c>
      <c r="H5058" s="4">
        <v>485</v>
      </c>
      <c r="I5058" s="4">
        <v>87</v>
      </c>
      <c r="J5058" s="4">
        <v>572</v>
      </c>
    </row>
    <row r="5059" spans="1:10" x14ac:dyDescent="0.75">
      <c r="A5059" t="s">
        <v>151</v>
      </c>
      <c r="B5059">
        <v>4727</v>
      </c>
      <c r="C5059" t="s">
        <v>60</v>
      </c>
      <c r="D5059">
        <v>6443</v>
      </c>
      <c r="E5059" t="s">
        <v>473</v>
      </c>
      <c r="F5059" s="4">
        <v>0</v>
      </c>
      <c r="G5059" s="4">
        <v>562</v>
      </c>
      <c r="H5059" s="4">
        <v>0</v>
      </c>
      <c r="I5059" s="4">
        <v>562</v>
      </c>
      <c r="J5059" s="4">
        <v>562</v>
      </c>
    </row>
    <row r="5060" spans="1:10" x14ac:dyDescent="0.75">
      <c r="A5060" t="s">
        <v>151</v>
      </c>
      <c r="B5060">
        <v>4727</v>
      </c>
      <c r="C5060" t="s">
        <v>60</v>
      </c>
      <c r="D5060">
        <v>3292</v>
      </c>
      <c r="E5060" t="s">
        <v>413</v>
      </c>
      <c r="F5060" s="4">
        <v>0</v>
      </c>
      <c r="G5060" s="4">
        <v>518</v>
      </c>
      <c r="H5060" s="4">
        <v>487</v>
      </c>
      <c r="I5060" s="4">
        <v>31</v>
      </c>
      <c r="J5060" s="4">
        <v>518</v>
      </c>
    </row>
    <row r="5061" spans="1:10" x14ac:dyDescent="0.75">
      <c r="A5061" t="s">
        <v>151</v>
      </c>
      <c r="B5061">
        <v>4727</v>
      </c>
      <c r="C5061" t="s">
        <v>60</v>
      </c>
      <c r="D5061">
        <v>2330</v>
      </c>
      <c r="E5061" t="s">
        <v>368</v>
      </c>
      <c r="F5061" s="4">
        <v>0</v>
      </c>
      <c r="G5061" s="4">
        <v>504</v>
      </c>
      <c r="H5061" s="4">
        <v>504</v>
      </c>
      <c r="I5061" s="4">
        <v>0</v>
      </c>
      <c r="J5061" s="4">
        <v>504</v>
      </c>
    </row>
    <row r="5062" spans="1:10" x14ac:dyDescent="0.75">
      <c r="A5062" t="s">
        <v>151</v>
      </c>
      <c r="B5062">
        <v>4727</v>
      </c>
      <c r="C5062" t="s">
        <v>60</v>
      </c>
      <c r="D5062">
        <v>6136</v>
      </c>
      <c r="E5062" t="s">
        <v>471</v>
      </c>
      <c r="F5062" s="4">
        <v>0</v>
      </c>
      <c r="G5062" s="4">
        <v>503</v>
      </c>
      <c r="H5062" s="4">
        <v>474</v>
      </c>
      <c r="I5062" s="4">
        <v>29</v>
      </c>
      <c r="J5062" s="4">
        <v>503</v>
      </c>
    </row>
    <row r="5063" spans="1:10" x14ac:dyDescent="0.75">
      <c r="A5063" t="s">
        <v>151</v>
      </c>
      <c r="B5063">
        <v>4727</v>
      </c>
      <c r="C5063" t="s">
        <v>60</v>
      </c>
      <c r="D5063">
        <v>6747</v>
      </c>
      <c r="E5063" t="s">
        <v>478</v>
      </c>
      <c r="F5063" s="4">
        <v>0</v>
      </c>
      <c r="G5063" s="4">
        <v>423</v>
      </c>
      <c r="H5063" s="4">
        <v>145</v>
      </c>
      <c r="I5063" s="4">
        <v>278</v>
      </c>
      <c r="J5063" s="4">
        <v>423</v>
      </c>
    </row>
    <row r="5064" spans="1:10" x14ac:dyDescent="0.75">
      <c r="A5064" t="s">
        <v>151</v>
      </c>
      <c r="B5064">
        <v>4727</v>
      </c>
      <c r="C5064" t="s">
        <v>60</v>
      </c>
      <c r="D5064">
        <v>3219</v>
      </c>
      <c r="E5064" t="s">
        <v>378</v>
      </c>
      <c r="F5064" s="4">
        <v>0</v>
      </c>
      <c r="G5064" s="4">
        <v>327</v>
      </c>
      <c r="H5064" s="4">
        <v>15</v>
      </c>
      <c r="I5064" s="4">
        <v>312</v>
      </c>
      <c r="J5064" s="4">
        <v>327</v>
      </c>
    </row>
    <row r="5065" spans="1:10" x14ac:dyDescent="0.75">
      <c r="A5065" t="s">
        <v>151</v>
      </c>
      <c r="B5065">
        <v>4727</v>
      </c>
      <c r="C5065" t="s">
        <v>60</v>
      </c>
      <c r="D5065">
        <v>5421</v>
      </c>
      <c r="E5065" t="s">
        <v>467</v>
      </c>
      <c r="F5065" s="4">
        <v>0</v>
      </c>
      <c r="G5065" s="4">
        <v>255</v>
      </c>
      <c r="H5065" s="4">
        <v>255</v>
      </c>
      <c r="I5065" s="4">
        <v>0</v>
      </c>
      <c r="J5065" s="4">
        <v>255</v>
      </c>
    </row>
    <row r="5066" spans="1:10" x14ac:dyDescent="0.75">
      <c r="A5066" t="s">
        <v>151</v>
      </c>
      <c r="B5066">
        <v>4727</v>
      </c>
      <c r="C5066" t="s">
        <v>60</v>
      </c>
      <c r="D5066">
        <v>3284</v>
      </c>
      <c r="E5066" t="s">
        <v>442</v>
      </c>
      <c r="F5066" s="4">
        <v>0</v>
      </c>
      <c r="G5066" s="4">
        <v>240</v>
      </c>
      <c r="H5066" s="4">
        <v>187</v>
      </c>
      <c r="I5066" s="4">
        <v>53</v>
      </c>
      <c r="J5066" s="4">
        <v>240</v>
      </c>
    </row>
    <row r="5067" spans="1:10" x14ac:dyDescent="0.75">
      <c r="A5067" t="s">
        <v>151</v>
      </c>
      <c r="B5067">
        <v>4727</v>
      </c>
      <c r="C5067" t="s">
        <v>60</v>
      </c>
      <c r="D5067">
        <v>3240</v>
      </c>
      <c r="E5067" t="s">
        <v>410</v>
      </c>
      <c r="F5067" s="4">
        <v>0</v>
      </c>
      <c r="G5067" s="4">
        <v>239</v>
      </c>
      <c r="H5067" s="4">
        <v>179</v>
      </c>
      <c r="I5067" s="4">
        <v>60</v>
      </c>
      <c r="J5067" s="4">
        <v>239</v>
      </c>
    </row>
    <row r="5068" spans="1:10" x14ac:dyDescent="0.75">
      <c r="A5068" t="s">
        <v>151</v>
      </c>
      <c r="B5068">
        <v>4727</v>
      </c>
      <c r="C5068" t="s">
        <v>60</v>
      </c>
      <c r="D5068">
        <v>6861</v>
      </c>
      <c r="E5068" t="s">
        <v>489</v>
      </c>
      <c r="F5068" s="4">
        <v>0</v>
      </c>
      <c r="G5068" s="4">
        <v>223</v>
      </c>
      <c r="H5068" s="4">
        <v>223</v>
      </c>
      <c r="I5068" s="4">
        <v>0</v>
      </c>
      <c r="J5068" s="4">
        <v>223</v>
      </c>
    </row>
    <row r="5069" spans="1:10" x14ac:dyDescent="0.75">
      <c r="A5069" t="s">
        <v>151</v>
      </c>
      <c r="B5069">
        <v>4727</v>
      </c>
      <c r="C5069" t="s">
        <v>60</v>
      </c>
      <c r="D5069">
        <v>6445</v>
      </c>
      <c r="E5069" t="s">
        <v>474</v>
      </c>
      <c r="F5069" s="4">
        <v>0</v>
      </c>
      <c r="G5069" s="4">
        <v>198</v>
      </c>
      <c r="H5069" s="4">
        <v>0</v>
      </c>
      <c r="I5069" s="4">
        <v>198</v>
      </c>
      <c r="J5069" s="4">
        <v>198</v>
      </c>
    </row>
    <row r="5070" spans="1:10" x14ac:dyDescent="0.75">
      <c r="A5070" t="s">
        <v>151</v>
      </c>
      <c r="B5070">
        <v>4727</v>
      </c>
      <c r="C5070" t="s">
        <v>60</v>
      </c>
      <c r="D5070">
        <v>4190</v>
      </c>
      <c r="E5070" t="s">
        <v>452</v>
      </c>
      <c r="F5070" s="4">
        <v>0</v>
      </c>
      <c r="G5070" s="4">
        <v>176</v>
      </c>
      <c r="H5070" s="4">
        <v>115</v>
      </c>
      <c r="I5070" s="4">
        <v>61</v>
      </c>
      <c r="J5070" s="4">
        <v>176</v>
      </c>
    </row>
    <row r="5071" spans="1:10" x14ac:dyDescent="0.75">
      <c r="A5071" t="s">
        <v>151</v>
      </c>
      <c r="B5071">
        <v>4727</v>
      </c>
      <c r="C5071" t="s">
        <v>60</v>
      </c>
      <c r="D5071">
        <v>6653</v>
      </c>
      <c r="E5071" t="s">
        <v>395</v>
      </c>
      <c r="F5071" s="4">
        <v>0</v>
      </c>
      <c r="G5071" s="4">
        <v>176</v>
      </c>
      <c r="H5071" s="4">
        <v>151</v>
      </c>
      <c r="I5071" s="4">
        <v>25</v>
      </c>
      <c r="J5071" s="4">
        <v>176</v>
      </c>
    </row>
    <row r="5072" spans="1:10" x14ac:dyDescent="0.75">
      <c r="A5072" t="s">
        <v>151</v>
      </c>
      <c r="B5072">
        <v>4727</v>
      </c>
      <c r="C5072" t="s">
        <v>60</v>
      </c>
      <c r="D5072">
        <v>5390</v>
      </c>
      <c r="E5072" t="s">
        <v>418</v>
      </c>
      <c r="F5072" s="4">
        <v>0</v>
      </c>
      <c r="G5072" s="4">
        <v>166</v>
      </c>
      <c r="H5072" s="4">
        <v>156</v>
      </c>
      <c r="I5072" s="4">
        <v>10</v>
      </c>
      <c r="J5072" s="4">
        <v>166</v>
      </c>
    </row>
    <row r="5073" spans="1:10" x14ac:dyDescent="0.75">
      <c r="A5073" t="s">
        <v>151</v>
      </c>
      <c r="B5073">
        <v>4727</v>
      </c>
      <c r="C5073" t="s">
        <v>60</v>
      </c>
      <c r="D5073">
        <v>6590</v>
      </c>
      <c r="E5073" t="s">
        <v>394</v>
      </c>
      <c r="F5073" s="4">
        <v>0</v>
      </c>
      <c r="G5073" s="4">
        <v>148</v>
      </c>
      <c r="H5073" s="4">
        <v>24</v>
      </c>
      <c r="I5073" s="4">
        <v>124</v>
      </c>
      <c r="J5073" s="4">
        <v>148</v>
      </c>
    </row>
    <row r="5074" spans="1:10" x14ac:dyDescent="0.75">
      <c r="A5074" t="s">
        <v>151</v>
      </c>
      <c r="B5074">
        <v>4727</v>
      </c>
      <c r="C5074" t="s">
        <v>60</v>
      </c>
      <c r="D5074">
        <v>6894</v>
      </c>
      <c r="E5074" t="s">
        <v>497</v>
      </c>
      <c r="F5074" s="4">
        <v>0</v>
      </c>
      <c r="G5074" s="4">
        <v>148</v>
      </c>
      <c r="H5074" s="4">
        <v>148</v>
      </c>
      <c r="I5074" s="4">
        <v>0</v>
      </c>
      <c r="J5074" s="4">
        <v>148</v>
      </c>
    </row>
    <row r="5075" spans="1:10" x14ac:dyDescent="0.75">
      <c r="A5075" t="s">
        <v>151</v>
      </c>
      <c r="B5075">
        <v>4727</v>
      </c>
      <c r="C5075" t="s">
        <v>60</v>
      </c>
      <c r="D5075">
        <v>7230</v>
      </c>
      <c r="E5075" t="s">
        <v>387</v>
      </c>
      <c r="F5075" s="4">
        <v>0</v>
      </c>
      <c r="G5075" s="4">
        <v>139</v>
      </c>
      <c r="H5075" s="4">
        <v>118</v>
      </c>
      <c r="I5075" s="4">
        <v>21</v>
      </c>
      <c r="J5075" s="4">
        <v>139</v>
      </c>
    </row>
    <row r="5076" spans="1:10" x14ac:dyDescent="0.75">
      <c r="A5076" t="s">
        <v>151</v>
      </c>
      <c r="B5076">
        <v>4727</v>
      </c>
      <c r="C5076" t="s">
        <v>60</v>
      </c>
      <c r="D5076">
        <v>3273</v>
      </c>
      <c r="E5076" t="s">
        <v>411</v>
      </c>
      <c r="F5076" s="4">
        <v>0</v>
      </c>
      <c r="G5076" s="4">
        <v>129</v>
      </c>
      <c r="H5076" s="4">
        <v>55</v>
      </c>
      <c r="I5076" s="4">
        <v>74</v>
      </c>
      <c r="J5076" s="4">
        <v>129</v>
      </c>
    </row>
    <row r="5077" spans="1:10" x14ac:dyDescent="0.75">
      <c r="A5077" t="s">
        <v>151</v>
      </c>
      <c r="B5077">
        <v>4727</v>
      </c>
      <c r="C5077" t="s">
        <v>60</v>
      </c>
      <c r="D5077">
        <v>3281</v>
      </c>
      <c r="E5077" t="s">
        <v>439</v>
      </c>
      <c r="F5077" s="4">
        <v>0</v>
      </c>
      <c r="G5077" s="4">
        <v>105</v>
      </c>
      <c r="H5077" s="4">
        <v>105</v>
      </c>
      <c r="I5077" s="4">
        <v>0</v>
      </c>
      <c r="J5077" s="4">
        <v>105</v>
      </c>
    </row>
    <row r="5078" spans="1:10" x14ac:dyDescent="0.75">
      <c r="A5078" t="s">
        <v>151</v>
      </c>
      <c r="B5078">
        <v>4727</v>
      </c>
      <c r="C5078" t="s">
        <v>60</v>
      </c>
      <c r="D5078">
        <v>4690</v>
      </c>
      <c r="E5078" t="s">
        <v>428</v>
      </c>
      <c r="F5078" s="4">
        <v>0</v>
      </c>
      <c r="G5078" s="4">
        <v>92</v>
      </c>
      <c r="H5078" s="4">
        <v>0</v>
      </c>
      <c r="I5078" s="4">
        <v>92</v>
      </c>
      <c r="J5078" s="4">
        <v>92</v>
      </c>
    </row>
    <row r="5079" spans="1:10" x14ac:dyDescent="0.75">
      <c r="A5079" t="s">
        <v>151</v>
      </c>
      <c r="B5079">
        <v>4727</v>
      </c>
      <c r="C5079" t="s">
        <v>60</v>
      </c>
      <c r="D5079">
        <v>5320</v>
      </c>
      <c r="E5079" t="s">
        <v>384</v>
      </c>
      <c r="F5079" s="4">
        <v>0</v>
      </c>
      <c r="G5079" s="4">
        <v>82</v>
      </c>
      <c r="H5079" s="4">
        <v>82</v>
      </c>
      <c r="I5079" s="4">
        <v>0</v>
      </c>
      <c r="J5079" s="4">
        <v>82</v>
      </c>
    </row>
    <row r="5080" spans="1:10" x14ac:dyDescent="0.75">
      <c r="A5080" t="s">
        <v>151</v>
      </c>
      <c r="B5080">
        <v>4727</v>
      </c>
      <c r="C5080" t="s">
        <v>60</v>
      </c>
      <c r="D5080">
        <v>5312</v>
      </c>
      <c r="E5080" t="s">
        <v>416</v>
      </c>
      <c r="F5080" s="4">
        <v>0</v>
      </c>
      <c r="G5080" s="4">
        <v>73</v>
      </c>
      <c r="H5080" s="4">
        <v>73</v>
      </c>
      <c r="I5080" s="4">
        <v>0</v>
      </c>
      <c r="J5080" s="4">
        <v>73</v>
      </c>
    </row>
    <row r="5081" spans="1:10" x14ac:dyDescent="0.75">
      <c r="A5081" t="s">
        <v>151</v>
      </c>
      <c r="B5081">
        <v>4727</v>
      </c>
      <c r="C5081" t="s">
        <v>60</v>
      </c>
      <c r="D5081">
        <v>3283</v>
      </c>
      <c r="E5081" t="s">
        <v>441</v>
      </c>
      <c r="F5081" s="4">
        <v>0</v>
      </c>
      <c r="G5081" s="4">
        <v>59</v>
      </c>
      <c r="H5081" s="4">
        <v>59</v>
      </c>
      <c r="I5081" s="4">
        <v>0</v>
      </c>
      <c r="J5081" s="4">
        <v>59</v>
      </c>
    </row>
    <row r="5082" spans="1:10" x14ac:dyDescent="0.75">
      <c r="A5082" t="s">
        <v>151</v>
      </c>
      <c r="B5082">
        <v>4727</v>
      </c>
      <c r="C5082" t="s">
        <v>60</v>
      </c>
      <c r="D5082">
        <v>3293</v>
      </c>
      <c r="E5082" t="s">
        <v>445</v>
      </c>
      <c r="F5082" s="4">
        <v>0</v>
      </c>
      <c r="G5082" s="4">
        <v>59</v>
      </c>
      <c r="H5082" s="4">
        <v>59</v>
      </c>
      <c r="I5082" s="4">
        <v>0</v>
      </c>
      <c r="J5082" s="4">
        <v>59</v>
      </c>
    </row>
    <row r="5083" spans="1:10" x14ac:dyDescent="0.75">
      <c r="A5083" t="s">
        <v>151</v>
      </c>
      <c r="B5083">
        <v>4727</v>
      </c>
      <c r="C5083" t="s">
        <v>60</v>
      </c>
      <c r="D5083">
        <v>3190</v>
      </c>
      <c r="E5083" t="s">
        <v>408</v>
      </c>
      <c r="F5083" s="4">
        <v>0</v>
      </c>
      <c r="G5083" s="4">
        <v>57</v>
      </c>
      <c r="H5083" s="4">
        <v>35</v>
      </c>
      <c r="I5083" s="4">
        <v>22</v>
      </c>
      <c r="J5083" s="4">
        <v>57</v>
      </c>
    </row>
    <row r="5084" spans="1:10" x14ac:dyDescent="0.75">
      <c r="A5084" t="s">
        <v>151</v>
      </c>
      <c r="B5084">
        <v>4727</v>
      </c>
      <c r="C5084" t="s">
        <v>60</v>
      </c>
      <c r="D5084">
        <v>6838</v>
      </c>
      <c r="E5084" t="s">
        <v>484</v>
      </c>
      <c r="F5084" s="4">
        <v>0</v>
      </c>
      <c r="G5084" s="4">
        <v>57</v>
      </c>
      <c r="H5084" s="4">
        <v>0</v>
      </c>
      <c r="I5084" s="4">
        <v>57</v>
      </c>
      <c r="J5084" s="4">
        <v>57</v>
      </c>
    </row>
    <row r="5085" spans="1:10" x14ac:dyDescent="0.75">
      <c r="A5085" t="s">
        <v>151</v>
      </c>
      <c r="B5085">
        <v>4727</v>
      </c>
      <c r="C5085" t="s">
        <v>60</v>
      </c>
      <c r="D5085">
        <v>3291</v>
      </c>
      <c r="E5085" t="s">
        <v>444</v>
      </c>
      <c r="F5085" s="4">
        <v>0</v>
      </c>
      <c r="G5085" s="4">
        <v>54</v>
      </c>
      <c r="H5085" s="4">
        <v>54</v>
      </c>
      <c r="I5085" s="4">
        <v>0</v>
      </c>
      <c r="J5085" s="4">
        <v>54</v>
      </c>
    </row>
    <row r="5086" spans="1:10" x14ac:dyDescent="0.75">
      <c r="A5086" t="s">
        <v>151</v>
      </c>
      <c r="B5086">
        <v>4727</v>
      </c>
      <c r="C5086" t="s">
        <v>60</v>
      </c>
      <c r="D5086">
        <v>3298</v>
      </c>
      <c r="E5086" t="s">
        <v>447</v>
      </c>
      <c r="F5086" s="4">
        <v>0</v>
      </c>
      <c r="G5086" s="4">
        <v>50</v>
      </c>
      <c r="H5086" s="4">
        <v>28</v>
      </c>
      <c r="I5086" s="4">
        <v>22</v>
      </c>
      <c r="J5086" s="4">
        <v>50</v>
      </c>
    </row>
    <row r="5087" spans="1:10" x14ac:dyDescent="0.75">
      <c r="A5087" t="s">
        <v>151</v>
      </c>
      <c r="B5087">
        <v>4727</v>
      </c>
      <c r="C5087" t="s">
        <v>60</v>
      </c>
      <c r="D5087">
        <v>6888</v>
      </c>
      <c r="E5087" t="s">
        <v>494</v>
      </c>
      <c r="F5087" s="4">
        <v>0</v>
      </c>
      <c r="G5087" s="4">
        <v>47</v>
      </c>
      <c r="H5087" s="4">
        <v>13</v>
      </c>
      <c r="I5087" s="4">
        <v>34</v>
      </c>
      <c r="J5087" s="4">
        <v>47</v>
      </c>
    </row>
    <row r="5088" spans="1:10" x14ac:dyDescent="0.75">
      <c r="A5088" t="s">
        <v>151</v>
      </c>
      <c r="B5088">
        <v>4727</v>
      </c>
      <c r="C5088" t="s">
        <v>60</v>
      </c>
      <c r="D5088">
        <v>6891</v>
      </c>
      <c r="E5088" t="s">
        <v>495</v>
      </c>
      <c r="F5088" s="4">
        <v>0</v>
      </c>
      <c r="G5088" s="4">
        <v>41</v>
      </c>
      <c r="H5088" s="4">
        <v>36</v>
      </c>
      <c r="I5088" s="4">
        <v>5</v>
      </c>
      <c r="J5088" s="4">
        <v>41</v>
      </c>
    </row>
    <row r="5089" spans="1:10" x14ac:dyDescent="0.75">
      <c r="A5089" t="s">
        <v>151</v>
      </c>
      <c r="B5089">
        <v>4727</v>
      </c>
      <c r="C5089" t="s">
        <v>60</v>
      </c>
      <c r="D5089">
        <v>4150</v>
      </c>
      <c r="E5089" t="s">
        <v>450</v>
      </c>
      <c r="F5089" s="4">
        <v>0</v>
      </c>
      <c r="G5089" s="4">
        <v>34</v>
      </c>
      <c r="H5089" s="4">
        <v>34</v>
      </c>
      <c r="I5089" s="4">
        <v>0</v>
      </c>
      <c r="J5089" s="4">
        <v>34</v>
      </c>
    </row>
    <row r="5090" spans="1:10" x14ac:dyDescent="0.75">
      <c r="A5090" t="s">
        <v>151</v>
      </c>
      <c r="B5090">
        <v>4727</v>
      </c>
      <c r="C5090" t="s">
        <v>60</v>
      </c>
      <c r="D5090">
        <v>5110</v>
      </c>
      <c r="E5090" t="s">
        <v>460</v>
      </c>
      <c r="F5090" s="4">
        <v>0</v>
      </c>
      <c r="G5090" s="4">
        <v>22</v>
      </c>
      <c r="H5090" s="4">
        <v>0</v>
      </c>
      <c r="I5090" s="4">
        <v>22</v>
      </c>
      <c r="J5090" s="4">
        <v>22</v>
      </c>
    </row>
    <row r="5091" spans="1:10" x14ac:dyDescent="0.75">
      <c r="A5091" t="s">
        <v>151</v>
      </c>
      <c r="B5091">
        <v>4727</v>
      </c>
      <c r="C5091" t="s">
        <v>60</v>
      </c>
      <c r="D5091">
        <v>2410</v>
      </c>
      <c r="E5091" t="s">
        <v>430</v>
      </c>
      <c r="F5091" s="4">
        <v>0</v>
      </c>
      <c r="G5091" s="4">
        <v>20</v>
      </c>
      <c r="H5091" s="4">
        <v>20</v>
      </c>
      <c r="I5091" s="4">
        <v>0</v>
      </c>
      <c r="J5091" s="4">
        <v>20</v>
      </c>
    </row>
    <row r="5092" spans="1:10" x14ac:dyDescent="0.75">
      <c r="A5092" t="s">
        <v>151</v>
      </c>
      <c r="B5092">
        <v>4727</v>
      </c>
      <c r="C5092" t="s">
        <v>60</v>
      </c>
      <c r="D5092">
        <v>6746</v>
      </c>
      <c r="E5092" t="s">
        <v>477</v>
      </c>
      <c r="F5092" s="4">
        <v>0</v>
      </c>
      <c r="G5092" s="4">
        <v>18</v>
      </c>
      <c r="H5092" s="4">
        <v>0</v>
      </c>
      <c r="I5092" s="4">
        <v>18</v>
      </c>
      <c r="J5092" s="4">
        <v>18</v>
      </c>
    </row>
    <row r="5093" spans="1:10" x14ac:dyDescent="0.75">
      <c r="A5093" t="s">
        <v>151</v>
      </c>
      <c r="B5093">
        <v>4727</v>
      </c>
      <c r="C5093" t="s">
        <v>60</v>
      </c>
      <c r="D5093">
        <v>4783</v>
      </c>
      <c r="E5093" t="s">
        <v>382</v>
      </c>
      <c r="F5093" s="4">
        <v>0</v>
      </c>
      <c r="G5093" s="4">
        <v>15</v>
      </c>
      <c r="H5093" s="4">
        <v>15</v>
      </c>
      <c r="I5093" s="4">
        <v>0</v>
      </c>
      <c r="J5093" s="4">
        <v>15</v>
      </c>
    </row>
    <row r="5094" spans="1:10" x14ac:dyDescent="0.75">
      <c r="A5094" t="s">
        <v>151</v>
      </c>
      <c r="B5094">
        <v>4727</v>
      </c>
      <c r="C5094" t="s">
        <v>60</v>
      </c>
      <c r="D5094">
        <v>3212</v>
      </c>
      <c r="E5094" t="s">
        <v>409</v>
      </c>
      <c r="F5094" s="4">
        <v>0</v>
      </c>
      <c r="G5094" s="4">
        <v>9</v>
      </c>
      <c r="H5094" s="4">
        <v>9</v>
      </c>
      <c r="I5094" s="4">
        <v>0</v>
      </c>
      <c r="J5094" s="4">
        <v>9</v>
      </c>
    </row>
    <row r="5095" spans="1:10" x14ac:dyDescent="0.75">
      <c r="A5095" t="s">
        <v>151</v>
      </c>
      <c r="B5095">
        <v>4727</v>
      </c>
      <c r="C5095" t="s">
        <v>60</v>
      </c>
      <c r="D5095">
        <v>4322</v>
      </c>
      <c r="E5095" t="s">
        <v>398</v>
      </c>
      <c r="F5095" s="4">
        <v>0</v>
      </c>
      <c r="G5095" s="4">
        <v>9</v>
      </c>
      <c r="H5095" s="4">
        <v>9</v>
      </c>
      <c r="I5095" s="4">
        <v>0</v>
      </c>
      <c r="J5095" s="4">
        <v>9</v>
      </c>
    </row>
    <row r="5096" spans="1:10" x14ac:dyDescent="0.75">
      <c r="A5096" t="s">
        <v>151</v>
      </c>
      <c r="B5096">
        <v>4727</v>
      </c>
      <c r="C5096" t="s">
        <v>60</v>
      </c>
      <c r="D5096">
        <v>1200</v>
      </c>
      <c r="E5096" t="s">
        <v>402</v>
      </c>
      <c r="F5096" s="4">
        <v>0</v>
      </c>
      <c r="G5096" s="4">
        <v>6</v>
      </c>
      <c r="H5096" s="4">
        <v>0</v>
      </c>
      <c r="I5096" s="4">
        <v>6</v>
      </c>
      <c r="J5096" s="4">
        <v>6</v>
      </c>
    </row>
    <row r="5097" spans="1:10" x14ac:dyDescent="0.75">
      <c r="A5097" t="s">
        <v>151</v>
      </c>
      <c r="B5097">
        <v>4727</v>
      </c>
      <c r="C5097" t="s">
        <v>60</v>
      </c>
      <c r="D5097">
        <v>6856</v>
      </c>
      <c r="E5097" t="s">
        <v>486</v>
      </c>
      <c r="F5097" s="4">
        <v>0</v>
      </c>
      <c r="G5097" s="4">
        <v>3</v>
      </c>
      <c r="H5097" s="4">
        <v>3</v>
      </c>
      <c r="I5097" s="4">
        <v>0</v>
      </c>
      <c r="J5097" s="4">
        <v>3</v>
      </c>
    </row>
    <row r="5098" spans="1:10" x14ac:dyDescent="0.75">
      <c r="A5098" t="s">
        <v>151</v>
      </c>
      <c r="B5098">
        <v>4727</v>
      </c>
      <c r="C5098" t="s">
        <v>60</v>
      </c>
      <c r="D5098">
        <v>6893</v>
      </c>
      <c r="E5098" t="s">
        <v>496</v>
      </c>
      <c r="F5098" s="4">
        <v>0</v>
      </c>
      <c r="G5098" s="4">
        <v>2</v>
      </c>
      <c r="H5098" s="4">
        <v>2</v>
      </c>
      <c r="I5098" s="4">
        <v>0</v>
      </c>
      <c r="J5098" s="4">
        <v>2</v>
      </c>
    </row>
    <row r="5099" spans="1:10" x14ac:dyDescent="0.75">
      <c r="A5099" t="s">
        <v>151</v>
      </c>
      <c r="B5099">
        <v>2252</v>
      </c>
      <c r="C5099" t="s">
        <v>156</v>
      </c>
      <c r="D5099">
        <v>2330</v>
      </c>
      <c r="E5099" t="s">
        <v>368</v>
      </c>
      <c r="F5099" s="4">
        <v>2986848</v>
      </c>
      <c r="G5099" s="4">
        <v>4642432</v>
      </c>
      <c r="H5099" s="4">
        <v>2281467</v>
      </c>
      <c r="I5099" s="4">
        <v>2360965</v>
      </c>
      <c r="J5099" s="4">
        <v>7629280</v>
      </c>
    </row>
    <row r="5100" spans="1:10" x14ac:dyDescent="0.75">
      <c r="A5100" t="s">
        <v>151</v>
      </c>
      <c r="B5100">
        <v>2252</v>
      </c>
      <c r="C5100" t="s">
        <v>156</v>
      </c>
      <c r="D5100">
        <v>6522</v>
      </c>
      <c r="E5100" t="s">
        <v>393</v>
      </c>
      <c r="F5100" s="4">
        <v>3580175</v>
      </c>
      <c r="G5100" s="4">
        <v>2768891</v>
      </c>
      <c r="H5100" s="4">
        <v>76139</v>
      </c>
      <c r="I5100" s="4">
        <v>2692752</v>
      </c>
      <c r="J5100" s="4">
        <v>6349066</v>
      </c>
    </row>
    <row r="5101" spans="1:10" x14ac:dyDescent="0.75">
      <c r="A5101" t="s">
        <v>151</v>
      </c>
      <c r="B5101">
        <v>2252</v>
      </c>
      <c r="C5101" t="s">
        <v>156</v>
      </c>
      <c r="D5101">
        <v>6344</v>
      </c>
      <c r="E5101" t="s">
        <v>392</v>
      </c>
      <c r="F5101" s="4">
        <v>2782806</v>
      </c>
      <c r="G5101" s="4">
        <v>2455650</v>
      </c>
      <c r="H5101" s="4">
        <v>0</v>
      </c>
      <c r="I5101" s="4">
        <v>2455650</v>
      </c>
      <c r="J5101" s="4">
        <v>5238456</v>
      </c>
    </row>
    <row r="5102" spans="1:10" x14ac:dyDescent="0.75">
      <c r="A5102" t="s">
        <v>151</v>
      </c>
      <c r="B5102">
        <v>2252</v>
      </c>
      <c r="C5102" t="s">
        <v>156</v>
      </c>
      <c r="D5102">
        <v>3110</v>
      </c>
      <c r="E5102" t="s">
        <v>405</v>
      </c>
      <c r="F5102" s="4">
        <v>4395235</v>
      </c>
      <c r="G5102" s="4">
        <v>693625</v>
      </c>
      <c r="H5102" s="4">
        <v>173512</v>
      </c>
      <c r="I5102" s="4">
        <v>520113</v>
      </c>
      <c r="J5102" s="4">
        <v>5088860</v>
      </c>
    </row>
    <row r="5103" spans="1:10" x14ac:dyDescent="0.75">
      <c r="A5103" t="s">
        <v>151</v>
      </c>
      <c r="B5103">
        <v>2252</v>
      </c>
      <c r="C5103" t="s">
        <v>156</v>
      </c>
      <c r="D5103">
        <v>2340</v>
      </c>
      <c r="E5103" t="s">
        <v>369</v>
      </c>
      <c r="F5103" s="4">
        <v>2499800</v>
      </c>
      <c r="G5103" s="4">
        <v>1225241</v>
      </c>
      <c r="H5103" s="4">
        <v>1198176</v>
      </c>
      <c r="I5103" s="4">
        <v>27065</v>
      </c>
      <c r="J5103" s="4">
        <v>3725041</v>
      </c>
    </row>
    <row r="5104" spans="1:10" x14ac:dyDescent="0.75">
      <c r="A5104" t="s">
        <v>151</v>
      </c>
      <c r="B5104">
        <v>2252</v>
      </c>
      <c r="C5104" t="s">
        <v>156</v>
      </c>
      <c r="D5104">
        <v>2540</v>
      </c>
      <c r="E5104" t="s">
        <v>377</v>
      </c>
      <c r="F5104" s="4">
        <v>1819267</v>
      </c>
      <c r="G5104" s="4">
        <v>1517829</v>
      </c>
      <c r="H5104" s="4">
        <v>0</v>
      </c>
      <c r="I5104" s="4">
        <v>1517829</v>
      </c>
      <c r="J5104" s="4">
        <v>3337096</v>
      </c>
    </row>
    <row r="5105" spans="1:10" x14ac:dyDescent="0.75">
      <c r="A5105" t="s">
        <v>151</v>
      </c>
      <c r="B5105">
        <v>2252</v>
      </c>
      <c r="C5105" t="s">
        <v>156</v>
      </c>
      <c r="D5105">
        <v>6782</v>
      </c>
      <c r="E5105" t="s">
        <v>396</v>
      </c>
      <c r="F5105" s="4">
        <v>683344</v>
      </c>
      <c r="G5105" s="4">
        <v>2421456</v>
      </c>
      <c r="H5105" s="4">
        <v>12660</v>
      </c>
      <c r="I5105" s="4">
        <v>2408796</v>
      </c>
      <c r="J5105" s="4">
        <v>3104800</v>
      </c>
    </row>
    <row r="5106" spans="1:10" x14ac:dyDescent="0.75">
      <c r="A5106" t="s">
        <v>151</v>
      </c>
      <c r="B5106">
        <v>2252</v>
      </c>
      <c r="C5106" t="s">
        <v>156</v>
      </c>
      <c r="D5106">
        <v>3220</v>
      </c>
      <c r="E5106" t="s">
        <v>370</v>
      </c>
      <c r="F5106" s="4">
        <v>1251205</v>
      </c>
      <c r="G5106" s="4">
        <v>1721728</v>
      </c>
      <c r="H5106" s="4">
        <v>226314</v>
      </c>
      <c r="I5106" s="4">
        <v>1495414</v>
      </c>
      <c r="J5106" s="4">
        <v>2972933</v>
      </c>
    </row>
    <row r="5107" spans="1:10" x14ac:dyDescent="0.75">
      <c r="A5107" t="s">
        <v>151</v>
      </c>
      <c r="B5107">
        <v>2252</v>
      </c>
      <c r="C5107" t="s">
        <v>156</v>
      </c>
      <c r="D5107">
        <v>3274</v>
      </c>
      <c r="E5107" t="s">
        <v>438</v>
      </c>
      <c r="F5107" s="4">
        <v>1899700</v>
      </c>
      <c r="G5107" s="4">
        <v>850302</v>
      </c>
      <c r="H5107" s="4">
        <v>0</v>
      </c>
      <c r="I5107" s="4">
        <v>850302</v>
      </c>
      <c r="J5107" s="4">
        <v>2750002</v>
      </c>
    </row>
    <row r="5108" spans="1:10" x14ac:dyDescent="0.75">
      <c r="A5108" t="s">
        <v>151</v>
      </c>
      <c r="B5108">
        <v>2252</v>
      </c>
      <c r="C5108" t="s">
        <v>156</v>
      </c>
      <c r="D5108">
        <v>1100</v>
      </c>
      <c r="E5108" t="s">
        <v>397</v>
      </c>
      <c r="F5108" s="4">
        <v>1438021</v>
      </c>
      <c r="G5108" s="4">
        <v>862630</v>
      </c>
      <c r="H5108" s="4">
        <v>0</v>
      </c>
      <c r="I5108" s="4">
        <v>862630</v>
      </c>
      <c r="J5108" s="4">
        <v>2300651</v>
      </c>
    </row>
    <row r="5109" spans="1:10" x14ac:dyDescent="0.75">
      <c r="A5109" t="s">
        <v>151</v>
      </c>
      <c r="B5109">
        <v>2252</v>
      </c>
      <c r="C5109" t="s">
        <v>156</v>
      </c>
      <c r="D5109">
        <v>2100</v>
      </c>
      <c r="E5109" t="s">
        <v>403</v>
      </c>
      <c r="F5109" s="4">
        <v>1218111</v>
      </c>
      <c r="G5109" s="4">
        <v>930762</v>
      </c>
      <c r="H5109" s="4">
        <v>930762</v>
      </c>
      <c r="I5109" s="4">
        <v>0</v>
      </c>
      <c r="J5109" s="4">
        <v>2148873</v>
      </c>
    </row>
    <row r="5110" spans="1:10" x14ac:dyDescent="0.75">
      <c r="A5110" t="s">
        <v>151</v>
      </c>
      <c r="B5110">
        <v>2252</v>
      </c>
      <c r="C5110" t="s">
        <v>156</v>
      </c>
      <c r="D5110">
        <v>3212</v>
      </c>
      <c r="E5110" t="s">
        <v>409</v>
      </c>
      <c r="F5110" s="4">
        <v>1831010</v>
      </c>
      <c r="G5110" s="4">
        <v>314777</v>
      </c>
      <c r="H5110" s="4">
        <v>281251</v>
      </c>
      <c r="I5110" s="4">
        <v>33526</v>
      </c>
      <c r="J5110" s="4">
        <v>2145787</v>
      </c>
    </row>
    <row r="5111" spans="1:10" x14ac:dyDescent="0.75">
      <c r="A5111" t="s">
        <v>151</v>
      </c>
      <c r="B5111">
        <v>2252</v>
      </c>
      <c r="C5111" t="s">
        <v>156</v>
      </c>
      <c r="D5111">
        <v>2430</v>
      </c>
      <c r="E5111" t="s">
        <v>376</v>
      </c>
      <c r="F5111" s="4">
        <v>1807948</v>
      </c>
      <c r="G5111" s="4">
        <v>327429</v>
      </c>
      <c r="H5111" s="4">
        <v>0</v>
      </c>
      <c r="I5111" s="4">
        <v>327429</v>
      </c>
      <c r="J5111" s="4">
        <v>2135377</v>
      </c>
    </row>
    <row r="5112" spans="1:10" x14ac:dyDescent="0.75">
      <c r="A5112" t="s">
        <v>151</v>
      </c>
      <c r="B5112">
        <v>2252</v>
      </c>
      <c r="C5112" t="s">
        <v>156</v>
      </c>
      <c r="D5112">
        <v>2211</v>
      </c>
      <c r="E5112" t="s">
        <v>367</v>
      </c>
      <c r="F5112" s="4">
        <v>1860954</v>
      </c>
      <c r="G5112" s="4">
        <v>274326</v>
      </c>
      <c r="H5112" s="4">
        <v>41993</v>
      </c>
      <c r="I5112" s="4">
        <v>232333</v>
      </c>
      <c r="J5112" s="4">
        <v>2135280</v>
      </c>
    </row>
    <row r="5113" spans="1:10" x14ac:dyDescent="0.75">
      <c r="A5113" t="s">
        <v>151</v>
      </c>
      <c r="B5113">
        <v>2252</v>
      </c>
      <c r="C5113" t="s">
        <v>156</v>
      </c>
      <c r="D5113">
        <v>1200</v>
      </c>
      <c r="E5113" t="s">
        <v>402</v>
      </c>
      <c r="F5113" s="4">
        <v>2047715</v>
      </c>
      <c r="G5113" s="4">
        <v>73965</v>
      </c>
      <c r="H5113" s="4">
        <v>0</v>
      </c>
      <c r="I5113" s="4">
        <v>73965</v>
      </c>
      <c r="J5113" s="4">
        <v>2121680</v>
      </c>
    </row>
    <row r="5114" spans="1:10" x14ac:dyDescent="0.75">
      <c r="A5114" t="s">
        <v>151</v>
      </c>
      <c r="B5114">
        <v>2252</v>
      </c>
      <c r="C5114" t="s">
        <v>156</v>
      </c>
      <c r="D5114">
        <v>3219</v>
      </c>
      <c r="E5114" t="s">
        <v>378</v>
      </c>
      <c r="F5114" s="4">
        <v>1604628</v>
      </c>
      <c r="G5114" s="4">
        <v>281729</v>
      </c>
      <c r="H5114" s="4">
        <v>1103</v>
      </c>
      <c r="I5114" s="4">
        <v>280626</v>
      </c>
      <c r="J5114" s="4">
        <v>1886357</v>
      </c>
    </row>
    <row r="5115" spans="1:10" x14ac:dyDescent="0.75">
      <c r="A5115" t="s">
        <v>151</v>
      </c>
      <c r="B5115">
        <v>2252</v>
      </c>
      <c r="C5115" t="s">
        <v>156</v>
      </c>
      <c r="D5115">
        <v>6590</v>
      </c>
      <c r="E5115" t="s">
        <v>394</v>
      </c>
      <c r="F5115" s="4">
        <v>1849998</v>
      </c>
      <c r="G5115" s="4">
        <v>0</v>
      </c>
      <c r="H5115" s="4">
        <v>0</v>
      </c>
      <c r="I5115" s="4">
        <v>0</v>
      </c>
      <c r="J5115" s="4">
        <v>1849998</v>
      </c>
    </row>
    <row r="5116" spans="1:10" x14ac:dyDescent="0.75">
      <c r="A5116" t="s">
        <v>151</v>
      </c>
      <c r="B5116">
        <v>2252</v>
      </c>
      <c r="C5116" t="s">
        <v>156</v>
      </c>
      <c r="D5116">
        <v>4150</v>
      </c>
      <c r="E5116" t="s">
        <v>450</v>
      </c>
      <c r="F5116" s="4">
        <v>0</v>
      </c>
      <c r="G5116" s="4">
        <v>1726984</v>
      </c>
      <c r="H5116" s="4">
        <v>0</v>
      </c>
      <c r="I5116" s="4">
        <v>1726984</v>
      </c>
      <c r="J5116" s="4">
        <v>1726984</v>
      </c>
    </row>
    <row r="5117" spans="1:10" x14ac:dyDescent="0.75">
      <c r="A5117" t="s">
        <v>151</v>
      </c>
      <c r="B5117">
        <v>2252</v>
      </c>
      <c r="C5117" t="s">
        <v>156</v>
      </c>
      <c r="D5117">
        <v>5312</v>
      </c>
      <c r="E5117" t="s">
        <v>416</v>
      </c>
      <c r="F5117" s="4">
        <v>566858</v>
      </c>
      <c r="G5117" s="4">
        <v>845884</v>
      </c>
      <c r="H5117" s="4">
        <v>845884</v>
      </c>
      <c r="I5117" s="4">
        <v>0</v>
      </c>
      <c r="J5117" s="4">
        <v>1412742</v>
      </c>
    </row>
    <row r="5118" spans="1:10" x14ac:dyDescent="0.75">
      <c r="A5118" t="s">
        <v>151</v>
      </c>
      <c r="B5118">
        <v>2252</v>
      </c>
      <c r="C5118" t="s">
        <v>156</v>
      </c>
      <c r="D5118">
        <v>2429</v>
      </c>
      <c r="E5118" t="s">
        <v>375</v>
      </c>
      <c r="F5118" s="4">
        <v>871847</v>
      </c>
      <c r="G5118" s="4">
        <v>49913</v>
      </c>
      <c r="H5118" s="4">
        <v>2</v>
      </c>
      <c r="I5118" s="4">
        <v>49911</v>
      </c>
      <c r="J5118" s="4">
        <v>921760</v>
      </c>
    </row>
    <row r="5119" spans="1:10" x14ac:dyDescent="0.75">
      <c r="A5119" t="s">
        <v>151</v>
      </c>
      <c r="B5119">
        <v>2252</v>
      </c>
      <c r="C5119" t="s">
        <v>156</v>
      </c>
      <c r="D5119">
        <v>4322</v>
      </c>
      <c r="E5119" t="s">
        <v>398</v>
      </c>
      <c r="F5119" s="4">
        <v>856674</v>
      </c>
      <c r="G5119" s="4">
        <v>0</v>
      </c>
      <c r="H5119" s="4">
        <v>0</v>
      </c>
      <c r="I5119" s="4">
        <v>0</v>
      </c>
      <c r="J5119" s="4">
        <v>856674</v>
      </c>
    </row>
    <row r="5120" spans="1:10" x14ac:dyDescent="0.75">
      <c r="A5120" t="s">
        <v>151</v>
      </c>
      <c r="B5120">
        <v>2252</v>
      </c>
      <c r="C5120" t="s">
        <v>156</v>
      </c>
      <c r="D5120">
        <v>2350</v>
      </c>
      <c r="E5120" t="s">
        <v>404</v>
      </c>
      <c r="F5120" s="4">
        <v>796311</v>
      </c>
      <c r="G5120" s="4">
        <v>47977</v>
      </c>
      <c r="H5120" s="4">
        <v>19972</v>
      </c>
      <c r="I5120" s="4">
        <v>28005</v>
      </c>
      <c r="J5120" s="4">
        <v>844288</v>
      </c>
    </row>
    <row r="5121" spans="1:10" x14ac:dyDescent="0.75">
      <c r="A5121" t="s">
        <v>151</v>
      </c>
      <c r="B5121">
        <v>2252</v>
      </c>
      <c r="C5121" t="s">
        <v>156</v>
      </c>
      <c r="D5121">
        <v>2640</v>
      </c>
      <c r="E5121" t="s">
        <v>431</v>
      </c>
      <c r="F5121" s="4">
        <v>340885</v>
      </c>
      <c r="G5121" s="4">
        <v>397200</v>
      </c>
      <c r="H5121" s="4">
        <v>7022</v>
      </c>
      <c r="I5121" s="4">
        <v>390178</v>
      </c>
      <c r="J5121" s="4">
        <v>738085</v>
      </c>
    </row>
    <row r="5122" spans="1:10" x14ac:dyDescent="0.75">
      <c r="A5122" t="s">
        <v>151</v>
      </c>
      <c r="B5122">
        <v>2252</v>
      </c>
      <c r="C5122" t="s">
        <v>156</v>
      </c>
      <c r="D5122">
        <v>3211</v>
      </c>
      <c r="E5122" t="s">
        <v>433</v>
      </c>
      <c r="F5122" s="4">
        <v>559777</v>
      </c>
      <c r="G5122" s="4">
        <v>136737</v>
      </c>
      <c r="H5122" s="4">
        <v>12006</v>
      </c>
      <c r="I5122" s="4">
        <v>124731</v>
      </c>
      <c r="J5122" s="4">
        <v>696514</v>
      </c>
    </row>
    <row r="5123" spans="1:10" x14ac:dyDescent="0.75">
      <c r="A5123" t="s">
        <v>151</v>
      </c>
      <c r="B5123">
        <v>2252</v>
      </c>
      <c r="C5123" t="s">
        <v>156</v>
      </c>
      <c r="D5123">
        <v>6442</v>
      </c>
      <c r="E5123" t="s">
        <v>472</v>
      </c>
      <c r="F5123" s="4">
        <v>344753</v>
      </c>
      <c r="G5123" s="4">
        <v>344156</v>
      </c>
      <c r="H5123" s="4">
        <v>0</v>
      </c>
      <c r="I5123" s="4">
        <v>344156</v>
      </c>
      <c r="J5123" s="4">
        <v>688909</v>
      </c>
    </row>
    <row r="5124" spans="1:10" x14ac:dyDescent="0.75">
      <c r="A5124" t="s">
        <v>151</v>
      </c>
      <c r="B5124">
        <v>2252</v>
      </c>
      <c r="C5124" t="s">
        <v>156</v>
      </c>
      <c r="D5124">
        <v>3299</v>
      </c>
      <c r="E5124" t="s">
        <v>448</v>
      </c>
      <c r="F5124" s="4">
        <v>574700</v>
      </c>
      <c r="G5124" s="4">
        <v>113824</v>
      </c>
      <c r="H5124" s="4">
        <v>0</v>
      </c>
      <c r="I5124" s="4">
        <v>113824</v>
      </c>
      <c r="J5124" s="4">
        <v>688524</v>
      </c>
    </row>
    <row r="5125" spans="1:10" x14ac:dyDescent="0.75">
      <c r="A5125" t="s">
        <v>151</v>
      </c>
      <c r="B5125">
        <v>2252</v>
      </c>
      <c r="C5125" t="s">
        <v>156</v>
      </c>
      <c r="D5125">
        <v>4331</v>
      </c>
      <c r="E5125" t="s">
        <v>390</v>
      </c>
      <c r="F5125" s="4">
        <v>677331</v>
      </c>
      <c r="G5125" s="4">
        <v>0</v>
      </c>
      <c r="H5125" s="4">
        <v>0</v>
      </c>
      <c r="I5125" s="4">
        <v>0</v>
      </c>
      <c r="J5125" s="4">
        <v>677331</v>
      </c>
    </row>
    <row r="5126" spans="1:10" x14ac:dyDescent="0.75">
      <c r="A5126" t="s">
        <v>151</v>
      </c>
      <c r="B5126">
        <v>2252</v>
      </c>
      <c r="C5126" t="s">
        <v>156</v>
      </c>
      <c r="D5126">
        <v>5220</v>
      </c>
      <c r="E5126" t="s">
        <v>401</v>
      </c>
      <c r="F5126" s="4">
        <v>620565</v>
      </c>
      <c r="G5126" s="4">
        <v>55116</v>
      </c>
      <c r="H5126" s="4">
        <v>55116</v>
      </c>
      <c r="I5126" s="4">
        <v>0</v>
      </c>
      <c r="J5126" s="4">
        <v>675681</v>
      </c>
    </row>
    <row r="5127" spans="1:10" x14ac:dyDescent="0.75">
      <c r="A5127" t="s">
        <v>151</v>
      </c>
      <c r="B5127">
        <v>2252</v>
      </c>
      <c r="C5127" t="s">
        <v>156</v>
      </c>
      <c r="D5127">
        <v>2221</v>
      </c>
      <c r="E5127" t="s">
        <v>374</v>
      </c>
      <c r="F5127" s="4">
        <v>308668</v>
      </c>
      <c r="G5127" s="4">
        <v>231292</v>
      </c>
      <c r="H5127" s="4">
        <v>0</v>
      </c>
      <c r="I5127" s="4">
        <v>231292</v>
      </c>
      <c r="J5127" s="4">
        <v>539960</v>
      </c>
    </row>
    <row r="5128" spans="1:10" x14ac:dyDescent="0.75">
      <c r="A5128" t="s">
        <v>151</v>
      </c>
      <c r="B5128">
        <v>2252</v>
      </c>
      <c r="C5128" t="s">
        <v>156</v>
      </c>
      <c r="D5128">
        <v>3272</v>
      </c>
      <c r="E5128" t="s">
        <v>504</v>
      </c>
      <c r="F5128" s="4">
        <v>488398</v>
      </c>
      <c r="G5128" s="4">
        <v>283</v>
      </c>
      <c r="H5128" s="4">
        <v>283</v>
      </c>
      <c r="I5128" s="4">
        <v>0</v>
      </c>
      <c r="J5128" s="4">
        <v>488681</v>
      </c>
    </row>
    <row r="5129" spans="1:10" x14ac:dyDescent="0.75">
      <c r="A5129" t="s">
        <v>151</v>
      </c>
      <c r="B5129">
        <v>2252</v>
      </c>
      <c r="C5129" t="s">
        <v>156</v>
      </c>
      <c r="D5129">
        <v>3273</v>
      </c>
      <c r="E5129" t="s">
        <v>411</v>
      </c>
      <c r="F5129" s="4">
        <v>151734</v>
      </c>
      <c r="G5129" s="4">
        <v>231295</v>
      </c>
      <c r="H5129" s="4">
        <v>50216</v>
      </c>
      <c r="I5129" s="4">
        <v>181079</v>
      </c>
      <c r="J5129" s="4">
        <v>383029</v>
      </c>
    </row>
    <row r="5130" spans="1:10" x14ac:dyDescent="0.75">
      <c r="A5130" t="s">
        <v>151</v>
      </c>
      <c r="B5130">
        <v>2252</v>
      </c>
      <c r="C5130" t="s">
        <v>156</v>
      </c>
      <c r="D5130">
        <v>6241</v>
      </c>
      <c r="E5130" t="s">
        <v>391</v>
      </c>
      <c r="F5130" s="4">
        <v>216947</v>
      </c>
      <c r="G5130" s="4">
        <v>103220</v>
      </c>
      <c r="H5130" s="4">
        <v>0</v>
      </c>
      <c r="I5130" s="4">
        <v>103220</v>
      </c>
      <c r="J5130" s="4">
        <v>320167</v>
      </c>
    </row>
    <row r="5131" spans="1:10" x14ac:dyDescent="0.75">
      <c r="A5131" t="s">
        <v>151</v>
      </c>
      <c r="B5131">
        <v>2252</v>
      </c>
      <c r="C5131" t="s">
        <v>156</v>
      </c>
      <c r="D5131">
        <v>4420</v>
      </c>
      <c r="E5131" t="s">
        <v>381</v>
      </c>
      <c r="F5131" s="4">
        <v>266920</v>
      </c>
      <c r="G5131" s="4">
        <v>38023</v>
      </c>
      <c r="H5131" s="4">
        <v>38023</v>
      </c>
      <c r="I5131" s="4">
        <v>0</v>
      </c>
      <c r="J5131" s="4">
        <v>304943</v>
      </c>
    </row>
    <row r="5132" spans="1:10" x14ac:dyDescent="0.75">
      <c r="A5132" t="s">
        <v>151</v>
      </c>
      <c r="B5132">
        <v>2252</v>
      </c>
      <c r="C5132" t="s">
        <v>156</v>
      </c>
      <c r="D5132">
        <v>2990</v>
      </c>
      <c r="E5132" t="s">
        <v>432</v>
      </c>
      <c r="F5132" s="4">
        <v>211868</v>
      </c>
      <c r="G5132" s="4">
        <v>65771</v>
      </c>
      <c r="H5132" s="4">
        <v>65771</v>
      </c>
      <c r="I5132" s="4">
        <v>0</v>
      </c>
      <c r="J5132" s="4">
        <v>277639</v>
      </c>
    </row>
    <row r="5133" spans="1:10" x14ac:dyDescent="0.75">
      <c r="A5133" t="s">
        <v>151</v>
      </c>
      <c r="B5133">
        <v>2252</v>
      </c>
      <c r="C5133" t="s">
        <v>156</v>
      </c>
      <c r="D5133">
        <v>4900</v>
      </c>
      <c r="E5133" t="s">
        <v>383</v>
      </c>
      <c r="F5133" s="4">
        <v>29135</v>
      </c>
      <c r="G5133" s="4">
        <v>192109</v>
      </c>
      <c r="H5133" s="4">
        <v>82924</v>
      </c>
      <c r="I5133" s="4">
        <v>109185</v>
      </c>
      <c r="J5133" s="4">
        <v>221244</v>
      </c>
    </row>
    <row r="5134" spans="1:10" x14ac:dyDescent="0.75">
      <c r="A5134" t="s">
        <v>151</v>
      </c>
      <c r="B5134">
        <v>2252</v>
      </c>
      <c r="C5134" t="s">
        <v>156</v>
      </c>
      <c r="D5134">
        <v>6447</v>
      </c>
      <c r="E5134" t="s">
        <v>475</v>
      </c>
      <c r="F5134" s="4">
        <v>80876</v>
      </c>
      <c r="G5134" s="4">
        <v>128277</v>
      </c>
      <c r="H5134" s="4">
        <v>0</v>
      </c>
      <c r="I5134" s="4">
        <v>128277</v>
      </c>
      <c r="J5134" s="4">
        <v>209153</v>
      </c>
    </row>
    <row r="5135" spans="1:10" x14ac:dyDescent="0.75">
      <c r="A5135" t="s">
        <v>151</v>
      </c>
      <c r="B5135">
        <v>2252</v>
      </c>
      <c r="C5135" t="s">
        <v>156</v>
      </c>
      <c r="D5135">
        <v>3260</v>
      </c>
      <c r="E5135" t="s">
        <v>436</v>
      </c>
      <c r="F5135" s="4">
        <v>184363</v>
      </c>
      <c r="G5135" s="4">
        <v>14716</v>
      </c>
      <c r="H5135" s="4">
        <v>2253</v>
      </c>
      <c r="I5135" s="4">
        <v>12463</v>
      </c>
      <c r="J5135" s="4">
        <v>199079</v>
      </c>
    </row>
    <row r="5136" spans="1:10" x14ac:dyDescent="0.75">
      <c r="A5136" t="s">
        <v>151</v>
      </c>
      <c r="B5136">
        <v>2252</v>
      </c>
      <c r="C5136" t="s">
        <v>156</v>
      </c>
      <c r="D5136">
        <v>3130</v>
      </c>
      <c r="E5136" t="s">
        <v>407</v>
      </c>
      <c r="F5136" s="4">
        <v>81423</v>
      </c>
      <c r="G5136" s="4">
        <v>66633</v>
      </c>
      <c r="H5136" s="4">
        <v>66633</v>
      </c>
      <c r="I5136" s="4">
        <v>0</v>
      </c>
      <c r="J5136" s="4">
        <v>148056</v>
      </c>
    </row>
    <row r="5137" spans="1:10" x14ac:dyDescent="0.75">
      <c r="A5137" t="s">
        <v>151</v>
      </c>
      <c r="B5137">
        <v>2252</v>
      </c>
      <c r="C5137" t="s">
        <v>156</v>
      </c>
      <c r="D5137">
        <v>4335</v>
      </c>
      <c r="E5137" t="s">
        <v>372</v>
      </c>
      <c r="F5137" s="4">
        <v>144722</v>
      </c>
      <c r="G5137" s="4">
        <v>0</v>
      </c>
      <c r="H5137" s="4">
        <v>0</v>
      </c>
      <c r="I5137" s="4">
        <v>0</v>
      </c>
      <c r="J5137" s="4">
        <v>144722</v>
      </c>
    </row>
    <row r="5138" spans="1:10" x14ac:dyDescent="0.75">
      <c r="A5138" t="s">
        <v>151</v>
      </c>
      <c r="B5138">
        <v>2252</v>
      </c>
      <c r="C5138" t="s">
        <v>156</v>
      </c>
      <c r="D5138">
        <v>3286</v>
      </c>
      <c r="E5138" t="s">
        <v>423</v>
      </c>
      <c r="F5138" s="4">
        <v>73568</v>
      </c>
      <c r="G5138" s="4">
        <v>53198</v>
      </c>
      <c r="H5138" s="4">
        <v>39743</v>
      </c>
      <c r="I5138" s="4">
        <v>13455</v>
      </c>
      <c r="J5138" s="4">
        <v>126766</v>
      </c>
    </row>
    <row r="5139" spans="1:10" x14ac:dyDescent="0.75">
      <c r="A5139" t="s">
        <v>151</v>
      </c>
      <c r="B5139">
        <v>2252</v>
      </c>
      <c r="C5139" t="s">
        <v>156</v>
      </c>
      <c r="D5139">
        <v>5210</v>
      </c>
      <c r="E5139" t="s">
        <v>463</v>
      </c>
      <c r="F5139" s="4">
        <v>123148</v>
      </c>
      <c r="G5139" s="4">
        <v>0</v>
      </c>
      <c r="H5139" s="4">
        <v>0</v>
      </c>
      <c r="I5139" s="4">
        <v>0</v>
      </c>
      <c r="J5139" s="4">
        <v>123148</v>
      </c>
    </row>
    <row r="5140" spans="1:10" x14ac:dyDescent="0.75">
      <c r="A5140" t="s">
        <v>151</v>
      </c>
      <c r="B5140">
        <v>2252</v>
      </c>
      <c r="C5140" t="s">
        <v>156</v>
      </c>
      <c r="D5140">
        <v>3275</v>
      </c>
      <c r="E5140" t="s">
        <v>412</v>
      </c>
      <c r="F5140" s="4">
        <v>39136</v>
      </c>
      <c r="G5140" s="4">
        <v>67563</v>
      </c>
      <c r="H5140" s="4">
        <v>67563</v>
      </c>
      <c r="I5140" s="4">
        <v>0</v>
      </c>
      <c r="J5140" s="4">
        <v>106699</v>
      </c>
    </row>
    <row r="5141" spans="1:10" x14ac:dyDescent="0.75">
      <c r="A5141" t="s">
        <v>151</v>
      </c>
      <c r="B5141">
        <v>2252</v>
      </c>
      <c r="C5141" t="s">
        <v>156</v>
      </c>
      <c r="D5141">
        <v>4410</v>
      </c>
      <c r="E5141" t="s">
        <v>399</v>
      </c>
      <c r="F5141" s="4">
        <v>26341</v>
      </c>
      <c r="G5141" s="4">
        <v>64767</v>
      </c>
      <c r="H5141" s="4">
        <v>64767</v>
      </c>
      <c r="I5141" s="4">
        <v>0</v>
      </c>
      <c r="J5141" s="4">
        <v>91108</v>
      </c>
    </row>
    <row r="5142" spans="1:10" x14ac:dyDescent="0.75">
      <c r="A5142" t="s">
        <v>151</v>
      </c>
      <c r="B5142">
        <v>2252</v>
      </c>
      <c r="C5142" t="s">
        <v>156</v>
      </c>
      <c r="D5142">
        <v>3240</v>
      </c>
      <c r="E5142" t="s">
        <v>410</v>
      </c>
      <c r="F5142" s="4">
        <v>3877</v>
      </c>
      <c r="G5142" s="4">
        <v>60723</v>
      </c>
      <c r="H5142" s="4">
        <v>42014</v>
      </c>
      <c r="I5142" s="4">
        <v>18709</v>
      </c>
      <c r="J5142" s="4">
        <v>64600</v>
      </c>
    </row>
    <row r="5143" spans="1:10" x14ac:dyDescent="0.75">
      <c r="A5143" t="s">
        <v>151</v>
      </c>
      <c r="B5143">
        <v>2252</v>
      </c>
      <c r="C5143" t="s">
        <v>156</v>
      </c>
      <c r="D5143">
        <v>3190</v>
      </c>
      <c r="E5143" t="s">
        <v>408</v>
      </c>
      <c r="F5143" s="4">
        <v>16765</v>
      </c>
      <c r="G5143" s="4">
        <v>43736</v>
      </c>
      <c r="H5143" s="4">
        <v>43736</v>
      </c>
      <c r="I5143" s="4">
        <v>0</v>
      </c>
      <c r="J5143" s="4">
        <v>60501</v>
      </c>
    </row>
    <row r="5144" spans="1:10" x14ac:dyDescent="0.75">
      <c r="A5144" t="s">
        <v>151</v>
      </c>
      <c r="B5144">
        <v>2252</v>
      </c>
      <c r="C5144" t="s">
        <v>156</v>
      </c>
      <c r="D5144">
        <v>4783</v>
      </c>
      <c r="E5144" t="s">
        <v>382</v>
      </c>
      <c r="F5144" s="4">
        <v>29951</v>
      </c>
      <c r="G5144" s="4">
        <v>26676</v>
      </c>
      <c r="H5144" s="4">
        <v>26676</v>
      </c>
      <c r="I5144" s="4">
        <v>0</v>
      </c>
      <c r="J5144" s="4">
        <v>56627</v>
      </c>
    </row>
    <row r="5145" spans="1:10" x14ac:dyDescent="0.75">
      <c r="A5145" t="s">
        <v>151</v>
      </c>
      <c r="B5145">
        <v>2252</v>
      </c>
      <c r="C5145" t="s">
        <v>156</v>
      </c>
      <c r="D5145">
        <v>6889</v>
      </c>
      <c r="E5145" t="s">
        <v>420</v>
      </c>
      <c r="F5145" s="4">
        <v>45691</v>
      </c>
      <c r="G5145" s="4">
        <v>4006</v>
      </c>
      <c r="H5145" s="4">
        <v>4006</v>
      </c>
      <c r="I5145" s="4">
        <v>0</v>
      </c>
      <c r="J5145" s="4">
        <v>49697</v>
      </c>
    </row>
    <row r="5146" spans="1:10" x14ac:dyDescent="0.75">
      <c r="A5146" t="s">
        <v>151</v>
      </c>
      <c r="B5146">
        <v>2252</v>
      </c>
      <c r="C5146" t="s">
        <v>156</v>
      </c>
      <c r="D5146">
        <v>3230</v>
      </c>
      <c r="E5146" t="s">
        <v>434</v>
      </c>
      <c r="F5146" s="4">
        <v>35499</v>
      </c>
      <c r="G5146" s="4">
        <v>12885</v>
      </c>
      <c r="H5146" s="4">
        <v>2730</v>
      </c>
      <c r="I5146" s="4">
        <v>10155</v>
      </c>
      <c r="J5146" s="4">
        <v>48384</v>
      </c>
    </row>
    <row r="5147" spans="1:10" x14ac:dyDescent="0.75">
      <c r="A5147" t="s">
        <v>151</v>
      </c>
      <c r="B5147">
        <v>2252</v>
      </c>
      <c r="C5147" t="s">
        <v>156</v>
      </c>
      <c r="D5147">
        <v>3276</v>
      </c>
      <c r="E5147" t="s">
        <v>379</v>
      </c>
      <c r="F5147" s="4">
        <v>6071</v>
      </c>
      <c r="G5147" s="4">
        <v>35444</v>
      </c>
      <c r="H5147" s="4">
        <v>35444</v>
      </c>
      <c r="I5147" s="4">
        <v>0</v>
      </c>
      <c r="J5147" s="4">
        <v>41515</v>
      </c>
    </row>
    <row r="5148" spans="1:10" x14ac:dyDescent="0.75">
      <c r="A5148" t="s">
        <v>151</v>
      </c>
      <c r="B5148">
        <v>2252</v>
      </c>
      <c r="C5148" t="s">
        <v>156</v>
      </c>
      <c r="D5148">
        <v>6653</v>
      </c>
      <c r="E5148" t="s">
        <v>395</v>
      </c>
      <c r="F5148" s="4">
        <v>0</v>
      </c>
      <c r="G5148" s="4">
        <v>40247</v>
      </c>
      <c r="H5148" s="4">
        <v>0</v>
      </c>
      <c r="I5148" s="4">
        <v>40247</v>
      </c>
      <c r="J5148" s="4">
        <v>40247</v>
      </c>
    </row>
    <row r="5149" spans="1:10" x14ac:dyDescent="0.75">
      <c r="A5149" t="s">
        <v>151</v>
      </c>
      <c r="B5149">
        <v>2252</v>
      </c>
      <c r="C5149" t="s">
        <v>156</v>
      </c>
      <c r="D5149">
        <v>3120</v>
      </c>
      <c r="E5149" t="s">
        <v>406</v>
      </c>
      <c r="F5149" s="4">
        <v>38636</v>
      </c>
      <c r="G5149" s="4">
        <v>0</v>
      </c>
      <c r="H5149" s="4">
        <v>0</v>
      </c>
      <c r="I5149" s="4">
        <v>0</v>
      </c>
      <c r="J5149" s="4">
        <v>38636</v>
      </c>
    </row>
    <row r="5150" spans="1:10" x14ac:dyDescent="0.75">
      <c r="A5150" t="s">
        <v>151</v>
      </c>
      <c r="B5150">
        <v>2252</v>
      </c>
      <c r="C5150" t="s">
        <v>156</v>
      </c>
      <c r="D5150">
        <v>6654</v>
      </c>
      <c r="E5150" t="s">
        <v>419</v>
      </c>
      <c r="F5150" s="4">
        <v>22877</v>
      </c>
      <c r="G5150" s="4">
        <v>6035</v>
      </c>
      <c r="H5150" s="4">
        <v>0</v>
      </c>
      <c r="I5150" s="4">
        <v>6035</v>
      </c>
      <c r="J5150" s="4">
        <v>28912</v>
      </c>
    </row>
    <row r="5151" spans="1:10" x14ac:dyDescent="0.75">
      <c r="A5151" t="s">
        <v>151</v>
      </c>
      <c r="B5151">
        <v>2252</v>
      </c>
      <c r="C5151" t="s">
        <v>156</v>
      </c>
      <c r="D5151">
        <v>7500</v>
      </c>
      <c r="E5151" t="s">
        <v>427</v>
      </c>
      <c r="F5151" s="4">
        <v>0</v>
      </c>
      <c r="G5151" s="4">
        <v>26476</v>
      </c>
      <c r="H5151" s="4">
        <v>18233</v>
      </c>
      <c r="I5151" s="4">
        <v>8243</v>
      </c>
      <c r="J5151" s="4">
        <v>26476</v>
      </c>
    </row>
    <row r="5152" spans="1:10" x14ac:dyDescent="0.75">
      <c r="A5152" t="s">
        <v>151</v>
      </c>
      <c r="B5152">
        <v>2252</v>
      </c>
      <c r="C5152" t="s">
        <v>156</v>
      </c>
      <c r="D5152">
        <v>4650</v>
      </c>
      <c r="E5152" t="s">
        <v>457</v>
      </c>
      <c r="F5152" s="4">
        <v>19680</v>
      </c>
      <c r="G5152" s="4">
        <v>5391</v>
      </c>
      <c r="H5152" s="4">
        <v>5391</v>
      </c>
      <c r="I5152" s="4">
        <v>0</v>
      </c>
      <c r="J5152" s="4">
        <v>25071</v>
      </c>
    </row>
    <row r="5153" spans="1:10" x14ac:dyDescent="0.75">
      <c r="A5153" t="s">
        <v>151</v>
      </c>
      <c r="B5153">
        <v>2252</v>
      </c>
      <c r="C5153" t="s">
        <v>156</v>
      </c>
      <c r="D5153">
        <v>6865</v>
      </c>
      <c r="E5153" t="s">
        <v>490</v>
      </c>
      <c r="F5153" s="4">
        <v>13773</v>
      </c>
      <c r="G5153" s="4">
        <v>11023</v>
      </c>
      <c r="H5153" s="4">
        <v>11023</v>
      </c>
      <c r="I5153" s="4">
        <v>0</v>
      </c>
      <c r="J5153" s="4">
        <v>24796</v>
      </c>
    </row>
    <row r="5154" spans="1:10" x14ac:dyDescent="0.75">
      <c r="A5154" t="s">
        <v>151</v>
      </c>
      <c r="B5154">
        <v>2252</v>
      </c>
      <c r="C5154" t="s">
        <v>156</v>
      </c>
      <c r="D5154">
        <v>5330</v>
      </c>
      <c r="E5154" t="s">
        <v>385</v>
      </c>
      <c r="F5154" s="4">
        <v>0</v>
      </c>
      <c r="G5154" s="4">
        <v>23724</v>
      </c>
      <c r="H5154" s="4">
        <v>23724</v>
      </c>
      <c r="I5154" s="4">
        <v>0</v>
      </c>
      <c r="J5154" s="4">
        <v>23724</v>
      </c>
    </row>
    <row r="5155" spans="1:10" x14ac:dyDescent="0.75">
      <c r="A5155" t="s">
        <v>151</v>
      </c>
      <c r="B5155">
        <v>2252</v>
      </c>
      <c r="C5155" t="s">
        <v>156</v>
      </c>
      <c r="D5155">
        <v>9900</v>
      </c>
      <c r="E5155" t="s">
        <v>389</v>
      </c>
      <c r="F5155" s="4">
        <v>0</v>
      </c>
      <c r="G5155" s="4">
        <v>21147</v>
      </c>
      <c r="H5155" s="4">
        <v>16540</v>
      </c>
      <c r="I5155" s="4">
        <v>4607</v>
      </c>
      <c r="J5155" s="4">
        <v>21147</v>
      </c>
    </row>
    <row r="5156" spans="1:10" x14ac:dyDescent="0.75">
      <c r="A5156" t="s">
        <v>151</v>
      </c>
      <c r="B5156">
        <v>2252</v>
      </c>
      <c r="C5156" t="s">
        <v>156</v>
      </c>
      <c r="D5156">
        <v>5480</v>
      </c>
      <c r="E5156" t="s">
        <v>386</v>
      </c>
      <c r="F5156" s="4">
        <v>0</v>
      </c>
      <c r="G5156" s="4">
        <v>19347</v>
      </c>
      <c r="H5156" s="4">
        <v>13025</v>
      </c>
      <c r="I5156" s="4">
        <v>6322</v>
      </c>
      <c r="J5156" s="4">
        <v>19347</v>
      </c>
    </row>
    <row r="5157" spans="1:10" x14ac:dyDescent="0.75">
      <c r="A5157" t="s">
        <v>151</v>
      </c>
      <c r="B5157">
        <v>2252</v>
      </c>
      <c r="C5157" t="s">
        <v>156</v>
      </c>
      <c r="D5157">
        <v>2410</v>
      </c>
      <c r="E5157" t="s">
        <v>430</v>
      </c>
      <c r="F5157" s="4">
        <v>11683</v>
      </c>
      <c r="G5157" s="4">
        <v>6657</v>
      </c>
      <c r="H5157" s="4">
        <v>6657</v>
      </c>
      <c r="I5157" s="4">
        <v>0</v>
      </c>
      <c r="J5157" s="4">
        <v>18340</v>
      </c>
    </row>
    <row r="5158" spans="1:10" x14ac:dyDescent="0.75">
      <c r="A5158" t="s">
        <v>151</v>
      </c>
      <c r="B5158">
        <v>2252</v>
      </c>
      <c r="C5158" t="s">
        <v>156</v>
      </c>
      <c r="D5158">
        <v>4741</v>
      </c>
      <c r="E5158" t="s">
        <v>425</v>
      </c>
      <c r="F5158" s="4">
        <v>0</v>
      </c>
      <c r="G5158" s="4">
        <v>18083</v>
      </c>
      <c r="H5158" s="4">
        <v>18083</v>
      </c>
      <c r="I5158" s="4">
        <v>0</v>
      </c>
      <c r="J5158" s="4">
        <v>18083</v>
      </c>
    </row>
    <row r="5159" spans="1:10" x14ac:dyDescent="0.75">
      <c r="A5159" t="s">
        <v>151</v>
      </c>
      <c r="B5159">
        <v>2252</v>
      </c>
      <c r="C5159" t="s">
        <v>156</v>
      </c>
      <c r="D5159">
        <v>7900</v>
      </c>
      <c r="E5159" t="s">
        <v>388</v>
      </c>
      <c r="F5159" s="4">
        <v>100</v>
      </c>
      <c r="G5159" s="4">
        <v>13479</v>
      </c>
      <c r="H5159" s="4">
        <v>4314</v>
      </c>
      <c r="I5159" s="4">
        <v>9165</v>
      </c>
      <c r="J5159" s="4">
        <v>13579</v>
      </c>
    </row>
    <row r="5160" spans="1:10" x14ac:dyDescent="0.75">
      <c r="A5160" t="s">
        <v>151</v>
      </c>
      <c r="B5160">
        <v>2252</v>
      </c>
      <c r="C5160" t="s">
        <v>156</v>
      </c>
      <c r="D5160">
        <v>5315</v>
      </c>
      <c r="E5160" t="s">
        <v>417</v>
      </c>
      <c r="F5160" s="4">
        <v>0</v>
      </c>
      <c r="G5160" s="4">
        <v>11560</v>
      </c>
      <c r="H5160" s="4">
        <v>11560</v>
      </c>
      <c r="I5160" s="4">
        <v>0</v>
      </c>
      <c r="J5160" s="4">
        <v>11560</v>
      </c>
    </row>
    <row r="5161" spans="1:10" x14ac:dyDescent="0.75">
      <c r="A5161" t="s">
        <v>151</v>
      </c>
      <c r="B5161">
        <v>2252</v>
      </c>
      <c r="C5161" t="s">
        <v>156</v>
      </c>
      <c r="D5161">
        <v>6747</v>
      </c>
      <c r="E5161" t="s">
        <v>478</v>
      </c>
      <c r="F5161" s="4">
        <v>11277</v>
      </c>
      <c r="G5161" s="4">
        <v>0</v>
      </c>
      <c r="H5161" s="4">
        <v>0</v>
      </c>
      <c r="I5161" s="4">
        <v>0</v>
      </c>
      <c r="J5161" s="4">
        <v>11277</v>
      </c>
    </row>
    <row r="5162" spans="1:10" x14ac:dyDescent="0.75">
      <c r="A5162" t="s">
        <v>151</v>
      </c>
      <c r="B5162">
        <v>2252</v>
      </c>
      <c r="C5162" t="s">
        <v>156</v>
      </c>
      <c r="D5162">
        <v>7220</v>
      </c>
      <c r="E5162" t="s">
        <v>500</v>
      </c>
      <c r="F5162" s="4">
        <v>0</v>
      </c>
      <c r="G5162" s="4">
        <v>8203</v>
      </c>
      <c r="H5162" s="4">
        <v>0</v>
      </c>
      <c r="I5162" s="4">
        <v>8203</v>
      </c>
      <c r="J5162" s="4">
        <v>8203</v>
      </c>
    </row>
    <row r="5163" spans="1:10" x14ac:dyDescent="0.75">
      <c r="A5163" t="s">
        <v>151</v>
      </c>
      <c r="B5163">
        <v>2252</v>
      </c>
      <c r="C5163" t="s">
        <v>156</v>
      </c>
      <c r="D5163">
        <v>5240</v>
      </c>
      <c r="E5163" t="s">
        <v>464</v>
      </c>
      <c r="F5163" s="4">
        <v>0</v>
      </c>
      <c r="G5163" s="4">
        <v>6975</v>
      </c>
      <c r="H5163" s="4">
        <v>6975</v>
      </c>
      <c r="I5163" s="4">
        <v>0</v>
      </c>
      <c r="J5163" s="4">
        <v>6975</v>
      </c>
    </row>
    <row r="5164" spans="1:10" x14ac:dyDescent="0.75">
      <c r="A5164" t="s">
        <v>151</v>
      </c>
      <c r="B5164">
        <v>2252</v>
      </c>
      <c r="C5164" t="s">
        <v>156</v>
      </c>
      <c r="D5164">
        <v>7110</v>
      </c>
      <c r="E5164" t="s">
        <v>371</v>
      </c>
      <c r="F5164" s="4">
        <v>1550</v>
      </c>
      <c r="G5164" s="4">
        <v>4984</v>
      </c>
      <c r="H5164" s="4">
        <v>2173</v>
      </c>
      <c r="I5164" s="4">
        <v>2811</v>
      </c>
      <c r="J5164" s="4">
        <v>6534</v>
      </c>
    </row>
    <row r="5165" spans="1:10" x14ac:dyDescent="0.75">
      <c r="A5165" t="s">
        <v>151</v>
      </c>
      <c r="B5165">
        <v>2252</v>
      </c>
      <c r="C5165" t="s">
        <v>156</v>
      </c>
      <c r="D5165">
        <v>3279</v>
      </c>
      <c r="E5165" t="s">
        <v>422</v>
      </c>
      <c r="F5165" s="4">
        <v>0</v>
      </c>
      <c r="G5165" s="4">
        <v>4161</v>
      </c>
      <c r="H5165" s="4">
        <v>0</v>
      </c>
      <c r="I5165" s="4">
        <v>4161</v>
      </c>
      <c r="J5165" s="4">
        <v>4161</v>
      </c>
    </row>
    <row r="5166" spans="1:10" x14ac:dyDescent="0.75">
      <c r="A5166" t="s">
        <v>151</v>
      </c>
      <c r="B5166">
        <v>2252</v>
      </c>
      <c r="C5166" t="s">
        <v>156</v>
      </c>
      <c r="D5166">
        <v>4782</v>
      </c>
      <c r="E5166" t="s">
        <v>414</v>
      </c>
      <c r="F5166" s="4">
        <v>3362</v>
      </c>
      <c r="G5166" s="4">
        <v>0</v>
      </c>
      <c r="H5166" s="4">
        <v>0</v>
      </c>
      <c r="I5166" s="4">
        <v>0</v>
      </c>
      <c r="J5166" s="4">
        <v>3362</v>
      </c>
    </row>
    <row r="5167" spans="1:10" x14ac:dyDescent="0.75">
      <c r="A5167" t="s">
        <v>151</v>
      </c>
      <c r="B5167">
        <v>2252</v>
      </c>
      <c r="C5167" t="s">
        <v>156</v>
      </c>
      <c r="D5167">
        <v>4680</v>
      </c>
      <c r="E5167" t="s">
        <v>459</v>
      </c>
      <c r="F5167" s="4">
        <v>3359</v>
      </c>
      <c r="G5167" s="4">
        <v>0</v>
      </c>
      <c r="H5167" s="4">
        <v>0</v>
      </c>
      <c r="I5167" s="4">
        <v>0</v>
      </c>
      <c r="J5167" s="4">
        <v>3359</v>
      </c>
    </row>
    <row r="5168" spans="1:10" x14ac:dyDescent="0.75">
      <c r="A5168" t="s">
        <v>151</v>
      </c>
      <c r="B5168">
        <v>2252</v>
      </c>
      <c r="C5168" t="s">
        <v>156</v>
      </c>
      <c r="D5168">
        <v>7600</v>
      </c>
      <c r="E5168" t="s">
        <v>503</v>
      </c>
      <c r="F5168" s="4">
        <v>0</v>
      </c>
      <c r="G5168" s="4">
        <v>2863</v>
      </c>
      <c r="H5168" s="4">
        <v>146</v>
      </c>
      <c r="I5168" s="4">
        <v>2717</v>
      </c>
      <c r="J5168" s="4">
        <v>2863</v>
      </c>
    </row>
    <row r="5169" spans="1:10" x14ac:dyDescent="0.75">
      <c r="A5169" t="s">
        <v>151</v>
      </c>
      <c r="B5169">
        <v>2252</v>
      </c>
      <c r="C5169" t="s">
        <v>156</v>
      </c>
      <c r="D5169">
        <v>6443</v>
      </c>
      <c r="E5169" t="s">
        <v>473</v>
      </c>
      <c r="F5169" s="4">
        <v>2100</v>
      </c>
      <c r="G5169" s="4">
        <v>0</v>
      </c>
      <c r="H5169" s="4">
        <v>0</v>
      </c>
      <c r="I5169" s="4">
        <v>0</v>
      </c>
      <c r="J5169" s="4">
        <v>2100</v>
      </c>
    </row>
    <row r="5170" spans="1:10" x14ac:dyDescent="0.75">
      <c r="A5170" t="s">
        <v>151</v>
      </c>
      <c r="B5170">
        <v>2252</v>
      </c>
      <c r="C5170" t="s">
        <v>156</v>
      </c>
      <c r="D5170">
        <v>4860</v>
      </c>
      <c r="E5170" t="s">
        <v>400</v>
      </c>
      <c r="F5170" s="4">
        <v>1798</v>
      </c>
      <c r="G5170" s="4">
        <v>0</v>
      </c>
      <c r="H5170" s="4">
        <v>0</v>
      </c>
      <c r="I5170" s="4">
        <v>0</v>
      </c>
      <c r="J5170" s="4">
        <v>1798</v>
      </c>
    </row>
    <row r="5171" spans="1:10" x14ac:dyDescent="0.75">
      <c r="A5171" t="s">
        <v>151</v>
      </c>
      <c r="B5171">
        <v>2252</v>
      </c>
      <c r="C5171" t="s">
        <v>156</v>
      </c>
      <c r="D5171">
        <v>4110</v>
      </c>
      <c r="E5171" t="s">
        <v>449</v>
      </c>
      <c r="F5171" s="4">
        <v>0</v>
      </c>
      <c r="G5171" s="4">
        <v>1653</v>
      </c>
      <c r="H5171" s="4">
        <v>1653</v>
      </c>
      <c r="I5171" s="4">
        <v>0</v>
      </c>
      <c r="J5171" s="4">
        <v>1653</v>
      </c>
    </row>
    <row r="5172" spans="1:10" x14ac:dyDescent="0.75">
      <c r="A5172" t="s">
        <v>151</v>
      </c>
      <c r="B5172">
        <v>2252</v>
      </c>
      <c r="C5172" t="s">
        <v>156</v>
      </c>
      <c r="D5172">
        <v>6861</v>
      </c>
      <c r="E5172" t="s">
        <v>489</v>
      </c>
      <c r="F5172" s="4">
        <v>1623</v>
      </c>
      <c r="G5172" s="4">
        <v>0</v>
      </c>
      <c r="H5172" s="4">
        <v>0</v>
      </c>
      <c r="I5172" s="4">
        <v>0</v>
      </c>
      <c r="J5172" s="4">
        <v>1623</v>
      </c>
    </row>
    <row r="5173" spans="1:10" x14ac:dyDescent="0.75">
      <c r="A5173" t="s">
        <v>151</v>
      </c>
      <c r="B5173">
        <v>2252</v>
      </c>
      <c r="C5173" t="s">
        <v>156</v>
      </c>
      <c r="D5173">
        <v>3297</v>
      </c>
      <c r="E5173" t="s">
        <v>446</v>
      </c>
      <c r="F5173" s="4">
        <v>0</v>
      </c>
      <c r="G5173" s="4">
        <v>1612</v>
      </c>
      <c r="H5173" s="4">
        <v>0</v>
      </c>
      <c r="I5173" s="4">
        <v>1612</v>
      </c>
      <c r="J5173" s="4">
        <v>1612</v>
      </c>
    </row>
    <row r="5174" spans="1:10" x14ac:dyDescent="0.75">
      <c r="A5174" t="s">
        <v>151</v>
      </c>
      <c r="B5174">
        <v>2252</v>
      </c>
      <c r="C5174" t="s">
        <v>156</v>
      </c>
      <c r="D5174">
        <v>5290</v>
      </c>
      <c r="E5174" t="s">
        <v>415</v>
      </c>
      <c r="F5174" s="4">
        <v>0</v>
      </c>
      <c r="G5174" s="4">
        <v>1378</v>
      </c>
      <c r="H5174" s="4">
        <v>0</v>
      </c>
      <c r="I5174" s="4">
        <v>1378</v>
      </c>
      <c r="J5174" s="4">
        <v>1378</v>
      </c>
    </row>
    <row r="5175" spans="1:10" x14ac:dyDescent="0.75">
      <c r="A5175" t="s">
        <v>151</v>
      </c>
      <c r="B5175">
        <v>2252</v>
      </c>
      <c r="C5175" t="s">
        <v>156</v>
      </c>
      <c r="D5175">
        <v>3285</v>
      </c>
      <c r="E5175" t="s">
        <v>443</v>
      </c>
      <c r="F5175" s="4">
        <v>0</v>
      </c>
      <c r="G5175" s="4">
        <v>1182</v>
      </c>
      <c r="H5175" s="4">
        <v>0</v>
      </c>
      <c r="I5175" s="4">
        <v>1182</v>
      </c>
      <c r="J5175" s="4">
        <v>1182</v>
      </c>
    </row>
    <row r="5176" spans="1:10" x14ac:dyDescent="0.75">
      <c r="A5176" t="s">
        <v>151</v>
      </c>
      <c r="B5176">
        <v>2252</v>
      </c>
      <c r="C5176" t="s">
        <v>156</v>
      </c>
      <c r="D5176">
        <v>5190</v>
      </c>
      <c r="E5176" t="s">
        <v>462</v>
      </c>
      <c r="F5176" s="4">
        <v>0</v>
      </c>
      <c r="G5176" s="4">
        <v>934</v>
      </c>
      <c r="H5176" s="4">
        <v>934</v>
      </c>
      <c r="I5176" s="4">
        <v>0</v>
      </c>
      <c r="J5176" s="4">
        <v>934</v>
      </c>
    </row>
    <row r="5177" spans="1:10" x14ac:dyDescent="0.75">
      <c r="A5177" t="s">
        <v>151</v>
      </c>
      <c r="B5177">
        <v>2252</v>
      </c>
      <c r="C5177" t="s">
        <v>156</v>
      </c>
      <c r="D5177">
        <v>5370</v>
      </c>
      <c r="E5177" t="s">
        <v>466</v>
      </c>
      <c r="F5177" s="4">
        <v>649</v>
      </c>
      <c r="G5177" s="4">
        <v>0</v>
      </c>
      <c r="H5177" s="4">
        <v>0</v>
      </c>
      <c r="I5177" s="4">
        <v>0</v>
      </c>
      <c r="J5177" s="4">
        <v>649</v>
      </c>
    </row>
    <row r="5178" spans="1:10" x14ac:dyDescent="0.75">
      <c r="A5178" t="s">
        <v>151</v>
      </c>
      <c r="B5178">
        <v>2252</v>
      </c>
      <c r="C5178" t="s">
        <v>156</v>
      </c>
      <c r="D5178">
        <v>3282</v>
      </c>
      <c r="E5178" t="s">
        <v>440</v>
      </c>
      <c r="F5178" s="4">
        <v>0</v>
      </c>
      <c r="G5178" s="4">
        <v>345</v>
      </c>
      <c r="H5178" s="4">
        <v>0</v>
      </c>
      <c r="I5178" s="4">
        <v>345</v>
      </c>
      <c r="J5178" s="4">
        <v>345</v>
      </c>
    </row>
    <row r="5179" spans="1:10" x14ac:dyDescent="0.75">
      <c r="A5179" t="s">
        <v>151</v>
      </c>
      <c r="B5179">
        <v>2252</v>
      </c>
      <c r="C5179" t="s">
        <v>156</v>
      </c>
      <c r="D5179">
        <v>7230</v>
      </c>
      <c r="E5179" t="s">
        <v>387</v>
      </c>
      <c r="F5179" s="4">
        <v>0</v>
      </c>
      <c r="G5179" s="4">
        <v>2</v>
      </c>
      <c r="H5179" s="4">
        <v>2</v>
      </c>
      <c r="I5179" s="4">
        <v>0</v>
      </c>
      <c r="J5179" s="4">
        <v>2</v>
      </c>
    </row>
    <row r="5180" spans="1:10" x14ac:dyDescent="0.75">
      <c r="A5180" t="s">
        <v>163</v>
      </c>
      <c r="B5180">
        <v>2439</v>
      </c>
      <c r="C5180" t="s">
        <v>219</v>
      </c>
      <c r="D5180">
        <v>6522</v>
      </c>
      <c r="E5180" t="s">
        <v>393</v>
      </c>
      <c r="F5180" s="4">
        <v>1100632</v>
      </c>
      <c r="G5180" s="4">
        <v>0</v>
      </c>
      <c r="H5180" s="4">
        <v>0</v>
      </c>
      <c r="I5180" s="4">
        <v>0</v>
      </c>
      <c r="J5180" s="4">
        <v>1100632</v>
      </c>
    </row>
    <row r="5181" spans="1:10" x14ac:dyDescent="0.75">
      <c r="A5181" t="s">
        <v>163</v>
      </c>
      <c r="B5181">
        <v>2439</v>
      </c>
      <c r="C5181" t="s">
        <v>219</v>
      </c>
      <c r="D5181">
        <v>6344</v>
      </c>
      <c r="E5181" t="s">
        <v>392</v>
      </c>
      <c r="F5181" s="4">
        <v>474786</v>
      </c>
      <c r="G5181" s="4">
        <v>0</v>
      </c>
      <c r="H5181" s="4">
        <v>0</v>
      </c>
      <c r="I5181" s="4">
        <v>0</v>
      </c>
      <c r="J5181" s="4">
        <v>474786</v>
      </c>
    </row>
    <row r="5182" spans="1:10" x14ac:dyDescent="0.75">
      <c r="A5182" t="s">
        <v>163</v>
      </c>
      <c r="B5182">
        <v>2439</v>
      </c>
      <c r="C5182" t="s">
        <v>219</v>
      </c>
      <c r="D5182">
        <v>2211</v>
      </c>
      <c r="E5182" t="s">
        <v>367</v>
      </c>
      <c r="F5182" s="4">
        <v>199771</v>
      </c>
      <c r="G5182" s="4">
        <v>0</v>
      </c>
      <c r="H5182" s="4">
        <v>0</v>
      </c>
      <c r="I5182" s="4">
        <v>0</v>
      </c>
      <c r="J5182" s="4">
        <v>199771</v>
      </c>
    </row>
    <row r="5183" spans="1:10" x14ac:dyDescent="0.75">
      <c r="A5183" t="s">
        <v>163</v>
      </c>
      <c r="B5183">
        <v>2439</v>
      </c>
      <c r="C5183" t="s">
        <v>219</v>
      </c>
      <c r="D5183">
        <v>2330</v>
      </c>
      <c r="E5183" t="s">
        <v>368</v>
      </c>
      <c r="F5183" s="4">
        <v>176533</v>
      </c>
      <c r="G5183" s="4">
        <v>0</v>
      </c>
      <c r="H5183" s="4">
        <v>0</v>
      </c>
      <c r="I5183" s="4">
        <v>0</v>
      </c>
      <c r="J5183" s="4">
        <v>176533</v>
      </c>
    </row>
    <row r="5184" spans="1:10" x14ac:dyDescent="0.75">
      <c r="A5184" t="s">
        <v>163</v>
      </c>
      <c r="B5184">
        <v>2439</v>
      </c>
      <c r="C5184" t="s">
        <v>219</v>
      </c>
      <c r="D5184">
        <v>4322</v>
      </c>
      <c r="E5184" t="s">
        <v>398</v>
      </c>
      <c r="F5184" s="4">
        <v>150254</v>
      </c>
      <c r="G5184" s="4">
        <v>0</v>
      </c>
      <c r="H5184" s="4">
        <v>0</v>
      </c>
      <c r="I5184" s="4">
        <v>0</v>
      </c>
      <c r="J5184" s="4">
        <v>150254</v>
      </c>
    </row>
    <row r="5185" spans="1:10" x14ac:dyDescent="0.75">
      <c r="A5185" t="s">
        <v>163</v>
      </c>
      <c r="B5185">
        <v>2439</v>
      </c>
      <c r="C5185" t="s">
        <v>219</v>
      </c>
      <c r="D5185">
        <v>3110</v>
      </c>
      <c r="E5185" t="s">
        <v>405</v>
      </c>
      <c r="F5185" s="4">
        <v>90387</v>
      </c>
      <c r="G5185" s="4">
        <v>0</v>
      </c>
      <c r="H5185" s="4">
        <v>0</v>
      </c>
      <c r="I5185" s="4">
        <v>0</v>
      </c>
      <c r="J5185" s="4">
        <v>90387</v>
      </c>
    </row>
    <row r="5186" spans="1:10" x14ac:dyDescent="0.75">
      <c r="A5186" t="s">
        <v>163</v>
      </c>
      <c r="B5186">
        <v>2439</v>
      </c>
      <c r="C5186" t="s">
        <v>219</v>
      </c>
      <c r="D5186">
        <v>4335</v>
      </c>
      <c r="E5186" t="s">
        <v>372</v>
      </c>
      <c r="F5186" s="4">
        <v>81131</v>
      </c>
      <c r="G5186" s="4">
        <v>0</v>
      </c>
      <c r="H5186" s="4">
        <v>0</v>
      </c>
      <c r="I5186" s="4">
        <v>0</v>
      </c>
      <c r="J5186" s="4">
        <v>81131</v>
      </c>
    </row>
    <row r="5187" spans="1:10" x14ac:dyDescent="0.75">
      <c r="A5187" t="s">
        <v>163</v>
      </c>
      <c r="B5187">
        <v>2439</v>
      </c>
      <c r="C5187" t="s">
        <v>219</v>
      </c>
      <c r="D5187">
        <v>3130</v>
      </c>
      <c r="E5187" t="s">
        <v>407</v>
      </c>
      <c r="F5187" s="4">
        <v>58996</v>
      </c>
      <c r="G5187" s="4">
        <v>0</v>
      </c>
      <c r="H5187" s="4">
        <v>0</v>
      </c>
      <c r="I5187" s="4">
        <v>0</v>
      </c>
      <c r="J5187" s="4">
        <v>58996</v>
      </c>
    </row>
    <row r="5188" spans="1:10" x14ac:dyDescent="0.75">
      <c r="A5188" t="s">
        <v>163</v>
      </c>
      <c r="B5188">
        <v>2439</v>
      </c>
      <c r="C5188" t="s">
        <v>219</v>
      </c>
      <c r="D5188">
        <v>3120</v>
      </c>
      <c r="E5188" t="s">
        <v>406</v>
      </c>
      <c r="F5188" s="4">
        <v>29821</v>
      </c>
      <c r="G5188" s="4">
        <v>0</v>
      </c>
      <c r="H5188" s="4">
        <v>0</v>
      </c>
      <c r="I5188" s="4">
        <v>0</v>
      </c>
      <c r="J5188" s="4">
        <v>29821</v>
      </c>
    </row>
    <row r="5189" spans="1:10" x14ac:dyDescent="0.75">
      <c r="A5189" t="s">
        <v>163</v>
      </c>
      <c r="B5189">
        <v>2439</v>
      </c>
      <c r="C5189" t="s">
        <v>219</v>
      </c>
      <c r="D5189">
        <v>3220</v>
      </c>
      <c r="E5189" t="s">
        <v>370</v>
      </c>
      <c r="F5189" s="4">
        <v>19775</v>
      </c>
      <c r="G5189" s="4">
        <v>0</v>
      </c>
      <c r="H5189" s="4">
        <v>0</v>
      </c>
      <c r="I5189" s="4">
        <v>0</v>
      </c>
      <c r="J5189" s="4">
        <v>19775</v>
      </c>
    </row>
    <row r="5190" spans="1:10" x14ac:dyDescent="0.75">
      <c r="A5190" t="s">
        <v>163</v>
      </c>
      <c r="B5190">
        <v>2439</v>
      </c>
      <c r="C5190" t="s">
        <v>219</v>
      </c>
      <c r="D5190">
        <v>6241</v>
      </c>
      <c r="E5190" t="s">
        <v>391</v>
      </c>
      <c r="F5190" s="4">
        <v>17227</v>
      </c>
      <c r="G5190" s="4">
        <v>0</v>
      </c>
      <c r="H5190" s="4">
        <v>0</v>
      </c>
      <c r="I5190" s="4">
        <v>0</v>
      </c>
      <c r="J5190" s="4">
        <v>17227</v>
      </c>
    </row>
    <row r="5191" spans="1:10" x14ac:dyDescent="0.75">
      <c r="A5191" t="s">
        <v>163</v>
      </c>
      <c r="B5191">
        <v>2439</v>
      </c>
      <c r="C5191" t="s">
        <v>219</v>
      </c>
      <c r="D5191">
        <v>6782</v>
      </c>
      <c r="E5191" t="s">
        <v>396</v>
      </c>
      <c r="F5191" s="4">
        <v>11314</v>
      </c>
      <c r="G5191" s="4">
        <v>0</v>
      </c>
      <c r="H5191" s="4">
        <v>0</v>
      </c>
      <c r="I5191" s="4">
        <v>0</v>
      </c>
      <c r="J5191" s="4">
        <v>11314</v>
      </c>
    </row>
    <row r="5192" spans="1:10" x14ac:dyDescent="0.75">
      <c r="A5192" t="s">
        <v>163</v>
      </c>
      <c r="B5192">
        <v>2439</v>
      </c>
      <c r="C5192" t="s">
        <v>219</v>
      </c>
      <c r="D5192">
        <v>4783</v>
      </c>
      <c r="E5192" t="s">
        <v>382</v>
      </c>
      <c r="F5192" s="4">
        <v>10673</v>
      </c>
      <c r="G5192" s="4">
        <v>0</v>
      </c>
      <c r="H5192" s="4">
        <v>0</v>
      </c>
      <c r="I5192" s="4">
        <v>0</v>
      </c>
      <c r="J5192" s="4">
        <v>10673</v>
      </c>
    </row>
    <row r="5193" spans="1:10" x14ac:dyDescent="0.75">
      <c r="A5193" t="s">
        <v>163</v>
      </c>
      <c r="B5193">
        <v>2439</v>
      </c>
      <c r="C5193" t="s">
        <v>219</v>
      </c>
      <c r="D5193">
        <v>3190</v>
      </c>
      <c r="E5193" t="s">
        <v>408</v>
      </c>
      <c r="F5193" s="4">
        <v>9414</v>
      </c>
      <c r="G5193" s="4">
        <v>0</v>
      </c>
      <c r="H5193" s="4">
        <v>0</v>
      </c>
      <c r="I5193" s="4">
        <v>0</v>
      </c>
      <c r="J5193" s="4">
        <v>9414</v>
      </c>
    </row>
    <row r="5194" spans="1:10" x14ac:dyDescent="0.75">
      <c r="A5194" t="s">
        <v>163</v>
      </c>
      <c r="B5194">
        <v>2439</v>
      </c>
      <c r="C5194" t="s">
        <v>219</v>
      </c>
      <c r="D5194">
        <v>6442</v>
      </c>
      <c r="E5194" t="s">
        <v>472</v>
      </c>
      <c r="F5194" s="4">
        <v>5570</v>
      </c>
      <c r="G5194" s="4">
        <v>0</v>
      </c>
      <c r="H5194" s="4">
        <v>0</v>
      </c>
      <c r="I5194" s="4">
        <v>0</v>
      </c>
      <c r="J5194" s="4">
        <v>5570</v>
      </c>
    </row>
    <row r="5195" spans="1:10" x14ac:dyDescent="0.75">
      <c r="A5195" t="s">
        <v>163</v>
      </c>
      <c r="B5195">
        <v>2439</v>
      </c>
      <c r="C5195" t="s">
        <v>219</v>
      </c>
      <c r="D5195">
        <v>6590</v>
      </c>
      <c r="E5195" t="s">
        <v>394</v>
      </c>
      <c r="F5195" s="4">
        <v>4002</v>
      </c>
      <c r="G5195" s="4">
        <v>0</v>
      </c>
      <c r="H5195" s="4">
        <v>0</v>
      </c>
      <c r="I5195" s="4">
        <v>0</v>
      </c>
      <c r="J5195" s="4">
        <v>4002</v>
      </c>
    </row>
    <row r="5196" spans="1:10" x14ac:dyDescent="0.75">
      <c r="A5196" t="s">
        <v>163</v>
      </c>
      <c r="B5196">
        <v>2439</v>
      </c>
      <c r="C5196" t="s">
        <v>219</v>
      </c>
      <c r="D5196">
        <v>4331</v>
      </c>
      <c r="E5196" t="s">
        <v>390</v>
      </c>
      <c r="F5196" s="4">
        <v>3560</v>
      </c>
      <c r="G5196" s="4">
        <v>0</v>
      </c>
      <c r="H5196" s="4">
        <v>0</v>
      </c>
      <c r="I5196" s="4">
        <v>0</v>
      </c>
      <c r="J5196" s="4">
        <v>3560</v>
      </c>
    </row>
    <row r="5197" spans="1:10" x14ac:dyDescent="0.75">
      <c r="A5197" t="s">
        <v>163</v>
      </c>
      <c r="B5197">
        <v>2439</v>
      </c>
      <c r="C5197" t="s">
        <v>219</v>
      </c>
      <c r="D5197">
        <v>3276</v>
      </c>
      <c r="E5197" t="s">
        <v>379</v>
      </c>
      <c r="F5197" s="4">
        <v>3147</v>
      </c>
      <c r="G5197" s="4">
        <v>0</v>
      </c>
      <c r="H5197" s="4">
        <v>0</v>
      </c>
      <c r="I5197" s="4">
        <v>0</v>
      </c>
      <c r="J5197" s="4">
        <v>3147</v>
      </c>
    </row>
    <row r="5198" spans="1:10" x14ac:dyDescent="0.75">
      <c r="A5198" t="s">
        <v>163</v>
      </c>
      <c r="B5198">
        <v>2439</v>
      </c>
      <c r="C5198" t="s">
        <v>219</v>
      </c>
      <c r="D5198">
        <v>2350</v>
      </c>
      <c r="E5198" t="s">
        <v>404</v>
      </c>
      <c r="F5198" s="4">
        <v>2716</v>
      </c>
      <c r="G5198" s="4">
        <v>0</v>
      </c>
      <c r="H5198" s="4">
        <v>0</v>
      </c>
      <c r="I5198" s="4">
        <v>0</v>
      </c>
      <c r="J5198" s="4">
        <v>2716</v>
      </c>
    </row>
    <row r="5199" spans="1:10" x14ac:dyDescent="0.75">
      <c r="A5199" t="s">
        <v>163</v>
      </c>
      <c r="B5199">
        <v>2439</v>
      </c>
      <c r="C5199" t="s">
        <v>219</v>
      </c>
      <c r="D5199">
        <v>6654</v>
      </c>
      <c r="E5199" t="s">
        <v>419</v>
      </c>
      <c r="F5199" s="4">
        <v>2031</v>
      </c>
      <c r="G5199" s="4">
        <v>0</v>
      </c>
      <c r="H5199" s="4">
        <v>0</v>
      </c>
      <c r="I5199" s="4">
        <v>0</v>
      </c>
      <c r="J5199" s="4">
        <v>2031</v>
      </c>
    </row>
    <row r="5200" spans="1:10" x14ac:dyDescent="0.75">
      <c r="A5200" t="s">
        <v>163</v>
      </c>
      <c r="B5200">
        <v>2439</v>
      </c>
      <c r="C5200" t="s">
        <v>219</v>
      </c>
      <c r="D5200">
        <v>6857</v>
      </c>
      <c r="E5200" t="s">
        <v>487</v>
      </c>
      <c r="F5200" s="4">
        <v>1500</v>
      </c>
      <c r="G5200" s="4">
        <v>0</v>
      </c>
      <c r="H5200" s="4">
        <v>0</v>
      </c>
      <c r="I5200" s="4">
        <v>0</v>
      </c>
      <c r="J5200" s="4">
        <v>1500</v>
      </c>
    </row>
    <row r="5201" spans="1:10" x14ac:dyDescent="0.75">
      <c r="A5201" t="s">
        <v>163</v>
      </c>
      <c r="B5201">
        <v>2439</v>
      </c>
      <c r="C5201" t="s">
        <v>219</v>
      </c>
      <c r="D5201">
        <v>6653</v>
      </c>
      <c r="E5201" t="s">
        <v>395</v>
      </c>
      <c r="F5201" s="4">
        <v>1463</v>
      </c>
      <c r="G5201" s="4">
        <v>0</v>
      </c>
      <c r="H5201" s="4">
        <v>0</v>
      </c>
      <c r="I5201" s="4">
        <v>0</v>
      </c>
      <c r="J5201" s="4">
        <v>1463</v>
      </c>
    </row>
    <row r="5202" spans="1:10" x14ac:dyDescent="0.75">
      <c r="A5202" t="s">
        <v>151</v>
      </c>
      <c r="B5202">
        <v>2440</v>
      </c>
      <c r="C5202" t="s">
        <v>45</v>
      </c>
      <c r="D5202">
        <v>6856</v>
      </c>
      <c r="E5202" t="s">
        <v>486</v>
      </c>
      <c r="F5202" s="4">
        <v>0</v>
      </c>
      <c r="G5202" s="4">
        <v>597129</v>
      </c>
      <c r="H5202" s="4">
        <v>588445</v>
      </c>
      <c r="I5202" s="4">
        <v>8684</v>
      </c>
      <c r="J5202" s="4">
        <v>597129</v>
      </c>
    </row>
    <row r="5203" spans="1:10" x14ac:dyDescent="0.75">
      <c r="A5203" t="s">
        <v>151</v>
      </c>
      <c r="B5203">
        <v>2440</v>
      </c>
      <c r="C5203" t="s">
        <v>45</v>
      </c>
      <c r="D5203">
        <v>4690</v>
      </c>
      <c r="E5203" t="s">
        <v>428</v>
      </c>
      <c r="F5203" s="4">
        <v>1545</v>
      </c>
      <c r="G5203" s="4">
        <v>558323</v>
      </c>
      <c r="H5203" s="4">
        <v>558323</v>
      </c>
      <c r="I5203" s="4">
        <v>0</v>
      </c>
      <c r="J5203" s="4">
        <v>559868</v>
      </c>
    </row>
    <row r="5204" spans="1:10" x14ac:dyDescent="0.75">
      <c r="A5204" t="s">
        <v>151</v>
      </c>
      <c r="B5204">
        <v>2440</v>
      </c>
      <c r="C5204" t="s">
        <v>45</v>
      </c>
      <c r="D5204">
        <v>5120</v>
      </c>
      <c r="E5204" t="s">
        <v>461</v>
      </c>
      <c r="F5204" s="4">
        <v>0</v>
      </c>
      <c r="G5204" s="4">
        <v>184883</v>
      </c>
      <c r="H5204" s="4">
        <v>17</v>
      </c>
      <c r="I5204" s="4">
        <v>184866</v>
      </c>
      <c r="J5204" s="4">
        <v>184883</v>
      </c>
    </row>
    <row r="5205" spans="1:10" x14ac:dyDescent="0.75">
      <c r="A5205" t="s">
        <v>151</v>
      </c>
      <c r="B5205">
        <v>2440</v>
      </c>
      <c r="C5205" t="s">
        <v>45</v>
      </c>
      <c r="D5205">
        <v>7500</v>
      </c>
      <c r="E5205" t="s">
        <v>427</v>
      </c>
      <c r="F5205" s="4">
        <v>0</v>
      </c>
      <c r="G5205" s="4">
        <v>143949</v>
      </c>
      <c r="H5205" s="4">
        <v>77722</v>
      </c>
      <c r="I5205" s="4">
        <v>66227</v>
      </c>
      <c r="J5205" s="4">
        <v>143949</v>
      </c>
    </row>
    <row r="5206" spans="1:10" x14ac:dyDescent="0.75">
      <c r="A5206" t="s">
        <v>151</v>
      </c>
      <c r="B5206">
        <v>2440</v>
      </c>
      <c r="C5206" t="s">
        <v>45</v>
      </c>
      <c r="D5206">
        <v>6811</v>
      </c>
      <c r="E5206" t="s">
        <v>480</v>
      </c>
      <c r="F5206" s="4">
        <v>0</v>
      </c>
      <c r="G5206" s="4">
        <v>97896</v>
      </c>
      <c r="H5206" s="4">
        <v>43</v>
      </c>
      <c r="I5206" s="4">
        <v>97853</v>
      </c>
      <c r="J5206" s="4">
        <v>97896</v>
      </c>
    </row>
    <row r="5207" spans="1:10" x14ac:dyDescent="0.75">
      <c r="A5207" t="s">
        <v>151</v>
      </c>
      <c r="B5207">
        <v>2440</v>
      </c>
      <c r="C5207" t="s">
        <v>45</v>
      </c>
      <c r="D5207">
        <v>7900</v>
      </c>
      <c r="E5207" t="s">
        <v>388</v>
      </c>
      <c r="F5207" s="4">
        <v>20363</v>
      </c>
      <c r="G5207" s="4">
        <v>55856</v>
      </c>
      <c r="H5207" s="4">
        <v>8316</v>
      </c>
      <c r="I5207" s="4">
        <v>47540</v>
      </c>
      <c r="J5207" s="4">
        <v>76219</v>
      </c>
    </row>
    <row r="5208" spans="1:10" x14ac:dyDescent="0.75">
      <c r="A5208" t="s">
        <v>151</v>
      </c>
      <c r="B5208">
        <v>2440</v>
      </c>
      <c r="C5208" t="s">
        <v>45</v>
      </c>
      <c r="D5208">
        <v>6893</v>
      </c>
      <c r="E5208" t="s">
        <v>496</v>
      </c>
      <c r="F5208" s="4">
        <v>0</v>
      </c>
      <c r="G5208" s="4">
        <v>67396</v>
      </c>
      <c r="H5208" s="4">
        <v>26838</v>
      </c>
      <c r="I5208" s="4">
        <v>40558</v>
      </c>
      <c r="J5208" s="4">
        <v>67396</v>
      </c>
    </row>
    <row r="5209" spans="1:10" x14ac:dyDescent="0.75">
      <c r="A5209" t="s">
        <v>151</v>
      </c>
      <c r="B5209">
        <v>2440</v>
      </c>
      <c r="C5209" t="s">
        <v>45</v>
      </c>
      <c r="D5209">
        <v>6857</v>
      </c>
      <c r="E5209" t="s">
        <v>487</v>
      </c>
      <c r="F5209" s="4">
        <v>0</v>
      </c>
      <c r="G5209" s="4">
        <v>59844</v>
      </c>
      <c r="H5209" s="4">
        <v>55308</v>
      </c>
      <c r="I5209" s="4">
        <v>4536</v>
      </c>
      <c r="J5209" s="4">
        <v>59844</v>
      </c>
    </row>
    <row r="5210" spans="1:10" x14ac:dyDescent="0.75">
      <c r="A5210" t="s">
        <v>151</v>
      </c>
      <c r="B5210">
        <v>2440</v>
      </c>
      <c r="C5210" t="s">
        <v>45</v>
      </c>
      <c r="D5210">
        <v>1200</v>
      </c>
      <c r="E5210" t="s">
        <v>402</v>
      </c>
      <c r="F5210" s="4">
        <v>41091</v>
      </c>
      <c r="G5210" s="4">
        <v>0</v>
      </c>
      <c r="H5210" s="4">
        <v>0</v>
      </c>
      <c r="I5210" s="4">
        <v>0</v>
      </c>
      <c r="J5210" s="4">
        <v>41091</v>
      </c>
    </row>
    <row r="5211" spans="1:10" x14ac:dyDescent="0.75">
      <c r="A5211" t="s">
        <v>151</v>
      </c>
      <c r="B5211">
        <v>2440</v>
      </c>
      <c r="C5211" t="s">
        <v>45</v>
      </c>
      <c r="D5211">
        <v>4331</v>
      </c>
      <c r="E5211" t="s">
        <v>390</v>
      </c>
      <c r="F5211" s="4">
        <v>18500</v>
      </c>
      <c r="G5211" s="4">
        <v>16535</v>
      </c>
      <c r="H5211" s="4">
        <v>16535</v>
      </c>
      <c r="I5211" s="4">
        <v>0</v>
      </c>
      <c r="J5211" s="4">
        <v>35035</v>
      </c>
    </row>
    <row r="5212" spans="1:10" x14ac:dyDescent="0.75">
      <c r="A5212" t="s">
        <v>151</v>
      </c>
      <c r="B5212">
        <v>2440</v>
      </c>
      <c r="C5212" t="s">
        <v>45</v>
      </c>
      <c r="D5212">
        <v>9900</v>
      </c>
      <c r="E5212" t="s">
        <v>389</v>
      </c>
      <c r="F5212" s="4">
        <v>0</v>
      </c>
      <c r="G5212" s="4">
        <v>25602</v>
      </c>
      <c r="H5212" s="4">
        <v>9590</v>
      </c>
      <c r="I5212" s="4">
        <v>16012</v>
      </c>
      <c r="J5212" s="4">
        <v>25602</v>
      </c>
    </row>
    <row r="5213" spans="1:10" x14ac:dyDescent="0.75">
      <c r="A5213" t="s">
        <v>151</v>
      </c>
      <c r="B5213">
        <v>2440</v>
      </c>
      <c r="C5213" t="s">
        <v>45</v>
      </c>
      <c r="D5213">
        <v>3219</v>
      </c>
      <c r="E5213" t="s">
        <v>378</v>
      </c>
      <c r="F5213" s="4">
        <v>0</v>
      </c>
      <c r="G5213" s="4">
        <v>15402</v>
      </c>
      <c r="H5213" s="4">
        <v>0</v>
      </c>
      <c r="I5213" s="4">
        <v>15402</v>
      </c>
      <c r="J5213" s="4">
        <v>15402</v>
      </c>
    </row>
    <row r="5214" spans="1:10" x14ac:dyDescent="0.75">
      <c r="A5214" t="s">
        <v>151</v>
      </c>
      <c r="B5214">
        <v>2440</v>
      </c>
      <c r="C5214" t="s">
        <v>45</v>
      </c>
      <c r="D5214">
        <v>7210</v>
      </c>
      <c r="E5214" t="s">
        <v>426</v>
      </c>
      <c r="F5214" s="4">
        <v>0</v>
      </c>
      <c r="G5214" s="4">
        <v>15235</v>
      </c>
      <c r="H5214" s="4">
        <v>11488</v>
      </c>
      <c r="I5214" s="4">
        <v>3747</v>
      </c>
      <c r="J5214" s="4">
        <v>15235</v>
      </c>
    </row>
    <row r="5215" spans="1:10" x14ac:dyDescent="0.75">
      <c r="A5215" t="s">
        <v>151</v>
      </c>
      <c r="B5215">
        <v>2440</v>
      </c>
      <c r="C5215" t="s">
        <v>45</v>
      </c>
      <c r="D5215">
        <v>5315</v>
      </c>
      <c r="E5215" t="s">
        <v>417</v>
      </c>
      <c r="F5215" s="4">
        <v>0</v>
      </c>
      <c r="G5215" s="4">
        <v>13212</v>
      </c>
      <c r="H5215" s="4">
        <v>13212</v>
      </c>
      <c r="I5215" s="4">
        <v>0</v>
      </c>
      <c r="J5215" s="4">
        <v>13212</v>
      </c>
    </row>
    <row r="5216" spans="1:10" x14ac:dyDescent="0.75">
      <c r="A5216" t="s">
        <v>151</v>
      </c>
      <c r="B5216">
        <v>2440</v>
      </c>
      <c r="C5216" t="s">
        <v>45</v>
      </c>
      <c r="D5216">
        <v>3285</v>
      </c>
      <c r="E5216" t="s">
        <v>443</v>
      </c>
      <c r="F5216" s="4">
        <v>0</v>
      </c>
      <c r="G5216" s="4">
        <v>12658</v>
      </c>
      <c r="H5216" s="4">
        <v>12507</v>
      </c>
      <c r="I5216" s="4">
        <v>151</v>
      </c>
      <c r="J5216" s="4">
        <v>12658</v>
      </c>
    </row>
    <row r="5217" spans="1:10" x14ac:dyDescent="0.75">
      <c r="A5217" t="s">
        <v>151</v>
      </c>
      <c r="B5217">
        <v>2440</v>
      </c>
      <c r="C5217" t="s">
        <v>45</v>
      </c>
      <c r="D5217">
        <v>2330</v>
      </c>
      <c r="E5217" t="s">
        <v>368</v>
      </c>
      <c r="F5217" s="4">
        <v>0</v>
      </c>
      <c r="G5217" s="4">
        <v>11459</v>
      </c>
      <c r="H5217" s="4">
        <v>36</v>
      </c>
      <c r="I5217" s="4">
        <v>11423</v>
      </c>
      <c r="J5217" s="4">
        <v>11459</v>
      </c>
    </row>
    <row r="5218" spans="1:10" x14ac:dyDescent="0.75">
      <c r="A5218" t="s">
        <v>151</v>
      </c>
      <c r="B5218">
        <v>2440</v>
      </c>
      <c r="C5218" t="s">
        <v>45</v>
      </c>
      <c r="D5218">
        <v>4680</v>
      </c>
      <c r="E5218" t="s">
        <v>459</v>
      </c>
      <c r="F5218" s="4">
        <v>0</v>
      </c>
      <c r="G5218" s="4">
        <v>8231</v>
      </c>
      <c r="H5218" s="4">
        <v>8231</v>
      </c>
      <c r="I5218" s="4">
        <v>0</v>
      </c>
      <c r="J5218" s="4">
        <v>8231</v>
      </c>
    </row>
    <row r="5219" spans="1:10" x14ac:dyDescent="0.75">
      <c r="A5219" t="s">
        <v>151</v>
      </c>
      <c r="B5219">
        <v>2440</v>
      </c>
      <c r="C5219" t="s">
        <v>45</v>
      </c>
      <c r="D5219">
        <v>4410</v>
      </c>
      <c r="E5219" t="s">
        <v>399</v>
      </c>
      <c r="F5219" s="4">
        <v>7700</v>
      </c>
      <c r="G5219" s="4">
        <v>0</v>
      </c>
      <c r="H5219" s="4">
        <v>0</v>
      </c>
      <c r="I5219" s="4">
        <v>0</v>
      </c>
      <c r="J5219" s="4">
        <v>7700</v>
      </c>
    </row>
    <row r="5220" spans="1:10" x14ac:dyDescent="0.75">
      <c r="A5220" t="s">
        <v>151</v>
      </c>
      <c r="B5220">
        <v>2440</v>
      </c>
      <c r="C5220" t="s">
        <v>45</v>
      </c>
      <c r="D5220">
        <v>5540</v>
      </c>
      <c r="E5220" t="s">
        <v>469</v>
      </c>
      <c r="F5220" s="4">
        <v>0</v>
      </c>
      <c r="G5220" s="4">
        <v>7242</v>
      </c>
      <c r="H5220" s="4">
        <v>7237</v>
      </c>
      <c r="I5220" s="4">
        <v>5</v>
      </c>
      <c r="J5220" s="4">
        <v>7242</v>
      </c>
    </row>
    <row r="5221" spans="1:10" x14ac:dyDescent="0.75">
      <c r="A5221" t="s">
        <v>151</v>
      </c>
      <c r="B5221">
        <v>2440</v>
      </c>
      <c r="C5221" t="s">
        <v>45</v>
      </c>
      <c r="D5221">
        <v>5190</v>
      </c>
      <c r="E5221" t="s">
        <v>462</v>
      </c>
      <c r="F5221" s="4">
        <v>0</v>
      </c>
      <c r="G5221" s="4">
        <v>6880</v>
      </c>
      <c r="H5221" s="4">
        <v>3269</v>
      </c>
      <c r="I5221" s="4">
        <v>3611</v>
      </c>
      <c r="J5221" s="4">
        <v>6880</v>
      </c>
    </row>
    <row r="5222" spans="1:10" x14ac:dyDescent="0.75">
      <c r="A5222" t="s">
        <v>151</v>
      </c>
      <c r="B5222">
        <v>2440</v>
      </c>
      <c r="C5222" t="s">
        <v>45</v>
      </c>
      <c r="D5222">
        <v>3286</v>
      </c>
      <c r="E5222" t="s">
        <v>423</v>
      </c>
      <c r="F5222" s="4">
        <v>0</v>
      </c>
      <c r="G5222" s="4">
        <v>6696</v>
      </c>
      <c r="H5222" s="4">
        <v>1251</v>
      </c>
      <c r="I5222" s="4">
        <v>5445</v>
      </c>
      <c r="J5222" s="4">
        <v>6696</v>
      </c>
    </row>
    <row r="5223" spans="1:10" x14ac:dyDescent="0.75">
      <c r="A5223" t="s">
        <v>151</v>
      </c>
      <c r="B5223">
        <v>2440</v>
      </c>
      <c r="C5223" t="s">
        <v>45</v>
      </c>
      <c r="D5223">
        <v>4225</v>
      </c>
      <c r="E5223" t="s">
        <v>380</v>
      </c>
      <c r="F5223" s="4">
        <v>0</v>
      </c>
      <c r="G5223" s="4">
        <v>6605</v>
      </c>
      <c r="H5223" s="4">
        <v>33</v>
      </c>
      <c r="I5223" s="4">
        <v>6572</v>
      </c>
      <c r="J5223" s="4">
        <v>6605</v>
      </c>
    </row>
    <row r="5224" spans="1:10" x14ac:dyDescent="0.75">
      <c r="A5224" t="s">
        <v>151</v>
      </c>
      <c r="B5224">
        <v>2440</v>
      </c>
      <c r="C5224" t="s">
        <v>45</v>
      </c>
      <c r="D5224">
        <v>6822</v>
      </c>
      <c r="E5224" t="s">
        <v>482</v>
      </c>
      <c r="F5224" s="4">
        <v>0</v>
      </c>
      <c r="G5224" s="4">
        <v>6130</v>
      </c>
      <c r="H5224" s="4">
        <v>115</v>
      </c>
      <c r="I5224" s="4">
        <v>6015</v>
      </c>
      <c r="J5224" s="4">
        <v>6130</v>
      </c>
    </row>
    <row r="5225" spans="1:10" x14ac:dyDescent="0.75">
      <c r="A5225" t="s">
        <v>151</v>
      </c>
      <c r="B5225">
        <v>2440</v>
      </c>
      <c r="C5225" t="s">
        <v>45</v>
      </c>
      <c r="D5225">
        <v>6889</v>
      </c>
      <c r="E5225" t="s">
        <v>420</v>
      </c>
      <c r="F5225" s="4">
        <v>0</v>
      </c>
      <c r="G5225" s="4">
        <v>5345</v>
      </c>
      <c r="H5225" s="4">
        <v>1594</v>
      </c>
      <c r="I5225" s="4">
        <v>3751</v>
      </c>
      <c r="J5225" s="4">
        <v>5345</v>
      </c>
    </row>
    <row r="5226" spans="1:10" x14ac:dyDescent="0.75">
      <c r="A5226" t="s">
        <v>151</v>
      </c>
      <c r="B5226">
        <v>2440</v>
      </c>
      <c r="C5226" t="s">
        <v>45</v>
      </c>
      <c r="D5226">
        <v>2540</v>
      </c>
      <c r="E5226" t="s">
        <v>377</v>
      </c>
      <c r="F5226" s="4">
        <v>5302</v>
      </c>
      <c r="G5226" s="4">
        <v>0</v>
      </c>
      <c r="H5226" s="4">
        <v>0</v>
      </c>
      <c r="I5226" s="4">
        <v>0</v>
      </c>
      <c r="J5226" s="4">
        <v>5302</v>
      </c>
    </row>
    <row r="5227" spans="1:10" x14ac:dyDescent="0.75">
      <c r="A5227" t="s">
        <v>151</v>
      </c>
      <c r="B5227">
        <v>2440</v>
      </c>
      <c r="C5227" t="s">
        <v>45</v>
      </c>
      <c r="D5227">
        <v>6654</v>
      </c>
      <c r="E5227" t="s">
        <v>419</v>
      </c>
      <c r="F5227" s="4">
        <v>0</v>
      </c>
      <c r="G5227" s="4">
        <v>4978</v>
      </c>
      <c r="H5227" s="4">
        <v>3520</v>
      </c>
      <c r="I5227" s="4">
        <v>1458</v>
      </c>
      <c r="J5227" s="4">
        <v>4978</v>
      </c>
    </row>
    <row r="5228" spans="1:10" x14ac:dyDescent="0.75">
      <c r="A5228" t="s">
        <v>151</v>
      </c>
      <c r="B5228">
        <v>2440</v>
      </c>
      <c r="C5228" t="s">
        <v>45</v>
      </c>
      <c r="D5228">
        <v>7120</v>
      </c>
      <c r="E5228" t="s">
        <v>499</v>
      </c>
      <c r="F5228" s="4">
        <v>0</v>
      </c>
      <c r="G5228" s="4">
        <v>4109</v>
      </c>
      <c r="H5228" s="4">
        <v>3579</v>
      </c>
      <c r="I5228" s="4">
        <v>530</v>
      </c>
      <c r="J5228" s="4">
        <v>4109</v>
      </c>
    </row>
    <row r="5229" spans="1:10" x14ac:dyDescent="0.75">
      <c r="A5229" t="s">
        <v>151</v>
      </c>
      <c r="B5229">
        <v>2440</v>
      </c>
      <c r="C5229" t="s">
        <v>45</v>
      </c>
      <c r="D5229">
        <v>4189</v>
      </c>
      <c r="E5229" t="s">
        <v>451</v>
      </c>
      <c r="F5229" s="4">
        <v>0</v>
      </c>
      <c r="G5229" s="4">
        <v>3740</v>
      </c>
      <c r="H5229" s="4">
        <v>3296</v>
      </c>
      <c r="I5229" s="4">
        <v>444</v>
      </c>
      <c r="J5229" s="4">
        <v>3740</v>
      </c>
    </row>
    <row r="5230" spans="1:10" x14ac:dyDescent="0.75">
      <c r="A5230" t="s">
        <v>151</v>
      </c>
      <c r="B5230">
        <v>2440</v>
      </c>
      <c r="C5230" t="s">
        <v>45</v>
      </c>
      <c r="D5230">
        <v>7400</v>
      </c>
      <c r="E5230" t="s">
        <v>502</v>
      </c>
      <c r="F5230" s="4">
        <v>0</v>
      </c>
      <c r="G5230" s="4">
        <v>3381</v>
      </c>
      <c r="H5230" s="4">
        <v>159</v>
      </c>
      <c r="I5230" s="4">
        <v>3222</v>
      </c>
      <c r="J5230" s="4">
        <v>3381</v>
      </c>
    </row>
    <row r="5231" spans="1:10" x14ac:dyDescent="0.75">
      <c r="A5231" t="s">
        <v>151</v>
      </c>
      <c r="B5231">
        <v>2440</v>
      </c>
      <c r="C5231" t="s">
        <v>45</v>
      </c>
      <c r="D5231">
        <v>4420</v>
      </c>
      <c r="E5231" t="s">
        <v>381</v>
      </c>
      <c r="F5231" s="4">
        <v>3100</v>
      </c>
      <c r="G5231" s="4">
        <v>0</v>
      </c>
      <c r="H5231" s="4">
        <v>0</v>
      </c>
      <c r="I5231" s="4">
        <v>0</v>
      </c>
      <c r="J5231" s="4">
        <v>3100</v>
      </c>
    </row>
    <row r="5232" spans="1:10" x14ac:dyDescent="0.75">
      <c r="A5232" t="s">
        <v>151</v>
      </c>
      <c r="B5232">
        <v>2440</v>
      </c>
      <c r="C5232" t="s">
        <v>45</v>
      </c>
      <c r="D5232">
        <v>7600</v>
      </c>
      <c r="E5232" t="s">
        <v>503</v>
      </c>
      <c r="F5232" s="4">
        <v>0</v>
      </c>
      <c r="G5232" s="4">
        <v>2972</v>
      </c>
      <c r="H5232" s="4">
        <v>1956</v>
      </c>
      <c r="I5232" s="4">
        <v>1016</v>
      </c>
      <c r="J5232" s="4">
        <v>2972</v>
      </c>
    </row>
    <row r="5233" spans="1:10" x14ac:dyDescent="0.75">
      <c r="A5233" t="s">
        <v>151</v>
      </c>
      <c r="B5233">
        <v>2440</v>
      </c>
      <c r="C5233" t="s">
        <v>45</v>
      </c>
      <c r="D5233">
        <v>5110</v>
      </c>
      <c r="E5233" t="s">
        <v>460</v>
      </c>
      <c r="F5233" s="4">
        <v>0</v>
      </c>
      <c r="G5233" s="4">
        <v>2920</v>
      </c>
      <c r="H5233" s="4">
        <v>0</v>
      </c>
      <c r="I5233" s="4">
        <v>2920</v>
      </c>
      <c r="J5233" s="4">
        <v>2920</v>
      </c>
    </row>
    <row r="5234" spans="1:10" x14ac:dyDescent="0.75">
      <c r="A5234" t="s">
        <v>151</v>
      </c>
      <c r="B5234">
        <v>2440</v>
      </c>
      <c r="C5234" t="s">
        <v>45</v>
      </c>
      <c r="D5234">
        <v>3284</v>
      </c>
      <c r="E5234" t="s">
        <v>442</v>
      </c>
      <c r="F5234" s="4">
        <v>0</v>
      </c>
      <c r="G5234" s="4">
        <v>2767</v>
      </c>
      <c r="H5234" s="4">
        <v>0</v>
      </c>
      <c r="I5234" s="4">
        <v>2767</v>
      </c>
      <c r="J5234" s="4">
        <v>2767</v>
      </c>
    </row>
    <row r="5235" spans="1:10" x14ac:dyDescent="0.75">
      <c r="A5235" t="s">
        <v>151</v>
      </c>
      <c r="B5235">
        <v>2440</v>
      </c>
      <c r="C5235" t="s">
        <v>45</v>
      </c>
      <c r="D5235">
        <v>5480</v>
      </c>
      <c r="E5235" t="s">
        <v>386</v>
      </c>
      <c r="F5235" s="4">
        <v>0</v>
      </c>
      <c r="G5235" s="4">
        <v>1675</v>
      </c>
      <c r="H5235" s="4">
        <v>279</v>
      </c>
      <c r="I5235" s="4">
        <v>1396</v>
      </c>
      <c r="J5235" s="4">
        <v>1675</v>
      </c>
    </row>
    <row r="5236" spans="1:10" x14ac:dyDescent="0.75">
      <c r="A5236" t="s">
        <v>151</v>
      </c>
      <c r="B5236">
        <v>2440</v>
      </c>
      <c r="C5236" t="s">
        <v>45</v>
      </c>
      <c r="D5236">
        <v>6817</v>
      </c>
      <c r="E5236" t="s">
        <v>481</v>
      </c>
      <c r="F5236" s="4">
        <v>0</v>
      </c>
      <c r="G5236" s="4">
        <v>1673</v>
      </c>
      <c r="H5236" s="4">
        <v>42</v>
      </c>
      <c r="I5236" s="4">
        <v>1631</v>
      </c>
      <c r="J5236" s="4">
        <v>1673</v>
      </c>
    </row>
    <row r="5237" spans="1:10" x14ac:dyDescent="0.75">
      <c r="A5237" t="s">
        <v>151</v>
      </c>
      <c r="B5237">
        <v>2440</v>
      </c>
      <c r="C5237" t="s">
        <v>45</v>
      </c>
      <c r="D5237">
        <v>4782</v>
      </c>
      <c r="E5237" t="s">
        <v>414</v>
      </c>
      <c r="F5237" s="4">
        <v>0</v>
      </c>
      <c r="G5237" s="4">
        <v>1665</v>
      </c>
      <c r="H5237" s="4">
        <v>0</v>
      </c>
      <c r="I5237" s="4">
        <v>1665</v>
      </c>
      <c r="J5237" s="4">
        <v>1665</v>
      </c>
    </row>
    <row r="5238" spans="1:10" x14ac:dyDescent="0.75">
      <c r="A5238" t="s">
        <v>151</v>
      </c>
      <c r="B5238">
        <v>2440</v>
      </c>
      <c r="C5238" t="s">
        <v>45</v>
      </c>
      <c r="D5238">
        <v>2410</v>
      </c>
      <c r="E5238" t="s">
        <v>430</v>
      </c>
      <c r="F5238" s="4">
        <v>0</v>
      </c>
      <c r="G5238" s="4">
        <v>1409</v>
      </c>
      <c r="H5238" s="4">
        <v>0</v>
      </c>
      <c r="I5238" s="4">
        <v>1409</v>
      </c>
      <c r="J5238" s="4">
        <v>1409</v>
      </c>
    </row>
    <row r="5239" spans="1:10" x14ac:dyDescent="0.75">
      <c r="A5239" t="s">
        <v>151</v>
      </c>
      <c r="B5239">
        <v>2440</v>
      </c>
      <c r="C5239" t="s">
        <v>45</v>
      </c>
      <c r="D5239">
        <v>6858</v>
      </c>
      <c r="E5239" t="s">
        <v>488</v>
      </c>
      <c r="F5239" s="4">
        <v>0</v>
      </c>
      <c r="G5239" s="4">
        <v>1367</v>
      </c>
      <c r="H5239" s="4">
        <v>705</v>
      </c>
      <c r="I5239" s="4">
        <v>662</v>
      </c>
      <c r="J5239" s="4">
        <v>1367</v>
      </c>
    </row>
    <row r="5240" spans="1:10" x14ac:dyDescent="0.75">
      <c r="A5240" t="s">
        <v>151</v>
      </c>
      <c r="B5240">
        <v>2440</v>
      </c>
      <c r="C5240" t="s">
        <v>45</v>
      </c>
      <c r="D5240">
        <v>7110</v>
      </c>
      <c r="E5240" t="s">
        <v>371</v>
      </c>
      <c r="F5240" s="4">
        <v>96</v>
      </c>
      <c r="G5240" s="4">
        <v>1261</v>
      </c>
      <c r="H5240" s="4">
        <v>172</v>
      </c>
      <c r="I5240" s="4">
        <v>1089</v>
      </c>
      <c r="J5240" s="4">
        <v>1357</v>
      </c>
    </row>
    <row r="5241" spans="1:10" x14ac:dyDescent="0.75">
      <c r="A5241" t="s">
        <v>151</v>
      </c>
      <c r="B5241">
        <v>2440</v>
      </c>
      <c r="C5241" t="s">
        <v>45</v>
      </c>
      <c r="D5241">
        <v>5422</v>
      </c>
      <c r="E5241" t="s">
        <v>468</v>
      </c>
      <c r="F5241" s="4">
        <v>0</v>
      </c>
      <c r="G5241" s="4">
        <v>1208</v>
      </c>
      <c r="H5241" s="4">
        <v>87</v>
      </c>
      <c r="I5241" s="4">
        <v>1121</v>
      </c>
      <c r="J5241" s="4">
        <v>1208</v>
      </c>
    </row>
    <row r="5242" spans="1:10" x14ac:dyDescent="0.75">
      <c r="A5242" t="s">
        <v>151</v>
      </c>
      <c r="B5242">
        <v>2440</v>
      </c>
      <c r="C5242" t="s">
        <v>45</v>
      </c>
      <c r="D5242">
        <v>5290</v>
      </c>
      <c r="E5242" t="s">
        <v>415</v>
      </c>
      <c r="F5242" s="4">
        <v>0</v>
      </c>
      <c r="G5242" s="4">
        <v>1063</v>
      </c>
      <c r="H5242" s="4">
        <v>94</v>
      </c>
      <c r="I5242" s="4">
        <v>969</v>
      </c>
      <c r="J5242" s="4">
        <v>1063</v>
      </c>
    </row>
    <row r="5243" spans="1:10" x14ac:dyDescent="0.75">
      <c r="A5243" t="s">
        <v>151</v>
      </c>
      <c r="B5243">
        <v>2440</v>
      </c>
      <c r="C5243" t="s">
        <v>45</v>
      </c>
      <c r="D5243">
        <v>5370</v>
      </c>
      <c r="E5243" t="s">
        <v>466</v>
      </c>
      <c r="F5243" s="4">
        <v>0</v>
      </c>
      <c r="G5243" s="4">
        <v>843</v>
      </c>
      <c r="H5243" s="4">
        <v>775</v>
      </c>
      <c r="I5243" s="4">
        <v>68</v>
      </c>
      <c r="J5243" s="4">
        <v>843</v>
      </c>
    </row>
    <row r="5244" spans="1:10" x14ac:dyDescent="0.75">
      <c r="A5244" t="s">
        <v>151</v>
      </c>
      <c r="B5244">
        <v>2440</v>
      </c>
      <c r="C5244" t="s">
        <v>45</v>
      </c>
      <c r="D5244">
        <v>6781</v>
      </c>
      <c r="E5244" t="s">
        <v>479</v>
      </c>
      <c r="F5244" s="4">
        <v>0</v>
      </c>
      <c r="G5244" s="4">
        <v>793</v>
      </c>
      <c r="H5244" s="4">
        <v>0</v>
      </c>
      <c r="I5244" s="4">
        <v>793</v>
      </c>
      <c r="J5244" s="4">
        <v>793</v>
      </c>
    </row>
    <row r="5245" spans="1:10" x14ac:dyDescent="0.75">
      <c r="A5245" t="s">
        <v>151</v>
      </c>
      <c r="B5245">
        <v>2440</v>
      </c>
      <c r="C5245" t="s">
        <v>45</v>
      </c>
      <c r="D5245">
        <v>6747</v>
      </c>
      <c r="E5245" t="s">
        <v>478</v>
      </c>
      <c r="F5245" s="4">
        <v>0</v>
      </c>
      <c r="G5245" s="4">
        <v>746</v>
      </c>
      <c r="H5245" s="4">
        <v>156</v>
      </c>
      <c r="I5245" s="4">
        <v>590</v>
      </c>
      <c r="J5245" s="4">
        <v>746</v>
      </c>
    </row>
    <row r="5246" spans="1:10" x14ac:dyDescent="0.75">
      <c r="A5246" t="s">
        <v>151</v>
      </c>
      <c r="B5246">
        <v>2440</v>
      </c>
      <c r="C5246" t="s">
        <v>45</v>
      </c>
      <c r="D5246">
        <v>3282</v>
      </c>
      <c r="E5246" t="s">
        <v>440</v>
      </c>
      <c r="F5246" s="4">
        <v>0</v>
      </c>
      <c r="G5246" s="4">
        <v>730</v>
      </c>
      <c r="H5246" s="4">
        <v>0</v>
      </c>
      <c r="I5246" s="4">
        <v>730</v>
      </c>
      <c r="J5246" s="4">
        <v>730</v>
      </c>
    </row>
    <row r="5247" spans="1:10" x14ac:dyDescent="0.75">
      <c r="A5247" t="s">
        <v>151</v>
      </c>
      <c r="B5247">
        <v>2440</v>
      </c>
      <c r="C5247" t="s">
        <v>45</v>
      </c>
      <c r="D5247">
        <v>6885</v>
      </c>
      <c r="E5247" t="s">
        <v>493</v>
      </c>
      <c r="F5247" s="4">
        <v>0</v>
      </c>
      <c r="G5247" s="4">
        <v>661</v>
      </c>
      <c r="H5247" s="4">
        <v>581</v>
      </c>
      <c r="I5247" s="4">
        <v>80</v>
      </c>
      <c r="J5247" s="4">
        <v>661</v>
      </c>
    </row>
    <row r="5248" spans="1:10" x14ac:dyDescent="0.75">
      <c r="A5248" t="s">
        <v>151</v>
      </c>
      <c r="B5248">
        <v>2440</v>
      </c>
      <c r="C5248" t="s">
        <v>45</v>
      </c>
      <c r="D5248">
        <v>6653</v>
      </c>
      <c r="E5248" t="s">
        <v>395</v>
      </c>
      <c r="F5248" s="4">
        <v>0</v>
      </c>
      <c r="G5248" s="4">
        <v>613</v>
      </c>
      <c r="H5248" s="4">
        <v>0</v>
      </c>
      <c r="I5248" s="4">
        <v>613</v>
      </c>
      <c r="J5248" s="4">
        <v>613</v>
      </c>
    </row>
    <row r="5249" spans="1:10" x14ac:dyDescent="0.75">
      <c r="A5249" t="s">
        <v>151</v>
      </c>
      <c r="B5249">
        <v>2440</v>
      </c>
      <c r="C5249" t="s">
        <v>45</v>
      </c>
      <c r="D5249">
        <v>6344</v>
      </c>
      <c r="E5249" t="s">
        <v>392</v>
      </c>
      <c r="F5249" s="4">
        <v>0</v>
      </c>
      <c r="G5249" s="4">
        <v>552</v>
      </c>
      <c r="H5249" s="4">
        <v>82</v>
      </c>
      <c r="I5249" s="4">
        <v>470</v>
      </c>
      <c r="J5249" s="4">
        <v>552</v>
      </c>
    </row>
    <row r="5250" spans="1:10" x14ac:dyDescent="0.75">
      <c r="A5250" t="s">
        <v>151</v>
      </c>
      <c r="B5250">
        <v>2440</v>
      </c>
      <c r="C5250" t="s">
        <v>45</v>
      </c>
      <c r="D5250">
        <v>3276</v>
      </c>
      <c r="E5250" t="s">
        <v>379</v>
      </c>
      <c r="F5250" s="4">
        <v>0</v>
      </c>
      <c r="G5250" s="4">
        <v>501</v>
      </c>
      <c r="H5250" s="4">
        <v>154</v>
      </c>
      <c r="I5250" s="4">
        <v>347</v>
      </c>
      <c r="J5250" s="4">
        <v>501</v>
      </c>
    </row>
    <row r="5251" spans="1:10" x14ac:dyDescent="0.75">
      <c r="A5251" t="s">
        <v>151</v>
      </c>
      <c r="B5251">
        <v>2440</v>
      </c>
      <c r="C5251" t="s">
        <v>45</v>
      </c>
      <c r="D5251">
        <v>6891</v>
      </c>
      <c r="E5251" t="s">
        <v>495</v>
      </c>
      <c r="F5251" s="4">
        <v>0</v>
      </c>
      <c r="G5251" s="4">
        <v>437</v>
      </c>
      <c r="H5251" s="4">
        <v>0</v>
      </c>
      <c r="I5251" s="4">
        <v>437</v>
      </c>
      <c r="J5251" s="4">
        <v>437</v>
      </c>
    </row>
    <row r="5252" spans="1:10" x14ac:dyDescent="0.75">
      <c r="A5252" t="s">
        <v>151</v>
      </c>
      <c r="B5252">
        <v>2440</v>
      </c>
      <c r="C5252" t="s">
        <v>45</v>
      </c>
      <c r="D5252">
        <v>4161</v>
      </c>
      <c r="E5252" t="s">
        <v>421</v>
      </c>
      <c r="F5252" s="4">
        <v>0</v>
      </c>
      <c r="G5252" s="4">
        <v>255</v>
      </c>
      <c r="H5252" s="4">
        <v>255</v>
      </c>
      <c r="I5252" s="4">
        <v>0</v>
      </c>
      <c r="J5252" s="4">
        <v>255</v>
      </c>
    </row>
    <row r="5253" spans="1:10" x14ac:dyDescent="0.75">
      <c r="A5253" t="s">
        <v>151</v>
      </c>
      <c r="B5253">
        <v>2440</v>
      </c>
      <c r="C5253" t="s">
        <v>45</v>
      </c>
      <c r="D5253">
        <v>5240</v>
      </c>
      <c r="E5253" t="s">
        <v>464</v>
      </c>
      <c r="F5253" s="4">
        <v>0</v>
      </c>
      <c r="G5253" s="4">
        <v>170</v>
      </c>
      <c r="H5253" s="4">
        <v>1</v>
      </c>
      <c r="I5253" s="4">
        <v>169</v>
      </c>
      <c r="J5253" s="4">
        <v>170</v>
      </c>
    </row>
    <row r="5254" spans="1:10" x14ac:dyDescent="0.75">
      <c r="A5254" t="s">
        <v>151</v>
      </c>
      <c r="B5254">
        <v>2440</v>
      </c>
      <c r="C5254" t="s">
        <v>45</v>
      </c>
      <c r="D5254">
        <v>3299</v>
      </c>
      <c r="E5254" t="s">
        <v>448</v>
      </c>
      <c r="F5254" s="4">
        <v>0</v>
      </c>
      <c r="G5254" s="4">
        <v>157</v>
      </c>
      <c r="H5254" s="4">
        <v>0</v>
      </c>
      <c r="I5254" s="4">
        <v>157</v>
      </c>
      <c r="J5254" s="4">
        <v>157</v>
      </c>
    </row>
    <row r="5255" spans="1:10" x14ac:dyDescent="0.75">
      <c r="A5255" t="s">
        <v>151</v>
      </c>
      <c r="B5255">
        <v>2440</v>
      </c>
      <c r="C5255" t="s">
        <v>45</v>
      </c>
      <c r="D5255">
        <v>5421</v>
      </c>
      <c r="E5255" t="s">
        <v>467</v>
      </c>
      <c r="F5255" s="4">
        <v>0</v>
      </c>
      <c r="G5255" s="4">
        <v>154</v>
      </c>
      <c r="H5255" s="4">
        <v>0</v>
      </c>
      <c r="I5255" s="4">
        <v>154</v>
      </c>
      <c r="J5255" s="4">
        <v>154</v>
      </c>
    </row>
    <row r="5256" spans="1:10" x14ac:dyDescent="0.75">
      <c r="A5256" t="s">
        <v>151</v>
      </c>
      <c r="B5256">
        <v>2440</v>
      </c>
      <c r="C5256" t="s">
        <v>45</v>
      </c>
      <c r="D5256">
        <v>6782</v>
      </c>
      <c r="E5256" t="s">
        <v>396</v>
      </c>
      <c r="F5256" s="4">
        <v>0</v>
      </c>
      <c r="G5256" s="4">
        <v>145</v>
      </c>
      <c r="H5256" s="4">
        <v>0</v>
      </c>
      <c r="I5256" s="4">
        <v>145</v>
      </c>
      <c r="J5256" s="4">
        <v>145</v>
      </c>
    </row>
    <row r="5257" spans="1:10" x14ac:dyDescent="0.75">
      <c r="A5257" t="s">
        <v>151</v>
      </c>
      <c r="B5257">
        <v>2440</v>
      </c>
      <c r="C5257" t="s">
        <v>45</v>
      </c>
      <c r="D5257">
        <v>6839</v>
      </c>
      <c r="E5257" t="s">
        <v>485</v>
      </c>
      <c r="F5257" s="4">
        <v>0</v>
      </c>
      <c r="G5257" s="4">
        <v>133</v>
      </c>
      <c r="H5257" s="4">
        <v>0</v>
      </c>
      <c r="I5257" s="4">
        <v>133</v>
      </c>
      <c r="J5257" s="4">
        <v>133</v>
      </c>
    </row>
    <row r="5258" spans="1:10" x14ac:dyDescent="0.75">
      <c r="A5258" t="s">
        <v>151</v>
      </c>
      <c r="B5258">
        <v>2440</v>
      </c>
      <c r="C5258" t="s">
        <v>45</v>
      </c>
      <c r="D5258">
        <v>3250</v>
      </c>
      <c r="E5258" t="s">
        <v>435</v>
      </c>
      <c r="F5258" s="4">
        <v>0</v>
      </c>
      <c r="G5258" s="4">
        <v>127</v>
      </c>
      <c r="H5258" s="4">
        <v>0</v>
      </c>
      <c r="I5258" s="4">
        <v>127</v>
      </c>
      <c r="J5258" s="4">
        <v>127</v>
      </c>
    </row>
    <row r="5259" spans="1:10" x14ac:dyDescent="0.75">
      <c r="A5259" t="s">
        <v>151</v>
      </c>
      <c r="B5259">
        <v>2440</v>
      </c>
      <c r="C5259" t="s">
        <v>45</v>
      </c>
      <c r="D5259">
        <v>3297</v>
      </c>
      <c r="E5259" t="s">
        <v>446</v>
      </c>
      <c r="F5259" s="4">
        <v>0</v>
      </c>
      <c r="G5259" s="4">
        <v>79</v>
      </c>
      <c r="H5259" s="4">
        <v>0</v>
      </c>
      <c r="I5259" s="4">
        <v>79</v>
      </c>
      <c r="J5259" s="4">
        <v>79</v>
      </c>
    </row>
    <row r="5260" spans="1:10" x14ac:dyDescent="0.75">
      <c r="A5260" t="s">
        <v>151</v>
      </c>
      <c r="B5260">
        <v>2440</v>
      </c>
      <c r="C5260" t="s">
        <v>45</v>
      </c>
      <c r="D5260">
        <v>4783</v>
      </c>
      <c r="E5260" t="s">
        <v>382</v>
      </c>
      <c r="F5260" s="4">
        <v>0</v>
      </c>
      <c r="G5260" s="4">
        <v>70</v>
      </c>
      <c r="H5260" s="4">
        <v>0</v>
      </c>
      <c r="I5260" s="4">
        <v>70</v>
      </c>
      <c r="J5260" s="4">
        <v>70</v>
      </c>
    </row>
    <row r="5261" spans="1:10" x14ac:dyDescent="0.75">
      <c r="A5261" t="s">
        <v>151</v>
      </c>
      <c r="B5261">
        <v>2440</v>
      </c>
      <c r="C5261" t="s">
        <v>45</v>
      </c>
      <c r="D5261">
        <v>3279</v>
      </c>
      <c r="E5261" t="s">
        <v>422</v>
      </c>
      <c r="F5261" s="4">
        <v>0</v>
      </c>
      <c r="G5261" s="4">
        <v>65</v>
      </c>
      <c r="H5261" s="4">
        <v>0</v>
      </c>
      <c r="I5261" s="4">
        <v>65</v>
      </c>
      <c r="J5261" s="4">
        <v>65</v>
      </c>
    </row>
    <row r="5262" spans="1:10" x14ac:dyDescent="0.75">
      <c r="A5262" t="s">
        <v>151</v>
      </c>
      <c r="B5262">
        <v>2440</v>
      </c>
      <c r="C5262" t="s">
        <v>45</v>
      </c>
      <c r="D5262">
        <v>6136</v>
      </c>
      <c r="E5262" t="s">
        <v>471</v>
      </c>
      <c r="F5262" s="4">
        <v>0</v>
      </c>
      <c r="G5262" s="4">
        <v>46</v>
      </c>
      <c r="H5262" s="4">
        <v>20</v>
      </c>
      <c r="I5262" s="4">
        <v>26</v>
      </c>
      <c r="J5262" s="4">
        <v>46</v>
      </c>
    </row>
    <row r="5263" spans="1:10" x14ac:dyDescent="0.75">
      <c r="A5263" t="s">
        <v>151</v>
      </c>
      <c r="B5263">
        <v>2440</v>
      </c>
      <c r="C5263" t="s">
        <v>45</v>
      </c>
      <c r="D5263">
        <v>6134</v>
      </c>
      <c r="E5263" t="s">
        <v>470</v>
      </c>
      <c r="F5263" s="4">
        <v>0</v>
      </c>
      <c r="G5263" s="4">
        <v>45</v>
      </c>
      <c r="H5263" s="4">
        <v>19</v>
      </c>
      <c r="I5263" s="4">
        <v>26</v>
      </c>
      <c r="J5263" s="4">
        <v>45</v>
      </c>
    </row>
    <row r="5264" spans="1:10" x14ac:dyDescent="0.75">
      <c r="A5264" t="s">
        <v>151</v>
      </c>
      <c r="B5264">
        <v>2440</v>
      </c>
      <c r="C5264" t="s">
        <v>45</v>
      </c>
      <c r="D5264">
        <v>3275</v>
      </c>
      <c r="E5264" t="s">
        <v>412</v>
      </c>
      <c r="F5264" s="4">
        <v>0</v>
      </c>
      <c r="G5264" s="4">
        <v>43</v>
      </c>
      <c r="H5264" s="4">
        <v>0</v>
      </c>
      <c r="I5264" s="4">
        <v>43</v>
      </c>
      <c r="J5264" s="4">
        <v>43</v>
      </c>
    </row>
    <row r="5265" spans="1:10" x14ac:dyDescent="0.75">
      <c r="A5265" t="s">
        <v>151</v>
      </c>
      <c r="B5265">
        <v>2440</v>
      </c>
      <c r="C5265" t="s">
        <v>45</v>
      </c>
      <c r="D5265">
        <v>6746</v>
      </c>
      <c r="E5265" t="s">
        <v>477</v>
      </c>
      <c r="F5265" s="4">
        <v>0</v>
      </c>
      <c r="G5265" s="4">
        <v>43</v>
      </c>
      <c r="H5265" s="4">
        <v>0</v>
      </c>
      <c r="I5265" s="4">
        <v>43</v>
      </c>
      <c r="J5265" s="4">
        <v>43</v>
      </c>
    </row>
    <row r="5266" spans="1:10" x14ac:dyDescent="0.75">
      <c r="A5266" t="s">
        <v>151</v>
      </c>
      <c r="B5266">
        <v>2440</v>
      </c>
      <c r="C5266" t="s">
        <v>45</v>
      </c>
      <c r="D5266">
        <v>3260</v>
      </c>
      <c r="E5266" t="s">
        <v>436</v>
      </c>
      <c r="F5266" s="4">
        <v>0</v>
      </c>
      <c r="G5266" s="4">
        <v>41</v>
      </c>
      <c r="H5266" s="4">
        <v>0</v>
      </c>
      <c r="I5266" s="4">
        <v>41</v>
      </c>
      <c r="J5266" s="4">
        <v>41</v>
      </c>
    </row>
    <row r="5267" spans="1:10" x14ac:dyDescent="0.75">
      <c r="A5267" t="s">
        <v>151</v>
      </c>
      <c r="B5267">
        <v>2440</v>
      </c>
      <c r="C5267" t="s">
        <v>45</v>
      </c>
      <c r="D5267">
        <v>3283</v>
      </c>
      <c r="E5267" t="s">
        <v>441</v>
      </c>
      <c r="F5267" s="4">
        <v>0</v>
      </c>
      <c r="G5267" s="4">
        <v>33</v>
      </c>
      <c r="H5267" s="4">
        <v>0</v>
      </c>
      <c r="I5267" s="4">
        <v>33</v>
      </c>
      <c r="J5267" s="4">
        <v>33</v>
      </c>
    </row>
    <row r="5268" spans="1:10" x14ac:dyDescent="0.75">
      <c r="A5268" t="s">
        <v>151</v>
      </c>
      <c r="B5268">
        <v>2440</v>
      </c>
      <c r="C5268" t="s">
        <v>45</v>
      </c>
      <c r="D5268">
        <v>3240</v>
      </c>
      <c r="E5268" t="s">
        <v>410</v>
      </c>
      <c r="F5268" s="4">
        <v>0</v>
      </c>
      <c r="G5268" s="4">
        <v>23</v>
      </c>
      <c r="H5268" s="4">
        <v>0</v>
      </c>
      <c r="I5268" s="4">
        <v>23</v>
      </c>
      <c r="J5268" s="4">
        <v>23</v>
      </c>
    </row>
    <row r="5269" spans="1:10" x14ac:dyDescent="0.75">
      <c r="A5269" t="s">
        <v>151</v>
      </c>
      <c r="B5269">
        <v>2440</v>
      </c>
      <c r="C5269" t="s">
        <v>45</v>
      </c>
      <c r="D5269">
        <v>2350</v>
      </c>
      <c r="E5269" t="s">
        <v>404</v>
      </c>
      <c r="F5269" s="4">
        <v>0</v>
      </c>
      <c r="G5269" s="4">
        <v>22</v>
      </c>
      <c r="H5269" s="4">
        <v>0</v>
      </c>
      <c r="I5269" s="4">
        <v>22</v>
      </c>
      <c r="J5269" s="4">
        <v>22</v>
      </c>
    </row>
    <row r="5270" spans="1:10" x14ac:dyDescent="0.75">
      <c r="A5270" t="s">
        <v>151</v>
      </c>
      <c r="B5270">
        <v>2440</v>
      </c>
      <c r="C5270" t="s">
        <v>45</v>
      </c>
      <c r="D5270">
        <v>6838</v>
      </c>
      <c r="E5270" t="s">
        <v>484</v>
      </c>
      <c r="F5270" s="4">
        <v>0</v>
      </c>
      <c r="G5270" s="4">
        <v>22</v>
      </c>
      <c r="H5270" s="4">
        <v>0</v>
      </c>
      <c r="I5270" s="4">
        <v>22</v>
      </c>
      <c r="J5270" s="4">
        <v>22</v>
      </c>
    </row>
    <row r="5271" spans="1:10" x14ac:dyDescent="0.75">
      <c r="A5271" t="s">
        <v>151</v>
      </c>
      <c r="B5271">
        <v>2440</v>
      </c>
      <c r="C5271" t="s">
        <v>45</v>
      </c>
      <c r="D5271">
        <v>4650</v>
      </c>
      <c r="E5271" t="s">
        <v>457</v>
      </c>
      <c r="F5271" s="4">
        <v>0</v>
      </c>
      <c r="G5271" s="4">
        <v>21</v>
      </c>
      <c r="H5271" s="4">
        <v>0</v>
      </c>
      <c r="I5271" s="4">
        <v>21</v>
      </c>
      <c r="J5271" s="4">
        <v>21</v>
      </c>
    </row>
    <row r="5272" spans="1:10" x14ac:dyDescent="0.75">
      <c r="A5272" t="s">
        <v>151</v>
      </c>
      <c r="B5272">
        <v>2440</v>
      </c>
      <c r="C5272" t="s">
        <v>45</v>
      </c>
      <c r="D5272">
        <v>3220</v>
      </c>
      <c r="E5272" t="s">
        <v>370</v>
      </c>
      <c r="F5272" s="4">
        <v>0</v>
      </c>
      <c r="G5272" s="4">
        <v>20</v>
      </c>
      <c r="H5272" s="4">
        <v>3</v>
      </c>
      <c r="I5272" s="4">
        <v>17</v>
      </c>
      <c r="J5272" s="4">
        <v>20</v>
      </c>
    </row>
    <row r="5273" spans="1:10" x14ac:dyDescent="0.75">
      <c r="A5273" t="s">
        <v>151</v>
      </c>
      <c r="B5273">
        <v>2440</v>
      </c>
      <c r="C5273" t="s">
        <v>45</v>
      </c>
      <c r="D5273">
        <v>5330</v>
      </c>
      <c r="E5273" t="s">
        <v>385</v>
      </c>
      <c r="F5273" s="4">
        <v>0</v>
      </c>
      <c r="G5273" s="4">
        <v>19</v>
      </c>
      <c r="H5273" s="4">
        <v>15</v>
      </c>
      <c r="I5273" s="4">
        <v>4</v>
      </c>
      <c r="J5273" s="4">
        <v>19</v>
      </c>
    </row>
    <row r="5274" spans="1:10" x14ac:dyDescent="0.75">
      <c r="A5274" t="s">
        <v>151</v>
      </c>
      <c r="B5274">
        <v>2440</v>
      </c>
      <c r="C5274" t="s">
        <v>45</v>
      </c>
      <c r="D5274">
        <v>6871</v>
      </c>
      <c r="E5274" t="s">
        <v>491</v>
      </c>
      <c r="F5274" s="4">
        <v>0</v>
      </c>
      <c r="G5274" s="4">
        <v>19</v>
      </c>
      <c r="H5274" s="4">
        <v>1</v>
      </c>
      <c r="I5274" s="4">
        <v>18</v>
      </c>
      <c r="J5274" s="4">
        <v>19</v>
      </c>
    </row>
    <row r="5275" spans="1:10" x14ac:dyDescent="0.75">
      <c r="A5275" t="s">
        <v>151</v>
      </c>
      <c r="B5275">
        <v>2440</v>
      </c>
      <c r="C5275" t="s">
        <v>45</v>
      </c>
      <c r="D5275">
        <v>5360</v>
      </c>
      <c r="E5275" t="s">
        <v>465</v>
      </c>
      <c r="F5275" s="4">
        <v>0</v>
      </c>
      <c r="G5275" s="4">
        <v>18</v>
      </c>
      <c r="H5275" s="4">
        <v>0</v>
      </c>
      <c r="I5275" s="4">
        <v>18</v>
      </c>
      <c r="J5275" s="4">
        <v>18</v>
      </c>
    </row>
    <row r="5276" spans="1:10" x14ac:dyDescent="0.75">
      <c r="A5276" t="s">
        <v>151</v>
      </c>
      <c r="B5276">
        <v>2440</v>
      </c>
      <c r="C5276" t="s">
        <v>45</v>
      </c>
      <c r="D5276">
        <v>7300</v>
      </c>
      <c r="E5276" t="s">
        <v>501</v>
      </c>
      <c r="F5276" s="4">
        <v>0</v>
      </c>
      <c r="G5276" s="4">
        <v>13</v>
      </c>
      <c r="H5276" s="4">
        <v>13</v>
      </c>
      <c r="I5276" s="4">
        <v>0</v>
      </c>
      <c r="J5276" s="4">
        <v>13</v>
      </c>
    </row>
    <row r="5277" spans="1:10" x14ac:dyDescent="0.75">
      <c r="A5277" t="s">
        <v>151</v>
      </c>
      <c r="B5277">
        <v>2440</v>
      </c>
      <c r="C5277" t="s">
        <v>45</v>
      </c>
      <c r="D5277">
        <v>2640</v>
      </c>
      <c r="E5277" t="s">
        <v>431</v>
      </c>
      <c r="F5277" s="4">
        <v>0</v>
      </c>
      <c r="G5277" s="4">
        <v>9</v>
      </c>
      <c r="H5277" s="4">
        <v>0</v>
      </c>
      <c r="I5277" s="4">
        <v>9</v>
      </c>
      <c r="J5277" s="4">
        <v>9</v>
      </c>
    </row>
    <row r="5278" spans="1:10" x14ac:dyDescent="0.75">
      <c r="A5278" t="s">
        <v>151</v>
      </c>
      <c r="B5278">
        <v>2440</v>
      </c>
      <c r="C5278" t="s">
        <v>45</v>
      </c>
      <c r="D5278">
        <v>5390</v>
      </c>
      <c r="E5278" t="s">
        <v>418</v>
      </c>
      <c r="F5278" s="4">
        <v>0</v>
      </c>
      <c r="G5278" s="4">
        <v>9</v>
      </c>
      <c r="H5278" s="4">
        <v>0</v>
      </c>
      <c r="I5278" s="4">
        <v>9</v>
      </c>
      <c r="J5278" s="4">
        <v>9</v>
      </c>
    </row>
    <row r="5279" spans="1:10" x14ac:dyDescent="0.75">
      <c r="A5279" t="s">
        <v>151</v>
      </c>
      <c r="B5279">
        <v>2440</v>
      </c>
      <c r="C5279" t="s">
        <v>45</v>
      </c>
      <c r="D5279">
        <v>6835</v>
      </c>
      <c r="E5279" t="s">
        <v>483</v>
      </c>
      <c r="F5279" s="4">
        <v>0</v>
      </c>
      <c r="G5279" s="4">
        <v>9</v>
      </c>
      <c r="H5279" s="4">
        <v>0</v>
      </c>
      <c r="I5279" s="4">
        <v>9</v>
      </c>
      <c r="J5279" s="4">
        <v>9</v>
      </c>
    </row>
    <row r="5280" spans="1:10" x14ac:dyDescent="0.75">
      <c r="A5280" t="s">
        <v>151</v>
      </c>
      <c r="B5280">
        <v>2440</v>
      </c>
      <c r="C5280" t="s">
        <v>45</v>
      </c>
      <c r="D5280">
        <v>3292</v>
      </c>
      <c r="E5280" t="s">
        <v>413</v>
      </c>
      <c r="F5280" s="4">
        <v>0</v>
      </c>
      <c r="G5280" s="4">
        <v>7</v>
      </c>
      <c r="H5280" s="4">
        <v>0</v>
      </c>
      <c r="I5280" s="4">
        <v>7</v>
      </c>
      <c r="J5280" s="4">
        <v>7</v>
      </c>
    </row>
    <row r="5281" spans="1:10" x14ac:dyDescent="0.75">
      <c r="A5281" t="s">
        <v>151</v>
      </c>
      <c r="B5281">
        <v>2440</v>
      </c>
      <c r="C5281" t="s">
        <v>45</v>
      </c>
      <c r="D5281">
        <v>3230</v>
      </c>
      <c r="E5281" t="s">
        <v>434</v>
      </c>
      <c r="F5281" s="4">
        <v>0</v>
      </c>
      <c r="G5281" s="4">
        <v>6</v>
      </c>
      <c r="H5281" s="4">
        <v>0</v>
      </c>
      <c r="I5281" s="4">
        <v>6</v>
      </c>
      <c r="J5281" s="4">
        <v>6</v>
      </c>
    </row>
    <row r="5282" spans="1:10" x14ac:dyDescent="0.75">
      <c r="A5282" t="s">
        <v>151</v>
      </c>
      <c r="B5282">
        <v>2440</v>
      </c>
      <c r="C5282" t="s">
        <v>45</v>
      </c>
      <c r="D5282">
        <v>7220</v>
      </c>
      <c r="E5282" t="s">
        <v>500</v>
      </c>
      <c r="F5282" s="4">
        <v>0</v>
      </c>
      <c r="G5282" s="4">
        <v>6</v>
      </c>
      <c r="H5282" s="4">
        <v>0</v>
      </c>
      <c r="I5282" s="4">
        <v>6</v>
      </c>
      <c r="J5282" s="4">
        <v>6</v>
      </c>
    </row>
    <row r="5283" spans="1:10" x14ac:dyDescent="0.75">
      <c r="A5283" t="s">
        <v>151</v>
      </c>
      <c r="B5283">
        <v>2440</v>
      </c>
      <c r="C5283" t="s">
        <v>45</v>
      </c>
      <c r="D5283">
        <v>7230</v>
      </c>
      <c r="E5283" t="s">
        <v>387</v>
      </c>
      <c r="F5283" s="4">
        <v>0</v>
      </c>
      <c r="G5283" s="4">
        <v>6</v>
      </c>
      <c r="H5283" s="4">
        <v>6</v>
      </c>
      <c r="I5283" s="4">
        <v>0</v>
      </c>
      <c r="J5283" s="4">
        <v>6</v>
      </c>
    </row>
    <row r="5284" spans="1:10" x14ac:dyDescent="0.75">
      <c r="A5284" t="s">
        <v>151</v>
      </c>
      <c r="B5284">
        <v>2440</v>
      </c>
      <c r="C5284" t="s">
        <v>45</v>
      </c>
      <c r="D5284">
        <v>3190</v>
      </c>
      <c r="E5284" t="s">
        <v>408</v>
      </c>
      <c r="F5284" s="4">
        <v>0</v>
      </c>
      <c r="G5284" s="4">
        <v>4</v>
      </c>
      <c r="H5284" s="4">
        <v>0</v>
      </c>
      <c r="I5284" s="4">
        <v>4</v>
      </c>
      <c r="J5284" s="4">
        <v>4</v>
      </c>
    </row>
    <row r="5285" spans="1:10" x14ac:dyDescent="0.75">
      <c r="A5285" t="s">
        <v>151</v>
      </c>
      <c r="B5285">
        <v>2440</v>
      </c>
      <c r="C5285" t="s">
        <v>45</v>
      </c>
      <c r="D5285">
        <v>3291</v>
      </c>
      <c r="E5285" t="s">
        <v>444</v>
      </c>
      <c r="F5285" s="4">
        <v>0</v>
      </c>
      <c r="G5285" s="4">
        <v>4</v>
      </c>
      <c r="H5285" s="4">
        <v>0</v>
      </c>
      <c r="I5285" s="4">
        <v>4</v>
      </c>
      <c r="J5285" s="4">
        <v>4</v>
      </c>
    </row>
    <row r="5286" spans="1:10" x14ac:dyDescent="0.75">
      <c r="A5286" t="s">
        <v>151</v>
      </c>
      <c r="B5286">
        <v>2440</v>
      </c>
      <c r="C5286" t="s">
        <v>45</v>
      </c>
      <c r="D5286">
        <v>5312</v>
      </c>
      <c r="E5286" t="s">
        <v>416</v>
      </c>
      <c r="F5286" s="4">
        <v>0</v>
      </c>
      <c r="G5286" s="4">
        <v>4</v>
      </c>
      <c r="H5286" s="4">
        <v>4</v>
      </c>
      <c r="I5286" s="4">
        <v>0</v>
      </c>
      <c r="J5286" s="4">
        <v>4</v>
      </c>
    </row>
    <row r="5287" spans="1:10" x14ac:dyDescent="0.75">
      <c r="A5287" t="s">
        <v>151</v>
      </c>
      <c r="B5287">
        <v>2402</v>
      </c>
      <c r="C5287" t="s">
        <v>220</v>
      </c>
      <c r="D5287">
        <v>2330</v>
      </c>
      <c r="E5287" t="s">
        <v>368</v>
      </c>
      <c r="F5287" s="4">
        <v>2071406</v>
      </c>
      <c r="G5287" s="4">
        <v>0</v>
      </c>
      <c r="H5287" s="4">
        <v>0</v>
      </c>
      <c r="I5287" s="4">
        <v>0</v>
      </c>
      <c r="J5287" s="4">
        <v>2071406</v>
      </c>
    </row>
    <row r="5288" spans="1:10" x14ac:dyDescent="0.75">
      <c r="A5288" t="s">
        <v>151</v>
      </c>
      <c r="B5288">
        <v>2402</v>
      </c>
      <c r="C5288" t="s">
        <v>220</v>
      </c>
      <c r="D5288">
        <v>2211</v>
      </c>
      <c r="E5288" t="s">
        <v>367</v>
      </c>
      <c r="F5288" s="4">
        <v>157122</v>
      </c>
      <c r="G5288" s="4">
        <v>0</v>
      </c>
      <c r="H5288" s="4">
        <v>0</v>
      </c>
      <c r="I5288" s="4">
        <v>0</v>
      </c>
      <c r="J5288" s="4">
        <v>157122</v>
      </c>
    </row>
    <row r="5289" spans="1:10" x14ac:dyDescent="0.75">
      <c r="A5289" t="s">
        <v>151</v>
      </c>
      <c r="B5289">
        <v>2402</v>
      </c>
      <c r="C5289" t="s">
        <v>220</v>
      </c>
      <c r="D5289">
        <v>6861</v>
      </c>
      <c r="E5289" t="s">
        <v>489</v>
      </c>
      <c r="F5289" s="4">
        <v>112164</v>
      </c>
      <c r="G5289" s="4">
        <v>0</v>
      </c>
      <c r="H5289" s="4">
        <v>0</v>
      </c>
      <c r="I5289" s="4">
        <v>0</v>
      </c>
      <c r="J5289" s="4">
        <v>112164</v>
      </c>
    </row>
    <row r="5290" spans="1:10" x14ac:dyDescent="0.75">
      <c r="A5290" t="s">
        <v>151</v>
      </c>
      <c r="B5290">
        <v>2402</v>
      </c>
      <c r="C5290" t="s">
        <v>220</v>
      </c>
      <c r="D5290">
        <v>3220</v>
      </c>
      <c r="E5290" t="s">
        <v>370</v>
      </c>
      <c r="F5290" s="4">
        <v>56095</v>
      </c>
      <c r="G5290" s="4">
        <v>0</v>
      </c>
      <c r="H5290" s="4">
        <v>0</v>
      </c>
      <c r="I5290" s="4">
        <v>0</v>
      </c>
      <c r="J5290" s="4">
        <v>56095</v>
      </c>
    </row>
    <row r="5291" spans="1:10" x14ac:dyDescent="0.75">
      <c r="A5291" t="s">
        <v>151</v>
      </c>
      <c r="B5291">
        <v>2402</v>
      </c>
      <c r="C5291" t="s">
        <v>220</v>
      </c>
      <c r="D5291">
        <v>3110</v>
      </c>
      <c r="E5291" t="s">
        <v>405</v>
      </c>
      <c r="F5291" s="4">
        <v>51681</v>
      </c>
      <c r="G5291" s="4">
        <v>0</v>
      </c>
      <c r="H5291" s="4">
        <v>0</v>
      </c>
      <c r="I5291" s="4">
        <v>0</v>
      </c>
      <c r="J5291" s="4">
        <v>51681</v>
      </c>
    </row>
    <row r="5292" spans="1:10" x14ac:dyDescent="0.75">
      <c r="A5292" t="s">
        <v>151</v>
      </c>
      <c r="B5292">
        <v>2402</v>
      </c>
      <c r="C5292" t="s">
        <v>220</v>
      </c>
      <c r="D5292">
        <v>2221</v>
      </c>
      <c r="E5292" t="s">
        <v>374</v>
      </c>
      <c r="F5292" s="4">
        <v>4968</v>
      </c>
      <c r="G5292" s="4">
        <v>0</v>
      </c>
      <c r="H5292" s="4">
        <v>0</v>
      </c>
      <c r="I5292" s="4">
        <v>0</v>
      </c>
      <c r="J5292" s="4">
        <v>4968</v>
      </c>
    </row>
    <row r="5293" spans="1:10" x14ac:dyDescent="0.75">
      <c r="A5293" t="s">
        <v>151</v>
      </c>
      <c r="B5293">
        <v>2402</v>
      </c>
      <c r="C5293" t="s">
        <v>220</v>
      </c>
      <c r="D5293">
        <v>2429</v>
      </c>
      <c r="E5293" t="s">
        <v>375</v>
      </c>
      <c r="F5293" s="4">
        <v>344</v>
      </c>
      <c r="G5293" s="4">
        <v>0</v>
      </c>
      <c r="H5293" s="4">
        <v>0</v>
      </c>
      <c r="I5293" s="4">
        <v>0</v>
      </c>
      <c r="J5293" s="4">
        <v>344</v>
      </c>
    </row>
    <row r="5294" spans="1:10" x14ac:dyDescent="0.75">
      <c r="A5294" t="s">
        <v>151</v>
      </c>
      <c r="B5294">
        <v>2030</v>
      </c>
      <c r="C5294" t="s">
        <v>231</v>
      </c>
      <c r="D5294">
        <v>4783</v>
      </c>
      <c r="E5294" t="s">
        <v>382</v>
      </c>
      <c r="F5294" s="4">
        <v>1128954</v>
      </c>
      <c r="G5294" s="4">
        <v>0</v>
      </c>
      <c r="H5294" s="4">
        <v>0</v>
      </c>
      <c r="I5294" s="4">
        <v>0</v>
      </c>
      <c r="J5294" s="4">
        <v>1128954</v>
      </c>
    </row>
    <row r="5295" spans="1:10" x14ac:dyDescent="0.75">
      <c r="A5295" t="s">
        <v>151</v>
      </c>
      <c r="B5295">
        <v>2030</v>
      </c>
      <c r="C5295" t="s">
        <v>231</v>
      </c>
      <c r="D5295">
        <v>4322</v>
      </c>
      <c r="E5295" t="s">
        <v>398</v>
      </c>
      <c r="F5295" s="4">
        <v>246254</v>
      </c>
      <c r="G5295" s="4">
        <v>0</v>
      </c>
      <c r="H5295" s="4">
        <v>0</v>
      </c>
      <c r="I5295" s="4">
        <v>0</v>
      </c>
      <c r="J5295" s="4">
        <v>246254</v>
      </c>
    </row>
    <row r="5296" spans="1:10" x14ac:dyDescent="0.75">
      <c r="A5296" t="s">
        <v>151</v>
      </c>
      <c r="B5296">
        <v>2030</v>
      </c>
      <c r="C5296" t="s">
        <v>231</v>
      </c>
      <c r="D5296">
        <v>6861</v>
      </c>
      <c r="E5296" t="s">
        <v>489</v>
      </c>
      <c r="F5296" s="4">
        <v>238945</v>
      </c>
      <c r="G5296" s="4">
        <v>0</v>
      </c>
      <c r="H5296" s="4">
        <v>0</v>
      </c>
      <c r="I5296" s="4">
        <v>0</v>
      </c>
      <c r="J5296" s="4">
        <v>238945</v>
      </c>
    </row>
    <row r="5297" spans="1:10" x14ac:dyDescent="0.75">
      <c r="A5297" t="s">
        <v>151</v>
      </c>
      <c r="B5297">
        <v>2030</v>
      </c>
      <c r="C5297" t="s">
        <v>231</v>
      </c>
      <c r="D5297">
        <v>4900</v>
      </c>
      <c r="E5297" t="s">
        <v>383</v>
      </c>
      <c r="F5297" s="4">
        <v>114403</v>
      </c>
      <c r="G5297" s="4">
        <v>0</v>
      </c>
      <c r="H5297" s="4">
        <v>0</v>
      </c>
      <c r="I5297" s="4">
        <v>0</v>
      </c>
      <c r="J5297" s="4">
        <v>114403</v>
      </c>
    </row>
    <row r="5298" spans="1:10" x14ac:dyDescent="0.75">
      <c r="A5298" t="s">
        <v>151</v>
      </c>
      <c r="B5298">
        <v>2030</v>
      </c>
      <c r="C5298" t="s">
        <v>231</v>
      </c>
      <c r="D5298">
        <v>5370</v>
      </c>
      <c r="E5298" t="s">
        <v>466</v>
      </c>
      <c r="F5298" s="4">
        <v>77662</v>
      </c>
      <c r="G5298" s="4">
        <v>0</v>
      </c>
      <c r="H5298" s="4">
        <v>0</v>
      </c>
      <c r="I5298" s="4">
        <v>0</v>
      </c>
      <c r="J5298" s="4">
        <v>77662</v>
      </c>
    </row>
    <row r="5299" spans="1:10" x14ac:dyDescent="0.75">
      <c r="A5299" t="s">
        <v>151</v>
      </c>
      <c r="B5299">
        <v>2030</v>
      </c>
      <c r="C5299" t="s">
        <v>231</v>
      </c>
      <c r="D5299">
        <v>3276</v>
      </c>
      <c r="E5299" t="s">
        <v>379</v>
      </c>
      <c r="F5299" s="4">
        <v>74951</v>
      </c>
      <c r="G5299" s="4">
        <v>0</v>
      </c>
      <c r="H5299" s="4">
        <v>0</v>
      </c>
      <c r="I5299" s="4">
        <v>0</v>
      </c>
      <c r="J5299" s="4">
        <v>74951</v>
      </c>
    </row>
    <row r="5300" spans="1:10" x14ac:dyDescent="0.75">
      <c r="A5300" t="s">
        <v>151</v>
      </c>
      <c r="B5300">
        <v>2030</v>
      </c>
      <c r="C5300" t="s">
        <v>231</v>
      </c>
      <c r="D5300">
        <v>4331</v>
      </c>
      <c r="E5300" t="s">
        <v>390</v>
      </c>
      <c r="F5300" s="4">
        <v>65006</v>
      </c>
      <c r="G5300" s="4">
        <v>0</v>
      </c>
      <c r="H5300" s="4">
        <v>0</v>
      </c>
      <c r="I5300" s="4">
        <v>0</v>
      </c>
      <c r="J5300" s="4">
        <v>65006</v>
      </c>
    </row>
    <row r="5301" spans="1:10" x14ac:dyDescent="0.75">
      <c r="A5301" t="s">
        <v>151</v>
      </c>
      <c r="B5301">
        <v>2030</v>
      </c>
      <c r="C5301" t="s">
        <v>231</v>
      </c>
      <c r="D5301">
        <v>4420</v>
      </c>
      <c r="E5301" t="s">
        <v>381</v>
      </c>
      <c r="F5301" s="4">
        <v>10682</v>
      </c>
      <c r="G5301" s="4">
        <v>0</v>
      </c>
      <c r="H5301" s="4">
        <v>0</v>
      </c>
      <c r="I5301" s="4">
        <v>0</v>
      </c>
      <c r="J5301" s="4">
        <v>10682</v>
      </c>
    </row>
    <row r="5302" spans="1:10" x14ac:dyDescent="0.75">
      <c r="A5302" t="s">
        <v>151</v>
      </c>
      <c r="B5302">
        <v>2030</v>
      </c>
      <c r="C5302" t="s">
        <v>231</v>
      </c>
      <c r="D5302">
        <v>7110</v>
      </c>
      <c r="E5302" t="s">
        <v>371</v>
      </c>
      <c r="F5302" s="4">
        <v>4039</v>
      </c>
      <c r="G5302" s="4">
        <v>0</v>
      </c>
      <c r="H5302" s="4">
        <v>0</v>
      </c>
      <c r="I5302" s="4">
        <v>0</v>
      </c>
      <c r="J5302" s="4">
        <v>4039</v>
      </c>
    </row>
    <row r="5303" spans="1:10" x14ac:dyDescent="0.75">
      <c r="A5303" t="s">
        <v>151</v>
      </c>
      <c r="B5303">
        <v>2030</v>
      </c>
      <c r="C5303" t="s">
        <v>231</v>
      </c>
      <c r="D5303">
        <v>7900</v>
      </c>
      <c r="E5303" t="s">
        <v>388</v>
      </c>
      <c r="F5303" s="4">
        <v>2699</v>
      </c>
      <c r="G5303" s="4">
        <v>0</v>
      </c>
      <c r="H5303" s="4">
        <v>0</v>
      </c>
      <c r="I5303" s="4">
        <v>0</v>
      </c>
      <c r="J5303" s="4">
        <v>2699</v>
      </c>
    </row>
    <row r="5304" spans="1:10" x14ac:dyDescent="0.75">
      <c r="A5304" t="s">
        <v>151</v>
      </c>
      <c r="B5304">
        <v>2030</v>
      </c>
      <c r="C5304" t="s">
        <v>231</v>
      </c>
      <c r="D5304">
        <v>4335</v>
      </c>
      <c r="E5304" t="s">
        <v>372</v>
      </c>
      <c r="F5304" s="4">
        <v>1666</v>
      </c>
      <c r="G5304" s="4">
        <v>0</v>
      </c>
      <c r="H5304" s="4">
        <v>0</v>
      </c>
      <c r="I5304" s="4">
        <v>0</v>
      </c>
      <c r="J5304" s="4">
        <v>1666</v>
      </c>
    </row>
    <row r="5305" spans="1:10" x14ac:dyDescent="0.75">
      <c r="A5305" t="s">
        <v>151</v>
      </c>
      <c r="B5305">
        <v>2030</v>
      </c>
      <c r="C5305" t="s">
        <v>231</v>
      </c>
      <c r="D5305">
        <v>3120</v>
      </c>
      <c r="E5305" t="s">
        <v>406</v>
      </c>
      <c r="F5305" s="4">
        <v>1429</v>
      </c>
      <c r="G5305" s="4">
        <v>0</v>
      </c>
      <c r="H5305" s="4">
        <v>0</v>
      </c>
      <c r="I5305" s="4">
        <v>0</v>
      </c>
      <c r="J5305" s="4">
        <v>1429</v>
      </c>
    </row>
    <row r="5306" spans="1:10" x14ac:dyDescent="0.75">
      <c r="A5306" t="s">
        <v>151</v>
      </c>
      <c r="B5306">
        <v>2030</v>
      </c>
      <c r="C5306" t="s">
        <v>231</v>
      </c>
      <c r="D5306">
        <v>4338</v>
      </c>
      <c r="E5306" t="s">
        <v>509</v>
      </c>
      <c r="F5306" s="4">
        <v>360</v>
      </c>
      <c r="G5306" s="4">
        <v>0</v>
      </c>
      <c r="H5306" s="4">
        <v>0</v>
      </c>
      <c r="I5306" s="4">
        <v>0</v>
      </c>
      <c r="J5306" s="4">
        <v>360</v>
      </c>
    </row>
    <row r="5307" spans="1:10" x14ac:dyDescent="0.75">
      <c r="A5307" t="s">
        <v>151</v>
      </c>
      <c r="B5307">
        <v>4626</v>
      </c>
      <c r="C5307" t="s">
        <v>167</v>
      </c>
      <c r="D5307">
        <v>6241</v>
      </c>
      <c r="E5307" t="s">
        <v>391</v>
      </c>
      <c r="F5307" s="4">
        <v>1370697</v>
      </c>
      <c r="G5307" s="4">
        <v>5357419</v>
      </c>
      <c r="H5307" s="4">
        <v>0</v>
      </c>
      <c r="I5307" s="4">
        <v>5357419</v>
      </c>
      <c r="J5307" s="4">
        <v>6728116</v>
      </c>
    </row>
    <row r="5308" spans="1:10" x14ac:dyDescent="0.75">
      <c r="A5308" t="s">
        <v>151</v>
      </c>
      <c r="B5308">
        <v>4626</v>
      </c>
      <c r="C5308" t="s">
        <v>167</v>
      </c>
      <c r="D5308">
        <v>6522</v>
      </c>
      <c r="E5308" t="s">
        <v>393</v>
      </c>
      <c r="F5308" s="4">
        <v>22134</v>
      </c>
      <c r="G5308" s="4">
        <v>6322909</v>
      </c>
      <c r="H5308" s="4">
        <v>0</v>
      </c>
      <c r="I5308" s="4">
        <v>6322909</v>
      </c>
      <c r="J5308" s="4">
        <v>6345043</v>
      </c>
    </row>
    <row r="5309" spans="1:10" x14ac:dyDescent="0.75">
      <c r="A5309" t="s">
        <v>151</v>
      </c>
      <c r="B5309">
        <v>4626</v>
      </c>
      <c r="C5309" t="s">
        <v>167</v>
      </c>
      <c r="D5309">
        <v>6344</v>
      </c>
      <c r="E5309" t="s">
        <v>392</v>
      </c>
      <c r="F5309" s="4">
        <v>0</v>
      </c>
      <c r="G5309" s="4">
        <v>4654668</v>
      </c>
      <c r="H5309" s="4">
        <v>0</v>
      </c>
      <c r="I5309" s="4">
        <v>4654668</v>
      </c>
      <c r="J5309" s="4">
        <v>4654668</v>
      </c>
    </row>
    <row r="5310" spans="1:10" x14ac:dyDescent="0.75">
      <c r="A5310" t="s">
        <v>151</v>
      </c>
      <c r="B5310">
        <v>4626</v>
      </c>
      <c r="C5310" t="s">
        <v>167</v>
      </c>
      <c r="D5310">
        <v>5330</v>
      </c>
      <c r="E5310" t="s">
        <v>385</v>
      </c>
      <c r="F5310" s="4">
        <v>0</v>
      </c>
      <c r="G5310" s="4">
        <v>310444</v>
      </c>
      <c r="H5310" s="4">
        <v>310444</v>
      </c>
      <c r="I5310" s="4">
        <v>0</v>
      </c>
      <c r="J5310" s="4">
        <v>310444</v>
      </c>
    </row>
    <row r="5311" spans="1:10" x14ac:dyDescent="0.75">
      <c r="A5311" t="s">
        <v>151</v>
      </c>
      <c r="B5311">
        <v>4626</v>
      </c>
      <c r="C5311" t="s">
        <v>167</v>
      </c>
      <c r="D5311">
        <v>6447</v>
      </c>
      <c r="E5311" t="s">
        <v>475</v>
      </c>
      <c r="F5311" s="4">
        <v>0</v>
      </c>
      <c r="G5311" s="4">
        <v>145505</v>
      </c>
      <c r="H5311" s="4">
        <v>0</v>
      </c>
      <c r="I5311" s="4">
        <v>145505</v>
      </c>
      <c r="J5311" s="4">
        <v>145505</v>
      </c>
    </row>
    <row r="5312" spans="1:10" x14ac:dyDescent="0.75">
      <c r="A5312" t="s">
        <v>151</v>
      </c>
      <c r="B5312">
        <v>4626</v>
      </c>
      <c r="C5312" t="s">
        <v>167</v>
      </c>
      <c r="D5312">
        <v>3212</v>
      </c>
      <c r="E5312" t="s">
        <v>409</v>
      </c>
      <c r="F5312" s="4">
        <v>0</v>
      </c>
      <c r="G5312" s="4">
        <v>93889</v>
      </c>
      <c r="H5312" s="4">
        <v>93889</v>
      </c>
      <c r="I5312" s="4">
        <v>0</v>
      </c>
      <c r="J5312" s="4">
        <v>93889</v>
      </c>
    </row>
    <row r="5313" spans="1:10" x14ac:dyDescent="0.75">
      <c r="A5313" t="s">
        <v>151</v>
      </c>
      <c r="B5313">
        <v>4626</v>
      </c>
      <c r="C5313" t="s">
        <v>167</v>
      </c>
      <c r="D5313">
        <v>4331</v>
      </c>
      <c r="E5313" t="s">
        <v>390</v>
      </c>
      <c r="F5313" s="4">
        <v>59770</v>
      </c>
      <c r="G5313" s="4">
        <v>0</v>
      </c>
      <c r="H5313" s="4">
        <v>0</v>
      </c>
      <c r="I5313" s="4">
        <v>0</v>
      </c>
      <c r="J5313" s="4">
        <v>59770</v>
      </c>
    </row>
    <row r="5314" spans="1:10" x14ac:dyDescent="0.75">
      <c r="A5314" t="s">
        <v>151</v>
      </c>
      <c r="B5314">
        <v>4626</v>
      </c>
      <c r="C5314" t="s">
        <v>167</v>
      </c>
      <c r="D5314">
        <v>9900</v>
      </c>
      <c r="E5314" t="s">
        <v>389</v>
      </c>
      <c r="F5314" s="4">
        <v>0</v>
      </c>
      <c r="G5314" s="4">
        <v>15118</v>
      </c>
      <c r="H5314" s="4">
        <v>15118</v>
      </c>
      <c r="I5314" s="4">
        <v>0</v>
      </c>
      <c r="J5314" s="4">
        <v>15118</v>
      </c>
    </row>
    <row r="5315" spans="1:10" x14ac:dyDescent="0.75">
      <c r="A5315" t="s">
        <v>151</v>
      </c>
      <c r="B5315">
        <v>4626</v>
      </c>
      <c r="C5315" t="s">
        <v>167</v>
      </c>
      <c r="D5315">
        <v>5480</v>
      </c>
      <c r="E5315" t="s">
        <v>386</v>
      </c>
      <c r="F5315" s="4">
        <v>0</v>
      </c>
      <c r="G5315" s="4">
        <v>12568</v>
      </c>
      <c r="H5315" s="4">
        <v>12568</v>
      </c>
      <c r="I5315" s="4">
        <v>0</v>
      </c>
      <c r="J5315" s="4">
        <v>12568</v>
      </c>
    </row>
    <row r="5316" spans="1:10" x14ac:dyDescent="0.75">
      <c r="A5316" t="s">
        <v>151</v>
      </c>
      <c r="B5316">
        <v>4626</v>
      </c>
      <c r="C5316" t="s">
        <v>167</v>
      </c>
      <c r="D5316">
        <v>3276</v>
      </c>
      <c r="E5316" t="s">
        <v>379</v>
      </c>
      <c r="F5316" s="4">
        <v>0</v>
      </c>
      <c r="G5316" s="4">
        <v>11161</v>
      </c>
      <c r="H5316" s="4">
        <v>0</v>
      </c>
      <c r="I5316" s="4">
        <v>11161</v>
      </c>
      <c r="J5316" s="4">
        <v>11161</v>
      </c>
    </row>
    <row r="5317" spans="1:10" x14ac:dyDescent="0.75">
      <c r="A5317" t="s">
        <v>151</v>
      </c>
      <c r="B5317">
        <v>4626</v>
      </c>
      <c r="C5317" t="s">
        <v>167</v>
      </c>
      <c r="D5317">
        <v>2340</v>
      </c>
      <c r="E5317" t="s">
        <v>369</v>
      </c>
      <c r="F5317" s="4">
        <v>9596</v>
      </c>
      <c r="G5317" s="4">
        <v>0</v>
      </c>
      <c r="H5317" s="4">
        <v>0</v>
      </c>
      <c r="I5317" s="4">
        <v>0</v>
      </c>
      <c r="J5317" s="4">
        <v>9596</v>
      </c>
    </row>
    <row r="5318" spans="1:10" x14ac:dyDescent="0.75">
      <c r="A5318" t="s">
        <v>151</v>
      </c>
      <c r="B5318">
        <v>4110</v>
      </c>
      <c r="C5318" t="s">
        <v>2</v>
      </c>
      <c r="D5318">
        <v>2100</v>
      </c>
      <c r="E5318" t="s">
        <v>403</v>
      </c>
      <c r="F5318" s="4">
        <v>8769384</v>
      </c>
      <c r="G5318" s="4">
        <v>18010957</v>
      </c>
      <c r="H5318" s="4">
        <v>18010678</v>
      </c>
      <c r="I5318" s="4">
        <v>279</v>
      </c>
      <c r="J5318" s="4">
        <v>26780341</v>
      </c>
    </row>
    <row r="5319" spans="1:10" x14ac:dyDescent="0.75">
      <c r="A5319" t="s">
        <v>151</v>
      </c>
      <c r="B5319">
        <v>4110</v>
      </c>
      <c r="C5319" t="s">
        <v>2</v>
      </c>
      <c r="D5319">
        <v>7900</v>
      </c>
      <c r="E5319" t="s">
        <v>388</v>
      </c>
      <c r="F5319" s="4">
        <v>1758255</v>
      </c>
      <c r="G5319" s="4">
        <v>8688869</v>
      </c>
      <c r="H5319" s="4">
        <v>7846296</v>
      </c>
      <c r="I5319" s="4">
        <v>842573</v>
      </c>
      <c r="J5319" s="4">
        <v>10447124</v>
      </c>
    </row>
    <row r="5320" spans="1:10" x14ac:dyDescent="0.75">
      <c r="A5320" t="s">
        <v>151</v>
      </c>
      <c r="B5320">
        <v>4110</v>
      </c>
      <c r="C5320" t="s">
        <v>2</v>
      </c>
      <c r="D5320">
        <v>2540</v>
      </c>
      <c r="E5320" t="s">
        <v>377</v>
      </c>
      <c r="F5320" s="4">
        <v>0</v>
      </c>
      <c r="G5320" s="4">
        <v>4910828</v>
      </c>
      <c r="H5320" s="4">
        <v>62</v>
      </c>
      <c r="I5320" s="4">
        <v>4910766</v>
      </c>
      <c r="J5320" s="4">
        <v>4910828</v>
      </c>
    </row>
    <row r="5321" spans="1:10" x14ac:dyDescent="0.75">
      <c r="A5321" t="s">
        <v>151</v>
      </c>
      <c r="B5321">
        <v>4110</v>
      </c>
      <c r="C5321" t="s">
        <v>2</v>
      </c>
      <c r="D5321">
        <v>7120</v>
      </c>
      <c r="E5321" t="s">
        <v>499</v>
      </c>
      <c r="F5321" s="4">
        <v>10808</v>
      </c>
      <c r="G5321" s="4">
        <v>3876915</v>
      </c>
      <c r="H5321" s="4">
        <v>3794324</v>
      </c>
      <c r="I5321" s="4">
        <v>82591</v>
      </c>
      <c r="J5321" s="4">
        <v>3887723</v>
      </c>
    </row>
    <row r="5322" spans="1:10" x14ac:dyDescent="0.75">
      <c r="A5322" t="s">
        <v>151</v>
      </c>
      <c r="B5322">
        <v>4110</v>
      </c>
      <c r="C5322" t="s">
        <v>2</v>
      </c>
      <c r="D5322">
        <v>2330</v>
      </c>
      <c r="E5322" t="s">
        <v>368</v>
      </c>
      <c r="F5322" s="4">
        <v>779934</v>
      </c>
      <c r="G5322" s="4">
        <v>2249405</v>
      </c>
      <c r="H5322" s="4">
        <v>2035994</v>
      </c>
      <c r="I5322" s="4">
        <v>213411</v>
      </c>
      <c r="J5322" s="4">
        <v>3029339</v>
      </c>
    </row>
    <row r="5323" spans="1:10" x14ac:dyDescent="0.75">
      <c r="A5323" t="s">
        <v>151</v>
      </c>
      <c r="B5323">
        <v>4110</v>
      </c>
      <c r="C5323" t="s">
        <v>2</v>
      </c>
      <c r="D5323">
        <v>7500</v>
      </c>
      <c r="E5323" t="s">
        <v>427</v>
      </c>
      <c r="F5323" s="4">
        <v>42</v>
      </c>
      <c r="G5323" s="4">
        <v>3011970</v>
      </c>
      <c r="H5323" s="4">
        <v>2885883</v>
      </c>
      <c r="I5323" s="4">
        <v>126087</v>
      </c>
      <c r="J5323" s="4">
        <v>3012012</v>
      </c>
    </row>
    <row r="5324" spans="1:10" x14ac:dyDescent="0.75">
      <c r="A5324" t="s">
        <v>151</v>
      </c>
      <c r="B5324">
        <v>4110</v>
      </c>
      <c r="C5324" t="s">
        <v>2</v>
      </c>
      <c r="D5324">
        <v>7600</v>
      </c>
      <c r="E5324" t="s">
        <v>503</v>
      </c>
      <c r="F5324" s="4">
        <v>5255</v>
      </c>
      <c r="G5324" s="4">
        <v>2987986</v>
      </c>
      <c r="H5324" s="4">
        <v>2853426</v>
      </c>
      <c r="I5324" s="4">
        <v>134560</v>
      </c>
      <c r="J5324" s="4">
        <v>2993241</v>
      </c>
    </row>
    <row r="5325" spans="1:10" x14ac:dyDescent="0.75">
      <c r="A5325" t="s">
        <v>151</v>
      </c>
      <c r="B5325">
        <v>4110</v>
      </c>
      <c r="C5325" t="s">
        <v>2</v>
      </c>
      <c r="D5325">
        <v>5480</v>
      </c>
      <c r="E5325" t="s">
        <v>386</v>
      </c>
      <c r="F5325" s="4">
        <v>157</v>
      </c>
      <c r="G5325" s="4">
        <v>2193479</v>
      </c>
      <c r="H5325" s="4">
        <v>2106109</v>
      </c>
      <c r="I5325" s="4">
        <v>87370</v>
      </c>
      <c r="J5325" s="4">
        <v>2193636</v>
      </c>
    </row>
    <row r="5326" spans="1:10" x14ac:dyDescent="0.75">
      <c r="A5326" t="s">
        <v>151</v>
      </c>
      <c r="B5326">
        <v>4110</v>
      </c>
      <c r="C5326" t="s">
        <v>2</v>
      </c>
      <c r="D5326">
        <v>7110</v>
      </c>
      <c r="E5326" t="s">
        <v>371</v>
      </c>
      <c r="F5326" s="4">
        <v>32991</v>
      </c>
      <c r="G5326" s="4">
        <v>2115446</v>
      </c>
      <c r="H5326" s="4">
        <v>1884981</v>
      </c>
      <c r="I5326" s="4">
        <v>230465</v>
      </c>
      <c r="J5326" s="4">
        <v>2148437</v>
      </c>
    </row>
    <row r="5327" spans="1:10" x14ac:dyDescent="0.75">
      <c r="A5327" t="s">
        <v>151</v>
      </c>
      <c r="B5327">
        <v>4110</v>
      </c>
      <c r="C5327" t="s">
        <v>2</v>
      </c>
      <c r="D5327">
        <v>7210</v>
      </c>
      <c r="E5327" t="s">
        <v>426</v>
      </c>
      <c r="F5327" s="4">
        <v>71358</v>
      </c>
      <c r="G5327" s="4">
        <v>2028379</v>
      </c>
      <c r="H5327" s="4">
        <v>1698721</v>
      </c>
      <c r="I5327" s="4">
        <v>329658</v>
      </c>
      <c r="J5327" s="4">
        <v>2099737</v>
      </c>
    </row>
    <row r="5328" spans="1:10" x14ac:dyDescent="0.75">
      <c r="A5328" t="s">
        <v>151</v>
      </c>
      <c r="B5328">
        <v>4110</v>
      </c>
      <c r="C5328" t="s">
        <v>2</v>
      </c>
      <c r="D5328">
        <v>4225</v>
      </c>
      <c r="E5328" t="s">
        <v>380</v>
      </c>
      <c r="F5328" s="4">
        <v>0</v>
      </c>
      <c r="G5328" s="4">
        <v>1901770</v>
      </c>
      <c r="H5328" s="4">
        <v>36309</v>
      </c>
      <c r="I5328" s="4">
        <v>1865461</v>
      </c>
      <c r="J5328" s="4">
        <v>1901770</v>
      </c>
    </row>
    <row r="5329" spans="1:10" x14ac:dyDescent="0.75">
      <c r="A5329" t="s">
        <v>151</v>
      </c>
      <c r="B5329">
        <v>4110</v>
      </c>
      <c r="C5329" t="s">
        <v>2</v>
      </c>
      <c r="D5329">
        <v>2340</v>
      </c>
      <c r="E5329" t="s">
        <v>369</v>
      </c>
      <c r="F5329" s="4">
        <v>1767359</v>
      </c>
      <c r="G5329" s="4">
        <v>79331</v>
      </c>
      <c r="H5329" s="4">
        <v>79331</v>
      </c>
      <c r="I5329" s="4">
        <v>0</v>
      </c>
      <c r="J5329" s="4">
        <v>1846690</v>
      </c>
    </row>
    <row r="5330" spans="1:10" x14ac:dyDescent="0.75">
      <c r="A5330" t="s">
        <v>151</v>
      </c>
      <c r="B5330">
        <v>4110</v>
      </c>
      <c r="C5330" t="s">
        <v>2</v>
      </c>
      <c r="D5330">
        <v>4410</v>
      </c>
      <c r="E5330" t="s">
        <v>399</v>
      </c>
      <c r="F5330" s="4">
        <v>0</v>
      </c>
      <c r="G5330" s="4">
        <v>1770870</v>
      </c>
      <c r="H5330" s="4">
        <v>291</v>
      </c>
      <c r="I5330" s="4">
        <v>1770579</v>
      </c>
      <c r="J5330" s="4">
        <v>1770870</v>
      </c>
    </row>
    <row r="5331" spans="1:10" x14ac:dyDescent="0.75">
      <c r="A5331" t="s">
        <v>151</v>
      </c>
      <c r="B5331">
        <v>4110</v>
      </c>
      <c r="C5331" t="s">
        <v>2</v>
      </c>
      <c r="D5331">
        <v>5290</v>
      </c>
      <c r="E5331" t="s">
        <v>415</v>
      </c>
      <c r="F5331" s="4">
        <v>31</v>
      </c>
      <c r="G5331" s="4">
        <v>1551582</v>
      </c>
      <c r="H5331" s="4">
        <v>1530524</v>
      </c>
      <c r="I5331" s="4">
        <v>21058</v>
      </c>
      <c r="J5331" s="4">
        <v>1551613</v>
      </c>
    </row>
    <row r="5332" spans="1:10" x14ac:dyDescent="0.75">
      <c r="A5332" t="s">
        <v>151</v>
      </c>
      <c r="B5332">
        <v>4110</v>
      </c>
      <c r="C5332" t="s">
        <v>2</v>
      </c>
      <c r="D5332">
        <v>2211</v>
      </c>
      <c r="E5332" t="s">
        <v>367</v>
      </c>
      <c r="F5332" s="4">
        <v>904949</v>
      </c>
      <c r="G5332" s="4">
        <v>530827</v>
      </c>
      <c r="H5332" s="4">
        <v>529441</v>
      </c>
      <c r="I5332" s="4">
        <v>1386</v>
      </c>
      <c r="J5332" s="4">
        <v>1435776</v>
      </c>
    </row>
    <row r="5333" spans="1:10" x14ac:dyDescent="0.75">
      <c r="A5333" t="s">
        <v>151</v>
      </c>
      <c r="B5333">
        <v>4110</v>
      </c>
      <c r="C5333" t="s">
        <v>2</v>
      </c>
      <c r="D5333">
        <v>6782</v>
      </c>
      <c r="E5333" t="s">
        <v>396</v>
      </c>
      <c r="F5333" s="4">
        <v>3392</v>
      </c>
      <c r="G5333" s="4">
        <v>1281087</v>
      </c>
      <c r="H5333" s="4">
        <v>101990</v>
      </c>
      <c r="I5333" s="4">
        <v>1179097</v>
      </c>
      <c r="J5333" s="4">
        <v>1284479</v>
      </c>
    </row>
    <row r="5334" spans="1:10" x14ac:dyDescent="0.75">
      <c r="A5334" t="s">
        <v>151</v>
      </c>
      <c r="B5334">
        <v>4110</v>
      </c>
      <c r="C5334" t="s">
        <v>2</v>
      </c>
      <c r="D5334">
        <v>4331</v>
      </c>
      <c r="E5334" t="s">
        <v>390</v>
      </c>
      <c r="F5334" s="4">
        <v>190200</v>
      </c>
      <c r="G5334" s="4">
        <v>976073</v>
      </c>
      <c r="H5334" s="4">
        <v>974750</v>
      </c>
      <c r="I5334" s="4">
        <v>1323</v>
      </c>
      <c r="J5334" s="4">
        <v>1166273</v>
      </c>
    </row>
    <row r="5335" spans="1:10" x14ac:dyDescent="0.75">
      <c r="A5335" t="s">
        <v>151</v>
      </c>
      <c r="B5335">
        <v>4110</v>
      </c>
      <c r="C5335" t="s">
        <v>2</v>
      </c>
      <c r="D5335">
        <v>3286</v>
      </c>
      <c r="E5335" t="s">
        <v>423</v>
      </c>
      <c r="F5335" s="4">
        <v>72</v>
      </c>
      <c r="G5335" s="4">
        <v>1154309</v>
      </c>
      <c r="H5335" s="4">
        <v>834140</v>
      </c>
      <c r="I5335" s="4">
        <v>320169</v>
      </c>
      <c r="J5335" s="4">
        <v>1154381</v>
      </c>
    </row>
    <row r="5336" spans="1:10" x14ac:dyDescent="0.75">
      <c r="A5336" t="s">
        <v>151</v>
      </c>
      <c r="B5336">
        <v>4110</v>
      </c>
      <c r="C5336" t="s">
        <v>2</v>
      </c>
      <c r="D5336">
        <v>1100</v>
      </c>
      <c r="E5336" t="s">
        <v>397</v>
      </c>
      <c r="F5336" s="4">
        <v>0</v>
      </c>
      <c r="G5336" s="4">
        <v>1026372</v>
      </c>
      <c r="H5336" s="4">
        <v>8691</v>
      </c>
      <c r="I5336" s="4">
        <v>1017681</v>
      </c>
      <c r="J5336" s="4">
        <v>1026372</v>
      </c>
    </row>
    <row r="5337" spans="1:10" x14ac:dyDescent="0.75">
      <c r="A5337" t="s">
        <v>151</v>
      </c>
      <c r="B5337">
        <v>4110</v>
      </c>
      <c r="C5337" t="s">
        <v>2</v>
      </c>
      <c r="D5337">
        <v>6522</v>
      </c>
      <c r="E5337" t="s">
        <v>393</v>
      </c>
      <c r="F5337" s="4">
        <v>0</v>
      </c>
      <c r="G5337" s="4">
        <v>827408</v>
      </c>
      <c r="H5337" s="4">
        <v>879</v>
      </c>
      <c r="I5337" s="4">
        <v>826529</v>
      </c>
      <c r="J5337" s="4">
        <v>827408</v>
      </c>
    </row>
    <row r="5338" spans="1:10" x14ac:dyDescent="0.75">
      <c r="A5338" t="s">
        <v>151</v>
      </c>
      <c r="B5338">
        <v>4110</v>
      </c>
      <c r="C5338" t="s">
        <v>2</v>
      </c>
      <c r="D5338">
        <v>6889</v>
      </c>
      <c r="E5338" t="s">
        <v>420</v>
      </c>
      <c r="F5338" s="4">
        <v>161078</v>
      </c>
      <c r="G5338" s="4">
        <v>561473</v>
      </c>
      <c r="H5338" s="4">
        <v>408696</v>
      </c>
      <c r="I5338" s="4">
        <v>152777</v>
      </c>
      <c r="J5338" s="4">
        <v>722551</v>
      </c>
    </row>
    <row r="5339" spans="1:10" x14ac:dyDescent="0.75">
      <c r="A5339" t="s">
        <v>151</v>
      </c>
      <c r="B5339">
        <v>4110</v>
      </c>
      <c r="C5339" t="s">
        <v>2</v>
      </c>
      <c r="D5339">
        <v>4680</v>
      </c>
      <c r="E5339" t="s">
        <v>459</v>
      </c>
      <c r="F5339" s="4">
        <v>0</v>
      </c>
      <c r="G5339" s="4">
        <v>668957</v>
      </c>
      <c r="H5339" s="4">
        <v>3393</v>
      </c>
      <c r="I5339" s="4">
        <v>665564</v>
      </c>
      <c r="J5339" s="4">
        <v>668957</v>
      </c>
    </row>
    <row r="5340" spans="1:10" x14ac:dyDescent="0.75">
      <c r="A5340" t="s">
        <v>151</v>
      </c>
      <c r="B5340">
        <v>4110</v>
      </c>
      <c r="C5340" t="s">
        <v>2</v>
      </c>
      <c r="D5340">
        <v>6893</v>
      </c>
      <c r="E5340" t="s">
        <v>496</v>
      </c>
      <c r="F5340" s="4">
        <v>0</v>
      </c>
      <c r="G5340" s="4">
        <v>668837</v>
      </c>
      <c r="H5340" s="4">
        <v>58609</v>
      </c>
      <c r="I5340" s="4">
        <v>610228</v>
      </c>
      <c r="J5340" s="4">
        <v>668837</v>
      </c>
    </row>
    <row r="5341" spans="1:10" x14ac:dyDescent="0.75">
      <c r="A5341" t="s">
        <v>151</v>
      </c>
      <c r="B5341">
        <v>4110</v>
      </c>
      <c r="C5341" t="s">
        <v>2</v>
      </c>
      <c r="D5341">
        <v>6781</v>
      </c>
      <c r="E5341" t="s">
        <v>479</v>
      </c>
      <c r="F5341" s="4">
        <v>66</v>
      </c>
      <c r="G5341" s="4">
        <v>663936</v>
      </c>
      <c r="H5341" s="4">
        <v>3490</v>
      </c>
      <c r="I5341" s="4">
        <v>660446</v>
      </c>
      <c r="J5341" s="4">
        <v>664002</v>
      </c>
    </row>
    <row r="5342" spans="1:10" x14ac:dyDescent="0.75">
      <c r="A5342" t="s">
        <v>151</v>
      </c>
      <c r="B5342">
        <v>4110</v>
      </c>
      <c r="C5342" t="s">
        <v>2</v>
      </c>
      <c r="D5342">
        <v>3276</v>
      </c>
      <c r="E5342" t="s">
        <v>379</v>
      </c>
      <c r="F5342" s="4">
        <v>73</v>
      </c>
      <c r="G5342" s="4">
        <v>608453</v>
      </c>
      <c r="H5342" s="4">
        <v>70807</v>
      </c>
      <c r="I5342" s="4">
        <v>537646</v>
      </c>
      <c r="J5342" s="4">
        <v>608526</v>
      </c>
    </row>
    <row r="5343" spans="1:10" x14ac:dyDescent="0.75">
      <c r="A5343" t="s">
        <v>151</v>
      </c>
      <c r="B5343">
        <v>4110</v>
      </c>
      <c r="C5343" t="s">
        <v>2</v>
      </c>
      <c r="D5343">
        <v>6811</v>
      </c>
      <c r="E5343" t="s">
        <v>480</v>
      </c>
      <c r="F5343" s="4">
        <v>11427</v>
      </c>
      <c r="G5343" s="4">
        <v>563728</v>
      </c>
      <c r="H5343" s="4">
        <v>122151</v>
      </c>
      <c r="I5343" s="4">
        <v>441577</v>
      </c>
      <c r="J5343" s="4">
        <v>575155</v>
      </c>
    </row>
    <row r="5344" spans="1:10" x14ac:dyDescent="0.75">
      <c r="A5344" t="s">
        <v>151</v>
      </c>
      <c r="B5344">
        <v>4110</v>
      </c>
      <c r="C5344" t="s">
        <v>2</v>
      </c>
      <c r="D5344">
        <v>6857</v>
      </c>
      <c r="E5344" t="s">
        <v>487</v>
      </c>
      <c r="F5344" s="4">
        <v>19</v>
      </c>
      <c r="G5344" s="4">
        <v>574285</v>
      </c>
      <c r="H5344" s="4">
        <v>254099</v>
      </c>
      <c r="I5344" s="4">
        <v>320186</v>
      </c>
      <c r="J5344" s="4">
        <v>574304</v>
      </c>
    </row>
    <row r="5345" spans="1:10" x14ac:dyDescent="0.75">
      <c r="A5345" t="s">
        <v>151</v>
      </c>
      <c r="B5345">
        <v>4110</v>
      </c>
      <c r="C5345" t="s">
        <v>2</v>
      </c>
      <c r="D5345">
        <v>6885</v>
      </c>
      <c r="E5345" t="s">
        <v>493</v>
      </c>
      <c r="F5345" s="4">
        <v>83939</v>
      </c>
      <c r="G5345" s="4">
        <v>456570</v>
      </c>
      <c r="H5345" s="4">
        <v>427548</v>
      </c>
      <c r="I5345" s="4">
        <v>29022</v>
      </c>
      <c r="J5345" s="4">
        <v>540509</v>
      </c>
    </row>
    <row r="5346" spans="1:10" x14ac:dyDescent="0.75">
      <c r="A5346" t="s">
        <v>151</v>
      </c>
      <c r="B5346">
        <v>4110</v>
      </c>
      <c r="C5346" t="s">
        <v>2</v>
      </c>
      <c r="D5346">
        <v>6654</v>
      </c>
      <c r="E5346" t="s">
        <v>419</v>
      </c>
      <c r="F5346" s="4">
        <v>55165</v>
      </c>
      <c r="G5346" s="4">
        <v>471468</v>
      </c>
      <c r="H5346" s="4">
        <v>386506</v>
      </c>
      <c r="I5346" s="4">
        <v>84962</v>
      </c>
      <c r="J5346" s="4">
        <v>526633</v>
      </c>
    </row>
    <row r="5347" spans="1:10" x14ac:dyDescent="0.75">
      <c r="A5347" t="s">
        <v>151</v>
      </c>
      <c r="B5347">
        <v>4110</v>
      </c>
      <c r="C5347" t="s">
        <v>2</v>
      </c>
      <c r="D5347">
        <v>4420</v>
      </c>
      <c r="E5347" t="s">
        <v>381</v>
      </c>
      <c r="F5347" s="4">
        <v>2084</v>
      </c>
      <c r="G5347" s="4">
        <v>506643</v>
      </c>
      <c r="H5347" s="4">
        <v>8018</v>
      </c>
      <c r="I5347" s="4">
        <v>498625</v>
      </c>
      <c r="J5347" s="4">
        <v>508727</v>
      </c>
    </row>
    <row r="5348" spans="1:10" x14ac:dyDescent="0.75">
      <c r="A5348" t="s">
        <v>151</v>
      </c>
      <c r="B5348">
        <v>4110</v>
      </c>
      <c r="C5348" t="s">
        <v>2</v>
      </c>
      <c r="D5348">
        <v>5240</v>
      </c>
      <c r="E5348" t="s">
        <v>464</v>
      </c>
      <c r="F5348" s="4">
        <v>0</v>
      </c>
      <c r="G5348" s="4">
        <v>462578</v>
      </c>
      <c r="H5348" s="4">
        <v>446744</v>
      </c>
      <c r="I5348" s="4">
        <v>15834</v>
      </c>
      <c r="J5348" s="4">
        <v>462578</v>
      </c>
    </row>
    <row r="5349" spans="1:10" x14ac:dyDescent="0.75">
      <c r="A5349" t="s">
        <v>151</v>
      </c>
      <c r="B5349">
        <v>4110</v>
      </c>
      <c r="C5349" t="s">
        <v>2</v>
      </c>
      <c r="D5349">
        <v>4741</v>
      </c>
      <c r="E5349" t="s">
        <v>425</v>
      </c>
      <c r="F5349" s="4">
        <v>0</v>
      </c>
      <c r="G5349" s="4">
        <v>434518</v>
      </c>
      <c r="H5349" s="4">
        <v>0</v>
      </c>
      <c r="I5349" s="4">
        <v>434518</v>
      </c>
      <c r="J5349" s="4">
        <v>434518</v>
      </c>
    </row>
    <row r="5350" spans="1:10" x14ac:dyDescent="0.75">
      <c r="A5350" t="s">
        <v>151</v>
      </c>
      <c r="B5350">
        <v>4110</v>
      </c>
      <c r="C5350" t="s">
        <v>2</v>
      </c>
      <c r="D5350">
        <v>6858</v>
      </c>
      <c r="E5350" t="s">
        <v>488</v>
      </c>
      <c r="F5350" s="4">
        <v>2758</v>
      </c>
      <c r="G5350" s="4">
        <v>392433</v>
      </c>
      <c r="H5350" s="4">
        <v>356084</v>
      </c>
      <c r="I5350" s="4">
        <v>36349</v>
      </c>
      <c r="J5350" s="4">
        <v>395191</v>
      </c>
    </row>
    <row r="5351" spans="1:10" x14ac:dyDescent="0.75">
      <c r="A5351" t="s">
        <v>151</v>
      </c>
      <c r="B5351">
        <v>4110</v>
      </c>
      <c r="C5351" t="s">
        <v>2</v>
      </c>
      <c r="D5351">
        <v>5422</v>
      </c>
      <c r="E5351" t="s">
        <v>468</v>
      </c>
      <c r="F5351" s="4">
        <v>0</v>
      </c>
      <c r="G5351" s="4">
        <v>362381</v>
      </c>
      <c r="H5351" s="4">
        <v>323565</v>
      </c>
      <c r="I5351" s="4">
        <v>38816</v>
      </c>
      <c r="J5351" s="4">
        <v>362381</v>
      </c>
    </row>
    <row r="5352" spans="1:10" x14ac:dyDescent="0.75">
      <c r="A5352" t="s">
        <v>151</v>
      </c>
      <c r="B5352">
        <v>4110</v>
      </c>
      <c r="C5352" t="s">
        <v>2</v>
      </c>
      <c r="D5352">
        <v>3285</v>
      </c>
      <c r="E5352" t="s">
        <v>443</v>
      </c>
      <c r="F5352" s="4">
        <v>213</v>
      </c>
      <c r="G5352" s="4">
        <v>353844</v>
      </c>
      <c r="H5352" s="4">
        <v>244715</v>
      </c>
      <c r="I5352" s="4">
        <v>109129</v>
      </c>
      <c r="J5352" s="4">
        <v>354057</v>
      </c>
    </row>
    <row r="5353" spans="1:10" x14ac:dyDescent="0.75">
      <c r="A5353" t="s">
        <v>151</v>
      </c>
      <c r="B5353">
        <v>4110</v>
      </c>
      <c r="C5353" t="s">
        <v>2</v>
      </c>
      <c r="D5353">
        <v>5190</v>
      </c>
      <c r="E5353" t="s">
        <v>462</v>
      </c>
      <c r="F5353" s="4">
        <v>3136</v>
      </c>
      <c r="G5353" s="4">
        <v>344779</v>
      </c>
      <c r="H5353" s="4">
        <v>335324</v>
      </c>
      <c r="I5353" s="4">
        <v>9455</v>
      </c>
      <c r="J5353" s="4">
        <v>347915</v>
      </c>
    </row>
    <row r="5354" spans="1:10" x14ac:dyDescent="0.75">
      <c r="A5354" t="s">
        <v>151</v>
      </c>
      <c r="B5354">
        <v>4110</v>
      </c>
      <c r="C5354" t="s">
        <v>2</v>
      </c>
      <c r="D5354">
        <v>5120</v>
      </c>
      <c r="E5354" t="s">
        <v>461</v>
      </c>
      <c r="F5354" s="4">
        <v>0</v>
      </c>
      <c r="G5354" s="4">
        <v>346861</v>
      </c>
      <c r="H5354" s="4">
        <v>278201</v>
      </c>
      <c r="I5354" s="4">
        <v>68660</v>
      </c>
      <c r="J5354" s="4">
        <v>346861</v>
      </c>
    </row>
    <row r="5355" spans="1:10" x14ac:dyDescent="0.75">
      <c r="A5355" t="s">
        <v>151</v>
      </c>
      <c r="B5355">
        <v>4110</v>
      </c>
      <c r="C5355" t="s">
        <v>2</v>
      </c>
      <c r="D5355">
        <v>5220</v>
      </c>
      <c r="E5355" t="s">
        <v>401</v>
      </c>
      <c r="F5355" s="4">
        <v>0</v>
      </c>
      <c r="G5355" s="4">
        <v>343946</v>
      </c>
      <c r="H5355" s="4">
        <v>343513</v>
      </c>
      <c r="I5355" s="4">
        <v>433</v>
      </c>
      <c r="J5355" s="4">
        <v>343946</v>
      </c>
    </row>
    <row r="5356" spans="1:10" x14ac:dyDescent="0.75">
      <c r="A5356" t="s">
        <v>151</v>
      </c>
      <c r="B5356">
        <v>4110</v>
      </c>
      <c r="C5356" t="s">
        <v>2</v>
      </c>
      <c r="D5356">
        <v>9900</v>
      </c>
      <c r="E5356" t="s">
        <v>389</v>
      </c>
      <c r="F5356" s="4">
        <v>0</v>
      </c>
      <c r="G5356" s="4">
        <v>343695</v>
      </c>
      <c r="H5356" s="4">
        <v>216660</v>
      </c>
      <c r="I5356" s="4">
        <v>127035</v>
      </c>
      <c r="J5356" s="4">
        <v>343695</v>
      </c>
    </row>
    <row r="5357" spans="1:10" x14ac:dyDescent="0.75">
      <c r="A5357" t="s">
        <v>151</v>
      </c>
      <c r="B5357">
        <v>4110</v>
      </c>
      <c r="C5357" t="s">
        <v>2</v>
      </c>
      <c r="D5357">
        <v>5540</v>
      </c>
      <c r="E5357" t="s">
        <v>469</v>
      </c>
      <c r="F5357" s="4">
        <v>13</v>
      </c>
      <c r="G5357" s="4">
        <v>331510</v>
      </c>
      <c r="H5357" s="4">
        <v>324403</v>
      </c>
      <c r="I5357" s="4">
        <v>7107</v>
      </c>
      <c r="J5357" s="4">
        <v>331523</v>
      </c>
    </row>
    <row r="5358" spans="1:10" x14ac:dyDescent="0.75">
      <c r="A5358" t="s">
        <v>151</v>
      </c>
      <c r="B5358">
        <v>4110</v>
      </c>
      <c r="C5358" t="s">
        <v>2</v>
      </c>
      <c r="D5358">
        <v>6839</v>
      </c>
      <c r="E5358" t="s">
        <v>485</v>
      </c>
      <c r="F5358" s="4">
        <v>189</v>
      </c>
      <c r="G5358" s="4">
        <v>319011</v>
      </c>
      <c r="H5358" s="4">
        <v>15776</v>
      </c>
      <c r="I5358" s="4">
        <v>303235</v>
      </c>
      <c r="J5358" s="4">
        <v>319200</v>
      </c>
    </row>
    <row r="5359" spans="1:10" x14ac:dyDescent="0.75">
      <c r="A5359" t="s">
        <v>151</v>
      </c>
      <c r="B5359">
        <v>4110</v>
      </c>
      <c r="C5359" t="s">
        <v>2</v>
      </c>
      <c r="D5359">
        <v>7400</v>
      </c>
      <c r="E5359" t="s">
        <v>502</v>
      </c>
      <c r="F5359" s="4">
        <v>60154</v>
      </c>
      <c r="G5359" s="4">
        <v>249188</v>
      </c>
      <c r="H5359" s="4">
        <v>244274</v>
      </c>
      <c r="I5359" s="4">
        <v>4914</v>
      </c>
      <c r="J5359" s="4">
        <v>309342</v>
      </c>
    </row>
    <row r="5360" spans="1:10" x14ac:dyDescent="0.75">
      <c r="A5360" t="s">
        <v>151</v>
      </c>
      <c r="B5360">
        <v>4110</v>
      </c>
      <c r="C5360" t="s">
        <v>2</v>
      </c>
      <c r="D5360">
        <v>6344</v>
      </c>
      <c r="E5360" t="s">
        <v>392</v>
      </c>
      <c r="F5360" s="4">
        <v>0</v>
      </c>
      <c r="G5360" s="4">
        <v>308962</v>
      </c>
      <c r="H5360" s="4">
        <v>3509</v>
      </c>
      <c r="I5360" s="4">
        <v>305453</v>
      </c>
      <c r="J5360" s="4">
        <v>308962</v>
      </c>
    </row>
    <row r="5361" spans="1:10" x14ac:dyDescent="0.75">
      <c r="A5361" t="s">
        <v>151</v>
      </c>
      <c r="B5361">
        <v>4110</v>
      </c>
      <c r="C5361" t="s">
        <v>2</v>
      </c>
      <c r="D5361">
        <v>5330</v>
      </c>
      <c r="E5361" t="s">
        <v>385</v>
      </c>
      <c r="F5361" s="4">
        <v>0</v>
      </c>
      <c r="G5361" s="4">
        <v>292202</v>
      </c>
      <c r="H5361" s="4">
        <v>287870</v>
      </c>
      <c r="I5361" s="4">
        <v>4332</v>
      </c>
      <c r="J5361" s="4">
        <v>292202</v>
      </c>
    </row>
    <row r="5362" spans="1:10" x14ac:dyDescent="0.75">
      <c r="A5362" t="s">
        <v>151</v>
      </c>
      <c r="B5362">
        <v>4110</v>
      </c>
      <c r="C5362" t="s">
        <v>2</v>
      </c>
      <c r="D5362">
        <v>6888</v>
      </c>
      <c r="E5362" t="s">
        <v>494</v>
      </c>
      <c r="F5362" s="4">
        <v>0</v>
      </c>
      <c r="G5362" s="4">
        <v>282373</v>
      </c>
      <c r="H5362" s="4">
        <v>271389</v>
      </c>
      <c r="I5362" s="4">
        <v>10984</v>
      </c>
      <c r="J5362" s="4">
        <v>282373</v>
      </c>
    </row>
    <row r="5363" spans="1:10" x14ac:dyDescent="0.75">
      <c r="A5363" t="s">
        <v>151</v>
      </c>
      <c r="B5363">
        <v>4110</v>
      </c>
      <c r="C5363" t="s">
        <v>2</v>
      </c>
      <c r="D5363">
        <v>4323</v>
      </c>
      <c r="E5363" t="s">
        <v>373</v>
      </c>
      <c r="F5363" s="4">
        <v>0</v>
      </c>
      <c r="G5363" s="4">
        <v>265800</v>
      </c>
      <c r="H5363" s="4">
        <v>263433</v>
      </c>
      <c r="I5363" s="4">
        <v>2367</v>
      </c>
      <c r="J5363" s="4">
        <v>265800</v>
      </c>
    </row>
    <row r="5364" spans="1:10" x14ac:dyDescent="0.75">
      <c r="A5364" t="s">
        <v>151</v>
      </c>
      <c r="B5364">
        <v>4110</v>
      </c>
      <c r="C5364" t="s">
        <v>2</v>
      </c>
      <c r="D5364">
        <v>6822</v>
      </c>
      <c r="E5364" t="s">
        <v>482</v>
      </c>
      <c r="F5364" s="4">
        <v>0</v>
      </c>
      <c r="G5364" s="4">
        <v>250164</v>
      </c>
      <c r="H5364" s="4">
        <v>55098</v>
      </c>
      <c r="I5364" s="4">
        <v>195066</v>
      </c>
      <c r="J5364" s="4">
        <v>250164</v>
      </c>
    </row>
    <row r="5365" spans="1:10" x14ac:dyDescent="0.75">
      <c r="A5365" t="s">
        <v>151</v>
      </c>
      <c r="B5365">
        <v>4110</v>
      </c>
      <c r="C5365" t="s">
        <v>2</v>
      </c>
      <c r="D5365">
        <v>6747</v>
      </c>
      <c r="E5365" t="s">
        <v>478</v>
      </c>
      <c r="F5365" s="4">
        <v>0</v>
      </c>
      <c r="G5365" s="4">
        <v>238042</v>
      </c>
      <c r="H5365" s="4">
        <v>120287</v>
      </c>
      <c r="I5365" s="4">
        <v>117755</v>
      </c>
      <c r="J5365" s="4">
        <v>238042</v>
      </c>
    </row>
    <row r="5366" spans="1:10" x14ac:dyDescent="0.75">
      <c r="A5366" t="s">
        <v>151</v>
      </c>
      <c r="B5366">
        <v>4110</v>
      </c>
      <c r="C5366" t="s">
        <v>2</v>
      </c>
      <c r="D5366">
        <v>3299</v>
      </c>
      <c r="E5366" t="s">
        <v>448</v>
      </c>
      <c r="F5366" s="4">
        <v>7652</v>
      </c>
      <c r="G5366" s="4">
        <v>217534</v>
      </c>
      <c r="H5366" s="4">
        <v>107872</v>
      </c>
      <c r="I5366" s="4">
        <v>109662</v>
      </c>
      <c r="J5366" s="4">
        <v>225186</v>
      </c>
    </row>
    <row r="5367" spans="1:10" x14ac:dyDescent="0.75">
      <c r="A5367" t="s">
        <v>151</v>
      </c>
      <c r="B5367">
        <v>4110</v>
      </c>
      <c r="C5367" t="s">
        <v>2</v>
      </c>
      <c r="D5367">
        <v>4189</v>
      </c>
      <c r="E5367" t="s">
        <v>451</v>
      </c>
      <c r="F5367" s="4">
        <v>54753</v>
      </c>
      <c r="G5367" s="4">
        <v>157145</v>
      </c>
      <c r="H5367" s="4">
        <v>84704</v>
      </c>
      <c r="I5367" s="4">
        <v>72441</v>
      </c>
      <c r="J5367" s="4">
        <v>211898</v>
      </c>
    </row>
    <row r="5368" spans="1:10" x14ac:dyDescent="0.75">
      <c r="A5368" t="s">
        <v>151</v>
      </c>
      <c r="B5368">
        <v>4110</v>
      </c>
      <c r="C5368" t="s">
        <v>2</v>
      </c>
      <c r="D5368">
        <v>3292</v>
      </c>
      <c r="E5368" t="s">
        <v>413</v>
      </c>
      <c r="F5368" s="4">
        <v>0</v>
      </c>
      <c r="G5368" s="4">
        <v>193922</v>
      </c>
      <c r="H5368" s="4">
        <v>142724</v>
      </c>
      <c r="I5368" s="4">
        <v>51198</v>
      </c>
      <c r="J5368" s="4">
        <v>193922</v>
      </c>
    </row>
    <row r="5369" spans="1:10" x14ac:dyDescent="0.75">
      <c r="A5369" t="s">
        <v>151</v>
      </c>
      <c r="B5369">
        <v>4110</v>
      </c>
      <c r="C5369" t="s">
        <v>2</v>
      </c>
      <c r="D5369">
        <v>5370</v>
      </c>
      <c r="E5369" t="s">
        <v>466</v>
      </c>
      <c r="F5369" s="4">
        <v>1213</v>
      </c>
      <c r="G5369" s="4">
        <v>188398</v>
      </c>
      <c r="H5369" s="4">
        <v>185213</v>
      </c>
      <c r="I5369" s="4">
        <v>3185</v>
      </c>
      <c r="J5369" s="4">
        <v>189611</v>
      </c>
    </row>
    <row r="5370" spans="1:10" x14ac:dyDescent="0.75">
      <c r="A5370" t="s">
        <v>151</v>
      </c>
      <c r="B5370">
        <v>4110</v>
      </c>
      <c r="C5370" t="s">
        <v>2</v>
      </c>
      <c r="D5370">
        <v>2221</v>
      </c>
      <c r="E5370" t="s">
        <v>374</v>
      </c>
      <c r="F5370" s="4">
        <v>16268</v>
      </c>
      <c r="G5370" s="4">
        <v>166055</v>
      </c>
      <c r="H5370" s="4">
        <v>139700</v>
      </c>
      <c r="I5370" s="4">
        <v>26355</v>
      </c>
      <c r="J5370" s="4">
        <v>182323</v>
      </c>
    </row>
    <row r="5371" spans="1:10" x14ac:dyDescent="0.75">
      <c r="A5371" t="s">
        <v>151</v>
      </c>
      <c r="B5371">
        <v>4110</v>
      </c>
      <c r="C5371" t="s">
        <v>2</v>
      </c>
      <c r="D5371">
        <v>6442</v>
      </c>
      <c r="E5371" t="s">
        <v>472</v>
      </c>
      <c r="F5371" s="4">
        <v>146</v>
      </c>
      <c r="G5371" s="4">
        <v>164440</v>
      </c>
      <c r="H5371" s="4">
        <v>152785</v>
      </c>
      <c r="I5371" s="4">
        <v>11655</v>
      </c>
      <c r="J5371" s="4">
        <v>164586</v>
      </c>
    </row>
    <row r="5372" spans="1:10" x14ac:dyDescent="0.75">
      <c r="A5372" t="s">
        <v>151</v>
      </c>
      <c r="B5372">
        <v>4110</v>
      </c>
      <c r="C5372" t="s">
        <v>2</v>
      </c>
      <c r="D5372">
        <v>3275</v>
      </c>
      <c r="E5372" t="s">
        <v>412</v>
      </c>
      <c r="F5372" s="4">
        <v>0</v>
      </c>
      <c r="G5372" s="4">
        <v>152706</v>
      </c>
      <c r="H5372" s="4">
        <v>104477</v>
      </c>
      <c r="I5372" s="4">
        <v>48229</v>
      </c>
      <c r="J5372" s="4">
        <v>152706</v>
      </c>
    </row>
    <row r="5373" spans="1:10" x14ac:dyDescent="0.75">
      <c r="A5373" t="s">
        <v>151</v>
      </c>
      <c r="B5373">
        <v>4110</v>
      </c>
      <c r="C5373" t="s">
        <v>2</v>
      </c>
      <c r="D5373">
        <v>6653</v>
      </c>
      <c r="E5373" t="s">
        <v>395</v>
      </c>
      <c r="F5373" s="4">
        <v>0</v>
      </c>
      <c r="G5373" s="4">
        <v>143172</v>
      </c>
      <c r="H5373" s="4">
        <v>133655</v>
      </c>
      <c r="I5373" s="4">
        <v>9517</v>
      </c>
      <c r="J5373" s="4">
        <v>143172</v>
      </c>
    </row>
    <row r="5374" spans="1:10" x14ac:dyDescent="0.75">
      <c r="A5374" t="s">
        <v>151</v>
      </c>
      <c r="B5374">
        <v>4110</v>
      </c>
      <c r="C5374" t="s">
        <v>2</v>
      </c>
      <c r="D5374">
        <v>4860</v>
      </c>
      <c r="E5374" t="s">
        <v>400</v>
      </c>
      <c r="F5374" s="4">
        <v>0</v>
      </c>
      <c r="G5374" s="4">
        <v>131590</v>
      </c>
      <c r="H5374" s="4">
        <v>130914</v>
      </c>
      <c r="I5374" s="4">
        <v>676</v>
      </c>
      <c r="J5374" s="4">
        <v>131590</v>
      </c>
    </row>
    <row r="5375" spans="1:10" x14ac:dyDescent="0.75">
      <c r="A5375" t="s">
        <v>151</v>
      </c>
      <c r="B5375">
        <v>4110</v>
      </c>
      <c r="C5375" t="s">
        <v>2</v>
      </c>
      <c r="D5375">
        <v>3220</v>
      </c>
      <c r="E5375" t="s">
        <v>370</v>
      </c>
      <c r="F5375" s="4">
        <v>24325</v>
      </c>
      <c r="G5375" s="4">
        <v>104500</v>
      </c>
      <c r="H5375" s="4">
        <v>78310</v>
      </c>
      <c r="I5375" s="4">
        <v>26190</v>
      </c>
      <c r="J5375" s="4">
        <v>128825</v>
      </c>
    </row>
    <row r="5376" spans="1:10" x14ac:dyDescent="0.75">
      <c r="A5376" t="s">
        <v>151</v>
      </c>
      <c r="B5376">
        <v>4110</v>
      </c>
      <c r="C5376" t="s">
        <v>2</v>
      </c>
      <c r="D5376">
        <v>6136</v>
      </c>
      <c r="E5376" t="s">
        <v>471</v>
      </c>
      <c r="F5376" s="4">
        <v>0</v>
      </c>
      <c r="G5376" s="4">
        <v>114117</v>
      </c>
      <c r="H5376" s="4">
        <v>108511</v>
      </c>
      <c r="I5376" s="4">
        <v>5606</v>
      </c>
      <c r="J5376" s="4">
        <v>114117</v>
      </c>
    </row>
    <row r="5377" spans="1:10" x14ac:dyDescent="0.75">
      <c r="A5377" t="s">
        <v>151</v>
      </c>
      <c r="B5377">
        <v>4110</v>
      </c>
      <c r="C5377" t="s">
        <v>2</v>
      </c>
      <c r="D5377">
        <v>6134</v>
      </c>
      <c r="E5377" t="s">
        <v>470</v>
      </c>
      <c r="F5377" s="4">
        <v>14</v>
      </c>
      <c r="G5377" s="4">
        <v>110954</v>
      </c>
      <c r="H5377" s="4">
        <v>107522</v>
      </c>
      <c r="I5377" s="4">
        <v>3432</v>
      </c>
      <c r="J5377" s="4">
        <v>110968</v>
      </c>
    </row>
    <row r="5378" spans="1:10" x14ac:dyDescent="0.75">
      <c r="A5378" t="s">
        <v>151</v>
      </c>
      <c r="B5378">
        <v>4110</v>
      </c>
      <c r="C5378" t="s">
        <v>2</v>
      </c>
      <c r="D5378">
        <v>3230</v>
      </c>
      <c r="E5378" t="s">
        <v>434</v>
      </c>
      <c r="F5378" s="4">
        <v>0</v>
      </c>
      <c r="G5378" s="4">
        <v>107265</v>
      </c>
      <c r="H5378" s="4">
        <v>100795</v>
      </c>
      <c r="I5378" s="4">
        <v>6470</v>
      </c>
      <c r="J5378" s="4">
        <v>107265</v>
      </c>
    </row>
    <row r="5379" spans="1:10" x14ac:dyDescent="0.75">
      <c r="A5379" t="s">
        <v>151</v>
      </c>
      <c r="B5379">
        <v>4110</v>
      </c>
      <c r="C5379" t="s">
        <v>2</v>
      </c>
      <c r="D5379">
        <v>4783</v>
      </c>
      <c r="E5379" t="s">
        <v>382</v>
      </c>
      <c r="F5379" s="4">
        <v>0</v>
      </c>
      <c r="G5379" s="4">
        <v>106253</v>
      </c>
      <c r="H5379" s="4">
        <v>104058</v>
      </c>
      <c r="I5379" s="4">
        <v>2195</v>
      </c>
      <c r="J5379" s="4">
        <v>106253</v>
      </c>
    </row>
    <row r="5380" spans="1:10" x14ac:dyDescent="0.75">
      <c r="A5380" t="s">
        <v>151</v>
      </c>
      <c r="B5380">
        <v>4110</v>
      </c>
      <c r="C5380" t="s">
        <v>2</v>
      </c>
      <c r="D5380">
        <v>3293</v>
      </c>
      <c r="E5380" t="s">
        <v>445</v>
      </c>
      <c r="F5380" s="4">
        <v>0</v>
      </c>
      <c r="G5380" s="4">
        <v>105742</v>
      </c>
      <c r="H5380" s="4">
        <v>104160</v>
      </c>
      <c r="I5380" s="4">
        <v>1582</v>
      </c>
      <c r="J5380" s="4">
        <v>105742</v>
      </c>
    </row>
    <row r="5381" spans="1:10" x14ac:dyDescent="0.75">
      <c r="A5381" t="s">
        <v>151</v>
      </c>
      <c r="B5381">
        <v>4110</v>
      </c>
      <c r="C5381" t="s">
        <v>2</v>
      </c>
      <c r="D5381">
        <v>3274</v>
      </c>
      <c r="E5381" t="s">
        <v>438</v>
      </c>
      <c r="F5381" s="4">
        <v>0</v>
      </c>
      <c r="G5381" s="4">
        <v>104607</v>
      </c>
      <c r="H5381" s="4">
        <v>103132</v>
      </c>
      <c r="I5381" s="4">
        <v>1475</v>
      </c>
      <c r="J5381" s="4">
        <v>104607</v>
      </c>
    </row>
    <row r="5382" spans="1:10" x14ac:dyDescent="0.75">
      <c r="A5382" t="s">
        <v>151</v>
      </c>
      <c r="B5382">
        <v>4110</v>
      </c>
      <c r="C5382" t="s">
        <v>2</v>
      </c>
      <c r="D5382">
        <v>4170</v>
      </c>
      <c r="E5382" t="s">
        <v>424</v>
      </c>
      <c r="F5382" s="4">
        <v>0</v>
      </c>
      <c r="G5382" s="4">
        <v>94720</v>
      </c>
      <c r="H5382" s="4">
        <v>3456</v>
      </c>
      <c r="I5382" s="4">
        <v>91264</v>
      </c>
      <c r="J5382" s="4">
        <v>94720</v>
      </c>
    </row>
    <row r="5383" spans="1:10" x14ac:dyDescent="0.75">
      <c r="A5383" t="s">
        <v>151</v>
      </c>
      <c r="B5383">
        <v>4110</v>
      </c>
      <c r="C5383" t="s">
        <v>2</v>
      </c>
      <c r="D5383">
        <v>3291</v>
      </c>
      <c r="E5383" t="s">
        <v>444</v>
      </c>
      <c r="F5383" s="4">
        <v>34</v>
      </c>
      <c r="G5383" s="4">
        <v>94283</v>
      </c>
      <c r="H5383" s="4">
        <v>81605</v>
      </c>
      <c r="I5383" s="4">
        <v>12678</v>
      </c>
      <c r="J5383" s="4">
        <v>94317</v>
      </c>
    </row>
    <row r="5384" spans="1:10" x14ac:dyDescent="0.75">
      <c r="A5384" t="s">
        <v>151</v>
      </c>
      <c r="B5384">
        <v>4110</v>
      </c>
      <c r="C5384" t="s">
        <v>2</v>
      </c>
      <c r="D5384">
        <v>6835</v>
      </c>
      <c r="E5384" t="s">
        <v>483</v>
      </c>
      <c r="F5384" s="4">
        <v>0</v>
      </c>
      <c r="G5384" s="4">
        <v>90452</v>
      </c>
      <c r="H5384" s="4">
        <v>88707</v>
      </c>
      <c r="I5384" s="4">
        <v>1745</v>
      </c>
      <c r="J5384" s="4">
        <v>90452</v>
      </c>
    </row>
    <row r="5385" spans="1:10" x14ac:dyDescent="0.75">
      <c r="A5385" t="s">
        <v>151</v>
      </c>
      <c r="B5385">
        <v>4110</v>
      </c>
      <c r="C5385" t="s">
        <v>2</v>
      </c>
      <c r="D5385">
        <v>2429</v>
      </c>
      <c r="E5385" t="s">
        <v>375</v>
      </c>
      <c r="F5385" s="4">
        <v>18930</v>
      </c>
      <c r="G5385" s="4">
        <v>62456</v>
      </c>
      <c r="H5385" s="4">
        <v>61213</v>
      </c>
      <c r="I5385" s="4">
        <v>1243</v>
      </c>
      <c r="J5385" s="4">
        <v>81386</v>
      </c>
    </row>
    <row r="5386" spans="1:10" x14ac:dyDescent="0.75">
      <c r="A5386" t="s">
        <v>151</v>
      </c>
      <c r="B5386">
        <v>4110</v>
      </c>
      <c r="C5386" t="s">
        <v>2</v>
      </c>
      <c r="D5386">
        <v>5421</v>
      </c>
      <c r="E5386" t="s">
        <v>467</v>
      </c>
      <c r="F5386" s="4">
        <v>0</v>
      </c>
      <c r="G5386" s="4">
        <v>72910</v>
      </c>
      <c r="H5386" s="4">
        <v>46157</v>
      </c>
      <c r="I5386" s="4">
        <v>26753</v>
      </c>
      <c r="J5386" s="4">
        <v>72910</v>
      </c>
    </row>
    <row r="5387" spans="1:10" x14ac:dyDescent="0.75">
      <c r="A5387" t="s">
        <v>151</v>
      </c>
      <c r="B5387">
        <v>4110</v>
      </c>
      <c r="C5387" t="s">
        <v>2</v>
      </c>
      <c r="D5387">
        <v>3240</v>
      </c>
      <c r="E5387" t="s">
        <v>410</v>
      </c>
      <c r="F5387" s="4">
        <v>0</v>
      </c>
      <c r="G5387" s="4">
        <v>69410</v>
      </c>
      <c r="H5387" s="4">
        <v>55535</v>
      </c>
      <c r="I5387" s="4">
        <v>13875</v>
      </c>
      <c r="J5387" s="4">
        <v>69410</v>
      </c>
    </row>
    <row r="5388" spans="1:10" x14ac:dyDescent="0.75">
      <c r="A5388" t="s">
        <v>151</v>
      </c>
      <c r="B5388">
        <v>4110</v>
      </c>
      <c r="C5388" t="s">
        <v>2</v>
      </c>
      <c r="D5388">
        <v>3284</v>
      </c>
      <c r="E5388" t="s">
        <v>442</v>
      </c>
      <c r="F5388" s="4">
        <v>0</v>
      </c>
      <c r="G5388" s="4">
        <v>69121</v>
      </c>
      <c r="H5388" s="4">
        <v>58486</v>
      </c>
      <c r="I5388" s="4">
        <v>10635</v>
      </c>
      <c r="J5388" s="4">
        <v>69121</v>
      </c>
    </row>
    <row r="5389" spans="1:10" x14ac:dyDescent="0.75">
      <c r="A5389" t="s">
        <v>151</v>
      </c>
      <c r="B5389">
        <v>4110</v>
      </c>
      <c r="C5389" t="s">
        <v>2</v>
      </c>
      <c r="D5389">
        <v>3250</v>
      </c>
      <c r="E5389" t="s">
        <v>435</v>
      </c>
      <c r="F5389" s="4">
        <v>0</v>
      </c>
      <c r="G5389" s="4">
        <v>67484</v>
      </c>
      <c r="H5389" s="4">
        <v>57012</v>
      </c>
      <c r="I5389" s="4">
        <v>10472</v>
      </c>
      <c r="J5389" s="4">
        <v>67484</v>
      </c>
    </row>
    <row r="5390" spans="1:10" x14ac:dyDescent="0.75">
      <c r="A5390" t="s">
        <v>151</v>
      </c>
      <c r="B5390">
        <v>4110</v>
      </c>
      <c r="C5390" t="s">
        <v>2</v>
      </c>
      <c r="D5390">
        <v>6899</v>
      </c>
      <c r="E5390" t="s">
        <v>498</v>
      </c>
      <c r="F5390" s="4">
        <v>16216</v>
      </c>
      <c r="G5390" s="4">
        <v>33467</v>
      </c>
      <c r="H5390" s="4">
        <v>18176</v>
      </c>
      <c r="I5390" s="4">
        <v>15291</v>
      </c>
      <c r="J5390" s="4">
        <v>49683</v>
      </c>
    </row>
    <row r="5391" spans="1:10" x14ac:dyDescent="0.75">
      <c r="A5391" t="s">
        <v>151</v>
      </c>
      <c r="B5391">
        <v>4110</v>
      </c>
      <c r="C5391" t="s">
        <v>2</v>
      </c>
      <c r="D5391">
        <v>5360</v>
      </c>
      <c r="E5391" t="s">
        <v>465</v>
      </c>
      <c r="F5391" s="4">
        <v>10367</v>
      </c>
      <c r="G5391" s="4">
        <v>36920</v>
      </c>
      <c r="H5391" s="4">
        <v>34137</v>
      </c>
      <c r="I5391" s="4">
        <v>2783</v>
      </c>
      <c r="J5391" s="4">
        <v>47287</v>
      </c>
    </row>
    <row r="5392" spans="1:10" x14ac:dyDescent="0.75">
      <c r="A5392" t="s">
        <v>151</v>
      </c>
      <c r="B5392">
        <v>4110</v>
      </c>
      <c r="C5392" t="s">
        <v>2</v>
      </c>
      <c r="D5392">
        <v>2410</v>
      </c>
      <c r="E5392" t="s">
        <v>430</v>
      </c>
      <c r="F5392" s="4">
        <v>0</v>
      </c>
      <c r="G5392" s="4">
        <v>46359</v>
      </c>
      <c r="H5392" s="4">
        <v>45534</v>
      </c>
      <c r="I5392" s="4">
        <v>825</v>
      </c>
      <c r="J5392" s="4">
        <v>46359</v>
      </c>
    </row>
    <row r="5393" spans="1:10" x14ac:dyDescent="0.75">
      <c r="A5393" t="s">
        <v>151</v>
      </c>
      <c r="B5393">
        <v>4110</v>
      </c>
      <c r="C5393" t="s">
        <v>2</v>
      </c>
      <c r="D5393">
        <v>3282</v>
      </c>
      <c r="E5393" t="s">
        <v>440</v>
      </c>
      <c r="F5393" s="4">
        <v>328</v>
      </c>
      <c r="G5393" s="4">
        <v>44108</v>
      </c>
      <c r="H5393" s="4">
        <v>26197</v>
      </c>
      <c r="I5393" s="4">
        <v>17911</v>
      </c>
      <c r="J5393" s="4">
        <v>44436</v>
      </c>
    </row>
    <row r="5394" spans="1:10" x14ac:dyDescent="0.75">
      <c r="A5394" t="s">
        <v>151</v>
      </c>
      <c r="B5394">
        <v>4110</v>
      </c>
      <c r="C5394" t="s">
        <v>2</v>
      </c>
      <c r="D5394">
        <v>5312</v>
      </c>
      <c r="E5394" t="s">
        <v>416</v>
      </c>
      <c r="F5394" s="4">
        <v>0</v>
      </c>
      <c r="G5394" s="4">
        <v>39812</v>
      </c>
      <c r="H5394" s="4">
        <v>38618</v>
      </c>
      <c r="I5394" s="4">
        <v>1194</v>
      </c>
      <c r="J5394" s="4">
        <v>39812</v>
      </c>
    </row>
    <row r="5395" spans="1:10" x14ac:dyDescent="0.75">
      <c r="A5395" t="s">
        <v>151</v>
      </c>
      <c r="B5395">
        <v>4110</v>
      </c>
      <c r="C5395" t="s">
        <v>2</v>
      </c>
      <c r="D5395">
        <v>6871</v>
      </c>
      <c r="E5395" t="s">
        <v>491</v>
      </c>
      <c r="F5395" s="4">
        <v>438</v>
      </c>
      <c r="G5395" s="4">
        <v>38542</v>
      </c>
      <c r="H5395" s="4">
        <v>32006</v>
      </c>
      <c r="I5395" s="4">
        <v>6536</v>
      </c>
      <c r="J5395" s="4">
        <v>38980</v>
      </c>
    </row>
    <row r="5396" spans="1:10" x14ac:dyDescent="0.75">
      <c r="A5396" t="s">
        <v>151</v>
      </c>
      <c r="B5396">
        <v>4110</v>
      </c>
      <c r="C5396" t="s">
        <v>2</v>
      </c>
      <c r="D5396">
        <v>4190</v>
      </c>
      <c r="E5396" t="s">
        <v>452</v>
      </c>
      <c r="F5396" s="4">
        <v>0</v>
      </c>
      <c r="G5396" s="4">
        <v>38025</v>
      </c>
      <c r="H5396" s="4">
        <v>35948</v>
      </c>
      <c r="I5396" s="4">
        <v>2077</v>
      </c>
      <c r="J5396" s="4">
        <v>38025</v>
      </c>
    </row>
    <row r="5397" spans="1:10" x14ac:dyDescent="0.75">
      <c r="A5397" t="s">
        <v>151</v>
      </c>
      <c r="B5397">
        <v>4110</v>
      </c>
      <c r="C5397" t="s">
        <v>2</v>
      </c>
      <c r="D5397">
        <v>3219</v>
      </c>
      <c r="E5397" t="s">
        <v>378</v>
      </c>
      <c r="F5397" s="4">
        <v>0</v>
      </c>
      <c r="G5397" s="4">
        <v>37501</v>
      </c>
      <c r="H5397" s="4">
        <v>33733</v>
      </c>
      <c r="I5397" s="4">
        <v>3768</v>
      </c>
      <c r="J5397" s="4">
        <v>37501</v>
      </c>
    </row>
    <row r="5398" spans="1:10" x14ac:dyDescent="0.75">
      <c r="A5398" t="s">
        <v>151</v>
      </c>
      <c r="B5398">
        <v>4110</v>
      </c>
      <c r="C5398" t="s">
        <v>2</v>
      </c>
      <c r="D5398">
        <v>1200</v>
      </c>
      <c r="E5398" t="s">
        <v>402</v>
      </c>
      <c r="F5398" s="4">
        <v>0</v>
      </c>
      <c r="G5398" s="4">
        <v>36377</v>
      </c>
      <c r="H5398" s="4">
        <v>1</v>
      </c>
      <c r="I5398" s="4">
        <v>36376</v>
      </c>
      <c r="J5398" s="4">
        <v>36377</v>
      </c>
    </row>
    <row r="5399" spans="1:10" x14ac:dyDescent="0.75">
      <c r="A5399" t="s">
        <v>151</v>
      </c>
      <c r="B5399">
        <v>4110</v>
      </c>
      <c r="C5399" t="s">
        <v>2</v>
      </c>
      <c r="D5399">
        <v>5390</v>
      </c>
      <c r="E5399" t="s">
        <v>418</v>
      </c>
      <c r="F5399" s="4">
        <v>0</v>
      </c>
      <c r="G5399" s="4">
        <v>35621</v>
      </c>
      <c r="H5399" s="4">
        <v>35201</v>
      </c>
      <c r="I5399" s="4">
        <v>420</v>
      </c>
      <c r="J5399" s="4">
        <v>35621</v>
      </c>
    </row>
    <row r="5400" spans="1:10" x14ac:dyDescent="0.75">
      <c r="A5400" t="s">
        <v>151</v>
      </c>
      <c r="B5400">
        <v>4110</v>
      </c>
      <c r="C5400" t="s">
        <v>2</v>
      </c>
      <c r="D5400">
        <v>3260</v>
      </c>
      <c r="E5400" t="s">
        <v>436</v>
      </c>
      <c r="F5400" s="4">
        <v>0</v>
      </c>
      <c r="G5400" s="4">
        <v>34156</v>
      </c>
      <c r="H5400" s="4">
        <v>22353</v>
      </c>
      <c r="I5400" s="4">
        <v>11803</v>
      </c>
      <c r="J5400" s="4">
        <v>34156</v>
      </c>
    </row>
    <row r="5401" spans="1:10" x14ac:dyDescent="0.75">
      <c r="A5401" t="s">
        <v>151</v>
      </c>
      <c r="B5401">
        <v>4110</v>
      </c>
      <c r="C5401" t="s">
        <v>2</v>
      </c>
      <c r="D5401">
        <v>4900</v>
      </c>
      <c r="E5401" t="s">
        <v>383</v>
      </c>
      <c r="F5401" s="4">
        <v>0</v>
      </c>
      <c r="G5401" s="4">
        <v>32946</v>
      </c>
      <c r="H5401" s="4">
        <v>13177</v>
      </c>
      <c r="I5401" s="4">
        <v>19769</v>
      </c>
      <c r="J5401" s="4">
        <v>32946</v>
      </c>
    </row>
    <row r="5402" spans="1:10" x14ac:dyDescent="0.75">
      <c r="A5402" t="s">
        <v>151</v>
      </c>
      <c r="B5402">
        <v>4110</v>
      </c>
      <c r="C5402" t="s">
        <v>2</v>
      </c>
      <c r="D5402">
        <v>6891</v>
      </c>
      <c r="E5402" t="s">
        <v>495</v>
      </c>
      <c r="F5402" s="4">
        <v>361</v>
      </c>
      <c r="G5402" s="4">
        <v>30221</v>
      </c>
      <c r="H5402" s="4">
        <v>25759</v>
      </c>
      <c r="I5402" s="4">
        <v>4462</v>
      </c>
      <c r="J5402" s="4">
        <v>30582</v>
      </c>
    </row>
    <row r="5403" spans="1:10" x14ac:dyDescent="0.75">
      <c r="A5403" t="s">
        <v>151</v>
      </c>
      <c r="B5403">
        <v>4110</v>
      </c>
      <c r="C5403" t="s">
        <v>2</v>
      </c>
      <c r="D5403">
        <v>6590</v>
      </c>
      <c r="E5403" t="s">
        <v>394</v>
      </c>
      <c r="F5403" s="4">
        <v>0</v>
      </c>
      <c r="G5403" s="4">
        <v>29218</v>
      </c>
      <c r="H5403" s="4">
        <v>13995</v>
      </c>
      <c r="I5403" s="4">
        <v>15223</v>
      </c>
      <c r="J5403" s="4">
        <v>29218</v>
      </c>
    </row>
    <row r="5404" spans="1:10" x14ac:dyDescent="0.75">
      <c r="A5404" t="s">
        <v>151</v>
      </c>
      <c r="B5404">
        <v>4110</v>
      </c>
      <c r="C5404" t="s">
        <v>2</v>
      </c>
      <c r="D5404">
        <v>4310</v>
      </c>
      <c r="E5404" t="s">
        <v>453</v>
      </c>
      <c r="F5404" s="4">
        <v>0</v>
      </c>
      <c r="G5404" s="4">
        <v>28360</v>
      </c>
      <c r="H5404" s="4">
        <v>28322</v>
      </c>
      <c r="I5404" s="4">
        <v>38</v>
      </c>
      <c r="J5404" s="4">
        <v>28360</v>
      </c>
    </row>
    <row r="5405" spans="1:10" x14ac:dyDescent="0.75">
      <c r="A5405" t="s">
        <v>151</v>
      </c>
      <c r="B5405">
        <v>4110</v>
      </c>
      <c r="C5405" t="s">
        <v>2</v>
      </c>
      <c r="D5405">
        <v>3190</v>
      </c>
      <c r="E5405" t="s">
        <v>408</v>
      </c>
      <c r="F5405" s="4">
        <v>1960</v>
      </c>
      <c r="G5405" s="4">
        <v>24577</v>
      </c>
      <c r="H5405" s="4">
        <v>16507</v>
      </c>
      <c r="I5405" s="4">
        <v>8070</v>
      </c>
      <c r="J5405" s="4">
        <v>26537</v>
      </c>
    </row>
    <row r="5406" spans="1:10" x14ac:dyDescent="0.75">
      <c r="A5406" t="s">
        <v>151</v>
      </c>
      <c r="B5406">
        <v>4110</v>
      </c>
      <c r="C5406" t="s">
        <v>2</v>
      </c>
      <c r="D5406">
        <v>6861</v>
      </c>
      <c r="E5406" t="s">
        <v>489</v>
      </c>
      <c r="F5406" s="4">
        <v>0</v>
      </c>
      <c r="G5406" s="4">
        <v>23518</v>
      </c>
      <c r="H5406" s="4">
        <v>23299</v>
      </c>
      <c r="I5406" s="4">
        <v>219</v>
      </c>
      <c r="J5406" s="4">
        <v>23518</v>
      </c>
    </row>
    <row r="5407" spans="1:10" x14ac:dyDescent="0.75">
      <c r="A5407" t="s">
        <v>151</v>
      </c>
      <c r="B5407">
        <v>4110</v>
      </c>
      <c r="C5407" t="s">
        <v>2</v>
      </c>
      <c r="D5407">
        <v>3297</v>
      </c>
      <c r="E5407" t="s">
        <v>446</v>
      </c>
      <c r="F5407" s="4">
        <v>0</v>
      </c>
      <c r="G5407" s="4">
        <v>23185</v>
      </c>
      <c r="H5407" s="4">
        <v>3620</v>
      </c>
      <c r="I5407" s="4">
        <v>19565</v>
      </c>
      <c r="J5407" s="4">
        <v>23185</v>
      </c>
    </row>
    <row r="5408" spans="1:10" x14ac:dyDescent="0.75">
      <c r="A5408" t="s">
        <v>151</v>
      </c>
      <c r="B5408">
        <v>4110</v>
      </c>
      <c r="C5408" t="s">
        <v>2</v>
      </c>
      <c r="D5408">
        <v>6817</v>
      </c>
      <c r="E5408" t="s">
        <v>481</v>
      </c>
      <c r="F5408" s="4">
        <v>0</v>
      </c>
      <c r="G5408" s="4">
        <v>23026</v>
      </c>
      <c r="H5408" s="4">
        <v>9772</v>
      </c>
      <c r="I5408" s="4">
        <v>13254</v>
      </c>
      <c r="J5408" s="4">
        <v>23026</v>
      </c>
    </row>
    <row r="5409" spans="1:10" x14ac:dyDescent="0.75">
      <c r="A5409" t="s">
        <v>151</v>
      </c>
      <c r="B5409">
        <v>4110</v>
      </c>
      <c r="C5409" t="s">
        <v>2</v>
      </c>
      <c r="D5409">
        <v>3281</v>
      </c>
      <c r="E5409" t="s">
        <v>439</v>
      </c>
      <c r="F5409" s="4">
        <v>0</v>
      </c>
      <c r="G5409" s="4">
        <v>22681</v>
      </c>
      <c r="H5409" s="4">
        <v>432</v>
      </c>
      <c r="I5409" s="4">
        <v>22249</v>
      </c>
      <c r="J5409" s="4">
        <v>22681</v>
      </c>
    </row>
    <row r="5410" spans="1:10" x14ac:dyDescent="0.75">
      <c r="A5410" t="s">
        <v>151</v>
      </c>
      <c r="B5410">
        <v>4110</v>
      </c>
      <c r="C5410" t="s">
        <v>2</v>
      </c>
      <c r="D5410">
        <v>6838</v>
      </c>
      <c r="E5410" t="s">
        <v>484</v>
      </c>
      <c r="F5410" s="4">
        <v>0</v>
      </c>
      <c r="G5410" s="4">
        <v>22470</v>
      </c>
      <c r="H5410" s="4">
        <v>3088</v>
      </c>
      <c r="I5410" s="4">
        <v>19382</v>
      </c>
      <c r="J5410" s="4">
        <v>22470</v>
      </c>
    </row>
    <row r="5411" spans="1:10" x14ac:dyDescent="0.75">
      <c r="A5411" t="s">
        <v>151</v>
      </c>
      <c r="B5411">
        <v>4110</v>
      </c>
      <c r="C5411" t="s">
        <v>2</v>
      </c>
      <c r="D5411">
        <v>4782</v>
      </c>
      <c r="E5411" t="s">
        <v>414</v>
      </c>
      <c r="F5411" s="4">
        <v>0</v>
      </c>
      <c r="G5411" s="4">
        <v>21844</v>
      </c>
      <c r="H5411" s="4">
        <v>9553</v>
      </c>
      <c r="I5411" s="4">
        <v>12291</v>
      </c>
      <c r="J5411" s="4">
        <v>21844</v>
      </c>
    </row>
    <row r="5412" spans="1:10" x14ac:dyDescent="0.75">
      <c r="A5412" t="s">
        <v>151</v>
      </c>
      <c r="B5412">
        <v>4110</v>
      </c>
      <c r="C5412" t="s">
        <v>2</v>
      </c>
      <c r="D5412">
        <v>6447</v>
      </c>
      <c r="E5412" t="s">
        <v>475</v>
      </c>
      <c r="F5412" s="4">
        <v>0</v>
      </c>
      <c r="G5412" s="4">
        <v>20633</v>
      </c>
      <c r="H5412" s="4">
        <v>0</v>
      </c>
      <c r="I5412" s="4">
        <v>20633</v>
      </c>
      <c r="J5412" s="4">
        <v>20633</v>
      </c>
    </row>
    <row r="5413" spans="1:10" x14ac:dyDescent="0.75">
      <c r="A5413" t="s">
        <v>151</v>
      </c>
      <c r="B5413">
        <v>4110</v>
      </c>
      <c r="C5413" t="s">
        <v>2</v>
      </c>
      <c r="D5413">
        <v>5429</v>
      </c>
      <c r="E5413" t="s">
        <v>429</v>
      </c>
      <c r="F5413" s="4">
        <v>0</v>
      </c>
      <c r="G5413" s="4">
        <v>16116</v>
      </c>
      <c r="H5413" s="4">
        <v>12902</v>
      </c>
      <c r="I5413" s="4">
        <v>3214</v>
      </c>
      <c r="J5413" s="4">
        <v>16116</v>
      </c>
    </row>
    <row r="5414" spans="1:10" x14ac:dyDescent="0.75">
      <c r="A5414" t="s">
        <v>151</v>
      </c>
      <c r="B5414">
        <v>4110</v>
      </c>
      <c r="C5414" t="s">
        <v>2</v>
      </c>
      <c r="D5414">
        <v>2350</v>
      </c>
      <c r="E5414" t="s">
        <v>404</v>
      </c>
      <c r="F5414" s="4">
        <v>5335</v>
      </c>
      <c r="G5414" s="4">
        <v>10218</v>
      </c>
      <c r="H5414" s="4">
        <v>4194</v>
      </c>
      <c r="I5414" s="4">
        <v>6024</v>
      </c>
      <c r="J5414" s="4">
        <v>15553</v>
      </c>
    </row>
    <row r="5415" spans="1:10" x14ac:dyDescent="0.75">
      <c r="A5415" t="s">
        <v>151</v>
      </c>
      <c r="B5415">
        <v>4110</v>
      </c>
      <c r="C5415" t="s">
        <v>2</v>
      </c>
      <c r="D5415">
        <v>6856</v>
      </c>
      <c r="E5415" t="s">
        <v>486</v>
      </c>
      <c r="F5415" s="4">
        <v>914</v>
      </c>
      <c r="G5415" s="4">
        <v>14486</v>
      </c>
      <c r="H5415" s="4">
        <v>14282</v>
      </c>
      <c r="I5415" s="4">
        <v>204</v>
      </c>
      <c r="J5415" s="4">
        <v>15400</v>
      </c>
    </row>
    <row r="5416" spans="1:10" x14ac:dyDescent="0.75">
      <c r="A5416" t="s">
        <v>151</v>
      </c>
      <c r="B5416">
        <v>4110</v>
      </c>
      <c r="C5416" t="s">
        <v>2</v>
      </c>
      <c r="D5416">
        <v>3279</v>
      </c>
      <c r="E5416" t="s">
        <v>422</v>
      </c>
      <c r="F5416" s="4">
        <v>0</v>
      </c>
      <c r="G5416" s="4">
        <v>14592</v>
      </c>
      <c r="H5416" s="4">
        <v>10481</v>
      </c>
      <c r="I5416" s="4">
        <v>4111</v>
      </c>
      <c r="J5416" s="4">
        <v>14592</v>
      </c>
    </row>
    <row r="5417" spans="1:10" x14ac:dyDescent="0.75">
      <c r="A5417" t="s">
        <v>151</v>
      </c>
      <c r="B5417">
        <v>4110</v>
      </c>
      <c r="C5417" t="s">
        <v>2</v>
      </c>
      <c r="D5417">
        <v>2990</v>
      </c>
      <c r="E5417" t="s">
        <v>432</v>
      </c>
      <c r="F5417" s="4">
        <v>12554</v>
      </c>
      <c r="G5417" s="4">
        <v>329</v>
      </c>
      <c r="H5417" s="4">
        <v>38</v>
      </c>
      <c r="I5417" s="4">
        <v>291</v>
      </c>
      <c r="J5417" s="4">
        <v>12883</v>
      </c>
    </row>
    <row r="5418" spans="1:10" x14ac:dyDescent="0.75">
      <c r="A5418" t="s">
        <v>151</v>
      </c>
      <c r="B5418">
        <v>4110</v>
      </c>
      <c r="C5418" t="s">
        <v>2</v>
      </c>
      <c r="D5418">
        <v>7300</v>
      </c>
      <c r="E5418" t="s">
        <v>501</v>
      </c>
      <c r="F5418" s="4">
        <v>0</v>
      </c>
      <c r="G5418" s="4">
        <v>12651</v>
      </c>
      <c r="H5418" s="4">
        <v>11961</v>
      </c>
      <c r="I5418" s="4">
        <v>690</v>
      </c>
      <c r="J5418" s="4">
        <v>12651</v>
      </c>
    </row>
    <row r="5419" spans="1:10" x14ac:dyDescent="0.75">
      <c r="A5419" t="s">
        <v>151</v>
      </c>
      <c r="B5419">
        <v>4110</v>
      </c>
      <c r="C5419" t="s">
        <v>2</v>
      </c>
      <c r="D5419">
        <v>6894</v>
      </c>
      <c r="E5419" t="s">
        <v>497</v>
      </c>
      <c r="F5419" s="4">
        <v>0</v>
      </c>
      <c r="G5419" s="4">
        <v>12490</v>
      </c>
      <c r="H5419" s="4">
        <v>12446</v>
      </c>
      <c r="I5419" s="4">
        <v>44</v>
      </c>
      <c r="J5419" s="4">
        <v>12490</v>
      </c>
    </row>
    <row r="5420" spans="1:10" x14ac:dyDescent="0.75">
      <c r="A5420" t="s">
        <v>151</v>
      </c>
      <c r="B5420">
        <v>4110</v>
      </c>
      <c r="C5420" t="s">
        <v>2</v>
      </c>
      <c r="D5420">
        <v>6746</v>
      </c>
      <c r="E5420" t="s">
        <v>477</v>
      </c>
      <c r="F5420" s="4">
        <v>0</v>
      </c>
      <c r="G5420" s="4">
        <v>11828</v>
      </c>
      <c r="H5420" s="4">
        <v>11100</v>
      </c>
      <c r="I5420" s="4">
        <v>728</v>
      </c>
      <c r="J5420" s="4">
        <v>11828</v>
      </c>
    </row>
    <row r="5421" spans="1:10" x14ac:dyDescent="0.75">
      <c r="A5421" t="s">
        <v>151</v>
      </c>
      <c r="B5421">
        <v>4110</v>
      </c>
      <c r="C5421" t="s">
        <v>2</v>
      </c>
      <c r="D5421">
        <v>3283</v>
      </c>
      <c r="E5421" t="s">
        <v>441</v>
      </c>
      <c r="F5421" s="4">
        <v>0</v>
      </c>
      <c r="G5421" s="4">
        <v>10017</v>
      </c>
      <c r="H5421" s="4">
        <v>9195</v>
      </c>
      <c r="I5421" s="4">
        <v>822</v>
      </c>
      <c r="J5421" s="4">
        <v>10017</v>
      </c>
    </row>
    <row r="5422" spans="1:10" x14ac:dyDescent="0.75">
      <c r="A5422" t="s">
        <v>151</v>
      </c>
      <c r="B5422">
        <v>4110</v>
      </c>
      <c r="C5422" t="s">
        <v>2</v>
      </c>
      <c r="D5422">
        <v>4650</v>
      </c>
      <c r="E5422" t="s">
        <v>457</v>
      </c>
      <c r="F5422" s="4">
        <v>0</v>
      </c>
      <c r="G5422" s="4">
        <v>9713</v>
      </c>
      <c r="H5422" s="4">
        <v>4863</v>
      </c>
      <c r="I5422" s="4">
        <v>4850</v>
      </c>
      <c r="J5422" s="4">
        <v>9713</v>
      </c>
    </row>
    <row r="5423" spans="1:10" x14ac:dyDescent="0.75">
      <c r="A5423" t="s">
        <v>151</v>
      </c>
      <c r="B5423">
        <v>4110</v>
      </c>
      <c r="C5423" t="s">
        <v>2</v>
      </c>
      <c r="D5423">
        <v>7220</v>
      </c>
      <c r="E5423" t="s">
        <v>500</v>
      </c>
      <c r="F5423" s="4">
        <v>0</v>
      </c>
      <c r="G5423" s="4">
        <v>8768</v>
      </c>
      <c r="H5423" s="4">
        <v>4783</v>
      </c>
      <c r="I5423" s="4">
        <v>3985</v>
      </c>
      <c r="J5423" s="4">
        <v>8768</v>
      </c>
    </row>
    <row r="5424" spans="1:10" x14ac:dyDescent="0.75">
      <c r="A5424" t="s">
        <v>151</v>
      </c>
      <c r="B5424">
        <v>4110</v>
      </c>
      <c r="C5424" t="s">
        <v>2</v>
      </c>
      <c r="D5424">
        <v>4110</v>
      </c>
      <c r="E5424" t="s">
        <v>449</v>
      </c>
      <c r="F5424" s="4">
        <v>0</v>
      </c>
      <c r="G5424" s="4">
        <v>7009</v>
      </c>
      <c r="H5424" s="4">
        <v>7009</v>
      </c>
      <c r="I5424" s="4">
        <v>0</v>
      </c>
      <c r="J5424" s="4">
        <v>7009</v>
      </c>
    </row>
    <row r="5425" spans="1:10" x14ac:dyDescent="0.75">
      <c r="A5425" t="s">
        <v>151</v>
      </c>
      <c r="B5425">
        <v>4110</v>
      </c>
      <c r="C5425" t="s">
        <v>2</v>
      </c>
      <c r="D5425">
        <v>7230</v>
      </c>
      <c r="E5425" t="s">
        <v>387</v>
      </c>
      <c r="F5425" s="4">
        <v>219</v>
      </c>
      <c r="G5425" s="4">
        <v>6789</v>
      </c>
      <c r="H5425" s="4">
        <v>5537</v>
      </c>
      <c r="I5425" s="4">
        <v>1252</v>
      </c>
      <c r="J5425" s="4">
        <v>7008</v>
      </c>
    </row>
    <row r="5426" spans="1:10" x14ac:dyDescent="0.75">
      <c r="A5426" t="s">
        <v>151</v>
      </c>
      <c r="B5426">
        <v>4110</v>
      </c>
      <c r="C5426" t="s">
        <v>2</v>
      </c>
      <c r="D5426">
        <v>4150</v>
      </c>
      <c r="E5426" t="s">
        <v>450</v>
      </c>
      <c r="F5426" s="4">
        <v>0</v>
      </c>
      <c r="G5426" s="4">
        <v>6972</v>
      </c>
      <c r="H5426" s="4">
        <v>6193</v>
      </c>
      <c r="I5426" s="4">
        <v>779</v>
      </c>
      <c r="J5426" s="4">
        <v>6972</v>
      </c>
    </row>
    <row r="5427" spans="1:10" x14ac:dyDescent="0.75">
      <c r="A5427" t="s">
        <v>151</v>
      </c>
      <c r="B5427">
        <v>4110</v>
      </c>
      <c r="C5427" t="s">
        <v>2</v>
      </c>
      <c r="D5427">
        <v>2640</v>
      </c>
      <c r="E5427" t="s">
        <v>431</v>
      </c>
      <c r="F5427" s="4">
        <v>0</v>
      </c>
      <c r="G5427" s="4">
        <v>6665</v>
      </c>
      <c r="H5427" s="4">
        <v>6365</v>
      </c>
      <c r="I5427" s="4">
        <v>300</v>
      </c>
      <c r="J5427" s="4">
        <v>6665</v>
      </c>
    </row>
    <row r="5428" spans="1:10" x14ac:dyDescent="0.75">
      <c r="A5428" t="s">
        <v>151</v>
      </c>
      <c r="B5428">
        <v>4110</v>
      </c>
      <c r="C5428" t="s">
        <v>2</v>
      </c>
      <c r="D5428">
        <v>5315</v>
      </c>
      <c r="E5428" t="s">
        <v>417</v>
      </c>
      <c r="F5428" s="4">
        <v>0</v>
      </c>
      <c r="G5428" s="4">
        <v>6594</v>
      </c>
      <c r="H5428" s="4">
        <v>6487</v>
      </c>
      <c r="I5428" s="4">
        <v>107</v>
      </c>
      <c r="J5428" s="4">
        <v>6594</v>
      </c>
    </row>
    <row r="5429" spans="1:10" x14ac:dyDescent="0.75">
      <c r="A5429" t="s">
        <v>151</v>
      </c>
      <c r="B5429">
        <v>4110</v>
      </c>
      <c r="C5429" t="s">
        <v>2</v>
      </c>
      <c r="D5429">
        <v>6534</v>
      </c>
      <c r="E5429" t="s">
        <v>508</v>
      </c>
      <c r="F5429" s="4">
        <v>0</v>
      </c>
      <c r="G5429" s="4">
        <v>5436</v>
      </c>
      <c r="H5429" s="4">
        <v>154</v>
      </c>
      <c r="I5429" s="4">
        <v>5282</v>
      </c>
      <c r="J5429" s="4">
        <v>5436</v>
      </c>
    </row>
    <row r="5430" spans="1:10" x14ac:dyDescent="0.75">
      <c r="A5430" t="s">
        <v>151</v>
      </c>
      <c r="B5430">
        <v>4110</v>
      </c>
      <c r="C5430" t="s">
        <v>2</v>
      </c>
      <c r="D5430">
        <v>4322</v>
      </c>
      <c r="E5430" t="s">
        <v>398</v>
      </c>
      <c r="F5430" s="4">
        <v>0</v>
      </c>
      <c r="G5430" s="4">
        <v>5084</v>
      </c>
      <c r="H5430" s="4">
        <v>5015</v>
      </c>
      <c r="I5430" s="4">
        <v>69</v>
      </c>
      <c r="J5430" s="4">
        <v>5084</v>
      </c>
    </row>
    <row r="5431" spans="1:10" x14ac:dyDescent="0.75">
      <c r="A5431" t="s">
        <v>151</v>
      </c>
      <c r="B5431">
        <v>4110</v>
      </c>
      <c r="C5431" t="s">
        <v>2</v>
      </c>
      <c r="D5431">
        <v>6872</v>
      </c>
      <c r="E5431" t="s">
        <v>492</v>
      </c>
      <c r="F5431" s="4">
        <v>0</v>
      </c>
      <c r="G5431" s="4">
        <v>4092</v>
      </c>
      <c r="H5431" s="4">
        <v>3978</v>
      </c>
      <c r="I5431" s="4">
        <v>114</v>
      </c>
      <c r="J5431" s="4">
        <v>4092</v>
      </c>
    </row>
    <row r="5432" spans="1:10" x14ac:dyDescent="0.75">
      <c r="A5432" t="s">
        <v>151</v>
      </c>
      <c r="B5432">
        <v>4110</v>
      </c>
      <c r="C5432" t="s">
        <v>2</v>
      </c>
      <c r="D5432">
        <v>5320</v>
      </c>
      <c r="E5432" t="s">
        <v>384</v>
      </c>
      <c r="F5432" s="4">
        <v>0</v>
      </c>
      <c r="G5432" s="4">
        <v>4068</v>
      </c>
      <c r="H5432" s="4">
        <v>3654</v>
      </c>
      <c r="I5432" s="4">
        <v>414</v>
      </c>
      <c r="J5432" s="4">
        <v>4068</v>
      </c>
    </row>
    <row r="5433" spans="1:10" x14ac:dyDescent="0.75">
      <c r="A5433" t="s">
        <v>151</v>
      </c>
      <c r="B5433">
        <v>4110</v>
      </c>
      <c r="C5433" t="s">
        <v>2</v>
      </c>
      <c r="D5433">
        <v>4690</v>
      </c>
      <c r="E5433" t="s">
        <v>428</v>
      </c>
      <c r="F5433" s="4">
        <v>0</v>
      </c>
      <c r="G5433" s="4">
        <v>4027</v>
      </c>
      <c r="H5433" s="4">
        <v>1218</v>
      </c>
      <c r="I5433" s="4">
        <v>2809</v>
      </c>
      <c r="J5433" s="4">
        <v>4027</v>
      </c>
    </row>
    <row r="5434" spans="1:10" x14ac:dyDescent="0.75">
      <c r="A5434" t="s">
        <v>151</v>
      </c>
      <c r="B5434">
        <v>4110</v>
      </c>
      <c r="C5434" t="s">
        <v>2</v>
      </c>
      <c r="D5434">
        <v>5110</v>
      </c>
      <c r="E5434" t="s">
        <v>460</v>
      </c>
      <c r="F5434" s="4">
        <v>0</v>
      </c>
      <c r="G5434" s="4">
        <v>3993</v>
      </c>
      <c r="H5434" s="4">
        <v>3304</v>
      </c>
      <c r="I5434" s="4">
        <v>689</v>
      </c>
      <c r="J5434" s="4">
        <v>3993</v>
      </c>
    </row>
    <row r="5435" spans="1:10" x14ac:dyDescent="0.75">
      <c r="A5435" t="s">
        <v>151</v>
      </c>
      <c r="B5435">
        <v>4110</v>
      </c>
      <c r="C5435" t="s">
        <v>2</v>
      </c>
      <c r="D5435">
        <v>4161</v>
      </c>
      <c r="E5435" t="s">
        <v>421</v>
      </c>
      <c r="F5435" s="4">
        <v>0</v>
      </c>
      <c r="G5435" s="4">
        <v>3282</v>
      </c>
      <c r="H5435" s="4">
        <v>990</v>
      </c>
      <c r="I5435" s="4">
        <v>2292</v>
      </c>
      <c r="J5435" s="4">
        <v>3282</v>
      </c>
    </row>
    <row r="5436" spans="1:10" x14ac:dyDescent="0.75">
      <c r="A5436" t="s">
        <v>151</v>
      </c>
      <c r="B5436">
        <v>4110</v>
      </c>
      <c r="C5436" t="s">
        <v>2</v>
      </c>
      <c r="D5436">
        <v>6521</v>
      </c>
      <c r="E5436" t="s">
        <v>476</v>
      </c>
      <c r="F5436" s="4">
        <v>0</v>
      </c>
      <c r="G5436" s="4">
        <v>2762</v>
      </c>
      <c r="H5436" s="4">
        <v>520</v>
      </c>
      <c r="I5436" s="4">
        <v>2242</v>
      </c>
      <c r="J5436" s="4">
        <v>2762</v>
      </c>
    </row>
    <row r="5437" spans="1:10" x14ac:dyDescent="0.75">
      <c r="A5437" t="s">
        <v>151</v>
      </c>
      <c r="B5437">
        <v>4110</v>
      </c>
      <c r="C5437" t="s">
        <v>2</v>
      </c>
      <c r="D5437">
        <v>3130</v>
      </c>
      <c r="E5437" t="s">
        <v>407</v>
      </c>
      <c r="F5437" s="4">
        <v>0</v>
      </c>
      <c r="G5437" s="4">
        <v>1930</v>
      </c>
      <c r="H5437" s="4">
        <v>995</v>
      </c>
      <c r="I5437" s="4">
        <v>935</v>
      </c>
      <c r="J5437" s="4">
        <v>1930</v>
      </c>
    </row>
    <row r="5438" spans="1:10" x14ac:dyDescent="0.75">
      <c r="A5438" t="s">
        <v>151</v>
      </c>
      <c r="B5438">
        <v>4110</v>
      </c>
      <c r="C5438" t="s">
        <v>2</v>
      </c>
      <c r="D5438">
        <v>3110</v>
      </c>
      <c r="E5438" t="s">
        <v>405</v>
      </c>
      <c r="F5438" s="4">
        <v>0</v>
      </c>
      <c r="G5438" s="4">
        <v>1548</v>
      </c>
      <c r="H5438" s="4">
        <v>1249</v>
      </c>
      <c r="I5438" s="4">
        <v>299</v>
      </c>
      <c r="J5438" s="4">
        <v>1548</v>
      </c>
    </row>
    <row r="5439" spans="1:10" x14ac:dyDescent="0.75">
      <c r="A5439" t="s">
        <v>151</v>
      </c>
      <c r="B5439">
        <v>4110</v>
      </c>
      <c r="C5439" t="s">
        <v>2</v>
      </c>
      <c r="D5439">
        <v>4515</v>
      </c>
      <c r="E5439" t="s">
        <v>455</v>
      </c>
      <c r="F5439" s="4">
        <v>0</v>
      </c>
      <c r="G5439" s="4">
        <v>1235</v>
      </c>
      <c r="H5439" s="4">
        <v>1202</v>
      </c>
      <c r="I5439" s="4">
        <v>33</v>
      </c>
      <c r="J5439" s="4">
        <v>1235</v>
      </c>
    </row>
    <row r="5440" spans="1:10" x14ac:dyDescent="0.75">
      <c r="A5440" t="s">
        <v>151</v>
      </c>
      <c r="B5440">
        <v>4110</v>
      </c>
      <c r="C5440" t="s">
        <v>2</v>
      </c>
      <c r="D5440">
        <v>3298</v>
      </c>
      <c r="E5440" t="s">
        <v>447</v>
      </c>
      <c r="F5440" s="4">
        <v>0</v>
      </c>
      <c r="G5440" s="4">
        <v>1234</v>
      </c>
      <c r="H5440" s="4">
        <v>513</v>
      </c>
      <c r="I5440" s="4">
        <v>721</v>
      </c>
      <c r="J5440" s="4">
        <v>1234</v>
      </c>
    </row>
    <row r="5441" spans="1:10" x14ac:dyDescent="0.75">
      <c r="A5441" t="s">
        <v>151</v>
      </c>
      <c r="B5441">
        <v>4110</v>
      </c>
      <c r="C5441" t="s">
        <v>2</v>
      </c>
      <c r="D5441">
        <v>6445</v>
      </c>
      <c r="E5441" t="s">
        <v>474</v>
      </c>
      <c r="F5441" s="4">
        <v>0</v>
      </c>
      <c r="G5441" s="4">
        <v>1225</v>
      </c>
      <c r="H5441" s="4">
        <v>563</v>
      </c>
      <c r="I5441" s="4">
        <v>662</v>
      </c>
      <c r="J5441" s="4">
        <v>1225</v>
      </c>
    </row>
    <row r="5442" spans="1:10" x14ac:dyDescent="0.75">
      <c r="A5442" t="s">
        <v>151</v>
      </c>
      <c r="B5442">
        <v>4110</v>
      </c>
      <c r="C5442" t="s">
        <v>2</v>
      </c>
      <c r="D5442">
        <v>2430</v>
      </c>
      <c r="E5442" t="s">
        <v>376</v>
      </c>
      <c r="F5442" s="4">
        <v>0</v>
      </c>
      <c r="G5442" s="4">
        <v>1070</v>
      </c>
      <c r="H5442" s="4">
        <v>175</v>
      </c>
      <c r="I5442" s="4">
        <v>895</v>
      </c>
      <c r="J5442" s="4">
        <v>1070</v>
      </c>
    </row>
    <row r="5443" spans="1:10" x14ac:dyDescent="0.75">
      <c r="A5443" t="s">
        <v>151</v>
      </c>
      <c r="B5443">
        <v>4110</v>
      </c>
      <c r="C5443" t="s">
        <v>2</v>
      </c>
      <c r="D5443">
        <v>3273</v>
      </c>
      <c r="E5443" t="s">
        <v>411</v>
      </c>
      <c r="F5443" s="4">
        <v>0</v>
      </c>
      <c r="G5443" s="4">
        <v>951</v>
      </c>
      <c r="H5443" s="4">
        <v>561</v>
      </c>
      <c r="I5443" s="4">
        <v>390</v>
      </c>
      <c r="J5443" s="4">
        <v>951</v>
      </c>
    </row>
    <row r="5444" spans="1:10" x14ac:dyDescent="0.75">
      <c r="A5444" t="s">
        <v>151</v>
      </c>
      <c r="B5444">
        <v>4110</v>
      </c>
      <c r="C5444" t="s">
        <v>2</v>
      </c>
      <c r="D5444">
        <v>3211</v>
      </c>
      <c r="E5444" t="s">
        <v>433</v>
      </c>
      <c r="F5444" s="4">
        <v>0</v>
      </c>
      <c r="G5444" s="4">
        <v>940</v>
      </c>
      <c r="H5444" s="4">
        <v>662</v>
      </c>
      <c r="I5444" s="4">
        <v>278</v>
      </c>
      <c r="J5444" s="4">
        <v>940</v>
      </c>
    </row>
    <row r="5445" spans="1:10" x14ac:dyDescent="0.75">
      <c r="A5445" t="s">
        <v>151</v>
      </c>
      <c r="B5445">
        <v>4110</v>
      </c>
      <c r="C5445" t="s">
        <v>2</v>
      </c>
      <c r="D5445">
        <v>4630</v>
      </c>
      <c r="E5445" t="s">
        <v>456</v>
      </c>
      <c r="F5445" s="4">
        <v>0</v>
      </c>
      <c r="G5445" s="4">
        <v>867</v>
      </c>
      <c r="H5445" s="4">
        <v>615</v>
      </c>
      <c r="I5445" s="4">
        <v>252</v>
      </c>
      <c r="J5445" s="4">
        <v>867</v>
      </c>
    </row>
    <row r="5446" spans="1:10" x14ac:dyDescent="0.75">
      <c r="A5446" t="s">
        <v>151</v>
      </c>
      <c r="B5446">
        <v>4110</v>
      </c>
      <c r="C5446" t="s">
        <v>2</v>
      </c>
      <c r="D5446">
        <v>6241</v>
      </c>
      <c r="E5446" t="s">
        <v>391</v>
      </c>
      <c r="F5446" s="4">
        <v>0</v>
      </c>
      <c r="G5446" s="4">
        <v>862</v>
      </c>
      <c r="H5446" s="4">
        <v>136</v>
      </c>
      <c r="I5446" s="4">
        <v>726</v>
      </c>
      <c r="J5446" s="4">
        <v>862</v>
      </c>
    </row>
    <row r="5447" spans="1:10" x14ac:dyDescent="0.75">
      <c r="A5447" t="s">
        <v>151</v>
      </c>
      <c r="B5447">
        <v>4110</v>
      </c>
      <c r="C5447" t="s">
        <v>2</v>
      </c>
      <c r="D5447">
        <v>6443</v>
      </c>
      <c r="E5447" t="s">
        <v>473</v>
      </c>
      <c r="F5447" s="4">
        <v>0</v>
      </c>
      <c r="G5447" s="4">
        <v>547</v>
      </c>
      <c r="H5447" s="4">
        <v>25</v>
      </c>
      <c r="I5447" s="4">
        <v>522</v>
      </c>
      <c r="J5447" s="4">
        <v>547</v>
      </c>
    </row>
    <row r="5448" spans="1:10" x14ac:dyDescent="0.75">
      <c r="A5448" t="s">
        <v>151</v>
      </c>
      <c r="B5448">
        <v>4110</v>
      </c>
      <c r="C5448" t="s">
        <v>2</v>
      </c>
      <c r="D5448">
        <v>3120</v>
      </c>
      <c r="E5448" t="s">
        <v>406</v>
      </c>
      <c r="F5448" s="4">
        <v>0</v>
      </c>
      <c r="G5448" s="4">
        <v>382</v>
      </c>
      <c r="H5448" s="4">
        <v>67</v>
      </c>
      <c r="I5448" s="4">
        <v>315</v>
      </c>
      <c r="J5448" s="4">
        <v>382</v>
      </c>
    </row>
    <row r="5449" spans="1:10" x14ac:dyDescent="0.75">
      <c r="A5449" t="s">
        <v>151</v>
      </c>
      <c r="B5449">
        <v>4110</v>
      </c>
      <c r="C5449" t="s">
        <v>2</v>
      </c>
      <c r="D5449">
        <v>3272</v>
      </c>
      <c r="E5449" t="s">
        <v>504</v>
      </c>
      <c r="F5449" s="4">
        <v>0</v>
      </c>
      <c r="G5449" s="4">
        <v>338</v>
      </c>
      <c r="H5449" s="4">
        <v>281</v>
      </c>
      <c r="I5449" s="4">
        <v>57</v>
      </c>
      <c r="J5449" s="4">
        <v>338</v>
      </c>
    </row>
    <row r="5450" spans="1:10" x14ac:dyDescent="0.75">
      <c r="A5450" t="s">
        <v>151</v>
      </c>
      <c r="B5450">
        <v>4110</v>
      </c>
      <c r="C5450" t="s">
        <v>2</v>
      </c>
      <c r="D5450">
        <v>6865</v>
      </c>
      <c r="E5450" t="s">
        <v>490</v>
      </c>
      <c r="F5450" s="4">
        <v>0</v>
      </c>
      <c r="G5450" s="4">
        <v>327</v>
      </c>
      <c r="H5450" s="4">
        <v>290</v>
      </c>
      <c r="I5450" s="4">
        <v>37</v>
      </c>
      <c r="J5450" s="4">
        <v>327</v>
      </c>
    </row>
    <row r="5451" spans="1:10" x14ac:dyDescent="0.75">
      <c r="A5451" t="s">
        <v>151</v>
      </c>
      <c r="B5451">
        <v>4110</v>
      </c>
      <c r="C5451" t="s">
        <v>2</v>
      </c>
      <c r="D5451">
        <v>3212</v>
      </c>
      <c r="E5451" t="s">
        <v>409</v>
      </c>
      <c r="F5451" s="4">
        <v>0</v>
      </c>
      <c r="G5451" s="4">
        <v>195</v>
      </c>
      <c r="H5451" s="4">
        <v>123</v>
      </c>
      <c r="I5451" s="4">
        <v>72</v>
      </c>
      <c r="J5451" s="4">
        <v>195</v>
      </c>
    </row>
    <row r="5452" spans="1:10" x14ac:dyDescent="0.75">
      <c r="A5452" t="s">
        <v>151</v>
      </c>
      <c r="B5452">
        <v>4110</v>
      </c>
      <c r="C5452" t="s">
        <v>2</v>
      </c>
      <c r="D5452">
        <v>3271</v>
      </c>
      <c r="E5452" t="s">
        <v>437</v>
      </c>
      <c r="F5452" s="4">
        <v>0</v>
      </c>
      <c r="G5452" s="4">
        <v>179</v>
      </c>
      <c r="H5452" s="4">
        <v>179</v>
      </c>
      <c r="I5452" s="4">
        <v>0</v>
      </c>
      <c r="J5452" s="4">
        <v>179</v>
      </c>
    </row>
    <row r="5453" spans="1:10" x14ac:dyDescent="0.75">
      <c r="A5453" t="s">
        <v>151</v>
      </c>
      <c r="B5453">
        <v>4110</v>
      </c>
      <c r="C5453" t="s">
        <v>2</v>
      </c>
      <c r="D5453">
        <v>5210</v>
      </c>
      <c r="E5453" t="s">
        <v>463</v>
      </c>
      <c r="F5453" s="4">
        <v>0</v>
      </c>
      <c r="G5453" s="4">
        <v>132</v>
      </c>
      <c r="H5453" s="4">
        <v>127</v>
      </c>
      <c r="I5453" s="4">
        <v>5</v>
      </c>
      <c r="J5453" s="4">
        <v>132</v>
      </c>
    </row>
    <row r="5454" spans="1:10" x14ac:dyDescent="0.75">
      <c r="A5454" t="s">
        <v>151</v>
      </c>
      <c r="B5454">
        <v>4110</v>
      </c>
      <c r="C5454" t="s">
        <v>2</v>
      </c>
      <c r="D5454">
        <v>6887</v>
      </c>
      <c r="E5454" t="s">
        <v>505</v>
      </c>
      <c r="F5454" s="4">
        <v>28</v>
      </c>
      <c r="G5454" s="4">
        <v>0</v>
      </c>
      <c r="H5454" s="4">
        <v>0</v>
      </c>
      <c r="I5454" s="4">
        <v>0</v>
      </c>
      <c r="J5454" s="4">
        <v>28</v>
      </c>
    </row>
    <row r="5455" spans="1:10" x14ac:dyDescent="0.75">
      <c r="A5455" t="s">
        <v>151</v>
      </c>
      <c r="B5455">
        <v>4110</v>
      </c>
      <c r="C5455" t="s">
        <v>2</v>
      </c>
      <c r="D5455">
        <v>8900</v>
      </c>
      <c r="E5455" t="s">
        <v>506</v>
      </c>
      <c r="F5455" s="4">
        <v>18</v>
      </c>
      <c r="G5455" s="4">
        <v>0</v>
      </c>
      <c r="H5455" s="4">
        <v>0</v>
      </c>
      <c r="I5455" s="4">
        <v>0</v>
      </c>
      <c r="J5455" s="4">
        <v>18</v>
      </c>
    </row>
    <row r="5456" spans="1:10" x14ac:dyDescent="0.75">
      <c r="A5456" t="s">
        <v>151</v>
      </c>
      <c r="B5456">
        <v>4110</v>
      </c>
      <c r="C5456" t="s">
        <v>2</v>
      </c>
      <c r="D5456">
        <v>4670</v>
      </c>
      <c r="E5456" t="s">
        <v>458</v>
      </c>
      <c r="F5456" s="4">
        <v>0</v>
      </c>
      <c r="G5456" s="4">
        <v>6</v>
      </c>
      <c r="H5456" s="4">
        <v>6</v>
      </c>
      <c r="I5456" s="4">
        <v>0</v>
      </c>
      <c r="J5456" s="4">
        <v>6</v>
      </c>
    </row>
    <row r="5457" spans="1:10" x14ac:dyDescent="0.75">
      <c r="A5457" t="s">
        <v>151</v>
      </c>
      <c r="B5457">
        <v>4622</v>
      </c>
      <c r="C5457" t="s">
        <v>98</v>
      </c>
      <c r="D5457">
        <v>6344</v>
      </c>
      <c r="E5457" t="s">
        <v>392</v>
      </c>
      <c r="F5457" s="4">
        <v>0</v>
      </c>
      <c r="G5457" s="4">
        <v>2867370</v>
      </c>
      <c r="H5457" s="4">
        <v>0</v>
      </c>
      <c r="I5457" s="4">
        <v>2867370</v>
      </c>
      <c r="J5457" s="4">
        <v>2867370</v>
      </c>
    </row>
    <row r="5458" spans="1:10" x14ac:dyDescent="0.75">
      <c r="A5458" t="s">
        <v>151</v>
      </c>
      <c r="B5458">
        <v>4622</v>
      </c>
      <c r="C5458" t="s">
        <v>98</v>
      </c>
      <c r="D5458">
        <v>6522</v>
      </c>
      <c r="E5458" t="s">
        <v>393</v>
      </c>
      <c r="F5458" s="4">
        <v>0</v>
      </c>
      <c r="G5458" s="4">
        <v>2856101</v>
      </c>
      <c r="H5458" s="4">
        <v>0</v>
      </c>
      <c r="I5458" s="4">
        <v>2856101</v>
      </c>
      <c r="J5458" s="4">
        <v>2856101</v>
      </c>
    </row>
    <row r="5459" spans="1:10" x14ac:dyDescent="0.75">
      <c r="A5459" t="s">
        <v>151</v>
      </c>
      <c r="B5459">
        <v>4622</v>
      </c>
      <c r="C5459" t="s">
        <v>98</v>
      </c>
      <c r="D5459">
        <v>6241</v>
      </c>
      <c r="E5459" t="s">
        <v>391</v>
      </c>
      <c r="F5459" s="4">
        <v>394843</v>
      </c>
      <c r="G5459" s="4">
        <v>1430794</v>
      </c>
      <c r="H5459" s="4">
        <v>0</v>
      </c>
      <c r="I5459" s="4">
        <v>1430794</v>
      </c>
      <c r="J5459" s="4">
        <v>1825637</v>
      </c>
    </row>
    <row r="5460" spans="1:10" x14ac:dyDescent="0.75">
      <c r="A5460" t="s">
        <v>151</v>
      </c>
      <c r="B5460">
        <v>4622</v>
      </c>
      <c r="C5460" t="s">
        <v>98</v>
      </c>
      <c r="D5460">
        <v>4170</v>
      </c>
      <c r="E5460" t="s">
        <v>424</v>
      </c>
      <c r="F5460" s="4">
        <v>91435</v>
      </c>
      <c r="G5460" s="4">
        <v>1556862</v>
      </c>
      <c r="H5460" s="4">
        <v>5696</v>
      </c>
      <c r="I5460" s="4">
        <v>1551166</v>
      </c>
      <c r="J5460" s="4">
        <v>1648297</v>
      </c>
    </row>
    <row r="5461" spans="1:10" x14ac:dyDescent="0.75">
      <c r="A5461" t="s">
        <v>151</v>
      </c>
      <c r="B5461">
        <v>4622</v>
      </c>
      <c r="C5461" t="s">
        <v>98</v>
      </c>
      <c r="D5461">
        <v>2540</v>
      </c>
      <c r="E5461" t="s">
        <v>377</v>
      </c>
      <c r="F5461" s="4">
        <v>0</v>
      </c>
      <c r="G5461" s="4">
        <v>879314</v>
      </c>
      <c r="H5461" s="4">
        <v>90500</v>
      </c>
      <c r="I5461" s="4">
        <v>788814</v>
      </c>
      <c r="J5461" s="4">
        <v>879314</v>
      </c>
    </row>
    <row r="5462" spans="1:10" x14ac:dyDescent="0.75">
      <c r="A5462" t="s">
        <v>151</v>
      </c>
      <c r="B5462">
        <v>4622</v>
      </c>
      <c r="C5462" t="s">
        <v>98</v>
      </c>
      <c r="D5462">
        <v>3276</v>
      </c>
      <c r="E5462" t="s">
        <v>379</v>
      </c>
      <c r="F5462" s="4">
        <v>0</v>
      </c>
      <c r="G5462" s="4">
        <v>761562</v>
      </c>
      <c r="H5462" s="4">
        <v>78000</v>
      </c>
      <c r="I5462" s="4">
        <v>683562</v>
      </c>
      <c r="J5462" s="4">
        <v>761562</v>
      </c>
    </row>
    <row r="5463" spans="1:10" x14ac:dyDescent="0.75">
      <c r="A5463" t="s">
        <v>151</v>
      </c>
      <c r="B5463">
        <v>4622</v>
      </c>
      <c r="C5463" t="s">
        <v>98</v>
      </c>
      <c r="D5463">
        <v>6782</v>
      </c>
      <c r="E5463" t="s">
        <v>396</v>
      </c>
      <c r="F5463" s="4">
        <v>0</v>
      </c>
      <c r="G5463" s="4">
        <v>495263</v>
      </c>
      <c r="H5463" s="4">
        <v>0</v>
      </c>
      <c r="I5463" s="4">
        <v>495263</v>
      </c>
      <c r="J5463" s="4">
        <v>495263</v>
      </c>
    </row>
    <row r="5464" spans="1:10" x14ac:dyDescent="0.75">
      <c r="A5464" t="s">
        <v>151</v>
      </c>
      <c r="B5464">
        <v>4622</v>
      </c>
      <c r="C5464" t="s">
        <v>98</v>
      </c>
      <c r="D5464">
        <v>4161</v>
      </c>
      <c r="E5464" t="s">
        <v>421</v>
      </c>
      <c r="F5464" s="4">
        <v>373095</v>
      </c>
      <c r="G5464" s="4">
        <v>0</v>
      </c>
      <c r="H5464" s="4">
        <v>0</v>
      </c>
      <c r="I5464" s="4">
        <v>0</v>
      </c>
      <c r="J5464" s="4">
        <v>373095</v>
      </c>
    </row>
    <row r="5465" spans="1:10" x14ac:dyDescent="0.75">
      <c r="A5465" t="s">
        <v>151</v>
      </c>
      <c r="B5465">
        <v>4622</v>
      </c>
      <c r="C5465" t="s">
        <v>98</v>
      </c>
      <c r="D5465">
        <v>4420</v>
      </c>
      <c r="E5465" t="s">
        <v>381</v>
      </c>
      <c r="F5465" s="4">
        <v>0</v>
      </c>
      <c r="G5465" s="4">
        <v>228179</v>
      </c>
      <c r="H5465" s="4">
        <v>0</v>
      </c>
      <c r="I5465" s="4">
        <v>228179</v>
      </c>
      <c r="J5465" s="4">
        <v>228179</v>
      </c>
    </row>
    <row r="5466" spans="1:10" x14ac:dyDescent="0.75">
      <c r="A5466" t="s">
        <v>151</v>
      </c>
      <c r="B5466">
        <v>4622</v>
      </c>
      <c r="C5466" t="s">
        <v>98</v>
      </c>
      <c r="D5466">
        <v>3130</v>
      </c>
      <c r="E5466" t="s">
        <v>407</v>
      </c>
      <c r="F5466" s="4">
        <v>0</v>
      </c>
      <c r="G5466" s="4">
        <v>99841</v>
      </c>
      <c r="H5466" s="4">
        <v>0</v>
      </c>
      <c r="I5466" s="4">
        <v>99841</v>
      </c>
      <c r="J5466" s="4">
        <v>99841</v>
      </c>
    </row>
    <row r="5467" spans="1:10" x14ac:dyDescent="0.75">
      <c r="A5467" t="s">
        <v>151</v>
      </c>
      <c r="B5467">
        <v>4622</v>
      </c>
      <c r="C5467" t="s">
        <v>98</v>
      </c>
      <c r="D5467">
        <v>4410</v>
      </c>
      <c r="E5467" t="s">
        <v>399</v>
      </c>
      <c r="F5467" s="4">
        <v>0</v>
      </c>
      <c r="G5467" s="4">
        <v>73461</v>
      </c>
      <c r="H5467" s="4">
        <v>73461</v>
      </c>
      <c r="I5467" s="4">
        <v>0</v>
      </c>
      <c r="J5467" s="4">
        <v>73461</v>
      </c>
    </row>
    <row r="5468" spans="1:10" x14ac:dyDescent="0.75">
      <c r="A5468" t="s">
        <v>151</v>
      </c>
      <c r="B5468">
        <v>4622</v>
      </c>
      <c r="C5468" t="s">
        <v>98</v>
      </c>
      <c r="D5468">
        <v>4783</v>
      </c>
      <c r="E5468" t="s">
        <v>382</v>
      </c>
      <c r="F5468" s="4">
        <v>0</v>
      </c>
      <c r="G5468" s="4">
        <v>52000</v>
      </c>
      <c r="H5468" s="4">
        <v>52000</v>
      </c>
      <c r="I5468" s="4">
        <v>0</v>
      </c>
      <c r="J5468" s="4">
        <v>52000</v>
      </c>
    </row>
    <row r="5469" spans="1:10" x14ac:dyDescent="0.75">
      <c r="A5469" t="s">
        <v>151</v>
      </c>
      <c r="B5469">
        <v>4622</v>
      </c>
      <c r="C5469" t="s">
        <v>98</v>
      </c>
      <c r="D5469">
        <v>4189</v>
      </c>
      <c r="E5469" t="s">
        <v>451</v>
      </c>
      <c r="F5469" s="4">
        <v>0</v>
      </c>
      <c r="G5469" s="4">
        <v>45341</v>
      </c>
      <c r="H5469" s="4">
        <v>0</v>
      </c>
      <c r="I5469" s="4">
        <v>45341</v>
      </c>
      <c r="J5469" s="4">
        <v>45341</v>
      </c>
    </row>
    <row r="5470" spans="1:10" x14ac:dyDescent="0.75">
      <c r="A5470" t="s">
        <v>151</v>
      </c>
      <c r="B5470">
        <v>4622</v>
      </c>
      <c r="C5470" t="s">
        <v>98</v>
      </c>
      <c r="D5470">
        <v>5330</v>
      </c>
      <c r="E5470" t="s">
        <v>385</v>
      </c>
      <c r="F5470" s="4">
        <v>0</v>
      </c>
      <c r="G5470" s="4">
        <v>42469</v>
      </c>
      <c r="H5470" s="4">
        <v>42469</v>
      </c>
      <c r="I5470" s="4">
        <v>0</v>
      </c>
      <c r="J5470" s="4">
        <v>42469</v>
      </c>
    </row>
    <row r="5471" spans="1:10" x14ac:dyDescent="0.75">
      <c r="A5471" t="s">
        <v>151</v>
      </c>
      <c r="B5471">
        <v>4622</v>
      </c>
      <c r="C5471" t="s">
        <v>98</v>
      </c>
      <c r="D5471">
        <v>5480</v>
      </c>
      <c r="E5471" t="s">
        <v>386</v>
      </c>
      <c r="F5471" s="4">
        <v>0</v>
      </c>
      <c r="G5471" s="4">
        <v>30348</v>
      </c>
      <c r="H5471" s="4">
        <v>15135</v>
      </c>
      <c r="I5471" s="4">
        <v>15213</v>
      </c>
      <c r="J5471" s="4">
        <v>30348</v>
      </c>
    </row>
    <row r="5472" spans="1:10" x14ac:dyDescent="0.75">
      <c r="A5472" t="s">
        <v>151</v>
      </c>
      <c r="B5472">
        <v>4622</v>
      </c>
      <c r="C5472" t="s">
        <v>98</v>
      </c>
      <c r="D5472">
        <v>2340</v>
      </c>
      <c r="E5472" t="s">
        <v>369</v>
      </c>
      <c r="F5472" s="4">
        <v>29335</v>
      </c>
      <c r="G5472" s="4">
        <v>0</v>
      </c>
      <c r="H5472" s="4">
        <v>0</v>
      </c>
      <c r="I5472" s="4">
        <v>0</v>
      </c>
      <c r="J5472" s="4">
        <v>29335</v>
      </c>
    </row>
    <row r="5473" spans="1:10" x14ac:dyDescent="0.75">
      <c r="A5473" t="s">
        <v>151</v>
      </c>
      <c r="B5473">
        <v>4622</v>
      </c>
      <c r="C5473" t="s">
        <v>98</v>
      </c>
      <c r="D5473">
        <v>7110</v>
      </c>
      <c r="E5473" t="s">
        <v>371</v>
      </c>
      <c r="F5473" s="4">
        <v>0</v>
      </c>
      <c r="G5473" s="4">
        <v>21079</v>
      </c>
      <c r="H5473" s="4">
        <v>3954</v>
      </c>
      <c r="I5473" s="4">
        <v>17125</v>
      </c>
      <c r="J5473" s="4">
        <v>21079</v>
      </c>
    </row>
    <row r="5474" spans="1:10" x14ac:dyDescent="0.75">
      <c r="A5474" t="s">
        <v>151</v>
      </c>
      <c r="B5474">
        <v>4622</v>
      </c>
      <c r="C5474" t="s">
        <v>98</v>
      </c>
      <c r="D5474">
        <v>5370</v>
      </c>
      <c r="E5474" t="s">
        <v>466</v>
      </c>
      <c r="F5474" s="4">
        <v>0</v>
      </c>
      <c r="G5474" s="4">
        <v>18242</v>
      </c>
      <c r="H5474" s="4">
        <v>18242</v>
      </c>
      <c r="I5474" s="4">
        <v>0</v>
      </c>
      <c r="J5474" s="4">
        <v>18242</v>
      </c>
    </row>
    <row r="5475" spans="1:10" x14ac:dyDescent="0.75">
      <c r="A5475" t="s">
        <v>151</v>
      </c>
      <c r="B5475">
        <v>4622</v>
      </c>
      <c r="C5475" t="s">
        <v>98</v>
      </c>
      <c r="D5475">
        <v>5422</v>
      </c>
      <c r="E5475" t="s">
        <v>468</v>
      </c>
      <c r="F5475" s="4">
        <v>0</v>
      </c>
      <c r="G5475" s="4">
        <v>13185</v>
      </c>
      <c r="H5475" s="4">
        <v>13185</v>
      </c>
      <c r="I5475" s="4">
        <v>0</v>
      </c>
      <c r="J5475" s="4">
        <v>13185</v>
      </c>
    </row>
    <row r="5476" spans="1:10" x14ac:dyDescent="0.75">
      <c r="A5476" t="s">
        <v>151</v>
      </c>
      <c r="B5476">
        <v>4622</v>
      </c>
      <c r="C5476" t="s">
        <v>98</v>
      </c>
      <c r="D5476">
        <v>7900</v>
      </c>
      <c r="E5476" t="s">
        <v>388</v>
      </c>
      <c r="F5476" s="4">
        <v>0</v>
      </c>
      <c r="G5476" s="4">
        <v>11017</v>
      </c>
      <c r="H5476" s="4">
        <v>11016</v>
      </c>
      <c r="I5476" s="4">
        <v>1</v>
      </c>
      <c r="J5476" s="4">
        <v>11017</v>
      </c>
    </row>
    <row r="5477" spans="1:10" x14ac:dyDescent="0.75">
      <c r="A5477" t="s">
        <v>151</v>
      </c>
      <c r="B5477">
        <v>4622</v>
      </c>
      <c r="C5477" t="s">
        <v>98</v>
      </c>
      <c r="D5477">
        <v>4150</v>
      </c>
      <c r="E5477" t="s">
        <v>450</v>
      </c>
      <c r="F5477" s="4">
        <v>849</v>
      </c>
      <c r="G5477" s="4">
        <v>5172</v>
      </c>
      <c r="H5477" s="4">
        <v>0</v>
      </c>
      <c r="I5477" s="4">
        <v>5172</v>
      </c>
      <c r="J5477" s="4">
        <v>6021</v>
      </c>
    </row>
    <row r="5478" spans="1:10" x14ac:dyDescent="0.75">
      <c r="A5478" t="s">
        <v>151</v>
      </c>
      <c r="B5478">
        <v>4622</v>
      </c>
      <c r="C5478" t="s">
        <v>98</v>
      </c>
      <c r="D5478">
        <v>5540</v>
      </c>
      <c r="E5478" t="s">
        <v>469</v>
      </c>
      <c r="F5478" s="4">
        <v>0</v>
      </c>
      <c r="G5478" s="4">
        <v>3739</v>
      </c>
      <c r="H5478" s="4">
        <v>3739</v>
      </c>
      <c r="I5478" s="4">
        <v>0</v>
      </c>
      <c r="J5478" s="4">
        <v>3739</v>
      </c>
    </row>
    <row r="5479" spans="1:10" x14ac:dyDescent="0.75">
      <c r="A5479" t="s">
        <v>151</v>
      </c>
      <c r="B5479">
        <v>4622</v>
      </c>
      <c r="C5479" t="s">
        <v>98</v>
      </c>
      <c r="D5479">
        <v>9900</v>
      </c>
      <c r="E5479" t="s">
        <v>389</v>
      </c>
      <c r="F5479" s="4">
        <v>0</v>
      </c>
      <c r="G5479" s="4">
        <v>3512</v>
      </c>
      <c r="H5479" s="4">
        <v>3512</v>
      </c>
      <c r="I5479" s="4">
        <v>0</v>
      </c>
      <c r="J5479" s="4">
        <v>3512</v>
      </c>
    </row>
    <row r="5480" spans="1:10" x14ac:dyDescent="0.75">
      <c r="A5480" t="s">
        <v>151</v>
      </c>
      <c r="B5480">
        <v>4622</v>
      </c>
      <c r="C5480" t="s">
        <v>98</v>
      </c>
      <c r="D5480">
        <v>7120</v>
      </c>
      <c r="E5480" t="s">
        <v>499</v>
      </c>
      <c r="F5480" s="4">
        <v>0</v>
      </c>
      <c r="G5480" s="4">
        <v>3405</v>
      </c>
      <c r="H5480" s="4">
        <v>3405</v>
      </c>
      <c r="I5480" s="4">
        <v>0</v>
      </c>
      <c r="J5480" s="4">
        <v>3405</v>
      </c>
    </row>
    <row r="5481" spans="1:10" x14ac:dyDescent="0.75">
      <c r="A5481" t="s">
        <v>151</v>
      </c>
      <c r="B5481">
        <v>4622</v>
      </c>
      <c r="C5481" t="s">
        <v>98</v>
      </c>
      <c r="D5481">
        <v>3286</v>
      </c>
      <c r="E5481" t="s">
        <v>423</v>
      </c>
      <c r="F5481" s="4">
        <v>0</v>
      </c>
      <c r="G5481" s="4">
        <v>2628</v>
      </c>
      <c r="H5481" s="4">
        <v>2628</v>
      </c>
      <c r="I5481" s="4">
        <v>0</v>
      </c>
      <c r="J5481" s="4">
        <v>2628</v>
      </c>
    </row>
    <row r="5482" spans="1:10" x14ac:dyDescent="0.75">
      <c r="A5482" t="s">
        <v>151</v>
      </c>
      <c r="B5482">
        <v>4622</v>
      </c>
      <c r="C5482" t="s">
        <v>98</v>
      </c>
      <c r="D5482">
        <v>5312</v>
      </c>
      <c r="E5482" t="s">
        <v>416</v>
      </c>
      <c r="F5482" s="4">
        <v>0</v>
      </c>
      <c r="G5482" s="4">
        <v>290</v>
      </c>
      <c r="H5482" s="4">
        <v>290</v>
      </c>
      <c r="I5482" s="4">
        <v>0</v>
      </c>
      <c r="J5482" s="4">
        <v>290</v>
      </c>
    </row>
    <row r="5483" spans="1:10" x14ac:dyDescent="0.75">
      <c r="A5483" t="s">
        <v>151</v>
      </c>
      <c r="B5483">
        <v>4622</v>
      </c>
      <c r="C5483" t="s">
        <v>98</v>
      </c>
      <c r="D5483">
        <v>7500</v>
      </c>
      <c r="E5483" t="s">
        <v>427</v>
      </c>
      <c r="F5483" s="4">
        <v>0</v>
      </c>
      <c r="G5483" s="4">
        <v>270</v>
      </c>
      <c r="H5483" s="4">
        <v>270</v>
      </c>
      <c r="I5483" s="4">
        <v>0</v>
      </c>
      <c r="J5483" s="4">
        <v>270</v>
      </c>
    </row>
    <row r="5484" spans="1:10" x14ac:dyDescent="0.75">
      <c r="A5484" t="s">
        <v>151</v>
      </c>
      <c r="B5484">
        <v>4622</v>
      </c>
      <c r="C5484" t="s">
        <v>98</v>
      </c>
      <c r="D5484">
        <v>2330</v>
      </c>
      <c r="E5484" t="s">
        <v>368</v>
      </c>
      <c r="F5484" s="4">
        <v>0</v>
      </c>
      <c r="G5484" s="4">
        <v>115</v>
      </c>
      <c r="H5484" s="4">
        <v>115</v>
      </c>
      <c r="I5484" s="4">
        <v>0</v>
      </c>
      <c r="J5484" s="4">
        <v>115</v>
      </c>
    </row>
    <row r="5485" spans="1:10" x14ac:dyDescent="0.75">
      <c r="A5485" t="s">
        <v>151</v>
      </c>
      <c r="B5485">
        <v>4622</v>
      </c>
      <c r="C5485" t="s">
        <v>98</v>
      </c>
      <c r="D5485">
        <v>7230</v>
      </c>
      <c r="E5485" t="s">
        <v>387</v>
      </c>
      <c r="F5485" s="4">
        <v>0</v>
      </c>
      <c r="G5485" s="4">
        <v>42</v>
      </c>
      <c r="H5485" s="4">
        <v>42</v>
      </c>
      <c r="I5485" s="4">
        <v>0</v>
      </c>
      <c r="J5485" s="4">
        <v>42</v>
      </c>
    </row>
    <row r="5486" spans="1:10" x14ac:dyDescent="0.75">
      <c r="A5486" t="s">
        <v>151</v>
      </c>
      <c r="B5486">
        <v>4120</v>
      </c>
      <c r="C5486" t="s">
        <v>0</v>
      </c>
      <c r="D5486">
        <v>7900</v>
      </c>
      <c r="E5486" t="s">
        <v>388</v>
      </c>
      <c r="F5486" s="4">
        <v>39497</v>
      </c>
      <c r="G5486" s="4">
        <v>10614547</v>
      </c>
      <c r="H5486" s="4">
        <v>10060684</v>
      </c>
      <c r="I5486" s="4">
        <v>553863</v>
      </c>
      <c r="J5486" s="4">
        <v>10654044</v>
      </c>
    </row>
    <row r="5487" spans="1:10" x14ac:dyDescent="0.75">
      <c r="A5487" t="s">
        <v>151</v>
      </c>
      <c r="B5487">
        <v>4120</v>
      </c>
      <c r="C5487" t="s">
        <v>0</v>
      </c>
      <c r="D5487">
        <v>7120</v>
      </c>
      <c r="E5487" t="s">
        <v>499</v>
      </c>
      <c r="F5487" s="4">
        <v>0</v>
      </c>
      <c r="G5487" s="4">
        <v>4131751</v>
      </c>
      <c r="H5487" s="4">
        <v>3975716</v>
      </c>
      <c r="I5487" s="4">
        <v>156035</v>
      </c>
      <c r="J5487" s="4">
        <v>4131751</v>
      </c>
    </row>
    <row r="5488" spans="1:10" x14ac:dyDescent="0.75">
      <c r="A5488" t="s">
        <v>151</v>
      </c>
      <c r="B5488">
        <v>4120</v>
      </c>
      <c r="C5488" t="s">
        <v>0</v>
      </c>
      <c r="D5488">
        <v>7600</v>
      </c>
      <c r="E5488" t="s">
        <v>503</v>
      </c>
      <c r="F5488" s="4">
        <v>0</v>
      </c>
      <c r="G5488" s="4">
        <v>3605766</v>
      </c>
      <c r="H5488" s="4">
        <v>3391553</v>
      </c>
      <c r="I5488" s="4">
        <v>214213</v>
      </c>
      <c r="J5488" s="4">
        <v>3605766</v>
      </c>
    </row>
    <row r="5489" spans="1:10" x14ac:dyDescent="0.75">
      <c r="A5489" t="s">
        <v>151</v>
      </c>
      <c r="B5489">
        <v>4120</v>
      </c>
      <c r="C5489" t="s">
        <v>0</v>
      </c>
      <c r="D5489">
        <v>7500</v>
      </c>
      <c r="E5489" t="s">
        <v>427</v>
      </c>
      <c r="F5489" s="4">
        <v>0</v>
      </c>
      <c r="G5489" s="4">
        <v>3419531</v>
      </c>
      <c r="H5489" s="4">
        <v>3279310</v>
      </c>
      <c r="I5489" s="4">
        <v>140221</v>
      </c>
      <c r="J5489" s="4">
        <v>3419531</v>
      </c>
    </row>
    <row r="5490" spans="1:10" x14ac:dyDescent="0.75">
      <c r="A5490" t="s">
        <v>151</v>
      </c>
      <c r="B5490">
        <v>4120</v>
      </c>
      <c r="C5490" t="s">
        <v>0</v>
      </c>
      <c r="D5490">
        <v>2330</v>
      </c>
      <c r="E5490" t="s">
        <v>368</v>
      </c>
      <c r="F5490" s="4">
        <v>1267115</v>
      </c>
      <c r="G5490" s="4">
        <v>1887910</v>
      </c>
      <c r="H5490" s="4">
        <v>1712411</v>
      </c>
      <c r="I5490" s="4">
        <v>175499</v>
      </c>
      <c r="J5490" s="4">
        <v>3155025</v>
      </c>
    </row>
    <row r="5491" spans="1:10" x14ac:dyDescent="0.75">
      <c r="A5491" t="s">
        <v>151</v>
      </c>
      <c r="B5491">
        <v>4120</v>
      </c>
      <c r="C5491" t="s">
        <v>0</v>
      </c>
      <c r="D5491">
        <v>5480</v>
      </c>
      <c r="E5491" t="s">
        <v>386</v>
      </c>
      <c r="F5491" s="4">
        <v>1780</v>
      </c>
      <c r="G5491" s="4">
        <v>2930535</v>
      </c>
      <c r="H5491" s="4">
        <v>2770378</v>
      </c>
      <c r="I5491" s="4">
        <v>160157</v>
      </c>
      <c r="J5491" s="4">
        <v>2932315</v>
      </c>
    </row>
    <row r="5492" spans="1:10" x14ac:dyDescent="0.75">
      <c r="A5492" t="s">
        <v>151</v>
      </c>
      <c r="B5492">
        <v>4120</v>
      </c>
      <c r="C5492" t="s">
        <v>0</v>
      </c>
      <c r="D5492">
        <v>7110</v>
      </c>
      <c r="E5492" t="s">
        <v>371</v>
      </c>
      <c r="F5492" s="4">
        <v>1120</v>
      </c>
      <c r="G5492" s="4">
        <v>2767479</v>
      </c>
      <c r="H5492" s="4">
        <v>2554282</v>
      </c>
      <c r="I5492" s="4">
        <v>213197</v>
      </c>
      <c r="J5492" s="4">
        <v>2768599</v>
      </c>
    </row>
    <row r="5493" spans="1:10" x14ac:dyDescent="0.75">
      <c r="A5493" t="s">
        <v>151</v>
      </c>
      <c r="B5493">
        <v>4120</v>
      </c>
      <c r="C5493" t="s">
        <v>0</v>
      </c>
      <c r="D5493">
        <v>2221</v>
      </c>
      <c r="E5493" t="s">
        <v>374</v>
      </c>
      <c r="F5493" s="4">
        <v>75093</v>
      </c>
      <c r="G5493" s="4">
        <v>2351509</v>
      </c>
      <c r="H5493" s="4">
        <v>2330416</v>
      </c>
      <c r="I5493" s="4">
        <v>21093</v>
      </c>
      <c r="J5493" s="4">
        <v>2426602</v>
      </c>
    </row>
    <row r="5494" spans="1:10" x14ac:dyDescent="0.75">
      <c r="A5494" t="s">
        <v>151</v>
      </c>
      <c r="B5494">
        <v>4120</v>
      </c>
      <c r="C5494" t="s">
        <v>0</v>
      </c>
      <c r="D5494">
        <v>7210</v>
      </c>
      <c r="E5494" t="s">
        <v>426</v>
      </c>
      <c r="F5494" s="4">
        <v>1450</v>
      </c>
      <c r="G5494" s="4">
        <v>2292565</v>
      </c>
      <c r="H5494" s="4">
        <v>2075074</v>
      </c>
      <c r="I5494" s="4">
        <v>217491</v>
      </c>
      <c r="J5494" s="4">
        <v>2294015</v>
      </c>
    </row>
    <row r="5495" spans="1:10" x14ac:dyDescent="0.75">
      <c r="A5495" t="s">
        <v>151</v>
      </c>
      <c r="B5495">
        <v>4120</v>
      </c>
      <c r="C5495" t="s">
        <v>0</v>
      </c>
      <c r="D5495">
        <v>6782</v>
      </c>
      <c r="E5495" t="s">
        <v>396</v>
      </c>
      <c r="F5495" s="4">
        <v>0</v>
      </c>
      <c r="G5495" s="4">
        <v>1749964</v>
      </c>
      <c r="H5495" s="4">
        <v>77110</v>
      </c>
      <c r="I5495" s="4">
        <v>1672854</v>
      </c>
      <c r="J5495" s="4">
        <v>1749964</v>
      </c>
    </row>
    <row r="5496" spans="1:10" x14ac:dyDescent="0.75">
      <c r="A5496" t="s">
        <v>151</v>
      </c>
      <c r="B5496">
        <v>4120</v>
      </c>
      <c r="C5496" t="s">
        <v>0</v>
      </c>
      <c r="D5496">
        <v>4225</v>
      </c>
      <c r="E5496" t="s">
        <v>380</v>
      </c>
      <c r="F5496" s="4">
        <v>0</v>
      </c>
      <c r="G5496" s="4">
        <v>1602511</v>
      </c>
      <c r="H5496" s="4">
        <v>38716</v>
      </c>
      <c r="I5496" s="4">
        <v>1563795</v>
      </c>
      <c r="J5496" s="4">
        <v>1602511</v>
      </c>
    </row>
    <row r="5497" spans="1:10" x14ac:dyDescent="0.75">
      <c r="A5497" t="s">
        <v>151</v>
      </c>
      <c r="B5497">
        <v>4120</v>
      </c>
      <c r="C5497" t="s">
        <v>0</v>
      </c>
      <c r="D5497">
        <v>3286</v>
      </c>
      <c r="E5497" t="s">
        <v>423</v>
      </c>
      <c r="F5497" s="4">
        <v>0</v>
      </c>
      <c r="G5497" s="4">
        <v>1589832</v>
      </c>
      <c r="H5497" s="4">
        <v>1120220</v>
      </c>
      <c r="I5497" s="4">
        <v>469612</v>
      </c>
      <c r="J5497" s="4">
        <v>1589832</v>
      </c>
    </row>
    <row r="5498" spans="1:10" x14ac:dyDescent="0.75">
      <c r="A5498" t="s">
        <v>151</v>
      </c>
      <c r="B5498">
        <v>4120</v>
      </c>
      <c r="C5498" t="s">
        <v>0</v>
      </c>
      <c r="D5498">
        <v>6781</v>
      </c>
      <c r="E5498" t="s">
        <v>479</v>
      </c>
      <c r="F5498" s="4">
        <v>0</v>
      </c>
      <c r="G5498" s="4">
        <v>1544341</v>
      </c>
      <c r="H5498" s="4">
        <v>2910</v>
      </c>
      <c r="I5498" s="4">
        <v>1541431</v>
      </c>
      <c r="J5498" s="4">
        <v>1544341</v>
      </c>
    </row>
    <row r="5499" spans="1:10" x14ac:dyDescent="0.75">
      <c r="A5499" t="s">
        <v>151</v>
      </c>
      <c r="B5499">
        <v>4120</v>
      </c>
      <c r="C5499" t="s">
        <v>0</v>
      </c>
      <c r="D5499">
        <v>4420</v>
      </c>
      <c r="E5499" t="s">
        <v>381</v>
      </c>
      <c r="F5499" s="4">
        <v>0</v>
      </c>
      <c r="G5499" s="4">
        <v>1286943</v>
      </c>
      <c r="H5499" s="4">
        <v>8041</v>
      </c>
      <c r="I5499" s="4">
        <v>1278902</v>
      </c>
      <c r="J5499" s="4">
        <v>1286943</v>
      </c>
    </row>
    <row r="5500" spans="1:10" x14ac:dyDescent="0.75">
      <c r="A5500" t="s">
        <v>151</v>
      </c>
      <c r="B5500">
        <v>4120</v>
      </c>
      <c r="C5500" t="s">
        <v>0</v>
      </c>
      <c r="D5500">
        <v>2340</v>
      </c>
      <c r="E5500" t="s">
        <v>369</v>
      </c>
      <c r="F5500" s="4">
        <v>936348</v>
      </c>
      <c r="G5500" s="4">
        <v>331992</v>
      </c>
      <c r="H5500" s="4">
        <v>331992</v>
      </c>
      <c r="I5500" s="4">
        <v>0</v>
      </c>
      <c r="J5500" s="4">
        <v>1268340</v>
      </c>
    </row>
    <row r="5501" spans="1:10" x14ac:dyDescent="0.75">
      <c r="A5501" t="s">
        <v>151</v>
      </c>
      <c r="B5501">
        <v>4120</v>
      </c>
      <c r="C5501" t="s">
        <v>0</v>
      </c>
      <c r="D5501">
        <v>5320</v>
      </c>
      <c r="E5501" t="s">
        <v>384</v>
      </c>
      <c r="F5501" s="4">
        <v>0</v>
      </c>
      <c r="G5501" s="4">
        <v>1129048</v>
      </c>
      <c r="H5501" s="4">
        <v>1128803</v>
      </c>
      <c r="I5501" s="4">
        <v>245</v>
      </c>
      <c r="J5501" s="4">
        <v>1129048</v>
      </c>
    </row>
    <row r="5502" spans="1:10" x14ac:dyDescent="0.75">
      <c r="A5502" t="s">
        <v>151</v>
      </c>
      <c r="B5502">
        <v>4120</v>
      </c>
      <c r="C5502" t="s">
        <v>0</v>
      </c>
      <c r="D5502">
        <v>6522</v>
      </c>
      <c r="E5502" t="s">
        <v>393</v>
      </c>
      <c r="F5502" s="4">
        <v>0</v>
      </c>
      <c r="G5502" s="4">
        <v>1095142</v>
      </c>
      <c r="H5502" s="4">
        <v>1188</v>
      </c>
      <c r="I5502" s="4">
        <v>1093954</v>
      </c>
      <c r="J5502" s="4">
        <v>1095142</v>
      </c>
    </row>
    <row r="5503" spans="1:10" x14ac:dyDescent="0.75">
      <c r="A5503" t="s">
        <v>151</v>
      </c>
      <c r="B5503">
        <v>4120</v>
      </c>
      <c r="C5503" t="s">
        <v>0</v>
      </c>
      <c r="D5503">
        <v>2100</v>
      </c>
      <c r="E5503" t="s">
        <v>403</v>
      </c>
      <c r="F5503" s="4">
        <v>140908</v>
      </c>
      <c r="G5503" s="4">
        <v>951361</v>
      </c>
      <c r="H5503" s="4">
        <v>951361</v>
      </c>
      <c r="I5503" s="4">
        <v>0</v>
      </c>
      <c r="J5503" s="4">
        <v>1092269</v>
      </c>
    </row>
    <row r="5504" spans="1:10" x14ac:dyDescent="0.75">
      <c r="A5504" t="s">
        <v>151</v>
      </c>
      <c r="B5504">
        <v>4120</v>
      </c>
      <c r="C5504" t="s">
        <v>0</v>
      </c>
      <c r="D5504">
        <v>2211</v>
      </c>
      <c r="E5504" t="s">
        <v>367</v>
      </c>
      <c r="F5504" s="4">
        <v>526161</v>
      </c>
      <c r="G5504" s="4">
        <v>475773</v>
      </c>
      <c r="H5504" s="4">
        <v>474103</v>
      </c>
      <c r="I5504" s="4">
        <v>1670</v>
      </c>
      <c r="J5504" s="4">
        <v>1001934</v>
      </c>
    </row>
    <row r="5505" spans="1:10" x14ac:dyDescent="0.75">
      <c r="A5505" t="s">
        <v>151</v>
      </c>
      <c r="B5505">
        <v>4120</v>
      </c>
      <c r="C5505" t="s">
        <v>0</v>
      </c>
      <c r="D5505">
        <v>5290</v>
      </c>
      <c r="E5505" t="s">
        <v>415</v>
      </c>
      <c r="F5505" s="4">
        <v>240</v>
      </c>
      <c r="G5505" s="4">
        <v>963371</v>
      </c>
      <c r="H5505" s="4">
        <v>945980</v>
      </c>
      <c r="I5505" s="4">
        <v>17391</v>
      </c>
      <c r="J5505" s="4">
        <v>963611</v>
      </c>
    </row>
    <row r="5506" spans="1:10" x14ac:dyDescent="0.75">
      <c r="A5506" t="s">
        <v>151</v>
      </c>
      <c r="B5506">
        <v>4120</v>
      </c>
      <c r="C5506" t="s">
        <v>0</v>
      </c>
      <c r="D5506">
        <v>4680</v>
      </c>
      <c r="E5506" t="s">
        <v>459</v>
      </c>
      <c r="F5506" s="4">
        <v>0</v>
      </c>
      <c r="G5506" s="4">
        <v>755025</v>
      </c>
      <c r="H5506" s="4">
        <v>7459</v>
      </c>
      <c r="I5506" s="4">
        <v>747566</v>
      </c>
      <c r="J5506" s="4">
        <v>755025</v>
      </c>
    </row>
    <row r="5507" spans="1:10" x14ac:dyDescent="0.75">
      <c r="A5507" t="s">
        <v>151</v>
      </c>
      <c r="B5507">
        <v>4120</v>
      </c>
      <c r="C5507" t="s">
        <v>0</v>
      </c>
      <c r="D5507">
        <v>6893</v>
      </c>
      <c r="E5507" t="s">
        <v>496</v>
      </c>
      <c r="F5507" s="4">
        <v>0</v>
      </c>
      <c r="G5507" s="4">
        <v>696039</v>
      </c>
      <c r="H5507" s="4">
        <v>52209</v>
      </c>
      <c r="I5507" s="4">
        <v>643830</v>
      </c>
      <c r="J5507" s="4">
        <v>696039</v>
      </c>
    </row>
    <row r="5508" spans="1:10" x14ac:dyDescent="0.75">
      <c r="A5508" t="s">
        <v>151</v>
      </c>
      <c r="B5508">
        <v>4120</v>
      </c>
      <c r="C5508" t="s">
        <v>0</v>
      </c>
      <c r="D5508">
        <v>6889</v>
      </c>
      <c r="E5508" t="s">
        <v>420</v>
      </c>
      <c r="F5508" s="4">
        <v>0</v>
      </c>
      <c r="G5508" s="4">
        <v>651516</v>
      </c>
      <c r="H5508" s="4">
        <v>484528</v>
      </c>
      <c r="I5508" s="4">
        <v>166988</v>
      </c>
      <c r="J5508" s="4">
        <v>651516</v>
      </c>
    </row>
    <row r="5509" spans="1:10" x14ac:dyDescent="0.75">
      <c r="A5509" t="s">
        <v>151</v>
      </c>
      <c r="B5509">
        <v>4120</v>
      </c>
      <c r="C5509" t="s">
        <v>0</v>
      </c>
      <c r="D5509">
        <v>6857</v>
      </c>
      <c r="E5509" t="s">
        <v>487</v>
      </c>
      <c r="F5509" s="4">
        <v>0</v>
      </c>
      <c r="G5509" s="4">
        <v>625530</v>
      </c>
      <c r="H5509" s="4">
        <v>284373</v>
      </c>
      <c r="I5509" s="4">
        <v>341157</v>
      </c>
      <c r="J5509" s="4">
        <v>625530</v>
      </c>
    </row>
    <row r="5510" spans="1:10" x14ac:dyDescent="0.75">
      <c r="A5510" t="s">
        <v>151</v>
      </c>
      <c r="B5510">
        <v>4120</v>
      </c>
      <c r="C5510" t="s">
        <v>0</v>
      </c>
      <c r="D5510">
        <v>5240</v>
      </c>
      <c r="E5510" t="s">
        <v>464</v>
      </c>
      <c r="F5510" s="4">
        <v>0</v>
      </c>
      <c r="G5510" s="4">
        <v>596286</v>
      </c>
      <c r="H5510" s="4">
        <v>581805</v>
      </c>
      <c r="I5510" s="4">
        <v>14481</v>
      </c>
      <c r="J5510" s="4">
        <v>596286</v>
      </c>
    </row>
    <row r="5511" spans="1:10" x14ac:dyDescent="0.75">
      <c r="A5511" t="s">
        <v>151</v>
      </c>
      <c r="B5511">
        <v>4120</v>
      </c>
      <c r="C5511" t="s">
        <v>0</v>
      </c>
      <c r="D5511">
        <v>6811</v>
      </c>
      <c r="E5511" t="s">
        <v>480</v>
      </c>
      <c r="F5511" s="4">
        <v>0</v>
      </c>
      <c r="G5511" s="4">
        <v>587654</v>
      </c>
      <c r="H5511" s="4">
        <v>48742</v>
      </c>
      <c r="I5511" s="4">
        <v>538912</v>
      </c>
      <c r="J5511" s="4">
        <v>587654</v>
      </c>
    </row>
    <row r="5512" spans="1:10" x14ac:dyDescent="0.75">
      <c r="A5512" t="s">
        <v>151</v>
      </c>
      <c r="B5512">
        <v>4120</v>
      </c>
      <c r="C5512" t="s">
        <v>0</v>
      </c>
      <c r="D5512">
        <v>3276</v>
      </c>
      <c r="E5512" t="s">
        <v>379</v>
      </c>
      <c r="F5512" s="4">
        <v>0</v>
      </c>
      <c r="G5512" s="4">
        <v>508594</v>
      </c>
      <c r="H5512" s="4">
        <v>63034</v>
      </c>
      <c r="I5512" s="4">
        <v>445560</v>
      </c>
      <c r="J5512" s="4">
        <v>508594</v>
      </c>
    </row>
    <row r="5513" spans="1:10" x14ac:dyDescent="0.75">
      <c r="A5513" t="s">
        <v>151</v>
      </c>
      <c r="B5513">
        <v>4120</v>
      </c>
      <c r="C5513" t="s">
        <v>0</v>
      </c>
      <c r="D5513">
        <v>6654</v>
      </c>
      <c r="E5513" t="s">
        <v>419</v>
      </c>
      <c r="F5513" s="4">
        <v>0</v>
      </c>
      <c r="G5513" s="4">
        <v>508207</v>
      </c>
      <c r="H5513" s="4">
        <v>397955</v>
      </c>
      <c r="I5513" s="4">
        <v>110252</v>
      </c>
      <c r="J5513" s="4">
        <v>508207</v>
      </c>
    </row>
    <row r="5514" spans="1:10" x14ac:dyDescent="0.75">
      <c r="A5514" t="s">
        <v>151</v>
      </c>
      <c r="B5514">
        <v>4120</v>
      </c>
      <c r="C5514" t="s">
        <v>0</v>
      </c>
      <c r="D5514">
        <v>5330</v>
      </c>
      <c r="E5514" t="s">
        <v>385</v>
      </c>
      <c r="F5514" s="4">
        <v>0</v>
      </c>
      <c r="G5514" s="4">
        <v>508151</v>
      </c>
      <c r="H5514" s="4">
        <v>502818</v>
      </c>
      <c r="I5514" s="4">
        <v>5333</v>
      </c>
      <c r="J5514" s="4">
        <v>508151</v>
      </c>
    </row>
    <row r="5515" spans="1:10" x14ac:dyDescent="0.75">
      <c r="A5515" t="s">
        <v>151</v>
      </c>
      <c r="B5515">
        <v>4120</v>
      </c>
      <c r="C5515" t="s">
        <v>0</v>
      </c>
      <c r="D5515">
        <v>6858</v>
      </c>
      <c r="E5515" t="s">
        <v>488</v>
      </c>
      <c r="F5515" s="4">
        <v>0</v>
      </c>
      <c r="G5515" s="4">
        <v>507416</v>
      </c>
      <c r="H5515" s="4">
        <v>447563</v>
      </c>
      <c r="I5515" s="4">
        <v>59853</v>
      </c>
      <c r="J5515" s="4">
        <v>507416</v>
      </c>
    </row>
    <row r="5516" spans="1:10" x14ac:dyDescent="0.75">
      <c r="A5516" t="s">
        <v>151</v>
      </c>
      <c r="B5516">
        <v>4120</v>
      </c>
      <c r="C5516" t="s">
        <v>0</v>
      </c>
      <c r="D5516">
        <v>9900</v>
      </c>
      <c r="E5516" t="s">
        <v>389</v>
      </c>
      <c r="F5516" s="4">
        <v>0</v>
      </c>
      <c r="G5516" s="4">
        <v>471778</v>
      </c>
      <c r="H5516" s="4">
        <v>341221</v>
      </c>
      <c r="I5516" s="4">
        <v>130557</v>
      </c>
      <c r="J5516" s="4">
        <v>471778</v>
      </c>
    </row>
    <row r="5517" spans="1:10" x14ac:dyDescent="0.75">
      <c r="A5517" t="s">
        <v>151</v>
      </c>
      <c r="B5517">
        <v>4120</v>
      </c>
      <c r="C5517" t="s">
        <v>0</v>
      </c>
      <c r="D5517">
        <v>5120</v>
      </c>
      <c r="E5517" t="s">
        <v>461</v>
      </c>
      <c r="F5517" s="4">
        <v>0</v>
      </c>
      <c r="G5517" s="4">
        <v>448747</v>
      </c>
      <c r="H5517" s="4">
        <v>241318</v>
      </c>
      <c r="I5517" s="4">
        <v>207429</v>
      </c>
      <c r="J5517" s="4">
        <v>448747</v>
      </c>
    </row>
    <row r="5518" spans="1:10" x14ac:dyDescent="0.75">
      <c r="A5518" t="s">
        <v>151</v>
      </c>
      <c r="B5518">
        <v>4120</v>
      </c>
      <c r="C5518" t="s">
        <v>0</v>
      </c>
      <c r="D5518">
        <v>3285</v>
      </c>
      <c r="E5518" t="s">
        <v>443</v>
      </c>
      <c r="F5518" s="4">
        <v>0</v>
      </c>
      <c r="G5518" s="4">
        <v>434624</v>
      </c>
      <c r="H5518" s="4">
        <v>284590</v>
      </c>
      <c r="I5518" s="4">
        <v>150034</v>
      </c>
      <c r="J5518" s="4">
        <v>434624</v>
      </c>
    </row>
    <row r="5519" spans="1:10" x14ac:dyDescent="0.75">
      <c r="A5519" t="s">
        <v>151</v>
      </c>
      <c r="B5519">
        <v>4120</v>
      </c>
      <c r="C5519" t="s">
        <v>0</v>
      </c>
      <c r="D5519">
        <v>5190</v>
      </c>
      <c r="E5519" t="s">
        <v>462</v>
      </c>
      <c r="F5519" s="4">
        <v>0</v>
      </c>
      <c r="G5519" s="4">
        <v>410626</v>
      </c>
      <c r="H5519" s="4">
        <v>395368</v>
      </c>
      <c r="I5519" s="4">
        <v>15258</v>
      </c>
      <c r="J5519" s="4">
        <v>410626</v>
      </c>
    </row>
    <row r="5520" spans="1:10" x14ac:dyDescent="0.75">
      <c r="A5520" t="s">
        <v>151</v>
      </c>
      <c r="B5520">
        <v>4120</v>
      </c>
      <c r="C5520" t="s">
        <v>0</v>
      </c>
      <c r="D5520">
        <v>5370</v>
      </c>
      <c r="E5520" t="s">
        <v>466</v>
      </c>
      <c r="F5520" s="4">
        <v>0</v>
      </c>
      <c r="G5520" s="4">
        <v>373452</v>
      </c>
      <c r="H5520" s="4">
        <v>370765</v>
      </c>
      <c r="I5520" s="4">
        <v>2687</v>
      </c>
      <c r="J5520" s="4">
        <v>373452</v>
      </c>
    </row>
    <row r="5521" spans="1:10" x14ac:dyDescent="0.75">
      <c r="A5521" t="s">
        <v>151</v>
      </c>
      <c r="B5521">
        <v>4120</v>
      </c>
      <c r="C5521" t="s">
        <v>0</v>
      </c>
      <c r="D5521">
        <v>7400</v>
      </c>
      <c r="E5521" t="s">
        <v>502</v>
      </c>
      <c r="F5521" s="4">
        <v>0</v>
      </c>
      <c r="G5521" s="4">
        <v>352655</v>
      </c>
      <c r="H5521" s="4">
        <v>341142</v>
      </c>
      <c r="I5521" s="4">
        <v>11513</v>
      </c>
      <c r="J5521" s="4">
        <v>352655</v>
      </c>
    </row>
    <row r="5522" spans="1:10" x14ac:dyDescent="0.75">
      <c r="A5522" t="s">
        <v>151</v>
      </c>
      <c r="B5522">
        <v>4120</v>
      </c>
      <c r="C5522" t="s">
        <v>0</v>
      </c>
      <c r="D5522">
        <v>5422</v>
      </c>
      <c r="E5522" t="s">
        <v>468</v>
      </c>
      <c r="F5522" s="4">
        <v>0</v>
      </c>
      <c r="G5522" s="4">
        <v>343480</v>
      </c>
      <c r="H5522" s="4">
        <v>292986</v>
      </c>
      <c r="I5522" s="4">
        <v>50494</v>
      </c>
      <c r="J5522" s="4">
        <v>343480</v>
      </c>
    </row>
    <row r="5523" spans="1:10" x14ac:dyDescent="0.75">
      <c r="A5523" t="s">
        <v>151</v>
      </c>
      <c r="B5523">
        <v>4120</v>
      </c>
      <c r="C5523" t="s">
        <v>0</v>
      </c>
      <c r="D5523">
        <v>3275</v>
      </c>
      <c r="E5523" t="s">
        <v>412</v>
      </c>
      <c r="F5523" s="4">
        <v>0</v>
      </c>
      <c r="G5523" s="4">
        <v>301446</v>
      </c>
      <c r="H5523" s="4">
        <v>124358</v>
      </c>
      <c r="I5523" s="4">
        <v>177088</v>
      </c>
      <c r="J5523" s="4">
        <v>301446</v>
      </c>
    </row>
    <row r="5524" spans="1:10" x14ac:dyDescent="0.75">
      <c r="A5524" t="s">
        <v>151</v>
      </c>
      <c r="B5524">
        <v>4120</v>
      </c>
      <c r="C5524" t="s">
        <v>0</v>
      </c>
      <c r="D5524">
        <v>3299</v>
      </c>
      <c r="E5524" t="s">
        <v>448</v>
      </c>
      <c r="F5524" s="4">
        <v>0</v>
      </c>
      <c r="G5524" s="4">
        <v>292663</v>
      </c>
      <c r="H5524" s="4">
        <v>159904</v>
      </c>
      <c r="I5524" s="4">
        <v>132759</v>
      </c>
      <c r="J5524" s="4">
        <v>292663</v>
      </c>
    </row>
    <row r="5525" spans="1:10" x14ac:dyDescent="0.75">
      <c r="A5525" t="s">
        <v>151</v>
      </c>
      <c r="B5525">
        <v>4120</v>
      </c>
      <c r="C5525" t="s">
        <v>0</v>
      </c>
      <c r="D5525">
        <v>5540</v>
      </c>
      <c r="E5525" t="s">
        <v>469</v>
      </c>
      <c r="F5525" s="4">
        <v>0</v>
      </c>
      <c r="G5525" s="4">
        <v>289687</v>
      </c>
      <c r="H5525" s="4">
        <v>284090</v>
      </c>
      <c r="I5525" s="4">
        <v>5597</v>
      </c>
      <c r="J5525" s="4">
        <v>289687</v>
      </c>
    </row>
    <row r="5526" spans="1:10" x14ac:dyDescent="0.75">
      <c r="A5526" t="s">
        <v>151</v>
      </c>
      <c r="B5526">
        <v>4120</v>
      </c>
      <c r="C5526" t="s">
        <v>0</v>
      </c>
      <c r="D5526">
        <v>6822</v>
      </c>
      <c r="E5526" t="s">
        <v>482</v>
      </c>
      <c r="F5526" s="4">
        <v>0</v>
      </c>
      <c r="G5526" s="4">
        <v>283990</v>
      </c>
      <c r="H5526" s="4">
        <v>43843</v>
      </c>
      <c r="I5526" s="4">
        <v>240147</v>
      </c>
      <c r="J5526" s="4">
        <v>283990</v>
      </c>
    </row>
    <row r="5527" spans="1:10" x14ac:dyDescent="0.75">
      <c r="A5527" t="s">
        <v>151</v>
      </c>
      <c r="B5527">
        <v>4120</v>
      </c>
      <c r="C5527" t="s">
        <v>0</v>
      </c>
      <c r="D5527">
        <v>6839</v>
      </c>
      <c r="E5527" t="s">
        <v>485</v>
      </c>
      <c r="F5527" s="4">
        <v>0</v>
      </c>
      <c r="G5527" s="4">
        <v>245918</v>
      </c>
      <c r="H5527" s="4">
        <v>21995</v>
      </c>
      <c r="I5527" s="4">
        <v>223923</v>
      </c>
      <c r="J5527" s="4">
        <v>245918</v>
      </c>
    </row>
    <row r="5528" spans="1:10" x14ac:dyDescent="0.75">
      <c r="A5528" t="s">
        <v>151</v>
      </c>
      <c r="B5528">
        <v>4120</v>
      </c>
      <c r="C5528" t="s">
        <v>0</v>
      </c>
      <c r="D5528">
        <v>6747</v>
      </c>
      <c r="E5528" t="s">
        <v>478</v>
      </c>
      <c r="F5528" s="4">
        <v>0</v>
      </c>
      <c r="G5528" s="4">
        <v>213875</v>
      </c>
      <c r="H5528" s="4">
        <v>117443</v>
      </c>
      <c r="I5528" s="4">
        <v>96432</v>
      </c>
      <c r="J5528" s="4">
        <v>213875</v>
      </c>
    </row>
    <row r="5529" spans="1:10" x14ac:dyDescent="0.75">
      <c r="A5529" t="s">
        <v>151</v>
      </c>
      <c r="B5529">
        <v>4120</v>
      </c>
      <c r="C5529" t="s">
        <v>0</v>
      </c>
      <c r="D5529">
        <v>6885</v>
      </c>
      <c r="E5529" t="s">
        <v>493</v>
      </c>
      <c r="F5529" s="4">
        <v>0</v>
      </c>
      <c r="G5529" s="4">
        <v>211588</v>
      </c>
      <c r="H5529" s="4">
        <v>161791</v>
      </c>
      <c r="I5529" s="4">
        <v>49797</v>
      </c>
      <c r="J5529" s="4">
        <v>211588</v>
      </c>
    </row>
    <row r="5530" spans="1:10" x14ac:dyDescent="0.75">
      <c r="A5530" t="s">
        <v>151</v>
      </c>
      <c r="B5530">
        <v>4120</v>
      </c>
      <c r="C5530" t="s">
        <v>0</v>
      </c>
      <c r="D5530">
        <v>3274</v>
      </c>
      <c r="E5530" t="s">
        <v>438</v>
      </c>
      <c r="F5530" s="4">
        <v>0</v>
      </c>
      <c r="G5530" s="4">
        <v>196758</v>
      </c>
      <c r="H5530" s="4">
        <v>194724</v>
      </c>
      <c r="I5530" s="4">
        <v>2034</v>
      </c>
      <c r="J5530" s="4">
        <v>196758</v>
      </c>
    </row>
    <row r="5531" spans="1:10" x14ac:dyDescent="0.75">
      <c r="A5531" t="s">
        <v>151</v>
      </c>
      <c r="B5531">
        <v>4120</v>
      </c>
      <c r="C5531" t="s">
        <v>0</v>
      </c>
      <c r="D5531">
        <v>6344</v>
      </c>
      <c r="E5531" t="s">
        <v>392</v>
      </c>
      <c r="F5531" s="4">
        <v>0</v>
      </c>
      <c r="G5531" s="4">
        <v>196596</v>
      </c>
      <c r="H5531" s="4">
        <v>3710</v>
      </c>
      <c r="I5531" s="4">
        <v>192886</v>
      </c>
      <c r="J5531" s="4">
        <v>196596</v>
      </c>
    </row>
    <row r="5532" spans="1:10" x14ac:dyDescent="0.75">
      <c r="A5532" t="s">
        <v>151</v>
      </c>
      <c r="B5532">
        <v>4120</v>
      </c>
      <c r="C5532" t="s">
        <v>0</v>
      </c>
      <c r="D5532">
        <v>6136</v>
      </c>
      <c r="E5532" t="s">
        <v>471</v>
      </c>
      <c r="F5532" s="4">
        <v>0</v>
      </c>
      <c r="G5532" s="4">
        <v>192335</v>
      </c>
      <c r="H5532" s="4">
        <v>184165</v>
      </c>
      <c r="I5532" s="4">
        <v>8170</v>
      </c>
      <c r="J5532" s="4">
        <v>192335</v>
      </c>
    </row>
    <row r="5533" spans="1:10" x14ac:dyDescent="0.75">
      <c r="A5533" t="s">
        <v>151</v>
      </c>
      <c r="B5533">
        <v>4120</v>
      </c>
      <c r="C5533" t="s">
        <v>0</v>
      </c>
      <c r="D5533">
        <v>6442</v>
      </c>
      <c r="E5533" t="s">
        <v>472</v>
      </c>
      <c r="F5533" s="4">
        <v>0</v>
      </c>
      <c r="G5533" s="4">
        <v>182929</v>
      </c>
      <c r="H5533" s="4">
        <v>125657</v>
      </c>
      <c r="I5533" s="4">
        <v>57272</v>
      </c>
      <c r="J5533" s="4">
        <v>182929</v>
      </c>
    </row>
    <row r="5534" spans="1:10" x14ac:dyDescent="0.75">
      <c r="A5534" t="s">
        <v>151</v>
      </c>
      <c r="B5534">
        <v>4120</v>
      </c>
      <c r="C5534" t="s">
        <v>0</v>
      </c>
      <c r="D5534">
        <v>6134</v>
      </c>
      <c r="E5534" t="s">
        <v>470</v>
      </c>
      <c r="F5534" s="4">
        <v>0</v>
      </c>
      <c r="G5534" s="4">
        <v>163665</v>
      </c>
      <c r="H5534" s="4">
        <v>160012</v>
      </c>
      <c r="I5534" s="4">
        <v>3653</v>
      </c>
      <c r="J5534" s="4">
        <v>163665</v>
      </c>
    </row>
    <row r="5535" spans="1:10" x14ac:dyDescent="0.75">
      <c r="A5535" t="s">
        <v>151</v>
      </c>
      <c r="B5535">
        <v>4120</v>
      </c>
      <c r="C5535" t="s">
        <v>0</v>
      </c>
      <c r="D5535">
        <v>5360</v>
      </c>
      <c r="E5535" t="s">
        <v>465</v>
      </c>
      <c r="F5535" s="4">
        <v>0</v>
      </c>
      <c r="G5535" s="4">
        <v>123858</v>
      </c>
      <c r="H5535" s="4">
        <v>119281</v>
      </c>
      <c r="I5535" s="4">
        <v>4577</v>
      </c>
      <c r="J5535" s="4">
        <v>123858</v>
      </c>
    </row>
    <row r="5536" spans="1:10" x14ac:dyDescent="0.75">
      <c r="A5536" t="s">
        <v>151</v>
      </c>
      <c r="B5536">
        <v>4120</v>
      </c>
      <c r="C5536" t="s">
        <v>0</v>
      </c>
      <c r="D5536">
        <v>3230</v>
      </c>
      <c r="E5536" t="s">
        <v>434</v>
      </c>
      <c r="F5536" s="4">
        <v>0</v>
      </c>
      <c r="G5536" s="4">
        <v>120832</v>
      </c>
      <c r="H5536" s="4">
        <v>106483</v>
      </c>
      <c r="I5536" s="4">
        <v>14349</v>
      </c>
      <c r="J5536" s="4">
        <v>120832</v>
      </c>
    </row>
    <row r="5537" spans="1:10" x14ac:dyDescent="0.75">
      <c r="A5537" t="s">
        <v>151</v>
      </c>
      <c r="B5537">
        <v>4120</v>
      </c>
      <c r="C5537" t="s">
        <v>0</v>
      </c>
      <c r="D5537">
        <v>3220</v>
      </c>
      <c r="E5537" t="s">
        <v>370</v>
      </c>
      <c r="F5537" s="4">
        <v>1362</v>
      </c>
      <c r="G5537" s="4">
        <v>114873</v>
      </c>
      <c r="H5537" s="4">
        <v>78160</v>
      </c>
      <c r="I5537" s="4">
        <v>36713</v>
      </c>
      <c r="J5537" s="4">
        <v>116235</v>
      </c>
    </row>
    <row r="5538" spans="1:10" x14ac:dyDescent="0.75">
      <c r="A5538" t="s">
        <v>151</v>
      </c>
      <c r="B5538">
        <v>4120</v>
      </c>
      <c r="C5538" t="s">
        <v>0</v>
      </c>
      <c r="D5538">
        <v>3240</v>
      </c>
      <c r="E5538" t="s">
        <v>410</v>
      </c>
      <c r="F5538" s="4">
        <v>0</v>
      </c>
      <c r="G5538" s="4">
        <v>110398</v>
      </c>
      <c r="H5538" s="4">
        <v>86792</v>
      </c>
      <c r="I5538" s="4">
        <v>23606</v>
      </c>
      <c r="J5538" s="4">
        <v>110398</v>
      </c>
    </row>
    <row r="5539" spans="1:10" x14ac:dyDescent="0.75">
      <c r="A5539" t="s">
        <v>151</v>
      </c>
      <c r="B5539">
        <v>4120</v>
      </c>
      <c r="C5539" t="s">
        <v>0</v>
      </c>
      <c r="D5539">
        <v>2540</v>
      </c>
      <c r="E5539" t="s">
        <v>377</v>
      </c>
      <c r="F5539" s="4">
        <v>875</v>
      </c>
      <c r="G5539" s="4">
        <v>104288</v>
      </c>
      <c r="H5539" s="4">
        <v>112</v>
      </c>
      <c r="I5539" s="4">
        <v>104176</v>
      </c>
      <c r="J5539" s="4">
        <v>105163</v>
      </c>
    </row>
    <row r="5540" spans="1:10" x14ac:dyDescent="0.75">
      <c r="A5540" t="s">
        <v>151</v>
      </c>
      <c r="B5540">
        <v>4120</v>
      </c>
      <c r="C5540" t="s">
        <v>0</v>
      </c>
      <c r="D5540">
        <v>3250</v>
      </c>
      <c r="E5540" t="s">
        <v>435</v>
      </c>
      <c r="F5540" s="4">
        <v>0</v>
      </c>
      <c r="G5540" s="4">
        <v>103783</v>
      </c>
      <c r="H5540" s="4">
        <v>83665</v>
      </c>
      <c r="I5540" s="4">
        <v>20118</v>
      </c>
      <c r="J5540" s="4">
        <v>103783</v>
      </c>
    </row>
    <row r="5541" spans="1:10" x14ac:dyDescent="0.75">
      <c r="A5541" t="s">
        <v>151</v>
      </c>
      <c r="B5541">
        <v>4120</v>
      </c>
      <c r="C5541" t="s">
        <v>0</v>
      </c>
      <c r="D5541">
        <v>4189</v>
      </c>
      <c r="E5541" t="s">
        <v>451</v>
      </c>
      <c r="F5541" s="4">
        <v>0</v>
      </c>
      <c r="G5541" s="4">
        <v>103705</v>
      </c>
      <c r="H5541" s="4">
        <v>65209</v>
      </c>
      <c r="I5541" s="4">
        <v>38496</v>
      </c>
      <c r="J5541" s="4">
        <v>103705</v>
      </c>
    </row>
    <row r="5542" spans="1:10" x14ac:dyDescent="0.75">
      <c r="A5542" t="s">
        <v>151</v>
      </c>
      <c r="B5542">
        <v>4120</v>
      </c>
      <c r="C5542" t="s">
        <v>0</v>
      </c>
      <c r="D5542">
        <v>6835</v>
      </c>
      <c r="E5542" t="s">
        <v>483</v>
      </c>
      <c r="F5542" s="4">
        <v>0</v>
      </c>
      <c r="G5542" s="4">
        <v>97934</v>
      </c>
      <c r="H5542" s="4">
        <v>97087</v>
      </c>
      <c r="I5542" s="4">
        <v>847</v>
      </c>
      <c r="J5542" s="4">
        <v>97934</v>
      </c>
    </row>
    <row r="5543" spans="1:10" x14ac:dyDescent="0.75">
      <c r="A5543" t="s">
        <v>151</v>
      </c>
      <c r="B5543">
        <v>4120</v>
      </c>
      <c r="C5543" t="s">
        <v>0</v>
      </c>
      <c r="D5543">
        <v>3292</v>
      </c>
      <c r="E5543" t="s">
        <v>413</v>
      </c>
      <c r="F5543" s="4">
        <v>0</v>
      </c>
      <c r="G5543" s="4">
        <v>94498</v>
      </c>
      <c r="H5543" s="4">
        <v>55914</v>
      </c>
      <c r="I5543" s="4">
        <v>38584</v>
      </c>
      <c r="J5543" s="4">
        <v>94498</v>
      </c>
    </row>
    <row r="5544" spans="1:10" x14ac:dyDescent="0.75">
      <c r="A5544" t="s">
        <v>151</v>
      </c>
      <c r="B5544">
        <v>4120</v>
      </c>
      <c r="C5544" t="s">
        <v>0</v>
      </c>
      <c r="D5544">
        <v>2350</v>
      </c>
      <c r="E5544" t="s">
        <v>404</v>
      </c>
      <c r="F5544" s="4">
        <v>69503</v>
      </c>
      <c r="G5544" s="4">
        <v>15969</v>
      </c>
      <c r="H5544" s="4">
        <v>10689</v>
      </c>
      <c r="I5544" s="4">
        <v>5280</v>
      </c>
      <c r="J5544" s="4">
        <v>85472</v>
      </c>
    </row>
    <row r="5545" spans="1:10" x14ac:dyDescent="0.75">
      <c r="A5545" t="s">
        <v>151</v>
      </c>
      <c r="B5545">
        <v>4120</v>
      </c>
      <c r="C5545" t="s">
        <v>0</v>
      </c>
      <c r="D5545">
        <v>3284</v>
      </c>
      <c r="E5545" t="s">
        <v>442</v>
      </c>
      <c r="F5545" s="4">
        <v>0</v>
      </c>
      <c r="G5545" s="4">
        <v>84181</v>
      </c>
      <c r="H5545" s="4">
        <v>74611</v>
      </c>
      <c r="I5545" s="4">
        <v>9570</v>
      </c>
      <c r="J5545" s="4">
        <v>84181</v>
      </c>
    </row>
    <row r="5546" spans="1:10" x14ac:dyDescent="0.75">
      <c r="A5546" t="s">
        <v>151</v>
      </c>
      <c r="B5546">
        <v>4120</v>
      </c>
      <c r="C5546" t="s">
        <v>0</v>
      </c>
      <c r="D5546">
        <v>2429</v>
      </c>
      <c r="E5546" t="s">
        <v>375</v>
      </c>
      <c r="F5546" s="4">
        <v>82226</v>
      </c>
      <c r="G5546" s="4">
        <v>221</v>
      </c>
      <c r="H5546" s="4">
        <v>34</v>
      </c>
      <c r="I5546" s="4">
        <v>187</v>
      </c>
      <c r="J5546" s="4">
        <v>82447</v>
      </c>
    </row>
    <row r="5547" spans="1:10" x14ac:dyDescent="0.75">
      <c r="A5547" t="s">
        <v>151</v>
      </c>
      <c r="B5547">
        <v>4120</v>
      </c>
      <c r="C5547" t="s">
        <v>0</v>
      </c>
      <c r="D5547">
        <v>3293</v>
      </c>
      <c r="E5547" t="s">
        <v>445</v>
      </c>
      <c r="F5547" s="4">
        <v>0</v>
      </c>
      <c r="G5547" s="4">
        <v>82314</v>
      </c>
      <c r="H5547" s="4">
        <v>81502</v>
      </c>
      <c r="I5547" s="4">
        <v>812</v>
      </c>
      <c r="J5547" s="4">
        <v>82314</v>
      </c>
    </row>
    <row r="5548" spans="1:10" x14ac:dyDescent="0.75">
      <c r="A5548" t="s">
        <v>151</v>
      </c>
      <c r="B5548">
        <v>4120</v>
      </c>
      <c r="C5548" t="s">
        <v>0</v>
      </c>
      <c r="D5548">
        <v>6590</v>
      </c>
      <c r="E5548" t="s">
        <v>394</v>
      </c>
      <c r="F5548" s="4">
        <v>0</v>
      </c>
      <c r="G5548" s="4">
        <v>82298</v>
      </c>
      <c r="H5548" s="4">
        <v>8905</v>
      </c>
      <c r="I5548" s="4">
        <v>73393</v>
      </c>
      <c r="J5548" s="4">
        <v>82298</v>
      </c>
    </row>
    <row r="5549" spans="1:10" x14ac:dyDescent="0.75">
      <c r="A5549" t="s">
        <v>151</v>
      </c>
      <c r="B5549">
        <v>4120</v>
      </c>
      <c r="C5549" t="s">
        <v>0</v>
      </c>
      <c r="D5549">
        <v>6888</v>
      </c>
      <c r="E5549" t="s">
        <v>494</v>
      </c>
      <c r="F5549" s="4">
        <v>0</v>
      </c>
      <c r="G5549" s="4">
        <v>78543</v>
      </c>
      <c r="H5549" s="4">
        <v>36035</v>
      </c>
      <c r="I5549" s="4">
        <v>42508</v>
      </c>
      <c r="J5549" s="4">
        <v>78543</v>
      </c>
    </row>
    <row r="5550" spans="1:10" x14ac:dyDescent="0.75">
      <c r="A5550" t="s">
        <v>151</v>
      </c>
      <c r="B5550">
        <v>4120</v>
      </c>
      <c r="C5550" t="s">
        <v>0</v>
      </c>
      <c r="D5550">
        <v>6653</v>
      </c>
      <c r="E5550" t="s">
        <v>395</v>
      </c>
      <c r="F5550" s="4">
        <v>0</v>
      </c>
      <c r="G5550" s="4">
        <v>77185</v>
      </c>
      <c r="H5550" s="4">
        <v>63243</v>
      </c>
      <c r="I5550" s="4">
        <v>13942</v>
      </c>
      <c r="J5550" s="4">
        <v>77185</v>
      </c>
    </row>
    <row r="5551" spans="1:10" x14ac:dyDescent="0.75">
      <c r="A5551" t="s">
        <v>151</v>
      </c>
      <c r="B5551">
        <v>4120</v>
      </c>
      <c r="C5551" t="s">
        <v>0</v>
      </c>
      <c r="D5551">
        <v>4410</v>
      </c>
      <c r="E5551" t="s">
        <v>399</v>
      </c>
      <c r="F5551" s="4">
        <v>0</v>
      </c>
      <c r="G5551" s="4">
        <v>75980</v>
      </c>
      <c r="H5551" s="4">
        <v>113</v>
      </c>
      <c r="I5551" s="4">
        <v>75867</v>
      </c>
      <c r="J5551" s="4">
        <v>75980</v>
      </c>
    </row>
    <row r="5552" spans="1:10" x14ac:dyDescent="0.75">
      <c r="A5552" t="s">
        <v>151</v>
      </c>
      <c r="B5552">
        <v>4120</v>
      </c>
      <c r="C5552" t="s">
        <v>0</v>
      </c>
      <c r="D5552">
        <v>4170</v>
      </c>
      <c r="E5552" t="s">
        <v>424</v>
      </c>
      <c r="F5552" s="4">
        <v>0</v>
      </c>
      <c r="G5552" s="4">
        <v>73942</v>
      </c>
      <c r="H5552" s="4">
        <v>2465</v>
      </c>
      <c r="I5552" s="4">
        <v>71477</v>
      </c>
      <c r="J5552" s="4">
        <v>73942</v>
      </c>
    </row>
    <row r="5553" spans="1:10" x14ac:dyDescent="0.75">
      <c r="A5553" t="s">
        <v>151</v>
      </c>
      <c r="B5553">
        <v>4120</v>
      </c>
      <c r="C5553" t="s">
        <v>0</v>
      </c>
      <c r="D5553">
        <v>5421</v>
      </c>
      <c r="E5553" t="s">
        <v>467</v>
      </c>
      <c r="F5553" s="4">
        <v>0</v>
      </c>
      <c r="G5553" s="4">
        <v>71554</v>
      </c>
      <c r="H5553" s="4">
        <v>53336</v>
      </c>
      <c r="I5553" s="4">
        <v>18218</v>
      </c>
      <c r="J5553" s="4">
        <v>71554</v>
      </c>
    </row>
    <row r="5554" spans="1:10" x14ac:dyDescent="0.75">
      <c r="A5554" t="s">
        <v>151</v>
      </c>
      <c r="B5554">
        <v>4120</v>
      </c>
      <c r="C5554" t="s">
        <v>0</v>
      </c>
      <c r="D5554">
        <v>6861</v>
      </c>
      <c r="E5554" t="s">
        <v>489</v>
      </c>
      <c r="F5554" s="4">
        <v>0</v>
      </c>
      <c r="G5554" s="4">
        <v>70744</v>
      </c>
      <c r="H5554" s="4">
        <v>69874</v>
      </c>
      <c r="I5554" s="4">
        <v>870</v>
      </c>
      <c r="J5554" s="4">
        <v>70744</v>
      </c>
    </row>
    <row r="5555" spans="1:10" x14ac:dyDescent="0.75">
      <c r="A5555" t="s">
        <v>151</v>
      </c>
      <c r="B5555">
        <v>4120</v>
      </c>
      <c r="C5555" t="s">
        <v>0</v>
      </c>
      <c r="D5555">
        <v>5390</v>
      </c>
      <c r="E5555" t="s">
        <v>418</v>
      </c>
      <c r="F5555" s="4">
        <v>0</v>
      </c>
      <c r="G5555" s="4">
        <v>69029</v>
      </c>
      <c r="H5555" s="4">
        <v>67228</v>
      </c>
      <c r="I5555" s="4">
        <v>1801</v>
      </c>
      <c r="J5555" s="4">
        <v>69029</v>
      </c>
    </row>
    <row r="5556" spans="1:10" x14ac:dyDescent="0.75">
      <c r="A5556" t="s">
        <v>151</v>
      </c>
      <c r="B5556">
        <v>4120</v>
      </c>
      <c r="C5556" t="s">
        <v>0</v>
      </c>
      <c r="D5556">
        <v>3282</v>
      </c>
      <c r="E5556" t="s">
        <v>440</v>
      </c>
      <c r="F5556" s="4">
        <v>0</v>
      </c>
      <c r="G5556" s="4">
        <v>61980</v>
      </c>
      <c r="H5556" s="4">
        <v>42067</v>
      </c>
      <c r="I5556" s="4">
        <v>19913</v>
      </c>
      <c r="J5556" s="4">
        <v>61980</v>
      </c>
    </row>
    <row r="5557" spans="1:10" x14ac:dyDescent="0.75">
      <c r="A5557" t="s">
        <v>151</v>
      </c>
      <c r="B5557">
        <v>4120</v>
      </c>
      <c r="C5557" t="s">
        <v>0</v>
      </c>
      <c r="D5557">
        <v>3260</v>
      </c>
      <c r="E5557" t="s">
        <v>436</v>
      </c>
      <c r="F5557" s="4">
        <v>0</v>
      </c>
      <c r="G5557" s="4">
        <v>53600</v>
      </c>
      <c r="H5557" s="4">
        <v>35575</v>
      </c>
      <c r="I5557" s="4">
        <v>18025</v>
      </c>
      <c r="J5557" s="4">
        <v>53600</v>
      </c>
    </row>
    <row r="5558" spans="1:10" x14ac:dyDescent="0.75">
      <c r="A5558" t="s">
        <v>151</v>
      </c>
      <c r="B5558">
        <v>4120</v>
      </c>
      <c r="C5558" t="s">
        <v>0</v>
      </c>
      <c r="D5558">
        <v>6447</v>
      </c>
      <c r="E5558" t="s">
        <v>475</v>
      </c>
      <c r="F5558" s="4">
        <v>0</v>
      </c>
      <c r="G5558" s="4">
        <v>47525</v>
      </c>
      <c r="H5558" s="4">
        <v>183</v>
      </c>
      <c r="I5558" s="4">
        <v>47342</v>
      </c>
      <c r="J5558" s="4">
        <v>47525</v>
      </c>
    </row>
    <row r="5559" spans="1:10" x14ac:dyDescent="0.75">
      <c r="A5559" t="s">
        <v>151</v>
      </c>
      <c r="B5559">
        <v>4120</v>
      </c>
      <c r="C5559" t="s">
        <v>0</v>
      </c>
      <c r="D5559">
        <v>3297</v>
      </c>
      <c r="E5559" t="s">
        <v>446</v>
      </c>
      <c r="F5559" s="4">
        <v>0</v>
      </c>
      <c r="G5559" s="4">
        <v>45103</v>
      </c>
      <c r="H5559" s="4">
        <v>9615</v>
      </c>
      <c r="I5559" s="4">
        <v>35488</v>
      </c>
      <c r="J5559" s="4">
        <v>45103</v>
      </c>
    </row>
    <row r="5560" spans="1:10" x14ac:dyDescent="0.75">
      <c r="A5560" t="s">
        <v>151</v>
      </c>
      <c r="B5560">
        <v>4120</v>
      </c>
      <c r="C5560" t="s">
        <v>0</v>
      </c>
      <c r="D5560">
        <v>5312</v>
      </c>
      <c r="E5560" t="s">
        <v>416</v>
      </c>
      <c r="F5560" s="4">
        <v>0</v>
      </c>
      <c r="G5560" s="4">
        <v>43341</v>
      </c>
      <c r="H5560" s="4">
        <v>41057</v>
      </c>
      <c r="I5560" s="4">
        <v>2284</v>
      </c>
      <c r="J5560" s="4">
        <v>43341</v>
      </c>
    </row>
    <row r="5561" spans="1:10" x14ac:dyDescent="0.75">
      <c r="A5561" t="s">
        <v>151</v>
      </c>
      <c r="B5561">
        <v>4120</v>
      </c>
      <c r="C5561" t="s">
        <v>0</v>
      </c>
      <c r="D5561">
        <v>4782</v>
      </c>
      <c r="E5561" t="s">
        <v>414</v>
      </c>
      <c r="F5561" s="4">
        <v>0</v>
      </c>
      <c r="G5561" s="4">
        <v>42694</v>
      </c>
      <c r="H5561" s="4">
        <v>10595</v>
      </c>
      <c r="I5561" s="4">
        <v>32099</v>
      </c>
      <c r="J5561" s="4">
        <v>42694</v>
      </c>
    </row>
    <row r="5562" spans="1:10" x14ac:dyDescent="0.75">
      <c r="A5562" t="s">
        <v>151</v>
      </c>
      <c r="B5562">
        <v>4120</v>
      </c>
      <c r="C5562" t="s">
        <v>0</v>
      </c>
      <c r="D5562">
        <v>6899</v>
      </c>
      <c r="E5562" t="s">
        <v>498</v>
      </c>
      <c r="F5562" s="4">
        <v>0</v>
      </c>
      <c r="G5562" s="4">
        <v>39702</v>
      </c>
      <c r="H5562" s="4">
        <v>19296</v>
      </c>
      <c r="I5562" s="4">
        <v>20406</v>
      </c>
      <c r="J5562" s="4">
        <v>39702</v>
      </c>
    </row>
    <row r="5563" spans="1:10" x14ac:dyDescent="0.75">
      <c r="A5563" t="s">
        <v>151</v>
      </c>
      <c r="B5563">
        <v>4120</v>
      </c>
      <c r="C5563" t="s">
        <v>0</v>
      </c>
      <c r="D5563">
        <v>3219</v>
      </c>
      <c r="E5563" t="s">
        <v>378</v>
      </c>
      <c r="F5563" s="4">
        <v>0</v>
      </c>
      <c r="G5563" s="4">
        <v>38840</v>
      </c>
      <c r="H5563" s="4">
        <v>31184</v>
      </c>
      <c r="I5563" s="4">
        <v>7656</v>
      </c>
      <c r="J5563" s="4">
        <v>38840</v>
      </c>
    </row>
    <row r="5564" spans="1:10" x14ac:dyDescent="0.75">
      <c r="A5564" t="s">
        <v>151</v>
      </c>
      <c r="B5564">
        <v>4120</v>
      </c>
      <c r="C5564" t="s">
        <v>0</v>
      </c>
      <c r="D5564">
        <v>4190</v>
      </c>
      <c r="E5564" t="s">
        <v>452</v>
      </c>
      <c r="F5564" s="4">
        <v>0</v>
      </c>
      <c r="G5564" s="4">
        <v>38402</v>
      </c>
      <c r="H5564" s="4">
        <v>36450</v>
      </c>
      <c r="I5564" s="4">
        <v>1952</v>
      </c>
      <c r="J5564" s="4">
        <v>38402</v>
      </c>
    </row>
    <row r="5565" spans="1:10" x14ac:dyDescent="0.75">
      <c r="A5565" t="s">
        <v>151</v>
      </c>
      <c r="B5565">
        <v>4120</v>
      </c>
      <c r="C5565" t="s">
        <v>0</v>
      </c>
      <c r="D5565">
        <v>3190</v>
      </c>
      <c r="E5565" t="s">
        <v>408</v>
      </c>
      <c r="F5565" s="4">
        <v>0</v>
      </c>
      <c r="G5565" s="4">
        <v>38343</v>
      </c>
      <c r="H5565" s="4">
        <v>25848</v>
      </c>
      <c r="I5565" s="4">
        <v>12495</v>
      </c>
      <c r="J5565" s="4">
        <v>38343</v>
      </c>
    </row>
    <row r="5566" spans="1:10" x14ac:dyDescent="0.75">
      <c r="A5566" t="s">
        <v>151</v>
      </c>
      <c r="B5566">
        <v>4120</v>
      </c>
      <c r="C5566" t="s">
        <v>0</v>
      </c>
      <c r="D5566">
        <v>3279</v>
      </c>
      <c r="E5566" t="s">
        <v>422</v>
      </c>
      <c r="F5566" s="4">
        <v>0</v>
      </c>
      <c r="G5566" s="4">
        <v>36513</v>
      </c>
      <c r="H5566" s="4">
        <v>23558</v>
      </c>
      <c r="I5566" s="4">
        <v>12955</v>
      </c>
      <c r="J5566" s="4">
        <v>36513</v>
      </c>
    </row>
    <row r="5567" spans="1:10" x14ac:dyDescent="0.75">
      <c r="A5567" t="s">
        <v>151</v>
      </c>
      <c r="B5567">
        <v>4120</v>
      </c>
      <c r="C5567" t="s">
        <v>0</v>
      </c>
      <c r="D5567">
        <v>4331</v>
      </c>
      <c r="E5567" t="s">
        <v>390</v>
      </c>
      <c r="F5567" s="4">
        <v>3225</v>
      </c>
      <c r="G5567" s="4">
        <v>30805</v>
      </c>
      <c r="H5567" s="4">
        <v>25964</v>
      </c>
      <c r="I5567" s="4">
        <v>4841</v>
      </c>
      <c r="J5567" s="4">
        <v>34030</v>
      </c>
    </row>
    <row r="5568" spans="1:10" x14ac:dyDescent="0.75">
      <c r="A5568" t="s">
        <v>151</v>
      </c>
      <c r="B5568">
        <v>4120</v>
      </c>
      <c r="C5568" t="s">
        <v>0</v>
      </c>
      <c r="D5568">
        <v>3291</v>
      </c>
      <c r="E5568" t="s">
        <v>444</v>
      </c>
      <c r="F5568" s="4">
        <v>0</v>
      </c>
      <c r="G5568" s="4">
        <v>33770</v>
      </c>
      <c r="H5568" s="4">
        <v>25918</v>
      </c>
      <c r="I5568" s="4">
        <v>7852</v>
      </c>
      <c r="J5568" s="4">
        <v>33770</v>
      </c>
    </row>
    <row r="5569" spans="1:10" x14ac:dyDescent="0.75">
      <c r="A5569" t="s">
        <v>151</v>
      </c>
      <c r="B5569">
        <v>4120</v>
      </c>
      <c r="C5569" t="s">
        <v>0</v>
      </c>
      <c r="D5569">
        <v>6871</v>
      </c>
      <c r="E5569" t="s">
        <v>491</v>
      </c>
      <c r="F5569" s="4">
        <v>0</v>
      </c>
      <c r="G5569" s="4">
        <v>32742</v>
      </c>
      <c r="H5569" s="4">
        <v>23772</v>
      </c>
      <c r="I5569" s="4">
        <v>8970</v>
      </c>
      <c r="J5569" s="4">
        <v>32742</v>
      </c>
    </row>
    <row r="5570" spans="1:10" x14ac:dyDescent="0.75">
      <c r="A5570" t="s">
        <v>151</v>
      </c>
      <c r="B5570">
        <v>4120</v>
      </c>
      <c r="C5570" t="s">
        <v>0</v>
      </c>
      <c r="D5570">
        <v>6817</v>
      </c>
      <c r="E5570" t="s">
        <v>481</v>
      </c>
      <c r="F5570" s="4">
        <v>0</v>
      </c>
      <c r="G5570" s="4">
        <v>30273</v>
      </c>
      <c r="H5570" s="4">
        <v>7285</v>
      </c>
      <c r="I5570" s="4">
        <v>22988</v>
      </c>
      <c r="J5570" s="4">
        <v>30273</v>
      </c>
    </row>
    <row r="5571" spans="1:10" x14ac:dyDescent="0.75">
      <c r="A5571" t="s">
        <v>151</v>
      </c>
      <c r="B5571">
        <v>4120</v>
      </c>
      <c r="C5571" t="s">
        <v>0</v>
      </c>
      <c r="D5571">
        <v>3281</v>
      </c>
      <c r="E5571" t="s">
        <v>439</v>
      </c>
      <c r="F5571" s="4">
        <v>0</v>
      </c>
      <c r="G5571" s="4">
        <v>29451</v>
      </c>
      <c r="H5571" s="4">
        <v>728</v>
      </c>
      <c r="I5571" s="4">
        <v>28723</v>
      </c>
      <c r="J5571" s="4">
        <v>29451</v>
      </c>
    </row>
    <row r="5572" spans="1:10" x14ac:dyDescent="0.75">
      <c r="A5572" t="s">
        <v>151</v>
      </c>
      <c r="B5572">
        <v>4120</v>
      </c>
      <c r="C5572" t="s">
        <v>0</v>
      </c>
      <c r="D5572">
        <v>5220</v>
      </c>
      <c r="E5572" t="s">
        <v>401</v>
      </c>
      <c r="F5572" s="4">
        <v>0</v>
      </c>
      <c r="G5572" s="4">
        <v>29200</v>
      </c>
      <c r="H5572" s="4">
        <v>27238</v>
      </c>
      <c r="I5572" s="4">
        <v>1962</v>
      </c>
      <c r="J5572" s="4">
        <v>29200</v>
      </c>
    </row>
    <row r="5573" spans="1:10" x14ac:dyDescent="0.75">
      <c r="A5573" t="s">
        <v>151</v>
      </c>
      <c r="B5573">
        <v>4120</v>
      </c>
      <c r="C5573" t="s">
        <v>0</v>
      </c>
      <c r="D5573">
        <v>6891</v>
      </c>
      <c r="E5573" t="s">
        <v>495</v>
      </c>
      <c r="F5573" s="4">
        <v>0</v>
      </c>
      <c r="G5573" s="4">
        <v>28497</v>
      </c>
      <c r="H5573" s="4">
        <v>25420</v>
      </c>
      <c r="I5573" s="4">
        <v>3077</v>
      </c>
      <c r="J5573" s="4">
        <v>28497</v>
      </c>
    </row>
    <row r="5574" spans="1:10" x14ac:dyDescent="0.75">
      <c r="A5574" t="s">
        <v>151</v>
      </c>
      <c r="B5574">
        <v>4120</v>
      </c>
      <c r="C5574" t="s">
        <v>0</v>
      </c>
      <c r="D5574">
        <v>6241</v>
      </c>
      <c r="E5574" t="s">
        <v>391</v>
      </c>
      <c r="F5574" s="4">
        <v>0</v>
      </c>
      <c r="G5574" s="4">
        <v>28278</v>
      </c>
      <c r="H5574" s="4">
        <v>157</v>
      </c>
      <c r="I5574" s="4">
        <v>28121</v>
      </c>
      <c r="J5574" s="4">
        <v>28278</v>
      </c>
    </row>
    <row r="5575" spans="1:10" x14ac:dyDescent="0.75">
      <c r="A5575" t="s">
        <v>151</v>
      </c>
      <c r="B5575">
        <v>4120</v>
      </c>
      <c r="C5575" t="s">
        <v>0</v>
      </c>
      <c r="D5575">
        <v>4900</v>
      </c>
      <c r="E5575" t="s">
        <v>383</v>
      </c>
      <c r="F5575" s="4">
        <v>0</v>
      </c>
      <c r="G5575" s="4">
        <v>27625</v>
      </c>
      <c r="H5575" s="4">
        <v>14089</v>
      </c>
      <c r="I5575" s="4">
        <v>13536</v>
      </c>
      <c r="J5575" s="4">
        <v>27625</v>
      </c>
    </row>
    <row r="5576" spans="1:10" x14ac:dyDescent="0.75">
      <c r="A5576" t="s">
        <v>151</v>
      </c>
      <c r="B5576">
        <v>4120</v>
      </c>
      <c r="C5576" t="s">
        <v>0</v>
      </c>
      <c r="D5576">
        <v>4783</v>
      </c>
      <c r="E5576" t="s">
        <v>382</v>
      </c>
      <c r="F5576" s="4">
        <v>0</v>
      </c>
      <c r="G5576" s="4">
        <v>25139</v>
      </c>
      <c r="H5576" s="4">
        <v>19204</v>
      </c>
      <c r="I5576" s="4">
        <v>5935</v>
      </c>
      <c r="J5576" s="4">
        <v>25139</v>
      </c>
    </row>
    <row r="5577" spans="1:10" x14ac:dyDescent="0.75">
      <c r="A5577" t="s">
        <v>151</v>
      </c>
      <c r="B5577">
        <v>4120</v>
      </c>
      <c r="C5577" t="s">
        <v>0</v>
      </c>
      <c r="D5577">
        <v>6856</v>
      </c>
      <c r="E5577" t="s">
        <v>486</v>
      </c>
      <c r="F5577" s="4">
        <v>0</v>
      </c>
      <c r="G5577" s="4">
        <v>21404</v>
      </c>
      <c r="H5577" s="4">
        <v>21139</v>
      </c>
      <c r="I5577" s="4">
        <v>265</v>
      </c>
      <c r="J5577" s="4">
        <v>21404</v>
      </c>
    </row>
    <row r="5578" spans="1:10" x14ac:dyDescent="0.75">
      <c r="A5578" t="s">
        <v>151</v>
      </c>
      <c r="B5578">
        <v>4120</v>
      </c>
      <c r="C5578" t="s">
        <v>0</v>
      </c>
      <c r="D5578">
        <v>2430</v>
      </c>
      <c r="E5578" t="s">
        <v>376</v>
      </c>
      <c r="F5578" s="4">
        <v>0</v>
      </c>
      <c r="G5578" s="4">
        <v>21372</v>
      </c>
      <c r="H5578" s="4">
        <v>249</v>
      </c>
      <c r="I5578" s="4">
        <v>21123</v>
      </c>
      <c r="J5578" s="4">
        <v>21372</v>
      </c>
    </row>
    <row r="5579" spans="1:10" x14ac:dyDescent="0.75">
      <c r="A5579" t="s">
        <v>151</v>
      </c>
      <c r="B5579">
        <v>4120</v>
      </c>
      <c r="C5579" t="s">
        <v>0</v>
      </c>
      <c r="D5579">
        <v>5429</v>
      </c>
      <c r="E5579" t="s">
        <v>429</v>
      </c>
      <c r="F5579" s="4">
        <v>0</v>
      </c>
      <c r="G5579" s="4">
        <v>20708</v>
      </c>
      <c r="H5579" s="4">
        <v>16870</v>
      </c>
      <c r="I5579" s="4">
        <v>3838</v>
      </c>
      <c r="J5579" s="4">
        <v>20708</v>
      </c>
    </row>
    <row r="5580" spans="1:10" x14ac:dyDescent="0.75">
      <c r="A5580" t="s">
        <v>151</v>
      </c>
      <c r="B5580">
        <v>4120</v>
      </c>
      <c r="C5580" t="s">
        <v>0</v>
      </c>
      <c r="D5580">
        <v>6894</v>
      </c>
      <c r="E5580" t="s">
        <v>497</v>
      </c>
      <c r="F5580" s="4">
        <v>0</v>
      </c>
      <c r="G5580" s="4">
        <v>18299</v>
      </c>
      <c r="H5580" s="4">
        <v>18230</v>
      </c>
      <c r="I5580" s="4">
        <v>69</v>
      </c>
      <c r="J5580" s="4">
        <v>18299</v>
      </c>
    </row>
    <row r="5581" spans="1:10" x14ac:dyDescent="0.75">
      <c r="A5581" t="s">
        <v>151</v>
      </c>
      <c r="B5581">
        <v>4120</v>
      </c>
      <c r="C5581" t="s">
        <v>0</v>
      </c>
      <c r="D5581">
        <v>4650</v>
      </c>
      <c r="E5581" t="s">
        <v>457</v>
      </c>
      <c r="F5581" s="4">
        <v>0</v>
      </c>
      <c r="G5581" s="4">
        <v>17083</v>
      </c>
      <c r="H5581" s="4">
        <v>6028</v>
      </c>
      <c r="I5581" s="4">
        <v>11055</v>
      </c>
      <c r="J5581" s="4">
        <v>17083</v>
      </c>
    </row>
    <row r="5582" spans="1:10" x14ac:dyDescent="0.75">
      <c r="A5582" t="s">
        <v>151</v>
      </c>
      <c r="B5582">
        <v>4120</v>
      </c>
      <c r="C5582" t="s">
        <v>0</v>
      </c>
      <c r="D5582">
        <v>7220</v>
      </c>
      <c r="E5582" t="s">
        <v>500</v>
      </c>
      <c r="F5582" s="4">
        <v>0</v>
      </c>
      <c r="G5582" s="4">
        <v>16959</v>
      </c>
      <c r="H5582" s="4">
        <v>7030</v>
      </c>
      <c r="I5582" s="4">
        <v>9929</v>
      </c>
      <c r="J5582" s="4">
        <v>16959</v>
      </c>
    </row>
    <row r="5583" spans="1:10" x14ac:dyDescent="0.75">
      <c r="A5583" t="s">
        <v>151</v>
      </c>
      <c r="B5583">
        <v>4120</v>
      </c>
      <c r="C5583" t="s">
        <v>0</v>
      </c>
      <c r="D5583">
        <v>4310</v>
      </c>
      <c r="E5583" t="s">
        <v>453</v>
      </c>
      <c r="F5583" s="4">
        <v>0</v>
      </c>
      <c r="G5583" s="4">
        <v>16414</v>
      </c>
      <c r="H5583" s="4">
        <v>16332</v>
      </c>
      <c r="I5583" s="4">
        <v>82</v>
      </c>
      <c r="J5583" s="4">
        <v>16414</v>
      </c>
    </row>
    <row r="5584" spans="1:10" x14ac:dyDescent="0.75">
      <c r="A5584" t="s">
        <v>151</v>
      </c>
      <c r="B5584">
        <v>4120</v>
      </c>
      <c r="C5584" t="s">
        <v>0</v>
      </c>
      <c r="D5584">
        <v>7300</v>
      </c>
      <c r="E5584" t="s">
        <v>501</v>
      </c>
      <c r="F5584" s="4">
        <v>0</v>
      </c>
      <c r="G5584" s="4">
        <v>15972</v>
      </c>
      <c r="H5584" s="4">
        <v>15729</v>
      </c>
      <c r="I5584" s="4">
        <v>243</v>
      </c>
      <c r="J5584" s="4">
        <v>15972</v>
      </c>
    </row>
    <row r="5585" spans="1:10" x14ac:dyDescent="0.75">
      <c r="A5585" t="s">
        <v>151</v>
      </c>
      <c r="B5585">
        <v>4120</v>
      </c>
      <c r="C5585" t="s">
        <v>0</v>
      </c>
      <c r="D5585">
        <v>2410</v>
      </c>
      <c r="E5585" t="s">
        <v>430</v>
      </c>
      <c r="F5585" s="4">
        <v>0</v>
      </c>
      <c r="G5585" s="4">
        <v>13813</v>
      </c>
      <c r="H5585" s="4">
        <v>12329</v>
      </c>
      <c r="I5585" s="4">
        <v>1484</v>
      </c>
      <c r="J5585" s="4">
        <v>13813</v>
      </c>
    </row>
    <row r="5586" spans="1:10" x14ac:dyDescent="0.75">
      <c r="A5586" t="s">
        <v>151</v>
      </c>
      <c r="B5586">
        <v>4120</v>
      </c>
      <c r="C5586" t="s">
        <v>0</v>
      </c>
      <c r="D5586">
        <v>3272</v>
      </c>
      <c r="E5586" t="s">
        <v>504</v>
      </c>
      <c r="F5586" s="4">
        <v>0</v>
      </c>
      <c r="G5586" s="4">
        <v>12556</v>
      </c>
      <c r="H5586" s="4">
        <v>12464</v>
      </c>
      <c r="I5586" s="4">
        <v>92</v>
      </c>
      <c r="J5586" s="4">
        <v>12556</v>
      </c>
    </row>
    <row r="5587" spans="1:10" x14ac:dyDescent="0.75">
      <c r="A5587" t="s">
        <v>151</v>
      </c>
      <c r="B5587">
        <v>4120</v>
      </c>
      <c r="C5587" t="s">
        <v>0</v>
      </c>
      <c r="D5587">
        <v>7230</v>
      </c>
      <c r="E5587" t="s">
        <v>387</v>
      </c>
      <c r="F5587" s="4">
        <v>0</v>
      </c>
      <c r="G5587" s="4">
        <v>10753</v>
      </c>
      <c r="H5587" s="4">
        <v>10115</v>
      </c>
      <c r="I5587" s="4">
        <v>638</v>
      </c>
      <c r="J5587" s="4">
        <v>10753</v>
      </c>
    </row>
    <row r="5588" spans="1:10" x14ac:dyDescent="0.75">
      <c r="A5588" t="s">
        <v>151</v>
      </c>
      <c r="B5588">
        <v>4120</v>
      </c>
      <c r="C5588" t="s">
        <v>0</v>
      </c>
      <c r="D5588">
        <v>3283</v>
      </c>
      <c r="E5588" t="s">
        <v>441</v>
      </c>
      <c r="F5588" s="4">
        <v>0</v>
      </c>
      <c r="G5588" s="4">
        <v>10653</v>
      </c>
      <c r="H5588" s="4">
        <v>9527</v>
      </c>
      <c r="I5588" s="4">
        <v>1126</v>
      </c>
      <c r="J5588" s="4">
        <v>10653</v>
      </c>
    </row>
    <row r="5589" spans="1:10" x14ac:dyDescent="0.75">
      <c r="A5589" t="s">
        <v>151</v>
      </c>
      <c r="B5589">
        <v>4120</v>
      </c>
      <c r="C5589" t="s">
        <v>0</v>
      </c>
      <c r="D5589">
        <v>3130</v>
      </c>
      <c r="E5589" t="s">
        <v>407</v>
      </c>
      <c r="F5589" s="4">
        <v>0</v>
      </c>
      <c r="G5589" s="4">
        <v>10568</v>
      </c>
      <c r="H5589" s="4">
        <v>1077</v>
      </c>
      <c r="I5589" s="4">
        <v>9491</v>
      </c>
      <c r="J5589" s="4">
        <v>10568</v>
      </c>
    </row>
    <row r="5590" spans="1:10" x14ac:dyDescent="0.75">
      <c r="A5590" t="s">
        <v>151</v>
      </c>
      <c r="B5590">
        <v>4120</v>
      </c>
      <c r="C5590" t="s">
        <v>0</v>
      </c>
      <c r="D5590">
        <v>6746</v>
      </c>
      <c r="E5590" t="s">
        <v>477</v>
      </c>
      <c r="F5590" s="4">
        <v>0</v>
      </c>
      <c r="G5590" s="4">
        <v>10430</v>
      </c>
      <c r="H5590" s="4">
        <v>10112</v>
      </c>
      <c r="I5590" s="4">
        <v>318</v>
      </c>
      <c r="J5590" s="4">
        <v>10430</v>
      </c>
    </row>
    <row r="5591" spans="1:10" x14ac:dyDescent="0.75">
      <c r="A5591" t="s">
        <v>151</v>
      </c>
      <c r="B5591">
        <v>4120</v>
      </c>
      <c r="C5591" t="s">
        <v>0</v>
      </c>
      <c r="D5591">
        <v>4690</v>
      </c>
      <c r="E5591" t="s">
        <v>428</v>
      </c>
      <c r="F5591" s="4">
        <v>0</v>
      </c>
      <c r="G5591" s="4">
        <v>9409</v>
      </c>
      <c r="H5591" s="4">
        <v>485</v>
      </c>
      <c r="I5591" s="4">
        <v>8924</v>
      </c>
      <c r="J5591" s="4">
        <v>9409</v>
      </c>
    </row>
    <row r="5592" spans="1:10" x14ac:dyDescent="0.75">
      <c r="A5592" t="s">
        <v>151</v>
      </c>
      <c r="B5592">
        <v>4120</v>
      </c>
      <c r="C5592" t="s">
        <v>0</v>
      </c>
      <c r="D5592">
        <v>5315</v>
      </c>
      <c r="E5592" t="s">
        <v>417</v>
      </c>
      <c r="F5592" s="4">
        <v>0</v>
      </c>
      <c r="G5592" s="4">
        <v>9123</v>
      </c>
      <c r="H5592" s="4">
        <v>911</v>
      </c>
      <c r="I5592" s="4">
        <v>8212</v>
      </c>
      <c r="J5592" s="4">
        <v>9123</v>
      </c>
    </row>
    <row r="5593" spans="1:10" x14ac:dyDescent="0.75">
      <c r="A5593" t="s">
        <v>151</v>
      </c>
      <c r="B5593">
        <v>4120</v>
      </c>
      <c r="C5593" t="s">
        <v>0</v>
      </c>
      <c r="D5593">
        <v>2640</v>
      </c>
      <c r="E5593" t="s">
        <v>431</v>
      </c>
      <c r="F5593" s="4">
        <v>0</v>
      </c>
      <c r="G5593" s="4">
        <v>8875</v>
      </c>
      <c r="H5593" s="4">
        <v>8495</v>
      </c>
      <c r="I5593" s="4">
        <v>380</v>
      </c>
      <c r="J5593" s="4">
        <v>8875</v>
      </c>
    </row>
    <row r="5594" spans="1:10" x14ac:dyDescent="0.75">
      <c r="A5594" t="s">
        <v>151</v>
      </c>
      <c r="B5594">
        <v>4120</v>
      </c>
      <c r="C5594" t="s">
        <v>0</v>
      </c>
      <c r="D5594">
        <v>6521</v>
      </c>
      <c r="E5594" t="s">
        <v>476</v>
      </c>
      <c r="F5594" s="4">
        <v>0</v>
      </c>
      <c r="G5594" s="4">
        <v>8556</v>
      </c>
      <c r="H5594" s="4">
        <v>1119</v>
      </c>
      <c r="I5594" s="4">
        <v>7437</v>
      </c>
      <c r="J5594" s="4">
        <v>8556</v>
      </c>
    </row>
    <row r="5595" spans="1:10" x14ac:dyDescent="0.75">
      <c r="A5595" t="s">
        <v>151</v>
      </c>
      <c r="B5595">
        <v>4120</v>
      </c>
      <c r="C5595" t="s">
        <v>0</v>
      </c>
      <c r="D5595">
        <v>6838</v>
      </c>
      <c r="E5595" t="s">
        <v>484</v>
      </c>
      <c r="F5595" s="4">
        <v>0</v>
      </c>
      <c r="G5595" s="4">
        <v>7229</v>
      </c>
      <c r="H5595" s="4">
        <v>5512</v>
      </c>
      <c r="I5595" s="4">
        <v>1717</v>
      </c>
      <c r="J5595" s="4">
        <v>7229</v>
      </c>
    </row>
    <row r="5596" spans="1:10" x14ac:dyDescent="0.75">
      <c r="A5596" t="s">
        <v>151</v>
      </c>
      <c r="B5596">
        <v>4120</v>
      </c>
      <c r="C5596" t="s">
        <v>0</v>
      </c>
      <c r="D5596">
        <v>5110</v>
      </c>
      <c r="E5596" t="s">
        <v>460</v>
      </c>
      <c r="F5596" s="4">
        <v>0</v>
      </c>
      <c r="G5596" s="4">
        <v>4723</v>
      </c>
      <c r="H5596" s="4">
        <v>4523</v>
      </c>
      <c r="I5596" s="4">
        <v>200</v>
      </c>
      <c r="J5596" s="4">
        <v>4723</v>
      </c>
    </row>
    <row r="5597" spans="1:10" x14ac:dyDescent="0.75">
      <c r="A5597" t="s">
        <v>151</v>
      </c>
      <c r="B5597">
        <v>4120</v>
      </c>
      <c r="C5597" t="s">
        <v>0</v>
      </c>
      <c r="D5597">
        <v>4323</v>
      </c>
      <c r="E5597" t="s">
        <v>373</v>
      </c>
      <c r="F5597" s="4">
        <v>0</v>
      </c>
      <c r="G5597" s="4">
        <v>4483</v>
      </c>
      <c r="H5597" s="4">
        <v>896</v>
      </c>
      <c r="I5597" s="4">
        <v>3587</v>
      </c>
      <c r="J5597" s="4">
        <v>4483</v>
      </c>
    </row>
    <row r="5598" spans="1:10" x14ac:dyDescent="0.75">
      <c r="A5598" t="s">
        <v>151</v>
      </c>
      <c r="B5598">
        <v>4120</v>
      </c>
      <c r="C5598" t="s">
        <v>0</v>
      </c>
      <c r="D5598">
        <v>3273</v>
      </c>
      <c r="E5598" t="s">
        <v>411</v>
      </c>
      <c r="F5598" s="4">
        <v>0</v>
      </c>
      <c r="G5598" s="4">
        <v>4345</v>
      </c>
      <c r="H5598" s="4">
        <v>883</v>
      </c>
      <c r="I5598" s="4">
        <v>3462</v>
      </c>
      <c r="J5598" s="4">
        <v>4345</v>
      </c>
    </row>
    <row r="5599" spans="1:10" x14ac:dyDescent="0.75">
      <c r="A5599" t="s">
        <v>151</v>
      </c>
      <c r="B5599">
        <v>4120</v>
      </c>
      <c r="C5599" t="s">
        <v>0</v>
      </c>
      <c r="D5599">
        <v>6872</v>
      </c>
      <c r="E5599" t="s">
        <v>492</v>
      </c>
      <c r="F5599" s="4">
        <v>0</v>
      </c>
      <c r="G5599" s="4">
        <v>3787</v>
      </c>
      <c r="H5599" s="4">
        <v>3414</v>
      </c>
      <c r="I5599" s="4">
        <v>373</v>
      </c>
      <c r="J5599" s="4">
        <v>3787</v>
      </c>
    </row>
    <row r="5600" spans="1:10" x14ac:dyDescent="0.75">
      <c r="A5600" t="s">
        <v>151</v>
      </c>
      <c r="B5600">
        <v>4120</v>
      </c>
      <c r="C5600" t="s">
        <v>0</v>
      </c>
      <c r="D5600">
        <v>4161</v>
      </c>
      <c r="E5600" t="s">
        <v>421</v>
      </c>
      <c r="F5600" s="4">
        <v>0</v>
      </c>
      <c r="G5600" s="4">
        <v>3785</v>
      </c>
      <c r="H5600" s="4">
        <v>1073</v>
      </c>
      <c r="I5600" s="4">
        <v>2712</v>
      </c>
      <c r="J5600" s="4">
        <v>3785</v>
      </c>
    </row>
    <row r="5601" spans="1:10" x14ac:dyDescent="0.75">
      <c r="A5601" t="s">
        <v>151</v>
      </c>
      <c r="B5601">
        <v>4120</v>
      </c>
      <c r="C5601" t="s">
        <v>0</v>
      </c>
      <c r="D5601">
        <v>4110</v>
      </c>
      <c r="E5601" t="s">
        <v>449</v>
      </c>
      <c r="F5601" s="4">
        <v>0</v>
      </c>
      <c r="G5601" s="4">
        <v>3032</v>
      </c>
      <c r="H5601" s="4">
        <v>2994</v>
      </c>
      <c r="I5601" s="4">
        <v>38</v>
      </c>
      <c r="J5601" s="4">
        <v>3032</v>
      </c>
    </row>
    <row r="5602" spans="1:10" x14ac:dyDescent="0.75">
      <c r="A5602" t="s">
        <v>151</v>
      </c>
      <c r="B5602">
        <v>4120</v>
      </c>
      <c r="C5602" t="s">
        <v>0</v>
      </c>
      <c r="D5602">
        <v>4150</v>
      </c>
      <c r="E5602" t="s">
        <v>450</v>
      </c>
      <c r="F5602" s="4">
        <v>0</v>
      </c>
      <c r="G5602" s="4">
        <v>2839</v>
      </c>
      <c r="H5602" s="4">
        <v>1901</v>
      </c>
      <c r="I5602" s="4">
        <v>938</v>
      </c>
      <c r="J5602" s="4">
        <v>2839</v>
      </c>
    </row>
    <row r="5603" spans="1:10" x14ac:dyDescent="0.75">
      <c r="A5603" t="s">
        <v>151</v>
      </c>
      <c r="B5603">
        <v>4120</v>
      </c>
      <c r="C5603" t="s">
        <v>0</v>
      </c>
      <c r="D5603">
        <v>4860</v>
      </c>
      <c r="E5603" t="s">
        <v>400</v>
      </c>
      <c r="F5603" s="4">
        <v>0</v>
      </c>
      <c r="G5603" s="4">
        <v>2749</v>
      </c>
      <c r="H5603" s="4">
        <v>2343</v>
      </c>
      <c r="I5603" s="4">
        <v>406</v>
      </c>
      <c r="J5603" s="4">
        <v>2749</v>
      </c>
    </row>
    <row r="5604" spans="1:10" x14ac:dyDescent="0.75">
      <c r="A5604" t="s">
        <v>151</v>
      </c>
      <c r="B5604">
        <v>4120</v>
      </c>
      <c r="C5604" t="s">
        <v>0</v>
      </c>
      <c r="D5604">
        <v>3271</v>
      </c>
      <c r="E5604" t="s">
        <v>437</v>
      </c>
      <c r="F5604" s="4">
        <v>0</v>
      </c>
      <c r="G5604" s="4">
        <v>2669</v>
      </c>
      <c r="H5604" s="4">
        <v>2562</v>
      </c>
      <c r="I5604" s="4">
        <v>107</v>
      </c>
      <c r="J5604" s="4">
        <v>2669</v>
      </c>
    </row>
    <row r="5605" spans="1:10" x14ac:dyDescent="0.75">
      <c r="A5605" t="s">
        <v>151</v>
      </c>
      <c r="B5605">
        <v>4120</v>
      </c>
      <c r="C5605" t="s">
        <v>0</v>
      </c>
      <c r="D5605">
        <v>6445</v>
      </c>
      <c r="E5605" t="s">
        <v>474</v>
      </c>
      <c r="F5605" s="4">
        <v>0</v>
      </c>
      <c r="G5605" s="4">
        <v>2554</v>
      </c>
      <c r="H5605" s="4">
        <v>863</v>
      </c>
      <c r="I5605" s="4">
        <v>1691</v>
      </c>
      <c r="J5605" s="4">
        <v>2554</v>
      </c>
    </row>
    <row r="5606" spans="1:10" x14ac:dyDescent="0.75">
      <c r="A5606" t="s">
        <v>151</v>
      </c>
      <c r="B5606">
        <v>4120</v>
      </c>
      <c r="C5606" t="s">
        <v>0</v>
      </c>
      <c r="D5606">
        <v>4741</v>
      </c>
      <c r="E5606" t="s">
        <v>425</v>
      </c>
      <c r="F5606" s="4">
        <v>0</v>
      </c>
      <c r="G5606" s="4">
        <v>2514</v>
      </c>
      <c r="H5606" s="4">
        <v>0</v>
      </c>
      <c r="I5606" s="4">
        <v>2514</v>
      </c>
      <c r="J5606" s="4">
        <v>2514</v>
      </c>
    </row>
    <row r="5607" spans="1:10" x14ac:dyDescent="0.75">
      <c r="A5607" t="s">
        <v>151</v>
      </c>
      <c r="B5607">
        <v>4120</v>
      </c>
      <c r="C5607" t="s">
        <v>0</v>
      </c>
      <c r="D5607">
        <v>1100</v>
      </c>
      <c r="E5607" t="s">
        <v>397</v>
      </c>
      <c r="F5607" s="4">
        <v>0</v>
      </c>
      <c r="G5607" s="4">
        <v>2457</v>
      </c>
      <c r="H5607" s="4">
        <v>2205</v>
      </c>
      <c r="I5607" s="4">
        <v>252</v>
      </c>
      <c r="J5607" s="4">
        <v>2457</v>
      </c>
    </row>
    <row r="5608" spans="1:10" x14ac:dyDescent="0.75">
      <c r="A5608" t="s">
        <v>151</v>
      </c>
      <c r="B5608">
        <v>4120</v>
      </c>
      <c r="C5608" t="s">
        <v>0</v>
      </c>
      <c r="D5608">
        <v>4322</v>
      </c>
      <c r="E5608" t="s">
        <v>398</v>
      </c>
      <c r="F5608" s="4">
        <v>0</v>
      </c>
      <c r="G5608" s="4">
        <v>2425</v>
      </c>
      <c r="H5608" s="4">
        <v>2192</v>
      </c>
      <c r="I5608" s="4">
        <v>233</v>
      </c>
      <c r="J5608" s="4">
        <v>2425</v>
      </c>
    </row>
    <row r="5609" spans="1:10" x14ac:dyDescent="0.75">
      <c r="A5609" t="s">
        <v>151</v>
      </c>
      <c r="B5609">
        <v>4120</v>
      </c>
      <c r="C5609" t="s">
        <v>0</v>
      </c>
      <c r="D5609">
        <v>6443</v>
      </c>
      <c r="E5609" t="s">
        <v>473</v>
      </c>
      <c r="F5609" s="4">
        <v>0</v>
      </c>
      <c r="G5609" s="4">
        <v>2410</v>
      </c>
      <c r="H5609" s="4">
        <v>170</v>
      </c>
      <c r="I5609" s="4">
        <v>2240</v>
      </c>
      <c r="J5609" s="4">
        <v>2410</v>
      </c>
    </row>
    <row r="5610" spans="1:10" x14ac:dyDescent="0.75">
      <c r="A5610" t="s">
        <v>151</v>
      </c>
      <c r="B5610">
        <v>4120</v>
      </c>
      <c r="C5610" t="s">
        <v>0</v>
      </c>
      <c r="D5610">
        <v>4515</v>
      </c>
      <c r="E5610" t="s">
        <v>455</v>
      </c>
      <c r="F5610" s="4">
        <v>0</v>
      </c>
      <c r="G5610" s="4">
        <v>1718</v>
      </c>
      <c r="H5610" s="4">
        <v>1609</v>
      </c>
      <c r="I5610" s="4">
        <v>109</v>
      </c>
      <c r="J5610" s="4">
        <v>1718</v>
      </c>
    </row>
    <row r="5611" spans="1:10" x14ac:dyDescent="0.75">
      <c r="A5611" t="s">
        <v>151</v>
      </c>
      <c r="B5611">
        <v>4120</v>
      </c>
      <c r="C5611" t="s">
        <v>0</v>
      </c>
      <c r="D5611">
        <v>3110</v>
      </c>
      <c r="E5611" t="s">
        <v>405</v>
      </c>
      <c r="F5611" s="4">
        <v>0</v>
      </c>
      <c r="G5611" s="4">
        <v>1584</v>
      </c>
      <c r="H5611" s="4">
        <v>1142</v>
      </c>
      <c r="I5611" s="4">
        <v>442</v>
      </c>
      <c r="J5611" s="4">
        <v>1584</v>
      </c>
    </row>
    <row r="5612" spans="1:10" x14ac:dyDescent="0.75">
      <c r="A5612" t="s">
        <v>151</v>
      </c>
      <c r="B5612">
        <v>4120</v>
      </c>
      <c r="C5612" t="s">
        <v>0</v>
      </c>
      <c r="D5612">
        <v>3211</v>
      </c>
      <c r="E5612" t="s">
        <v>433</v>
      </c>
      <c r="F5612" s="4">
        <v>0</v>
      </c>
      <c r="G5612" s="4">
        <v>1346</v>
      </c>
      <c r="H5612" s="4">
        <v>1100</v>
      </c>
      <c r="I5612" s="4">
        <v>246</v>
      </c>
      <c r="J5612" s="4">
        <v>1346</v>
      </c>
    </row>
    <row r="5613" spans="1:10" x14ac:dyDescent="0.75">
      <c r="A5613" t="s">
        <v>151</v>
      </c>
      <c r="B5613">
        <v>4120</v>
      </c>
      <c r="C5613" t="s">
        <v>0</v>
      </c>
      <c r="D5613">
        <v>3298</v>
      </c>
      <c r="E5613" t="s">
        <v>447</v>
      </c>
      <c r="F5613" s="4">
        <v>0</v>
      </c>
      <c r="G5613" s="4">
        <v>1101</v>
      </c>
      <c r="H5613" s="4">
        <v>612</v>
      </c>
      <c r="I5613" s="4">
        <v>489</v>
      </c>
      <c r="J5613" s="4">
        <v>1101</v>
      </c>
    </row>
    <row r="5614" spans="1:10" x14ac:dyDescent="0.75">
      <c r="A5614" t="s">
        <v>151</v>
      </c>
      <c r="B5614">
        <v>4120</v>
      </c>
      <c r="C5614" t="s">
        <v>0</v>
      </c>
      <c r="D5614">
        <v>6865</v>
      </c>
      <c r="E5614" t="s">
        <v>490</v>
      </c>
      <c r="F5614" s="4">
        <v>0</v>
      </c>
      <c r="G5614" s="4">
        <v>705</v>
      </c>
      <c r="H5614" s="4">
        <v>590</v>
      </c>
      <c r="I5614" s="4">
        <v>115</v>
      </c>
      <c r="J5614" s="4">
        <v>705</v>
      </c>
    </row>
    <row r="5615" spans="1:10" x14ac:dyDescent="0.75">
      <c r="A5615" t="s">
        <v>151</v>
      </c>
      <c r="B5615">
        <v>4120</v>
      </c>
      <c r="C5615" t="s">
        <v>0</v>
      </c>
      <c r="D5615">
        <v>3212</v>
      </c>
      <c r="E5615" t="s">
        <v>409</v>
      </c>
      <c r="F5615" s="4">
        <v>0</v>
      </c>
      <c r="G5615" s="4">
        <v>217</v>
      </c>
      <c r="H5615" s="4">
        <v>58</v>
      </c>
      <c r="I5615" s="4">
        <v>159</v>
      </c>
      <c r="J5615" s="4">
        <v>217</v>
      </c>
    </row>
    <row r="5616" spans="1:10" x14ac:dyDescent="0.75">
      <c r="A5616" t="s">
        <v>151</v>
      </c>
      <c r="B5616">
        <v>4120</v>
      </c>
      <c r="C5616" t="s">
        <v>0</v>
      </c>
      <c r="D5616">
        <v>8900</v>
      </c>
      <c r="E5616" t="s">
        <v>506</v>
      </c>
      <c r="F5616" s="4">
        <v>180</v>
      </c>
      <c r="G5616" s="4">
        <v>0</v>
      </c>
      <c r="H5616" s="4">
        <v>0</v>
      </c>
      <c r="I5616" s="4">
        <v>0</v>
      </c>
      <c r="J5616" s="4">
        <v>180</v>
      </c>
    </row>
    <row r="5617" spans="1:10" x14ac:dyDescent="0.75">
      <c r="A5617" t="s">
        <v>151</v>
      </c>
      <c r="B5617">
        <v>4120</v>
      </c>
      <c r="C5617" t="s">
        <v>0</v>
      </c>
      <c r="D5617">
        <v>3120</v>
      </c>
      <c r="E5617" t="s">
        <v>406</v>
      </c>
      <c r="F5617" s="4">
        <v>0</v>
      </c>
      <c r="G5617" s="4">
        <v>160</v>
      </c>
      <c r="H5617" s="4">
        <v>85</v>
      </c>
      <c r="I5617" s="4">
        <v>75</v>
      </c>
      <c r="J5617" s="4">
        <v>160</v>
      </c>
    </row>
    <row r="5618" spans="1:10" x14ac:dyDescent="0.75">
      <c r="A5618" t="s">
        <v>151</v>
      </c>
      <c r="B5618">
        <v>4120</v>
      </c>
      <c r="C5618" t="s">
        <v>0</v>
      </c>
      <c r="D5618">
        <v>6534</v>
      </c>
      <c r="E5618" t="s">
        <v>508</v>
      </c>
      <c r="F5618" s="4">
        <v>0</v>
      </c>
      <c r="G5618" s="4">
        <v>151</v>
      </c>
      <c r="H5618" s="4">
        <v>151</v>
      </c>
      <c r="I5618" s="4">
        <v>0</v>
      </c>
      <c r="J5618" s="4">
        <v>151</v>
      </c>
    </row>
    <row r="5619" spans="1:10" x14ac:dyDescent="0.75">
      <c r="A5619" t="s">
        <v>151</v>
      </c>
      <c r="B5619">
        <v>4120</v>
      </c>
      <c r="C5619" t="s">
        <v>0</v>
      </c>
      <c r="D5619">
        <v>4630</v>
      </c>
      <c r="E5619" t="s">
        <v>456</v>
      </c>
      <c r="F5619" s="4">
        <v>0</v>
      </c>
      <c r="G5619" s="4">
        <v>81</v>
      </c>
      <c r="H5619" s="4">
        <v>22</v>
      </c>
      <c r="I5619" s="4">
        <v>59</v>
      </c>
      <c r="J5619" s="4">
        <v>81</v>
      </c>
    </row>
    <row r="5620" spans="1:10" x14ac:dyDescent="0.75">
      <c r="A5620" t="s">
        <v>151</v>
      </c>
      <c r="B5620">
        <v>4120</v>
      </c>
      <c r="C5620" t="s">
        <v>0</v>
      </c>
      <c r="D5620">
        <v>4670</v>
      </c>
      <c r="E5620" t="s">
        <v>458</v>
      </c>
      <c r="F5620" s="4">
        <v>0</v>
      </c>
      <c r="G5620" s="4">
        <v>51</v>
      </c>
      <c r="H5620" s="4">
        <v>51</v>
      </c>
      <c r="I5620" s="4">
        <v>0</v>
      </c>
      <c r="J5620" s="4">
        <v>51</v>
      </c>
    </row>
    <row r="5621" spans="1:10" x14ac:dyDescent="0.75">
      <c r="A5621" t="s">
        <v>151</v>
      </c>
      <c r="B5621">
        <v>4120</v>
      </c>
      <c r="C5621" t="s">
        <v>0</v>
      </c>
      <c r="D5621">
        <v>2990</v>
      </c>
      <c r="E5621" t="s">
        <v>432</v>
      </c>
      <c r="F5621" s="4">
        <v>0</v>
      </c>
      <c r="G5621" s="4">
        <v>38</v>
      </c>
      <c r="H5621" s="4">
        <v>38</v>
      </c>
      <c r="I5621" s="4">
        <v>0</v>
      </c>
      <c r="J5621" s="4">
        <v>38</v>
      </c>
    </row>
    <row r="5622" spans="1:10" x14ac:dyDescent="0.75">
      <c r="A5622" t="s">
        <v>151</v>
      </c>
      <c r="B5622">
        <v>4120</v>
      </c>
      <c r="C5622" t="s">
        <v>0</v>
      </c>
      <c r="D5622">
        <v>5210</v>
      </c>
      <c r="E5622" t="s">
        <v>463</v>
      </c>
      <c r="F5622" s="4">
        <v>0</v>
      </c>
      <c r="G5622" s="4">
        <v>34</v>
      </c>
      <c r="H5622" s="4">
        <v>14</v>
      </c>
      <c r="I5622" s="4">
        <v>20</v>
      </c>
      <c r="J5622" s="4">
        <v>34</v>
      </c>
    </row>
    <row r="5623" spans="1:10" x14ac:dyDescent="0.75">
      <c r="A5623" t="s">
        <v>151</v>
      </c>
      <c r="B5623">
        <v>4120</v>
      </c>
      <c r="C5623" t="s">
        <v>0</v>
      </c>
      <c r="D5623">
        <v>1200</v>
      </c>
      <c r="E5623" t="s">
        <v>402</v>
      </c>
      <c r="F5623" s="4">
        <v>0</v>
      </c>
      <c r="G5623" s="4">
        <v>26</v>
      </c>
      <c r="H5623" s="4">
        <v>14</v>
      </c>
      <c r="I5623" s="4">
        <v>12</v>
      </c>
      <c r="J5623" s="4">
        <v>26</v>
      </c>
    </row>
    <row r="5624" spans="1:10" x14ac:dyDescent="0.75">
      <c r="A5624" t="s">
        <v>151</v>
      </c>
      <c r="B5624">
        <v>4344</v>
      </c>
      <c r="C5624" t="s">
        <v>13</v>
      </c>
      <c r="D5624">
        <v>7900</v>
      </c>
      <c r="E5624" t="s">
        <v>388</v>
      </c>
      <c r="F5624" s="4">
        <v>261287</v>
      </c>
      <c r="G5624" s="4">
        <v>1682480</v>
      </c>
      <c r="H5624" s="4">
        <v>1489581</v>
      </c>
      <c r="I5624" s="4">
        <v>192899</v>
      </c>
      <c r="J5624" s="4">
        <v>1943767</v>
      </c>
    </row>
    <row r="5625" spans="1:10" x14ac:dyDescent="0.75">
      <c r="A5625" t="s">
        <v>151</v>
      </c>
      <c r="B5625">
        <v>4344</v>
      </c>
      <c r="C5625" t="s">
        <v>13</v>
      </c>
      <c r="D5625">
        <v>4225</v>
      </c>
      <c r="E5625" t="s">
        <v>380</v>
      </c>
      <c r="F5625" s="4">
        <v>305</v>
      </c>
      <c r="G5625" s="4">
        <v>1640920</v>
      </c>
      <c r="H5625" s="4">
        <v>16216</v>
      </c>
      <c r="I5625" s="4">
        <v>1624704</v>
      </c>
      <c r="J5625" s="4">
        <v>1641225</v>
      </c>
    </row>
    <row r="5626" spans="1:10" x14ac:dyDescent="0.75">
      <c r="A5626" t="s">
        <v>151</v>
      </c>
      <c r="B5626">
        <v>4344</v>
      </c>
      <c r="C5626" t="s">
        <v>13</v>
      </c>
      <c r="D5626">
        <v>6857</v>
      </c>
      <c r="E5626" t="s">
        <v>487</v>
      </c>
      <c r="F5626" s="4">
        <v>379</v>
      </c>
      <c r="G5626" s="4">
        <v>1578471</v>
      </c>
      <c r="H5626" s="4">
        <v>80196</v>
      </c>
      <c r="I5626" s="4">
        <v>1498275</v>
      </c>
      <c r="J5626" s="4">
        <v>1578850</v>
      </c>
    </row>
    <row r="5627" spans="1:10" x14ac:dyDescent="0.75">
      <c r="A5627" t="s">
        <v>151</v>
      </c>
      <c r="B5627">
        <v>4344</v>
      </c>
      <c r="C5627" t="s">
        <v>13</v>
      </c>
      <c r="D5627">
        <v>4420</v>
      </c>
      <c r="E5627" t="s">
        <v>381</v>
      </c>
      <c r="F5627" s="4">
        <v>3701</v>
      </c>
      <c r="G5627" s="4">
        <v>1153899</v>
      </c>
      <c r="H5627" s="4">
        <v>917</v>
      </c>
      <c r="I5627" s="4">
        <v>1152982</v>
      </c>
      <c r="J5627" s="4">
        <v>1157600</v>
      </c>
    </row>
    <row r="5628" spans="1:10" x14ac:dyDescent="0.75">
      <c r="A5628" t="s">
        <v>151</v>
      </c>
      <c r="B5628">
        <v>4344</v>
      </c>
      <c r="C5628" t="s">
        <v>13</v>
      </c>
      <c r="D5628">
        <v>6885</v>
      </c>
      <c r="E5628" t="s">
        <v>493</v>
      </c>
      <c r="F5628" s="4">
        <v>26541</v>
      </c>
      <c r="G5628" s="4">
        <v>1012248</v>
      </c>
      <c r="H5628" s="4">
        <v>679150</v>
      </c>
      <c r="I5628" s="4">
        <v>333098</v>
      </c>
      <c r="J5628" s="4">
        <v>1038789</v>
      </c>
    </row>
    <row r="5629" spans="1:10" x14ac:dyDescent="0.75">
      <c r="A5629" t="s">
        <v>151</v>
      </c>
      <c r="B5629">
        <v>4344</v>
      </c>
      <c r="C5629" t="s">
        <v>13</v>
      </c>
      <c r="D5629">
        <v>6811</v>
      </c>
      <c r="E5629" t="s">
        <v>480</v>
      </c>
      <c r="F5629" s="4">
        <v>28179</v>
      </c>
      <c r="G5629" s="4">
        <v>979721</v>
      </c>
      <c r="H5629" s="4">
        <v>76584</v>
      </c>
      <c r="I5629" s="4">
        <v>903137</v>
      </c>
      <c r="J5629" s="4">
        <v>1007900</v>
      </c>
    </row>
    <row r="5630" spans="1:10" x14ac:dyDescent="0.75">
      <c r="A5630" t="s">
        <v>151</v>
      </c>
      <c r="B5630">
        <v>4344</v>
      </c>
      <c r="C5630" t="s">
        <v>13</v>
      </c>
      <c r="D5630">
        <v>6654</v>
      </c>
      <c r="E5630" t="s">
        <v>419</v>
      </c>
      <c r="F5630" s="4">
        <v>12084</v>
      </c>
      <c r="G5630" s="4">
        <v>665261</v>
      </c>
      <c r="H5630" s="4">
        <v>240943</v>
      </c>
      <c r="I5630" s="4">
        <v>424318</v>
      </c>
      <c r="J5630" s="4">
        <v>677345</v>
      </c>
    </row>
    <row r="5631" spans="1:10" x14ac:dyDescent="0.75">
      <c r="A5631" t="s">
        <v>151</v>
      </c>
      <c r="B5631">
        <v>4344</v>
      </c>
      <c r="C5631" t="s">
        <v>13</v>
      </c>
      <c r="D5631">
        <v>7600</v>
      </c>
      <c r="E5631" t="s">
        <v>503</v>
      </c>
      <c r="F5631" s="4">
        <v>92</v>
      </c>
      <c r="G5631" s="4">
        <v>634718</v>
      </c>
      <c r="H5631" s="4">
        <v>588619</v>
      </c>
      <c r="I5631" s="4">
        <v>46099</v>
      </c>
      <c r="J5631" s="4">
        <v>634810</v>
      </c>
    </row>
    <row r="5632" spans="1:10" x14ac:dyDescent="0.75">
      <c r="A5632" t="s">
        <v>151</v>
      </c>
      <c r="B5632">
        <v>4344</v>
      </c>
      <c r="C5632" t="s">
        <v>13</v>
      </c>
      <c r="D5632">
        <v>7120</v>
      </c>
      <c r="E5632" t="s">
        <v>499</v>
      </c>
      <c r="F5632" s="4">
        <v>1568</v>
      </c>
      <c r="G5632" s="4">
        <v>593294</v>
      </c>
      <c r="H5632" s="4">
        <v>553914</v>
      </c>
      <c r="I5632" s="4">
        <v>39380</v>
      </c>
      <c r="J5632" s="4">
        <v>594862</v>
      </c>
    </row>
    <row r="5633" spans="1:10" x14ac:dyDescent="0.75">
      <c r="A5633" t="s">
        <v>151</v>
      </c>
      <c r="B5633">
        <v>4344</v>
      </c>
      <c r="C5633" t="s">
        <v>13</v>
      </c>
      <c r="D5633">
        <v>5480</v>
      </c>
      <c r="E5633" t="s">
        <v>386</v>
      </c>
      <c r="F5633" s="4">
        <v>356</v>
      </c>
      <c r="G5633" s="4">
        <v>522507</v>
      </c>
      <c r="H5633" s="4">
        <v>505788</v>
      </c>
      <c r="I5633" s="4">
        <v>16719</v>
      </c>
      <c r="J5633" s="4">
        <v>522863</v>
      </c>
    </row>
    <row r="5634" spans="1:10" x14ac:dyDescent="0.75">
      <c r="A5634" t="s">
        <v>151</v>
      </c>
      <c r="B5634">
        <v>4344</v>
      </c>
      <c r="C5634" t="s">
        <v>13</v>
      </c>
      <c r="D5634">
        <v>6889</v>
      </c>
      <c r="E5634" t="s">
        <v>420</v>
      </c>
      <c r="F5634" s="4">
        <v>84450</v>
      </c>
      <c r="G5634" s="4">
        <v>406272</v>
      </c>
      <c r="H5634" s="4">
        <v>210395</v>
      </c>
      <c r="I5634" s="4">
        <v>195877</v>
      </c>
      <c r="J5634" s="4">
        <v>490722</v>
      </c>
    </row>
    <row r="5635" spans="1:10" x14ac:dyDescent="0.75">
      <c r="A5635" t="s">
        <v>151</v>
      </c>
      <c r="B5635">
        <v>4344</v>
      </c>
      <c r="C5635" t="s">
        <v>13</v>
      </c>
      <c r="D5635">
        <v>7500</v>
      </c>
      <c r="E5635" t="s">
        <v>427</v>
      </c>
      <c r="F5635" s="4">
        <v>0</v>
      </c>
      <c r="G5635" s="4">
        <v>485715</v>
      </c>
      <c r="H5635" s="4">
        <v>423297</v>
      </c>
      <c r="I5635" s="4">
        <v>62418</v>
      </c>
      <c r="J5635" s="4">
        <v>485715</v>
      </c>
    </row>
    <row r="5636" spans="1:10" x14ac:dyDescent="0.75">
      <c r="A5636" t="s">
        <v>151</v>
      </c>
      <c r="B5636">
        <v>4344</v>
      </c>
      <c r="C5636" t="s">
        <v>13</v>
      </c>
      <c r="D5636">
        <v>7110</v>
      </c>
      <c r="E5636" t="s">
        <v>371</v>
      </c>
      <c r="F5636" s="4">
        <v>14449</v>
      </c>
      <c r="G5636" s="4">
        <v>414489</v>
      </c>
      <c r="H5636" s="4">
        <v>378086</v>
      </c>
      <c r="I5636" s="4">
        <v>36403</v>
      </c>
      <c r="J5636" s="4">
        <v>428938</v>
      </c>
    </row>
    <row r="5637" spans="1:10" x14ac:dyDescent="0.75">
      <c r="A5637" t="s">
        <v>151</v>
      </c>
      <c r="B5637">
        <v>4344</v>
      </c>
      <c r="C5637" t="s">
        <v>13</v>
      </c>
      <c r="D5637">
        <v>6822</v>
      </c>
      <c r="E5637" t="s">
        <v>482</v>
      </c>
      <c r="F5637" s="4">
        <v>0</v>
      </c>
      <c r="G5637" s="4">
        <v>420299</v>
      </c>
      <c r="H5637" s="4">
        <v>15812</v>
      </c>
      <c r="I5637" s="4">
        <v>404487</v>
      </c>
      <c r="J5637" s="4">
        <v>420299</v>
      </c>
    </row>
    <row r="5638" spans="1:10" x14ac:dyDescent="0.75">
      <c r="A5638" t="s">
        <v>151</v>
      </c>
      <c r="B5638">
        <v>4344</v>
      </c>
      <c r="C5638" t="s">
        <v>13</v>
      </c>
      <c r="D5638">
        <v>5240</v>
      </c>
      <c r="E5638" t="s">
        <v>464</v>
      </c>
      <c r="F5638" s="4">
        <v>0</v>
      </c>
      <c r="G5638" s="4">
        <v>395529</v>
      </c>
      <c r="H5638" s="4">
        <v>389014</v>
      </c>
      <c r="I5638" s="4">
        <v>6515</v>
      </c>
      <c r="J5638" s="4">
        <v>395529</v>
      </c>
    </row>
    <row r="5639" spans="1:10" x14ac:dyDescent="0.75">
      <c r="A5639" t="s">
        <v>151</v>
      </c>
      <c r="B5639">
        <v>4344</v>
      </c>
      <c r="C5639" t="s">
        <v>13</v>
      </c>
      <c r="D5639">
        <v>6782</v>
      </c>
      <c r="E5639" t="s">
        <v>396</v>
      </c>
      <c r="F5639" s="4">
        <v>8613</v>
      </c>
      <c r="G5639" s="4">
        <v>382303</v>
      </c>
      <c r="H5639" s="4">
        <v>178117</v>
      </c>
      <c r="I5639" s="4">
        <v>204186</v>
      </c>
      <c r="J5639" s="4">
        <v>390916</v>
      </c>
    </row>
    <row r="5640" spans="1:10" x14ac:dyDescent="0.75">
      <c r="A5640" t="s">
        <v>151</v>
      </c>
      <c r="B5640">
        <v>4344</v>
      </c>
      <c r="C5640" t="s">
        <v>13</v>
      </c>
      <c r="D5640">
        <v>7210</v>
      </c>
      <c r="E5640" t="s">
        <v>426</v>
      </c>
      <c r="F5640" s="4">
        <v>25698</v>
      </c>
      <c r="G5640" s="4">
        <v>343399</v>
      </c>
      <c r="H5640" s="4">
        <v>277238</v>
      </c>
      <c r="I5640" s="4">
        <v>66161</v>
      </c>
      <c r="J5640" s="4">
        <v>369097</v>
      </c>
    </row>
    <row r="5641" spans="1:10" x14ac:dyDescent="0.75">
      <c r="A5641" t="s">
        <v>151</v>
      </c>
      <c r="B5641">
        <v>4344</v>
      </c>
      <c r="C5641" t="s">
        <v>13</v>
      </c>
      <c r="D5641">
        <v>6781</v>
      </c>
      <c r="E5641" t="s">
        <v>479</v>
      </c>
      <c r="F5641" s="4">
        <v>14570</v>
      </c>
      <c r="G5641" s="4">
        <v>345442</v>
      </c>
      <c r="H5641" s="4">
        <v>477</v>
      </c>
      <c r="I5641" s="4">
        <v>344965</v>
      </c>
      <c r="J5641" s="4">
        <v>360012</v>
      </c>
    </row>
    <row r="5642" spans="1:10" x14ac:dyDescent="0.75">
      <c r="A5642" t="s">
        <v>151</v>
      </c>
      <c r="B5642">
        <v>4344</v>
      </c>
      <c r="C5642" t="s">
        <v>13</v>
      </c>
      <c r="D5642">
        <v>6442</v>
      </c>
      <c r="E5642" t="s">
        <v>472</v>
      </c>
      <c r="F5642" s="4">
        <v>19224</v>
      </c>
      <c r="G5642" s="4">
        <v>339410</v>
      </c>
      <c r="H5642" s="4">
        <v>79109</v>
      </c>
      <c r="I5642" s="4">
        <v>260301</v>
      </c>
      <c r="J5642" s="4">
        <v>358634</v>
      </c>
    </row>
    <row r="5643" spans="1:10" x14ac:dyDescent="0.75">
      <c r="A5643" t="s">
        <v>151</v>
      </c>
      <c r="B5643">
        <v>4344</v>
      </c>
      <c r="C5643" t="s">
        <v>13</v>
      </c>
      <c r="D5643">
        <v>5290</v>
      </c>
      <c r="E5643" t="s">
        <v>415</v>
      </c>
      <c r="F5643" s="4">
        <v>0</v>
      </c>
      <c r="G5643" s="4">
        <v>317697</v>
      </c>
      <c r="H5643" s="4">
        <v>306276</v>
      </c>
      <c r="I5643" s="4">
        <v>11421</v>
      </c>
      <c r="J5643" s="4">
        <v>317697</v>
      </c>
    </row>
    <row r="5644" spans="1:10" x14ac:dyDescent="0.75">
      <c r="A5644" t="s">
        <v>151</v>
      </c>
      <c r="B5644">
        <v>4344</v>
      </c>
      <c r="C5644" t="s">
        <v>13</v>
      </c>
      <c r="D5644">
        <v>4680</v>
      </c>
      <c r="E5644" t="s">
        <v>459</v>
      </c>
      <c r="F5644" s="4">
        <v>0</v>
      </c>
      <c r="G5644" s="4">
        <v>301775</v>
      </c>
      <c r="H5644" s="4">
        <v>796</v>
      </c>
      <c r="I5644" s="4">
        <v>300979</v>
      </c>
      <c r="J5644" s="4">
        <v>301775</v>
      </c>
    </row>
    <row r="5645" spans="1:10" x14ac:dyDescent="0.75">
      <c r="A5645" t="s">
        <v>151</v>
      </c>
      <c r="B5645">
        <v>4344</v>
      </c>
      <c r="C5645" t="s">
        <v>13</v>
      </c>
      <c r="D5645">
        <v>6858</v>
      </c>
      <c r="E5645" t="s">
        <v>488</v>
      </c>
      <c r="F5645" s="4">
        <v>0</v>
      </c>
      <c r="G5645" s="4">
        <v>250892</v>
      </c>
      <c r="H5645" s="4">
        <v>200460</v>
      </c>
      <c r="I5645" s="4">
        <v>50432</v>
      </c>
      <c r="J5645" s="4">
        <v>250892</v>
      </c>
    </row>
    <row r="5646" spans="1:10" x14ac:dyDescent="0.75">
      <c r="A5646" t="s">
        <v>151</v>
      </c>
      <c r="B5646">
        <v>4344</v>
      </c>
      <c r="C5646" t="s">
        <v>13</v>
      </c>
      <c r="D5646">
        <v>3286</v>
      </c>
      <c r="E5646" t="s">
        <v>423</v>
      </c>
      <c r="F5646" s="4">
        <v>26</v>
      </c>
      <c r="G5646" s="4">
        <v>225365</v>
      </c>
      <c r="H5646" s="4">
        <v>161915</v>
      </c>
      <c r="I5646" s="4">
        <v>63450</v>
      </c>
      <c r="J5646" s="4">
        <v>225391</v>
      </c>
    </row>
    <row r="5647" spans="1:10" x14ac:dyDescent="0.75">
      <c r="A5647" t="s">
        <v>151</v>
      </c>
      <c r="B5647">
        <v>4344</v>
      </c>
      <c r="C5647" t="s">
        <v>13</v>
      </c>
      <c r="D5647">
        <v>6888</v>
      </c>
      <c r="E5647" t="s">
        <v>494</v>
      </c>
      <c r="F5647" s="4">
        <v>0</v>
      </c>
      <c r="G5647" s="4">
        <v>176930</v>
      </c>
      <c r="H5647" s="4">
        <v>68554</v>
      </c>
      <c r="I5647" s="4">
        <v>108376</v>
      </c>
      <c r="J5647" s="4">
        <v>176930</v>
      </c>
    </row>
    <row r="5648" spans="1:10" x14ac:dyDescent="0.75">
      <c r="A5648" t="s">
        <v>151</v>
      </c>
      <c r="B5648">
        <v>4344</v>
      </c>
      <c r="C5648" t="s">
        <v>13</v>
      </c>
      <c r="D5648">
        <v>7400</v>
      </c>
      <c r="E5648" t="s">
        <v>502</v>
      </c>
      <c r="F5648" s="4">
        <v>51612</v>
      </c>
      <c r="G5648" s="4">
        <v>120024</v>
      </c>
      <c r="H5648" s="4">
        <v>116659</v>
      </c>
      <c r="I5648" s="4">
        <v>3365</v>
      </c>
      <c r="J5648" s="4">
        <v>171636</v>
      </c>
    </row>
    <row r="5649" spans="1:10" x14ac:dyDescent="0.75">
      <c r="A5649" t="s">
        <v>151</v>
      </c>
      <c r="B5649">
        <v>4344</v>
      </c>
      <c r="C5649" t="s">
        <v>13</v>
      </c>
      <c r="D5649">
        <v>6871</v>
      </c>
      <c r="E5649" t="s">
        <v>491</v>
      </c>
      <c r="F5649" s="4">
        <v>2451</v>
      </c>
      <c r="G5649" s="4">
        <v>164149</v>
      </c>
      <c r="H5649" s="4">
        <v>157440</v>
      </c>
      <c r="I5649" s="4">
        <v>6709</v>
      </c>
      <c r="J5649" s="4">
        <v>166600</v>
      </c>
    </row>
    <row r="5650" spans="1:10" x14ac:dyDescent="0.75">
      <c r="A5650" t="s">
        <v>151</v>
      </c>
      <c r="B5650">
        <v>4344</v>
      </c>
      <c r="C5650" t="s">
        <v>13</v>
      </c>
      <c r="D5650">
        <v>9900</v>
      </c>
      <c r="E5650" t="s">
        <v>389</v>
      </c>
      <c r="F5650" s="4">
        <v>0</v>
      </c>
      <c r="G5650" s="4">
        <v>153412</v>
      </c>
      <c r="H5650" s="4">
        <v>66543</v>
      </c>
      <c r="I5650" s="4">
        <v>86869</v>
      </c>
      <c r="J5650" s="4">
        <v>153412</v>
      </c>
    </row>
    <row r="5651" spans="1:10" x14ac:dyDescent="0.75">
      <c r="A5651" t="s">
        <v>151</v>
      </c>
      <c r="B5651">
        <v>4344</v>
      </c>
      <c r="C5651" t="s">
        <v>13</v>
      </c>
      <c r="D5651">
        <v>5540</v>
      </c>
      <c r="E5651" t="s">
        <v>469</v>
      </c>
      <c r="F5651" s="4">
        <v>34</v>
      </c>
      <c r="G5651" s="4">
        <v>138633</v>
      </c>
      <c r="H5651" s="4">
        <v>135817</v>
      </c>
      <c r="I5651" s="4">
        <v>2816</v>
      </c>
      <c r="J5651" s="4">
        <v>138667</v>
      </c>
    </row>
    <row r="5652" spans="1:10" x14ac:dyDescent="0.75">
      <c r="A5652" t="s">
        <v>151</v>
      </c>
      <c r="B5652">
        <v>4344</v>
      </c>
      <c r="C5652" t="s">
        <v>13</v>
      </c>
      <c r="D5652">
        <v>4189</v>
      </c>
      <c r="E5652" t="s">
        <v>451</v>
      </c>
      <c r="F5652" s="4">
        <v>5076</v>
      </c>
      <c r="G5652" s="4">
        <v>114602</v>
      </c>
      <c r="H5652" s="4">
        <v>99913</v>
      </c>
      <c r="I5652" s="4">
        <v>14689</v>
      </c>
      <c r="J5652" s="4">
        <v>119678</v>
      </c>
    </row>
    <row r="5653" spans="1:10" x14ac:dyDescent="0.75">
      <c r="A5653" t="s">
        <v>151</v>
      </c>
      <c r="B5653">
        <v>4344</v>
      </c>
      <c r="C5653" t="s">
        <v>13</v>
      </c>
      <c r="D5653">
        <v>5190</v>
      </c>
      <c r="E5653" t="s">
        <v>462</v>
      </c>
      <c r="F5653" s="4">
        <v>515</v>
      </c>
      <c r="G5653" s="4">
        <v>119029</v>
      </c>
      <c r="H5653" s="4">
        <v>115673</v>
      </c>
      <c r="I5653" s="4">
        <v>3356</v>
      </c>
      <c r="J5653" s="4">
        <v>119544</v>
      </c>
    </row>
    <row r="5654" spans="1:10" x14ac:dyDescent="0.75">
      <c r="A5654" t="s">
        <v>151</v>
      </c>
      <c r="B5654">
        <v>4344</v>
      </c>
      <c r="C5654" t="s">
        <v>13</v>
      </c>
      <c r="D5654">
        <v>6747</v>
      </c>
      <c r="E5654" t="s">
        <v>478</v>
      </c>
      <c r="F5654" s="4">
        <v>7409</v>
      </c>
      <c r="G5654" s="4">
        <v>111967</v>
      </c>
      <c r="H5654" s="4">
        <v>65732</v>
      </c>
      <c r="I5654" s="4">
        <v>46235</v>
      </c>
      <c r="J5654" s="4">
        <v>119376</v>
      </c>
    </row>
    <row r="5655" spans="1:10" x14ac:dyDescent="0.75">
      <c r="A5655" t="s">
        <v>151</v>
      </c>
      <c r="B5655">
        <v>4344</v>
      </c>
      <c r="C5655" t="s">
        <v>13</v>
      </c>
      <c r="D5655">
        <v>5120</v>
      </c>
      <c r="E5655" t="s">
        <v>461</v>
      </c>
      <c r="F5655" s="4">
        <v>0</v>
      </c>
      <c r="G5655" s="4">
        <v>117947</v>
      </c>
      <c r="H5655" s="4">
        <v>104980</v>
      </c>
      <c r="I5655" s="4">
        <v>12967</v>
      </c>
      <c r="J5655" s="4">
        <v>117947</v>
      </c>
    </row>
    <row r="5656" spans="1:10" x14ac:dyDescent="0.75">
      <c r="A5656" t="s">
        <v>151</v>
      </c>
      <c r="B5656">
        <v>4344</v>
      </c>
      <c r="C5656" t="s">
        <v>13</v>
      </c>
      <c r="D5656">
        <v>3276</v>
      </c>
      <c r="E5656" t="s">
        <v>379</v>
      </c>
      <c r="F5656" s="4">
        <v>24</v>
      </c>
      <c r="G5656" s="4">
        <v>109487</v>
      </c>
      <c r="H5656" s="4">
        <v>59456</v>
      </c>
      <c r="I5656" s="4">
        <v>50031</v>
      </c>
      <c r="J5656" s="4">
        <v>109511</v>
      </c>
    </row>
    <row r="5657" spans="1:10" x14ac:dyDescent="0.75">
      <c r="A5657" t="s">
        <v>151</v>
      </c>
      <c r="B5657">
        <v>4344</v>
      </c>
      <c r="C5657" t="s">
        <v>13</v>
      </c>
      <c r="D5657">
        <v>6653</v>
      </c>
      <c r="E5657" t="s">
        <v>395</v>
      </c>
      <c r="F5657" s="4">
        <v>0</v>
      </c>
      <c r="G5657" s="4">
        <v>107246</v>
      </c>
      <c r="H5657" s="4">
        <v>95116</v>
      </c>
      <c r="I5657" s="4">
        <v>12130</v>
      </c>
      <c r="J5657" s="4">
        <v>107246</v>
      </c>
    </row>
    <row r="5658" spans="1:10" x14ac:dyDescent="0.75">
      <c r="A5658" t="s">
        <v>151</v>
      </c>
      <c r="B5658">
        <v>4344</v>
      </c>
      <c r="C5658" t="s">
        <v>13</v>
      </c>
      <c r="D5658">
        <v>6522</v>
      </c>
      <c r="E5658" t="s">
        <v>393</v>
      </c>
      <c r="F5658" s="4">
        <v>0</v>
      </c>
      <c r="G5658" s="4">
        <v>106334</v>
      </c>
      <c r="H5658" s="4">
        <v>13601</v>
      </c>
      <c r="I5658" s="4">
        <v>92733</v>
      </c>
      <c r="J5658" s="4">
        <v>106334</v>
      </c>
    </row>
    <row r="5659" spans="1:10" x14ac:dyDescent="0.75">
      <c r="A5659" t="s">
        <v>151</v>
      </c>
      <c r="B5659">
        <v>4344</v>
      </c>
      <c r="C5659" t="s">
        <v>13</v>
      </c>
      <c r="D5659">
        <v>4331</v>
      </c>
      <c r="E5659" t="s">
        <v>390</v>
      </c>
      <c r="F5659" s="4">
        <v>94121</v>
      </c>
      <c r="G5659" s="4">
        <v>3483</v>
      </c>
      <c r="H5659" s="4">
        <v>2587</v>
      </c>
      <c r="I5659" s="4">
        <v>896</v>
      </c>
      <c r="J5659" s="4">
        <v>97604</v>
      </c>
    </row>
    <row r="5660" spans="1:10" x14ac:dyDescent="0.75">
      <c r="A5660" t="s">
        <v>151</v>
      </c>
      <c r="B5660">
        <v>4344</v>
      </c>
      <c r="C5660" t="s">
        <v>13</v>
      </c>
      <c r="D5660">
        <v>3299</v>
      </c>
      <c r="E5660" t="s">
        <v>448</v>
      </c>
      <c r="F5660" s="4">
        <v>2578</v>
      </c>
      <c r="G5660" s="4">
        <v>93376</v>
      </c>
      <c r="H5660" s="4">
        <v>37896</v>
      </c>
      <c r="I5660" s="4">
        <v>55480</v>
      </c>
      <c r="J5660" s="4">
        <v>95954</v>
      </c>
    </row>
    <row r="5661" spans="1:10" x14ac:dyDescent="0.75">
      <c r="A5661" t="s">
        <v>151</v>
      </c>
      <c r="B5661">
        <v>4344</v>
      </c>
      <c r="C5661" t="s">
        <v>13</v>
      </c>
      <c r="D5661">
        <v>6839</v>
      </c>
      <c r="E5661" t="s">
        <v>485</v>
      </c>
      <c r="F5661" s="4">
        <v>6965</v>
      </c>
      <c r="G5661" s="4">
        <v>72068</v>
      </c>
      <c r="H5661" s="4">
        <v>4581</v>
      </c>
      <c r="I5661" s="4">
        <v>67487</v>
      </c>
      <c r="J5661" s="4">
        <v>79033</v>
      </c>
    </row>
    <row r="5662" spans="1:10" x14ac:dyDescent="0.75">
      <c r="A5662" t="s">
        <v>151</v>
      </c>
      <c r="B5662">
        <v>4344</v>
      </c>
      <c r="C5662" t="s">
        <v>13</v>
      </c>
      <c r="D5662">
        <v>5422</v>
      </c>
      <c r="E5662" t="s">
        <v>468</v>
      </c>
      <c r="F5662" s="4">
        <v>0</v>
      </c>
      <c r="G5662" s="4">
        <v>78025</v>
      </c>
      <c r="H5662" s="4">
        <v>72767</v>
      </c>
      <c r="I5662" s="4">
        <v>5258</v>
      </c>
      <c r="J5662" s="4">
        <v>78025</v>
      </c>
    </row>
    <row r="5663" spans="1:10" x14ac:dyDescent="0.75">
      <c r="A5663" t="s">
        <v>151</v>
      </c>
      <c r="B5663">
        <v>4344</v>
      </c>
      <c r="C5663" t="s">
        <v>13</v>
      </c>
      <c r="D5663">
        <v>4900</v>
      </c>
      <c r="E5663" t="s">
        <v>383</v>
      </c>
      <c r="F5663" s="4">
        <v>0</v>
      </c>
      <c r="G5663" s="4">
        <v>68529</v>
      </c>
      <c r="H5663" s="4">
        <v>6668</v>
      </c>
      <c r="I5663" s="4">
        <v>61861</v>
      </c>
      <c r="J5663" s="4">
        <v>68529</v>
      </c>
    </row>
    <row r="5664" spans="1:10" x14ac:dyDescent="0.75">
      <c r="A5664" t="s">
        <v>151</v>
      </c>
      <c r="B5664">
        <v>4344</v>
      </c>
      <c r="C5664" t="s">
        <v>13</v>
      </c>
      <c r="D5664">
        <v>6817</v>
      </c>
      <c r="E5664" t="s">
        <v>481</v>
      </c>
      <c r="F5664" s="4">
        <v>0</v>
      </c>
      <c r="G5664" s="4">
        <v>67916</v>
      </c>
      <c r="H5664" s="4">
        <v>1776</v>
      </c>
      <c r="I5664" s="4">
        <v>66140</v>
      </c>
      <c r="J5664" s="4">
        <v>67916</v>
      </c>
    </row>
    <row r="5665" spans="1:10" x14ac:dyDescent="0.75">
      <c r="A5665" t="s">
        <v>151</v>
      </c>
      <c r="B5665">
        <v>4344</v>
      </c>
      <c r="C5665" t="s">
        <v>13</v>
      </c>
      <c r="D5665">
        <v>3285</v>
      </c>
      <c r="E5665" t="s">
        <v>443</v>
      </c>
      <c r="F5665" s="4">
        <v>30</v>
      </c>
      <c r="G5665" s="4">
        <v>67699</v>
      </c>
      <c r="H5665" s="4">
        <v>46697</v>
      </c>
      <c r="I5665" s="4">
        <v>21002</v>
      </c>
      <c r="J5665" s="4">
        <v>67729</v>
      </c>
    </row>
    <row r="5666" spans="1:10" x14ac:dyDescent="0.75">
      <c r="A5666" t="s">
        <v>151</v>
      </c>
      <c r="B5666">
        <v>4344</v>
      </c>
      <c r="C5666" t="s">
        <v>13</v>
      </c>
      <c r="D5666">
        <v>4170</v>
      </c>
      <c r="E5666" t="s">
        <v>424</v>
      </c>
      <c r="F5666" s="4">
        <v>0</v>
      </c>
      <c r="G5666" s="4">
        <v>65723</v>
      </c>
      <c r="H5666" s="4">
        <v>353</v>
      </c>
      <c r="I5666" s="4">
        <v>65370</v>
      </c>
      <c r="J5666" s="4">
        <v>65723</v>
      </c>
    </row>
    <row r="5667" spans="1:10" x14ac:dyDescent="0.75">
      <c r="A5667" t="s">
        <v>151</v>
      </c>
      <c r="B5667">
        <v>4344</v>
      </c>
      <c r="C5667" t="s">
        <v>13</v>
      </c>
      <c r="D5667">
        <v>2340</v>
      </c>
      <c r="E5667" t="s">
        <v>369</v>
      </c>
      <c r="F5667" s="4">
        <v>65441</v>
      </c>
      <c r="G5667" s="4">
        <v>0</v>
      </c>
      <c r="H5667" s="4">
        <v>0</v>
      </c>
      <c r="I5667" s="4">
        <v>0</v>
      </c>
      <c r="J5667" s="4">
        <v>65441</v>
      </c>
    </row>
    <row r="5668" spans="1:10" x14ac:dyDescent="0.75">
      <c r="A5668" t="s">
        <v>151</v>
      </c>
      <c r="B5668">
        <v>4344</v>
      </c>
      <c r="C5668" t="s">
        <v>13</v>
      </c>
      <c r="D5668">
        <v>6893</v>
      </c>
      <c r="E5668" t="s">
        <v>496</v>
      </c>
      <c r="F5668" s="4">
        <v>0</v>
      </c>
      <c r="G5668" s="4">
        <v>52522</v>
      </c>
      <c r="H5668" s="4">
        <v>4326</v>
      </c>
      <c r="I5668" s="4">
        <v>48196</v>
      </c>
      <c r="J5668" s="4">
        <v>52522</v>
      </c>
    </row>
    <row r="5669" spans="1:10" x14ac:dyDescent="0.75">
      <c r="A5669" t="s">
        <v>151</v>
      </c>
      <c r="B5669">
        <v>4344</v>
      </c>
      <c r="C5669" t="s">
        <v>13</v>
      </c>
      <c r="D5669">
        <v>6899</v>
      </c>
      <c r="E5669" t="s">
        <v>498</v>
      </c>
      <c r="F5669" s="4">
        <v>19792</v>
      </c>
      <c r="G5669" s="4">
        <v>31163</v>
      </c>
      <c r="H5669" s="4">
        <v>17591</v>
      </c>
      <c r="I5669" s="4">
        <v>13572</v>
      </c>
      <c r="J5669" s="4">
        <v>50955</v>
      </c>
    </row>
    <row r="5670" spans="1:10" x14ac:dyDescent="0.75">
      <c r="A5670" t="s">
        <v>151</v>
      </c>
      <c r="B5670">
        <v>4344</v>
      </c>
      <c r="C5670" t="s">
        <v>13</v>
      </c>
      <c r="D5670">
        <v>3275</v>
      </c>
      <c r="E5670" t="s">
        <v>412</v>
      </c>
      <c r="F5670" s="4">
        <v>0</v>
      </c>
      <c r="G5670" s="4">
        <v>48356</v>
      </c>
      <c r="H5670" s="4">
        <v>37983</v>
      </c>
      <c r="I5670" s="4">
        <v>10373</v>
      </c>
      <c r="J5670" s="4">
        <v>48356</v>
      </c>
    </row>
    <row r="5671" spans="1:10" x14ac:dyDescent="0.75">
      <c r="A5671" t="s">
        <v>151</v>
      </c>
      <c r="B5671">
        <v>4344</v>
      </c>
      <c r="C5671" t="s">
        <v>13</v>
      </c>
      <c r="D5671">
        <v>3292</v>
      </c>
      <c r="E5671" t="s">
        <v>413</v>
      </c>
      <c r="F5671" s="4">
        <v>0</v>
      </c>
      <c r="G5671" s="4">
        <v>47535</v>
      </c>
      <c r="H5671" s="4">
        <v>34140</v>
      </c>
      <c r="I5671" s="4">
        <v>13395</v>
      </c>
      <c r="J5671" s="4">
        <v>47535</v>
      </c>
    </row>
    <row r="5672" spans="1:10" x14ac:dyDescent="0.75">
      <c r="A5672" t="s">
        <v>151</v>
      </c>
      <c r="B5672">
        <v>4344</v>
      </c>
      <c r="C5672" t="s">
        <v>13</v>
      </c>
      <c r="D5672">
        <v>3230</v>
      </c>
      <c r="E5672" t="s">
        <v>434</v>
      </c>
      <c r="F5672" s="4">
        <v>0</v>
      </c>
      <c r="G5672" s="4">
        <v>45800</v>
      </c>
      <c r="H5672" s="4">
        <v>43700</v>
      </c>
      <c r="I5672" s="4">
        <v>2100</v>
      </c>
      <c r="J5672" s="4">
        <v>45800</v>
      </c>
    </row>
    <row r="5673" spans="1:10" x14ac:dyDescent="0.75">
      <c r="A5673" t="s">
        <v>151</v>
      </c>
      <c r="B5673">
        <v>4344</v>
      </c>
      <c r="C5673" t="s">
        <v>13</v>
      </c>
      <c r="D5673">
        <v>6894</v>
      </c>
      <c r="E5673" t="s">
        <v>497</v>
      </c>
      <c r="F5673" s="4">
        <v>0</v>
      </c>
      <c r="G5673" s="4">
        <v>45254</v>
      </c>
      <c r="H5673" s="4">
        <v>45232</v>
      </c>
      <c r="I5673" s="4">
        <v>22</v>
      </c>
      <c r="J5673" s="4">
        <v>45254</v>
      </c>
    </row>
    <row r="5674" spans="1:10" x14ac:dyDescent="0.75">
      <c r="A5674" t="s">
        <v>151</v>
      </c>
      <c r="B5674">
        <v>4344</v>
      </c>
      <c r="C5674" t="s">
        <v>13</v>
      </c>
      <c r="D5674">
        <v>3190</v>
      </c>
      <c r="E5674" t="s">
        <v>408</v>
      </c>
      <c r="F5674" s="4">
        <v>7016</v>
      </c>
      <c r="G5674" s="4">
        <v>36607</v>
      </c>
      <c r="H5674" s="4">
        <v>19018</v>
      </c>
      <c r="I5674" s="4">
        <v>17589</v>
      </c>
      <c r="J5674" s="4">
        <v>43623</v>
      </c>
    </row>
    <row r="5675" spans="1:10" x14ac:dyDescent="0.75">
      <c r="A5675" t="s">
        <v>151</v>
      </c>
      <c r="B5675">
        <v>4344</v>
      </c>
      <c r="C5675" t="s">
        <v>13</v>
      </c>
      <c r="D5675">
        <v>5330</v>
      </c>
      <c r="E5675" t="s">
        <v>385</v>
      </c>
      <c r="F5675" s="4">
        <v>0</v>
      </c>
      <c r="G5675" s="4">
        <v>42921</v>
      </c>
      <c r="H5675" s="4">
        <v>27389</v>
      </c>
      <c r="I5675" s="4">
        <v>15532</v>
      </c>
      <c r="J5675" s="4">
        <v>42921</v>
      </c>
    </row>
    <row r="5676" spans="1:10" x14ac:dyDescent="0.75">
      <c r="A5676" t="s">
        <v>151</v>
      </c>
      <c r="B5676">
        <v>4344</v>
      </c>
      <c r="C5676" t="s">
        <v>13</v>
      </c>
      <c r="D5676">
        <v>6861</v>
      </c>
      <c r="E5676" t="s">
        <v>489</v>
      </c>
      <c r="F5676" s="4">
        <v>0</v>
      </c>
      <c r="G5676" s="4">
        <v>42583</v>
      </c>
      <c r="H5676" s="4">
        <v>40559</v>
      </c>
      <c r="I5676" s="4">
        <v>2024</v>
      </c>
      <c r="J5676" s="4">
        <v>42583</v>
      </c>
    </row>
    <row r="5677" spans="1:10" x14ac:dyDescent="0.75">
      <c r="A5677" t="s">
        <v>151</v>
      </c>
      <c r="B5677">
        <v>4344</v>
      </c>
      <c r="C5677" t="s">
        <v>13</v>
      </c>
      <c r="D5677">
        <v>5370</v>
      </c>
      <c r="E5677" t="s">
        <v>466</v>
      </c>
      <c r="F5677" s="4">
        <v>3839</v>
      </c>
      <c r="G5677" s="4">
        <v>33182</v>
      </c>
      <c r="H5677" s="4">
        <v>32686</v>
      </c>
      <c r="I5677" s="4">
        <v>496</v>
      </c>
      <c r="J5677" s="4">
        <v>37021</v>
      </c>
    </row>
    <row r="5678" spans="1:10" x14ac:dyDescent="0.75">
      <c r="A5678" t="s">
        <v>151</v>
      </c>
      <c r="B5678">
        <v>4344</v>
      </c>
      <c r="C5678" t="s">
        <v>13</v>
      </c>
      <c r="D5678">
        <v>6136</v>
      </c>
      <c r="E5678" t="s">
        <v>471</v>
      </c>
      <c r="F5678" s="4">
        <v>0</v>
      </c>
      <c r="G5678" s="4">
        <v>32999</v>
      </c>
      <c r="H5678" s="4">
        <v>20210</v>
      </c>
      <c r="I5678" s="4">
        <v>12789</v>
      </c>
      <c r="J5678" s="4">
        <v>32999</v>
      </c>
    </row>
    <row r="5679" spans="1:10" x14ac:dyDescent="0.75">
      <c r="A5679" t="s">
        <v>151</v>
      </c>
      <c r="B5679">
        <v>4344</v>
      </c>
      <c r="C5679" t="s">
        <v>13</v>
      </c>
      <c r="D5679">
        <v>6590</v>
      </c>
      <c r="E5679" t="s">
        <v>394</v>
      </c>
      <c r="F5679" s="4">
        <v>0</v>
      </c>
      <c r="G5679" s="4">
        <v>32831</v>
      </c>
      <c r="H5679" s="4">
        <v>16866</v>
      </c>
      <c r="I5679" s="4">
        <v>15965</v>
      </c>
      <c r="J5679" s="4">
        <v>32831</v>
      </c>
    </row>
    <row r="5680" spans="1:10" x14ac:dyDescent="0.75">
      <c r="A5680" t="s">
        <v>151</v>
      </c>
      <c r="B5680">
        <v>4344</v>
      </c>
      <c r="C5680" t="s">
        <v>13</v>
      </c>
      <c r="D5680">
        <v>3284</v>
      </c>
      <c r="E5680" t="s">
        <v>442</v>
      </c>
      <c r="F5680" s="4">
        <v>0</v>
      </c>
      <c r="G5680" s="4">
        <v>32294</v>
      </c>
      <c r="H5680" s="4">
        <v>30177</v>
      </c>
      <c r="I5680" s="4">
        <v>2117</v>
      </c>
      <c r="J5680" s="4">
        <v>32294</v>
      </c>
    </row>
    <row r="5681" spans="1:10" x14ac:dyDescent="0.75">
      <c r="A5681" t="s">
        <v>151</v>
      </c>
      <c r="B5681">
        <v>4344</v>
      </c>
      <c r="C5681" t="s">
        <v>13</v>
      </c>
      <c r="D5681">
        <v>6872</v>
      </c>
      <c r="E5681" t="s">
        <v>492</v>
      </c>
      <c r="F5681" s="4">
        <v>0</v>
      </c>
      <c r="G5681" s="4">
        <v>31313</v>
      </c>
      <c r="H5681" s="4">
        <v>30976</v>
      </c>
      <c r="I5681" s="4">
        <v>337</v>
      </c>
      <c r="J5681" s="4">
        <v>31313</v>
      </c>
    </row>
    <row r="5682" spans="1:10" x14ac:dyDescent="0.75">
      <c r="A5682" t="s">
        <v>151</v>
      </c>
      <c r="B5682">
        <v>4344</v>
      </c>
      <c r="C5682" t="s">
        <v>13</v>
      </c>
      <c r="D5682">
        <v>4190</v>
      </c>
      <c r="E5682" t="s">
        <v>452</v>
      </c>
      <c r="F5682" s="4">
        <v>0</v>
      </c>
      <c r="G5682" s="4">
        <v>29936</v>
      </c>
      <c r="H5682" s="4">
        <v>18349</v>
      </c>
      <c r="I5682" s="4">
        <v>11587</v>
      </c>
      <c r="J5682" s="4">
        <v>29936</v>
      </c>
    </row>
    <row r="5683" spans="1:10" x14ac:dyDescent="0.75">
      <c r="A5683" t="s">
        <v>151</v>
      </c>
      <c r="B5683">
        <v>4344</v>
      </c>
      <c r="C5683" t="s">
        <v>13</v>
      </c>
      <c r="D5683">
        <v>6344</v>
      </c>
      <c r="E5683" t="s">
        <v>392</v>
      </c>
      <c r="F5683" s="4">
        <v>0</v>
      </c>
      <c r="G5683" s="4">
        <v>26383</v>
      </c>
      <c r="H5683" s="4">
        <v>2032</v>
      </c>
      <c r="I5683" s="4">
        <v>24351</v>
      </c>
      <c r="J5683" s="4">
        <v>26383</v>
      </c>
    </row>
    <row r="5684" spans="1:10" x14ac:dyDescent="0.75">
      <c r="A5684" t="s">
        <v>151</v>
      </c>
      <c r="B5684">
        <v>4344</v>
      </c>
      <c r="C5684" t="s">
        <v>13</v>
      </c>
      <c r="D5684">
        <v>6134</v>
      </c>
      <c r="E5684" t="s">
        <v>470</v>
      </c>
      <c r="F5684" s="4">
        <v>6</v>
      </c>
      <c r="G5684" s="4">
        <v>26144</v>
      </c>
      <c r="H5684" s="4">
        <v>19914</v>
      </c>
      <c r="I5684" s="4">
        <v>6230</v>
      </c>
      <c r="J5684" s="4">
        <v>26150</v>
      </c>
    </row>
    <row r="5685" spans="1:10" x14ac:dyDescent="0.75">
      <c r="A5685" t="s">
        <v>151</v>
      </c>
      <c r="B5685">
        <v>4344</v>
      </c>
      <c r="C5685" t="s">
        <v>13</v>
      </c>
      <c r="D5685">
        <v>4310</v>
      </c>
      <c r="E5685" t="s">
        <v>453</v>
      </c>
      <c r="F5685" s="4">
        <v>0</v>
      </c>
      <c r="G5685" s="4">
        <v>24682</v>
      </c>
      <c r="H5685" s="4">
        <v>24652</v>
      </c>
      <c r="I5685" s="4">
        <v>30</v>
      </c>
      <c r="J5685" s="4">
        <v>24682</v>
      </c>
    </row>
    <row r="5686" spans="1:10" x14ac:dyDescent="0.75">
      <c r="A5686" t="s">
        <v>151</v>
      </c>
      <c r="B5686">
        <v>4344</v>
      </c>
      <c r="C5686" t="s">
        <v>13</v>
      </c>
      <c r="D5686">
        <v>3240</v>
      </c>
      <c r="E5686" t="s">
        <v>410</v>
      </c>
      <c r="F5686" s="4">
        <v>0</v>
      </c>
      <c r="G5686" s="4">
        <v>24223</v>
      </c>
      <c r="H5686" s="4">
        <v>21387</v>
      </c>
      <c r="I5686" s="4">
        <v>2836</v>
      </c>
      <c r="J5686" s="4">
        <v>24223</v>
      </c>
    </row>
    <row r="5687" spans="1:10" x14ac:dyDescent="0.75">
      <c r="A5687" t="s">
        <v>151</v>
      </c>
      <c r="B5687">
        <v>4344</v>
      </c>
      <c r="C5687" t="s">
        <v>13</v>
      </c>
      <c r="D5687">
        <v>3220</v>
      </c>
      <c r="E5687" t="s">
        <v>370</v>
      </c>
      <c r="F5687" s="4">
        <v>0</v>
      </c>
      <c r="G5687" s="4">
        <v>19452</v>
      </c>
      <c r="H5687" s="4">
        <v>14454</v>
      </c>
      <c r="I5687" s="4">
        <v>4998</v>
      </c>
      <c r="J5687" s="4">
        <v>19452</v>
      </c>
    </row>
    <row r="5688" spans="1:10" x14ac:dyDescent="0.75">
      <c r="A5688" t="s">
        <v>151</v>
      </c>
      <c r="B5688">
        <v>4344</v>
      </c>
      <c r="C5688" t="s">
        <v>13</v>
      </c>
      <c r="D5688">
        <v>6835</v>
      </c>
      <c r="E5688" t="s">
        <v>483</v>
      </c>
      <c r="F5688" s="4">
        <v>0</v>
      </c>
      <c r="G5688" s="4">
        <v>18915</v>
      </c>
      <c r="H5688" s="4">
        <v>18409</v>
      </c>
      <c r="I5688" s="4">
        <v>506</v>
      </c>
      <c r="J5688" s="4">
        <v>18915</v>
      </c>
    </row>
    <row r="5689" spans="1:10" x14ac:dyDescent="0.75">
      <c r="A5689" t="s">
        <v>151</v>
      </c>
      <c r="B5689">
        <v>4344</v>
      </c>
      <c r="C5689" t="s">
        <v>13</v>
      </c>
      <c r="D5689">
        <v>3250</v>
      </c>
      <c r="E5689" t="s">
        <v>435</v>
      </c>
      <c r="F5689" s="4">
        <v>0</v>
      </c>
      <c r="G5689" s="4">
        <v>17559</v>
      </c>
      <c r="H5689" s="4">
        <v>12958</v>
      </c>
      <c r="I5689" s="4">
        <v>4601</v>
      </c>
      <c r="J5689" s="4">
        <v>17559</v>
      </c>
    </row>
    <row r="5690" spans="1:10" x14ac:dyDescent="0.75">
      <c r="A5690" t="s">
        <v>151</v>
      </c>
      <c r="B5690">
        <v>4344</v>
      </c>
      <c r="C5690" t="s">
        <v>13</v>
      </c>
      <c r="D5690">
        <v>3282</v>
      </c>
      <c r="E5690" t="s">
        <v>440</v>
      </c>
      <c r="F5690" s="4">
        <v>71</v>
      </c>
      <c r="G5690" s="4">
        <v>16636</v>
      </c>
      <c r="H5690" s="4">
        <v>6642</v>
      </c>
      <c r="I5690" s="4">
        <v>9994</v>
      </c>
      <c r="J5690" s="4">
        <v>16707</v>
      </c>
    </row>
    <row r="5691" spans="1:10" x14ac:dyDescent="0.75">
      <c r="A5691" t="s">
        <v>151</v>
      </c>
      <c r="B5691">
        <v>4344</v>
      </c>
      <c r="C5691" t="s">
        <v>13</v>
      </c>
      <c r="D5691">
        <v>2410</v>
      </c>
      <c r="E5691" t="s">
        <v>430</v>
      </c>
      <c r="F5691" s="4">
        <v>0</v>
      </c>
      <c r="G5691" s="4">
        <v>15374</v>
      </c>
      <c r="H5691" s="4">
        <v>15117</v>
      </c>
      <c r="I5691" s="4">
        <v>257</v>
      </c>
      <c r="J5691" s="4">
        <v>15374</v>
      </c>
    </row>
    <row r="5692" spans="1:10" x14ac:dyDescent="0.75">
      <c r="A5692" t="s">
        <v>151</v>
      </c>
      <c r="B5692">
        <v>4344</v>
      </c>
      <c r="C5692" t="s">
        <v>13</v>
      </c>
      <c r="D5692">
        <v>6746</v>
      </c>
      <c r="E5692" t="s">
        <v>477</v>
      </c>
      <c r="F5692" s="4">
        <v>41</v>
      </c>
      <c r="G5692" s="4">
        <v>14265</v>
      </c>
      <c r="H5692" s="4">
        <v>13409</v>
      </c>
      <c r="I5692" s="4">
        <v>856</v>
      </c>
      <c r="J5692" s="4">
        <v>14306</v>
      </c>
    </row>
    <row r="5693" spans="1:10" x14ac:dyDescent="0.75">
      <c r="A5693" t="s">
        <v>151</v>
      </c>
      <c r="B5693">
        <v>4344</v>
      </c>
      <c r="C5693" t="s">
        <v>13</v>
      </c>
      <c r="D5693">
        <v>4782</v>
      </c>
      <c r="E5693" t="s">
        <v>414</v>
      </c>
      <c r="F5693" s="4">
        <v>0</v>
      </c>
      <c r="G5693" s="4">
        <v>14229</v>
      </c>
      <c r="H5693" s="4">
        <v>7700</v>
      </c>
      <c r="I5693" s="4">
        <v>6529</v>
      </c>
      <c r="J5693" s="4">
        <v>14229</v>
      </c>
    </row>
    <row r="5694" spans="1:10" x14ac:dyDescent="0.75">
      <c r="A5694" t="s">
        <v>151</v>
      </c>
      <c r="B5694">
        <v>4344</v>
      </c>
      <c r="C5694" t="s">
        <v>13</v>
      </c>
      <c r="D5694">
        <v>5421</v>
      </c>
      <c r="E5694" t="s">
        <v>467</v>
      </c>
      <c r="F5694" s="4">
        <v>0</v>
      </c>
      <c r="G5694" s="4">
        <v>12686</v>
      </c>
      <c r="H5694" s="4">
        <v>7913</v>
      </c>
      <c r="I5694" s="4">
        <v>4773</v>
      </c>
      <c r="J5694" s="4">
        <v>12686</v>
      </c>
    </row>
    <row r="5695" spans="1:10" x14ac:dyDescent="0.75">
      <c r="A5695" t="s">
        <v>151</v>
      </c>
      <c r="B5695">
        <v>4344</v>
      </c>
      <c r="C5695" t="s">
        <v>13</v>
      </c>
      <c r="D5695">
        <v>5390</v>
      </c>
      <c r="E5695" t="s">
        <v>418</v>
      </c>
      <c r="F5695" s="4">
        <v>0</v>
      </c>
      <c r="G5695" s="4">
        <v>10968</v>
      </c>
      <c r="H5695" s="4">
        <v>10968</v>
      </c>
      <c r="I5695" s="4">
        <v>0</v>
      </c>
      <c r="J5695" s="4">
        <v>10968</v>
      </c>
    </row>
    <row r="5696" spans="1:10" x14ac:dyDescent="0.75">
      <c r="A5696" t="s">
        <v>151</v>
      </c>
      <c r="B5696">
        <v>4344</v>
      </c>
      <c r="C5696" t="s">
        <v>13</v>
      </c>
      <c r="D5696">
        <v>3291</v>
      </c>
      <c r="E5696" t="s">
        <v>444</v>
      </c>
      <c r="F5696" s="4">
        <v>23</v>
      </c>
      <c r="G5696" s="4">
        <v>10203</v>
      </c>
      <c r="H5696" s="4">
        <v>9020</v>
      </c>
      <c r="I5696" s="4">
        <v>1183</v>
      </c>
      <c r="J5696" s="4">
        <v>10226</v>
      </c>
    </row>
    <row r="5697" spans="1:10" x14ac:dyDescent="0.75">
      <c r="A5697" t="s">
        <v>151</v>
      </c>
      <c r="B5697">
        <v>4344</v>
      </c>
      <c r="C5697" t="s">
        <v>13</v>
      </c>
      <c r="D5697">
        <v>5220</v>
      </c>
      <c r="E5697" t="s">
        <v>401</v>
      </c>
      <c r="F5697" s="4">
        <v>0</v>
      </c>
      <c r="G5697" s="4">
        <v>8562</v>
      </c>
      <c r="H5697" s="4">
        <v>8408</v>
      </c>
      <c r="I5697" s="4">
        <v>154</v>
      </c>
      <c r="J5697" s="4">
        <v>8562</v>
      </c>
    </row>
    <row r="5698" spans="1:10" x14ac:dyDescent="0.75">
      <c r="A5698" t="s">
        <v>151</v>
      </c>
      <c r="B5698">
        <v>4344</v>
      </c>
      <c r="C5698" t="s">
        <v>13</v>
      </c>
      <c r="D5698">
        <v>3279</v>
      </c>
      <c r="E5698" t="s">
        <v>422</v>
      </c>
      <c r="F5698" s="4">
        <v>0</v>
      </c>
      <c r="G5698" s="4">
        <v>8065</v>
      </c>
      <c r="H5698" s="4">
        <v>5855</v>
      </c>
      <c r="I5698" s="4">
        <v>2210</v>
      </c>
      <c r="J5698" s="4">
        <v>8065</v>
      </c>
    </row>
    <row r="5699" spans="1:10" x14ac:dyDescent="0.75">
      <c r="A5699" t="s">
        <v>151</v>
      </c>
      <c r="B5699">
        <v>4344</v>
      </c>
      <c r="C5699" t="s">
        <v>13</v>
      </c>
      <c r="D5699">
        <v>5360</v>
      </c>
      <c r="E5699" t="s">
        <v>465</v>
      </c>
      <c r="F5699" s="4">
        <v>1632</v>
      </c>
      <c r="G5699" s="4">
        <v>6072</v>
      </c>
      <c r="H5699" s="4">
        <v>5440</v>
      </c>
      <c r="I5699" s="4">
        <v>632</v>
      </c>
      <c r="J5699" s="4">
        <v>7704</v>
      </c>
    </row>
    <row r="5700" spans="1:10" x14ac:dyDescent="0.75">
      <c r="A5700" t="s">
        <v>151</v>
      </c>
      <c r="B5700">
        <v>4344</v>
      </c>
      <c r="C5700" t="s">
        <v>13</v>
      </c>
      <c r="D5700">
        <v>4650</v>
      </c>
      <c r="E5700" t="s">
        <v>457</v>
      </c>
      <c r="F5700" s="4">
        <v>0</v>
      </c>
      <c r="G5700" s="4">
        <v>7319</v>
      </c>
      <c r="H5700" s="4">
        <v>5597</v>
      </c>
      <c r="I5700" s="4">
        <v>1722</v>
      </c>
      <c r="J5700" s="4">
        <v>7319</v>
      </c>
    </row>
    <row r="5701" spans="1:10" x14ac:dyDescent="0.75">
      <c r="A5701" t="s">
        <v>151</v>
      </c>
      <c r="B5701">
        <v>4344</v>
      </c>
      <c r="C5701" t="s">
        <v>13</v>
      </c>
      <c r="D5701">
        <v>2330</v>
      </c>
      <c r="E5701" t="s">
        <v>368</v>
      </c>
      <c r="F5701" s="4">
        <v>0</v>
      </c>
      <c r="G5701" s="4">
        <v>6860</v>
      </c>
      <c r="H5701" s="4">
        <v>2003</v>
      </c>
      <c r="I5701" s="4">
        <v>4857</v>
      </c>
      <c r="J5701" s="4">
        <v>6860</v>
      </c>
    </row>
    <row r="5702" spans="1:10" x14ac:dyDescent="0.75">
      <c r="A5702" t="s">
        <v>151</v>
      </c>
      <c r="B5702">
        <v>4344</v>
      </c>
      <c r="C5702" t="s">
        <v>13</v>
      </c>
      <c r="D5702">
        <v>1100</v>
      </c>
      <c r="E5702" t="s">
        <v>397</v>
      </c>
      <c r="F5702" s="4">
        <v>0</v>
      </c>
      <c r="G5702" s="4">
        <v>6069</v>
      </c>
      <c r="H5702" s="4">
        <v>6069</v>
      </c>
      <c r="I5702" s="4">
        <v>0</v>
      </c>
      <c r="J5702" s="4">
        <v>6069</v>
      </c>
    </row>
    <row r="5703" spans="1:10" x14ac:dyDescent="0.75">
      <c r="A5703" t="s">
        <v>151</v>
      </c>
      <c r="B5703">
        <v>4344</v>
      </c>
      <c r="C5703" t="s">
        <v>13</v>
      </c>
      <c r="D5703">
        <v>4783</v>
      </c>
      <c r="E5703" t="s">
        <v>382</v>
      </c>
      <c r="F5703" s="4">
        <v>0</v>
      </c>
      <c r="G5703" s="4">
        <v>5912</v>
      </c>
      <c r="H5703" s="4">
        <v>4438</v>
      </c>
      <c r="I5703" s="4">
        <v>1474</v>
      </c>
      <c r="J5703" s="4">
        <v>5912</v>
      </c>
    </row>
    <row r="5704" spans="1:10" x14ac:dyDescent="0.75">
      <c r="A5704" t="s">
        <v>151</v>
      </c>
      <c r="B5704">
        <v>4344</v>
      </c>
      <c r="C5704" t="s">
        <v>13</v>
      </c>
      <c r="D5704">
        <v>3293</v>
      </c>
      <c r="E5704" t="s">
        <v>445</v>
      </c>
      <c r="F5704" s="4">
        <v>0</v>
      </c>
      <c r="G5704" s="4">
        <v>5865</v>
      </c>
      <c r="H5704" s="4">
        <v>5297</v>
      </c>
      <c r="I5704" s="4">
        <v>568</v>
      </c>
      <c r="J5704" s="4">
        <v>5865</v>
      </c>
    </row>
    <row r="5705" spans="1:10" x14ac:dyDescent="0.75">
      <c r="A5705" t="s">
        <v>151</v>
      </c>
      <c r="B5705">
        <v>4344</v>
      </c>
      <c r="C5705" t="s">
        <v>13</v>
      </c>
      <c r="D5705">
        <v>6856</v>
      </c>
      <c r="E5705" t="s">
        <v>486</v>
      </c>
      <c r="F5705" s="4">
        <v>0</v>
      </c>
      <c r="G5705" s="4">
        <v>5541</v>
      </c>
      <c r="H5705" s="4">
        <v>5196</v>
      </c>
      <c r="I5705" s="4">
        <v>345</v>
      </c>
      <c r="J5705" s="4">
        <v>5541</v>
      </c>
    </row>
    <row r="5706" spans="1:10" x14ac:dyDescent="0.75">
      <c r="A5706" t="s">
        <v>151</v>
      </c>
      <c r="B5706">
        <v>4344</v>
      </c>
      <c r="C5706" t="s">
        <v>13</v>
      </c>
      <c r="D5706">
        <v>5312</v>
      </c>
      <c r="E5706" t="s">
        <v>416</v>
      </c>
      <c r="F5706" s="4">
        <v>0</v>
      </c>
      <c r="G5706" s="4">
        <v>5088</v>
      </c>
      <c r="H5706" s="4">
        <v>4728</v>
      </c>
      <c r="I5706" s="4">
        <v>360</v>
      </c>
      <c r="J5706" s="4">
        <v>5088</v>
      </c>
    </row>
    <row r="5707" spans="1:10" x14ac:dyDescent="0.75">
      <c r="A5707" t="s">
        <v>151</v>
      </c>
      <c r="B5707">
        <v>4344</v>
      </c>
      <c r="C5707" t="s">
        <v>13</v>
      </c>
      <c r="D5707">
        <v>6838</v>
      </c>
      <c r="E5707" t="s">
        <v>484</v>
      </c>
      <c r="F5707" s="4">
        <v>0</v>
      </c>
      <c r="G5707" s="4">
        <v>4815</v>
      </c>
      <c r="H5707" s="4">
        <v>1572</v>
      </c>
      <c r="I5707" s="4">
        <v>3243</v>
      </c>
      <c r="J5707" s="4">
        <v>4815</v>
      </c>
    </row>
    <row r="5708" spans="1:10" x14ac:dyDescent="0.75">
      <c r="A5708" t="s">
        <v>151</v>
      </c>
      <c r="B5708">
        <v>4344</v>
      </c>
      <c r="C5708" t="s">
        <v>13</v>
      </c>
      <c r="D5708">
        <v>3130</v>
      </c>
      <c r="E5708" t="s">
        <v>407</v>
      </c>
      <c r="F5708" s="4">
        <v>0</v>
      </c>
      <c r="G5708" s="4">
        <v>4791</v>
      </c>
      <c r="H5708" s="4">
        <v>2106</v>
      </c>
      <c r="I5708" s="4">
        <v>2685</v>
      </c>
      <c r="J5708" s="4">
        <v>4791</v>
      </c>
    </row>
    <row r="5709" spans="1:10" x14ac:dyDescent="0.75">
      <c r="A5709" t="s">
        <v>151</v>
      </c>
      <c r="B5709">
        <v>4344</v>
      </c>
      <c r="C5709" t="s">
        <v>13</v>
      </c>
      <c r="D5709">
        <v>6891</v>
      </c>
      <c r="E5709" t="s">
        <v>495</v>
      </c>
      <c r="F5709" s="4">
        <v>719</v>
      </c>
      <c r="G5709" s="4">
        <v>3537</v>
      </c>
      <c r="H5709" s="4">
        <v>1287</v>
      </c>
      <c r="I5709" s="4">
        <v>2250</v>
      </c>
      <c r="J5709" s="4">
        <v>4256</v>
      </c>
    </row>
    <row r="5710" spans="1:10" x14ac:dyDescent="0.75">
      <c r="A5710" t="s">
        <v>151</v>
      </c>
      <c r="B5710">
        <v>4344</v>
      </c>
      <c r="C5710" t="s">
        <v>13</v>
      </c>
      <c r="D5710">
        <v>4690</v>
      </c>
      <c r="E5710" t="s">
        <v>428</v>
      </c>
      <c r="F5710" s="4">
        <v>0</v>
      </c>
      <c r="G5710" s="4">
        <v>3701</v>
      </c>
      <c r="H5710" s="4">
        <v>925</v>
      </c>
      <c r="I5710" s="4">
        <v>2776</v>
      </c>
      <c r="J5710" s="4">
        <v>3701</v>
      </c>
    </row>
    <row r="5711" spans="1:10" x14ac:dyDescent="0.75">
      <c r="A5711" t="s">
        <v>151</v>
      </c>
      <c r="B5711">
        <v>4344</v>
      </c>
      <c r="C5711" t="s">
        <v>13</v>
      </c>
      <c r="D5711">
        <v>3297</v>
      </c>
      <c r="E5711" t="s">
        <v>446</v>
      </c>
      <c r="F5711" s="4">
        <v>0</v>
      </c>
      <c r="G5711" s="4">
        <v>3462</v>
      </c>
      <c r="H5711" s="4">
        <v>1296</v>
      </c>
      <c r="I5711" s="4">
        <v>2166</v>
      </c>
      <c r="J5711" s="4">
        <v>3462</v>
      </c>
    </row>
    <row r="5712" spans="1:10" x14ac:dyDescent="0.75">
      <c r="A5712" t="s">
        <v>151</v>
      </c>
      <c r="B5712">
        <v>4344</v>
      </c>
      <c r="C5712" t="s">
        <v>13</v>
      </c>
      <c r="D5712">
        <v>4150</v>
      </c>
      <c r="E5712" t="s">
        <v>450</v>
      </c>
      <c r="F5712" s="4">
        <v>0</v>
      </c>
      <c r="G5712" s="4">
        <v>3346</v>
      </c>
      <c r="H5712" s="4">
        <v>2788</v>
      </c>
      <c r="I5712" s="4">
        <v>558</v>
      </c>
      <c r="J5712" s="4">
        <v>3346</v>
      </c>
    </row>
    <row r="5713" spans="1:10" x14ac:dyDescent="0.75">
      <c r="A5713" t="s">
        <v>151</v>
      </c>
      <c r="B5713">
        <v>4344</v>
      </c>
      <c r="C5713" t="s">
        <v>13</v>
      </c>
      <c r="D5713">
        <v>4161</v>
      </c>
      <c r="E5713" t="s">
        <v>421</v>
      </c>
      <c r="F5713" s="4">
        <v>0</v>
      </c>
      <c r="G5713" s="4">
        <v>3341</v>
      </c>
      <c r="H5713" s="4">
        <v>593</v>
      </c>
      <c r="I5713" s="4">
        <v>2748</v>
      </c>
      <c r="J5713" s="4">
        <v>3341</v>
      </c>
    </row>
    <row r="5714" spans="1:10" x14ac:dyDescent="0.75">
      <c r="A5714" t="s">
        <v>151</v>
      </c>
      <c r="B5714">
        <v>4344</v>
      </c>
      <c r="C5714" t="s">
        <v>13</v>
      </c>
      <c r="D5714">
        <v>5429</v>
      </c>
      <c r="E5714" t="s">
        <v>429</v>
      </c>
      <c r="F5714" s="4">
        <v>0</v>
      </c>
      <c r="G5714" s="4">
        <v>3099</v>
      </c>
      <c r="H5714" s="4">
        <v>2661</v>
      </c>
      <c r="I5714" s="4">
        <v>438</v>
      </c>
      <c r="J5714" s="4">
        <v>3099</v>
      </c>
    </row>
    <row r="5715" spans="1:10" x14ac:dyDescent="0.75">
      <c r="A5715" t="s">
        <v>151</v>
      </c>
      <c r="B5715">
        <v>4344</v>
      </c>
      <c r="C5715" t="s">
        <v>13</v>
      </c>
      <c r="D5715">
        <v>3110</v>
      </c>
      <c r="E5715" t="s">
        <v>405</v>
      </c>
      <c r="F5715" s="4">
        <v>0</v>
      </c>
      <c r="G5715" s="4">
        <v>2829</v>
      </c>
      <c r="H5715" s="4">
        <v>2449</v>
      </c>
      <c r="I5715" s="4">
        <v>380</v>
      </c>
      <c r="J5715" s="4">
        <v>2829</v>
      </c>
    </row>
    <row r="5716" spans="1:10" x14ac:dyDescent="0.75">
      <c r="A5716" t="s">
        <v>151</v>
      </c>
      <c r="B5716">
        <v>4344</v>
      </c>
      <c r="C5716" t="s">
        <v>13</v>
      </c>
      <c r="D5716">
        <v>7230</v>
      </c>
      <c r="E5716" t="s">
        <v>387</v>
      </c>
      <c r="F5716" s="4">
        <v>133</v>
      </c>
      <c r="G5716" s="4">
        <v>2167</v>
      </c>
      <c r="H5716" s="4">
        <v>1997</v>
      </c>
      <c r="I5716" s="4">
        <v>170</v>
      </c>
      <c r="J5716" s="4">
        <v>2300</v>
      </c>
    </row>
    <row r="5717" spans="1:10" x14ac:dyDescent="0.75">
      <c r="A5717" t="s">
        <v>151</v>
      </c>
      <c r="B5717">
        <v>4344</v>
      </c>
      <c r="C5717" t="s">
        <v>13</v>
      </c>
      <c r="D5717">
        <v>3219</v>
      </c>
      <c r="E5717" t="s">
        <v>378</v>
      </c>
      <c r="F5717" s="4">
        <v>0</v>
      </c>
      <c r="G5717" s="4">
        <v>2290</v>
      </c>
      <c r="H5717" s="4">
        <v>1352</v>
      </c>
      <c r="I5717" s="4">
        <v>938</v>
      </c>
      <c r="J5717" s="4">
        <v>2290</v>
      </c>
    </row>
    <row r="5718" spans="1:10" x14ac:dyDescent="0.75">
      <c r="A5718" t="s">
        <v>151</v>
      </c>
      <c r="B5718">
        <v>4344</v>
      </c>
      <c r="C5718" t="s">
        <v>13</v>
      </c>
      <c r="D5718">
        <v>5315</v>
      </c>
      <c r="E5718" t="s">
        <v>417</v>
      </c>
      <c r="F5718" s="4">
        <v>0</v>
      </c>
      <c r="G5718" s="4">
        <v>2086</v>
      </c>
      <c r="H5718" s="4">
        <v>1547</v>
      </c>
      <c r="I5718" s="4">
        <v>539</v>
      </c>
      <c r="J5718" s="4">
        <v>2086</v>
      </c>
    </row>
    <row r="5719" spans="1:10" x14ac:dyDescent="0.75">
      <c r="A5719" t="s">
        <v>151</v>
      </c>
      <c r="B5719">
        <v>4344</v>
      </c>
      <c r="C5719" t="s">
        <v>13</v>
      </c>
      <c r="D5719">
        <v>3260</v>
      </c>
      <c r="E5719" t="s">
        <v>436</v>
      </c>
      <c r="F5719" s="4">
        <v>0</v>
      </c>
      <c r="G5719" s="4">
        <v>1932</v>
      </c>
      <c r="H5719" s="4">
        <v>1618</v>
      </c>
      <c r="I5719" s="4">
        <v>314</v>
      </c>
      <c r="J5719" s="4">
        <v>1932</v>
      </c>
    </row>
    <row r="5720" spans="1:10" x14ac:dyDescent="0.75">
      <c r="A5720" t="s">
        <v>151</v>
      </c>
      <c r="B5720">
        <v>4344</v>
      </c>
      <c r="C5720" t="s">
        <v>13</v>
      </c>
      <c r="D5720">
        <v>4110</v>
      </c>
      <c r="E5720" t="s">
        <v>449</v>
      </c>
      <c r="F5720" s="4">
        <v>0</v>
      </c>
      <c r="G5720" s="4">
        <v>1915</v>
      </c>
      <c r="H5720" s="4">
        <v>1914</v>
      </c>
      <c r="I5720" s="4">
        <v>1</v>
      </c>
      <c r="J5720" s="4">
        <v>1915</v>
      </c>
    </row>
    <row r="5721" spans="1:10" x14ac:dyDescent="0.75">
      <c r="A5721" t="s">
        <v>151</v>
      </c>
      <c r="B5721">
        <v>4344</v>
      </c>
      <c r="C5721" t="s">
        <v>13</v>
      </c>
      <c r="D5721">
        <v>7220</v>
      </c>
      <c r="E5721" t="s">
        <v>500</v>
      </c>
      <c r="F5721" s="4">
        <v>3</v>
      </c>
      <c r="G5721" s="4">
        <v>1812</v>
      </c>
      <c r="H5721" s="4">
        <v>740</v>
      </c>
      <c r="I5721" s="4">
        <v>1072</v>
      </c>
      <c r="J5721" s="4">
        <v>1815</v>
      </c>
    </row>
    <row r="5722" spans="1:10" x14ac:dyDescent="0.75">
      <c r="A5722" t="s">
        <v>151</v>
      </c>
      <c r="B5722">
        <v>4344</v>
      </c>
      <c r="C5722" t="s">
        <v>13</v>
      </c>
      <c r="D5722">
        <v>4322</v>
      </c>
      <c r="E5722" t="s">
        <v>398</v>
      </c>
      <c r="F5722" s="4">
        <v>0</v>
      </c>
      <c r="G5722" s="4">
        <v>1720</v>
      </c>
      <c r="H5722" s="4">
        <v>1698</v>
      </c>
      <c r="I5722" s="4">
        <v>22</v>
      </c>
      <c r="J5722" s="4">
        <v>1720</v>
      </c>
    </row>
    <row r="5723" spans="1:10" x14ac:dyDescent="0.75">
      <c r="A5723" t="s">
        <v>151</v>
      </c>
      <c r="B5723">
        <v>4344</v>
      </c>
      <c r="C5723" t="s">
        <v>13</v>
      </c>
      <c r="D5723">
        <v>6521</v>
      </c>
      <c r="E5723" t="s">
        <v>476</v>
      </c>
      <c r="F5723" s="4">
        <v>0</v>
      </c>
      <c r="G5723" s="4">
        <v>1700</v>
      </c>
      <c r="H5723" s="4">
        <v>538</v>
      </c>
      <c r="I5723" s="4">
        <v>1162</v>
      </c>
      <c r="J5723" s="4">
        <v>1700</v>
      </c>
    </row>
    <row r="5724" spans="1:10" x14ac:dyDescent="0.75">
      <c r="A5724" t="s">
        <v>151</v>
      </c>
      <c r="B5724">
        <v>4344</v>
      </c>
      <c r="C5724" t="s">
        <v>13</v>
      </c>
      <c r="D5724">
        <v>2640</v>
      </c>
      <c r="E5724" t="s">
        <v>431</v>
      </c>
      <c r="F5724" s="4">
        <v>0</v>
      </c>
      <c r="G5724" s="4">
        <v>1485</v>
      </c>
      <c r="H5724" s="4">
        <v>1428</v>
      </c>
      <c r="I5724" s="4">
        <v>57</v>
      </c>
      <c r="J5724" s="4">
        <v>1485</v>
      </c>
    </row>
    <row r="5725" spans="1:10" x14ac:dyDescent="0.75">
      <c r="A5725" t="s">
        <v>151</v>
      </c>
      <c r="B5725">
        <v>4344</v>
      </c>
      <c r="C5725" t="s">
        <v>13</v>
      </c>
      <c r="D5725">
        <v>4670</v>
      </c>
      <c r="E5725" t="s">
        <v>458</v>
      </c>
      <c r="F5725" s="4">
        <v>0</v>
      </c>
      <c r="G5725" s="4">
        <v>1298</v>
      </c>
      <c r="H5725" s="4">
        <v>1298</v>
      </c>
      <c r="I5725" s="4">
        <v>0</v>
      </c>
      <c r="J5725" s="4">
        <v>1298</v>
      </c>
    </row>
    <row r="5726" spans="1:10" x14ac:dyDescent="0.75">
      <c r="A5726" t="s">
        <v>151</v>
      </c>
      <c r="B5726">
        <v>4344</v>
      </c>
      <c r="C5726" t="s">
        <v>13</v>
      </c>
      <c r="D5726">
        <v>3283</v>
      </c>
      <c r="E5726" t="s">
        <v>441</v>
      </c>
      <c r="F5726" s="4">
        <v>0</v>
      </c>
      <c r="G5726" s="4">
        <v>1292</v>
      </c>
      <c r="H5726" s="4">
        <v>1168</v>
      </c>
      <c r="I5726" s="4">
        <v>124</v>
      </c>
      <c r="J5726" s="4">
        <v>1292</v>
      </c>
    </row>
    <row r="5727" spans="1:10" x14ac:dyDescent="0.75">
      <c r="A5727" t="s">
        <v>151</v>
      </c>
      <c r="B5727">
        <v>4344</v>
      </c>
      <c r="C5727" t="s">
        <v>13</v>
      </c>
      <c r="D5727">
        <v>4741</v>
      </c>
      <c r="E5727" t="s">
        <v>425</v>
      </c>
      <c r="F5727" s="4">
        <v>0</v>
      </c>
      <c r="G5727" s="4">
        <v>1071</v>
      </c>
      <c r="H5727" s="4">
        <v>492</v>
      </c>
      <c r="I5727" s="4">
        <v>579</v>
      </c>
      <c r="J5727" s="4">
        <v>1071</v>
      </c>
    </row>
    <row r="5728" spans="1:10" x14ac:dyDescent="0.75">
      <c r="A5728" t="s">
        <v>151</v>
      </c>
      <c r="B5728">
        <v>4344</v>
      </c>
      <c r="C5728" t="s">
        <v>13</v>
      </c>
      <c r="D5728">
        <v>6447</v>
      </c>
      <c r="E5728" t="s">
        <v>475</v>
      </c>
      <c r="F5728" s="4">
        <v>0</v>
      </c>
      <c r="G5728" s="4">
        <v>1064</v>
      </c>
      <c r="H5728" s="4">
        <v>20</v>
      </c>
      <c r="I5728" s="4">
        <v>1044</v>
      </c>
      <c r="J5728" s="4">
        <v>1064</v>
      </c>
    </row>
    <row r="5729" spans="1:10" x14ac:dyDescent="0.75">
      <c r="A5729" t="s">
        <v>151</v>
      </c>
      <c r="B5729">
        <v>4344</v>
      </c>
      <c r="C5729" t="s">
        <v>13</v>
      </c>
      <c r="D5729">
        <v>7300</v>
      </c>
      <c r="E5729" t="s">
        <v>501</v>
      </c>
      <c r="F5729" s="4">
        <v>0</v>
      </c>
      <c r="G5729" s="4">
        <v>938</v>
      </c>
      <c r="H5729" s="4">
        <v>841</v>
      </c>
      <c r="I5729" s="4">
        <v>97</v>
      </c>
      <c r="J5729" s="4">
        <v>938</v>
      </c>
    </row>
    <row r="5730" spans="1:10" x14ac:dyDescent="0.75">
      <c r="A5730" t="s">
        <v>151</v>
      </c>
      <c r="B5730">
        <v>4344</v>
      </c>
      <c r="C5730" t="s">
        <v>13</v>
      </c>
      <c r="D5730">
        <v>6887</v>
      </c>
      <c r="E5730" t="s">
        <v>505</v>
      </c>
      <c r="F5730" s="4">
        <v>875</v>
      </c>
      <c r="G5730" s="4">
        <v>0</v>
      </c>
      <c r="H5730" s="4">
        <v>0</v>
      </c>
      <c r="I5730" s="4">
        <v>0</v>
      </c>
      <c r="J5730" s="4">
        <v>875</v>
      </c>
    </row>
    <row r="5731" spans="1:10" x14ac:dyDescent="0.75">
      <c r="A5731" t="s">
        <v>151</v>
      </c>
      <c r="B5731">
        <v>4344</v>
      </c>
      <c r="C5731" t="s">
        <v>13</v>
      </c>
      <c r="D5731">
        <v>3281</v>
      </c>
      <c r="E5731" t="s">
        <v>439</v>
      </c>
      <c r="F5731" s="4">
        <v>0</v>
      </c>
      <c r="G5731" s="4">
        <v>851</v>
      </c>
      <c r="H5731" s="4">
        <v>660</v>
      </c>
      <c r="I5731" s="4">
        <v>191</v>
      </c>
      <c r="J5731" s="4">
        <v>851</v>
      </c>
    </row>
    <row r="5732" spans="1:10" x14ac:dyDescent="0.75">
      <c r="A5732" t="s">
        <v>151</v>
      </c>
      <c r="B5732">
        <v>4344</v>
      </c>
      <c r="C5732" t="s">
        <v>13</v>
      </c>
      <c r="D5732">
        <v>3274</v>
      </c>
      <c r="E5732" t="s">
        <v>438</v>
      </c>
      <c r="F5732" s="4">
        <v>0</v>
      </c>
      <c r="G5732" s="4">
        <v>841</v>
      </c>
      <c r="H5732" s="4">
        <v>533</v>
      </c>
      <c r="I5732" s="4">
        <v>308</v>
      </c>
      <c r="J5732" s="4">
        <v>841</v>
      </c>
    </row>
    <row r="5733" spans="1:10" x14ac:dyDescent="0.75">
      <c r="A5733" t="s">
        <v>151</v>
      </c>
      <c r="B5733">
        <v>4344</v>
      </c>
      <c r="C5733" t="s">
        <v>13</v>
      </c>
      <c r="D5733">
        <v>2211</v>
      </c>
      <c r="E5733" t="s">
        <v>367</v>
      </c>
      <c r="F5733" s="4">
        <v>0</v>
      </c>
      <c r="G5733" s="4">
        <v>763</v>
      </c>
      <c r="H5733" s="4">
        <v>0</v>
      </c>
      <c r="I5733" s="4">
        <v>763</v>
      </c>
      <c r="J5733" s="4">
        <v>763</v>
      </c>
    </row>
    <row r="5734" spans="1:10" x14ac:dyDescent="0.75">
      <c r="A5734" t="s">
        <v>151</v>
      </c>
      <c r="B5734">
        <v>4344</v>
      </c>
      <c r="C5734" t="s">
        <v>13</v>
      </c>
      <c r="D5734">
        <v>6445</v>
      </c>
      <c r="E5734" t="s">
        <v>474</v>
      </c>
      <c r="F5734" s="4">
        <v>0</v>
      </c>
      <c r="G5734" s="4">
        <v>722</v>
      </c>
      <c r="H5734" s="4">
        <v>0</v>
      </c>
      <c r="I5734" s="4">
        <v>722</v>
      </c>
      <c r="J5734" s="4">
        <v>722</v>
      </c>
    </row>
    <row r="5735" spans="1:10" x14ac:dyDescent="0.75">
      <c r="A5735" t="s">
        <v>151</v>
      </c>
      <c r="B5735">
        <v>4344</v>
      </c>
      <c r="C5735" t="s">
        <v>13</v>
      </c>
      <c r="D5735">
        <v>2990</v>
      </c>
      <c r="E5735" t="s">
        <v>432</v>
      </c>
      <c r="F5735" s="4">
        <v>648</v>
      </c>
      <c r="G5735" s="4">
        <v>0</v>
      </c>
      <c r="H5735" s="4">
        <v>0</v>
      </c>
      <c r="I5735" s="4">
        <v>0</v>
      </c>
      <c r="J5735" s="4">
        <v>648</v>
      </c>
    </row>
    <row r="5736" spans="1:10" x14ac:dyDescent="0.75">
      <c r="A5736" t="s">
        <v>151</v>
      </c>
      <c r="B5736">
        <v>4344</v>
      </c>
      <c r="C5736" t="s">
        <v>13</v>
      </c>
      <c r="D5736">
        <v>3272</v>
      </c>
      <c r="E5736" t="s">
        <v>504</v>
      </c>
      <c r="F5736" s="4">
        <v>0</v>
      </c>
      <c r="G5736" s="4">
        <v>638</v>
      </c>
      <c r="H5736" s="4">
        <v>582</v>
      </c>
      <c r="I5736" s="4">
        <v>56</v>
      </c>
      <c r="J5736" s="4">
        <v>638</v>
      </c>
    </row>
    <row r="5737" spans="1:10" x14ac:dyDescent="0.75">
      <c r="A5737" t="s">
        <v>151</v>
      </c>
      <c r="B5737">
        <v>4344</v>
      </c>
      <c r="C5737" t="s">
        <v>13</v>
      </c>
      <c r="D5737">
        <v>6443</v>
      </c>
      <c r="E5737" t="s">
        <v>473</v>
      </c>
      <c r="F5737" s="4">
        <v>0</v>
      </c>
      <c r="G5737" s="4">
        <v>605</v>
      </c>
      <c r="H5737" s="4">
        <v>0</v>
      </c>
      <c r="I5737" s="4">
        <v>605</v>
      </c>
      <c r="J5737" s="4">
        <v>605</v>
      </c>
    </row>
    <row r="5738" spans="1:10" x14ac:dyDescent="0.75">
      <c r="A5738" t="s">
        <v>151</v>
      </c>
      <c r="B5738">
        <v>4344</v>
      </c>
      <c r="C5738" t="s">
        <v>13</v>
      </c>
      <c r="D5738">
        <v>6534</v>
      </c>
      <c r="E5738" t="s">
        <v>508</v>
      </c>
      <c r="F5738" s="4">
        <v>0</v>
      </c>
      <c r="G5738" s="4">
        <v>586</v>
      </c>
      <c r="H5738" s="4">
        <v>586</v>
      </c>
      <c r="I5738" s="4">
        <v>0</v>
      </c>
      <c r="J5738" s="4">
        <v>586</v>
      </c>
    </row>
    <row r="5739" spans="1:10" x14ac:dyDescent="0.75">
      <c r="A5739" t="s">
        <v>151</v>
      </c>
      <c r="B5739">
        <v>4344</v>
      </c>
      <c r="C5739" t="s">
        <v>13</v>
      </c>
      <c r="D5739">
        <v>3273</v>
      </c>
      <c r="E5739" t="s">
        <v>411</v>
      </c>
      <c r="F5739" s="4">
        <v>0</v>
      </c>
      <c r="G5739" s="4">
        <v>482</v>
      </c>
      <c r="H5739" s="4">
        <v>56</v>
      </c>
      <c r="I5739" s="4">
        <v>426</v>
      </c>
      <c r="J5739" s="4">
        <v>482</v>
      </c>
    </row>
    <row r="5740" spans="1:10" x14ac:dyDescent="0.75">
      <c r="A5740" t="s">
        <v>151</v>
      </c>
      <c r="B5740">
        <v>4344</v>
      </c>
      <c r="C5740" t="s">
        <v>13</v>
      </c>
      <c r="D5740">
        <v>2540</v>
      </c>
      <c r="E5740" t="s">
        <v>377</v>
      </c>
      <c r="F5740" s="4">
        <v>0</v>
      </c>
      <c r="G5740" s="4">
        <v>478</v>
      </c>
      <c r="H5740" s="4">
        <v>0</v>
      </c>
      <c r="I5740" s="4">
        <v>478</v>
      </c>
      <c r="J5740" s="4">
        <v>478</v>
      </c>
    </row>
    <row r="5741" spans="1:10" x14ac:dyDescent="0.75">
      <c r="A5741" t="s">
        <v>151</v>
      </c>
      <c r="B5741">
        <v>4344</v>
      </c>
      <c r="C5741" t="s">
        <v>13</v>
      </c>
      <c r="D5741">
        <v>4515</v>
      </c>
      <c r="E5741" t="s">
        <v>455</v>
      </c>
      <c r="F5741" s="4">
        <v>0</v>
      </c>
      <c r="G5741" s="4">
        <v>433</v>
      </c>
      <c r="H5741" s="4">
        <v>423</v>
      </c>
      <c r="I5741" s="4">
        <v>10</v>
      </c>
      <c r="J5741" s="4">
        <v>433</v>
      </c>
    </row>
    <row r="5742" spans="1:10" x14ac:dyDescent="0.75">
      <c r="A5742" t="s">
        <v>151</v>
      </c>
      <c r="B5742">
        <v>4344</v>
      </c>
      <c r="C5742" t="s">
        <v>13</v>
      </c>
      <c r="D5742">
        <v>5320</v>
      </c>
      <c r="E5742" t="s">
        <v>384</v>
      </c>
      <c r="F5742" s="4">
        <v>0</v>
      </c>
      <c r="G5742" s="4">
        <v>422</v>
      </c>
      <c r="H5742" s="4">
        <v>402</v>
      </c>
      <c r="I5742" s="4">
        <v>20</v>
      </c>
      <c r="J5742" s="4">
        <v>422</v>
      </c>
    </row>
    <row r="5743" spans="1:10" x14ac:dyDescent="0.75">
      <c r="A5743" t="s">
        <v>151</v>
      </c>
      <c r="B5743">
        <v>4344</v>
      </c>
      <c r="C5743" t="s">
        <v>13</v>
      </c>
      <c r="D5743">
        <v>4860</v>
      </c>
      <c r="E5743" t="s">
        <v>400</v>
      </c>
      <c r="F5743" s="4">
        <v>0</v>
      </c>
      <c r="G5743" s="4">
        <v>414</v>
      </c>
      <c r="H5743" s="4">
        <v>414</v>
      </c>
      <c r="I5743" s="4">
        <v>0</v>
      </c>
      <c r="J5743" s="4">
        <v>414</v>
      </c>
    </row>
    <row r="5744" spans="1:10" x14ac:dyDescent="0.75">
      <c r="A5744" t="s">
        <v>151</v>
      </c>
      <c r="B5744">
        <v>4344</v>
      </c>
      <c r="C5744" t="s">
        <v>13</v>
      </c>
      <c r="D5744">
        <v>6241</v>
      </c>
      <c r="E5744" t="s">
        <v>391</v>
      </c>
      <c r="F5744" s="4">
        <v>0</v>
      </c>
      <c r="G5744" s="4">
        <v>376</v>
      </c>
      <c r="H5744" s="4">
        <v>26</v>
      </c>
      <c r="I5744" s="4">
        <v>350</v>
      </c>
      <c r="J5744" s="4">
        <v>376</v>
      </c>
    </row>
    <row r="5745" spans="1:10" x14ac:dyDescent="0.75">
      <c r="A5745" t="s">
        <v>151</v>
      </c>
      <c r="B5745">
        <v>4344</v>
      </c>
      <c r="C5745" t="s">
        <v>13</v>
      </c>
      <c r="D5745">
        <v>3298</v>
      </c>
      <c r="E5745" t="s">
        <v>447</v>
      </c>
      <c r="F5745" s="4">
        <v>0</v>
      </c>
      <c r="G5745" s="4">
        <v>343</v>
      </c>
      <c r="H5745" s="4">
        <v>343</v>
      </c>
      <c r="I5745" s="4">
        <v>0</v>
      </c>
      <c r="J5745" s="4">
        <v>343</v>
      </c>
    </row>
    <row r="5746" spans="1:10" x14ac:dyDescent="0.75">
      <c r="A5746" t="s">
        <v>151</v>
      </c>
      <c r="B5746">
        <v>4344</v>
      </c>
      <c r="C5746" t="s">
        <v>13</v>
      </c>
      <c r="D5746">
        <v>3211</v>
      </c>
      <c r="E5746" t="s">
        <v>433</v>
      </c>
      <c r="F5746" s="4">
        <v>0</v>
      </c>
      <c r="G5746" s="4">
        <v>253</v>
      </c>
      <c r="H5746" s="4">
        <v>245</v>
      </c>
      <c r="I5746" s="4">
        <v>8</v>
      </c>
      <c r="J5746" s="4">
        <v>253</v>
      </c>
    </row>
    <row r="5747" spans="1:10" x14ac:dyDescent="0.75">
      <c r="A5747" t="s">
        <v>151</v>
      </c>
      <c r="B5747">
        <v>4344</v>
      </c>
      <c r="C5747" t="s">
        <v>13</v>
      </c>
      <c r="D5747">
        <v>5210</v>
      </c>
      <c r="E5747" t="s">
        <v>463</v>
      </c>
      <c r="F5747" s="4">
        <v>0</v>
      </c>
      <c r="G5747" s="4">
        <v>191</v>
      </c>
      <c r="H5747" s="4">
        <v>191</v>
      </c>
      <c r="I5747" s="4">
        <v>0</v>
      </c>
      <c r="J5747" s="4">
        <v>191</v>
      </c>
    </row>
    <row r="5748" spans="1:10" x14ac:dyDescent="0.75">
      <c r="A5748" t="s">
        <v>151</v>
      </c>
      <c r="B5748">
        <v>4344</v>
      </c>
      <c r="C5748" t="s">
        <v>13</v>
      </c>
      <c r="D5748">
        <v>4323</v>
      </c>
      <c r="E5748" t="s">
        <v>373</v>
      </c>
      <c r="F5748" s="4">
        <v>0</v>
      </c>
      <c r="G5748" s="4">
        <v>187</v>
      </c>
      <c r="H5748" s="4">
        <v>47</v>
      </c>
      <c r="I5748" s="4">
        <v>140</v>
      </c>
      <c r="J5748" s="4">
        <v>187</v>
      </c>
    </row>
    <row r="5749" spans="1:10" x14ac:dyDescent="0.75">
      <c r="A5749" t="s">
        <v>151</v>
      </c>
      <c r="B5749">
        <v>4344</v>
      </c>
      <c r="C5749" t="s">
        <v>13</v>
      </c>
      <c r="D5749">
        <v>2350</v>
      </c>
      <c r="E5749" t="s">
        <v>404</v>
      </c>
      <c r="F5749" s="4">
        <v>0</v>
      </c>
      <c r="G5749" s="4">
        <v>181</v>
      </c>
      <c r="H5749" s="4">
        <v>54</v>
      </c>
      <c r="I5749" s="4">
        <v>127</v>
      </c>
      <c r="J5749" s="4">
        <v>181</v>
      </c>
    </row>
    <row r="5750" spans="1:10" x14ac:dyDescent="0.75">
      <c r="A5750" t="s">
        <v>151</v>
      </c>
      <c r="B5750">
        <v>4344</v>
      </c>
      <c r="C5750" t="s">
        <v>13</v>
      </c>
      <c r="D5750">
        <v>6865</v>
      </c>
      <c r="E5750" t="s">
        <v>490</v>
      </c>
      <c r="F5750" s="4">
        <v>0</v>
      </c>
      <c r="G5750" s="4">
        <v>163</v>
      </c>
      <c r="H5750" s="4">
        <v>163</v>
      </c>
      <c r="I5750" s="4">
        <v>0</v>
      </c>
      <c r="J5750" s="4">
        <v>163</v>
      </c>
    </row>
    <row r="5751" spans="1:10" x14ac:dyDescent="0.75">
      <c r="A5751" t="s">
        <v>151</v>
      </c>
      <c r="B5751">
        <v>4344</v>
      </c>
      <c r="C5751" t="s">
        <v>13</v>
      </c>
      <c r="D5751">
        <v>3120</v>
      </c>
      <c r="E5751" t="s">
        <v>406</v>
      </c>
      <c r="F5751" s="4">
        <v>0</v>
      </c>
      <c r="G5751" s="4">
        <v>151</v>
      </c>
      <c r="H5751" s="4">
        <v>129</v>
      </c>
      <c r="I5751" s="4">
        <v>22</v>
      </c>
      <c r="J5751" s="4">
        <v>151</v>
      </c>
    </row>
    <row r="5752" spans="1:10" x14ac:dyDescent="0.75">
      <c r="A5752" t="s">
        <v>151</v>
      </c>
      <c r="B5752">
        <v>4344</v>
      </c>
      <c r="C5752" t="s">
        <v>13</v>
      </c>
      <c r="D5752">
        <v>5110</v>
      </c>
      <c r="E5752" t="s">
        <v>460</v>
      </c>
      <c r="F5752" s="4">
        <v>0</v>
      </c>
      <c r="G5752" s="4">
        <v>123</v>
      </c>
      <c r="H5752" s="4">
        <v>112</v>
      </c>
      <c r="I5752" s="4">
        <v>11</v>
      </c>
      <c r="J5752" s="4">
        <v>123</v>
      </c>
    </row>
    <row r="5753" spans="1:10" x14ac:dyDescent="0.75">
      <c r="A5753" t="s">
        <v>151</v>
      </c>
      <c r="B5753">
        <v>4344</v>
      </c>
      <c r="C5753" t="s">
        <v>13</v>
      </c>
      <c r="D5753">
        <v>2430</v>
      </c>
      <c r="E5753" t="s">
        <v>376</v>
      </c>
      <c r="F5753" s="4">
        <v>0</v>
      </c>
      <c r="G5753" s="4">
        <v>118</v>
      </c>
      <c r="H5753" s="4">
        <v>2</v>
      </c>
      <c r="I5753" s="4">
        <v>116</v>
      </c>
      <c r="J5753" s="4">
        <v>118</v>
      </c>
    </row>
    <row r="5754" spans="1:10" x14ac:dyDescent="0.75">
      <c r="A5754" t="s">
        <v>151</v>
      </c>
      <c r="B5754">
        <v>4344</v>
      </c>
      <c r="C5754" t="s">
        <v>13</v>
      </c>
      <c r="D5754">
        <v>4327</v>
      </c>
      <c r="E5754" t="s">
        <v>454</v>
      </c>
      <c r="F5754" s="4">
        <v>0</v>
      </c>
      <c r="G5754" s="4">
        <v>82</v>
      </c>
      <c r="H5754" s="4">
        <v>82</v>
      </c>
      <c r="I5754" s="4">
        <v>0</v>
      </c>
      <c r="J5754" s="4">
        <v>82</v>
      </c>
    </row>
    <row r="5755" spans="1:10" x14ac:dyDescent="0.75">
      <c r="A5755" t="s">
        <v>151</v>
      </c>
      <c r="B5755">
        <v>4344</v>
      </c>
      <c r="C5755" t="s">
        <v>13</v>
      </c>
      <c r="D5755">
        <v>2429</v>
      </c>
      <c r="E5755" t="s">
        <v>375</v>
      </c>
      <c r="F5755" s="4">
        <v>0</v>
      </c>
      <c r="G5755" s="4">
        <v>24</v>
      </c>
      <c r="H5755" s="4">
        <v>24</v>
      </c>
      <c r="I5755" s="4">
        <v>0</v>
      </c>
      <c r="J5755" s="4">
        <v>24</v>
      </c>
    </row>
    <row r="5756" spans="1:10" x14ac:dyDescent="0.75">
      <c r="A5756" t="s">
        <v>151</v>
      </c>
      <c r="B5756">
        <v>4344</v>
      </c>
      <c r="C5756" t="s">
        <v>13</v>
      </c>
      <c r="D5756">
        <v>2221</v>
      </c>
      <c r="E5756" t="s">
        <v>374</v>
      </c>
      <c r="F5756" s="4">
        <v>0</v>
      </c>
      <c r="G5756" s="4">
        <v>8</v>
      </c>
      <c r="H5756" s="4">
        <v>8</v>
      </c>
      <c r="I5756" s="4">
        <v>0</v>
      </c>
      <c r="J5756" s="4">
        <v>8</v>
      </c>
    </row>
    <row r="5757" spans="1:10" x14ac:dyDescent="0.75">
      <c r="A5757" t="s">
        <v>151</v>
      </c>
      <c r="B5757">
        <v>4344</v>
      </c>
      <c r="C5757" t="s">
        <v>13</v>
      </c>
      <c r="D5757">
        <v>4410</v>
      </c>
      <c r="E5757" t="s">
        <v>399</v>
      </c>
      <c r="F5757" s="4">
        <v>0</v>
      </c>
      <c r="G5757" s="4">
        <v>8</v>
      </c>
      <c r="H5757" s="4">
        <v>8</v>
      </c>
      <c r="I5757" s="4">
        <v>0</v>
      </c>
      <c r="J5757" s="4">
        <v>8</v>
      </c>
    </row>
    <row r="5758" spans="1:10" x14ac:dyDescent="0.75">
      <c r="A5758" t="s">
        <v>151</v>
      </c>
      <c r="B5758">
        <v>4344</v>
      </c>
      <c r="C5758" t="s">
        <v>13</v>
      </c>
      <c r="D5758">
        <v>3212</v>
      </c>
      <c r="E5758" t="s">
        <v>409</v>
      </c>
      <c r="F5758" s="4">
        <v>0</v>
      </c>
      <c r="G5758" s="4">
        <v>2</v>
      </c>
      <c r="H5758" s="4">
        <v>0</v>
      </c>
      <c r="I5758" s="4">
        <v>2</v>
      </c>
      <c r="J5758" s="4">
        <v>2</v>
      </c>
    </row>
    <row r="5759" spans="1:10" x14ac:dyDescent="0.75">
      <c r="A5759" t="s">
        <v>151</v>
      </c>
      <c r="B5759">
        <v>4713</v>
      </c>
      <c r="C5759" t="s">
        <v>254</v>
      </c>
      <c r="D5759">
        <v>4170</v>
      </c>
      <c r="E5759" t="s">
        <v>424</v>
      </c>
      <c r="F5759" s="4">
        <v>207550</v>
      </c>
      <c r="G5759" s="4">
        <v>764915</v>
      </c>
      <c r="H5759" s="4">
        <v>0</v>
      </c>
      <c r="I5759" s="4">
        <v>764915</v>
      </c>
      <c r="J5759" s="4">
        <v>972465</v>
      </c>
    </row>
    <row r="5760" spans="1:10" x14ac:dyDescent="0.75">
      <c r="A5760" t="s">
        <v>151</v>
      </c>
      <c r="B5760">
        <v>4713</v>
      </c>
      <c r="C5760" t="s">
        <v>254</v>
      </c>
      <c r="D5760">
        <v>7900</v>
      </c>
      <c r="E5760" t="s">
        <v>388</v>
      </c>
      <c r="F5760" s="4">
        <v>0</v>
      </c>
      <c r="G5760" s="4">
        <v>9837</v>
      </c>
      <c r="H5760" s="4">
        <v>0</v>
      </c>
      <c r="I5760" s="4">
        <v>9837</v>
      </c>
      <c r="J5760" s="4">
        <v>9837</v>
      </c>
    </row>
    <row r="5761" spans="1:10" x14ac:dyDescent="0.75">
      <c r="A5761" t="s">
        <v>151</v>
      </c>
      <c r="B5761">
        <v>4713</v>
      </c>
      <c r="C5761" t="s">
        <v>254</v>
      </c>
      <c r="D5761">
        <v>6839</v>
      </c>
      <c r="E5761" t="s">
        <v>485</v>
      </c>
      <c r="F5761" s="4">
        <v>0</v>
      </c>
      <c r="G5761" s="4">
        <v>7774</v>
      </c>
      <c r="H5761" s="4">
        <v>0</v>
      </c>
      <c r="I5761" s="4">
        <v>7774</v>
      </c>
      <c r="J5761" s="4">
        <v>7774</v>
      </c>
    </row>
    <row r="5762" spans="1:10" x14ac:dyDescent="0.75">
      <c r="A5762" t="s">
        <v>151</v>
      </c>
      <c r="B5762">
        <v>4713</v>
      </c>
      <c r="C5762" t="s">
        <v>254</v>
      </c>
      <c r="D5762">
        <v>6442</v>
      </c>
      <c r="E5762" t="s">
        <v>472</v>
      </c>
      <c r="F5762" s="4">
        <v>0</v>
      </c>
      <c r="G5762" s="4">
        <v>2655</v>
      </c>
      <c r="H5762" s="4">
        <v>2655</v>
      </c>
      <c r="I5762" s="4">
        <v>0</v>
      </c>
      <c r="J5762" s="4">
        <v>2655</v>
      </c>
    </row>
    <row r="5763" spans="1:10" x14ac:dyDescent="0.75">
      <c r="A5763" t="s">
        <v>151</v>
      </c>
      <c r="B5763">
        <v>4713</v>
      </c>
      <c r="C5763" t="s">
        <v>254</v>
      </c>
      <c r="D5763">
        <v>7110</v>
      </c>
      <c r="E5763" t="s">
        <v>371</v>
      </c>
      <c r="F5763" s="4">
        <v>0</v>
      </c>
      <c r="G5763" s="4">
        <v>1</v>
      </c>
      <c r="H5763" s="4">
        <v>0</v>
      </c>
      <c r="I5763" s="4">
        <v>1</v>
      </c>
      <c r="J5763" s="4">
        <v>1</v>
      </c>
    </row>
    <row r="5764" spans="1:10" x14ac:dyDescent="0.75">
      <c r="A5764" t="s">
        <v>151</v>
      </c>
      <c r="B5764">
        <v>1983</v>
      </c>
      <c r="C5764" t="s">
        <v>39</v>
      </c>
      <c r="D5764">
        <v>6861</v>
      </c>
      <c r="E5764" t="s">
        <v>489</v>
      </c>
      <c r="F5764" s="4">
        <v>656786</v>
      </c>
      <c r="G5764" s="4">
        <v>6149</v>
      </c>
      <c r="H5764" s="4">
        <v>258</v>
      </c>
      <c r="I5764" s="4">
        <v>5891</v>
      </c>
      <c r="J5764" s="4">
        <v>662935</v>
      </c>
    </row>
    <row r="5765" spans="1:10" x14ac:dyDescent="0.75">
      <c r="A5765" t="s">
        <v>151</v>
      </c>
      <c r="B5765">
        <v>1983</v>
      </c>
      <c r="C5765" t="s">
        <v>39</v>
      </c>
      <c r="D5765">
        <v>7900</v>
      </c>
      <c r="E5765" t="s">
        <v>388</v>
      </c>
      <c r="F5765" s="4">
        <v>0</v>
      </c>
      <c r="G5765" s="4">
        <v>326373</v>
      </c>
      <c r="H5765" s="4">
        <v>126157</v>
      </c>
      <c r="I5765" s="4">
        <v>200216</v>
      </c>
      <c r="J5765" s="4">
        <v>326373</v>
      </c>
    </row>
    <row r="5766" spans="1:10" x14ac:dyDescent="0.75">
      <c r="A5766" t="s">
        <v>151</v>
      </c>
      <c r="B5766">
        <v>1983</v>
      </c>
      <c r="C5766" t="s">
        <v>39</v>
      </c>
      <c r="D5766">
        <v>6654</v>
      </c>
      <c r="E5766" t="s">
        <v>419</v>
      </c>
      <c r="F5766" s="4">
        <v>0</v>
      </c>
      <c r="G5766" s="4">
        <v>180542</v>
      </c>
      <c r="H5766" s="4">
        <v>68524</v>
      </c>
      <c r="I5766" s="4">
        <v>112018</v>
      </c>
      <c r="J5766" s="4">
        <v>180542</v>
      </c>
    </row>
    <row r="5767" spans="1:10" x14ac:dyDescent="0.75">
      <c r="A5767" t="s">
        <v>151</v>
      </c>
      <c r="B5767">
        <v>1983</v>
      </c>
      <c r="C5767" t="s">
        <v>39</v>
      </c>
      <c r="D5767">
        <v>6889</v>
      </c>
      <c r="E5767" t="s">
        <v>420</v>
      </c>
      <c r="F5767" s="4">
        <v>0</v>
      </c>
      <c r="G5767" s="4">
        <v>145358</v>
      </c>
      <c r="H5767" s="4">
        <v>15076</v>
      </c>
      <c r="I5767" s="4">
        <v>130282</v>
      </c>
      <c r="J5767" s="4">
        <v>145358</v>
      </c>
    </row>
    <row r="5768" spans="1:10" x14ac:dyDescent="0.75">
      <c r="A5768" t="s">
        <v>151</v>
      </c>
      <c r="B5768">
        <v>1983</v>
      </c>
      <c r="C5768" t="s">
        <v>39</v>
      </c>
      <c r="D5768">
        <v>2430</v>
      </c>
      <c r="E5768" t="s">
        <v>376</v>
      </c>
      <c r="F5768" s="4">
        <v>115195</v>
      </c>
      <c r="G5768" s="4">
        <v>14</v>
      </c>
      <c r="H5768" s="4">
        <v>1</v>
      </c>
      <c r="I5768" s="4">
        <v>13</v>
      </c>
      <c r="J5768" s="4">
        <v>115209</v>
      </c>
    </row>
    <row r="5769" spans="1:10" x14ac:dyDescent="0.75">
      <c r="A5769" t="s">
        <v>151</v>
      </c>
      <c r="B5769">
        <v>1983</v>
      </c>
      <c r="C5769" t="s">
        <v>39</v>
      </c>
      <c r="D5769">
        <v>9900</v>
      </c>
      <c r="E5769" t="s">
        <v>389</v>
      </c>
      <c r="F5769" s="4">
        <v>0</v>
      </c>
      <c r="G5769" s="4">
        <v>110132</v>
      </c>
      <c r="H5769" s="4">
        <v>1894</v>
      </c>
      <c r="I5769" s="4">
        <v>108238</v>
      </c>
      <c r="J5769" s="4">
        <v>110132</v>
      </c>
    </row>
    <row r="5770" spans="1:10" x14ac:dyDescent="0.75">
      <c r="A5770" t="s">
        <v>151</v>
      </c>
      <c r="B5770">
        <v>1983</v>
      </c>
      <c r="C5770" t="s">
        <v>39</v>
      </c>
      <c r="D5770">
        <v>5360</v>
      </c>
      <c r="E5770" t="s">
        <v>465</v>
      </c>
      <c r="F5770" s="4">
        <v>0</v>
      </c>
      <c r="G5770" s="4">
        <v>105408</v>
      </c>
      <c r="H5770" s="4">
        <v>8585</v>
      </c>
      <c r="I5770" s="4">
        <v>96823</v>
      </c>
      <c r="J5770" s="4">
        <v>105408</v>
      </c>
    </row>
    <row r="5771" spans="1:10" x14ac:dyDescent="0.75">
      <c r="A5771" t="s">
        <v>151</v>
      </c>
      <c r="B5771">
        <v>1983</v>
      </c>
      <c r="C5771" t="s">
        <v>39</v>
      </c>
      <c r="D5771">
        <v>2330</v>
      </c>
      <c r="E5771" t="s">
        <v>368</v>
      </c>
      <c r="F5771" s="4">
        <v>77901</v>
      </c>
      <c r="G5771" s="4">
        <v>8814</v>
      </c>
      <c r="H5771" s="4">
        <v>1697</v>
      </c>
      <c r="I5771" s="4">
        <v>7117</v>
      </c>
      <c r="J5771" s="4">
        <v>86715</v>
      </c>
    </row>
    <row r="5772" spans="1:10" x14ac:dyDescent="0.75">
      <c r="A5772" t="s">
        <v>151</v>
      </c>
      <c r="B5772">
        <v>1983</v>
      </c>
      <c r="C5772" t="s">
        <v>39</v>
      </c>
      <c r="D5772">
        <v>6822</v>
      </c>
      <c r="E5772" t="s">
        <v>482</v>
      </c>
      <c r="F5772" s="4">
        <v>0</v>
      </c>
      <c r="G5772" s="4">
        <v>86345</v>
      </c>
      <c r="H5772" s="4">
        <v>2401</v>
      </c>
      <c r="I5772" s="4">
        <v>83944</v>
      </c>
      <c r="J5772" s="4">
        <v>86345</v>
      </c>
    </row>
    <row r="5773" spans="1:10" x14ac:dyDescent="0.75">
      <c r="A5773" t="s">
        <v>151</v>
      </c>
      <c r="B5773">
        <v>1983</v>
      </c>
      <c r="C5773" t="s">
        <v>39</v>
      </c>
      <c r="D5773">
        <v>6811</v>
      </c>
      <c r="E5773" t="s">
        <v>480</v>
      </c>
      <c r="F5773" s="4">
        <v>0</v>
      </c>
      <c r="G5773" s="4">
        <v>85319</v>
      </c>
      <c r="H5773" s="4">
        <v>5087</v>
      </c>
      <c r="I5773" s="4">
        <v>80232</v>
      </c>
      <c r="J5773" s="4">
        <v>85319</v>
      </c>
    </row>
    <row r="5774" spans="1:10" x14ac:dyDescent="0.75">
      <c r="A5774" t="s">
        <v>151</v>
      </c>
      <c r="B5774">
        <v>1983</v>
      </c>
      <c r="C5774" t="s">
        <v>39</v>
      </c>
      <c r="D5774">
        <v>5220</v>
      </c>
      <c r="E5774" t="s">
        <v>401</v>
      </c>
      <c r="F5774" s="4">
        <v>0</v>
      </c>
      <c r="G5774" s="4">
        <v>65391</v>
      </c>
      <c r="H5774" s="4">
        <v>57388</v>
      </c>
      <c r="I5774" s="4">
        <v>8003</v>
      </c>
      <c r="J5774" s="4">
        <v>65391</v>
      </c>
    </row>
    <row r="5775" spans="1:10" x14ac:dyDescent="0.75">
      <c r="A5775" t="s">
        <v>151</v>
      </c>
      <c r="B5775">
        <v>1983</v>
      </c>
      <c r="C5775" t="s">
        <v>39</v>
      </c>
      <c r="D5775">
        <v>5290</v>
      </c>
      <c r="E5775" t="s">
        <v>415</v>
      </c>
      <c r="F5775" s="4">
        <v>0</v>
      </c>
      <c r="G5775" s="4">
        <v>62265</v>
      </c>
      <c r="H5775" s="4">
        <v>26070</v>
      </c>
      <c r="I5775" s="4">
        <v>36195</v>
      </c>
      <c r="J5775" s="4">
        <v>62265</v>
      </c>
    </row>
    <row r="5776" spans="1:10" x14ac:dyDescent="0.75">
      <c r="A5776" t="s">
        <v>151</v>
      </c>
      <c r="B5776">
        <v>1983</v>
      </c>
      <c r="C5776" t="s">
        <v>39</v>
      </c>
      <c r="D5776">
        <v>4420</v>
      </c>
      <c r="E5776" t="s">
        <v>381</v>
      </c>
      <c r="F5776" s="4">
        <v>0</v>
      </c>
      <c r="G5776" s="4">
        <v>57013</v>
      </c>
      <c r="H5776" s="4">
        <v>600</v>
      </c>
      <c r="I5776" s="4">
        <v>56413</v>
      </c>
      <c r="J5776" s="4">
        <v>57013</v>
      </c>
    </row>
    <row r="5777" spans="1:10" x14ac:dyDescent="0.75">
      <c r="A5777" t="s">
        <v>151</v>
      </c>
      <c r="B5777">
        <v>1983</v>
      </c>
      <c r="C5777" t="s">
        <v>39</v>
      </c>
      <c r="D5777">
        <v>7600</v>
      </c>
      <c r="E5777" t="s">
        <v>503</v>
      </c>
      <c r="F5777" s="4">
        <v>0</v>
      </c>
      <c r="G5777" s="4">
        <v>45422</v>
      </c>
      <c r="H5777" s="4">
        <v>4752</v>
      </c>
      <c r="I5777" s="4">
        <v>40670</v>
      </c>
      <c r="J5777" s="4">
        <v>45422</v>
      </c>
    </row>
    <row r="5778" spans="1:10" x14ac:dyDescent="0.75">
      <c r="A5778" t="s">
        <v>151</v>
      </c>
      <c r="B5778">
        <v>1983</v>
      </c>
      <c r="C5778" t="s">
        <v>39</v>
      </c>
      <c r="D5778">
        <v>6747</v>
      </c>
      <c r="E5778" t="s">
        <v>478</v>
      </c>
      <c r="F5778" s="4">
        <v>0</v>
      </c>
      <c r="G5778" s="4">
        <v>42435</v>
      </c>
      <c r="H5778" s="4">
        <v>4575</v>
      </c>
      <c r="I5778" s="4">
        <v>37860</v>
      </c>
      <c r="J5778" s="4">
        <v>42435</v>
      </c>
    </row>
    <row r="5779" spans="1:10" x14ac:dyDescent="0.75">
      <c r="A5779" t="s">
        <v>151</v>
      </c>
      <c r="B5779">
        <v>1983</v>
      </c>
      <c r="C5779" t="s">
        <v>39</v>
      </c>
      <c r="D5779">
        <v>7110</v>
      </c>
      <c r="E5779" t="s">
        <v>371</v>
      </c>
      <c r="F5779" s="4">
        <v>0</v>
      </c>
      <c r="G5779" s="4">
        <v>41850</v>
      </c>
      <c r="H5779" s="4">
        <v>5668</v>
      </c>
      <c r="I5779" s="4">
        <v>36182</v>
      </c>
      <c r="J5779" s="4">
        <v>41850</v>
      </c>
    </row>
    <row r="5780" spans="1:10" x14ac:dyDescent="0.75">
      <c r="A5780" t="s">
        <v>151</v>
      </c>
      <c r="B5780">
        <v>1983</v>
      </c>
      <c r="C5780" t="s">
        <v>39</v>
      </c>
      <c r="D5780">
        <v>7210</v>
      </c>
      <c r="E5780" t="s">
        <v>426</v>
      </c>
      <c r="F5780" s="4">
        <v>0</v>
      </c>
      <c r="G5780" s="4">
        <v>35644</v>
      </c>
      <c r="H5780" s="4">
        <v>2813</v>
      </c>
      <c r="I5780" s="4">
        <v>32831</v>
      </c>
      <c r="J5780" s="4">
        <v>35644</v>
      </c>
    </row>
    <row r="5781" spans="1:10" x14ac:dyDescent="0.75">
      <c r="A5781" t="s">
        <v>151</v>
      </c>
      <c r="B5781">
        <v>1983</v>
      </c>
      <c r="C5781" t="s">
        <v>39</v>
      </c>
      <c r="D5781">
        <v>3285</v>
      </c>
      <c r="E5781" t="s">
        <v>443</v>
      </c>
      <c r="F5781" s="4">
        <v>0</v>
      </c>
      <c r="G5781" s="4">
        <v>35395</v>
      </c>
      <c r="H5781" s="4">
        <v>556</v>
      </c>
      <c r="I5781" s="4">
        <v>34839</v>
      </c>
      <c r="J5781" s="4">
        <v>35395</v>
      </c>
    </row>
    <row r="5782" spans="1:10" x14ac:dyDescent="0.75">
      <c r="A5782" t="s">
        <v>151</v>
      </c>
      <c r="B5782">
        <v>1983</v>
      </c>
      <c r="C5782" t="s">
        <v>39</v>
      </c>
      <c r="D5782">
        <v>5480</v>
      </c>
      <c r="E5782" t="s">
        <v>386</v>
      </c>
      <c r="F5782" s="4">
        <v>0</v>
      </c>
      <c r="G5782" s="4">
        <v>34983</v>
      </c>
      <c r="H5782" s="4">
        <v>4478</v>
      </c>
      <c r="I5782" s="4">
        <v>30505</v>
      </c>
      <c r="J5782" s="4">
        <v>34983</v>
      </c>
    </row>
    <row r="5783" spans="1:10" x14ac:dyDescent="0.75">
      <c r="A5783" t="s">
        <v>151</v>
      </c>
      <c r="B5783">
        <v>1983</v>
      </c>
      <c r="C5783" t="s">
        <v>39</v>
      </c>
      <c r="D5783">
        <v>5540</v>
      </c>
      <c r="E5783" t="s">
        <v>469</v>
      </c>
      <c r="F5783" s="4">
        <v>0</v>
      </c>
      <c r="G5783" s="4">
        <v>32627</v>
      </c>
      <c r="H5783" s="4">
        <v>740</v>
      </c>
      <c r="I5783" s="4">
        <v>31887</v>
      </c>
      <c r="J5783" s="4">
        <v>32627</v>
      </c>
    </row>
    <row r="5784" spans="1:10" x14ac:dyDescent="0.75">
      <c r="A5784" t="s">
        <v>151</v>
      </c>
      <c r="B5784">
        <v>1983</v>
      </c>
      <c r="C5784" t="s">
        <v>39</v>
      </c>
      <c r="D5784">
        <v>4189</v>
      </c>
      <c r="E5784" t="s">
        <v>451</v>
      </c>
      <c r="F5784" s="4">
        <v>0</v>
      </c>
      <c r="G5784" s="4">
        <v>32418</v>
      </c>
      <c r="H5784" s="4">
        <v>728</v>
      </c>
      <c r="I5784" s="4">
        <v>31690</v>
      </c>
      <c r="J5784" s="4">
        <v>32418</v>
      </c>
    </row>
    <row r="5785" spans="1:10" x14ac:dyDescent="0.75">
      <c r="A5785" t="s">
        <v>151</v>
      </c>
      <c r="B5785">
        <v>1983</v>
      </c>
      <c r="C5785" t="s">
        <v>39</v>
      </c>
      <c r="D5785">
        <v>6885</v>
      </c>
      <c r="E5785" t="s">
        <v>493</v>
      </c>
      <c r="F5785" s="4">
        <v>0</v>
      </c>
      <c r="G5785" s="4">
        <v>31070</v>
      </c>
      <c r="H5785" s="4">
        <v>2726</v>
      </c>
      <c r="I5785" s="4">
        <v>28344</v>
      </c>
      <c r="J5785" s="4">
        <v>31070</v>
      </c>
    </row>
    <row r="5786" spans="1:10" x14ac:dyDescent="0.75">
      <c r="A5786" t="s">
        <v>151</v>
      </c>
      <c r="B5786">
        <v>1983</v>
      </c>
      <c r="C5786" t="s">
        <v>39</v>
      </c>
      <c r="D5786">
        <v>7500</v>
      </c>
      <c r="E5786" t="s">
        <v>427</v>
      </c>
      <c r="F5786" s="4">
        <v>0</v>
      </c>
      <c r="G5786" s="4">
        <v>30039</v>
      </c>
      <c r="H5786" s="4">
        <v>8327</v>
      </c>
      <c r="I5786" s="4">
        <v>21712</v>
      </c>
      <c r="J5786" s="4">
        <v>30039</v>
      </c>
    </row>
    <row r="5787" spans="1:10" x14ac:dyDescent="0.75">
      <c r="A5787" t="s">
        <v>151</v>
      </c>
      <c r="B5787">
        <v>1983</v>
      </c>
      <c r="C5787" t="s">
        <v>39</v>
      </c>
      <c r="D5787">
        <v>7120</v>
      </c>
      <c r="E5787" t="s">
        <v>499</v>
      </c>
      <c r="F5787" s="4">
        <v>0</v>
      </c>
      <c r="G5787" s="4">
        <v>30025</v>
      </c>
      <c r="H5787" s="4">
        <v>5092</v>
      </c>
      <c r="I5787" s="4">
        <v>24933</v>
      </c>
      <c r="J5787" s="4">
        <v>30025</v>
      </c>
    </row>
    <row r="5788" spans="1:10" x14ac:dyDescent="0.75">
      <c r="A5788" t="s">
        <v>151</v>
      </c>
      <c r="B5788">
        <v>1983</v>
      </c>
      <c r="C5788" t="s">
        <v>39</v>
      </c>
      <c r="D5788">
        <v>6782</v>
      </c>
      <c r="E5788" t="s">
        <v>396</v>
      </c>
      <c r="F5788" s="4">
        <v>0</v>
      </c>
      <c r="G5788" s="4">
        <v>29840</v>
      </c>
      <c r="H5788" s="4">
        <v>1625</v>
      </c>
      <c r="I5788" s="4">
        <v>28215</v>
      </c>
      <c r="J5788" s="4">
        <v>29840</v>
      </c>
    </row>
    <row r="5789" spans="1:10" x14ac:dyDescent="0.75">
      <c r="A5789" t="s">
        <v>151</v>
      </c>
      <c r="B5789">
        <v>1983</v>
      </c>
      <c r="C5789" t="s">
        <v>39</v>
      </c>
      <c r="D5789">
        <v>6865</v>
      </c>
      <c r="E5789" t="s">
        <v>490</v>
      </c>
      <c r="F5789" s="4">
        <v>0</v>
      </c>
      <c r="G5789" s="4">
        <v>26306</v>
      </c>
      <c r="H5789" s="4">
        <v>0</v>
      </c>
      <c r="I5789" s="4">
        <v>26306</v>
      </c>
      <c r="J5789" s="4">
        <v>26306</v>
      </c>
    </row>
    <row r="5790" spans="1:10" x14ac:dyDescent="0.75">
      <c r="A5790" t="s">
        <v>151</v>
      </c>
      <c r="B5790">
        <v>1983</v>
      </c>
      <c r="C5790" t="s">
        <v>39</v>
      </c>
      <c r="D5790">
        <v>6857</v>
      </c>
      <c r="E5790" t="s">
        <v>487</v>
      </c>
      <c r="F5790" s="4">
        <v>0</v>
      </c>
      <c r="G5790" s="4">
        <v>25733</v>
      </c>
      <c r="H5790" s="4">
        <v>10868</v>
      </c>
      <c r="I5790" s="4">
        <v>14865</v>
      </c>
      <c r="J5790" s="4">
        <v>25733</v>
      </c>
    </row>
    <row r="5791" spans="1:10" x14ac:dyDescent="0.75">
      <c r="A5791" t="s">
        <v>151</v>
      </c>
      <c r="B5791">
        <v>1983</v>
      </c>
      <c r="C5791" t="s">
        <v>39</v>
      </c>
      <c r="D5791">
        <v>5190</v>
      </c>
      <c r="E5791" t="s">
        <v>462</v>
      </c>
      <c r="F5791" s="4">
        <v>0</v>
      </c>
      <c r="G5791" s="4">
        <v>25447</v>
      </c>
      <c r="H5791" s="4">
        <v>1205</v>
      </c>
      <c r="I5791" s="4">
        <v>24242</v>
      </c>
      <c r="J5791" s="4">
        <v>25447</v>
      </c>
    </row>
    <row r="5792" spans="1:10" x14ac:dyDescent="0.75">
      <c r="A5792" t="s">
        <v>151</v>
      </c>
      <c r="B5792">
        <v>1983</v>
      </c>
      <c r="C5792" t="s">
        <v>39</v>
      </c>
      <c r="D5792">
        <v>3293</v>
      </c>
      <c r="E5792" t="s">
        <v>445</v>
      </c>
      <c r="F5792" s="4">
        <v>0</v>
      </c>
      <c r="G5792" s="4">
        <v>23926</v>
      </c>
      <c r="H5792" s="4">
        <v>15</v>
      </c>
      <c r="I5792" s="4">
        <v>23911</v>
      </c>
      <c r="J5792" s="4">
        <v>23926</v>
      </c>
    </row>
    <row r="5793" spans="1:10" x14ac:dyDescent="0.75">
      <c r="A5793" t="s">
        <v>151</v>
      </c>
      <c r="B5793">
        <v>1983</v>
      </c>
      <c r="C5793" t="s">
        <v>39</v>
      </c>
      <c r="D5793">
        <v>6888</v>
      </c>
      <c r="E5793" t="s">
        <v>494</v>
      </c>
      <c r="F5793" s="4">
        <v>0</v>
      </c>
      <c r="G5793" s="4">
        <v>21784</v>
      </c>
      <c r="H5793" s="4">
        <v>72</v>
      </c>
      <c r="I5793" s="4">
        <v>21712</v>
      </c>
      <c r="J5793" s="4">
        <v>21784</v>
      </c>
    </row>
    <row r="5794" spans="1:10" x14ac:dyDescent="0.75">
      <c r="A5794" t="s">
        <v>151</v>
      </c>
      <c r="B5794">
        <v>1983</v>
      </c>
      <c r="C5794" t="s">
        <v>39</v>
      </c>
      <c r="D5794">
        <v>6858</v>
      </c>
      <c r="E5794" t="s">
        <v>488</v>
      </c>
      <c r="F5794" s="4">
        <v>0</v>
      </c>
      <c r="G5794" s="4">
        <v>21016</v>
      </c>
      <c r="H5794" s="4">
        <v>322</v>
      </c>
      <c r="I5794" s="4">
        <v>20694</v>
      </c>
      <c r="J5794" s="4">
        <v>21016</v>
      </c>
    </row>
    <row r="5795" spans="1:10" x14ac:dyDescent="0.75">
      <c r="A5795" t="s">
        <v>151</v>
      </c>
      <c r="B5795">
        <v>1983</v>
      </c>
      <c r="C5795" t="s">
        <v>39</v>
      </c>
      <c r="D5795">
        <v>3190</v>
      </c>
      <c r="E5795" t="s">
        <v>408</v>
      </c>
      <c r="F5795" s="4">
        <v>0</v>
      </c>
      <c r="G5795" s="4">
        <v>20436</v>
      </c>
      <c r="H5795" s="4">
        <v>16796</v>
      </c>
      <c r="I5795" s="4">
        <v>3640</v>
      </c>
      <c r="J5795" s="4">
        <v>20436</v>
      </c>
    </row>
    <row r="5796" spans="1:10" x14ac:dyDescent="0.75">
      <c r="A5796" t="s">
        <v>151</v>
      </c>
      <c r="B5796">
        <v>1983</v>
      </c>
      <c r="C5796" t="s">
        <v>39</v>
      </c>
      <c r="D5796">
        <v>6134</v>
      </c>
      <c r="E5796" t="s">
        <v>470</v>
      </c>
      <c r="F5796" s="4">
        <v>0</v>
      </c>
      <c r="G5796" s="4">
        <v>18418</v>
      </c>
      <c r="H5796" s="4">
        <v>3106</v>
      </c>
      <c r="I5796" s="4">
        <v>15312</v>
      </c>
      <c r="J5796" s="4">
        <v>18418</v>
      </c>
    </row>
    <row r="5797" spans="1:10" x14ac:dyDescent="0.75">
      <c r="A5797" t="s">
        <v>151</v>
      </c>
      <c r="B5797">
        <v>1983</v>
      </c>
      <c r="C5797" t="s">
        <v>39</v>
      </c>
      <c r="D5797">
        <v>4331</v>
      </c>
      <c r="E5797" t="s">
        <v>390</v>
      </c>
      <c r="F5797" s="4">
        <v>0</v>
      </c>
      <c r="G5797" s="4">
        <v>15930</v>
      </c>
      <c r="H5797" s="4">
        <v>14065</v>
      </c>
      <c r="I5797" s="4">
        <v>1865</v>
      </c>
      <c r="J5797" s="4">
        <v>15930</v>
      </c>
    </row>
    <row r="5798" spans="1:10" x14ac:dyDescent="0.75">
      <c r="A5798" t="s">
        <v>151</v>
      </c>
      <c r="B5798">
        <v>1983</v>
      </c>
      <c r="C5798" t="s">
        <v>39</v>
      </c>
      <c r="D5798">
        <v>6856</v>
      </c>
      <c r="E5798" t="s">
        <v>486</v>
      </c>
      <c r="F5798" s="4">
        <v>0</v>
      </c>
      <c r="G5798" s="4">
        <v>15628</v>
      </c>
      <c r="H5798" s="4">
        <v>39</v>
      </c>
      <c r="I5798" s="4">
        <v>15589</v>
      </c>
      <c r="J5798" s="4">
        <v>15628</v>
      </c>
    </row>
    <row r="5799" spans="1:10" x14ac:dyDescent="0.75">
      <c r="A5799" t="s">
        <v>151</v>
      </c>
      <c r="B5799">
        <v>1983</v>
      </c>
      <c r="C5799" t="s">
        <v>39</v>
      </c>
      <c r="D5799">
        <v>3286</v>
      </c>
      <c r="E5799" t="s">
        <v>423</v>
      </c>
      <c r="F5799" s="4">
        <v>0</v>
      </c>
      <c r="G5799" s="4">
        <v>15148</v>
      </c>
      <c r="H5799" s="4">
        <v>11341</v>
      </c>
      <c r="I5799" s="4">
        <v>3807</v>
      </c>
      <c r="J5799" s="4">
        <v>15148</v>
      </c>
    </row>
    <row r="5800" spans="1:10" x14ac:dyDescent="0.75">
      <c r="A5800" t="s">
        <v>151</v>
      </c>
      <c r="B5800">
        <v>1983</v>
      </c>
      <c r="C5800" t="s">
        <v>39</v>
      </c>
      <c r="D5800">
        <v>7230</v>
      </c>
      <c r="E5800" t="s">
        <v>387</v>
      </c>
      <c r="F5800" s="4">
        <v>0</v>
      </c>
      <c r="G5800" s="4">
        <v>14012</v>
      </c>
      <c r="H5800" s="4">
        <v>11841</v>
      </c>
      <c r="I5800" s="4">
        <v>2171</v>
      </c>
      <c r="J5800" s="4">
        <v>14012</v>
      </c>
    </row>
    <row r="5801" spans="1:10" x14ac:dyDescent="0.75">
      <c r="A5801" t="s">
        <v>151</v>
      </c>
      <c r="B5801">
        <v>1983</v>
      </c>
      <c r="C5801" t="s">
        <v>39</v>
      </c>
      <c r="D5801">
        <v>6891</v>
      </c>
      <c r="E5801" t="s">
        <v>495</v>
      </c>
      <c r="F5801" s="4">
        <v>0</v>
      </c>
      <c r="G5801" s="4">
        <v>11878</v>
      </c>
      <c r="H5801" s="4">
        <v>225</v>
      </c>
      <c r="I5801" s="4">
        <v>11653</v>
      </c>
      <c r="J5801" s="4">
        <v>11878</v>
      </c>
    </row>
    <row r="5802" spans="1:10" x14ac:dyDescent="0.75">
      <c r="A5802" t="s">
        <v>151</v>
      </c>
      <c r="B5802">
        <v>1983</v>
      </c>
      <c r="C5802" t="s">
        <v>39</v>
      </c>
      <c r="D5802">
        <v>6442</v>
      </c>
      <c r="E5802" t="s">
        <v>472</v>
      </c>
      <c r="F5802" s="4">
        <v>0</v>
      </c>
      <c r="G5802" s="4">
        <v>11832</v>
      </c>
      <c r="H5802" s="4">
        <v>1058</v>
      </c>
      <c r="I5802" s="4">
        <v>10774</v>
      </c>
      <c r="J5802" s="4">
        <v>11832</v>
      </c>
    </row>
    <row r="5803" spans="1:10" x14ac:dyDescent="0.75">
      <c r="A5803" t="s">
        <v>151</v>
      </c>
      <c r="B5803">
        <v>1983</v>
      </c>
      <c r="C5803" t="s">
        <v>39</v>
      </c>
      <c r="D5803">
        <v>4225</v>
      </c>
      <c r="E5803" t="s">
        <v>380</v>
      </c>
      <c r="F5803" s="4">
        <v>0</v>
      </c>
      <c r="G5803" s="4">
        <v>11786</v>
      </c>
      <c r="H5803" s="4">
        <v>132</v>
      </c>
      <c r="I5803" s="4">
        <v>11654</v>
      </c>
      <c r="J5803" s="4">
        <v>11786</v>
      </c>
    </row>
    <row r="5804" spans="1:10" x14ac:dyDescent="0.75">
      <c r="A5804" t="s">
        <v>151</v>
      </c>
      <c r="B5804">
        <v>1983</v>
      </c>
      <c r="C5804" t="s">
        <v>39</v>
      </c>
      <c r="D5804">
        <v>6899</v>
      </c>
      <c r="E5804" t="s">
        <v>498</v>
      </c>
      <c r="F5804" s="4">
        <v>0</v>
      </c>
      <c r="G5804" s="4">
        <v>11363</v>
      </c>
      <c r="H5804" s="4">
        <v>270</v>
      </c>
      <c r="I5804" s="4">
        <v>11093</v>
      </c>
      <c r="J5804" s="4">
        <v>11363</v>
      </c>
    </row>
    <row r="5805" spans="1:10" x14ac:dyDescent="0.75">
      <c r="A5805" t="s">
        <v>151</v>
      </c>
      <c r="B5805">
        <v>1983</v>
      </c>
      <c r="C5805" t="s">
        <v>39</v>
      </c>
      <c r="D5805">
        <v>6839</v>
      </c>
      <c r="E5805" t="s">
        <v>485</v>
      </c>
      <c r="F5805" s="4">
        <v>0</v>
      </c>
      <c r="G5805" s="4">
        <v>11298</v>
      </c>
      <c r="H5805" s="4">
        <v>53</v>
      </c>
      <c r="I5805" s="4">
        <v>11245</v>
      </c>
      <c r="J5805" s="4">
        <v>11298</v>
      </c>
    </row>
    <row r="5806" spans="1:10" x14ac:dyDescent="0.75">
      <c r="A5806" t="s">
        <v>151</v>
      </c>
      <c r="B5806">
        <v>1983</v>
      </c>
      <c r="C5806" t="s">
        <v>39</v>
      </c>
      <c r="D5806">
        <v>4900</v>
      </c>
      <c r="E5806" t="s">
        <v>383</v>
      </c>
      <c r="F5806" s="4">
        <v>0</v>
      </c>
      <c r="G5806" s="4">
        <v>11176</v>
      </c>
      <c r="H5806" s="4">
        <v>4240</v>
      </c>
      <c r="I5806" s="4">
        <v>6936</v>
      </c>
      <c r="J5806" s="4">
        <v>11176</v>
      </c>
    </row>
    <row r="5807" spans="1:10" x14ac:dyDescent="0.75">
      <c r="A5807" t="s">
        <v>151</v>
      </c>
      <c r="B5807">
        <v>1983</v>
      </c>
      <c r="C5807" t="s">
        <v>39</v>
      </c>
      <c r="D5807">
        <v>6653</v>
      </c>
      <c r="E5807" t="s">
        <v>395</v>
      </c>
      <c r="F5807" s="4">
        <v>0</v>
      </c>
      <c r="G5807" s="4">
        <v>8825</v>
      </c>
      <c r="H5807" s="4">
        <v>418</v>
      </c>
      <c r="I5807" s="4">
        <v>8407</v>
      </c>
      <c r="J5807" s="4">
        <v>8825</v>
      </c>
    </row>
    <row r="5808" spans="1:10" x14ac:dyDescent="0.75">
      <c r="A5808" t="s">
        <v>151</v>
      </c>
      <c r="B5808">
        <v>1983</v>
      </c>
      <c r="C5808" t="s">
        <v>39</v>
      </c>
      <c r="D5808">
        <v>7400</v>
      </c>
      <c r="E5808" t="s">
        <v>502</v>
      </c>
      <c r="F5808" s="4">
        <v>0</v>
      </c>
      <c r="G5808" s="4">
        <v>8584</v>
      </c>
      <c r="H5808" s="4">
        <v>1469</v>
      </c>
      <c r="I5808" s="4">
        <v>7115</v>
      </c>
      <c r="J5808" s="4">
        <v>8584</v>
      </c>
    </row>
    <row r="5809" spans="1:10" x14ac:dyDescent="0.75">
      <c r="A5809" t="s">
        <v>151</v>
      </c>
      <c r="B5809">
        <v>1983</v>
      </c>
      <c r="C5809" t="s">
        <v>39</v>
      </c>
      <c r="D5809">
        <v>3220</v>
      </c>
      <c r="E5809" t="s">
        <v>370</v>
      </c>
      <c r="F5809" s="4">
        <v>0</v>
      </c>
      <c r="G5809" s="4">
        <v>8202</v>
      </c>
      <c r="H5809" s="4">
        <v>3047</v>
      </c>
      <c r="I5809" s="4">
        <v>5155</v>
      </c>
      <c r="J5809" s="4">
        <v>8202</v>
      </c>
    </row>
    <row r="5810" spans="1:10" x14ac:dyDescent="0.75">
      <c r="A5810" t="s">
        <v>151</v>
      </c>
      <c r="B5810">
        <v>1983</v>
      </c>
      <c r="C5810" t="s">
        <v>39</v>
      </c>
      <c r="D5810">
        <v>6817</v>
      </c>
      <c r="E5810" t="s">
        <v>481</v>
      </c>
      <c r="F5810" s="4">
        <v>0</v>
      </c>
      <c r="G5810" s="4">
        <v>7768</v>
      </c>
      <c r="H5810" s="4">
        <v>4587</v>
      </c>
      <c r="I5810" s="4">
        <v>3181</v>
      </c>
      <c r="J5810" s="4">
        <v>7768</v>
      </c>
    </row>
    <row r="5811" spans="1:10" x14ac:dyDescent="0.75">
      <c r="A5811" t="s">
        <v>151</v>
      </c>
      <c r="B5811">
        <v>1983</v>
      </c>
      <c r="C5811" t="s">
        <v>39</v>
      </c>
      <c r="D5811">
        <v>3275</v>
      </c>
      <c r="E5811" t="s">
        <v>412</v>
      </c>
      <c r="F5811" s="4">
        <v>0</v>
      </c>
      <c r="G5811" s="4">
        <v>7555</v>
      </c>
      <c r="H5811" s="4">
        <v>1388</v>
      </c>
      <c r="I5811" s="4">
        <v>6167</v>
      </c>
      <c r="J5811" s="4">
        <v>7555</v>
      </c>
    </row>
    <row r="5812" spans="1:10" x14ac:dyDescent="0.75">
      <c r="A5812" t="s">
        <v>151</v>
      </c>
      <c r="B5812">
        <v>1983</v>
      </c>
      <c r="C5812" t="s">
        <v>39</v>
      </c>
      <c r="D5812">
        <v>5240</v>
      </c>
      <c r="E5812" t="s">
        <v>464</v>
      </c>
      <c r="F5812" s="4">
        <v>0</v>
      </c>
      <c r="G5812" s="4">
        <v>7335</v>
      </c>
      <c r="H5812" s="4">
        <v>785</v>
      </c>
      <c r="I5812" s="4">
        <v>6550</v>
      </c>
      <c r="J5812" s="4">
        <v>7335</v>
      </c>
    </row>
    <row r="5813" spans="1:10" x14ac:dyDescent="0.75">
      <c r="A5813" t="s">
        <v>151</v>
      </c>
      <c r="B5813">
        <v>1983</v>
      </c>
      <c r="C5813" t="s">
        <v>39</v>
      </c>
      <c r="D5813">
        <v>2211</v>
      </c>
      <c r="E5813" t="s">
        <v>367</v>
      </c>
      <c r="F5813" s="4">
        <v>0</v>
      </c>
      <c r="G5813" s="4">
        <v>5816</v>
      </c>
      <c r="H5813" s="4">
        <v>15</v>
      </c>
      <c r="I5813" s="4">
        <v>5801</v>
      </c>
      <c r="J5813" s="4">
        <v>5816</v>
      </c>
    </row>
    <row r="5814" spans="1:10" x14ac:dyDescent="0.75">
      <c r="A5814" t="s">
        <v>151</v>
      </c>
      <c r="B5814">
        <v>1983</v>
      </c>
      <c r="C5814" t="s">
        <v>39</v>
      </c>
      <c r="D5814">
        <v>3276</v>
      </c>
      <c r="E5814" t="s">
        <v>379</v>
      </c>
      <c r="F5814" s="4">
        <v>0</v>
      </c>
      <c r="G5814" s="4">
        <v>5489</v>
      </c>
      <c r="H5814" s="4">
        <v>818</v>
      </c>
      <c r="I5814" s="4">
        <v>4671</v>
      </c>
      <c r="J5814" s="4">
        <v>5489</v>
      </c>
    </row>
    <row r="5815" spans="1:10" x14ac:dyDescent="0.75">
      <c r="A5815" t="s">
        <v>151</v>
      </c>
      <c r="B5815">
        <v>1983</v>
      </c>
      <c r="C5815" t="s">
        <v>39</v>
      </c>
      <c r="D5815">
        <v>3282</v>
      </c>
      <c r="E5815" t="s">
        <v>440</v>
      </c>
      <c r="F5815" s="4">
        <v>0</v>
      </c>
      <c r="G5815" s="4">
        <v>5113</v>
      </c>
      <c r="H5815" s="4">
        <v>128</v>
      </c>
      <c r="I5815" s="4">
        <v>4985</v>
      </c>
      <c r="J5815" s="4">
        <v>5113</v>
      </c>
    </row>
    <row r="5816" spans="1:10" x14ac:dyDescent="0.75">
      <c r="A5816" t="s">
        <v>151</v>
      </c>
      <c r="B5816">
        <v>1983</v>
      </c>
      <c r="C5816" t="s">
        <v>39</v>
      </c>
      <c r="D5816">
        <v>2640</v>
      </c>
      <c r="E5816" t="s">
        <v>431</v>
      </c>
      <c r="F5816" s="4">
        <v>0</v>
      </c>
      <c r="G5816" s="4">
        <v>5062</v>
      </c>
      <c r="H5816" s="4">
        <v>1286</v>
      </c>
      <c r="I5816" s="4">
        <v>3776</v>
      </c>
      <c r="J5816" s="4">
        <v>5062</v>
      </c>
    </row>
    <row r="5817" spans="1:10" x14ac:dyDescent="0.75">
      <c r="A5817" t="s">
        <v>151</v>
      </c>
      <c r="B5817">
        <v>1983</v>
      </c>
      <c r="C5817" t="s">
        <v>39</v>
      </c>
      <c r="D5817">
        <v>6835</v>
      </c>
      <c r="E5817" t="s">
        <v>483</v>
      </c>
      <c r="F5817" s="4">
        <v>0</v>
      </c>
      <c r="G5817" s="4">
        <v>4742</v>
      </c>
      <c r="H5817" s="4">
        <v>2496</v>
      </c>
      <c r="I5817" s="4">
        <v>2246</v>
      </c>
      <c r="J5817" s="4">
        <v>4742</v>
      </c>
    </row>
    <row r="5818" spans="1:10" x14ac:dyDescent="0.75">
      <c r="A5818" t="s">
        <v>151</v>
      </c>
      <c r="B5818">
        <v>1983</v>
      </c>
      <c r="C5818" t="s">
        <v>39</v>
      </c>
      <c r="D5818">
        <v>6746</v>
      </c>
      <c r="E5818" t="s">
        <v>477</v>
      </c>
      <c r="F5818" s="4">
        <v>0</v>
      </c>
      <c r="G5818" s="4">
        <v>4124</v>
      </c>
      <c r="H5818" s="4">
        <v>1444</v>
      </c>
      <c r="I5818" s="4">
        <v>2680</v>
      </c>
      <c r="J5818" s="4">
        <v>4124</v>
      </c>
    </row>
    <row r="5819" spans="1:10" x14ac:dyDescent="0.75">
      <c r="A5819" t="s">
        <v>151</v>
      </c>
      <c r="B5819">
        <v>1983</v>
      </c>
      <c r="C5819" t="s">
        <v>39</v>
      </c>
      <c r="D5819">
        <v>3274</v>
      </c>
      <c r="E5819" t="s">
        <v>438</v>
      </c>
      <c r="F5819" s="4">
        <v>0</v>
      </c>
      <c r="G5819" s="4">
        <v>3981</v>
      </c>
      <c r="H5819" s="4">
        <v>262</v>
      </c>
      <c r="I5819" s="4">
        <v>3719</v>
      </c>
      <c r="J5819" s="4">
        <v>3981</v>
      </c>
    </row>
    <row r="5820" spans="1:10" x14ac:dyDescent="0.75">
      <c r="A5820" t="s">
        <v>151</v>
      </c>
      <c r="B5820">
        <v>1983</v>
      </c>
      <c r="C5820" t="s">
        <v>39</v>
      </c>
      <c r="D5820">
        <v>4170</v>
      </c>
      <c r="E5820" t="s">
        <v>424</v>
      </c>
      <c r="F5820" s="4">
        <v>0</v>
      </c>
      <c r="G5820" s="4">
        <v>3871</v>
      </c>
      <c r="H5820" s="4">
        <v>1</v>
      </c>
      <c r="I5820" s="4">
        <v>3870</v>
      </c>
      <c r="J5820" s="4">
        <v>3871</v>
      </c>
    </row>
    <row r="5821" spans="1:10" x14ac:dyDescent="0.75">
      <c r="A5821" t="s">
        <v>151</v>
      </c>
      <c r="B5821">
        <v>1983</v>
      </c>
      <c r="C5821" t="s">
        <v>39</v>
      </c>
      <c r="D5821">
        <v>5370</v>
      </c>
      <c r="E5821" t="s">
        <v>466</v>
      </c>
      <c r="F5821" s="4">
        <v>0</v>
      </c>
      <c r="G5821" s="4">
        <v>3452</v>
      </c>
      <c r="H5821" s="4">
        <v>42</v>
      </c>
      <c r="I5821" s="4">
        <v>3410</v>
      </c>
      <c r="J5821" s="4">
        <v>3452</v>
      </c>
    </row>
    <row r="5822" spans="1:10" x14ac:dyDescent="0.75">
      <c r="A5822" t="s">
        <v>151</v>
      </c>
      <c r="B5822">
        <v>1983</v>
      </c>
      <c r="C5822" t="s">
        <v>39</v>
      </c>
      <c r="D5822">
        <v>3279</v>
      </c>
      <c r="E5822" t="s">
        <v>422</v>
      </c>
      <c r="F5822" s="4">
        <v>0</v>
      </c>
      <c r="G5822" s="4">
        <v>3346</v>
      </c>
      <c r="H5822" s="4">
        <v>112</v>
      </c>
      <c r="I5822" s="4">
        <v>3234</v>
      </c>
      <c r="J5822" s="4">
        <v>3346</v>
      </c>
    </row>
    <row r="5823" spans="1:10" x14ac:dyDescent="0.75">
      <c r="A5823" t="s">
        <v>151</v>
      </c>
      <c r="B5823">
        <v>1983</v>
      </c>
      <c r="C5823" t="s">
        <v>39</v>
      </c>
      <c r="D5823">
        <v>3240</v>
      </c>
      <c r="E5823" t="s">
        <v>410</v>
      </c>
      <c r="F5823" s="4">
        <v>0</v>
      </c>
      <c r="G5823" s="4">
        <v>2693</v>
      </c>
      <c r="H5823" s="4">
        <v>2200</v>
      </c>
      <c r="I5823" s="4">
        <v>493</v>
      </c>
      <c r="J5823" s="4">
        <v>2693</v>
      </c>
    </row>
    <row r="5824" spans="1:10" x14ac:dyDescent="0.75">
      <c r="A5824" t="s">
        <v>151</v>
      </c>
      <c r="B5824">
        <v>1983</v>
      </c>
      <c r="C5824" t="s">
        <v>39</v>
      </c>
      <c r="D5824">
        <v>5120</v>
      </c>
      <c r="E5824" t="s">
        <v>461</v>
      </c>
      <c r="F5824" s="4">
        <v>0</v>
      </c>
      <c r="G5824" s="4">
        <v>2693</v>
      </c>
      <c r="H5824" s="4">
        <v>618</v>
      </c>
      <c r="I5824" s="4">
        <v>2075</v>
      </c>
      <c r="J5824" s="4">
        <v>2693</v>
      </c>
    </row>
    <row r="5825" spans="1:10" x14ac:dyDescent="0.75">
      <c r="A5825" t="s">
        <v>151</v>
      </c>
      <c r="B5825">
        <v>1983</v>
      </c>
      <c r="C5825" t="s">
        <v>39</v>
      </c>
      <c r="D5825">
        <v>4680</v>
      </c>
      <c r="E5825" t="s">
        <v>459</v>
      </c>
      <c r="F5825" s="4">
        <v>0</v>
      </c>
      <c r="G5825" s="4">
        <v>2546</v>
      </c>
      <c r="H5825" s="4">
        <v>2461</v>
      </c>
      <c r="I5825" s="4">
        <v>85</v>
      </c>
      <c r="J5825" s="4">
        <v>2546</v>
      </c>
    </row>
    <row r="5826" spans="1:10" x14ac:dyDescent="0.75">
      <c r="A5826" t="s">
        <v>151</v>
      </c>
      <c r="B5826">
        <v>1983</v>
      </c>
      <c r="C5826" t="s">
        <v>39</v>
      </c>
      <c r="D5826">
        <v>5330</v>
      </c>
      <c r="E5826" t="s">
        <v>385</v>
      </c>
      <c r="F5826" s="4">
        <v>0</v>
      </c>
      <c r="G5826" s="4">
        <v>2399</v>
      </c>
      <c r="H5826" s="4">
        <v>73</v>
      </c>
      <c r="I5826" s="4">
        <v>2326</v>
      </c>
      <c r="J5826" s="4">
        <v>2399</v>
      </c>
    </row>
    <row r="5827" spans="1:10" x14ac:dyDescent="0.75">
      <c r="A5827" t="s">
        <v>151</v>
      </c>
      <c r="B5827">
        <v>1983</v>
      </c>
      <c r="C5827" t="s">
        <v>39</v>
      </c>
      <c r="D5827">
        <v>3299</v>
      </c>
      <c r="E5827" t="s">
        <v>448</v>
      </c>
      <c r="F5827" s="4">
        <v>0</v>
      </c>
      <c r="G5827" s="4">
        <v>1748</v>
      </c>
      <c r="H5827" s="4">
        <v>123</v>
      </c>
      <c r="I5827" s="4">
        <v>1625</v>
      </c>
      <c r="J5827" s="4">
        <v>1748</v>
      </c>
    </row>
    <row r="5828" spans="1:10" x14ac:dyDescent="0.75">
      <c r="A5828" t="s">
        <v>151</v>
      </c>
      <c r="B5828">
        <v>1983</v>
      </c>
      <c r="C5828" t="s">
        <v>39</v>
      </c>
      <c r="D5828">
        <v>3230</v>
      </c>
      <c r="E5828" t="s">
        <v>434</v>
      </c>
      <c r="F5828" s="4">
        <v>0</v>
      </c>
      <c r="G5828" s="4">
        <v>1546</v>
      </c>
      <c r="H5828" s="4">
        <v>570</v>
      </c>
      <c r="I5828" s="4">
        <v>976</v>
      </c>
      <c r="J5828" s="4">
        <v>1546</v>
      </c>
    </row>
    <row r="5829" spans="1:10" x14ac:dyDescent="0.75">
      <c r="A5829" t="s">
        <v>151</v>
      </c>
      <c r="B5829">
        <v>1983</v>
      </c>
      <c r="C5829" t="s">
        <v>39</v>
      </c>
      <c r="D5829">
        <v>6344</v>
      </c>
      <c r="E5829" t="s">
        <v>392</v>
      </c>
      <c r="F5829" s="4">
        <v>0</v>
      </c>
      <c r="G5829" s="4">
        <v>1526</v>
      </c>
      <c r="H5829" s="4">
        <v>110</v>
      </c>
      <c r="I5829" s="4">
        <v>1416</v>
      </c>
      <c r="J5829" s="4">
        <v>1526</v>
      </c>
    </row>
    <row r="5830" spans="1:10" x14ac:dyDescent="0.75">
      <c r="A5830" t="s">
        <v>151</v>
      </c>
      <c r="B5830">
        <v>1983</v>
      </c>
      <c r="C5830" t="s">
        <v>39</v>
      </c>
      <c r="D5830">
        <v>3284</v>
      </c>
      <c r="E5830" t="s">
        <v>442</v>
      </c>
      <c r="F5830" s="4">
        <v>0</v>
      </c>
      <c r="G5830" s="4">
        <v>1518</v>
      </c>
      <c r="H5830" s="4">
        <v>185</v>
      </c>
      <c r="I5830" s="4">
        <v>1333</v>
      </c>
      <c r="J5830" s="4">
        <v>1518</v>
      </c>
    </row>
    <row r="5831" spans="1:10" x14ac:dyDescent="0.75">
      <c r="A5831" t="s">
        <v>151</v>
      </c>
      <c r="B5831">
        <v>1983</v>
      </c>
      <c r="C5831" t="s">
        <v>39</v>
      </c>
      <c r="D5831">
        <v>3291</v>
      </c>
      <c r="E5831" t="s">
        <v>444</v>
      </c>
      <c r="F5831" s="4">
        <v>0</v>
      </c>
      <c r="G5831" s="4">
        <v>1511</v>
      </c>
      <c r="H5831" s="4">
        <v>280</v>
      </c>
      <c r="I5831" s="4">
        <v>1231</v>
      </c>
      <c r="J5831" s="4">
        <v>1511</v>
      </c>
    </row>
    <row r="5832" spans="1:10" x14ac:dyDescent="0.75">
      <c r="A5832" t="s">
        <v>151</v>
      </c>
      <c r="B5832">
        <v>1983</v>
      </c>
      <c r="C5832" t="s">
        <v>39</v>
      </c>
      <c r="D5832">
        <v>4783</v>
      </c>
      <c r="E5832" t="s">
        <v>382</v>
      </c>
      <c r="F5832" s="4">
        <v>0</v>
      </c>
      <c r="G5832" s="4">
        <v>1395</v>
      </c>
      <c r="H5832" s="4">
        <v>1</v>
      </c>
      <c r="I5832" s="4">
        <v>1394</v>
      </c>
      <c r="J5832" s="4">
        <v>1395</v>
      </c>
    </row>
    <row r="5833" spans="1:10" x14ac:dyDescent="0.75">
      <c r="A5833" t="s">
        <v>151</v>
      </c>
      <c r="B5833">
        <v>1983</v>
      </c>
      <c r="C5833" t="s">
        <v>39</v>
      </c>
      <c r="D5833">
        <v>3219</v>
      </c>
      <c r="E5833" t="s">
        <v>378</v>
      </c>
      <c r="F5833" s="4">
        <v>0</v>
      </c>
      <c r="G5833" s="4">
        <v>1302</v>
      </c>
      <c r="H5833" s="4">
        <v>283</v>
      </c>
      <c r="I5833" s="4">
        <v>1019</v>
      </c>
      <c r="J5833" s="4">
        <v>1302</v>
      </c>
    </row>
    <row r="5834" spans="1:10" x14ac:dyDescent="0.75">
      <c r="A5834" t="s">
        <v>151</v>
      </c>
      <c r="B5834">
        <v>1983</v>
      </c>
      <c r="C5834" t="s">
        <v>39</v>
      </c>
      <c r="D5834">
        <v>5422</v>
      </c>
      <c r="E5834" t="s">
        <v>468</v>
      </c>
      <c r="F5834" s="4">
        <v>0</v>
      </c>
      <c r="G5834" s="4">
        <v>1288</v>
      </c>
      <c r="H5834" s="4">
        <v>103</v>
      </c>
      <c r="I5834" s="4">
        <v>1185</v>
      </c>
      <c r="J5834" s="4">
        <v>1288</v>
      </c>
    </row>
    <row r="5835" spans="1:10" x14ac:dyDescent="0.75">
      <c r="A5835" t="s">
        <v>151</v>
      </c>
      <c r="B5835">
        <v>1983</v>
      </c>
      <c r="C5835" t="s">
        <v>39</v>
      </c>
      <c r="D5835">
        <v>4322</v>
      </c>
      <c r="E5835" t="s">
        <v>398</v>
      </c>
      <c r="F5835" s="4">
        <v>0</v>
      </c>
      <c r="G5835" s="4">
        <v>1105</v>
      </c>
      <c r="H5835" s="4">
        <v>0</v>
      </c>
      <c r="I5835" s="4">
        <v>1105</v>
      </c>
      <c r="J5835" s="4">
        <v>1105</v>
      </c>
    </row>
    <row r="5836" spans="1:10" x14ac:dyDescent="0.75">
      <c r="A5836" t="s">
        <v>151</v>
      </c>
      <c r="B5836">
        <v>1983</v>
      </c>
      <c r="C5836" t="s">
        <v>39</v>
      </c>
      <c r="D5836">
        <v>6136</v>
      </c>
      <c r="E5836" t="s">
        <v>471</v>
      </c>
      <c r="F5836" s="4">
        <v>0</v>
      </c>
      <c r="G5836" s="4">
        <v>1101</v>
      </c>
      <c r="H5836" s="4">
        <v>816</v>
      </c>
      <c r="I5836" s="4">
        <v>285</v>
      </c>
      <c r="J5836" s="4">
        <v>1101</v>
      </c>
    </row>
    <row r="5837" spans="1:10" x14ac:dyDescent="0.75">
      <c r="A5837" t="s">
        <v>151</v>
      </c>
      <c r="B5837">
        <v>1983</v>
      </c>
      <c r="C5837" t="s">
        <v>39</v>
      </c>
      <c r="D5837">
        <v>5110</v>
      </c>
      <c r="E5837" t="s">
        <v>460</v>
      </c>
      <c r="F5837" s="4">
        <v>0</v>
      </c>
      <c r="G5837" s="4">
        <v>1076</v>
      </c>
      <c r="H5837" s="4">
        <v>757</v>
      </c>
      <c r="I5837" s="4">
        <v>319</v>
      </c>
      <c r="J5837" s="4">
        <v>1076</v>
      </c>
    </row>
    <row r="5838" spans="1:10" x14ac:dyDescent="0.75">
      <c r="A5838" t="s">
        <v>151</v>
      </c>
      <c r="B5838">
        <v>1983</v>
      </c>
      <c r="C5838" t="s">
        <v>39</v>
      </c>
      <c r="D5838">
        <v>2221</v>
      </c>
      <c r="E5838" t="s">
        <v>374</v>
      </c>
      <c r="F5838" s="4">
        <v>0</v>
      </c>
      <c r="G5838" s="4">
        <v>957</v>
      </c>
      <c r="H5838" s="4">
        <v>0</v>
      </c>
      <c r="I5838" s="4">
        <v>957</v>
      </c>
      <c r="J5838" s="4">
        <v>957</v>
      </c>
    </row>
    <row r="5839" spans="1:10" x14ac:dyDescent="0.75">
      <c r="A5839" t="s">
        <v>151</v>
      </c>
      <c r="B5839">
        <v>1983</v>
      </c>
      <c r="C5839" t="s">
        <v>39</v>
      </c>
      <c r="D5839">
        <v>4190</v>
      </c>
      <c r="E5839" t="s">
        <v>452</v>
      </c>
      <c r="F5839" s="4">
        <v>0</v>
      </c>
      <c r="G5839" s="4">
        <v>911</v>
      </c>
      <c r="H5839" s="4">
        <v>82</v>
      </c>
      <c r="I5839" s="4">
        <v>829</v>
      </c>
      <c r="J5839" s="4">
        <v>911</v>
      </c>
    </row>
    <row r="5840" spans="1:10" x14ac:dyDescent="0.75">
      <c r="A5840" t="s">
        <v>151</v>
      </c>
      <c r="B5840">
        <v>1983</v>
      </c>
      <c r="C5840" t="s">
        <v>39</v>
      </c>
      <c r="D5840">
        <v>3297</v>
      </c>
      <c r="E5840" t="s">
        <v>446</v>
      </c>
      <c r="F5840" s="4">
        <v>0</v>
      </c>
      <c r="G5840" s="4">
        <v>886</v>
      </c>
      <c r="H5840" s="4">
        <v>43</v>
      </c>
      <c r="I5840" s="4">
        <v>843</v>
      </c>
      <c r="J5840" s="4">
        <v>886</v>
      </c>
    </row>
    <row r="5841" spans="1:10" x14ac:dyDescent="0.75">
      <c r="A5841" t="s">
        <v>151</v>
      </c>
      <c r="B5841">
        <v>1983</v>
      </c>
      <c r="C5841" t="s">
        <v>39</v>
      </c>
      <c r="D5841">
        <v>6781</v>
      </c>
      <c r="E5841" t="s">
        <v>479</v>
      </c>
      <c r="F5841" s="4">
        <v>0</v>
      </c>
      <c r="G5841" s="4">
        <v>881</v>
      </c>
      <c r="H5841" s="4">
        <v>183</v>
      </c>
      <c r="I5841" s="4">
        <v>698</v>
      </c>
      <c r="J5841" s="4">
        <v>881</v>
      </c>
    </row>
    <row r="5842" spans="1:10" x14ac:dyDescent="0.75">
      <c r="A5842" t="s">
        <v>151</v>
      </c>
      <c r="B5842">
        <v>1983</v>
      </c>
      <c r="C5842" t="s">
        <v>39</v>
      </c>
      <c r="D5842">
        <v>5421</v>
      </c>
      <c r="E5842" t="s">
        <v>467</v>
      </c>
      <c r="F5842" s="4">
        <v>0</v>
      </c>
      <c r="G5842" s="4">
        <v>866</v>
      </c>
      <c r="H5842" s="4">
        <v>0</v>
      </c>
      <c r="I5842" s="4">
        <v>866</v>
      </c>
      <c r="J5842" s="4">
        <v>866</v>
      </c>
    </row>
    <row r="5843" spans="1:10" x14ac:dyDescent="0.75">
      <c r="A5843" t="s">
        <v>151</v>
      </c>
      <c r="B5843">
        <v>1983</v>
      </c>
      <c r="C5843" t="s">
        <v>39</v>
      </c>
      <c r="D5843">
        <v>2540</v>
      </c>
      <c r="E5843" t="s">
        <v>377</v>
      </c>
      <c r="F5843" s="4">
        <v>0</v>
      </c>
      <c r="G5843" s="4">
        <v>852</v>
      </c>
      <c r="H5843" s="4">
        <v>516</v>
      </c>
      <c r="I5843" s="4">
        <v>336</v>
      </c>
      <c r="J5843" s="4">
        <v>852</v>
      </c>
    </row>
    <row r="5844" spans="1:10" x14ac:dyDescent="0.75">
      <c r="A5844" t="s">
        <v>151</v>
      </c>
      <c r="B5844">
        <v>1983</v>
      </c>
      <c r="C5844" t="s">
        <v>39</v>
      </c>
      <c r="D5844">
        <v>4323</v>
      </c>
      <c r="E5844" t="s">
        <v>373</v>
      </c>
      <c r="F5844" s="4">
        <v>0</v>
      </c>
      <c r="G5844" s="4">
        <v>794</v>
      </c>
      <c r="H5844" s="4">
        <v>40</v>
      </c>
      <c r="I5844" s="4">
        <v>754</v>
      </c>
      <c r="J5844" s="4">
        <v>794</v>
      </c>
    </row>
    <row r="5845" spans="1:10" x14ac:dyDescent="0.75">
      <c r="A5845" t="s">
        <v>151</v>
      </c>
      <c r="B5845">
        <v>1983</v>
      </c>
      <c r="C5845" t="s">
        <v>39</v>
      </c>
      <c r="D5845">
        <v>6894</v>
      </c>
      <c r="E5845" t="s">
        <v>497</v>
      </c>
      <c r="F5845" s="4">
        <v>0</v>
      </c>
      <c r="G5845" s="4">
        <v>785</v>
      </c>
      <c r="H5845" s="4">
        <v>351</v>
      </c>
      <c r="I5845" s="4">
        <v>434</v>
      </c>
      <c r="J5845" s="4">
        <v>785</v>
      </c>
    </row>
    <row r="5846" spans="1:10" x14ac:dyDescent="0.75">
      <c r="A5846" t="s">
        <v>151</v>
      </c>
      <c r="B5846">
        <v>1983</v>
      </c>
      <c r="C5846" t="s">
        <v>39</v>
      </c>
      <c r="D5846">
        <v>3250</v>
      </c>
      <c r="E5846" t="s">
        <v>435</v>
      </c>
      <c r="F5846" s="4">
        <v>0</v>
      </c>
      <c r="G5846" s="4">
        <v>675</v>
      </c>
      <c r="H5846" s="4">
        <v>24</v>
      </c>
      <c r="I5846" s="4">
        <v>651</v>
      </c>
      <c r="J5846" s="4">
        <v>675</v>
      </c>
    </row>
    <row r="5847" spans="1:10" x14ac:dyDescent="0.75">
      <c r="A5847" t="s">
        <v>151</v>
      </c>
      <c r="B5847">
        <v>1983</v>
      </c>
      <c r="C5847" t="s">
        <v>39</v>
      </c>
      <c r="D5847">
        <v>7220</v>
      </c>
      <c r="E5847" t="s">
        <v>500</v>
      </c>
      <c r="F5847" s="4">
        <v>0</v>
      </c>
      <c r="G5847" s="4">
        <v>610</v>
      </c>
      <c r="H5847" s="4">
        <v>63</v>
      </c>
      <c r="I5847" s="4">
        <v>547</v>
      </c>
      <c r="J5847" s="4">
        <v>610</v>
      </c>
    </row>
    <row r="5848" spans="1:10" x14ac:dyDescent="0.75">
      <c r="A5848" t="s">
        <v>151</v>
      </c>
      <c r="B5848">
        <v>1983</v>
      </c>
      <c r="C5848" t="s">
        <v>39</v>
      </c>
      <c r="D5848">
        <v>4782</v>
      </c>
      <c r="E5848" t="s">
        <v>414</v>
      </c>
      <c r="F5848" s="4">
        <v>0</v>
      </c>
      <c r="G5848" s="4">
        <v>515</v>
      </c>
      <c r="H5848" s="4">
        <v>1</v>
      </c>
      <c r="I5848" s="4">
        <v>514</v>
      </c>
      <c r="J5848" s="4">
        <v>515</v>
      </c>
    </row>
    <row r="5849" spans="1:10" x14ac:dyDescent="0.75">
      <c r="A5849" t="s">
        <v>151</v>
      </c>
      <c r="B5849">
        <v>1983</v>
      </c>
      <c r="C5849" t="s">
        <v>39</v>
      </c>
      <c r="D5849">
        <v>6893</v>
      </c>
      <c r="E5849" t="s">
        <v>496</v>
      </c>
      <c r="F5849" s="4">
        <v>0</v>
      </c>
      <c r="G5849" s="4">
        <v>464</v>
      </c>
      <c r="H5849" s="4">
        <v>3</v>
      </c>
      <c r="I5849" s="4">
        <v>461</v>
      </c>
      <c r="J5849" s="4">
        <v>464</v>
      </c>
    </row>
    <row r="5850" spans="1:10" x14ac:dyDescent="0.75">
      <c r="A5850" t="s">
        <v>151</v>
      </c>
      <c r="B5850">
        <v>1983</v>
      </c>
      <c r="C5850" t="s">
        <v>39</v>
      </c>
      <c r="D5850">
        <v>5429</v>
      </c>
      <c r="E5850" t="s">
        <v>429</v>
      </c>
      <c r="F5850" s="4">
        <v>0</v>
      </c>
      <c r="G5850" s="4">
        <v>462</v>
      </c>
      <c r="H5850" s="4">
        <v>117</v>
      </c>
      <c r="I5850" s="4">
        <v>345</v>
      </c>
      <c r="J5850" s="4">
        <v>462</v>
      </c>
    </row>
    <row r="5851" spans="1:10" x14ac:dyDescent="0.75">
      <c r="A5851" t="s">
        <v>151</v>
      </c>
      <c r="B5851">
        <v>1983</v>
      </c>
      <c r="C5851" t="s">
        <v>39</v>
      </c>
      <c r="D5851">
        <v>4310</v>
      </c>
      <c r="E5851" t="s">
        <v>453</v>
      </c>
      <c r="F5851" s="4">
        <v>0</v>
      </c>
      <c r="G5851" s="4">
        <v>417</v>
      </c>
      <c r="H5851" s="4">
        <v>10</v>
      </c>
      <c r="I5851" s="4">
        <v>407</v>
      </c>
      <c r="J5851" s="4">
        <v>417</v>
      </c>
    </row>
    <row r="5852" spans="1:10" x14ac:dyDescent="0.75">
      <c r="A5852" t="s">
        <v>151</v>
      </c>
      <c r="B5852">
        <v>1983</v>
      </c>
      <c r="C5852" t="s">
        <v>39</v>
      </c>
      <c r="D5852">
        <v>6871</v>
      </c>
      <c r="E5852" t="s">
        <v>491</v>
      </c>
      <c r="F5852" s="4">
        <v>0</v>
      </c>
      <c r="G5852" s="4">
        <v>380</v>
      </c>
      <c r="H5852" s="4">
        <v>50</v>
      </c>
      <c r="I5852" s="4">
        <v>330</v>
      </c>
      <c r="J5852" s="4">
        <v>380</v>
      </c>
    </row>
    <row r="5853" spans="1:10" x14ac:dyDescent="0.75">
      <c r="A5853" t="s">
        <v>151</v>
      </c>
      <c r="B5853">
        <v>1983</v>
      </c>
      <c r="C5853" t="s">
        <v>39</v>
      </c>
      <c r="D5853">
        <v>1100</v>
      </c>
      <c r="E5853" t="s">
        <v>397</v>
      </c>
      <c r="F5853" s="4">
        <v>0</v>
      </c>
      <c r="G5853" s="4">
        <v>364</v>
      </c>
      <c r="H5853" s="4">
        <v>307</v>
      </c>
      <c r="I5853" s="4">
        <v>57</v>
      </c>
      <c r="J5853" s="4">
        <v>364</v>
      </c>
    </row>
    <row r="5854" spans="1:10" x14ac:dyDescent="0.75">
      <c r="A5854" t="s">
        <v>151</v>
      </c>
      <c r="B5854">
        <v>1983</v>
      </c>
      <c r="C5854" t="s">
        <v>39</v>
      </c>
      <c r="D5854">
        <v>3292</v>
      </c>
      <c r="E5854" t="s">
        <v>413</v>
      </c>
      <c r="F5854" s="4">
        <v>0</v>
      </c>
      <c r="G5854" s="4">
        <v>360</v>
      </c>
      <c r="H5854" s="4">
        <v>33</v>
      </c>
      <c r="I5854" s="4">
        <v>327</v>
      </c>
      <c r="J5854" s="4">
        <v>360</v>
      </c>
    </row>
    <row r="5855" spans="1:10" x14ac:dyDescent="0.75">
      <c r="A5855" t="s">
        <v>151</v>
      </c>
      <c r="B5855">
        <v>1983</v>
      </c>
      <c r="C5855" t="s">
        <v>39</v>
      </c>
      <c r="D5855">
        <v>2350</v>
      </c>
      <c r="E5855" t="s">
        <v>404</v>
      </c>
      <c r="F5855" s="4">
        <v>0</v>
      </c>
      <c r="G5855" s="4">
        <v>291</v>
      </c>
      <c r="H5855" s="4">
        <v>155</v>
      </c>
      <c r="I5855" s="4">
        <v>136</v>
      </c>
      <c r="J5855" s="4">
        <v>291</v>
      </c>
    </row>
    <row r="5856" spans="1:10" x14ac:dyDescent="0.75">
      <c r="A5856" t="s">
        <v>151</v>
      </c>
      <c r="B5856">
        <v>1983</v>
      </c>
      <c r="C5856" t="s">
        <v>39</v>
      </c>
      <c r="D5856">
        <v>3211</v>
      </c>
      <c r="E5856" t="s">
        <v>433</v>
      </c>
      <c r="F5856" s="4">
        <v>0</v>
      </c>
      <c r="G5856" s="4">
        <v>280</v>
      </c>
      <c r="H5856" s="4">
        <v>0</v>
      </c>
      <c r="I5856" s="4">
        <v>280</v>
      </c>
      <c r="J5856" s="4">
        <v>280</v>
      </c>
    </row>
    <row r="5857" spans="1:10" x14ac:dyDescent="0.75">
      <c r="A5857" t="s">
        <v>151</v>
      </c>
      <c r="B5857">
        <v>1983</v>
      </c>
      <c r="C5857" t="s">
        <v>39</v>
      </c>
      <c r="D5857">
        <v>6590</v>
      </c>
      <c r="E5857" t="s">
        <v>394</v>
      </c>
      <c r="F5857" s="4">
        <v>0</v>
      </c>
      <c r="G5857" s="4">
        <v>261</v>
      </c>
      <c r="H5857" s="4">
        <v>70</v>
      </c>
      <c r="I5857" s="4">
        <v>191</v>
      </c>
      <c r="J5857" s="4">
        <v>261</v>
      </c>
    </row>
    <row r="5858" spans="1:10" x14ac:dyDescent="0.75">
      <c r="A5858" t="s">
        <v>151</v>
      </c>
      <c r="B5858">
        <v>1983</v>
      </c>
      <c r="C5858" t="s">
        <v>39</v>
      </c>
      <c r="D5858">
        <v>2990</v>
      </c>
      <c r="E5858" t="s">
        <v>432</v>
      </c>
      <c r="F5858" s="4">
        <v>0</v>
      </c>
      <c r="G5858" s="4">
        <v>255</v>
      </c>
      <c r="H5858" s="4">
        <v>255</v>
      </c>
      <c r="I5858" s="4">
        <v>0</v>
      </c>
      <c r="J5858" s="4">
        <v>255</v>
      </c>
    </row>
    <row r="5859" spans="1:10" x14ac:dyDescent="0.75">
      <c r="A5859" t="s">
        <v>151</v>
      </c>
      <c r="B5859">
        <v>1983</v>
      </c>
      <c r="C5859" t="s">
        <v>39</v>
      </c>
      <c r="D5859">
        <v>6838</v>
      </c>
      <c r="E5859" t="s">
        <v>484</v>
      </c>
      <c r="F5859" s="4">
        <v>0</v>
      </c>
      <c r="G5859" s="4">
        <v>204</v>
      </c>
      <c r="H5859" s="4">
        <v>3</v>
      </c>
      <c r="I5859" s="4">
        <v>201</v>
      </c>
      <c r="J5859" s="4">
        <v>204</v>
      </c>
    </row>
    <row r="5860" spans="1:10" x14ac:dyDescent="0.75">
      <c r="A5860" t="s">
        <v>151</v>
      </c>
      <c r="B5860">
        <v>1983</v>
      </c>
      <c r="C5860" t="s">
        <v>39</v>
      </c>
      <c r="D5860">
        <v>3260</v>
      </c>
      <c r="E5860" t="s">
        <v>436</v>
      </c>
      <c r="F5860" s="4">
        <v>0</v>
      </c>
      <c r="G5860" s="4">
        <v>195</v>
      </c>
      <c r="H5860" s="4">
        <v>21</v>
      </c>
      <c r="I5860" s="4">
        <v>174</v>
      </c>
      <c r="J5860" s="4">
        <v>195</v>
      </c>
    </row>
    <row r="5861" spans="1:10" x14ac:dyDescent="0.75">
      <c r="A5861" t="s">
        <v>151</v>
      </c>
      <c r="B5861">
        <v>1983</v>
      </c>
      <c r="C5861" t="s">
        <v>39</v>
      </c>
      <c r="D5861">
        <v>3283</v>
      </c>
      <c r="E5861" t="s">
        <v>441</v>
      </c>
      <c r="F5861" s="4">
        <v>0</v>
      </c>
      <c r="G5861" s="4">
        <v>183</v>
      </c>
      <c r="H5861" s="4">
        <v>75</v>
      </c>
      <c r="I5861" s="4">
        <v>108</v>
      </c>
      <c r="J5861" s="4">
        <v>183</v>
      </c>
    </row>
    <row r="5862" spans="1:10" x14ac:dyDescent="0.75">
      <c r="A5862" t="s">
        <v>151</v>
      </c>
      <c r="B5862">
        <v>1983</v>
      </c>
      <c r="C5862" t="s">
        <v>39</v>
      </c>
      <c r="D5862">
        <v>2410</v>
      </c>
      <c r="E5862" t="s">
        <v>430</v>
      </c>
      <c r="F5862" s="4">
        <v>0</v>
      </c>
      <c r="G5862" s="4">
        <v>179</v>
      </c>
      <c r="H5862" s="4">
        <v>6</v>
      </c>
      <c r="I5862" s="4">
        <v>173</v>
      </c>
      <c r="J5862" s="4">
        <v>179</v>
      </c>
    </row>
    <row r="5863" spans="1:10" x14ac:dyDescent="0.75">
      <c r="A5863" t="s">
        <v>151</v>
      </c>
      <c r="B5863">
        <v>1983</v>
      </c>
      <c r="C5863" t="s">
        <v>39</v>
      </c>
      <c r="D5863">
        <v>5390</v>
      </c>
      <c r="E5863" t="s">
        <v>418</v>
      </c>
      <c r="F5863" s="4">
        <v>0</v>
      </c>
      <c r="G5863" s="4">
        <v>176</v>
      </c>
      <c r="H5863" s="4">
        <v>26</v>
      </c>
      <c r="I5863" s="4">
        <v>150</v>
      </c>
      <c r="J5863" s="4">
        <v>176</v>
      </c>
    </row>
    <row r="5864" spans="1:10" x14ac:dyDescent="0.75">
      <c r="A5864" t="s">
        <v>151</v>
      </c>
      <c r="B5864">
        <v>1983</v>
      </c>
      <c r="C5864" t="s">
        <v>39</v>
      </c>
      <c r="D5864">
        <v>5312</v>
      </c>
      <c r="E5864" t="s">
        <v>416</v>
      </c>
      <c r="F5864" s="4">
        <v>0</v>
      </c>
      <c r="G5864" s="4">
        <v>154</v>
      </c>
      <c r="H5864" s="4">
        <v>38</v>
      </c>
      <c r="I5864" s="4">
        <v>116</v>
      </c>
      <c r="J5864" s="4">
        <v>154</v>
      </c>
    </row>
    <row r="5865" spans="1:10" x14ac:dyDescent="0.75">
      <c r="A5865" t="s">
        <v>151</v>
      </c>
      <c r="B5865">
        <v>1983</v>
      </c>
      <c r="C5865" t="s">
        <v>39</v>
      </c>
      <c r="D5865">
        <v>6445</v>
      </c>
      <c r="E5865" t="s">
        <v>474</v>
      </c>
      <c r="F5865" s="4">
        <v>0</v>
      </c>
      <c r="G5865" s="4">
        <v>150</v>
      </c>
      <c r="H5865" s="4">
        <v>84</v>
      </c>
      <c r="I5865" s="4">
        <v>66</v>
      </c>
      <c r="J5865" s="4">
        <v>150</v>
      </c>
    </row>
    <row r="5866" spans="1:10" x14ac:dyDescent="0.75">
      <c r="A5866" t="s">
        <v>151</v>
      </c>
      <c r="B5866">
        <v>1983</v>
      </c>
      <c r="C5866" t="s">
        <v>39</v>
      </c>
      <c r="D5866">
        <v>3110</v>
      </c>
      <c r="E5866" t="s">
        <v>405</v>
      </c>
      <c r="F5866" s="4">
        <v>0</v>
      </c>
      <c r="G5866" s="4">
        <v>141</v>
      </c>
      <c r="H5866" s="4">
        <v>0</v>
      </c>
      <c r="I5866" s="4">
        <v>141</v>
      </c>
      <c r="J5866" s="4">
        <v>141</v>
      </c>
    </row>
    <row r="5867" spans="1:10" x14ac:dyDescent="0.75">
      <c r="A5867" t="s">
        <v>151</v>
      </c>
      <c r="B5867">
        <v>1983</v>
      </c>
      <c r="C5867" t="s">
        <v>39</v>
      </c>
      <c r="D5867">
        <v>6521</v>
      </c>
      <c r="E5867" t="s">
        <v>476</v>
      </c>
      <c r="F5867" s="4">
        <v>0</v>
      </c>
      <c r="G5867" s="4">
        <v>99</v>
      </c>
      <c r="H5867" s="4">
        <v>0</v>
      </c>
      <c r="I5867" s="4">
        <v>99</v>
      </c>
      <c r="J5867" s="4">
        <v>99</v>
      </c>
    </row>
    <row r="5868" spans="1:10" x14ac:dyDescent="0.75">
      <c r="A5868" t="s">
        <v>151</v>
      </c>
      <c r="B5868">
        <v>1983</v>
      </c>
      <c r="C5868" t="s">
        <v>39</v>
      </c>
      <c r="D5868">
        <v>4161</v>
      </c>
      <c r="E5868" t="s">
        <v>421</v>
      </c>
      <c r="F5868" s="4">
        <v>0</v>
      </c>
      <c r="G5868" s="4">
        <v>82</v>
      </c>
      <c r="H5868" s="4">
        <v>0</v>
      </c>
      <c r="I5868" s="4">
        <v>82</v>
      </c>
      <c r="J5868" s="4">
        <v>82</v>
      </c>
    </row>
    <row r="5869" spans="1:10" x14ac:dyDescent="0.75">
      <c r="A5869" t="s">
        <v>151</v>
      </c>
      <c r="B5869">
        <v>1983</v>
      </c>
      <c r="C5869" t="s">
        <v>39</v>
      </c>
      <c r="D5869">
        <v>4515</v>
      </c>
      <c r="E5869" t="s">
        <v>455</v>
      </c>
      <c r="F5869" s="4">
        <v>0</v>
      </c>
      <c r="G5869" s="4">
        <v>58</v>
      </c>
      <c r="H5869" s="4">
        <v>39</v>
      </c>
      <c r="I5869" s="4">
        <v>19</v>
      </c>
      <c r="J5869" s="4">
        <v>58</v>
      </c>
    </row>
    <row r="5870" spans="1:10" x14ac:dyDescent="0.75">
      <c r="A5870" t="s">
        <v>151</v>
      </c>
      <c r="B5870">
        <v>1983</v>
      </c>
      <c r="C5870" t="s">
        <v>39</v>
      </c>
      <c r="D5870">
        <v>4650</v>
      </c>
      <c r="E5870" t="s">
        <v>457</v>
      </c>
      <c r="F5870" s="4">
        <v>0</v>
      </c>
      <c r="G5870" s="4">
        <v>53</v>
      </c>
      <c r="H5870" s="4">
        <v>0</v>
      </c>
      <c r="I5870" s="4">
        <v>53</v>
      </c>
      <c r="J5870" s="4">
        <v>53</v>
      </c>
    </row>
    <row r="5871" spans="1:10" x14ac:dyDescent="0.75">
      <c r="A5871" t="s">
        <v>151</v>
      </c>
      <c r="B5871">
        <v>1983</v>
      </c>
      <c r="C5871" t="s">
        <v>39</v>
      </c>
      <c r="D5871">
        <v>7300</v>
      </c>
      <c r="E5871" t="s">
        <v>501</v>
      </c>
      <c r="F5871" s="4">
        <v>0</v>
      </c>
      <c r="G5871" s="4">
        <v>53</v>
      </c>
      <c r="H5871" s="4">
        <v>6</v>
      </c>
      <c r="I5871" s="4">
        <v>47</v>
      </c>
      <c r="J5871" s="4">
        <v>53</v>
      </c>
    </row>
    <row r="5872" spans="1:10" x14ac:dyDescent="0.75">
      <c r="A5872" t="s">
        <v>151</v>
      </c>
      <c r="B5872">
        <v>1983</v>
      </c>
      <c r="C5872" t="s">
        <v>39</v>
      </c>
      <c r="D5872">
        <v>3130</v>
      </c>
      <c r="E5872" t="s">
        <v>407</v>
      </c>
      <c r="F5872" s="4">
        <v>0</v>
      </c>
      <c r="G5872" s="4">
        <v>36</v>
      </c>
      <c r="H5872" s="4">
        <v>0</v>
      </c>
      <c r="I5872" s="4">
        <v>36</v>
      </c>
      <c r="J5872" s="4">
        <v>36</v>
      </c>
    </row>
    <row r="5873" spans="1:10" x14ac:dyDescent="0.75">
      <c r="A5873" t="s">
        <v>151</v>
      </c>
      <c r="B5873">
        <v>1983</v>
      </c>
      <c r="C5873" t="s">
        <v>39</v>
      </c>
      <c r="D5873">
        <v>4690</v>
      </c>
      <c r="E5873" t="s">
        <v>428</v>
      </c>
      <c r="F5873" s="4">
        <v>0</v>
      </c>
      <c r="G5873" s="4">
        <v>36</v>
      </c>
      <c r="H5873" s="4">
        <v>0</v>
      </c>
      <c r="I5873" s="4">
        <v>36</v>
      </c>
      <c r="J5873" s="4">
        <v>36</v>
      </c>
    </row>
    <row r="5874" spans="1:10" x14ac:dyDescent="0.75">
      <c r="A5874" t="s">
        <v>151</v>
      </c>
      <c r="B5874">
        <v>1983</v>
      </c>
      <c r="C5874" t="s">
        <v>39</v>
      </c>
      <c r="D5874">
        <v>4150</v>
      </c>
      <c r="E5874" t="s">
        <v>450</v>
      </c>
      <c r="F5874" s="4">
        <v>0</v>
      </c>
      <c r="G5874" s="4">
        <v>34</v>
      </c>
      <c r="H5874" s="4">
        <v>0</v>
      </c>
      <c r="I5874" s="4">
        <v>34</v>
      </c>
      <c r="J5874" s="4">
        <v>34</v>
      </c>
    </row>
    <row r="5875" spans="1:10" x14ac:dyDescent="0.75">
      <c r="A5875" t="s">
        <v>151</v>
      </c>
      <c r="B5875">
        <v>1983</v>
      </c>
      <c r="C5875" t="s">
        <v>39</v>
      </c>
      <c r="D5875">
        <v>6534</v>
      </c>
      <c r="E5875" t="s">
        <v>508</v>
      </c>
      <c r="F5875" s="4">
        <v>0</v>
      </c>
      <c r="G5875" s="4">
        <v>23</v>
      </c>
      <c r="H5875" s="4">
        <v>4</v>
      </c>
      <c r="I5875" s="4">
        <v>19</v>
      </c>
      <c r="J5875" s="4">
        <v>23</v>
      </c>
    </row>
    <row r="5876" spans="1:10" x14ac:dyDescent="0.75">
      <c r="A5876" t="s">
        <v>151</v>
      </c>
      <c r="B5876">
        <v>1983</v>
      </c>
      <c r="C5876" t="s">
        <v>39</v>
      </c>
      <c r="D5876">
        <v>4410</v>
      </c>
      <c r="E5876" t="s">
        <v>399</v>
      </c>
      <c r="F5876" s="4">
        <v>0</v>
      </c>
      <c r="G5876" s="4">
        <v>21</v>
      </c>
      <c r="H5876" s="4">
        <v>0</v>
      </c>
      <c r="I5876" s="4">
        <v>21</v>
      </c>
      <c r="J5876" s="4">
        <v>21</v>
      </c>
    </row>
    <row r="5877" spans="1:10" x14ac:dyDescent="0.75">
      <c r="A5877" t="s">
        <v>151</v>
      </c>
      <c r="B5877">
        <v>1983</v>
      </c>
      <c r="C5877" t="s">
        <v>39</v>
      </c>
      <c r="D5877">
        <v>6522</v>
      </c>
      <c r="E5877" t="s">
        <v>393</v>
      </c>
      <c r="F5877" s="4">
        <v>0</v>
      </c>
      <c r="G5877" s="4">
        <v>21</v>
      </c>
      <c r="H5877" s="4">
        <v>0</v>
      </c>
      <c r="I5877" s="4">
        <v>21</v>
      </c>
      <c r="J5877" s="4">
        <v>21</v>
      </c>
    </row>
    <row r="5878" spans="1:10" x14ac:dyDescent="0.75">
      <c r="A5878" t="s">
        <v>151</v>
      </c>
      <c r="B5878">
        <v>1983</v>
      </c>
      <c r="C5878" t="s">
        <v>39</v>
      </c>
      <c r="D5878">
        <v>3212</v>
      </c>
      <c r="E5878" t="s">
        <v>409</v>
      </c>
      <c r="F5878" s="4">
        <v>0</v>
      </c>
      <c r="G5878" s="4">
        <v>7</v>
      </c>
      <c r="H5878" s="4">
        <v>7</v>
      </c>
      <c r="I5878" s="4">
        <v>0</v>
      </c>
      <c r="J5878" s="4">
        <v>7</v>
      </c>
    </row>
    <row r="5879" spans="1:10" x14ac:dyDescent="0.75">
      <c r="A5879" t="s">
        <v>151</v>
      </c>
      <c r="B5879">
        <v>1983</v>
      </c>
      <c r="C5879" t="s">
        <v>39</v>
      </c>
      <c r="D5879">
        <v>5320</v>
      </c>
      <c r="E5879" t="s">
        <v>384</v>
      </c>
      <c r="F5879" s="4">
        <v>0</v>
      </c>
      <c r="G5879" s="4">
        <v>7</v>
      </c>
      <c r="H5879" s="4">
        <v>1</v>
      </c>
      <c r="I5879" s="4">
        <v>6</v>
      </c>
      <c r="J5879" s="4">
        <v>7</v>
      </c>
    </row>
    <row r="5880" spans="1:10" x14ac:dyDescent="0.75">
      <c r="A5880" t="s">
        <v>151</v>
      </c>
      <c r="B5880">
        <v>1983</v>
      </c>
      <c r="C5880" t="s">
        <v>39</v>
      </c>
      <c r="D5880">
        <v>3273</v>
      </c>
      <c r="E5880" t="s">
        <v>411</v>
      </c>
      <c r="F5880" s="4">
        <v>0</v>
      </c>
      <c r="G5880" s="4">
        <v>6</v>
      </c>
      <c r="H5880" s="4">
        <v>6</v>
      </c>
      <c r="I5880" s="4">
        <v>0</v>
      </c>
      <c r="J5880" s="4">
        <v>6</v>
      </c>
    </row>
    <row r="5881" spans="1:10" x14ac:dyDescent="0.75">
      <c r="A5881" t="s">
        <v>151</v>
      </c>
      <c r="B5881">
        <v>1983</v>
      </c>
      <c r="C5881" t="s">
        <v>39</v>
      </c>
      <c r="D5881">
        <v>6241</v>
      </c>
      <c r="E5881" t="s">
        <v>391</v>
      </c>
      <c r="F5881" s="4">
        <v>0</v>
      </c>
      <c r="G5881" s="4">
        <v>3</v>
      </c>
      <c r="H5881" s="4">
        <v>0</v>
      </c>
      <c r="I5881" s="4">
        <v>3</v>
      </c>
      <c r="J5881" s="4">
        <v>3</v>
      </c>
    </row>
    <row r="5882" spans="1:10" x14ac:dyDescent="0.75">
      <c r="A5882" t="s">
        <v>151</v>
      </c>
      <c r="B5882">
        <v>1983</v>
      </c>
      <c r="C5882" t="s">
        <v>39</v>
      </c>
      <c r="D5882">
        <v>6872</v>
      </c>
      <c r="E5882" t="s">
        <v>492</v>
      </c>
      <c r="F5882" s="4">
        <v>0</v>
      </c>
      <c r="G5882" s="4">
        <v>3</v>
      </c>
      <c r="H5882" s="4">
        <v>0</v>
      </c>
      <c r="I5882" s="4">
        <v>3</v>
      </c>
      <c r="J5882" s="4">
        <v>3</v>
      </c>
    </row>
    <row r="5883" spans="1:10" x14ac:dyDescent="0.75">
      <c r="A5883" t="s">
        <v>151</v>
      </c>
      <c r="B5883">
        <v>1983</v>
      </c>
      <c r="C5883" t="s">
        <v>39</v>
      </c>
      <c r="D5883">
        <v>6443</v>
      </c>
      <c r="E5883" t="s">
        <v>473</v>
      </c>
      <c r="F5883" s="4">
        <v>0</v>
      </c>
      <c r="G5883" s="4">
        <v>2</v>
      </c>
      <c r="H5883" s="4">
        <v>2</v>
      </c>
      <c r="I5883" s="4">
        <v>0</v>
      </c>
      <c r="J5883" s="4">
        <v>2</v>
      </c>
    </row>
    <row r="5884" spans="1:10" x14ac:dyDescent="0.75">
      <c r="A5884" t="s">
        <v>151</v>
      </c>
      <c r="B5884">
        <v>1983</v>
      </c>
      <c r="C5884" t="s">
        <v>39</v>
      </c>
      <c r="D5884">
        <v>5210</v>
      </c>
      <c r="E5884" t="s">
        <v>463</v>
      </c>
      <c r="F5884" s="4">
        <v>0</v>
      </c>
      <c r="G5884" s="4">
        <v>1</v>
      </c>
      <c r="H5884" s="4">
        <v>0</v>
      </c>
      <c r="I5884" s="4">
        <v>1</v>
      </c>
      <c r="J5884" s="4">
        <v>1</v>
      </c>
    </row>
    <row r="5885" spans="1:10" x14ac:dyDescent="0.75">
      <c r="A5885" t="s">
        <v>151</v>
      </c>
      <c r="B5885">
        <v>1995</v>
      </c>
      <c r="C5885" t="s">
        <v>141</v>
      </c>
      <c r="D5885">
        <v>2330</v>
      </c>
      <c r="E5885" t="s">
        <v>368</v>
      </c>
      <c r="F5885" s="4">
        <v>2013111</v>
      </c>
      <c r="G5885" s="4">
        <v>4135990</v>
      </c>
      <c r="H5885" s="4">
        <v>1858689</v>
      </c>
      <c r="I5885" s="4">
        <v>2277301</v>
      </c>
      <c r="J5885" s="4">
        <v>6149101</v>
      </c>
    </row>
    <row r="5886" spans="1:10" x14ac:dyDescent="0.75">
      <c r="A5886" t="s">
        <v>151</v>
      </c>
      <c r="B5886">
        <v>1995</v>
      </c>
      <c r="C5886" t="s">
        <v>141</v>
      </c>
      <c r="D5886">
        <v>2211</v>
      </c>
      <c r="E5886" t="s">
        <v>367</v>
      </c>
      <c r="F5886" s="4">
        <v>3282133</v>
      </c>
      <c r="G5886" s="4">
        <v>1473355</v>
      </c>
      <c r="H5886" s="4">
        <v>140685</v>
      </c>
      <c r="I5886" s="4">
        <v>1332670</v>
      </c>
      <c r="J5886" s="4">
        <v>4755488</v>
      </c>
    </row>
    <row r="5887" spans="1:10" x14ac:dyDescent="0.75">
      <c r="A5887" t="s">
        <v>151</v>
      </c>
      <c r="B5887">
        <v>1995</v>
      </c>
      <c r="C5887" t="s">
        <v>141</v>
      </c>
      <c r="D5887">
        <v>2100</v>
      </c>
      <c r="E5887" t="s">
        <v>403</v>
      </c>
      <c r="F5887" s="4">
        <v>238421</v>
      </c>
      <c r="G5887" s="4">
        <v>3625111</v>
      </c>
      <c r="H5887" s="4">
        <v>3625111</v>
      </c>
      <c r="I5887" s="4">
        <v>0</v>
      </c>
      <c r="J5887" s="4">
        <v>3863532</v>
      </c>
    </row>
    <row r="5888" spans="1:10" x14ac:dyDescent="0.75">
      <c r="A5888" t="s">
        <v>151</v>
      </c>
      <c r="B5888">
        <v>1995</v>
      </c>
      <c r="C5888" t="s">
        <v>141</v>
      </c>
      <c r="D5888">
        <v>2221</v>
      </c>
      <c r="E5888" t="s">
        <v>374</v>
      </c>
      <c r="F5888" s="4">
        <v>2085626</v>
      </c>
      <c r="G5888" s="4">
        <v>554220</v>
      </c>
      <c r="H5888" s="4">
        <v>0</v>
      </c>
      <c r="I5888" s="4">
        <v>554220</v>
      </c>
      <c r="J5888" s="4">
        <v>2639846</v>
      </c>
    </row>
    <row r="5889" spans="1:10" x14ac:dyDescent="0.75">
      <c r="A5889" t="s">
        <v>151</v>
      </c>
      <c r="B5889">
        <v>1995</v>
      </c>
      <c r="C5889" t="s">
        <v>141</v>
      </c>
      <c r="D5889">
        <v>2540</v>
      </c>
      <c r="E5889" t="s">
        <v>377</v>
      </c>
      <c r="F5889" s="4">
        <v>0</v>
      </c>
      <c r="G5889" s="4">
        <v>1959806</v>
      </c>
      <c r="H5889" s="4">
        <v>0</v>
      </c>
      <c r="I5889" s="4">
        <v>1959806</v>
      </c>
      <c r="J5889" s="4">
        <v>1959806</v>
      </c>
    </row>
    <row r="5890" spans="1:10" x14ac:dyDescent="0.75">
      <c r="A5890" t="s">
        <v>151</v>
      </c>
      <c r="B5890">
        <v>1995</v>
      </c>
      <c r="C5890" t="s">
        <v>141</v>
      </c>
      <c r="D5890">
        <v>2340</v>
      </c>
      <c r="E5890" t="s">
        <v>369</v>
      </c>
      <c r="F5890" s="4">
        <v>174440</v>
      </c>
      <c r="G5890" s="4">
        <v>1282638</v>
      </c>
      <c r="H5890" s="4">
        <v>1282638</v>
      </c>
      <c r="I5890" s="4">
        <v>0</v>
      </c>
      <c r="J5890" s="4">
        <v>1457078</v>
      </c>
    </row>
    <row r="5891" spans="1:10" x14ac:dyDescent="0.75">
      <c r="A5891" t="s">
        <v>151</v>
      </c>
      <c r="B5891">
        <v>1995</v>
      </c>
      <c r="C5891" t="s">
        <v>141</v>
      </c>
      <c r="D5891">
        <v>2350</v>
      </c>
      <c r="E5891" t="s">
        <v>404</v>
      </c>
      <c r="F5891" s="4">
        <v>323644</v>
      </c>
      <c r="G5891" s="4">
        <v>562406</v>
      </c>
      <c r="H5891" s="4">
        <v>0</v>
      </c>
      <c r="I5891" s="4">
        <v>562406</v>
      </c>
      <c r="J5891" s="4">
        <v>886050</v>
      </c>
    </row>
    <row r="5892" spans="1:10" x14ac:dyDescent="0.75">
      <c r="A5892" t="s">
        <v>151</v>
      </c>
      <c r="B5892">
        <v>1995</v>
      </c>
      <c r="C5892" t="s">
        <v>141</v>
      </c>
      <c r="D5892">
        <v>3212</v>
      </c>
      <c r="E5892" t="s">
        <v>409</v>
      </c>
      <c r="F5892" s="4">
        <v>540918</v>
      </c>
      <c r="G5892" s="4">
        <v>0</v>
      </c>
      <c r="H5892" s="4">
        <v>0</v>
      </c>
      <c r="I5892" s="4">
        <v>0</v>
      </c>
      <c r="J5892" s="4">
        <v>540918</v>
      </c>
    </row>
    <row r="5893" spans="1:10" x14ac:dyDescent="0.75">
      <c r="A5893" t="s">
        <v>151</v>
      </c>
      <c r="B5893">
        <v>1995</v>
      </c>
      <c r="C5893" t="s">
        <v>141</v>
      </c>
      <c r="D5893">
        <v>3211</v>
      </c>
      <c r="E5893" t="s">
        <v>433</v>
      </c>
      <c r="F5893" s="4">
        <v>336089</v>
      </c>
      <c r="G5893" s="4">
        <v>0</v>
      </c>
      <c r="H5893" s="4">
        <v>0</v>
      </c>
      <c r="I5893" s="4">
        <v>0</v>
      </c>
      <c r="J5893" s="4">
        <v>336089</v>
      </c>
    </row>
    <row r="5894" spans="1:10" x14ac:dyDescent="0.75">
      <c r="A5894" t="s">
        <v>151</v>
      </c>
      <c r="B5894">
        <v>1995</v>
      </c>
      <c r="C5894" t="s">
        <v>141</v>
      </c>
      <c r="D5894">
        <v>3271</v>
      </c>
      <c r="E5894" t="s">
        <v>437</v>
      </c>
      <c r="F5894" s="4">
        <v>229781</v>
      </c>
      <c r="G5894" s="4">
        <v>0</v>
      </c>
      <c r="H5894" s="4">
        <v>0</v>
      </c>
      <c r="I5894" s="4">
        <v>0</v>
      </c>
      <c r="J5894" s="4">
        <v>229781</v>
      </c>
    </row>
    <row r="5895" spans="1:10" x14ac:dyDescent="0.75">
      <c r="A5895" t="s">
        <v>151</v>
      </c>
      <c r="B5895">
        <v>1995</v>
      </c>
      <c r="C5895" t="s">
        <v>141</v>
      </c>
      <c r="D5895">
        <v>2990</v>
      </c>
      <c r="E5895" t="s">
        <v>432</v>
      </c>
      <c r="F5895" s="4">
        <v>0</v>
      </c>
      <c r="G5895" s="4">
        <v>168440</v>
      </c>
      <c r="H5895" s="4">
        <v>168440</v>
      </c>
      <c r="I5895" s="4">
        <v>0</v>
      </c>
      <c r="J5895" s="4">
        <v>168440</v>
      </c>
    </row>
    <row r="5896" spans="1:10" x14ac:dyDescent="0.75">
      <c r="A5896" t="s">
        <v>151</v>
      </c>
      <c r="B5896">
        <v>1995</v>
      </c>
      <c r="C5896" t="s">
        <v>141</v>
      </c>
      <c r="D5896">
        <v>2429</v>
      </c>
      <c r="E5896" t="s">
        <v>375</v>
      </c>
      <c r="F5896" s="4">
        <v>71266</v>
      </c>
      <c r="G5896" s="4">
        <v>91712</v>
      </c>
      <c r="H5896" s="4">
        <v>0</v>
      </c>
      <c r="I5896" s="4">
        <v>91712</v>
      </c>
      <c r="J5896" s="4">
        <v>162978</v>
      </c>
    </row>
    <row r="5897" spans="1:10" x14ac:dyDescent="0.75">
      <c r="A5897" t="s">
        <v>151</v>
      </c>
      <c r="B5897">
        <v>1995</v>
      </c>
      <c r="C5897" t="s">
        <v>141</v>
      </c>
      <c r="D5897">
        <v>2640</v>
      </c>
      <c r="E5897" t="s">
        <v>431</v>
      </c>
      <c r="F5897" s="4">
        <v>127391</v>
      </c>
      <c r="G5897" s="4">
        <v>0</v>
      </c>
      <c r="H5897" s="4">
        <v>0</v>
      </c>
      <c r="I5897" s="4">
        <v>0</v>
      </c>
      <c r="J5897" s="4">
        <v>127391</v>
      </c>
    </row>
    <row r="5898" spans="1:10" x14ac:dyDescent="0.75">
      <c r="A5898" t="s">
        <v>151</v>
      </c>
      <c r="B5898">
        <v>1995</v>
      </c>
      <c r="C5898" t="s">
        <v>141</v>
      </c>
      <c r="D5898">
        <v>3220</v>
      </c>
      <c r="E5898" t="s">
        <v>370</v>
      </c>
      <c r="F5898" s="4">
        <v>80518</v>
      </c>
      <c r="G5898" s="4">
        <v>0</v>
      </c>
      <c r="H5898" s="4">
        <v>0</v>
      </c>
      <c r="I5898" s="4">
        <v>0</v>
      </c>
      <c r="J5898" s="4">
        <v>80518</v>
      </c>
    </row>
    <row r="5899" spans="1:10" x14ac:dyDescent="0.75">
      <c r="A5899" t="s">
        <v>151</v>
      </c>
      <c r="B5899">
        <v>1995</v>
      </c>
      <c r="C5899" t="s">
        <v>141</v>
      </c>
      <c r="D5899">
        <v>1200</v>
      </c>
      <c r="E5899" t="s">
        <v>402</v>
      </c>
      <c r="F5899" s="4">
        <v>0</v>
      </c>
      <c r="G5899" s="4">
        <v>72224</v>
      </c>
      <c r="H5899" s="4">
        <v>0</v>
      </c>
      <c r="I5899" s="4">
        <v>72224</v>
      </c>
      <c r="J5899" s="4">
        <v>72224</v>
      </c>
    </row>
    <row r="5900" spans="1:10" x14ac:dyDescent="0.75">
      <c r="A5900" t="s">
        <v>151</v>
      </c>
      <c r="B5900">
        <v>1995</v>
      </c>
      <c r="C5900" t="s">
        <v>141</v>
      </c>
      <c r="D5900">
        <v>3272</v>
      </c>
      <c r="E5900" t="s">
        <v>504</v>
      </c>
      <c r="F5900" s="4">
        <v>71295</v>
      </c>
      <c r="G5900" s="4">
        <v>0</v>
      </c>
      <c r="H5900" s="4">
        <v>0</v>
      </c>
      <c r="I5900" s="4">
        <v>0</v>
      </c>
      <c r="J5900" s="4">
        <v>71295</v>
      </c>
    </row>
    <row r="5901" spans="1:10" x14ac:dyDescent="0.75">
      <c r="A5901" t="s">
        <v>151</v>
      </c>
      <c r="B5901">
        <v>1995</v>
      </c>
      <c r="C5901" t="s">
        <v>141</v>
      </c>
      <c r="D5901">
        <v>3299</v>
      </c>
      <c r="E5901" t="s">
        <v>448</v>
      </c>
      <c r="F5901" s="4">
        <v>69944</v>
      </c>
      <c r="G5901" s="4">
        <v>0</v>
      </c>
      <c r="H5901" s="4">
        <v>0</v>
      </c>
      <c r="I5901" s="4">
        <v>0</v>
      </c>
      <c r="J5901" s="4">
        <v>69944</v>
      </c>
    </row>
    <row r="5902" spans="1:10" x14ac:dyDescent="0.75">
      <c r="A5902" t="s">
        <v>151</v>
      </c>
      <c r="B5902">
        <v>1995</v>
      </c>
      <c r="C5902" t="s">
        <v>141</v>
      </c>
      <c r="D5902">
        <v>4189</v>
      </c>
      <c r="E5902" t="s">
        <v>451</v>
      </c>
      <c r="F5902" s="4">
        <v>0</v>
      </c>
      <c r="G5902" s="4">
        <v>43051</v>
      </c>
      <c r="H5902" s="4">
        <v>0</v>
      </c>
      <c r="I5902" s="4">
        <v>43051</v>
      </c>
      <c r="J5902" s="4">
        <v>43051</v>
      </c>
    </row>
    <row r="5903" spans="1:10" x14ac:dyDescent="0.75">
      <c r="A5903" t="s">
        <v>151</v>
      </c>
      <c r="B5903">
        <v>1995</v>
      </c>
      <c r="C5903" t="s">
        <v>141</v>
      </c>
      <c r="D5903">
        <v>2430</v>
      </c>
      <c r="E5903" t="s">
        <v>376</v>
      </c>
      <c r="F5903" s="4">
        <v>27879</v>
      </c>
      <c r="G5903" s="4">
        <v>0</v>
      </c>
      <c r="H5903" s="4">
        <v>0</v>
      </c>
      <c r="I5903" s="4">
        <v>0</v>
      </c>
      <c r="J5903" s="4">
        <v>27879</v>
      </c>
    </row>
    <row r="5904" spans="1:10" x14ac:dyDescent="0.75">
      <c r="A5904" t="s">
        <v>151</v>
      </c>
      <c r="B5904">
        <v>1995</v>
      </c>
      <c r="C5904" t="s">
        <v>141</v>
      </c>
      <c r="D5904">
        <v>5320</v>
      </c>
      <c r="E5904" t="s">
        <v>384</v>
      </c>
      <c r="F5904" s="4">
        <v>0</v>
      </c>
      <c r="G5904" s="4">
        <v>25177</v>
      </c>
      <c r="H5904" s="4">
        <v>0</v>
      </c>
      <c r="I5904" s="4">
        <v>25177</v>
      </c>
      <c r="J5904" s="4">
        <v>25177</v>
      </c>
    </row>
    <row r="5905" spans="1:10" x14ac:dyDescent="0.75">
      <c r="A5905" t="s">
        <v>151</v>
      </c>
      <c r="B5905">
        <v>1995</v>
      </c>
      <c r="C5905" t="s">
        <v>141</v>
      </c>
      <c r="D5905">
        <v>5330</v>
      </c>
      <c r="E5905" t="s">
        <v>385</v>
      </c>
      <c r="F5905" s="4">
        <v>13400</v>
      </c>
      <c r="G5905" s="4">
        <v>0</v>
      </c>
      <c r="H5905" s="4">
        <v>0</v>
      </c>
      <c r="I5905" s="4">
        <v>0</v>
      </c>
      <c r="J5905" s="4">
        <v>13400</v>
      </c>
    </row>
    <row r="5906" spans="1:10" x14ac:dyDescent="0.75">
      <c r="A5906" t="s">
        <v>151</v>
      </c>
      <c r="B5906">
        <v>1995</v>
      </c>
      <c r="C5906" t="s">
        <v>141</v>
      </c>
      <c r="D5906">
        <v>3274</v>
      </c>
      <c r="E5906" t="s">
        <v>438</v>
      </c>
      <c r="F5906" s="4">
        <v>9951</v>
      </c>
      <c r="G5906" s="4">
        <v>0</v>
      </c>
      <c r="H5906" s="4">
        <v>0</v>
      </c>
      <c r="I5906" s="4">
        <v>0</v>
      </c>
      <c r="J5906" s="4">
        <v>9951</v>
      </c>
    </row>
    <row r="5907" spans="1:10" x14ac:dyDescent="0.75">
      <c r="A5907" t="s">
        <v>151</v>
      </c>
      <c r="B5907">
        <v>1995</v>
      </c>
      <c r="C5907" t="s">
        <v>141</v>
      </c>
      <c r="D5907">
        <v>5120</v>
      </c>
      <c r="E5907" t="s">
        <v>461</v>
      </c>
      <c r="F5907" s="4">
        <v>0</v>
      </c>
      <c r="G5907" s="4">
        <v>9565</v>
      </c>
      <c r="H5907" s="4">
        <v>0</v>
      </c>
      <c r="I5907" s="4">
        <v>9565</v>
      </c>
      <c r="J5907" s="4">
        <v>9565</v>
      </c>
    </row>
    <row r="5908" spans="1:10" x14ac:dyDescent="0.75">
      <c r="A5908" t="s">
        <v>151</v>
      </c>
      <c r="B5908">
        <v>1995</v>
      </c>
      <c r="C5908" t="s">
        <v>141</v>
      </c>
      <c r="D5908">
        <v>6782</v>
      </c>
      <c r="E5908" t="s">
        <v>396</v>
      </c>
      <c r="F5908" s="4">
        <v>8853</v>
      </c>
      <c r="G5908" s="4">
        <v>0</v>
      </c>
      <c r="H5908" s="4">
        <v>0</v>
      </c>
      <c r="I5908" s="4">
        <v>0</v>
      </c>
      <c r="J5908" s="4">
        <v>8853</v>
      </c>
    </row>
    <row r="5909" spans="1:10" x14ac:dyDescent="0.75">
      <c r="A5909" t="s">
        <v>151</v>
      </c>
      <c r="B5909">
        <v>1995</v>
      </c>
      <c r="C5909" t="s">
        <v>141</v>
      </c>
      <c r="D5909">
        <v>3219</v>
      </c>
      <c r="E5909" t="s">
        <v>378</v>
      </c>
      <c r="F5909" s="4">
        <v>7588</v>
      </c>
      <c r="G5909" s="4">
        <v>0</v>
      </c>
      <c r="H5909" s="4">
        <v>0</v>
      </c>
      <c r="I5909" s="4">
        <v>0</v>
      </c>
      <c r="J5909" s="4">
        <v>7588</v>
      </c>
    </row>
    <row r="5910" spans="1:10" x14ac:dyDescent="0.75">
      <c r="A5910" t="s">
        <v>151</v>
      </c>
      <c r="B5910">
        <v>1995</v>
      </c>
      <c r="C5910" t="s">
        <v>141</v>
      </c>
      <c r="D5910">
        <v>5540</v>
      </c>
      <c r="E5910" t="s">
        <v>469</v>
      </c>
      <c r="F5910" s="4">
        <v>0</v>
      </c>
      <c r="G5910" s="4">
        <v>6409</v>
      </c>
      <c r="H5910" s="4">
        <v>4611</v>
      </c>
      <c r="I5910" s="4">
        <v>1798</v>
      </c>
      <c r="J5910" s="4">
        <v>6409</v>
      </c>
    </row>
    <row r="5911" spans="1:10" x14ac:dyDescent="0.75">
      <c r="A5911" t="s">
        <v>151</v>
      </c>
      <c r="B5911">
        <v>1995</v>
      </c>
      <c r="C5911" t="s">
        <v>141</v>
      </c>
      <c r="D5911">
        <v>4170</v>
      </c>
      <c r="E5911" t="s">
        <v>424</v>
      </c>
      <c r="F5911" s="4">
        <v>0</v>
      </c>
      <c r="G5911" s="4">
        <v>4837</v>
      </c>
      <c r="H5911" s="4">
        <v>0</v>
      </c>
      <c r="I5911" s="4">
        <v>4837</v>
      </c>
      <c r="J5911" s="4">
        <v>4837</v>
      </c>
    </row>
    <row r="5912" spans="1:10" x14ac:dyDescent="0.75">
      <c r="A5912" t="s">
        <v>151</v>
      </c>
      <c r="B5912">
        <v>1995</v>
      </c>
      <c r="C5912" t="s">
        <v>141</v>
      </c>
      <c r="D5912">
        <v>4322</v>
      </c>
      <c r="E5912" t="s">
        <v>398</v>
      </c>
      <c r="F5912" s="4">
        <v>4757</v>
      </c>
      <c r="G5912" s="4">
        <v>0</v>
      </c>
      <c r="H5912" s="4">
        <v>0</v>
      </c>
      <c r="I5912" s="4">
        <v>0</v>
      </c>
      <c r="J5912" s="4">
        <v>4757</v>
      </c>
    </row>
    <row r="5913" spans="1:10" x14ac:dyDescent="0.75">
      <c r="A5913" t="s">
        <v>151</v>
      </c>
      <c r="B5913">
        <v>1995</v>
      </c>
      <c r="C5913" t="s">
        <v>141</v>
      </c>
      <c r="D5913">
        <v>7110</v>
      </c>
      <c r="E5913" t="s">
        <v>371</v>
      </c>
      <c r="F5913" s="4">
        <v>323</v>
      </c>
      <c r="G5913" s="4">
        <v>3820</v>
      </c>
      <c r="H5913" s="4">
        <v>3802</v>
      </c>
      <c r="I5913" s="4">
        <v>18</v>
      </c>
      <c r="J5913" s="4">
        <v>4143</v>
      </c>
    </row>
    <row r="5914" spans="1:10" x14ac:dyDescent="0.75">
      <c r="A5914" t="s">
        <v>151</v>
      </c>
      <c r="B5914">
        <v>1995</v>
      </c>
      <c r="C5914" t="s">
        <v>141</v>
      </c>
      <c r="D5914">
        <v>6344</v>
      </c>
      <c r="E5914" t="s">
        <v>392</v>
      </c>
      <c r="F5914" s="4">
        <v>0</v>
      </c>
      <c r="G5914" s="4">
        <v>3700</v>
      </c>
      <c r="H5914" s="4">
        <v>0</v>
      </c>
      <c r="I5914" s="4">
        <v>3700</v>
      </c>
      <c r="J5914" s="4">
        <v>3700</v>
      </c>
    </row>
    <row r="5915" spans="1:10" x14ac:dyDescent="0.75">
      <c r="A5915" t="s">
        <v>151</v>
      </c>
      <c r="B5915">
        <v>1995</v>
      </c>
      <c r="C5915" t="s">
        <v>141</v>
      </c>
      <c r="D5915">
        <v>4420</v>
      </c>
      <c r="E5915" t="s">
        <v>381</v>
      </c>
      <c r="F5915" s="4">
        <v>3000</v>
      </c>
      <c r="G5915" s="4">
        <v>0</v>
      </c>
      <c r="H5915" s="4">
        <v>0</v>
      </c>
      <c r="I5915" s="4">
        <v>0</v>
      </c>
      <c r="J5915" s="4">
        <v>3000</v>
      </c>
    </row>
    <row r="5916" spans="1:10" x14ac:dyDescent="0.75">
      <c r="A5916" t="s">
        <v>151</v>
      </c>
      <c r="B5916">
        <v>1995</v>
      </c>
      <c r="C5916" t="s">
        <v>141</v>
      </c>
      <c r="D5916">
        <v>3286</v>
      </c>
      <c r="E5916" t="s">
        <v>423</v>
      </c>
      <c r="F5916" s="4">
        <v>0</v>
      </c>
      <c r="G5916" s="4">
        <v>2145</v>
      </c>
      <c r="H5916" s="4">
        <v>2145</v>
      </c>
      <c r="I5916" s="4">
        <v>0</v>
      </c>
      <c r="J5916" s="4">
        <v>2145</v>
      </c>
    </row>
    <row r="5917" spans="1:10" x14ac:dyDescent="0.75">
      <c r="A5917" t="s">
        <v>151</v>
      </c>
      <c r="B5917">
        <v>1995</v>
      </c>
      <c r="C5917" t="s">
        <v>141</v>
      </c>
      <c r="D5917">
        <v>5360</v>
      </c>
      <c r="E5917" t="s">
        <v>465</v>
      </c>
      <c r="F5917" s="4">
        <v>0</v>
      </c>
      <c r="G5917" s="4">
        <v>2087</v>
      </c>
      <c r="H5917" s="4">
        <v>0</v>
      </c>
      <c r="I5917" s="4">
        <v>2087</v>
      </c>
      <c r="J5917" s="4">
        <v>2087</v>
      </c>
    </row>
    <row r="5918" spans="1:10" x14ac:dyDescent="0.75">
      <c r="A5918" t="s">
        <v>151</v>
      </c>
      <c r="B5918">
        <v>1995</v>
      </c>
      <c r="C5918" t="s">
        <v>141</v>
      </c>
      <c r="D5918">
        <v>3273</v>
      </c>
      <c r="E5918" t="s">
        <v>411</v>
      </c>
      <c r="F5918" s="4">
        <v>1700</v>
      </c>
      <c r="G5918" s="4">
        <v>0</v>
      </c>
      <c r="H5918" s="4">
        <v>0</v>
      </c>
      <c r="I5918" s="4">
        <v>0</v>
      </c>
      <c r="J5918" s="4">
        <v>1700</v>
      </c>
    </row>
    <row r="5919" spans="1:10" x14ac:dyDescent="0.75">
      <c r="A5919" t="s">
        <v>151</v>
      </c>
      <c r="B5919">
        <v>1995</v>
      </c>
      <c r="C5919" t="s">
        <v>141</v>
      </c>
      <c r="D5919">
        <v>4860</v>
      </c>
      <c r="E5919" t="s">
        <v>400</v>
      </c>
      <c r="F5919" s="4">
        <v>1500</v>
      </c>
      <c r="G5919" s="4">
        <v>0</v>
      </c>
      <c r="H5919" s="4">
        <v>0</v>
      </c>
      <c r="I5919" s="4">
        <v>0</v>
      </c>
      <c r="J5919" s="4">
        <v>1500</v>
      </c>
    </row>
    <row r="5920" spans="1:10" x14ac:dyDescent="0.75">
      <c r="A5920" t="s">
        <v>151</v>
      </c>
      <c r="B5920">
        <v>1995</v>
      </c>
      <c r="C5920" t="s">
        <v>141</v>
      </c>
      <c r="D5920">
        <v>3297</v>
      </c>
      <c r="E5920" t="s">
        <v>446</v>
      </c>
      <c r="F5920" s="4">
        <v>0</v>
      </c>
      <c r="G5920" s="4">
        <v>1401</v>
      </c>
      <c r="H5920" s="4">
        <v>0</v>
      </c>
      <c r="I5920" s="4">
        <v>1401</v>
      </c>
      <c r="J5920" s="4">
        <v>1401</v>
      </c>
    </row>
    <row r="5921" spans="1:10" x14ac:dyDescent="0.75">
      <c r="A5921" t="s">
        <v>151</v>
      </c>
      <c r="B5921">
        <v>1995</v>
      </c>
      <c r="C5921" t="s">
        <v>141</v>
      </c>
      <c r="D5921">
        <v>6838</v>
      </c>
      <c r="E5921" t="s">
        <v>484</v>
      </c>
      <c r="F5921" s="4">
        <v>1400</v>
      </c>
      <c r="G5921" s="4">
        <v>0</v>
      </c>
      <c r="H5921" s="4">
        <v>0</v>
      </c>
      <c r="I5921" s="4">
        <v>0</v>
      </c>
      <c r="J5921" s="4">
        <v>1400</v>
      </c>
    </row>
    <row r="5922" spans="1:10" x14ac:dyDescent="0.75">
      <c r="A5922" t="s">
        <v>151</v>
      </c>
      <c r="B5922">
        <v>1995</v>
      </c>
      <c r="C5922" t="s">
        <v>141</v>
      </c>
      <c r="D5922">
        <v>5480</v>
      </c>
      <c r="E5922" t="s">
        <v>386</v>
      </c>
      <c r="F5922" s="4">
        <v>0</v>
      </c>
      <c r="G5922" s="4">
        <v>1259</v>
      </c>
      <c r="H5922" s="4">
        <v>143</v>
      </c>
      <c r="I5922" s="4">
        <v>1116</v>
      </c>
      <c r="J5922" s="4">
        <v>1259</v>
      </c>
    </row>
    <row r="5923" spans="1:10" x14ac:dyDescent="0.75">
      <c r="A5923" t="s">
        <v>151</v>
      </c>
      <c r="B5923">
        <v>1995</v>
      </c>
      <c r="C5923" t="s">
        <v>141</v>
      </c>
      <c r="D5923">
        <v>7500</v>
      </c>
      <c r="E5923" t="s">
        <v>427</v>
      </c>
      <c r="F5923" s="4">
        <v>0</v>
      </c>
      <c r="G5923" s="4">
        <v>1155</v>
      </c>
      <c r="H5923" s="4">
        <v>0</v>
      </c>
      <c r="I5923" s="4">
        <v>1155</v>
      </c>
      <c r="J5923" s="4">
        <v>1155</v>
      </c>
    </row>
    <row r="5924" spans="1:10" x14ac:dyDescent="0.75">
      <c r="A5924" t="s">
        <v>151</v>
      </c>
      <c r="B5924">
        <v>1995</v>
      </c>
      <c r="C5924" t="s">
        <v>141</v>
      </c>
      <c r="D5924">
        <v>6653</v>
      </c>
      <c r="E5924" t="s">
        <v>395</v>
      </c>
      <c r="F5924" s="4">
        <v>0</v>
      </c>
      <c r="G5924" s="4">
        <v>882</v>
      </c>
      <c r="H5924" s="4">
        <v>0</v>
      </c>
      <c r="I5924" s="4">
        <v>882</v>
      </c>
      <c r="J5924" s="4">
        <v>882</v>
      </c>
    </row>
    <row r="5925" spans="1:10" x14ac:dyDescent="0.75">
      <c r="A5925" t="s">
        <v>151</v>
      </c>
      <c r="B5925">
        <v>1995</v>
      </c>
      <c r="C5925" t="s">
        <v>141</v>
      </c>
      <c r="D5925">
        <v>7400</v>
      </c>
      <c r="E5925" t="s">
        <v>502</v>
      </c>
      <c r="F5925" s="4">
        <v>0</v>
      </c>
      <c r="G5925" s="4">
        <v>868</v>
      </c>
      <c r="H5925" s="4">
        <v>868</v>
      </c>
      <c r="I5925" s="4">
        <v>0</v>
      </c>
      <c r="J5925" s="4">
        <v>868</v>
      </c>
    </row>
    <row r="5926" spans="1:10" x14ac:dyDescent="0.75">
      <c r="A5926" t="s">
        <v>151</v>
      </c>
      <c r="B5926">
        <v>1995</v>
      </c>
      <c r="C5926" t="s">
        <v>141</v>
      </c>
      <c r="D5926">
        <v>4331</v>
      </c>
      <c r="E5926" t="s">
        <v>390</v>
      </c>
      <c r="F5926" s="4">
        <v>0</v>
      </c>
      <c r="G5926" s="4">
        <v>229</v>
      </c>
      <c r="H5926" s="4">
        <v>229</v>
      </c>
      <c r="I5926" s="4">
        <v>0</v>
      </c>
      <c r="J5926" s="4">
        <v>229</v>
      </c>
    </row>
    <row r="5927" spans="1:10" x14ac:dyDescent="0.75">
      <c r="A5927" t="s">
        <v>151</v>
      </c>
      <c r="B5927">
        <v>1995</v>
      </c>
      <c r="C5927" t="s">
        <v>141</v>
      </c>
      <c r="D5927">
        <v>7900</v>
      </c>
      <c r="E5927" t="s">
        <v>388</v>
      </c>
      <c r="F5927" s="4">
        <v>69</v>
      </c>
      <c r="G5927" s="4">
        <v>100</v>
      </c>
      <c r="H5927" s="4">
        <v>100</v>
      </c>
      <c r="I5927" s="4">
        <v>0</v>
      </c>
      <c r="J5927" s="4">
        <v>169</v>
      </c>
    </row>
    <row r="5928" spans="1:10" x14ac:dyDescent="0.75">
      <c r="A5928" t="s">
        <v>151</v>
      </c>
      <c r="B5928">
        <v>1995</v>
      </c>
      <c r="C5928" t="s">
        <v>141</v>
      </c>
      <c r="D5928">
        <v>7120</v>
      </c>
      <c r="E5928" t="s">
        <v>499</v>
      </c>
      <c r="F5928" s="4">
        <v>0</v>
      </c>
      <c r="G5928" s="4">
        <v>166</v>
      </c>
      <c r="H5928" s="4">
        <v>166</v>
      </c>
      <c r="I5928" s="4">
        <v>0</v>
      </c>
      <c r="J5928" s="4">
        <v>166</v>
      </c>
    </row>
    <row r="5929" spans="1:10" x14ac:dyDescent="0.75">
      <c r="A5929" t="s">
        <v>151</v>
      </c>
      <c r="B5929">
        <v>1995</v>
      </c>
      <c r="C5929" t="s">
        <v>141</v>
      </c>
      <c r="D5929">
        <v>9900</v>
      </c>
      <c r="E5929" t="s">
        <v>389</v>
      </c>
      <c r="F5929" s="4">
        <v>0</v>
      </c>
      <c r="G5929" s="4">
        <v>138</v>
      </c>
      <c r="H5929" s="4">
        <v>138</v>
      </c>
      <c r="I5929" s="4">
        <v>0</v>
      </c>
      <c r="J5929" s="4">
        <v>138</v>
      </c>
    </row>
    <row r="5930" spans="1:10" x14ac:dyDescent="0.75">
      <c r="A5930" t="s">
        <v>151</v>
      </c>
      <c r="B5930">
        <v>1995</v>
      </c>
      <c r="C5930" t="s">
        <v>141</v>
      </c>
      <c r="D5930">
        <v>5370</v>
      </c>
      <c r="E5930" t="s">
        <v>466</v>
      </c>
      <c r="F5930" s="4">
        <v>0</v>
      </c>
      <c r="G5930" s="4">
        <v>26</v>
      </c>
      <c r="H5930" s="4">
        <v>26</v>
      </c>
      <c r="I5930" s="4">
        <v>0</v>
      </c>
      <c r="J5930" s="4">
        <v>26</v>
      </c>
    </row>
    <row r="5931" spans="1:10" x14ac:dyDescent="0.75">
      <c r="A5931" t="s">
        <v>151</v>
      </c>
      <c r="B5931">
        <v>1995</v>
      </c>
      <c r="C5931" t="s">
        <v>141</v>
      </c>
      <c r="D5931">
        <v>5390</v>
      </c>
      <c r="E5931" t="s">
        <v>418</v>
      </c>
      <c r="F5931" s="4">
        <v>0</v>
      </c>
      <c r="G5931" s="4">
        <v>7</v>
      </c>
      <c r="H5931" s="4">
        <v>0</v>
      </c>
      <c r="I5931" s="4">
        <v>7</v>
      </c>
      <c r="J5931" s="4">
        <v>7</v>
      </c>
    </row>
    <row r="5932" spans="1:10" x14ac:dyDescent="0.75">
      <c r="A5932" t="s">
        <v>151</v>
      </c>
      <c r="B5932">
        <v>1995</v>
      </c>
      <c r="C5932" t="s">
        <v>141</v>
      </c>
      <c r="D5932">
        <v>7230</v>
      </c>
      <c r="E5932" t="s">
        <v>387</v>
      </c>
      <c r="F5932" s="4">
        <v>0</v>
      </c>
      <c r="G5932" s="4">
        <v>3</v>
      </c>
      <c r="H5932" s="4">
        <v>3</v>
      </c>
      <c r="I5932" s="4">
        <v>0</v>
      </c>
      <c r="J5932" s="4">
        <v>3</v>
      </c>
    </row>
    <row r="5933" spans="1:10" x14ac:dyDescent="0.75">
      <c r="A5933" t="s">
        <v>151</v>
      </c>
      <c r="B5933">
        <v>1995</v>
      </c>
      <c r="C5933" t="s">
        <v>141</v>
      </c>
      <c r="D5933">
        <v>3275</v>
      </c>
      <c r="E5933" t="s">
        <v>412</v>
      </c>
      <c r="F5933" s="4">
        <v>0</v>
      </c>
      <c r="G5933" s="4">
        <v>2</v>
      </c>
      <c r="H5933" s="4">
        <v>2</v>
      </c>
      <c r="I5933" s="4">
        <v>0</v>
      </c>
      <c r="J5933" s="4">
        <v>2</v>
      </c>
    </row>
    <row r="5934" spans="1:10" x14ac:dyDescent="0.75">
      <c r="A5934" t="s">
        <v>151</v>
      </c>
      <c r="B5934">
        <v>1995</v>
      </c>
      <c r="C5934" t="s">
        <v>141</v>
      </c>
      <c r="D5934">
        <v>7210</v>
      </c>
      <c r="E5934" t="s">
        <v>426</v>
      </c>
      <c r="F5934" s="4">
        <v>0</v>
      </c>
      <c r="G5934" s="4">
        <v>1</v>
      </c>
      <c r="H5934" s="4">
        <v>1</v>
      </c>
      <c r="I5934" s="4">
        <v>0</v>
      </c>
      <c r="J5934" s="4">
        <v>1</v>
      </c>
    </row>
    <row r="5935" spans="1:10" x14ac:dyDescent="0.75">
      <c r="A5935" t="s">
        <v>151</v>
      </c>
      <c r="B5935">
        <v>1991</v>
      </c>
      <c r="C5935" t="s">
        <v>99</v>
      </c>
      <c r="D5935">
        <v>2211</v>
      </c>
      <c r="E5935" t="s">
        <v>367</v>
      </c>
      <c r="F5935" s="4">
        <v>375458</v>
      </c>
      <c r="G5935" s="4">
        <v>0</v>
      </c>
      <c r="H5935" s="4">
        <v>0</v>
      </c>
      <c r="I5935" s="4">
        <v>0</v>
      </c>
      <c r="J5935" s="4">
        <v>375458</v>
      </c>
    </row>
    <row r="5936" spans="1:10" x14ac:dyDescent="0.75">
      <c r="A5936" t="s">
        <v>151</v>
      </c>
      <c r="B5936">
        <v>1991</v>
      </c>
      <c r="C5936" t="s">
        <v>99</v>
      </c>
      <c r="D5936">
        <v>4322</v>
      </c>
      <c r="E5936" t="s">
        <v>398</v>
      </c>
      <c r="F5936" s="4">
        <v>11033</v>
      </c>
      <c r="G5936" s="4">
        <v>124010</v>
      </c>
      <c r="H5936" s="4">
        <v>124010</v>
      </c>
      <c r="I5936" s="4">
        <v>0</v>
      </c>
      <c r="J5936" s="4">
        <v>135043</v>
      </c>
    </row>
    <row r="5937" spans="1:10" x14ac:dyDescent="0.75">
      <c r="A5937" t="s">
        <v>151</v>
      </c>
      <c r="B5937">
        <v>1991</v>
      </c>
      <c r="C5937" t="s">
        <v>99</v>
      </c>
      <c r="D5937">
        <v>5220</v>
      </c>
      <c r="E5937" t="s">
        <v>401</v>
      </c>
      <c r="F5937" s="4">
        <v>0</v>
      </c>
      <c r="G5937" s="4">
        <v>124906</v>
      </c>
      <c r="H5937" s="4">
        <v>124906</v>
      </c>
      <c r="I5937" s="4">
        <v>0</v>
      </c>
      <c r="J5937" s="4">
        <v>124906</v>
      </c>
    </row>
    <row r="5938" spans="1:10" x14ac:dyDescent="0.75">
      <c r="A5938" t="s">
        <v>151</v>
      </c>
      <c r="B5938">
        <v>1991</v>
      </c>
      <c r="C5938" t="s">
        <v>99</v>
      </c>
      <c r="D5938">
        <v>2330</v>
      </c>
      <c r="E5938" t="s">
        <v>368</v>
      </c>
      <c r="F5938" s="4">
        <v>84177</v>
      </c>
      <c r="G5938" s="4">
        <v>0</v>
      </c>
      <c r="H5938" s="4">
        <v>0</v>
      </c>
      <c r="I5938" s="4">
        <v>0</v>
      </c>
      <c r="J5938" s="4">
        <v>84177</v>
      </c>
    </row>
    <row r="5939" spans="1:10" x14ac:dyDescent="0.75">
      <c r="A5939" t="s">
        <v>151</v>
      </c>
      <c r="B5939">
        <v>1991</v>
      </c>
      <c r="C5939" t="s">
        <v>99</v>
      </c>
      <c r="D5939">
        <v>2221</v>
      </c>
      <c r="E5939" t="s">
        <v>374</v>
      </c>
      <c r="F5939" s="4">
        <v>78252</v>
      </c>
      <c r="G5939" s="4">
        <v>0</v>
      </c>
      <c r="H5939" s="4">
        <v>0</v>
      </c>
      <c r="I5939" s="4">
        <v>0</v>
      </c>
      <c r="J5939" s="4">
        <v>78252</v>
      </c>
    </row>
    <row r="5940" spans="1:10" x14ac:dyDescent="0.75">
      <c r="A5940" t="s">
        <v>151</v>
      </c>
      <c r="B5940">
        <v>1991</v>
      </c>
      <c r="C5940" t="s">
        <v>99</v>
      </c>
      <c r="D5940">
        <v>3220</v>
      </c>
      <c r="E5940" t="s">
        <v>370</v>
      </c>
      <c r="F5940" s="4">
        <v>64462</v>
      </c>
      <c r="G5940" s="4">
        <v>0</v>
      </c>
      <c r="H5940" s="4">
        <v>0</v>
      </c>
      <c r="I5940" s="4">
        <v>0</v>
      </c>
      <c r="J5940" s="4">
        <v>64462</v>
      </c>
    </row>
    <row r="5941" spans="1:10" x14ac:dyDescent="0.75">
      <c r="A5941" t="s">
        <v>151</v>
      </c>
      <c r="B5941">
        <v>1991</v>
      </c>
      <c r="C5941" t="s">
        <v>99</v>
      </c>
      <c r="D5941">
        <v>4331</v>
      </c>
      <c r="E5941" t="s">
        <v>390</v>
      </c>
      <c r="F5941" s="4">
        <v>15200</v>
      </c>
      <c r="G5941" s="4">
        <v>46295</v>
      </c>
      <c r="H5941" s="4">
        <v>46220</v>
      </c>
      <c r="I5941" s="4">
        <v>75</v>
      </c>
      <c r="J5941" s="4">
        <v>61495</v>
      </c>
    </row>
    <row r="5942" spans="1:10" x14ac:dyDescent="0.75">
      <c r="A5942" t="s">
        <v>151</v>
      </c>
      <c r="B5942">
        <v>1991</v>
      </c>
      <c r="C5942" t="s">
        <v>99</v>
      </c>
      <c r="D5942">
        <v>4420</v>
      </c>
      <c r="E5942" t="s">
        <v>381</v>
      </c>
      <c r="F5942" s="4">
        <v>30100</v>
      </c>
      <c r="G5942" s="4">
        <v>0</v>
      </c>
      <c r="H5942" s="4">
        <v>0</v>
      </c>
      <c r="I5942" s="4">
        <v>0</v>
      </c>
      <c r="J5942" s="4">
        <v>30100</v>
      </c>
    </row>
    <row r="5943" spans="1:10" x14ac:dyDescent="0.75">
      <c r="A5943" t="s">
        <v>151</v>
      </c>
      <c r="B5943">
        <v>1991</v>
      </c>
      <c r="C5943" t="s">
        <v>99</v>
      </c>
      <c r="D5943">
        <v>7110</v>
      </c>
      <c r="E5943" t="s">
        <v>371</v>
      </c>
      <c r="F5943" s="4">
        <v>0</v>
      </c>
      <c r="G5943" s="4">
        <v>12260</v>
      </c>
      <c r="H5943" s="4">
        <v>11047</v>
      </c>
      <c r="I5943" s="4">
        <v>1213</v>
      </c>
      <c r="J5943" s="4">
        <v>12260</v>
      </c>
    </row>
    <row r="5944" spans="1:10" x14ac:dyDescent="0.75">
      <c r="A5944" t="s">
        <v>151</v>
      </c>
      <c r="B5944">
        <v>1991</v>
      </c>
      <c r="C5944" t="s">
        <v>99</v>
      </c>
      <c r="D5944">
        <v>7900</v>
      </c>
      <c r="E5944" t="s">
        <v>388</v>
      </c>
      <c r="F5944" s="4">
        <v>0</v>
      </c>
      <c r="G5944" s="4">
        <v>10187</v>
      </c>
      <c r="H5944" s="4">
        <v>1063</v>
      </c>
      <c r="I5944" s="4">
        <v>9124</v>
      </c>
      <c r="J5944" s="4">
        <v>10187</v>
      </c>
    </row>
    <row r="5945" spans="1:10" x14ac:dyDescent="0.75">
      <c r="A5945" t="s">
        <v>151</v>
      </c>
      <c r="B5945">
        <v>1991</v>
      </c>
      <c r="C5945" t="s">
        <v>99</v>
      </c>
      <c r="D5945">
        <v>2340</v>
      </c>
      <c r="E5945" t="s">
        <v>369</v>
      </c>
      <c r="F5945" s="4">
        <v>8736</v>
      </c>
      <c r="G5945" s="4">
        <v>0</v>
      </c>
      <c r="H5945" s="4">
        <v>0</v>
      </c>
      <c r="I5945" s="4">
        <v>0</v>
      </c>
      <c r="J5945" s="4">
        <v>8736</v>
      </c>
    </row>
    <row r="5946" spans="1:10" x14ac:dyDescent="0.75">
      <c r="A5946" t="s">
        <v>151</v>
      </c>
      <c r="B5946">
        <v>1991</v>
      </c>
      <c r="C5946" t="s">
        <v>99</v>
      </c>
      <c r="D5946">
        <v>7120</v>
      </c>
      <c r="E5946" t="s">
        <v>499</v>
      </c>
      <c r="F5946" s="4">
        <v>0</v>
      </c>
      <c r="G5946" s="4">
        <v>4483</v>
      </c>
      <c r="H5946" s="4">
        <v>4458</v>
      </c>
      <c r="I5946" s="4">
        <v>25</v>
      </c>
      <c r="J5946" s="4">
        <v>4483</v>
      </c>
    </row>
    <row r="5947" spans="1:10" x14ac:dyDescent="0.75">
      <c r="A5947" t="s">
        <v>151</v>
      </c>
      <c r="B5947">
        <v>1991</v>
      </c>
      <c r="C5947" t="s">
        <v>99</v>
      </c>
      <c r="D5947">
        <v>7600</v>
      </c>
      <c r="E5947" t="s">
        <v>503</v>
      </c>
      <c r="F5947" s="4">
        <v>0</v>
      </c>
      <c r="G5947" s="4">
        <v>2930</v>
      </c>
      <c r="H5947" s="4">
        <v>2876</v>
      </c>
      <c r="I5947" s="4">
        <v>54</v>
      </c>
      <c r="J5947" s="4">
        <v>2930</v>
      </c>
    </row>
    <row r="5948" spans="1:10" x14ac:dyDescent="0.75">
      <c r="A5948" t="s">
        <v>151</v>
      </c>
      <c r="B5948">
        <v>1991</v>
      </c>
      <c r="C5948" t="s">
        <v>99</v>
      </c>
      <c r="D5948">
        <v>9900</v>
      </c>
      <c r="E5948" t="s">
        <v>389</v>
      </c>
      <c r="F5948" s="4">
        <v>0</v>
      </c>
      <c r="G5948" s="4">
        <v>2802</v>
      </c>
      <c r="H5948" s="4">
        <v>2802</v>
      </c>
      <c r="I5948" s="4">
        <v>0</v>
      </c>
      <c r="J5948" s="4">
        <v>2802</v>
      </c>
    </row>
    <row r="5949" spans="1:10" x14ac:dyDescent="0.75">
      <c r="A5949" t="s">
        <v>151</v>
      </c>
      <c r="B5949">
        <v>1991</v>
      </c>
      <c r="C5949" t="s">
        <v>99</v>
      </c>
      <c r="D5949">
        <v>5480</v>
      </c>
      <c r="E5949" t="s">
        <v>386</v>
      </c>
      <c r="F5949" s="4">
        <v>0</v>
      </c>
      <c r="G5949" s="4">
        <v>2238</v>
      </c>
      <c r="H5949" s="4">
        <v>2167</v>
      </c>
      <c r="I5949" s="4">
        <v>71</v>
      </c>
      <c r="J5949" s="4">
        <v>2238</v>
      </c>
    </row>
    <row r="5950" spans="1:10" x14ac:dyDescent="0.75">
      <c r="A5950" t="s">
        <v>151</v>
      </c>
      <c r="B5950">
        <v>1991</v>
      </c>
      <c r="C5950" t="s">
        <v>99</v>
      </c>
      <c r="D5950">
        <v>7210</v>
      </c>
      <c r="E5950" t="s">
        <v>426</v>
      </c>
      <c r="F5950" s="4">
        <v>0</v>
      </c>
      <c r="G5950" s="4">
        <v>1771</v>
      </c>
      <c r="H5950" s="4">
        <v>1457</v>
      </c>
      <c r="I5950" s="4">
        <v>314</v>
      </c>
      <c r="J5950" s="4">
        <v>1771</v>
      </c>
    </row>
    <row r="5951" spans="1:10" x14ac:dyDescent="0.75">
      <c r="A5951" t="s">
        <v>151</v>
      </c>
      <c r="B5951">
        <v>1991</v>
      </c>
      <c r="C5951" t="s">
        <v>99</v>
      </c>
      <c r="D5951">
        <v>7500</v>
      </c>
      <c r="E5951" t="s">
        <v>427</v>
      </c>
      <c r="F5951" s="4">
        <v>0</v>
      </c>
      <c r="G5951" s="4">
        <v>1405</v>
      </c>
      <c r="H5951" s="4">
        <v>1202</v>
      </c>
      <c r="I5951" s="4">
        <v>203</v>
      </c>
      <c r="J5951" s="4">
        <v>1405</v>
      </c>
    </row>
    <row r="5952" spans="1:10" x14ac:dyDescent="0.75">
      <c r="A5952" t="s">
        <v>151</v>
      </c>
      <c r="B5952">
        <v>1991</v>
      </c>
      <c r="C5952" t="s">
        <v>99</v>
      </c>
      <c r="D5952">
        <v>6811</v>
      </c>
      <c r="E5952" t="s">
        <v>480</v>
      </c>
      <c r="F5952" s="4">
        <v>0</v>
      </c>
      <c r="G5952" s="4">
        <v>275</v>
      </c>
      <c r="H5952" s="4">
        <v>275</v>
      </c>
      <c r="I5952" s="4">
        <v>0</v>
      </c>
      <c r="J5952" s="4">
        <v>275</v>
      </c>
    </row>
    <row r="5953" spans="1:10" x14ac:dyDescent="0.75">
      <c r="A5953" t="s">
        <v>151</v>
      </c>
      <c r="B5953">
        <v>1991</v>
      </c>
      <c r="C5953" t="s">
        <v>99</v>
      </c>
      <c r="D5953">
        <v>7230</v>
      </c>
      <c r="E5953" t="s">
        <v>387</v>
      </c>
      <c r="F5953" s="4">
        <v>0</v>
      </c>
      <c r="G5953" s="4">
        <v>63</v>
      </c>
      <c r="H5953" s="4">
        <v>51</v>
      </c>
      <c r="I5953" s="4">
        <v>12</v>
      </c>
      <c r="J5953" s="4">
        <v>63</v>
      </c>
    </row>
    <row r="5954" spans="1:10" x14ac:dyDescent="0.75">
      <c r="A5954" t="s">
        <v>151</v>
      </c>
      <c r="B5954">
        <v>1991</v>
      </c>
      <c r="C5954" t="s">
        <v>99</v>
      </c>
      <c r="D5954">
        <v>3299</v>
      </c>
      <c r="E5954" t="s">
        <v>448</v>
      </c>
      <c r="F5954" s="4">
        <v>0</v>
      </c>
      <c r="G5954" s="4">
        <v>49</v>
      </c>
      <c r="H5954" s="4">
        <v>0</v>
      </c>
      <c r="I5954" s="4">
        <v>49</v>
      </c>
      <c r="J5954" s="4">
        <v>49</v>
      </c>
    </row>
    <row r="5955" spans="1:10" x14ac:dyDescent="0.75">
      <c r="A5955" t="s">
        <v>151</v>
      </c>
      <c r="B5955">
        <v>1991</v>
      </c>
      <c r="C5955" t="s">
        <v>99</v>
      </c>
      <c r="D5955">
        <v>6891</v>
      </c>
      <c r="E5955" t="s">
        <v>495</v>
      </c>
      <c r="F5955" s="4">
        <v>0</v>
      </c>
      <c r="G5955" s="4">
        <v>36</v>
      </c>
      <c r="H5955" s="4">
        <v>36</v>
      </c>
      <c r="I5955" s="4">
        <v>0</v>
      </c>
      <c r="J5955" s="4">
        <v>36</v>
      </c>
    </row>
    <row r="5956" spans="1:10" x14ac:dyDescent="0.75">
      <c r="A5956" t="s">
        <v>151</v>
      </c>
      <c r="B5956">
        <v>1991</v>
      </c>
      <c r="C5956" t="s">
        <v>99</v>
      </c>
      <c r="D5956">
        <v>3286</v>
      </c>
      <c r="E5956" t="s">
        <v>423</v>
      </c>
      <c r="F5956" s="4">
        <v>0</v>
      </c>
      <c r="G5956" s="4">
        <v>31</v>
      </c>
      <c r="H5956" s="4">
        <v>31</v>
      </c>
      <c r="I5956" s="4">
        <v>0</v>
      </c>
      <c r="J5956" s="4">
        <v>31</v>
      </c>
    </row>
    <row r="5957" spans="1:10" x14ac:dyDescent="0.75">
      <c r="A5957" t="s">
        <v>151</v>
      </c>
      <c r="B5957">
        <v>1991</v>
      </c>
      <c r="C5957" t="s">
        <v>99</v>
      </c>
      <c r="D5957">
        <v>6782</v>
      </c>
      <c r="E5957" t="s">
        <v>396</v>
      </c>
      <c r="F5957" s="4">
        <v>0</v>
      </c>
      <c r="G5957" s="4">
        <v>27</v>
      </c>
      <c r="H5957" s="4">
        <v>0</v>
      </c>
      <c r="I5957" s="4">
        <v>27</v>
      </c>
      <c r="J5957" s="4">
        <v>27</v>
      </c>
    </row>
    <row r="5958" spans="1:10" x14ac:dyDescent="0.75">
      <c r="A5958" t="s">
        <v>151</v>
      </c>
      <c r="B5958">
        <v>1991</v>
      </c>
      <c r="C5958" t="s">
        <v>99</v>
      </c>
      <c r="D5958">
        <v>5190</v>
      </c>
      <c r="E5958" t="s">
        <v>462</v>
      </c>
      <c r="F5958" s="4">
        <v>0</v>
      </c>
      <c r="G5958" s="4">
        <v>19</v>
      </c>
      <c r="H5958" s="4">
        <v>19</v>
      </c>
      <c r="I5958" s="4">
        <v>0</v>
      </c>
      <c r="J5958" s="4">
        <v>19</v>
      </c>
    </row>
    <row r="5959" spans="1:10" x14ac:dyDescent="0.75">
      <c r="A5959" t="s">
        <v>151</v>
      </c>
      <c r="B5959">
        <v>1991</v>
      </c>
      <c r="C5959" t="s">
        <v>99</v>
      </c>
      <c r="D5959">
        <v>3284</v>
      </c>
      <c r="E5959" t="s">
        <v>442</v>
      </c>
      <c r="F5959" s="4">
        <v>0</v>
      </c>
      <c r="G5959" s="4">
        <v>3</v>
      </c>
      <c r="H5959" s="4">
        <v>0</v>
      </c>
      <c r="I5959" s="4">
        <v>3</v>
      </c>
      <c r="J5959" s="4">
        <v>3</v>
      </c>
    </row>
    <row r="5960" spans="1:10" x14ac:dyDescent="0.75">
      <c r="A5960" t="s">
        <v>151</v>
      </c>
      <c r="B5960">
        <v>1991</v>
      </c>
      <c r="C5960" t="s">
        <v>99</v>
      </c>
      <c r="D5960">
        <v>5370</v>
      </c>
      <c r="E5960" t="s">
        <v>466</v>
      </c>
      <c r="F5960" s="4">
        <v>0</v>
      </c>
      <c r="G5960" s="4">
        <v>1</v>
      </c>
      <c r="H5960" s="4">
        <v>0</v>
      </c>
      <c r="I5960" s="4">
        <v>1</v>
      </c>
      <c r="J5960" s="4">
        <v>1</v>
      </c>
    </row>
    <row r="5961" spans="1:10" x14ac:dyDescent="0.75">
      <c r="A5961" t="s">
        <v>151</v>
      </c>
      <c r="B5961">
        <v>4646</v>
      </c>
      <c r="C5961" t="s">
        <v>53</v>
      </c>
      <c r="D5961">
        <v>6241</v>
      </c>
      <c r="E5961" t="s">
        <v>391</v>
      </c>
      <c r="F5961" s="4">
        <v>2038461</v>
      </c>
      <c r="G5961" s="4">
        <v>3359257</v>
      </c>
      <c r="H5961" s="4">
        <v>0</v>
      </c>
      <c r="I5961" s="4">
        <v>3359257</v>
      </c>
      <c r="J5961" s="4">
        <v>5397718</v>
      </c>
    </row>
    <row r="5962" spans="1:10" x14ac:dyDescent="0.75">
      <c r="A5962" t="s">
        <v>151</v>
      </c>
      <c r="B5962">
        <v>4646</v>
      </c>
      <c r="C5962" t="s">
        <v>53</v>
      </c>
      <c r="D5962">
        <v>3276</v>
      </c>
      <c r="E5962" t="s">
        <v>379</v>
      </c>
      <c r="F5962" s="4">
        <v>0</v>
      </c>
      <c r="G5962" s="4">
        <v>4015588</v>
      </c>
      <c r="H5962" s="4">
        <v>3403</v>
      </c>
      <c r="I5962" s="4">
        <v>4012185</v>
      </c>
      <c r="J5962" s="4">
        <v>4015588</v>
      </c>
    </row>
    <row r="5963" spans="1:10" x14ac:dyDescent="0.75">
      <c r="A5963" t="s">
        <v>151</v>
      </c>
      <c r="B5963">
        <v>4646</v>
      </c>
      <c r="C5963" t="s">
        <v>53</v>
      </c>
      <c r="D5963">
        <v>3130</v>
      </c>
      <c r="E5963" t="s">
        <v>407</v>
      </c>
      <c r="F5963" s="4">
        <v>0</v>
      </c>
      <c r="G5963" s="4">
        <v>3182846</v>
      </c>
      <c r="H5963" s="4">
        <v>11</v>
      </c>
      <c r="I5963" s="4">
        <v>3182835</v>
      </c>
      <c r="J5963" s="4">
        <v>3182846</v>
      </c>
    </row>
    <row r="5964" spans="1:10" x14ac:dyDescent="0.75">
      <c r="A5964" t="s">
        <v>151</v>
      </c>
      <c r="B5964">
        <v>4646</v>
      </c>
      <c r="C5964" t="s">
        <v>53</v>
      </c>
      <c r="D5964">
        <v>4331</v>
      </c>
      <c r="E5964" t="s">
        <v>390</v>
      </c>
      <c r="F5964" s="4">
        <v>2461142</v>
      </c>
      <c r="G5964" s="4">
        <v>41503</v>
      </c>
      <c r="H5964" s="4">
        <v>41503</v>
      </c>
      <c r="I5964" s="4">
        <v>0</v>
      </c>
      <c r="J5964" s="4">
        <v>2502645</v>
      </c>
    </row>
    <row r="5965" spans="1:10" x14ac:dyDescent="0.75">
      <c r="A5965" t="s">
        <v>151</v>
      </c>
      <c r="B5965">
        <v>4646</v>
      </c>
      <c r="C5965" t="s">
        <v>53</v>
      </c>
      <c r="D5965">
        <v>2330</v>
      </c>
      <c r="E5965" t="s">
        <v>368</v>
      </c>
      <c r="F5965" s="4">
        <v>1468819</v>
      </c>
      <c r="G5965" s="4">
        <v>193907</v>
      </c>
      <c r="H5965" s="4">
        <v>193907</v>
      </c>
      <c r="I5965" s="4">
        <v>0</v>
      </c>
      <c r="J5965" s="4">
        <v>1662726</v>
      </c>
    </row>
    <row r="5966" spans="1:10" x14ac:dyDescent="0.75">
      <c r="A5966" t="s">
        <v>151</v>
      </c>
      <c r="B5966">
        <v>4646</v>
      </c>
      <c r="C5966" t="s">
        <v>53</v>
      </c>
      <c r="D5966">
        <v>2211</v>
      </c>
      <c r="E5966" t="s">
        <v>367</v>
      </c>
      <c r="F5966" s="4">
        <v>1220712</v>
      </c>
      <c r="G5966" s="4">
        <v>115454</v>
      </c>
      <c r="H5966" s="4">
        <v>115454</v>
      </c>
      <c r="I5966" s="4">
        <v>0</v>
      </c>
      <c r="J5966" s="4">
        <v>1336166</v>
      </c>
    </row>
    <row r="5967" spans="1:10" x14ac:dyDescent="0.75">
      <c r="A5967" t="s">
        <v>151</v>
      </c>
      <c r="B5967">
        <v>4646</v>
      </c>
      <c r="C5967" t="s">
        <v>53</v>
      </c>
      <c r="D5967">
        <v>5220</v>
      </c>
      <c r="E5967" t="s">
        <v>401</v>
      </c>
      <c r="F5967" s="4">
        <v>0</v>
      </c>
      <c r="G5967" s="4">
        <v>1068412</v>
      </c>
      <c r="H5967" s="4">
        <v>1068412</v>
      </c>
      <c r="I5967" s="4">
        <v>0</v>
      </c>
      <c r="J5967" s="4">
        <v>1068412</v>
      </c>
    </row>
    <row r="5968" spans="1:10" x14ac:dyDescent="0.75">
      <c r="A5968" t="s">
        <v>151</v>
      </c>
      <c r="B5968">
        <v>4646</v>
      </c>
      <c r="C5968" t="s">
        <v>53</v>
      </c>
      <c r="D5968">
        <v>2100</v>
      </c>
      <c r="E5968" t="s">
        <v>403</v>
      </c>
      <c r="F5968" s="4">
        <v>820590</v>
      </c>
      <c r="G5968" s="4">
        <v>0</v>
      </c>
      <c r="H5968" s="4">
        <v>0</v>
      </c>
      <c r="I5968" s="4">
        <v>0</v>
      </c>
      <c r="J5968" s="4">
        <v>820590</v>
      </c>
    </row>
    <row r="5969" spans="1:10" x14ac:dyDescent="0.75">
      <c r="A5969" t="s">
        <v>151</v>
      </c>
      <c r="B5969">
        <v>4646</v>
      </c>
      <c r="C5969" t="s">
        <v>53</v>
      </c>
      <c r="D5969">
        <v>5190</v>
      </c>
      <c r="E5969" t="s">
        <v>462</v>
      </c>
      <c r="F5969" s="4">
        <v>505525</v>
      </c>
      <c r="G5969" s="4">
        <v>3804</v>
      </c>
      <c r="H5969" s="4">
        <v>3804</v>
      </c>
      <c r="I5969" s="4">
        <v>0</v>
      </c>
      <c r="J5969" s="4">
        <v>509329</v>
      </c>
    </row>
    <row r="5970" spans="1:10" x14ac:dyDescent="0.75">
      <c r="A5970" t="s">
        <v>151</v>
      </c>
      <c r="B5970">
        <v>4646</v>
      </c>
      <c r="C5970" t="s">
        <v>53</v>
      </c>
      <c r="D5970">
        <v>2221</v>
      </c>
      <c r="E5970" t="s">
        <v>374</v>
      </c>
      <c r="F5970" s="4">
        <v>439819</v>
      </c>
      <c r="G5970" s="4">
        <v>31296</v>
      </c>
      <c r="H5970" s="4">
        <v>31296</v>
      </c>
      <c r="I5970" s="4">
        <v>0</v>
      </c>
      <c r="J5970" s="4">
        <v>471115</v>
      </c>
    </row>
    <row r="5971" spans="1:10" x14ac:dyDescent="0.75">
      <c r="A5971" t="s">
        <v>151</v>
      </c>
      <c r="B5971">
        <v>4646</v>
      </c>
      <c r="C5971" t="s">
        <v>53</v>
      </c>
      <c r="D5971">
        <v>4322</v>
      </c>
      <c r="E5971" t="s">
        <v>398</v>
      </c>
      <c r="F5971" s="4">
        <v>0</v>
      </c>
      <c r="G5971" s="4">
        <v>442352</v>
      </c>
      <c r="H5971" s="4">
        <v>442352</v>
      </c>
      <c r="I5971" s="4">
        <v>0</v>
      </c>
      <c r="J5971" s="4">
        <v>442352</v>
      </c>
    </row>
    <row r="5972" spans="1:10" x14ac:dyDescent="0.75">
      <c r="A5972" t="s">
        <v>151</v>
      </c>
      <c r="B5972">
        <v>4646</v>
      </c>
      <c r="C5972" t="s">
        <v>53</v>
      </c>
      <c r="D5972">
        <v>3110</v>
      </c>
      <c r="E5972" t="s">
        <v>405</v>
      </c>
      <c r="F5972" s="4">
        <v>0</v>
      </c>
      <c r="G5972" s="4">
        <v>416022</v>
      </c>
      <c r="H5972" s="4">
        <v>416022</v>
      </c>
      <c r="I5972" s="4">
        <v>0</v>
      </c>
      <c r="J5972" s="4">
        <v>416022</v>
      </c>
    </row>
    <row r="5973" spans="1:10" x14ac:dyDescent="0.75">
      <c r="A5973" t="s">
        <v>151</v>
      </c>
      <c r="B5973">
        <v>4646</v>
      </c>
      <c r="C5973" t="s">
        <v>53</v>
      </c>
      <c r="D5973">
        <v>7210</v>
      </c>
      <c r="E5973" t="s">
        <v>426</v>
      </c>
      <c r="F5973" s="4">
        <v>0</v>
      </c>
      <c r="G5973" s="4">
        <v>369884</v>
      </c>
      <c r="H5973" s="4">
        <v>360616</v>
      </c>
      <c r="I5973" s="4">
        <v>9268</v>
      </c>
      <c r="J5973" s="4">
        <v>369884</v>
      </c>
    </row>
    <row r="5974" spans="1:10" x14ac:dyDescent="0.75">
      <c r="A5974" t="s">
        <v>151</v>
      </c>
      <c r="B5974">
        <v>4646</v>
      </c>
      <c r="C5974" t="s">
        <v>53</v>
      </c>
      <c r="D5974">
        <v>4420</v>
      </c>
      <c r="E5974" t="s">
        <v>381</v>
      </c>
      <c r="F5974" s="4">
        <v>107677</v>
      </c>
      <c r="G5974" s="4">
        <v>201627</v>
      </c>
      <c r="H5974" s="4">
        <v>3876</v>
      </c>
      <c r="I5974" s="4">
        <v>197751</v>
      </c>
      <c r="J5974" s="4">
        <v>309304</v>
      </c>
    </row>
    <row r="5975" spans="1:10" x14ac:dyDescent="0.75">
      <c r="A5975" t="s">
        <v>151</v>
      </c>
      <c r="B5975">
        <v>4646</v>
      </c>
      <c r="C5975" t="s">
        <v>53</v>
      </c>
      <c r="D5975">
        <v>3220</v>
      </c>
      <c r="E5975" t="s">
        <v>370</v>
      </c>
      <c r="F5975" s="4">
        <v>301315</v>
      </c>
      <c r="G5975" s="4">
        <v>611</v>
      </c>
      <c r="H5975" s="4">
        <v>611</v>
      </c>
      <c r="I5975" s="4">
        <v>0</v>
      </c>
      <c r="J5975" s="4">
        <v>301926</v>
      </c>
    </row>
    <row r="5976" spans="1:10" x14ac:dyDescent="0.75">
      <c r="A5976" t="s">
        <v>151</v>
      </c>
      <c r="B5976">
        <v>4646</v>
      </c>
      <c r="C5976" t="s">
        <v>53</v>
      </c>
      <c r="D5976">
        <v>6522</v>
      </c>
      <c r="E5976" t="s">
        <v>393</v>
      </c>
      <c r="F5976" s="4">
        <v>0</v>
      </c>
      <c r="G5976" s="4">
        <v>295632</v>
      </c>
      <c r="H5976" s="4">
        <v>0</v>
      </c>
      <c r="I5976" s="4">
        <v>295632</v>
      </c>
      <c r="J5976" s="4">
        <v>295632</v>
      </c>
    </row>
    <row r="5977" spans="1:10" x14ac:dyDescent="0.75">
      <c r="A5977" t="s">
        <v>151</v>
      </c>
      <c r="B5977">
        <v>4646</v>
      </c>
      <c r="C5977" t="s">
        <v>53</v>
      </c>
      <c r="D5977">
        <v>6781</v>
      </c>
      <c r="E5977" t="s">
        <v>479</v>
      </c>
      <c r="F5977" s="4">
        <v>0</v>
      </c>
      <c r="G5977" s="4">
        <v>215185</v>
      </c>
      <c r="H5977" s="4">
        <v>0</v>
      </c>
      <c r="I5977" s="4">
        <v>215185</v>
      </c>
      <c r="J5977" s="4">
        <v>215185</v>
      </c>
    </row>
    <row r="5978" spans="1:10" x14ac:dyDescent="0.75">
      <c r="A5978" t="s">
        <v>151</v>
      </c>
      <c r="B5978">
        <v>4646</v>
      </c>
      <c r="C5978" t="s">
        <v>53</v>
      </c>
      <c r="D5978">
        <v>6782</v>
      </c>
      <c r="E5978" t="s">
        <v>396</v>
      </c>
      <c r="F5978" s="4">
        <v>0</v>
      </c>
      <c r="G5978" s="4">
        <v>181409</v>
      </c>
      <c r="H5978" s="4">
        <v>221</v>
      </c>
      <c r="I5978" s="4">
        <v>181188</v>
      </c>
      <c r="J5978" s="4">
        <v>181409</v>
      </c>
    </row>
    <row r="5979" spans="1:10" x14ac:dyDescent="0.75">
      <c r="A5979" t="s">
        <v>151</v>
      </c>
      <c r="B5979">
        <v>4646</v>
      </c>
      <c r="C5979" t="s">
        <v>53</v>
      </c>
      <c r="D5979">
        <v>3190</v>
      </c>
      <c r="E5979" t="s">
        <v>408</v>
      </c>
      <c r="F5979" s="4">
        <v>17252</v>
      </c>
      <c r="G5979" s="4">
        <v>123056</v>
      </c>
      <c r="H5979" s="4">
        <v>11304</v>
      </c>
      <c r="I5979" s="4">
        <v>111752</v>
      </c>
      <c r="J5979" s="4">
        <v>140308</v>
      </c>
    </row>
    <row r="5980" spans="1:10" x14ac:dyDescent="0.75">
      <c r="A5980" t="s">
        <v>151</v>
      </c>
      <c r="B5980">
        <v>4646</v>
      </c>
      <c r="C5980" t="s">
        <v>53</v>
      </c>
      <c r="D5980">
        <v>2340</v>
      </c>
      <c r="E5980" t="s">
        <v>369</v>
      </c>
      <c r="F5980" s="4">
        <v>136216</v>
      </c>
      <c r="G5980" s="4">
        <v>0</v>
      </c>
      <c r="H5980" s="4">
        <v>0</v>
      </c>
      <c r="I5980" s="4">
        <v>0</v>
      </c>
      <c r="J5980" s="4">
        <v>136216</v>
      </c>
    </row>
    <row r="5981" spans="1:10" x14ac:dyDescent="0.75">
      <c r="A5981" t="s">
        <v>151</v>
      </c>
      <c r="B5981">
        <v>4646</v>
      </c>
      <c r="C5981" t="s">
        <v>53</v>
      </c>
      <c r="D5981">
        <v>7900</v>
      </c>
      <c r="E5981" t="s">
        <v>388</v>
      </c>
      <c r="F5981" s="4">
        <v>0</v>
      </c>
      <c r="G5981" s="4">
        <v>116803</v>
      </c>
      <c r="H5981" s="4">
        <v>111346</v>
      </c>
      <c r="I5981" s="4">
        <v>5457</v>
      </c>
      <c r="J5981" s="4">
        <v>116803</v>
      </c>
    </row>
    <row r="5982" spans="1:10" x14ac:dyDescent="0.75">
      <c r="A5982" t="s">
        <v>151</v>
      </c>
      <c r="B5982">
        <v>4646</v>
      </c>
      <c r="C5982" t="s">
        <v>53</v>
      </c>
      <c r="D5982">
        <v>4860</v>
      </c>
      <c r="E5982" t="s">
        <v>400</v>
      </c>
      <c r="F5982" s="4">
        <v>0</v>
      </c>
      <c r="G5982" s="4">
        <v>65054</v>
      </c>
      <c r="H5982" s="4">
        <v>65054</v>
      </c>
      <c r="I5982" s="4">
        <v>0</v>
      </c>
      <c r="J5982" s="4">
        <v>65054</v>
      </c>
    </row>
    <row r="5983" spans="1:10" x14ac:dyDescent="0.75">
      <c r="A5983" t="s">
        <v>151</v>
      </c>
      <c r="B5983">
        <v>4646</v>
      </c>
      <c r="C5983" t="s">
        <v>53</v>
      </c>
      <c r="D5983">
        <v>7120</v>
      </c>
      <c r="E5983" t="s">
        <v>499</v>
      </c>
      <c r="F5983" s="4">
        <v>0</v>
      </c>
      <c r="G5983" s="4">
        <v>56837</v>
      </c>
      <c r="H5983" s="4">
        <v>30163</v>
      </c>
      <c r="I5983" s="4">
        <v>26674</v>
      </c>
      <c r="J5983" s="4">
        <v>56837</v>
      </c>
    </row>
    <row r="5984" spans="1:10" x14ac:dyDescent="0.75">
      <c r="A5984" t="s">
        <v>151</v>
      </c>
      <c r="B5984">
        <v>4646</v>
      </c>
      <c r="C5984" t="s">
        <v>53</v>
      </c>
      <c r="D5984">
        <v>7600</v>
      </c>
      <c r="E5984" t="s">
        <v>503</v>
      </c>
      <c r="F5984" s="4">
        <v>0</v>
      </c>
      <c r="G5984" s="4">
        <v>54819</v>
      </c>
      <c r="H5984" s="4">
        <v>53138</v>
      </c>
      <c r="I5984" s="4">
        <v>1681</v>
      </c>
      <c r="J5984" s="4">
        <v>54819</v>
      </c>
    </row>
    <row r="5985" spans="1:10" x14ac:dyDescent="0.75">
      <c r="A5985" t="s">
        <v>151</v>
      </c>
      <c r="B5985">
        <v>4646</v>
      </c>
      <c r="C5985" t="s">
        <v>53</v>
      </c>
      <c r="D5985">
        <v>7110</v>
      </c>
      <c r="E5985" t="s">
        <v>371</v>
      </c>
      <c r="F5985" s="4">
        <v>0</v>
      </c>
      <c r="G5985" s="4">
        <v>40481</v>
      </c>
      <c r="H5985" s="4">
        <v>40367</v>
      </c>
      <c r="I5985" s="4">
        <v>114</v>
      </c>
      <c r="J5985" s="4">
        <v>40481</v>
      </c>
    </row>
    <row r="5986" spans="1:10" x14ac:dyDescent="0.75">
      <c r="A5986" t="s">
        <v>151</v>
      </c>
      <c r="B5986">
        <v>4646</v>
      </c>
      <c r="C5986" t="s">
        <v>53</v>
      </c>
      <c r="D5986">
        <v>2350</v>
      </c>
      <c r="E5986" t="s">
        <v>404</v>
      </c>
      <c r="F5986" s="4">
        <v>31427</v>
      </c>
      <c r="G5986" s="4">
        <v>0</v>
      </c>
      <c r="H5986" s="4">
        <v>0</v>
      </c>
      <c r="I5986" s="4">
        <v>0</v>
      </c>
      <c r="J5986" s="4">
        <v>31427</v>
      </c>
    </row>
    <row r="5987" spans="1:10" x14ac:dyDescent="0.75">
      <c r="A5987" t="s">
        <v>151</v>
      </c>
      <c r="B5987">
        <v>4646</v>
      </c>
      <c r="C5987" t="s">
        <v>53</v>
      </c>
      <c r="D5987">
        <v>5480</v>
      </c>
      <c r="E5987" t="s">
        <v>386</v>
      </c>
      <c r="F5987" s="4">
        <v>0</v>
      </c>
      <c r="G5987" s="4">
        <v>30706</v>
      </c>
      <c r="H5987" s="4">
        <v>30577</v>
      </c>
      <c r="I5987" s="4">
        <v>129</v>
      </c>
      <c r="J5987" s="4">
        <v>30706</v>
      </c>
    </row>
    <row r="5988" spans="1:10" x14ac:dyDescent="0.75">
      <c r="A5988" t="s">
        <v>151</v>
      </c>
      <c r="B5988">
        <v>4646</v>
      </c>
      <c r="C5988" t="s">
        <v>53</v>
      </c>
      <c r="D5988">
        <v>4680</v>
      </c>
      <c r="E5988" t="s">
        <v>459</v>
      </c>
      <c r="F5988" s="4">
        <v>0</v>
      </c>
      <c r="G5988" s="4">
        <v>28821</v>
      </c>
      <c r="H5988" s="4">
        <v>5621</v>
      </c>
      <c r="I5988" s="4">
        <v>23200</v>
      </c>
      <c r="J5988" s="4">
        <v>28821</v>
      </c>
    </row>
    <row r="5989" spans="1:10" x14ac:dyDescent="0.75">
      <c r="A5989" t="s">
        <v>151</v>
      </c>
      <c r="B5989">
        <v>4646</v>
      </c>
      <c r="C5989" t="s">
        <v>53</v>
      </c>
      <c r="D5989">
        <v>6899</v>
      </c>
      <c r="E5989" t="s">
        <v>498</v>
      </c>
      <c r="F5989" s="4">
        <v>0</v>
      </c>
      <c r="G5989" s="4">
        <v>23291</v>
      </c>
      <c r="H5989" s="4">
        <v>165</v>
      </c>
      <c r="I5989" s="4">
        <v>23126</v>
      </c>
      <c r="J5989" s="4">
        <v>23291</v>
      </c>
    </row>
    <row r="5990" spans="1:10" x14ac:dyDescent="0.75">
      <c r="A5990" t="s">
        <v>151</v>
      </c>
      <c r="B5990">
        <v>4646</v>
      </c>
      <c r="C5990" t="s">
        <v>53</v>
      </c>
      <c r="D5990">
        <v>4225</v>
      </c>
      <c r="E5990" t="s">
        <v>380</v>
      </c>
      <c r="F5990" s="4">
        <v>0</v>
      </c>
      <c r="G5990" s="4">
        <v>22293</v>
      </c>
      <c r="H5990" s="4">
        <v>249</v>
      </c>
      <c r="I5990" s="4">
        <v>22044</v>
      </c>
      <c r="J5990" s="4">
        <v>22293</v>
      </c>
    </row>
    <row r="5991" spans="1:10" x14ac:dyDescent="0.75">
      <c r="A5991" t="s">
        <v>151</v>
      </c>
      <c r="B5991">
        <v>4646</v>
      </c>
      <c r="C5991" t="s">
        <v>53</v>
      </c>
      <c r="D5991">
        <v>7500</v>
      </c>
      <c r="E5991" t="s">
        <v>427</v>
      </c>
      <c r="F5991" s="4">
        <v>0</v>
      </c>
      <c r="G5991" s="4">
        <v>20982</v>
      </c>
      <c r="H5991" s="4">
        <v>20940</v>
      </c>
      <c r="I5991" s="4">
        <v>42</v>
      </c>
      <c r="J5991" s="4">
        <v>20982</v>
      </c>
    </row>
    <row r="5992" spans="1:10" x14ac:dyDescent="0.75">
      <c r="A5992" t="s">
        <v>151</v>
      </c>
      <c r="B5992">
        <v>4646</v>
      </c>
      <c r="C5992" t="s">
        <v>53</v>
      </c>
      <c r="D5992">
        <v>5290</v>
      </c>
      <c r="E5992" t="s">
        <v>415</v>
      </c>
      <c r="F5992" s="4">
        <v>0</v>
      </c>
      <c r="G5992" s="4">
        <v>19337</v>
      </c>
      <c r="H5992" s="4">
        <v>19285</v>
      </c>
      <c r="I5992" s="4">
        <v>52</v>
      </c>
      <c r="J5992" s="4">
        <v>19337</v>
      </c>
    </row>
    <row r="5993" spans="1:10" x14ac:dyDescent="0.75">
      <c r="A5993" t="s">
        <v>151</v>
      </c>
      <c r="B5993">
        <v>4646</v>
      </c>
      <c r="C5993" t="s">
        <v>53</v>
      </c>
      <c r="D5993">
        <v>6654</v>
      </c>
      <c r="E5993" t="s">
        <v>419</v>
      </c>
      <c r="F5993" s="4">
        <v>0</v>
      </c>
      <c r="G5993" s="4">
        <v>15451</v>
      </c>
      <c r="H5993" s="4">
        <v>15146</v>
      </c>
      <c r="I5993" s="4">
        <v>305</v>
      </c>
      <c r="J5993" s="4">
        <v>15451</v>
      </c>
    </row>
    <row r="5994" spans="1:10" x14ac:dyDescent="0.75">
      <c r="A5994" t="s">
        <v>151</v>
      </c>
      <c r="B5994">
        <v>4646</v>
      </c>
      <c r="C5994" t="s">
        <v>53</v>
      </c>
      <c r="D5994">
        <v>4782</v>
      </c>
      <c r="E5994" t="s">
        <v>414</v>
      </c>
      <c r="F5994" s="4">
        <v>0</v>
      </c>
      <c r="G5994" s="4">
        <v>14497</v>
      </c>
      <c r="H5994" s="4">
        <v>14497</v>
      </c>
      <c r="I5994" s="4">
        <v>0</v>
      </c>
      <c r="J5994" s="4">
        <v>14497</v>
      </c>
    </row>
    <row r="5995" spans="1:10" x14ac:dyDescent="0.75">
      <c r="A5995" t="s">
        <v>151</v>
      </c>
      <c r="B5995">
        <v>4646</v>
      </c>
      <c r="C5995" t="s">
        <v>53</v>
      </c>
      <c r="D5995">
        <v>5240</v>
      </c>
      <c r="E5995" t="s">
        <v>464</v>
      </c>
      <c r="F5995" s="4">
        <v>0</v>
      </c>
      <c r="G5995" s="4">
        <v>12530</v>
      </c>
      <c r="H5995" s="4">
        <v>12241</v>
      </c>
      <c r="I5995" s="4">
        <v>289</v>
      </c>
      <c r="J5995" s="4">
        <v>12530</v>
      </c>
    </row>
    <row r="5996" spans="1:10" x14ac:dyDescent="0.75">
      <c r="A5996" t="s">
        <v>151</v>
      </c>
      <c r="B5996">
        <v>4646</v>
      </c>
      <c r="C5996" t="s">
        <v>53</v>
      </c>
      <c r="D5996">
        <v>4630</v>
      </c>
      <c r="E5996" t="s">
        <v>456</v>
      </c>
      <c r="F5996" s="4">
        <v>0</v>
      </c>
      <c r="G5996" s="4">
        <v>11205</v>
      </c>
      <c r="H5996" s="4">
        <v>0</v>
      </c>
      <c r="I5996" s="4">
        <v>11205</v>
      </c>
      <c r="J5996" s="4">
        <v>11205</v>
      </c>
    </row>
    <row r="5997" spans="1:10" x14ac:dyDescent="0.75">
      <c r="A5997" t="s">
        <v>151</v>
      </c>
      <c r="B5997">
        <v>4646</v>
      </c>
      <c r="C5997" t="s">
        <v>53</v>
      </c>
      <c r="D5997">
        <v>5320</v>
      </c>
      <c r="E5997" t="s">
        <v>384</v>
      </c>
      <c r="F5997" s="4">
        <v>0</v>
      </c>
      <c r="G5997" s="4">
        <v>11196</v>
      </c>
      <c r="H5997" s="4">
        <v>11196</v>
      </c>
      <c r="I5997" s="4">
        <v>0</v>
      </c>
      <c r="J5997" s="4">
        <v>11196</v>
      </c>
    </row>
    <row r="5998" spans="1:10" x14ac:dyDescent="0.75">
      <c r="A5998" t="s">
        <v>151</v>
      </c>
      <c r="B5998">
        <v>4646</v>
      </c>
      <c r="C5998" t="s">
        <v>53</v>
      </c>
      <c r="D5998">
        <v>3286</v>
      </c>
      <c r="E5998" t="s">
        <v>423</v>
      </c>
      <c r="F5998" s="4">
        <v>0</v>
      </c>
      <c r="G5998" s="4">
        <v>9816</v>
      </c>
      <c r="H5998" s="4">
        <v>6451</v>
      </c>
      <c r="I5998" s="4">
        <v>3365</v>
      </c>
      <c r="J5998" s="4">
        <v>9816</v>
      </c>
    </row>
    <row r="5999" spans="1:10" x14ac:dyDescent="0.75">
      <c r="A5999" t="s">
        <v>151</v>
      </c>
      <c r="B5999">
        <v>4646</v>
      </c>
      <c r="C5999" t="s">
        <v>53</v>
      </c>
      <c r="D5999">
        <v>3274</v>
      </c>
      <c r="E5999" t="s">
        <v>438</v>
      </c>
      <c r="F5999" s="4">
        <v>0</v>
      </c>
      <c r="G5999" s="4">
        <v>9426</v>
      </c>
      <c r="H5999" s="4">
        <v>9426</v>
      </c>
      <c r="I5999" s="4">
        <v>0</v>
      </c>
      <c r="J5999" s="4">
        <v>9426</v>
      </c>
    </row>
    <row r="6000" spans="1:10" x14ac:dyDescent="0.75">
      <c r="A6000" t="s">
        <v>151</v>
      </c>
      <c r="B6000">
        <v>4646</v>
      </c>
      <c r="C6000" t="s">
        <v>53</v>
      </c>
      <c r="D6000">
        <v>3230</v>
      </c>
      <c r="E6000" t="s">
        <v>434</v>
      </c>
      <c r="F6000" s="4">
        <v>0</v>
      </c>
      <c r="G6000" s="4">
        <v>7872</v>
      </c>
      <c r="H6000" s="4">
        <v>7708</v>
      </c>
      <c r="I6000" s="4">
        <v>164</v>
      </c>
      <c r="J6000" s="4">
        <v>7872</v>
      </c>
    </row>
    <row r="6001" spans="1:10" x14ac:dyDescent="0.75">
      <c r="A6001" t="s">
        <v>151</v>
      </c>
      <c r="B6001">
        <v>4646</v>
      </c>
      <c r="C6001" t="s">
        <v>53</v>
      </c>
      <c r="D6001">
        <v>5422</v>
      </c>
      <c r="E6001" t="s">
        <v>468</v>
      </c>
      <c r="F6001" s="4">
        <v>0</v>
      </c>
      <c r="G6001" s="4">
        <v>7118</v>
      </c>
      <c r="H6001" s="4">
        <v>6820</v>
      </c>
      <c r="I6001" s="4">
        <v>298</v>
      </c>
      <c r="J6001" s="4">
        <v>7118</v>
      </c>
    </row>
    <row r="6002" spans="1:10" x14ac:dyDescent="0.75">
      <c r="A6002" t="s">
        <v>151</v>
      </c>
      <c r="B6002">
        <v>4646</v>
      </c>
      <c r="C6002" t="s">
        <v>53</v>
      </c>
      <c r="D6002">
        <v>6857</v>
      </c>
      <c r="E6002" t="s">
        <v>487</v>
      </c>
      <c r="F6002" s="4">
        <v>0</v>
      </c>
      <c r="G6002" s="4">
        <v>6663</v>
      </c>
      <c r="H6002" s="4">
        <v>442</v>
      </c>
      <c r="I6002" s="4">
        <v>6221</v>
      </c>
      <c r="J6002" s="4">
        <v>6663</v>
      </c>
    </row>
    <row r="6003" spans="1:10" x14ac:dyDescent="0.75">
      <c r="A6003" t="s">
        <v>151</v>
      </c>
      <c r="B6003">
        <v>4646</v>
      </c>
      <c r="C6003" t="s">
        <v>53</v>
      </c>
      <c r="D6003">
        <v>3275</v>
      </c>
      <c r="E6003" t="s">
        <v>412</v>
      </c>
      <c r="F6003" s="4">
        <v>0</v>
      </c>
      <c r="G6003" s="4">
        <v>6646</v>
      </c>
      <c r="H6003" s="4">
        <v>3273</v>
      </c>
      <c r="I6003" s="4">
        <v>3373</v>
      </c>
      <c r="J6003" s="4">
        <v>6646</v>
      </c>
    </row>
    <row r="6004" spans="1:10" x14ac:dyDescent="0.75">
      <c r="A6004" t="s">
        <v>151</v>
      </c>
      <c r="B6004">
        <v>4646</v>
      </c>
      <c r="C6004" t="s">
        <v>53</v>
      </c>
      <c r="D6004">
        <v>3299</v>
      </c>
      <c r="E6004" t="s">
        <v>448</v>
      </c>
      <c r="F6004" s="4">
        <v>0</v>
      </c>
      <c r="G6004" s="4">
        <v>6577</v>
      </c>
      <c r="H6004" s="4">
        <v>6511</v>
      </c>
      <c r="I6004" s="4">
        <v>66</v>
      </c>
      <c r="J6004" s="4">
        <v>6577</v>
      </c>
    </row>
    <row r="6005" spans="1:10" x14ac:dyDescent="0.75">
      <c r="A6005" t="s">
        <v>151</v>
      </c>
      <c r="B6005">
        <v>4646</v>
      </c>
      <c r="C6005" t="s">
        <v>53</v>
      </c>
      <c r="D6005">
        <v>7400</v>
      </c>
      <c r="E6005" t="s">
        <v>502</v>
      </c>
      <c r="F6005" s="4">
        <v>0</v>
      </c>
      <c r="G6005" s="4">
        <v>6400</v>
      </c>
      <c r="H6005" s="4">
        <v>6234</v>
      </c>
      <c r="I6005" s="4">
        <v>166</v>
      </c>
      <c r="J6005" s="4">
        <v>6400</v>
      </c>
    </row>
    <row r="6006" spans="1:10" x14ac:dyDescent="0.75">
      <c r="A6006" t="s">
        <v>151</v>
      </c>
      <c r="B6006">
        <v>4646</v>
      </c>
      <c r="C6006" t="s">
        <v>53</v>
      </c>
      <c r="D6006">
        <v>3293</v>
      </c>
      <c r="E6006" t="s">
        <v>445</v>
      </c>
      <c r="F6006" s="4">
        <v>0</v>
      </c>
      <c r="G6006" s="4">
        <v>5176</v>
      </c>
      <c r="H6006" s="4">
        <v>5176</v>
      </c>
      <c r="I6006" s="4">
        <v>0</v>
      </c>
      <c r="J6006" s="4">
        <v>5176</v>
      </c>
    </row>
    <row r="6007" spans="1:10" x14ac:dyDescent="0.75">
      <c r="A6007" t="s">
        <v>151</v>
      </c>
      <c r="B6007">
        <v>4646</v>
      </c>
      <c r="C6007" t="s">
        <v>53</v>
      </c>
      <c r="D6007">
        <v>5360</v>
      </c>
      <c r="E6007" t="s">
        <v>465</v>
      </c>
      <c r="F6007" s="4">
        <v>0</v>
      </c>
      <c r="G6007" s="4">
        <v>4063</v>
      </c>
      <c r="H6007" s="4">
        <v>4063</v>
      </c>
      <c r="I6007" s="4">
        <v>0</v>
      </c>
      <c r="J6007" s="4">
        <v>4063</v>
      </c>
    </row>
    <row r="6008" spans="1:10" x14ac:dyDescent="0.75">
      <c r="A6008" t="s">
        <v>151</v>
      </c>
      <c r="B6008">
        <v>4646</v>
      </c>
      <c r="C6008" t="s">
        <v>53</v>
      </c>
      <c r="D6008">
        <v>5540</v>
      </c>
      <c r="E6008" t="s">
        <v>469</v>
      </c>
      <c r="F6008" s="4">
        <v>0</v>
      </c>
      <c r="G6008" s="4">
        <v>3605</v>
      </c>
      <c r="H6008" s="4">
        <v>3562</v>
      </c>
      <c r="I6008" s="4">
        <v>43</v>
      </c>
      <c r="J6008" s="4">
        <v>3605</v>
      </c>
    </row>
    <row r="6009" spans="1:10" x14ac:dyDescent="0.75">
      <c r="A6009" t="s">
        <v>151</v>
      </c>
      <c r="B6009">
        <v>4646</v>
      </c>
      <c r="C6009" t="s">
        <v>53</v>
      </c>
      <c r="D6009">
        <v>4189</v>
      </c>
      <c r="E6009" t="s">
        <v>451</v>
      </c>
      <c r="F6009" s="4">
        <v>0</v>
      </c>
      <c r="G6009" s="4">
        <v>3442</v>
      </c>
      <c r="H6009" s="4">
        <v>1663</v>
      </c>
      <c r="I6009" s="4">
        <v>1779</v>
      </c>
      <c r="J6009" s="4">
        <v>3442</v>
      </c>
    </row>
    <row r="6010" spans="1:10" x14ac:dyDescent="0.75">
      <c r="A6010" t="s">
        <v>151</v>
      </c>
      <c r="B6010">
        <v>4646</v>
      </c>
      <c r="C6010" t="s">
        <v>53</v>
      </c>
      <c r="D6010">
        <v>3285</v>
      </c>
      <c r="E6010" t="s">
        <v>443</v>
      </c>
      <c r="F6010" s="4">
        <v>0</v>
      </c>
      <c r="G6010" s="4">
        <v>2989</v>
      </c>
      <c r="H6010" s="4">
        <v>2982</v>
      </c>
      <c r="I6010" s="4">
        <v>7</v>
      </c>
      <c r="J6010" s="4">
        <v>2989</v>
      </c>
    </row>
    <row r="6011" spans="1:10" x14ac:dyDescent="0.75">
      <c r="A6011" t="s">
        <v>151</v>
      </c>
      <c r="B6011">
        <v>4646</v>
      </c>
      <c r="C6011" t="s">
        <v>53</v>
      </c>
      <c r="D6011">
        <v>9900</v>
      </c>
      <c r="E6011" t="s">
        <v>389</v>
      </c>
      <c r="F6011" s="4">
        <v>0</v>
      </c>
      <c r="G6011" s="4">
        <v>2660</v>
      </c>
      <c r="H6011" s="4">
        <v>928</v>
      </c>
      <c r="I6011" s="4">
        <v>1732</v>
      </c>
      <c r="J6011" s="4">
        <v>2660</v>
      </c>
    </row>
    <row r="6012" spans="1:10" x14ac:dyDescent="0.75">
      <c r="A6012" t="s">
        <v>151</v>
      </c>
      <c r="B6012">
        <v>4646</v>
      </c>
      <c r="C6012" t="s">
        <v>53</v>
      </c>
      <c r="D6012">
        <v>6885</v>
      </c>
      <c r="E6012" t="s">
        <v>493</v>
      </c>
      <c r="F6012" s="4">
        <v>0</v>
      </c>
      <c r="G6012" s="4">
        <v>2615</v>
      </c>
      <c r="H6012" s="4">
        <v>783</v>
      </c>
      <c r="I6012" s="4">
        <v>1832</v>
      </c>
      <c r="J6012" s="4">
        <v>2615</v>
      </c>
    </row>
    <row r="6013" spans="1:10" x14ac:dyDescent="0.75">
      <c r="A6013" t="s">
        <v>151</v>
      </c>
      <c r="B6013">
        <v>4646</v>
      </c>
      <c r="C6013" t="s">
        <v>53</v>
      </c>
      <c r="D6013">
        <v>6889</v>
      </c>
      <c r="E6013" t="s">
        <v>420</v>
      </c>
      <c r="F6013" s="4">
        <v>0</v>
      </c>
      <c r="G6013" s="4">
        <v>2287</v>
      </c>
      <c r="H6013" s="4">
        <v>2259</v>
      </c>
      <c r="I6013" s="4">
        <v>28</v>
      </c>
      <c r="J6013" s="4">
        <v>2287</v>
      </c>
    </row>
    <row r="6014" spans="1:10" x14ac:dyDescent="0.75">
      <c r="A6014" t="s">
        <v>151</v>
      </c>
      <c r="B6014">
        <v>4646</v>
      </c>
      <c r="C6014" t="s">
        <v>53</v>
      </c>
      <c r="D6014">
        <v>5421</v>
      </c>
      <c r="E6014" t="s">
        <v>467</v>
      </c>
      <c r="F6014" s="4">
        <v>0</v>
      </c>
      <c r="G6014" s="4">
        <v>2278</v>
      </c>
      <c r="H6014" s="4">
        <v>865</v>
      </c>
      <c r="I6014" s="4">
        <v>1413</v>
      </c>
      <c r="J6014" s="4">
        <v>2278</v>
      </c>
    </row>
    <row r="6015" spans="1:10" x14ac:dyDescent="0.75">
      <c r="A6015" t="s">
        <v>151</v>
      </c>
      <c r="B6015">
        <v>4646</v>
      </c>
      <c r="C6015" t="s">
        <v>53</v>
      </c>
      <c r="D6015">
        <v>5370</v>
      </c>
      <c r="E6015" t="s">
        <v>466</v>
      </c>
      <c r="F6015" s="4">
        <v>0</v>
      </c>
      <c r="G6015" s="4">
        <v>2239</v>
      </c>
      <c r="H6015" s="4">
        <v>2239</v>
      </c>
      <c r="I6015" s="4">
        <v>0</v>
      </c>
      <c r="J6015" s="4">
        <v>2239</v>
      </c>
    </row>
    <row r="6016" spans="1:10" x14ac:dyDescent="0.75">
      <c r="A6016" t="s">
        <v>151</v>
      </c>
      <c r="B6016">
        <v>4646</v>
      </c>
      <c r="C6016" t="s">
        <v>53</v>
      </c>
      <c r="D6016">
        <v>3240</v>
      </c>
      <c r="E6016" t="s">
        <v>410</v>
      </c>
      <c r="F6016" s="4">
        <v>0</v>
      </c>
      <c r="G6016" s="4">
        <v>2178</v>
      </c>
      <c r="H6016" s="4">
        <v>2178</v>
      </c>
      <c r="I6016" s="4">
        <v>0</v>
      </c>
      <c r="J6016" s="4">
        <v>2178</v>
      </c>
    </row>
    <row r="6017" spans="1:10" x14ac:dyDescent="0.75">
      <c r="A6017" t="s">
        <v>151</v>
      </c>
      <c r="B6017">
        <v>4646</v>
      </c>
      <c r="C6017" t="s">
        <v>53</v>
      </c>
      <c r="D6017">
        <v>6839</v>
      </c>
      <c r="E6017" t="s">
        <v>485</v>
      </c>
      <c r="F6017" s="4">
        <v>0</v>
      </c>
      <c r="G6017" s="4">
        <v>1626</v>
      </c>
      <c r="H6017" s="4">
        <v>1248</v>
      </c>
      <c r="I6017" s="4">
        <v>378</v>
      </c>
      <c r="J6017" s="4">
        <v>1626</v>
      </c>
    </row>
    <row r="6018" spans="1:10" x14ac:dyDescent="0.75">
      <c r="A6018" t="s">
        <v>151</v>
      </c>
      <c r="B6018">
        <v>4646</v>
      </c>
      <c r="C6018" t="s">
        <v>53</v>
      </c>
      <c r="D6018">
        <v>3279</v>
      </c>
      <c r="E6018" t="s">
        <v>422</v>
      </c>
      <c r="F6018" s="4">
        <v>0</v>
      </c>
      <c r="G6018" s="4">
        <v>1457</v>
      </c>
      <c r="H6018" s="4">
        <v>1457</v>
      </c>
      <c r="I6018" s="4">
        <v>0</v>
      </c>
      <c r="J6018" s="4">
        <v>1457</v>
      </c>
    </row>
    <row r="6019" spans="1:10" x14ac:dyDescent="0.75">
      <c r="A6019" t="s">
        <v>151</v>
      </c>
      <c r="B6019">
        <v>4646</v>
      </c>
      <c r="C6019" t="s">
        <v>53</v>
      </c>
      <c r="D6019">
        <v>6653</v>
      </c>
      <c r="E6019" t="s">
        <v>395</v>
      </c>
      <c r="F6019" s="4">
        <v>0</v>
      </c>
      <c r="G6019" s="4">
        <v>1238</v>
      </c>
      <c r="H6019" s="4">
        <v>1238</v>
      </c>
      <c r="I6019" s="4">
        <v>0</v>
      </c>
      <c r="J6019" s="4">
        <v>1238</v>
      </c>
    </row>
    <row r="6020" spans="1:10" x14ac:dyDescent="0.75">
      <c r="A6020" t="s">
        <v>151</v>
      </c>
      <c r="B6020">
        <v>4646</v>
      </c>
      <c r="C6020" t="s">
        <v>53</v>
      </c>
      <c r="D6020">
        <v>6858</v>
      </c>
      <c r="E6020" t="s">
        <v>488</v>
      </c>
      <c r="F6020" s="4">
        <v>0</v>
      </c>
      <c r="G6020" s="4">
        <v>973</v>
      </c>
      <c r="H6020" s="4">
        <v>832</v>
      </c>
      <c r="I6020" s="4">
        <v>141</v>
      </c>
      <c r="J6020" s="4">
        <v>973</v>
      </c>
    </row>
    <row r="6021" spans="1:10" x14ac:dyDescent="0.75">
      <c r="A6021" t="s">
        <v>151</v>
      </c>
      <c r="B6021">
        <v>4646</v>
      </c>
      <c r="C6021" t="s">
        <v>53</v>
      </c>
      <c r="D6021">
        <v>6445</v>
      </c>
      <c r="E6021" t="s">
        <v>474</v>
      </c>
      <c r="F6021" s="4">
        <v>0</v>
      </c>
      <c r="G6021" s="4">
        <v>964</v>
      </c>
      <c r="H6021" s="4">
        <v>176</v>
      </c>
      <c r="I6021" s="4">
        <v>788</v>
      </c>
      <c r="J6021" s="4">
        <v>964</v>
      </c>
    </row>
    <row r="6022" spans="1:10" x14ac:dyDescent="0.75">
      <c r="A6022" t="s">
        <v>151</v>
      </c>
      <c r="B6022">
        <v>4646</v>
      </c>
      <c r="C6022" t="s">
        <v>53</v>
      </c>
      <c r="D6022">
        <v>4190</v>
      </c>
      <c r="E6022" t="s">
        <v>452</v>
      </c>
      <c r="F6022" s="4">
        <v>0</v>
      </c>
      <c r="G6022" s="4">
        <v>807</v>
      </c>
      <c r="H6022" s="4">
        <v>807</v>
      </c>
      <c r="I6022" s="4">
        <v>0</v>
      </c>
      <c r="J6022" s="4">
        <v>807</v>
      </c>
    </row>
    <row r="6023" spans="1:10" x14ac:dyDescent="0.75">
      <c r="A6023" t="s">
        <v>151</v>
      </c>
      <c r="B6023">
        <v>4646</v>
      </c>
      <c r="C6023" t="s">
        <v>53</v>
      </c>
      <c r="D6023">
        <v>3284</v>
      </c>
      <c r="E6023" t="s">
        <v>442</v>
      </c>
      <c r="F6023" s="4">
        <v>0</v>
      </c>
      <c r="G6023" s="4">
        <v>778</v>
      </c>
      <c r="H6023" s="4">
        <v>778</v>
      </c>
      <c r="I6023" s="4">
        <v>0</v>
      </c>
      <c r="J6023" s="4">
        <v>778</v>
      </c>
    </row>
    <row r="6024" spans="1:10" x14ac:dyDescent="0.75">
      <c r="A6024" t="s">
        <v>151</v>
      </c>
      <c r="B6024">
        <v>4646</v>
      </c>
      <c r="C6024" t="s">
        <v>53</v>
      </c>
      <c r="D6024">
        <v>5390</v>
      </c>
      <c r="E6024" t="s">
        <v>418</v>
      </c>
      <c r="F6024" s="4">
        <v>0</v>
      </c>
      <c r="G6024" s="4">
        <v>769</v>
      </c>
      <c r="H6024" s="4">
        <v>769</v>
      </c>
      <c r="I6024" s="4">
        <v>0</v>
      </c>
      <c r="J6024" s="4">
        <v>769</v>
      </c>
    </row>
    <row r="6025" spans="1:10" x14ac:dyDescent="0.75">
      <c r="A6025" t="s">
        <v>151</v>
      </c>
      <c r="B6025">
        <v>4646</v>
      </c>
      <c r="C6025" t="s">
        <v>53</v>
      </c>
      <c r="D6025">
        <v>6442</v>
      </c>
      <c r="E6025" t="s">
        <v>472</v>
      </c>
      <c r="F6025" s="4">
        <v>0</v>
      </c>
      <c r="G6025" s="4">
        <v>742</v>
      </c>
      <c r="H6025" s="4">
        <v>742</v>
      </c>
      <c r="I6025" s="4">
        <v>0</v>
      </c>
      <c r="J6025" s="4">
        <v>742</v>
      </c>
    </row>
    <row r="6026" spans="1:10" x14ac:dyDescent="0.75">
      <c r="A6026" t="s">
        <v>151</v>
      </c>
      <c r="B6026">
        <v>4646</v>
      </c>
      <c r="C6026" t="s">
        <v>53</v>
      </c>
      <c r="D6026">
        <v>4170</v>
      </c>
      <c r="E6026" t="s">
        <v>424</v>
      </c>
      <c r="F6026" s="4">
        <v>0</v>
      </c>
      <c r="G6026" s="4">
        <v>734</v>
      </c>
      <c r="H6026" s="4">
        <v>20</v>
      </c>
      <c r="I6026" s="4">
        <v>714</v>
      </c>
      <c r="J6026" s="4">
        <v>734</v>
      </c>
    </row>
    <row r="6027" spans="1:10" x14ac:dyDescent="0.75">
      <c r="A6027" t="s">
        <v>151</v>
      </c>
      <c r="B6027">
        <v>4646</v>
      </c>
      <c r="C6027" t="s">
        <v>53</v>
      </c>
      <c r="D6027">
        <v>4150</v>
      </c>
      <c r="E6027" t="s">
        <v>450</v>
      </c>
      <c r="F6027" s="4">
        <v>0</v>
      </c>
      <c r="G6027" s="4">
        <v>661</v>
      </c>
      <c r="H6027" s="4">
        <v>661</v>
      </c>
      <c r="I6027" s="4">
        <v>0</v>
      </c>
      <c r="J6027" s="4">
        <v>661</v>
      </c>
    </row>
    <row r="6028" spans="1:10" x14ac:dyDescent="0.75">
      <c r="A6028" t="s">
        <v>151</v>
      </c>
      <c r="B6028">
        <v>4646</v>
      </c>
      <c r="C6028" t="s">
        <v>53</v>
      </c>
      <c r="D6028">
        <v>1100</v>
      </c>
      <c r="E6028" t="s">
        <v>397</v>
      </c>
      <c r="F6028" s="4">
        <v>0</v>
      </c>
      <c r="G6028" s="4">
        <v>636</v>
      </c>
      <c r="H6028" s="4">
        <v>636</v>
      </c>
      <c r="I6028" s="4">
        <v>0</v>
      </c>
      <c r="J6028" s="4">
        <v>636</v>
      </c>
    </row>
    <row r="6029" spans="1:10" x14ac:dyDescent="0.75">
      <c r="A6029" t="s">
        <v>151</v>
      </c>
      <c r="B6029">
        <v>4646</v>
      </c>
      <c r="C6029" t="s">
        <v>53</v>
      </c>
      <c r="D6029">
        <v>3219</v>
      </c>
      <c r="E6029" t="s">
        <v>378</v>
      </c>
      <c r="F6029" s="4">
        <v>0</v>
      </c>
      <c r="G6029" s="4">
        <v>562</v>
      </c>
      <c r="H6029" s="4">
        <v>562</v>
      </c>
      <c r="I6029" s="4">
        <v>0</v>
      </c>
      <c r="J6029" s="4">
        <v>562</v>
      </c>
    </row>
    <row r="6030" spans="1:10" x14ac:dyDescent="0.75">
      <c r="A6030" t="s">
        <v>151</v>
      </c>
      <c r="B6030">
        <v>4646</v>
      </c>
      <c r="C6030" t="s">
        <v>53</v>
      </c>
      <c r="D6030">
        <v>3283</v>
      </c>
      <c r="E6030" t="s">
        <v>441</v>
      </c>
      <c r="F6030" s="4">
        <v>0</v>
      </c>
      <c r="G6030" s="4">
        <v>549</v>
      </c>
      <c r="H6030" s="4">
        <v>549</v>
      </c>
      <c r="I6030" s="4">
        <v>0</v>
      </c>
      <c r="J6030" s="4">
        <v>549</v>
      </c>
    </row>
    <row r="6031" spans="1:10" x14ac:dyDescent="0.75">
      <c r="A6031" t="s">
        <v>151</v>
      </c>
      <c r="B6031">
        <v>4646</v>
      </c>
      <c r="C6031" t="s">
        <v>53</v>
      </c>
      <c r="D6031">
        <v>7230</v>
      </c>
      <c r="E6031" t="s">
        <v>387</v>
      </c>
      <c r="F6031" s="4">
        <v>0</v>
      </c>
      <c r="G6031" s="4">
        <v>520</v>
      </c>
      <c r="H6031" s="4">
        <v>520</v>
      </c>
      <c r="I6031" s="4">
        <v>0</v>
      </c>
      <c r="J6031" s="4">
        <v>520</v>
      </c>
    </row>
    <row r="6032" spans="1:10" x14ac:dyDescent="0.75">
      <c r="A6032" t="s">
        <v>151</v>
      </c>
      <c r="B6032">
        <v>4646</v>
      </c>
      <c r="C6032" t="s">
        <v>53</v>
      </c>
      <c r="D6032">
        <v>6746</v>
      </c>
      <c r="E6032" t="s">
        <v>477</v>
      </c>
      <c r="F6032" s="4">
        <v>0</v>
      </c>
      <c r="G6032" s="4">
        <v>440</v>
      </c>
      <c r="H6032" s="4">
        <v>41</v>
      </c>
      <c r="I6032" s="4">
        <v>399</v>
      </c>
      <c r="J6032" s="4">
        <v>440</v>
      </c>
    </row>
    <row r="6033" spans="1:10" x14ac:dyDescent="0.75">
      <c r="A6033" t="s">
        <v>151</v>
      </c>
      <c r="B6033">
        <v>4646</v>
      </c>
      <c r="C6033" t="s">
        <v>53</v>
      </c>
      <c r="D6033">
        <v>3292</v>
      </c>
      <c r="E6033" t="s">
        <v>413</v>
      </c>
      <c r="F6033" s="4">
        <v>0</v>
      </c>
      <c r="G6033" s="4">
        <v>386</v>
      </c>
      <c r="H6033" s="4">
        <v>386</v>
      </c>
      <c r="I6033" s="4">
        <v>0</v>
      </c>
      <c r="J6033" s="4">
        <v>386</v>
      </c>
    </row>
    <row r="6034" spans="1:10" x14ac:dyDescent="0.75">
      <c r="A6034" t="s">
        <v>151</v>
      </c>
      <c r="B6034">
        <v>4646</v>
      </c>
      <c r="C6034" t="s">
        <v>53</v>
      </c>
      <c r="D6034">
        <v>3250</v>
      </c>
      <c r="E6034" t="s">
        <v>435</v>
      </c>
      <c r="F6034" s="4">
        <v>0</v>
      </c>
      <c r="G6034" s="4">
        <v>347</v>
      </c>
      <c r="H6034" s="4">
        <v>347</v>
      </c>
      <c r="I6034" s="4">
        <v>0</v>
      </c>
      <c r="J6034" s="4">
        <v>347</v>
      </c>
    </row>
    <row r="6035" spans="1:10" x14ac:dyDescent="0.75">
      <c r="A6035" t="s">
        <v>151</v>
      </c>
      <c r="B6035">
        <v>4646</v>
      </c>
      <c r="C6035" t="s">
        <v>53</v>
      </c>
      <c r="D6035">
        <v>3282</v>
      </c>
      <c r="E6035" t="s">
        <v>440</v>
      </c>
      <c r="F6035" s="4">
        <v>0</v>
      </c>
      <c r="G6035" s="4">
        <v>334</v>
      </c>
      <c r="H6035" s="4">
        <v>334</v>
      </c>
      <c r="I6035" s="4">
        <v>0</v>
      </c>
      <c r="J6035" s="4">
        <v>334</v>
      </c>
    </row>
    <row r="6036" spans="1:10" x14ac:dyDescent="0.75">
      <c r="A6036" t="s">
        <v>151</v>
      </c>
      <c r="B6036">
        <v>4646</v>
      </c>
      <c r="C6036" t="s">
        <v>53</v>
      </c>
      <c r="D6036">
        <v>5120</v>
      </c>
      <c r="E6036" t="s">
        <v>461</v>
      </c>
      <c r="F6036" s="4">
        <v>0</v>
      </c>
      <c r="G6036" s="4">
        <v>334</v>
      </c>
      <c r="H6036" s="4">
        <v>334</v>
      </c>
      <c r="I6036" s="4">
        <v>0</v>
      </c>
      <c r="J6036" s="4">
        <v>334</v>
      </c>
    </row>
    <row r="6037" spans="1:10" x14ac:dyDescent="0.75">
      <c r="A6037" t="s">
        <v>151</v>
      </c>
      <c r="B6037">
        <v>4646</v>
      </c>
      <c r="C6037" t="s">
        <v>53</v>
      </c>
      <c r="D6037">
        <v>6822</v>
      </c>
      <c r="E6037" t="s">
        <v>482</v>
      </c>
      <c r="F6037" s="4">
        <v>0</v>
      </c>
      <c r="G6037" s="4">
        <v>320</v>
      </c>
      <c r="H6037" s="4">
        <v>69</v>
      </c>
      <c r="I6037" s="4">
        <v>251</v>
      </c>
      <c r="J6037" s="4">
        <v>320</v>
      </c>
    </row>
    <row r="6038" spans="1:10" x14ac:dyDescent="0.75">
      <c r="A6038" t="s">
        <v>151</v>
      </c>
      <c r="B6038">
        <v>4646</v>
      </c>
      <c r="C6038" t="s">
        <v>53</v>
      </c>
      <c r="D6038">
        <v>6893</v>
      </c>
      <c r="E6038" t="s">
        <v>496</v>
      </c>
      <c r="F6038" s="4">
        <v>0</v>
      </c>
      <c r="G6038" s="4">
        <v>252</v>
      </c>
      <c r="H6038" s="4">
        <v>252</v>
      </c>
      <c r="I6038" s="4">
        <v>0</v>
      </c>
      <c r="J6038" s="4">
        <v>252</v>
      </c>
    </row>
    <row r="6039" spans="1:10" x14ac:dyDescent="0.75">
      <c r="A6039" t="s">
        <v>151</v>
      </c>
      <c r="B6039">
        <v>4646</v>
      </c>
      <c r="C6039" t="s">
        <v>53</v>
      </c>
      <c r="D6039">
        <v>7300</v>
      </c>
      <c r="E6039" t="s">
        <v>501</v>
      </c>
      <c r="F6039" s="4">
        <v>0</v>
      </c>
      <c r="G6039" s="4">
        <v>198</v>
      </c>
      <c r="H6039" s="4">
        <v>198</v>
      </c>
      <c r="I6039" s="4">
        <v>0</v>
      </c>
      <c r="J6039" s="4">
        <v>198</v>
      </c>
    </row>
    <row r="6040" spans="1:10" x14ac:dyDescent="0.75">
      <c r="A6040" t="s">
        <v>151</v>
      </c>
      <c r="B6040">
        <v>4646</v>
      </c>
      <c r="C6040" t="s">
        <v>53</v>
      </c>
      <c r="D6040">
        <v>3260</v>
      </c>
      <c r="E6040" t="s">
        <v>436</v>
      </c>
      <c r="F6040" s="4">
        <v>0</v>
      </c>
      <c r="G6040" s="4">
        <v>195</v>
      </c>
      <c r="H6040" s="4">
        <v>195</v>
      </c>
      <c r="I6040" s="4">
        <v>0</v>
      </c>
      <c r="J6040" s="4">
        <v>195</v>
      </c>
    </row>
    <row r="6041" spans="1:10" x14ac:dyDescent="0.75">
      <c r="A6041" t="s">
        <v>151</v>
      </c>
      <c r="B6041">
        <v>4646</v>
      </c>
      <c r="C6041" t="s">
        <v>53</v>
      </c>
      <c r="D6041">
        <v>5429</v>
      </c>
      <c r="E6041" t="s">
        <v>429</v>
      </c>
      <c r="F6041" s="4">
        <v>0</v>
      </c>
      <c r="G6041" s="4">
        <v>189</v>
      </c>
      <c r="H6041" s="4">
        <v>189</v>
      </c>
      <c r="I6041" s="4">
        <v>0</v>
      </c>
      <c r="J6041" s="4">
        <v>189</v>
      </c>
    </row>
    <row r="6042" spans="1:10" x14ac:dyDescent="0.75">
      <c r="A6042" t="s">
        <v>151</v>
      </c>
      <c r="B6042">
        <v>4646</v>
      </c>
      <c r="C6042" t="s">
        <v>53</v>
      </c>
      <c r="D6042">
        <v>4110</v>
      </c>
      <c r="E6042" t="s">
        <v>449</v>
      </c>
      <c r="F6042" s="4">
        <v>0</v>
      </c>
      <c r="G6042" s="4">
        <v>147</v>
      </c>
      <c r="H6042" s="4">
        <v>147</v>
      </c>
      <c r="I6042" s="4">
        <v>0</v>
      </c>
      <c r="J6042" s="4">
        <v>147</v>
      </c>
    </row>
    <row r="6043" spans="1:10" x14ac:dyDescent="0.75">
      <c r="A6043" t="s">
        <v>151</v>
      </c>
      <c r="B6043">
        <v>4646</v>
      </c>
      <c r="C6043" t="s">
        <v>53</v>
      </c>
      <c r="D6043">
        <v>5330</v>
      </c>
      <c r="E6043" t="s">
        <v>385</v>
      </c>
      <c r="F6043" s="4">
        <v>0</v>
      </c>
      <c r="G6043" s="4">
        <v>145</v>
      </c>
      <c r="H6043" s="4">
        <v>145</v>
      </c>
      <c r="I6043" s="4">
        <v>0</v>
      </c>
      <c r="J6043" s="4">
        <v>145</v>
      </c>
    </row>
    <row r="6044" spans="1:10" x14ac:dyDescent="0.75">
      <c r="A6044" t="s">
        <v>151</v>
      </c>
      <c r="B6044">
        <v>4646</v>
      </c>
      <c r="C6044" t="s">
        <v>53</v>
      </c>
      <c r="D6044">
        <v>6747</v>
      </c>
      <c r="E6044" t="s">
        <v>478</v>
      </c>
      <c r="F6044" s="4">
        <v>0</v>
      </c>
      <c r="G6044" s="4">
        <v>132</v>
      </c>
      <c r="H6044" s="4">
        <v>102</v>
      </c>
      <c r="I6044" s="4">
        <v>30</v>
      </c>
      <c r="J6044" s="4">
        <v>132</v>
      </c>
    </row>
    <row r="6045" spans="1:10" x14ac:dyDescent="0.75">
      <c r="A6045" t="s">
        <v>151</v>
      </c>
      <c r="B6045">
        <v>4646</v>
      </c>
      <c r="C6045" t="s">
        <v>53</v>
      </c>
      <c r="D6045">
        <v>6811</v>
      </c>
      <c r="E6045" t="s">
        <v>480</v>
      </c>
      <c r="F6045" s="4">
        <v>0</v>
      </c>
      <c r="G6045" s="4">
        <v>127</v>
      </c>
      <c r="H6045" s="4">
        <v>127</v>
      </c>
      <c r="I6045" s="4">
        <v>0</v>
      </c>
      <c r="J6045" s="4">
        <v>127</v>
      </c>
    </row>
    <row r="6046" spans="1:10" x14ac:dyDescent="0.75">
      <c r="A6046" t="s">
        <v>151</v>
      </c>
      <c r="B6046">
        <v>4646</v>
      </c>
      <c r="C6046" t="s">
        <v>53</v>
      </c>
      <c r="D6046">
        <v>6835</v>
      </c>
      <c r="E6046" t="s">
        <v>483</v>
      </c>
      <c r="F6046" s="4">
        <v>0</v>
      </c>
      <c r="G6046" s="4">
        <v>93</v>
      </c>
      <c r="H6046" s="4">
        <v>93</v>
      </c>
      <c r="I6046" s="4">
        <v>0</v>
      </c>
      <c r="J6046" s="4">
        <v>93</v>
      </c>
    </row>
    <row r="6047" spans="1:10" x14ac:dyDescent="0.75">
      <c r="A6047" t="s">
        <v>151</v>
      </c>
      <c r="B6047">
        <v>4646</v>
      </c>
      <c r="C6047" t="s">
        <v>53</v>
      </c>
      <c r="D6047">
        <v>7220</v>
      </c>
      <c r="E6047" t="s">
        <v>500</v>
      </c>
      <c r="F6047" s="4">
        <v>0</v>
      </c>
      <c r="G6047" s="4">
        <v>84</v>
      </c>
      <c r="H6047" s="4">
        <v>84</v>
      </c>
      <c r="I6047" s="4">
        <v>0</v>
      </c>
      <c r="J6047" s="4">
        <v>84</v>
      </c>
    </row>
    <row r="6048" spans="1:10" x14ac:dyDescent="0.75">
      <c r="A6048" t="s">
        <v>151</v>
      </c>
      <c r="B6048">
        <v>4646</v>
      </c>
      <c r="C6048" t="s">
        <v>53</v>
      </c>
      <c r="D6048">
        <v>6871</v>
      </c>
      <c r="E6048" t="s">
        <v>491</v>
      </c>
      <c r="F6048" s="4">
        <v>0</v>
      </c>
      <c r="G6048" s="4">
        <v>83</v>
      </c>
      <c r="H6048" s="4">
        <v>83</v>
      </c>
      <c r="I6048" s="4">
        <v>0</v>
      </c>
      <c r="J6048" s="4">
        <v>83</v>
      </c>
    </row>
    <row r="6049" spans="1:10" x14ac:dyDescent="0.75">
      <c r="A6049" t="s">
        <v>151</v>
      </c>
      <c r="B6049">
        <v>4646</v>
      </c>
      <c r="C6049" t="s">
        <v>53</v>
      </c>
      <c r="D6049">
        <v>6872</v>
      </c>
      <c r="E6049" t="s">
        <v>492</v>
      </c>
      <c r="F6049" s="4">
        <v>0</v>
      </c>
      <c r="G6049" s="4">
        <v>60</v>
      </c>
      <c r="H6049" s="4">
        <v>60</v>
      </c>
      <c r="I6049" s="4">
        <v>0</v>
      </c>
      <c r="J6049" s="4">
        <v>60</v>
      </c>
    </row>
    <row r="6050" spans="1:10" x14ac:dyDescent="0.75">
      <c r="A6050" t="s">
        <v>151</v>
      </c>
      <c r="B6050">
        <v>4646</v>
      </c>
      <c r="C6050" t="s">
        <v>53</v>
      </c>
      <c r="D6050">
        <v>2640</v>
      </c>
      <c r="E6050" t="s">
        <v>431</v>
      </c>
      <c r="F6050" s="4">
        <v>0</v>
      </c>
      <c r="G6050" s="4">
        <v>53</v>
      </c>
      <c r="H6050" s="4">
        <v>53</v>
      </c>
      <c r="I6050" s="4">
        <v>0</v>
      </c>
      <c r="J6050" s="4">
        <v>53</v>
      </c>
    </row>
    <row r="6051" spans="1:10" x14ac:dyDescent="0.75">
      <c r="A6051" t="s">
        <v>151</v>
      </c>
      <c r="B6051">
        <v>4646</v>
      </c>
      <c r="C6051" t="s">
        <v>53</v>
      </c>
      <c r="D6051">
        <v>6590</v>
      </c>
      <c r="E6051" t="s">
        <v>394</v>
      </c>
      <c r="F6051" s="4">
        <v>0</v>
      </c>
      <c r="G6051" s="4">
        <v>49</v>
      </c>
      <c r="H6051" s="4">
        <v>0</v>
      </c>
      <c r="I6051" s="4">
        <v>49</v>
      </c>
      <c r="J6051" s="4">
        <v>49</v>
      </c>
    </row>
    <row r="6052" spans="1:10" x14ac:dyDescent="0.75">
      <c r="A6052" t="s">
        <v>151</v>
      </c>
      <c r="B6052">
        <v>4646</v>
      </c>
      <c r="C6052" t="s">
        <v>53</v>
      </c>
      <c r="D6052">
        <v>3120</v>
      </c>
      <c r="E6052" t="s">
        <v>406</v>
      </c>
      <c r="F6052" s="4">
        <v>0</v>
      </c>
      <c r="G6052" s="4">
        <v>45</v>
      </c>
      <c r="H6052" s="4">
        <v>45</v>
      </c>
      <c r="I6052" s="4">
        <v>0</v>
      </c>
      <c r="J6052" s="4">
        <v>45</v>
      </c>
    </row>
    <row r="6053" spans="1:10" x14ac:dyDescent="0.75">
      <c r="A6053" t="s">
        <v>151</v>
      </c>
      <c r="B6053">
        <v>4646</v>
      </c>
      <c r="C6053" t="s">
        <v>53</v>
      </c>
      <c r="D6053">
        <v>6134</v>
      </c>
      <c r="E6053" t="s">
        <v>470</v>
      </c>
      <c r="F6053" s="4">
        <v>0</v>
      </c>
      <c r="G6053" s="4">
        <v>36</v>
      </c>
      <c r="H6053" s="4">
        <v>36</v>
      </c>
      <c r="I6053" s="4">
        <v>0</v>
      </c>
      <c r="J6053" s="4">
        <v>36</v>
      </c>
    </row>
    <row r="6054" spans="1:10" x14ac:dyDescent="0.75">
      <c r="A6054" t="s">
        <v>151</v>
      </c>
      <c r="B6054">
        <v>4646</v>
      </c>
      <c r="C6054" t="s">
        <v>53</v>
      </c>
      <c r="D6054">
        <v>4650</v>
      </c>
      <c r="E6054" t="s">
        <v>457</v>
      </c>
      <c r="F6054" s="4">
        <v>0</v>
      </c>
      <c r="G6054" s="4">
        <v>29</v>
      </c>
      <c r="H6054" s="4">
        <v>29</v>
      </c>
      <c r="I6054" s="4">
        <v>0</v>
      </c>
      <c r="J6054" s="4">
        <v>29</v>
      </c>
    </row>
    <row r="6055" spans="1:10" x14ac:dyDescent="0.75">
      <c r="A6055" t="s">
        <v>151</v>
      </c>
      <c r="B6055">
        <v>4646</v>
      </c>
      <c r="C6055" t="s">
        <v>53</v>
      </c>
      <c r="D6055">
        <v>3297</v>
      </c>
      <c r="E6055" t="s">
        <v>446</v>
      </c>
      <c r="F6055" s="4">
        <v>0</v>
      </c>
      <c r="G6055" s="4">
        <v>25</v>
      </c>
      <c r="H6055" s="4">
        <v>25</v>
      </c>
      <c r="I6055" s="4">
        <v>0</v>
      </c>
      <c r="J6055" s="4">
        <v>25</v>
      </c>
    </row>
    <row r="6056" spans="1:10" x14ac:dyDescent="0.75">
      <c r="A6056" t="s">
        <v>151</v>
      </c>
      <c r="B6056">
        <v>4646</v>
      </c>
      <c r="C6056" t="s">
        <v>53</v>
      </c>
      <c r="D6056">
        <v>4783</v>
      </c>
      <c r="E6056" t="s">
        <v>382</v>
      </c>
      <c r="F6056" s="4">
        <v>0</v>
      </c>
      <c r="G6056" s="4">
        <v>21</v>
      </c>
      <c r="H6056" s="4">
        <v>21</v>
      </c>
      <c r="I6056" s="4">
        <v>0</v>
      </c>
      <c r="J6056" s="4">
        <v>21</v>
      </c>
    </row>
    <row r="6057" spans="1:10" x14ac:dyDescent="0.75">
      <c r="A6057" t="s">
        <v>151</v>
      </c>
      <c r="B6057">
        <v>4646</v>
      </c>
      <c r="C6057" t="s">
        <v>53</v>
      </c>
      <c r="D6057">
        <v>3291</v>
      </c>
      <c r="E6057" t="s">
        <v>444</v>
      </c>
      <c r="F6057" s="4">
        <v>0</v>
      </c>
      <c r="G6057" s="4">
        <v>19</v>
      </c>
      <c r="H6057" s="4">
        <v>19</v>
      </c>
      <c r="I6057" s="4">
        <v>0</v>
      </c>
      <c r="J6057" s="4">
        <v>19</v>
      </c>
    </row>
    <row r="6058" spans="1:10" x14ac:dyDescent="0.75">
      <c r="A6058" t="s">
        <v>151</v>
      </c>
      <c r="B6058">
        <v>4646</v>
      </c>
      <c r="C6058" t="s">
        <v>53</v>
      </c>
      <c r="D6058">
        <v>6861</v>
      </c>
      <c r="E6058" t="s">
        <v>489</v>
      </c>
      <c r="F6058" s="4">
        <v>0</v>
      </c>
      <c r="G6058" s="4">
        <v>19</v>
      </c>
      <c r="H6058" s="4">
        <v>19</v>
      </c>
      <c r="I6058" s="4">
        <v>0</v>
      </c>
      <c r="J6058" s="4">
        <v>19</v>
      </c>
    </row>
    <row r="6059" spans="1:10" x14ac:dyDescent="0.75">
      <c r="A6059" t="s">
        <v>151</v>
      </c>
      <c r="B6059">
        <v>4646</v>
      </c>
      <c r="C6059" t="s">
        <v>53</v>
      </c>
      <c r="D6059">
        <v>4323</v>
      </c>
      <c r="E6059" t="s">
        <v>373</v>
      </c>
      <c r="F6059" s="4">
        <v>0</v>
      </c>
      <c r="G6059" s="4">
        <v>18</v>
      </c>
      <c r="H6059" s="4">
        <v>18</v>
      </c>
      <c r="I6059" s="4">
        <v>0</v>
      </c>
      <c r="J6059" s="4">
        <v>18</v>
      </c>
    </row>
    <row r="6060" spans="1:10" x14ac:dyDescent="0.75">
      <c r="A6060" t="s">
        <v>151</v>
      </c>
      <c r="B6060">
        <v>4646</v>
      </c>
      <c r="C6060" t="s">
        <v>53</v>
      </c>
      <c r="D6060">
        <v>6894</v>
      </c>
      <c r="E6060" t="s">
        <v>497</v>
      </c>
      <c r="F6060" s="4">
        <v>0</v>
      </c>
      <c r="G6060" s="4">
        <v>18</v>
      </c>
      <c r="H6060" s="4">
        <v>18</v>
      </c>
      <c r="I6060" s="4">
        <v>0</v>
      </c>
      <c r="J6060" s="4">
        <v>18</v>
      </c>
    </row>
    <row r="6061" spans="1:10" x14ac:dyDescent="0.75">
      <c r="A6061" t="s">
        <v>151</v>
      </c>
      <c r="B6061">
        <v>4646</v>
      </c>
      <c r="C6061" t="s">
        <v>53</v>
      </c>
      <c r="D6061">
        <v>6344</v>
      </c>
      <c r="E6061" t="s">
        <v>392</v>
      </c>
      <c r="F6061" s="4">
        <v>0</v>
      </c>
      <c r="G6061" s="4">
        <v>13</v>
      </c>
      <c r="H6061" s="4">
        <v>13</v>
      </c>
      <c r="I6061" s="4">
        <v>0</v>
      </c>
      <c r="J6061" s="4">
        <v>13</v>
      </c>
    </row>
    <row r="6062" spans="1:10" x14ac:dyDescent="0.75">
      <c r="A6062" t="s">
        <v>151</v>
      </c>
      <c r="B6062">
        <v>4646</v>
      </c>
      <c r="C6062" t="s">
        <v>53</v>
      </c>
      <c r="D6062">
        <v>6856</v>
      </c>
      <c r="E6062" t="s">
        <v>486</v>
      </c>
      <c r="F6062" s="4">
        <v>0</v>
      </c>
      <c r="G6062" s="4">
        <v>11</v>
      </c>
      <c r="H6062" s="4">
        <v>11</v>
      </c>
      <c r="I6062" s="4">
        <v>0</v>
      </c>
      <c r="J6062" s="4">
        <v>11</v>
      </c>
    </row>
    <row r="6063" spans="1:10" x14ac:dyDescent="0.75">
      <c r="A6063" t="s">
        <v>151</v>
      </c>
      <c r="B6063">
        <v>4646</v>
      </c>
      <c r="C6063" t="s">
        <v>53</v>
      </c>
      <c r="D6063">
        <v>6888</v>
      </c>
      <c r="E6063" t="s">
        <v>494</v>
      </c>
      <c r="F6063" s="4">
        <v>0</v>
      </c>
      <c r="G6063" s="4">
        <v>10</v>
      </c>
      <c r="H6063" s="4">
        <v>10</v>
      </c>
      <c r="I6063" s="4">
        <v>0</v>
      </c>
      <c r="J6063" s="4">
        <v>10</v>
      </c>
    </row>
    <row r="6064" spans="1:10" x14ac:dyDescent="0.75">
      <c r="A6064" t="s">
        <v>151</v>
      </c>
      <c r="B6064">
        <v>4646</v>
      </c>
      <c r="C6064" t="s">
        <v>53</v>
      </c>
      <c r="D6064">
        <v>2410</v>
      </c>
      <c r="E6064" t="s">
        <v>430</v>
      </c>
      <c r="F6064" s="4">
        <v>0</v>
      </c>
      <c r="G6064" s="4">
        <v>9</v>
      </c>
      <c r="H6064" s="4">
        <v>9</v>
      </c>
      <c r="I6064" s="4">
        <v>0</v>
      </c>
      <c r="J6064" s="4">
        <v>9</v>
      </c>
    </row>
    <row r="6065" spans="1:10" x14ac:dyDescent="0.75">
      <c r="A6065" t="s">
        <v>151</v>
      </c>
      <c r="B6065">
        <v>4646</v>
      </c>
      <c r="C6065" t="s">
        <v>53</v>
      </c>
      <c r="D6065">
        <v>4900</v>
      </c>
      <c r="E6065" t="s">
        <v>383</v>
      </c>
      <c r="F6065" s="4">
        <v>0</v>
      </c>
      <c r="G6065" s="4">
        <v>9</v>
      </c>
      <c r="H6065" s="4">
        <v>9</v>
      </c>
      <c r="I6065" s="4">
        <v>0</v>
      </c>
      <c r="J6065" s="4">
        <v>9</v>
      </c>
    </row>
    <row r="6066" spans="1:10" x14ac:dyDescent="0.75">
      <c r="A6066" t="s">
        <v>151</v>
      </c>
      <c r="B6066">
        <v>4646</v>
      </c>
      <c r="C6066" t="s">
        <v>53</v>
      </c>
      <c r="D6066">
        <v>5312</v>
      </c>
      <c r="E6066" t="s">
        <v>416</v>
      </c>
      <c r="F6066" s="4">
        <v>0</v>
      </c>
      <c r="G6066" s="4">
        <v>1</v>
      </c>
      <c r="H6066" s="4">
        <v>1</v>
      </c>
      <c r="I6066" s="4">
        <v>0</v>
      </c>
      <c r="J6066" s="4">
        <v>1</v>
      </c>
    </row>
    <row r="6067" spans="1:10" x14ac:dyDescent="0.75">
      <c r="A6067" t="s">
        <v>151</v>
      </c>
      <c r="B6067">
        <v>203</v>
      </c>
      <c r="C6067" t="s">
        <v>126</v>
      </c>
      <c r="D6067">
        <v>2211</v>
      </c>
      <c r="E6067" t="s">
        <v>367</v>
      </c>
      <c r="F6067" s="4">
        <v>402835</v>
      </c>
      <c r="G6067" s="4">
        <v>1386912</v>
      </c>
      <c r="H6067" s="4">
        <v>1386912</v>
      </c>
      <c r="I6067" s="4">
        <v>0</v>
      </c>
      <c r="J6067" s="4">
        <v>1789747</v>
      </c>
    </row>
    <row r="6068" spans="1:10" x14ac:dyDescent="0.75">
      <c r="A6068" t="s">
        <v>151</v>
      </c>
      <c r="B6068">
        <v>203</v>
      </c>
      <c r="C6068" t="s">
        <v>126</v>
      </c>
      <c r="D6068">
        <v>2330</v>
      </c>
      <c r="E6068" t="s">
        <v>368</v>
      </c>
      <c r="F6068" s="4">
        <v>812115</v>
      </c>
      <c r="G6068" s="4">
        <v>407726</v>
      </c>
      <c r="H6068" s="4">
        <v>407726</v>
      </c>
      <c r="I6068" s="4">
        <v>0</v>
      </c>
      <c r="J6068" s="4">
        <v>1219841</v>
      </c>
    </row>
    <row r="6069" spans="1:10" x14ac:dyDescent="0.75">
      <c r="A6069" t="s">
        <v>151</v>
      </c>
      <c r="B6069">
        <v>203</v>
      </c>
      <c r="C6069" t="s">
        <v>126</v>
      </c>
      <c r="D6069">
        <v>5220</v>
      </c>
      <c r="E6069" t="s">
        <v>401</v>
      </c>
      <c r="F6069" s="4">
        <v>109321</v>
      </c>
      <c r="G6069" s="4">
        <v>610740</v>
      </c>
      <c r="H6069" s="4">
        <v>610740</v>
      </c>
      <c r="I6069" s="4">
        <v>0</v>
      </c>
      <c r="J6069" s="4">
        <v>720061</v>
      </c>
    </row>
    <row r="6070" spans="1:10" x14ac:dyDescent="0.75">
      <c r="A6070" t="s">
        <v>151</v>
      </c>
      <c r="B6070">
        <v>203</v>
      </c>
      <c r="C6070" t="s">
        <v>126</v>
      </c>
      <c r="D6070">
        <v>4783</v>
      </c>
      <c r="E6070" t="s">
        <v>382</v>
      </c>
      <c r="F6070" s="4">
        <v>0</v>
      </c>
      <c r="G6070" s="4">
        <v>573904</v>
      </c>
      <c r="H6070" s="4">
        <v>573904</v>
      </c>
      <c r="I6070" s="4">
        <v>0</v>
      </c>
      <c r="J6070" s="4">
        <v>573904</v>
      </c>
    </row>
    <row r="6071" spans="1:10" x14ac:dyDescent="0.75">
      <c r="A6071" t="s">
        <v>151</v>
      </c>
      <c r="B6071">
        <v>203</v>
      </c>
      <c r="C6071" t="s">
        <v>126</v>
      </c>
      <c r="D6071">
        <v>2340</v>
      </c>
      <c r="E6071" t="s">
        <v>369</v>
      </c>
      <c r="F6071" s="4">
        <v>330219</v>
      </c>
      <c r="G6071" s="4">
        <v>0</v>
      </c>
      <c r="H6071" s="4">
        <v>0</v>
      </c>
      <c r="I6071" s="4">
        <v>0</v>
      </c>
      <c r="J6071" s="4">
        <v>330219</v>
      </c>
    </row>
    <row r="6072" spans="1:10" x14ac:dyDescent="0.75">
      <c r="A6072" t="s">
        <v>151</v>
      </c>
      <c r="B6072">
        <v>203</v>
      </c>
      <c r="C6072" t="s">
        <v>126</v>
      </c>
      <c r="D6072">
        <v>4420</v>
      </c>
      <c r="E6072" t="s">
        <v>381</v>
      </c>
      <c r="F6072" s="4">
        <v>0</v>
      </c>
      <c r="G6072" s="4">
        <v>267188</v>
      </c>
      <c r="H6072" s="4">
        <v>0</v>
      </c>
      <c r="I6072" s="4">
        <v>267188</v>
      </c>
      <c r="J6072" s="4">
        <v>267188</v>
      </c>
    </row>
    <row r="6073" spans="1:10" x14ac:dyDescent="0.75">
      <c r="A6073" t="s">
        <v>151</v>
      </c>
      <c r="B6073">
        <v>203</v>
      </c>
      <c r="C6073" t="s">
        <v>126</v>
      </c>
      <c r="D6073">
        <v>3220</v>
      </c>
      <c r="E6073" t="s">
        <v>370</v>
      </c>
      <c r="F6073" s="4">
        <v>171876</v>
      </c>
      <c r="G6073" s="4">
        <v>0</v>
      </c>
      <c r="H6073" s="4">
        <v>0</v>
      </c>
      <c r="I6073" s="4">
        <v>0</v>
      </c>
      <c r="J6073" s="4">
        <v>171876</v>
      </c>
    </row>
    <row r="6074" spans="1:10" x14ac:dyDescent="0.75">
      <c r="A6074" t="s">
        <v>151</v>
      </c>
      <c r="B6074">
        <v>203</v>
      </c>
      <c r="C6074" t="s">
        <v>126</v>
      </c>
      <c r="D6074">
        <v>4900</v>
      </c>
      <c r="E6074" t="s">
        <v>383</v>
      </c>
      <c r="F6074" s="4">
        <v>0</v>
      </c>
      <c r="G6074" s="4">
        <v>161809</v>
      </c>
      <c r="H6074" s="4">
        <v>161809</v>
      </c>
      <c r="I6074" s="4">
        <v>0</v>
      </c>
      <c r="J6074" s="4">
        <v>161809</v>
      </c>
    </row>
    <row r="6075" spans="1:10" x14ac:dyDescent="0.75">
      <c r="A6075" t="s">
        <v>151</v>
      </c>
      <c r="B6075">
        <v>203</v>
      </c>
      <c r="C6075" t="s">
        <v>126</v>
      </c>
      <c r="D6075">
        <v>4310</v>
      </c>
      <c r="E6075" t="s">
        <v>453</v>
      </c>
      <c r="F6075" s="4">
        <v>0</v>
      </c>
      <c r="G6075" s="4">
        <v>80503</v>
      </c>
      <c r="H6075" s="4">
        <v>80503</v>
      </c>
      <c r="I6075" s="4">
        <v>0</v>
      </c>
      <c r="J6075" s="4">
        <v>80503</v>
      </c>
    </row>
    <row r="6076" spans="1:10" x14ac:dyDescent="0.75">
      <c r="A6076" t="s">
        <v>151</v>
      </c>
      <c r="B6076">
        <v>203</v>
      </c>
      <c r="C6076" t="s">
        <v>126</v>
      </c>
      <c r="D6076">
        <v>3274</v>
      </c>
      <c r="E6076" t="s">
        <v>438</v>
      </c>
      <c r="F6076" s="4">
        <v>0</v>
      </c>
      <c r="G6076" s="4">
        <v>62761</v>
      </c>
      <c r="H6076" s="4">
        <v>62761</v>
      </c>
      <c r="I6076" s="4">
        <v>0</v>
      </c>
      <c r="J6076" s="4">
        <v>62761</v>
      </c>
    </row>
    <row r="6077" spans="1:10" x14ac:dyDescent="0.75">
      <c r="A6077" t="s">
        <v>151</v>
      </c>
      <c r="B6077">
        <v>203</v>
      </c>
      <c r="C6077" t="s">
        <v>126</v>
      </c>
      <c r="D6077">
        <v>7210</v>
      </c>
      <c r="E6077" t="s">
        <v>426</v>
      </c>
      <c r="F6077" s="4">
        <v>0</v>
      </c>
      <c r="G6077" s="4">
        <v>59512</v>
      </c>
      <c r="H6077" s="4">
        <v>15036</v>
      </c>
      <c r="I6077" s="4">
        <v>44476</v>
      </c>
      <c r="J6077" s="4">
        <v>59512</v>
      </c>
    </row>
    <row r="6078" spans="1:10" x14ac:dyDescent="0.75">
      <c r="A6078" t="s">
        <v>151</v>
      </c>
      <c r="B6078">
        <v>203</v>
      </c>
      <c r="C6078" t="s">
        <v>126</v>
      </c>
      <c r="D6078">
        <v>2221</v>
      </c>
      <c r="E6078" t="s">
        <v>374</v>
      </c>
      <c r="F6078" s="4">
        <v>53670</v>
      </c>
      <c r="G6078" s="4">
        <v>0</v>
      </c>
      <c r="H6078" s="4">
        <v>0</v>
      </c>
      <c r="I6078" s="4">
        <v>0</v>
      </c>
      <c r="J6078" s="4">
        <v>53670</v>
      </c>
    </row>
    <row r="6079" spans="1:10" x14ac:dyDescent="0.75">
      <c r="A6079" t="s">
        <v>151</v>
      </c>
      <c r="B6079">
        <v>203</v>
      </c>
      <c r="C6079" t="s">
        <v>126</v>
      </c>
      <c r="D6079">
        <v>5290</v>
      </c>
      <c r="E6079" t="s">
        <v>415</v>
      </c>
      <c r="F6079" s="4">
        <v>0</v>
      </c>
      <c r="G6079" s="4">
        <v>53344</v>
      </c>
      <c r="H6079" s="4">
        <v>53344</v>
      </c>
      <c r="I6079" s="4">
        <v>0</v>
      </c>
      <c r="J6079" s="4">
        <v>53344</v>
      </c>
    </row>
    <row r="6080" spans="1:10" x14ac:dyDescent="0.75">
      <c r="A6080" t="s">
        <v>151</v>
      </c>
      <c r="B6080">
        <v>203</v>
      </c>
      <c r="C6080" t="s">
        <v>126</v>
      </c>
      <c r="D6080">
        <v>2540</v>
      </c>
      <c r="E6080" t="s">
        <v>377</v>
      </c>
      <c r="F6080" s="4">
        <v>0</v>
      </c>
      <c r="G6080" s="4">
        <v>47829</v>
      </c>
      <c r="H6080" s="4">
        <v>47829</v>
      </c>
      <c r="I6080" s="4">
        <v>0</v>
      </c>
      <c r="J6080" s="4">
        <v>47829</v>
      </c>
    </row>
    <row r="6081" spans="1:10" x14ac:dyDescent="0.75">
      <c r="A6081" t="s">
        <v>151</v>
      </c>
      <c r="B6081">
        <v>203</v>
      </c>
      <c r="C6081" t="s">
        <v>126</v>
      </c>
      <c r="D6081">
        <v>2640</v>
      </c>
      <c r="E6081" t="s">
        <v>431</v>
      </c>
      <c r="F6081" s="4">
        <v>0</v>
      </c>
      <c r="G6081" s="4">
        <v>42192</v>
      </c>
      <c r="H6081" s="4">
        <v>42192</v>
      </c>
      <c r="I6081" s="4">
        <v>0</v>
      </c>
      <c r="J6081" s="4">
        <v>42192</v>
      </c>
    </row>
    <row r="6082" spans="1:10" x14ac:dyDescent="0.75">
      <c r="A6082" t="s">
        <v>151</v>
      </c>
      <c r="B6082">
        <v>203</v>
      </c>
      <c r="C6082" t="s">
        <v>126</v>
      </c>
      <c r="D6082">
        <v>4322</v>
      </c>
      <c r="E6082" t="s">
        <v>398</v>
      </c>
      <c r="F6082" s="4">
        <v>0</v>
      </c>
      <c r="G6082" s="4">
        <v>38581</v>
      </c>
      <c r="H6082" s="4">
        <v>38581</v>
      </c>
      <c r="I6082" s="4">
        <v>0</v>
      </c>
      <c r="J6082" s="4">
        <v>38581</v>
      </c>
    </row>
    <row r="6083" spans="1:10" x14ac:dyDescent="0.75">
      <c r="A6083" t="s">
        <v>151</v>
      </c>
      <c r="B6083">
        <v>203</v>
      </c>
      <c r="C6083" t="s">
        <v>126</v>
      </c>
      <c r="D6083">
        <v>2410</v>
      </c>
      <c r="E6083" t="s">
        <v>430</v>
      </c>
      <c r="F6083" s="4">
        <v>0</v>
      </c>
      <c r="G6083" s="4">
        <v>16448</v>
      </c>
      <c r="H6083" s="4">
        <v>16448</v>
      </c>
      <c r="I6083" s="4">
        <v>0</v>
      </c>
      <c r="J6083" s="4">
        <v>16448</v>
      </c>
    </row>
    <row r="6084" spans="1:10" x14ac:dyDescent="0.75">
      <c r="A6084" t="s">
        <v>151</v>
      </c>
      <c r="B6084">
        <v>203</v>
      </c>
      <c r="C6084" t="s">
        <v>126</v>
      </c>
      <c r="D6084">
        <v>6653</v>
      </c>
      <c r="E6084" t="s">
        <v>395</v>
      </c>
      <c r="F6084" s="4">
        <v>0</v>
      </c>
      <c r="G6084" s="4">
        <v>7128</v>
      </c>
      <c r="H6084" s="4">
        <v>7128</v>
      </c>
      <c r="I6084" s="4">
        <v>0</v>
      </c>
      <c r="J6084" s="4">
        <v>7128</v>
      </c>
    </row>
    <row r="6085" spans="1:10" x14ac:dyDescent="0.75">
      <c r="A6085" t="s">
        <v>151</v>
      </c>
      <c r="B6085">
        <v>203</v>
      </c>
      <c r="C6085" t="s">
        <v>126</v>
      </c>
      <c r="D6085">
        <v>2429</v>
      </c>
      <c r="E6085" t="s">
        <v>375</v>
      </c>
      <c r="F6085" s="4">
        <v>6795</v>
      </c>
      <c r="G6085" s="4">
        <v>0</v>
      </c>
      <c r="H6085" s="4">
        <v>0</v>
      </c>
      <c r="I6085" s="4">
        <v>0</v>
      </c>
      <c r="J6085" s="4">
        <v>6795</v>
      </c>
    </row>
    <row r="6086" spans="1:10" x14ac:dyDescent="0.75">
      <c r="A6086" t="s">
        <v>151</v>
      </c>
      <c r="B6086">
        <v>203</v>
      </c>
      <c r="C6086" t="s">
        <v>126</v>
      </c>
      <c r="D6086">
        <v>4650</v>
      </c>
      <c r="E6086" t="s">
        <v>457</v>
      </c>
      <c r="F6086" s="4">
        <v>0</v>
      </c>
      <c r="G6086" s="4">
        <v>6675</v>
      </c>
      <c r="H6086" s="4">
        <v>6675</v>
      </c>
      <c r="I6086" s="4">
        <v>0</v>
      </c>
      <c r="J6086" s="4">
        <v>6675</v>
      </c>
    </row>
    <row r="6087" spans="1:10" x14ac:dyDescent="0.75">
      <c r="A6087" t="s">
        <v>151</v>
      </c>
      <c r="B6087">
        <v>203</v>
      </c>
      <c r="C6087" t="s">
        <v>126</v>
      </c>
      <c r="D6087">
        <v>3275</v>
      </c>
      <c r="E6087" t="s">
        <v>412</v>
      </c>
      <c r="F6087" s="4">
        <v>0</v>
      </c>
      <c r="G6087" s="4">
        <v>5669</v>
      </c>
      <c r="H6087" s="4">
        <v>5669</v>
      </c>
      <c r="I6087" s="4">
        <v>0</v>
      </c>
      <c r="J6087" s="4">
        <v>5669</v>
      </c>
    </row>
    <row r="6088" spans="1:10" x14ac:dyDescent="0.75">
      <c r="A6088" t="s">
        <v>151</v>
      </c>
      <c r="B6088">
        <v>203</v>
      </c>
      <c r="C6088" t="s">
        <v>126</v>
      </c>
      <c r="D6088">
        <v>4860</v>
      </c>
      <c r="E6088" t="s">
        <v>400</v>
      </c>
      <c r="F6088" s="4">
        <v>5562</v>
      </c>
      <c r="G6088" s="4">
        <v>0</v>
      </c>
      <c r="H6088" s="4">
        <v>0</v>
      </c>
      <c r="I6088" s="4">
        <v>0</v>
      </c>
      <c r="J6088" s="4">
        <v>5562</v>
      </c>
    </row>
    <row r="6089" spans="1:10" x14ac:dyDescent="0.75">
      <c r="A6089" t="s">
        <v>151</v>
      </c>
      <c r="B6089">
        <v>203</v>
      </c>
      <c r="C6089" t="s">
        <v>126</v>
      </c>
      <c r="D6089">
        <v>6885</v>
      </c>
      <c r="E6089" t="s">
        <v>493</v>
      </c>
      <c r="F6089" s="4">
        <v>0</v>
      </c>
      <c r="G6089" s="4">
        <v>4814</v>
      </c>
      <c r="H6089" s="4">
        <v>4814</v>
      </c>
      <c r="I6089" s="4">
        <v>0</v>
      </c>
      <c r="J6089" s="4">
        <v>4814</v>
      </c>
    </row>
    <row r="6090" spans="1:10" x14ac:dyDescent="0.75">
      <c r="A6090" t="s">
        <v>151</v>
      </c>
      <c r="B6090">
        <v>203</v>
      </c>
      <c r="C6090" t="s">
        <v>126</v>
      </c>
      <c r="D6090">
        <v>7110</v>
      </c>
      <c r="E6090" t="s">
        <v>371</v>
      </c>
      <c r="F6090" s="4">
        <v>0</v>
      </c>
      <c r="G6090" s="4">
        <v>2026</v>
      </c>
      <c r="H6090" s="4">
        <v>1611</v>
      </c>
      <c r="I6090" s="4">
        <v>415</v>
      </c>
      <c r="J6090" s="4">
        <v>2026</v>
      </c>
    </row>
    <row r="6091" spans="1:10" x14ac:dyDescent="0.75">
      <c r="A6091" t="s">
        <v>151</v>
      </c>
      <c r="B6091">
        <v>203</v>
      </c>
      <c r="C6091" t="s">
        <v>126</v>
      </c>
      <c r="D6091">
        <v>9900</v>
      </c>
      <c r="E6091" t="s">
        <v>389</v>
      </c>
      <c r="F6091" s="4">
        <v>0</v>
      </c>
      <c r="G6091" s="4">
        <v>1687</v>
      </c>
      <c r="H6091" s="4">
        <v>1687</v>
      </c>
      <c r="I6091" s="4">
        <v>0</v>
      </c>
      <c r="J6091" s="4">
        <v>1687</v>
      </c>
    </row>
    <row r="6092" spans="1:10" x14ac:dyDescent="0.75">
      <c r="A6092" t="s">
        <v>151</v>
      </c>
      <c r="B6092">
        <v>203</v>
      </c>
      <c r="C6092" t="s">
        <v>126</v>
      </c>
      <c r="D6092">
        <v>5480</v>
      </c>
      <c r="E6092" t="s">
        <v>386</v>
      </c>
      <c r="F6092" s="4">
        <v>0</v>
      </c>
      <c r="G6092" s="4">
        <v>685</v>
      </c>
      <c r="H6092" s="4">
        <v>685</v>
      </c>
      <c r="I6092" s="4">
        <v>0</v>
      </c>
      <c r="J6092" s="4">
        <v>685</v>
      </c>
    </row>
    <row r="6093" spans="1:10" x14ac:dyDescent="0.75">
      <c r="A6093" t="s">
        <v>151</v>
      </c>
      <c r="B6093">
        <v>203</v>
      </c>
      <c r="C6093" t="s">
        <v>126</v>
      </c>
      <c r="D6093">
        <v>7120</v>
      </c>
      <c r="E6093" t="s">
        <v>499</v>
      </c>
      <c r="F6093" s="4">
        <v>0</v>
      </c>
      <c r="G6093" s="4">
        <v>637</v>
      </c>
      <c r="H6093" s="4">
        <v>637</v>
      </c>
      <c r="I6093" s="4">
        <v>0</v>
      </c>
      <c r="J6093" s="4">
        <v>637</v>
      </c>
    </row>
    <row r="6094" spans="1:10" x14ac:dyDescent="0.75">
      <c r="A6094" t="s">
        <v>151</v>
      </c>
      <c r="B6094">
        <v>203</v>
      </c>
      <c r="C6094" t="s">
        <v>126</v>
      </c>
      <c r="D6094">
        <v>7900</v>
      </c>
      <c r="E6094" t="s">
        <v>388</v>
      </c>
      <c r="F6094" s="4">
        <v>0</v>
      </c>
      <c r="G6094" s="4">
        <v>142</v>
      </c>
      <c r="H6094" s="4">
        <v>142</v>
      </c>
      <c r="I6094" s="4">
        <v>0</v>
      </c>
      <c r="J6094" s="4">
        <v>142</v>
      </c>
    </row>
    <row r="6095" spans="1:10" x14ac:dyDescent="0.75">
      <c r="A6095" t="s">
        <v>151</v>
      </c>
      <c r="B6095">
        <v>203</v>
      </c>
      <c r="C6095" t="s">
        <v>126</v>
      </c>
      <c r="D6095">
        <v>7230</v>
      </c>
      <c r="E6095" t="s">
        <v>387</v>
      </c>
      <c r="F6095" s="4">
        <v>0</v>
      </c>
      <c r="G6095" s="4">
        <v>86</v>
      </c>
      <c r="H6095" s="4">
        <v>86</v>
      </c>
      <c r="I6095" s="4">
        <v>0</v>
      </c>
      <c r="J6095" s="4">
        <v>86</v>
      </c>
    </row>
    <row r="6096" spans="1:10" x14ac:dyDescent="0.75">
      <c r="A6096" t="s">
        <v>151</v>
      </c>
      <c r="B6096">
        <v>203</v>
      </c>
      <c r="C6096" t="s">
        <v>126</v>
      </c>
      <c r="D6096">
        <v>7400</v>
      </c>
      <c r="E6096" t="s">
        <v>502</v>
      </c>
      <c r="F6096" s="4">
        <v>0</v>
      </c>
      <c r="G6096" s="4">
        <v>18</v>
      </c>
      <c r="H6096" s="4">
        <v>18</v>
      </c>
      <c r="I6096" s="4">
        <v>0</v>
      </c>
      <c r="J6096" s="4">
        <v>18</v>
      </c>
    </row>
    <row r="6097" spans="1:10" x14ac:dyDescent="0.75">
      <c r="A6097" t="s">
        <v>151</v>
      </c>
      <c r="B6097">
        <v>203</v>
      </c>
      <c r="C6097" t="s">
        <v>126</v>
      </c>
      <c r="D6097">
        <v>3299</v>
      </c>
      <c r="E6097" t="s">
        <v>448</v>
      </c>
      <c r="F6097" s="4">
        <v>0</v>
      </c>
      <c r="G6097" s="4">
        <v>11</v>
      </c>
      <c r="H6097" s="4">
        <v>11</v>
      </c>
      <c r="I6097" s="4">
        <v>0</v>
      </c>
      <c r="J6097" s="4">
        <v>11</v>
      </c>
    </row>
    <row r="6098" spans="1:10" x14ac:dyDescent="0.75">
      <c r="A6098" t="s">
        <v>151</v>
      </c>
      <c r="B6098">
        <v>203</v>
      </c>
      <c r="C6098" t="s">
        <v>126</v>
      </c>
      <c r="D6098">
        <v>4680</v>
      </c>
      <c r="E6098" t="s">
        <v>459</v>
      </c>
      <c r="F6098" s="4">
        <v>0</v>
      </c>
      <c r="G6098" s="4">
        <v>1</v>
      </c>
      <c r="H6098" s="4">
        <v>1</v>
      </c>
      <c r="I6098" s="4">
        <v>0</v>
      </c>
      <c r="J6098" s="4">
        <v>1</v>
      </c>
    </row>
    <row r="6099" spans="1:10" x14ac:dyDescent="0.75">
      <c r="A6099" t="s">
        <v>151</v>
      </c>
      <c r="B6099">
        <v>203</v>
      </c>
      <c r="C6099" t="s">
        <v>126</v>
      </c>
      <c r="D6099">
        <v>7600</v>
      </c>
      <c r="E6099" t="s">
        <v>503</v>
      </c>
      <c r="F6099" s="4">
        <v>0</v>
      </c>
      <c r="G6099" s="4">
        <v>1</v>
      </c>
      <c r="H6099" s="4">
        <v>1</v>
      </c>
      <c r="I6099" s="4">
        <v>0</v>
      </c>
      <c r="J6099" s="4">
        <v>1</v>
      </c>
    </row>
    <row r="6100" spans="1:10" x14ac:dyDescent="0.75">
      <c r="A6100" t="s">
        <v>163</v>
      </c>
      <c r="B6100">
        <v>2259</v>
      </c>
      <c r="C6100" t="s">
        <v>243</v>
      </c>
      <c r="D6100">
        <v>6522</v>
      </c>
      <c r="E6100" t="s">
        <v>393</v>
      </c>
      <c r="F6100" s="4">
        <v>765067</v>
      </c>
      <c r="G6100" s="4">
        <v>0</v>
      </c>
      <c r="H6100" s="4">
        <v>0</v>
      </c>
      <c r="I6100" s="4">
        <v>0</v>
      </c>
      <c r="J6100" s="4">
        <v>765067</v>
      </c>
    </row>
    <row r="6101" spans="1:10" x14ac:dyDescent="0.75">
      <c r="A6101" t="s">
        <v>163</v>
      </c>
      <c r="B6101">
        <v>2259</v>
      </c>
      <c r="C6101" t="s">
        <v>243</v>
      </c>
      <c r="D6101">
        <v>6344</v>
      </c>
      <c r="E6101" t="s">
        <v>392</v>
      </c>
      <c r="F6101" s="4">
        <v>275449</v>
      </c>
      <c r="G6101" s="4">
        <v>0</v>
      </c>
      <c r="H6101" s="4">
        <v>0</v>
      </c>
      <c r="I6101" s="4">
        <v>0</v>
      </c>
      <c r="J6101" s="4">
        <v>275449</v>
      </c>
    </row>
    <row r="6102" spans="1:10" x14ac:dyDescent="0.75">
      <c r="A6102" t="s">
        <v>163</v>
      </c>
      <c r="B6102">
        <v>2259</v>
      </c>
      <c r="C6102" t="s">
        <v>243</v>
      </c>
      <c r="D6102">
        <v>6442</v>
      </c>
      <c r="E6102" t="s">
        <v>472</v>
      </c>
      <c r="F6102" s="4">
        <v>173451</v>
      </c>
      <c r="G6102" s="4">
        <v>0</v>
      </c>
      <c r="H6102" s="4">
        <v>0</v>
      </c>
      <c r="I6102" s="4">
        <v>0</v>
      </c>
      <c r="J6102" s="4">
        <v>173451</v>
      </c>
    </row>
    <row r="6103" spans="1:10" x14ac:dyDescent="0.75">
      <c r="A6103" t="s">
        <v>163</v>
      </c>
      <c r="B6103">
        <v>2259</v>
      </c>
      <c r="C6103" t="s">
        <v>243</v>
      </c>
      <c r="D6103">
        <v>3110</v>
      </c>
      <c r="E6103" t="s">
        <v>405</v>
      </c>
      <c r="F6103" s="4">
        <v>90153</v>
      </c>
      <c r="G6103" s="4">
        <v>0</v>
      </c>
      <c r="H6103" s="4">
        <v>0</v>
      </c>
      <c r="I6103" s="4">
        <v>0</v>
      </c>
      <c r="J6103" s="4">
        <v>90153</v>
      </c>
    </row>
    <row r="6104" spans="1:10" x14ac:dyDescent="0.75">
      <c r="A6104" t="s">
        <v>163</v>
      </c>
      <c r="B6104">
        <v>2259</v>
      </c>
      <c r="C6104" t="s">
        <v>243</v>
      </c>
      <c r="D6104">
        <v>3130</v>
      </c>
      <c r="E6104" t="s">
        <v>407</v>
      </c>
      <c r="F6104" s="4">
        <v>55176</v>
      </c>
      <c r="G6104" s="4">
        <v>0</v>
      </c>
      <c r="H6104" s="4">
        <v>0</v>
      </c>
      <c r="I6104" s="4">
        <v>0</v>
      </c>
      <c r="J6104" s="4">
        <v>55176</v>
      </c>
    </row>
    <row r="6105" spans="1:10" x14ac:dyDescent="0.75">
      <c r="A6105" t="s">
        <v>163</v>
      </c>
      <c r="B6105">
        <v>2259</v>
      </c>
      <c r="C6105" t="s">
        <v>243</v>
      </c>
      <c r="D6105">
        <v>4782</v>
      </c>
      <c r="E6105" t="s">
        <v>414</v>
      </c>
      <c r="F6105" s="4">
        <v>45326</v>
      </c>
      <c r="G6105" s="4">
        <v>0</v>
      </c>
      <c r="H6105" s="4">
        <v>0</v>
      </c>
      <c r="I6105" s="4">
        <v>0</v>
      </c>
      <c r="J6105" s="4">
        <v>45326</v>
      </c>
    </row>
    <row r="6106" spans="1:10" x14ac:dyDescent="0.75">
      <c r="A6106" t="s">
        <v>163</v>
      </c>
      <c r="B6106">
        <v>2259</v>
      </c>
      <c r="C6106" t="s">
        <v>243</v>
      </c>
      <c r="D6106">
        <v>4331</v>
      </c>
      <c r="E6106" t="s">
        <v>390</v>
      </c>
      <c r="F6106" s="4">
        <v>20727</v>
      </c>
      <c r="G6106" s="4">
        <v>0</v>
      </c>
      <c r="H6106" s="4">
        <v>0</v>
      </c>
      <c r="I6106" s="4">
        <v>0</v>
      </c>
      <c r="J6106" s="4">
        <v>20727</v>
      </c>
    </row>
    <row r="6107" spans="1:10" x14ac:dyDescent="0.75">
      <c r="A6107" t="s">
        <v>163</v>
      </c>
      <c r="B6107">
        <v>2259</v>
      </c>
      <c r="C6107" t="s">
        <v>243</v>
      </c>
      <c r="D6107">
        <v>3120</v>
      </c>
      <c r="E6107" t="s">
        <v>406</v>
      </c>
      <c r="F6107" s="4">
        <v>18844</v>
      </c>
      <c r="G6107" s="4">
        <v>0</v>
      </c>
      <c r="H6107" s="4">
        <v>0</v>
      </c>
      <c r="I6107" s="4">
        <v>0</v>
      </c>
      <c r="J6107" s="4">
        <v>18844</v>
      </c>
    </row>
    <row r="6108" spans="1:10" x14ac:dyDescent="0.75">
      <c r="A6108" t="s">
        <v>163</v>
      </c>
      <c r="B6108">
        <v>2259</v>
      </c>
      <c r="C6108" t="s">
        <v>243</v>
      </c>
      <c r="D6108">
        <v>6654</v>
      </c>
      <c r="E6108" t="s">
        <v>419</v>
      </c>
      <c r="F6108" s="4">
        <v>18614</v>
      </c>
      <c r="G6108" s="4">
        <v>0</v>
      </c>
      <c r="H6108" s="4">
        <v>0</v>
      </c>
      <c r="I6108" s="4">
        <v>0</v>
      </c>
      <c r="J6108" s="4">
        <v>18614</v>
      </c>
    </row>
    <row r="6109" spans="1:10" x14ac:dyDescent="0.75">
      <c r="A6109" t="s">
        <v>163</v>
      </c>
      <c r="B6109">
        <v>2259</v>
      </c>
      <c r="C6109" t="s">
        <v>243</v>
      </c>
      <c r="D6109">
        <v>6447</v>
      </c>
      <c r="E6109" t="s">
        <v>475</v>
      </c>
      <c r="F6109" s="4">
        <v>8603</v>
      </c>
      <c r="G6109" s="4">
        <v>0</v>
      </c>
      <c r="H6109" s="4">
        <v>0</v>
      </c>
      <c r="I6109" s="4">
        <v>0</v>
      </c>
      <c r="J6109" s="4">
        <v>8603</v>
      </c>
    </row>
    <row r="6110" spans="1:10" x14ac:dyDescent="0.75">
      <c r="A6110" t="s">
        <v>163</v>
      </c>
      <c r="B6110">
        <v>2259</v>
      </c>
      <c r="C6110" t="s">
        <v>243</v>
      </c>
      <c r="D6110">
        <v>6241</v>
      </c>
      <c r="E6110" t="s">
        <v>391</v>
      </c>
      <c r="F6110" s="4">
        <v>6174</v>
      </c>
      <c r="G6110" s="4">
        <v>0</v>
      </c>
      <c r="H6110" s="4">
        <v>0</v>
      </c>
      <c r="I6110" s="4">
        <v>0</v>
      </c>
      <c r="J6110" s="4">
        <v>6174</v>
      </c>
    </row>
    <row r="6111" spans="1:10" x14ac:dyDescent="0.75">
      <c r="A6111" t="s">
        <v>163</v>
      </c>
      <c r="B6111">
        <v>2259</v>
      </c>
      <c r="C6111" t="s">
        <v>243</v>
      </c>
      <c r="D6111">
        <v>4335</v>
      </c>
      <c r="E6111" t="s">
        <v>372</v>
      </c>
      <c r="F6111" s="4">
        <v>5646</v>
      </c>
      <c r="G6111" s="4">
        <v>0</v>
      </c>
      <c r="H6111" s="4">
        <v>0</v>
      </c>
      <c r="I6111" s="4">
        <v>0</v>
      </c>
      <c r="J6111" s="4">
        <v>5646</v>
      </c>
    </row>
    <row r="6112" spans="1:10" x14ac:dyDescent="0.75">
      <c r="A6112" t="s">
        <v>163</v>
      </c>
      <c r="B6112">
        <v>2259</v>
      </c>
      <c r="C6112" t="s">
        <v>243</v>
      </c>
      <c r="D6112">
        <v>3190</v>
      </c>
      <c r="E6112" t="s">
        <v>408</v>
      </c>
      <c r="F6112" s="4">
        <v>3277</v>
      </c>
      <c r="G6112" s="4">
        <v>0</v>
      </c>
      <c r="H6112" s="4">
        <v>0</v>
      </c>
      <c r="I6112" s="4">
        <v>0</v>
      </c>
      <c r="J6112" s="4">
        <v>3277</v>
      </c>
    </row>
    <row r="6113" spans="1:10" x14ac:dyDescent="0.75">
      <c r="A6113" t="s">
        <v>163</v>
      </c>
      <c r="B6113">
        <v>2259</v>
      </c>
      <c r="C6113" t="s">
        <v>243</v>
      </c>
      <c r="D6113">
        <v>6443</v>
      </c>
      <c r="E6113" t="s">
        <v>473</v>
      </c>
      <c r="F6113" s="4">
        <v>2100</v>
      </c>
      <c r="G6113" s="4">
        <v>0</v>
      </c>
      <c r="H6113" s="4">
        <v>0</v>
      </c>
      <c r="I6113" s="4">
        <v>0</v>
      </c>
      <c r="J6113" s="4">
        <v>2100</v>
      </c>
    </row>
    <row r="6114" spans="1:10" x14ac:dyDescent="0.75">
      <c r="A6114" t="s">
        <v>163</v>
      </c>
      <c r="B6114">
        <v>2259</v>
      </c>
      <c r="C6114" t="s">
        <v>243</v>
      </c>
      <c r="D6114">
        <v>3276</v>
      </c>
      <c r="E6114" t="s">
        <v>379</v>
      </c>
      <c r="F6114" s="4">
        <v>1636</v>
      </c>
      <c r="G6114" s="4">
        <v>0</v>
      </c>
      <c r="H6114" s="4">
        <v>0</v>
      </c>
      <c r="I6114" s="4">
        <v>0</v>
      </c>
      <c r="J6114" s="4">
        <v>1636</v>
      </c>
    </row>
    <row r="6115" spans="1:10" x14ac:dyDescent="0.75">
      <c r="A6115" t="s">
        <v>163</v>
      </c>
      <c r="B6115">
        <v>2259</v>
      </c>
      <c r="C6115" t="s">
        <v>243</v>
      </c>
      <c r="D6115">
        <v>4900</v>
      </c>
      <c r="E6115" t="s">
        <v>383</v>
      </c>
      <c r="F6115" s="4">
        <v>1605</v>
      </c>
      <c r="G6115" s="4">
        <v>0</v>
      </c>
      <c r="H6115" s="4">
        <v>0</v>
      </c>
      <c r="I6115" s="4">
        <v>0</v>
      </c>
      <c r="J6115" s="4">
        <v>1605</v>
      </c>
    </row>
    <row r="6116" spans="1:10" x14ac:dyDescent="0.75">
      <c r="A6116" t="s">
        <v>151</v>
      </c>
      <c r="B6116">
        <v>776</v>
      </c>
      <c r="C6116" t="s">
        <v>5</v>
      </c>
      <c r="D6116">
        <v>7900</v>
      </c>
      <c r="E6116" t="s">
        <v>388</v>
      </c>
      <c r="F6116" s="4">
        <v>0</v>
      </c>
      <c r="G6116" s="4">
        <v>4347737</v>
      </c>
      <c r="H6116" s="4">
        <v>3950549</v>
      </c>
      <c r="I6116" s="4">
        <v>397188</v>
      </c>
      <c r="J6116" s="4">
        <v>4347737</v>
      </c>
    </row>
    <row r="6117" spans="1:10" x14ac:dyDescent="0.75">
      <c r="A6117" t="s">
        <v>151</v>
      </c>
      <c r="B6117">
        <v>776</v>
      </c>
      <c r="C6117" t="s">
        <v>5</v>
      </c>
      <c r="D6117">
        <v>4225</v>
      </c>
      <c r="E6117" t="s">
        <v>380</v>
      </c>
      <c r="F6117" s="4">
        <v>0</v>
      </c>
      <c r="G6117" s="4">
        <v>2740101</v>
      </c>
      <c r="H6117" s="4">
        <v>284424</v>
      </c>
      <c r="I6117" s="4">
        <v>2455677</v>
      </c>
      <c r="J6117" s="4">
        <v>2740101</v>
      </c>
    </row>
    <row r="6118" spans="1:10" x14ac:dyDescent="0.75">
      <c r="A6118" t="s">
        <v>151</v>
      </c>
      <c r="B6118">
        <v>776</v>
      </c>
      <c r="C6118" t="s">
        <v>5</v>
      </c>
      <c r="D6118">
        <v>7600</v>
      </c>
      <c r="E6118" t="s">
        <v>503</v>
      </c>
      <c r="F6118" s="4">
        <v>0</v>
      </c>
      <c r="G6118" s="4">
        <v>2652999</v>
      </c>
      <c r="H6118" s="4">
        <v>2449270</v>
      </c>
      <c r="I6118" s="4">
        <v>203729</v>
      </c>
      <c r="J6118" s="4">
        <v>2652999</v>
      </c>
    </row>
    <row r="6119" spans="1:10" x14ac:dyDescent="0.75">
      <c r="A6119" t="s">
        <v>151</v>
      </c>
      <c r="B6119">
        <v>776</v>
      </c>
      <c r="C6119" t="s">
        <v>5</v>
      </c>
      <c r="D6119">
        <v>7500</v>
      </c>
      <c r="E6119" t="s">
        <v>427</v>
      </c>
      <c r="F6119" s="4">
        <v>0</v>
      </c>
      <c r="G6119" s="4">
        <v>2245729</v>
      </c>
      <c r="H6119" s="4">
        <v>2070113</v>
      </c>
      <c r="I6119" s="4">
        <v>175616</v>
      </c>
      <c r="J6119" s="4">
        <v>2245729</v>
      </c>
    </row>
    <row r="6120" spans="1:10" x14ac:dyDescent="0.75">
      <c r="A6120" t="s">
        <v>151</v>
      </c>
      <c r="B6120">
        <v>776</v>
      </c>
      <c r="C6120" t="s">
        <v>5</v>
      </c>
      <c r="D6120">
        <v>4782</v>
      </c>
      <c r="E6120" t="s">
        <v>414</v>
      </c>
      <c r="F6120" s="4">
        <v>0</v>
      </c>
      <c r="G6120" s="4">
        <v>2055085</v>
      </c>
      <c r="H6120" s="4">
        <v>12384</v>
      </c>
      <c r="I6120" s="4">
        <v>2042701</v>
      </c>
      <c r="J6120" s="4">
        <v>2055085</v>
      </c>
    </row>
    <row r="6121" spans="1:10" x14ac:dyDescent="0.75">
      <c r="A6121" t="s">
        <v>151</v>
      </c>
      <c r="B6121">
        <v>776</v>
      </c>
      <c r="C6121" t="s">
        <v>5</v>
      </c>
      <c r="D6121">
        <v>2640</v>
      </c>
      <c r="E6121" t="s">
        <v>431</v>
      </c>
      <c r="F6121" s="4">
        <v>0</v>
      </c>
      <c r="G6121" s="4">
        <v>1922790</v>
      </c>
      <c r="H6121" s="4">
        <v>3140</v>
      </c>
      <c r="I6121" s="4">
        <v>1919650</v>
      </c>
      <c r="J6121" s="4">
        <v>1922790</v>
      </c>
    </row>
    <row r="6122" spans="1:10" x14ac:dyDescent="0.75">
      <c r="A6122" t="s">
        <v>151</v>
      </c>
      <c r="B6122">
        <v>776</v>
      </c>
      <c r="C6122" t="s">
        <v>5</v>
      </c>
      <c r="D6122">
        <v>5120</v>
      </c>
      <c r="E6122" t="s">
        <v>461</v>
      </c>
      <c r="F6122" s="4">
        <v>0</v>
      </c>
      <c r="G6122" s="4">
        <v>1880747</v>
      </c>
      <c r="H6122" s="4">
        <v>193241</v>
      </c>
      <c r="I6122" s="4">
        <v>1687506</v>
      </c>
      <c r="J6122" s="4">
        <v>1880747</v>
      </c>
    </row>
    <row r="6123" spans="1:10" x14ac:dyDescent="0.75">
      <c r="A6123" t="s">
        <v>151</v>
      </c>
      <c r="B6123">
        <v>776</v>
      </c>
      <c r="C6123" t="s">
        <v>5</v>
      </c>
      <c r="D6123">
        <v>7110</v>
      </c>
      <c r="E6123" t="s">
        <v>371</v>
      </c>
      <c r="F6123" s="4">
        <v>1445</v>
      </c>
      <c r="G6123" s="4">
        <v>1855444</v>
      </c>
      <c r="H6123" s="4">
        <v>1612334</v>
      </c>
      <c r="I6123" s="4">
        <v>243110</v>
      </c>
      <c r="J6123" s="4">
        <v>1856889</v>
      </c>
    </row>
    <row r="6124" spans="1:10" x14ac:dyDescent="0.75">
      <c r="A6124" t="s">
        <v>151</v>
      </c>
      <c r="B6124">
        <v>776</v>
      </c>
      <c r="C6124" t="s">
        <v>5</v>
      </c>
      <c r="D6124">
        <v>7210</v>
      </c>
      <c r="E6124" t="s">
        <v>426</v>
      </c>
      <c r="F6124" s="4">
        <v>0</v>
      </c>
      <c r="G6124" s="4">
        <v>1794560</v>
      </c>
      <c r="H6124" s="4">
        <v>1234857</v>
      </c>
      <c r="I6124" s="4">
        <v>559703</v>
      </c>
      <c r="J6124" s="4">
        <v>1794560</v>
      </c>
    </row>
    <row r="6125" spans="1:10" x14ac:dyDescent="0.75">
      <c r="A6125" t="s">
        <v>151</v>
      </c>
      <c r="B6125">
        <v>776</v>
      </c>
      <c r="C6125" t="s">
        <v>5</v>
      </c>
      <c r="D6125">
        <v>5290</v>
      </c>
      <c r="E6125" t="s">
        <v>415</v>
      </c>
      <c r="F6125" s="4">
        <v>0</v>
      </c>
      <c r="G6125" s="4">
        <v>1499856</v>
      </c>
      <c r="H6125" s="4">
        <v>1417383</v>
      </c>
      <c r="I6125" s="4">
        <v>82473</v>
      </c>
      <c r="J6125" s="4">
        <v>1499856</v>
      </c>
    </row>
    <row r="6126" spans="1:10" x14ac:dyDescent="0.75">
      <c r="A6126" t="s">
        <v>151</v>
      </c>
      <c r="B6126">
        <v>776</v>
      </c>
      <c r="C6126" t="s">
        <v>5</v>
      </c>
      <c r="D6126">
        <v>4150</v>
      </c>
      <c r="E6126" t="s">
        <v>450</v>
      </c>
      <c r="F6126" s="4">
        <v>0</v>
      </c>
      <c r="G6126" s="4">
        <v>1482965</v>
      </c>
      <c r="H6126" s="4">
        <v>22913</v>
      </c>
      <c r="I6126" s="4">
        <v>1460052</v>
      </c>
      <c r="J6126" s="4">
        <v>1482965</v>
      </c>
    </row>
    <row r="6127" spans="1:10" x14ac:dyDescent="0.75">
      <c r="A6127" t="s">
        <v>151</v>
      </c>
      <c r="B6127">
        <v>776</v>
      </c>
      <c r="C6127" t="s">
        <v>5</v>
      </c>
      <c r="D6127">
        <v>7120</v>
      </c>
      <c r="E6127" t="s">
        <v>499</v>
      </c>
      <c r="F6127" s="4">
        <v>0</v>
      </c>
      <c r="G6127" s="4">
        <v>1441496</v>
      </c>
      <c r="H6127" s="4">
        <v>1329081</v>
      </c>
      <c r="I6127" s="4">
        <v>112415</v>
      </c>
      <c r="J6127" s="4">
        <v>1441496</v>
      </c>
    </row>
    <row r="6128" spans="1:10" x14ac:dyDescent="0.75">
      <c r="A6128" t="s">
        <v>151</v>
      </c>
      <c r="B6128">
        <v>776</v>
      </c>
      <c r="C6128" t="s">
        <v>5</v>
      </c>
      <c r="D6128">
        <v>5480</v>
      </c>
      <c r="E6128" t="s">
        <v>386</v>
      </c>
      <c r="F6128" s="4">
        <v>0</v>
      </c>
      <c r="G6128" s="4">
        <v>1358477</v>
      </c>
      <c r="H6128" s="4">
        <v>1255989</v>
      </c>
      <c r="I6128" s="4">
        <v>102488</v>
      </c>
      <c r="J6128" s="4">
        <v>1358477</v>
      </c>
    </row>
    <row r="6129" spans="1:10" x14ac:dyDescent="0.75">
      <c r="A6129" t="s">
        <v>151</v>
      </c>
      <c r="B6129">
        <v>776</v>
      </c>
      <c r="C6129" t="s">
        <v>5</v>
      </c>
      <c r="D6129">
        <v>4170</v>
      </c>
      <c r="E6129" t="s">
        <v>424</v>
      </c>
      <c r="F6129" s="4">
        <v>0</v>
      </c>
      <c r="G6129" s="4">
        <v>1341308</v>
      </c>
      <c r="H6129" s="4">
        <v>2144</v>
      </c>
      <c r="I6129" s="4">
        <v>1339164</v>
      </c>
      <c r="J6129" s="4">
        <v>1341308</v>
      </c>
    </row>
    <row r="6130" spans="1:10" x14ac:dyDescent="0.75">
      <c r="A6130" t="s">
        <v>151</v>
      </c>
      <c r="B6130">
        <v>776</v>
      </c>
      <c r="C6130" t="s">
        <v>5</v>
      </c>
      <c r="D6130">
        <v>3286</v>
      </c>
      <c r="E6130" t="s">
        <v>423</v>
      </c>
      <c r="F6130" s="4">
        <v>0</v>
      </c>
      <c r="G6130" s="4">
        <v>1268812</v>
      </c>
      <c r="H6130" s="4">
        <v>723839</v>
      </c>
      <c r="I6130" s="4">
        <v>544973</v>
      </c>
      <c r="J6130" s="4">
        <v>1268812</v>
      </c>
    </row>
    <row r="6131" spans="1:10" x14ac:dyDescent="0.75">
      <c r="A6131" t="s">
        <v>151</v>
      </c>
      <c r="B6131">
        <v>776</v>
      </c>
      <c r="C6131" t="s">
        <v>5</v>
      </c>
      <c r="D6131">
        <v>6811</v>
      </c>
      <c r="E6131" t="s">
        <v>480</v>
      </c>
      <c r="F6131" s="4">
        <v>0</v>
      </c>
      <c r="G6131" s="4">
        <v>1084342</v>
      </c>
      <c r="H6131" s="4">
        <v>28632</v>
      </c>
      <c r="I6131" s="4">
        <v>1055710</v>
      </c>
      <c r="J6131" s="4">
        <v>1084342</v>
      </c>
    </row>
    <row r="6132" spans="1:10" x14ac:dyDescent="0.75">
      <c r="A6132" t="s">
        <v>151</v>
      </c>
      <c r="B6132">
        <v>776</v>
      </c>
      <c r="C6132" t="s">
        <v>5</v>
      </c>
      <c r="D6132">
        <v>6889</v>
      </c>
      <c r="E6132" t="s">
        <v>420</v>
      </c>
      <c r="F6132" s="4">
        <v>0</v>
      </c>
      <c r="G6132" s="4">
        <v>1071950</v>
      </c>
      <c r="H6132" s="4">
        <v>989776</v>
      </c>
      <c r="I6132" s="4">
        <v>82174</v>
      </c>
      <c r="J6132" s="4">
        <v>1071950</v>
      </c>
    </row>
    <row r="6133" spans="1:10" x14ac:dyDescent="0.75">
      <c r="A6133" t="s">
        <v>151</v>
      </c>
      <c r="B6133">
        <v>776</v>
      </c>
      <c r="C6133" t="s">
        <v>5</v>
      </c>
      <c r="D6133">
        <v>6893</v>
      </c>
      <c r="E6133" t="s">
        <v>496</v>
      </c>
      <c r="F6133" s="4">
        <v>0</v>
      </c>
      <c r="G6133" s="4">
        <v>1036688</v>
      </c>
      <c r="H6133" s="4">
        <v>32239</v>
      </c>
      <c r="I6133" s="4">
        <v>1004449</v>
      </c>
      <c r="J6133" s="4">
        <v>1036688</v>
      </c>
    </row>
    <row r="6134" spans="1:10" x14ac:dyDescent="0.75">
      <c r="A6134" t="s">
        <v>151</v>
      </c>
      <c r="B6134">
        <v>776</v>
      </c>
      <c r="C6134" t="s">
        <v>5</v>
      </c>
      <c r="D6134">
        <v>6653</v>
      </c>
      <c r="E6134" t="s">
        <v>395</v>
      </c>
      <c r="F6134" s="4">
        <v>0</v>
      </c>
      <c r="G6134" s="4">
        <v>759621</v>
      </c>
      <c r="H6134" s="4">
        <v>716896</v>
      </c>
      <c r="I6134" s="4">
        <v>42725</v>
      </c>
      <c r="J6134" s="4">
        <v>759621</v>
      </c>
    </row>
    <row r="6135" spans="1:10" x14ac:dyDescent="0.75">
      <c r="A6135" t="s">
        <v>151</v>
      </c>
      <c r="B6135">
        <v>776</v>
      </c>
      <c r="C6135" t="s">
        <v>5</v>
      </c>
      <c r="D6135">
        <v>2211</v>
      </c>
      <c r="E6135" t="s">
        <v>367</v>
      </c>
      <c r="F6135" s="4">
        <v>132340</v>
      </c>
      <c r="G6135" s="4">
        <v>605088</v>
      </c>
      <c r="H6135" s="4">
        <v>603689</v>
      </c>
      <c r="I6135" s="4">
        <v>1399</v>
      </c>
      <c r="J6135" s="4">
        <v>737428</v>
      </c>
    </row>
    <row r="6136" spans="1:10" x14ac:dyDescent="0.75">
      <c r="A6136" t="s">
        <v>151</v>
      </c>
      <c r="B6136">
        <v>776</v>
      </c>
      <c r="C6136" t="s">
        <v>5</v>
      </c>
      <c r="D6136">
        <v>6782</v>
      </c>
      <c r="E6136" t="s">
        <v>396</v>
      </c>
      <c r="F6136" s="4">
        <v>0</v>
      </c>
      <c r="G6136" s="4">
        <v>728823</v>
      </c>
      <c r="H6136" s="4">
        <v>44964</v>
      </c>
      <c r="I6136" s="4">
        <v>683859</v>
      </c>
      <c r="J6136" s="4">
        <v>728823</v>
      </c>
    </row>
    <row r="6137" spans="1:10" x14ac:dyDescent="0.75">
      <c r="A6137" t="s">
        <v>151</v>
      </c>
      <c r="B6137">
        <v>776</v>
      </c>
      <c r="C6137" t="s">
        <v>5</v>
      </c>
      <c r="D6137">
        <v>4189</v>
      </c>
      <c r="E6137" t="s">
        <v>451</v>
      </c>
      <c r="F6137" s="4">
        <v>0</v>
      </c>
      <c r="G6137" s="4">
        <v>625576</v>
      </c>
      <c r="H6137" s="4">
        <v>150850</v>
      </c>
      <c r="I6137" s="4">
        <v>474726</v>
      </c>
      <c r="J6137" s="4">
        <v>625576</v>
      </c>
    </row>
    <row r="6138" spans="1:10" x14ac:dyDescent="0.75">
      <c r="A6138" t="s">
        <v>151</v>
      </c>
      <c r="B6138">
        <v>776</v>
      </c>
      <c r="C6138" t="s">
        <v>5</v>
      </c>
      <c r="D6138">
        <v>2330</v>
      </c>
      <c r="E6138" t="s">
        <v>368</v>
      </c>
      <c r="F6138" s="4">
        <v>80378</v>
      </c>
      <c r="G6138" s="4">
        <v>510172</v>
      </c>
      <c r="H6138" s="4">
        <v>481032</v>
      </c>
      <c r="I6138" s="4">
        <v>29140</v>
      </c>
      <c r="J6138" s="4">
        <v>590550</v>
      </c>
    </row>
    <row r="6139" spans="1:10" x14ac:dyDescent="0.75">
      <c r="A6139" t="s">
        <v>151</v>
      </c>
      <c r="B6139">
        <v>776</v>
      </c>
      <c r="C6139" t="s">
        <v>5</v>
      </c>
      <c r="D6139">
        <v>5220</v>
      </c>
      <c r="E6139" t="s">
        <v>401</v>
      </c>
      <c r="F6139" s="4">
        <v>0</v>
      </c>
      <c r="G6139" s="4">
        <v>580926</v>
      </c>
      <c r="H6139" s="4">
        <v>580133</v>
      </c>
      <c r="I6139" s="4">
        <v>793</v>
      </c>
      <c r="J6139" s="4">
        <v>580926</v>
      </c>
    </row>
    <row r="6140" spans="1:10" x14ac:dyDescent="0.75">
      <c r="A6140" t="s">
        <v>151</v>
      </c>
      <c r="B6140">
        <v>776</v>
      </c>
      <c r="C6140" t="s">
        <v>5</v>
      </c>
      <c r="D6140">
        <v>4323</v>
      </c>
      <c r="E6140" t="s">
        <v>373</v>
      </c>
      <c r="F6140" s="4">
        <v>0</v>
      </c>
      <c r="G6140" s="4">
        <v>576436</v>
      </c>
      <c r="H6140" s="4">
        <v>576274</v>
      </c>
      <c r="I6140" s="4">
        <v>162</v>
      </c>
      <c r="J6140" s="4">
        <v>576436</v>
      </c>
    </row>
    <row r="6141" spans="1:10" x14ac:dyDescent="0.75">
      <c r="A6141" t="s">
        <v>151</v>
      </c>
      <c r="B6141">
        <v>776</v>
      </c>
      <c r="C6141" t="s">
        <v>5</v>
      </c>
      <c r="D6141">
        <v>6885</v>
      </c>
      <c r="E6141" t="s">
        <v>493</v>
      </c>
      <c r="F6141" s="4">
        <v>0</v>
      </c>
      <c r="G6141" s="4">
        <v>517479</v>
      </c>
      <c r="H6141" s="4">
        <v>321125</v>
      </c>
      <c r="I6141" s="4">
        <v>196354</v>
      </c>
      <c r="J6141" s="4">
        <v>517479</v>
      </c>
    </row>
    <row r="6142" spans="1:10" x14ac:dyDescent="0.75">
      <c r="A6142" t="s">
        <v>151</v>
      </c>
      <c r="B6142">
        <v>776</v>
      </c>
      <c r="C6142" t="s">
        <v>5</v>
      </c>
      <c r="D6142">
        <v>9900</v>
      </c>
      <c r="E6142" t="s">
        <v>389</v>
      </c>
      <c r="F6142" s="4">
        <v>0</v>
      </c>
      <c r="G6142" s="4">
        <v>359315</v>
      </c>
      <c r="H6142" s="4">
        <v>250675</v>
      </c>
      <c r="I6142" s="4">
        <v>108640</v>
      </c>
      <c r="J6142" s="4">
        <v>359315</v>
      </c>
    </row>
    <row r="6143" spans="1:10" x14ac:dyDescent="0.75">
      <c r="A6143" t="s">
        <v>151</v>
      </c>
      <c r="B6143">
        <v>776</v>
      </c>
      <c r="C6143" t="s">
        <v>5</v>
      </c>
      <c r="D6143">
        <v>6654</v>
      </c>
      <c r="E6143" t="s">
        <v>419</v>
      </c>
      <c r="F6143" s="4">
        <v>0</v>
      </c>
      <c r="G6143" s="4">
        <v>352174</v>
      </c>
      <c r="H6143" s="4">
        <v>307167</v>
      </c>
      <c r="I6143" s="4">
        <v>45007</v>
      </c>
      <c r="J6143" s="4">
        <v>352174</v>
      </c>
    </row>
    <row r="6144" spans="1:10" x14ac:dyDescent="0.75">
      <c r="A6144" t="s">
        <v>151</v>
      </c>
      <c r="B6144">
        <v>776</v>
      </c>
      <c r="C6144" t="s">
        <v>5</v>
      </c>
      <c r="D6144">
        <v>6590</v>
      </c>
      <c r="E6144" t="s">
        <v>394</v>
      </c>
      <c r="F6144" s="4">
        <v>0</v>
      </c>
      <c r="G6144" s="4">
        <v>332275</v>
      </c>
      <c r="H6144" s="4">
        <v>11318</v>
      </c>
      <c r="I6144" s="4">
        <v>320957</v>
      </c>
      <c r="J6144" s="4">
        <v>332275</v>
      </c>
    </row>
    <row r="6145" spans="1:10" x14ac:dyDescent="0.75">
      <c r="A6145" t="s">
        <v>151</v>
      </c>
      <c r="B6145">
        <v>776</v>
      </c>
      <c r="C6145" t="s">
        <v>5</v>
      </c>
      <c r="D6145">
        <v>5540</v>
      </c>
      <c r="E6145" t="s">
        <v>469</v>
      </c>
      <c r="F6145" s="4">
        <v>0</v>
      </c>
      <c r="G6145" s="4">
        <v>314545</v>
      </c>
      <c r="H6145" s="4">
        <v>296777</v>
      </c>
      <c r="I6145" s="4">
        <v>17768</v>
      </c>
      <c r="J6145" s="4">
        <v>314545</v>
      </c>
    </row>
    <row r="6146" spans="1:10" x14ac:dyDescent="0.75">
      <c r="A6146" t="s">
        <v>151</v>
      </c>
      <c r="B6146">
        <v>776</v>
      </c>
      <c r="C6146" t="s">
        <v>5</v>
      </c>
      <c r="D6146">
        <v>3275</v>
      </c>
      <c r="E6146" t="s">
        <v>412</v>
      </c>
      <c r="F6146" s="4">
        <v>0</v>
      </c>
      <c r="G6146" s="4">
        <v>305115</v>
      </c>
      <c r="H6146" s="4">
        <v>216913</v>
      </c>
      <c r="I6146" s="4">
        <v>88202</v>
      </c>
      <c r="J6146" s="4">
        <v>305115</v>
      </c>
    </row>
    <row r="6147" spans="1:10" x14ac:dyDescent="0.75">
      <c r="A6147" t="s">
        <v>151</v>
      </c>
      <c r="B6147">
        <v>776</v>
      </c>
      <c r="C6147" t="s">
        <v>5</v>
      </c>
      <c r="D6147">
        <v>5422</v>
      </c>
      <c r="E6147" t="s">
        <v>468</v>
      </c>
      <c r="F6147" s="4">
        <v>0</v>
      </c>
      <c r="G6147" s="4">
        <v>302982</v>
      </c>
      <c r="H6147" s="4">
        <v>284966</v>
      </c>
      <c r="I6147" s="4">
        <v>18016</v>
      </c>
      <c r="J6147" s="4">
        <v>302982</v>
      </c>
    </row>
    <row r="6148" spans="1:10" x14ac:dyDescent="0.75">
      <c r="A6148" t="s">
        <v>151</v>
      </c>
      <c r="B6148">
        <v>776</v>
      </c>
      <c r="C6148" t="s">
        <v>5</v>
      </c>
      <c r="D6148">
        <v>5240</v>
      </c>
      <c r="E6148" t="s">
        <v>464</v>
      </c>
      <c r="F6148" s="4">
        <v>0</v>
      </c>
      <c r="G6148" s="4">
        <v>301002</v>
      </c>
      <c r="H6148" s="4">
        <v>254629</v>
      </c>
      <c r="I6148" s="4">
        <v>46373</v>
      </c>
      <c r="J6148" s="4">
        <v>301002</v>
      </c>
    </row>
    <row r="6149" spans="1:10" x14ac:dyDescent="0.75">
      <c r="A6149" t="s">
        <v>151</v>
      </c>
      <c r="B6149">
        <v>776</v>
      </c>
      <c r="C6149" t="s">
        <v>5</v>
      </c>
      <c r="D6149">
        <v>3299</v>
      </c>
      <c r="E6149" t="s">
        <v>448</v>
      </c>
      <c r="F6149" s="4">
        <v>0</v>
      </c>
      <c r="G6149" s="4">
        <v>288667</v>
      </c>
      <c r="H6149" s="4">
        <v>84463</v>
      </c>
      <c r="I6149" s="4">
        <v>204204</v>
      </c>
      <c r="J6149" s="4">
        <v>288667</v>
      </c>
    </row>
    <row r="6150" spans="1:10" x14ac:dyDescent="0.75">
      <c r="A6150" t="s">
        <v>151</v>
      </c>
      <c r="B6150">
        <v>776</v>
      </c>
      <c r="C6150" t="s">
        <v>5</v>
      </c>
      <c r="D6150">
        <v>4331</v>
      </c>
      <c r="E6150" t="s">
        <v>390</v>
      </c>
      <c r="F6150" s="4">
        <v>0</v>
      </c>
      <c r="G6150" s="4">
        <v>272399</v>
      </c>
      <c r="H6150" s="4">
        <v>240751</v>
      </c>
      <c r="I6150" s="4">
        <v>31648</v>
      </c>
      <c r="J6150" s="4">
        <v>272399</v>
      </c>
    </row>
    <row r="6151" spans="1:10" x14ac:dyDescent="0.75">
      <c r="A6151" t="s">
        <v>151</v>
      </c>
      <c r="B6151">
        <v>776</v>
      </c>
      <c r="C6151" t="s">
        <v>5</v>
      </c>
      <c r="D6151">
        <v>5330</v>
      </c>
      <c r="E6151" t="s">
        <v>385</v>
      </c>
      <c r="F6151" s="4">
        <v>0</v>
      </c>
      <c r="G6151" s="4">
        <v>267858</v>
      </c>
      <c r="H6151" s="4">
        <v>259077</v>
      </c>
      <c r="I6151" s="4">
        <v>8781</v>
      </c>
      <c r="J6151" s="4">
        <v>267858</v>
      </c>
    </row>
    <row r="6152" spans="1:10" x14ac:dyDescent="0.75">
      <c r="A6152" t="s">
        <v>151</v>
      </c>
      <c r="B6152">
        <v>776</v>
      </c>
      <c r="C6152" t="s">
        <v>5</v>
      </c>
      <c r="D6152">
        <v>3276</v>
      </c>
      <c r="E6152" t="s">
        <v>379</v>
      </c>
      <c r="F6152" s="4">
        <v>0</v>
      </c>
      <c r="G6152" s="4">
        <v>255146</v>
      </c>
      <c r="H6152" s="4">
        <v>174263</v>
      </c>
      <c r="I6152" s="4">
        <v>80883</v>
      </c>
      <c r="J6152" s="4">
        <v>255146</v>
      </c>
    </row>
    <row r="6153" spans="1:10" x14ac:dyDescent="0.75">
      <c r="A6153" t="s">
        <v>151</v>
      </c>
      <c r="B6153">
        <v>776</v>
      </c>
      <c r="C6153" t="s">
        <v>5</v>
      </c>
      <c r="D6153">
        <v>6858</v>
      </c>
      <c r="E6153" t="s">
        <v>488</v>
      </c>
      <c r="F6153" s="4">
        <v>0</v>
      </c>
      <c r="G6153" s="4">
        <v>246429</v>
      </c>
      <c r="H6153" s="4">
        <v>218946</v>
      </c>
      <c r="I6153" s="4">
        <v>27483</v>
      </c>
      <c r="J6153" s="4">
        <v>246429</v>
      </c>
    </row>
    <row r="6154" spans="1:10" x14ac:dyDescent="0.75">
      <c r="A6154" t="s">
        <v>151</v>
      </c>
      <c r="B6154">
        <v>776</v>
      </c>
      <c r="C6154" t="s">
        <v>5</v>
      </c>
      <c r="D6154">
        <v>4110</v>
      </c>
      <c r="E6154" t="s">
        <v>449</v>
      </c>
      <c r="F6154" s="4">
        <v>0</v>
      </c>
      <c r="G6154" s="4">
        <v>241259</v>
      </c>
      <c r="H6154" s="4">
        <v>240976</v>
      </c>
      <c r="I6154" s="4">
        <v>283</v>
      </c>
      <c r="J6154" s="4">
        <v>241259</v>
      </c>
    </row>
    <row r="6155" spans="1:10" x14ac:dyDescent="0.75">
      <c r="A6155" t="s">
        <v>151</v>
      </c>
      <c r="B6155">
        <v>776</v>
      </c>
      <c r="C6155" t="s">
        <v>5</v>
      </c>
      <c r="D6155">
        <v>4680</v>
      </c>
      <c r="E6155" t="s">
        <v>459</v>
      </c>
      <c r="F6155" s="4">
        <v>0</v>
      </c>
      <c r="G6155" s="4">
        <v>239849</v>
      </c>
      <c r="H6155" s="4">
        <v>15033</v>
      </c>
      <c r="I6155" s="4">
        <v>224816</v>
      </c>
      <c r="J6155" s="4">
        <v>239849</v>
      </c>
    </row>
    <row r="6156" spans="1:10" x14ac:dyDescent="0.75">
      <c r="A6156" t="s">
        <v>151</v>
      </c>
      <c r="B6156">
        <v>776</v>
      </c>
      <c r="C6156" t="s">
        <v>5</v>
      </c>
      <c r="D6156">
        <v>3274</v>
      </c>
      <c r="E6156" t="s">
        <v>438</v>
      </c>
      <c r="F6156" s="4">
        <v>113059</v>
      </c>
      <c r="G6156" s="4">
        <v>122295</v>
      </c>
      <c r="H6156" s="4">
        <v>120945</v>
      </c>
      <c r="I6156" s="4">
        <v>1350</v>
      </c>
      <c r="J6156" s="4">
        <v>235354</v>
      </c>
    </row>
    <row r="6157" spans="1:10" x14ac:dyDescent="0.75">
      <c r="A6157" t="s">
        <v>151</v>
      </c>
      <c r="B6157">
        <v>776</v>
      </c>
      <c r="C6157" t="s">
        <v>5</v>
      </c>
      <c r="D6157">
        <v>2340</v>
      </c>
      <c r="E6157" t="s">
        <v>369</v>
      </c>
      <c r="F6157" s="4">
        <v>231281</v>
      </c>
      <c r="G6157" s="4">
        <v>9</v>
      </c>
      <c r="H6157" s="4">
        <v>9</v>
      </c>
      <c r="I6157" s="4">
        <v>0</v>
      </c>
      <c r="J6157" s="4">
        <v>231290</v>
      </c>
    </row>
    <row r="6158" spans="1:10" x14ac:dyDescent="0.75">
      <c r="A6158" t="s">
        <v>151</v>
      </c>
      <c r="B6158">
        <v>776</v>
      </c>
      <c r="C6158" t="s">
        <v>5</v>
      </c>
      <c r="D6158">
        <v>3298</v>
      </c>
      <c r="E6158" t="s">
        <v>447</v>
      </c>
      <c r="F6158" s="4">
        <v>0</v>
      </c>
      <c r="G6158" s="4">
        <v>224939</v>
      </c>
      <c r="H6158" s="4">
        <v>10162</v>
      </c>
      <c r="I6158" s="4">
        <v>214777</v>
      </c>
      <c r="J6158" s="4">
        <v>224939</v>
      </c>
    </row>
    <row r="6159" spans="1:10" x14ac:dyDescent="0.75">
      <c r="A6159" t="s">
        <v>151</v>
      </c>
      <c r="B6159">
        <v>776</v>
      </c>
      <c r="C6159" t="s">
        <v>5</v>
      </c>
      <c r="D6159">
        <v>5360</v>
      </c>
      <c r="E6159" t="s">
        <v>465</v>
      </c>
      <c r="F6159" s="4">
        <v>0</v>
      </c>
      <c r="G6159" s="4">
        <v>204861</v>
      </c>
      <c r="H6159" s="4">
        <v>202180</v>
      </c>
      <c r="I6159" s="4">
        <v>2681</v>
      </c>
      <c r="J6159" s="4">
        <v>204861</v>
      </c>
    </row>
    <row r="6160" spans="1:10" x14ac:dyDescent="0.75">
      <c r="A6160" t="s">
        <v>151</v>
      </c>
      <c r="B6160">
        <v>776</v>
      </c>
      <c r="C6160" t="s">
        <v>5</v>
      </c>
      <c r="D6160">
        <v>4322</v>
      </c>
      <c r="E6160" t="s">
        <v>398</v>
      </c>
      <c r="F6160" s="4">
        <v>0</v>
      </c>
      <c r="G6160" s="4">
        <v>200636</v>
      </c>
      <c r="H6160" s="4">
        <v>200341</v>
      </c>
      <c r="I6160" s="4">
        <v>295</v>
      </c>
      <c r="J6160" s="4">
        <v>200636</v>
      </c>
    </row>
    <row r="6161" spans="1:10" x14ac:dyDescent="0.75">
      <c r="A6161" t="s">
        <v>151</v>
      </c>
      <c r="B6161">
        <v>776</v>
      </c>
      <c r="C6161" t="s">
        <v>5</v>
      </c>
      <c r="D6161">
        <v>4650</v>
      </c>
      <c r="E6161" t="s">
        <v>457</v>
      </c>
      <c r="F6161" s="4">
        <v>0</v>
      </c>
      <c r="G6161" s="4">
        <v>190809</v>
      </c>
      <c r="H6161" s="4">
        <v>180172</v>
      </c>
      <c r="I6161" s="4">
        <v>10637</v>
      </c>
      <c r="J6161" s="4">
        <v>190809</v>
      </c>
    </row>
    <row r="6162" spans="1:10" x14ac:dyDescent="0.75">
      <c r="A6162" t="s">
        <v>151</v>
      </c>
      <c r="B6162">
        <v>776</v>
      </c>
      <c r="C6162" t="s">
        <v>5</v>
      </c>
      <c r="D6162">
        <v>6861</v>
      </c>
      <c r="E6162" t="s">
        <v>489</v>
      </c>
      <c r="F6162" s="4">
        <v>130105</v>
      </c>
      <c r="G6162" s="4">
        <v>53605</v>
      </c>
      <c r="H6162" s="4">
        <v>53095</v>
      </c>
      <c r="I6162" s="4">
        <v>510</v>
      </c>
      <c r="J6162" s="4">
        <v>183710</v>
      </c>
    </row>
    <row r="6163" spans="1:10" x14ac:dyDescent="0.75">
      <c r="A6163" t="s">
        <v>151</v>
      </c>
      <c r="B6163">
        <v>776</v>
      </c>
      <c r="C6163" t="s">
        <v>5</v>
      </c>
      <c r="D6163">
        <v>7400</v>
      </c>
      <c r="E6163" t="s">
        <v>502</v>
      </c>
      <c r="F6163" s="4">
        <v>75</v>
      </c>
      <c r="G6163" s="4">
        <v>182965</v>
      </c>
      <c r="H6163" s="4">
        <v>158624</v>
      </c>
      <c r="I6163" s="4">
        <v>24341</v>
      </c>
      <c r="J6163" s="4">
        <v>183040</v>
      </c>
    </row>
    <row r="6164" spans="1:10" x14ac:dyDescent="0.75">
      <c r="A6164" t="s">
        <v>151</v>
      </c>
      <c r="B6164">
        <v>776</v>
      </c>
      <c r="C6164" t="s">
        <v>5</v>
      </c>
      <c r="D6164">
        <v>3285</v>
      </c>
      <c r="E6164" t="s">
        <v>443</v>
      </c>
      <c r="F6164" s="4">
        <v>0</v>
      </c>
      <c r="G6164" s="4">
        <v>181542</v>
      </c>
      <c r="H6164" s="4">
        <v>111653</v>
      </c>
      <c r="I6164" s="4">
        <v>69889</v>
      </c>
      <c r="J6164" s="4">
        <v>181542</v>
      </c>
    </row>
    <row r="6165" spans="1:10" x14ac:dyDescent="0.75">
      <c r="A6165" t="s">
        <v>151</v>
      </c>
      <c r="B6165">
        <v>776</v>
      </c>
      <c r="C6165" t="s">
        <v>5</v>
      </c>
      <c r="D6165">
        <v>5190</v>
      </c>
      <c r="E6165" t="s">
        <v>462</v>
      </c>
      <c r="F6165" s="4">
        <v>0</v>
      </c>
      <c r="G6165" s="4">
        <v>180816</v>
      </c>
      <c r="H6165" s="4">
        <v>143002</v>
      </c>
      <c r="I6165" s="4">
        <v>37814</v>
      </c>
      <c r="J6165" s="4">
        <v>180816</v>
      </c>
    </row>
    <row r="6166" spans="1:10" x14ac:dyDescent="0.75">
      <c r="A6166" t="s">
        <v>151</v>
      </c>
      <c r="B6166">
        <v>776</v>
      </c>
      <c r="C6166" t="s">
        <v>5</v>
      </c>
      <c r="D6166">
        <v>6521</v>
      </c>
      <c r="E6166" t="s">
        <v>476</v>
      </c>
      <c r="F6166" s="4">
        <v>0</v>
      </c>
      <c r="G6166" s="4">
        <v>153167</v>
      </c>
      <c r="H6166" s="4">
        <v>1553</v>
      </c>
      <c r="I6166" s="4">
        <v>151614</v>
      </c>
      <c r="J6166" s="4">
        <v>153167</v>
      </c>
    </row>
    <row r="6167" spans="1:10" x14ac:dyDescent="0.75">
      <c r="A6167" t="s">
        <v>151</v>
      </c>
      <c r="B6167">
        <v>776</v>
      </c>
      <c r="C6167" t="s">
        <v>5</v>
      </c>
      <c r="D6167">
        <v>6747</v>
      </c>
      <c r="E6167" t="s">
        <v>478</v>
      </c>
      <c r="F6167" s="4">
        <v>0</v>
      </c>
      <c r="G6167" s="4">
        <v>145581</v>
      </c>
      <c r="H6167" s="4">
        <v>66019</v>
      </c>
      <c r="I6167" s="4">
        <v>79562</v>
      </c>
      <c r="J6167" s="4">
        <v>145581</v>
      </c>
    </row>
    <row r="6168" spans="1:10" x14ac:dyDescent="0.75">
      <c r="A6168" t="s">
        <v>151</v>
      </c>
      <c r="B6168">
        <v>776</v>
      </c>
      <c r="C6168" t="s">
        <v>5</v>
      </c>
      <c r="D6168">
        <v>3250</v>
      </c>
      <c r="E6168" t="s">
        <v>435</v>
      </c>
      <c r="F6168" s="4">
        <v>0</v>
      </c>
      <c r="G6168" s="4">
        <v>135925</v>
      </c>
      <c r="H6168" s="4">
        <v>97737</v>
      </c>
      <c r="I6168" s="4">
        <v>38188</v>
      </c>
      <c r="J6168" s="4">
        <v>135925</v>
      </c>
    </row>
    <row r="6169" spans="1:10" x14ac:dyDescent="0.75">
      <c r="A6169" t="s">
        <v>151</v>
      </c>
      <c r="B6169">
        <v>776</v>
      </c>
      <c r="C6169" t="s">
        <v>5</v>
      </c>
      <c r="D6169">
        <v>4420</v>
      </c>
      <c r="E6169" t="s">
        <v>381</v>
      </c>
      <c r="F6169" s="4">
        <v>0</v>
      </c>
      <c r="G6169" s="4">
        <v>129796</v>
      </c>
      <c r="H6169" s="4">
        <v>5043</v>
      </c>
      <c r="I6169" s="4">
        <v>124753</v>
      </c>
      <c r="J6169" s="4">
        <v>129796</v>
      </c>
    </row>
    <row r="6170" spans="1:10" x14ac:dyDescent="0.75">
      <c r="A6170" t="s">
        <v>151</v>
      </c>
      <c r="B6170">
        <v>776</v>
      </c>
      <c r="C6170" t="s">
        <v>5</v>
      </c>
      <c r="D6170">
        <v>6857</v>
      </c>
      <c r="E6170" t="s">
        <v>487</v>
      </c>
      <c r="F6170" s="4">
        <v>0</v>
      </c>
      <c r="G6170" s="4">
        <v>127429</v>
      </c>
      <c r="H6170" s="4">
        <v>100826</v>
      </c>
      <c r="I6170" s="4">
        <v>26603</v>
      </c>
      <c r="J6170" s="4">
        <v>127429</v>
      </c>
    </row>
    <row r="6171" spans="1:10" x14ac:dyDescent="0.75">
      <c r="A6171" t="s">
        <v>151</v>
      </c>
      <c r="B6171">
        <v>776</v>
      </c>
      <c r="C6171" t="s">
        <v>5</v>
      </c>
      <c r="D6171">
        <v>4900</v>
      </c>
      <c r="E6171" t="s">
        <v>383</v>
      </c>
      <c r="F6171" s="4">
        <v>0</v>
      </c>
      <c r="G6171" s="4">
        <v>123630</v>
      </c>
      <c r="H6171" s="4">
        <v>114079</v>
      </c>
      <c r="I6171" s="4">
        <v>9551</v>
      </c>
      <c r="J6171" s="4">
        <v>123630</v>
      </c>
    </row>
    <row r="6172" spans="1:10" x14ac:dyDescent="0.75">
      <c r="A6172" t="s">
        <v>151</v>
      </c>
      <c r="B6172">
        <v>776</v>
      </c>
      <c r="C6172" t="s">
        <v>5</v>
      </c>
      <c r="D6172">
        <v>5370</v>
      </c>
      <c r="E6172" t="s">
        <v>466</v>
      </c>
      <c r="F6172" s="4">
        <v>0</v>
      </c>
      <c r="G6172" s="4">
        <v>115433</v>
      </c>
      <c r="H6172" s="4">
        <v>112220</v>
      </c>
      <c r="I6172" s="4">
        <v>3213</v>
      </c>
      <c r="J6172" s="4">
        <v>115433</v>
      </c>
    </row>
    <row r="6173" spans="1:10" x14ac:dyDescent="0.75">
      <c r="A6173" t="s">
        <v>151</v>
      </c>
      <c r="B6173">
        <v>776</v>
      </c>
      <c r="C6173" t="s">
        <v>5</v>
      </c>
      <c r="D6173">
        <v>3230</v>
      </c>
      <c r="E6173" t="s">
        <v>434</v>
      </c>
      <c r="F6173" s="4">
        <v>0</v>
      </c>
      <c r="G6173" s="4">
        <v>104266</v>
      </c>
      <c r="H6173" s="4">
        <v>86781</v>
      </c>
      <c r="I6173" s="4">
        <v>17485</v>
      </c>
      <c r="J6173" s="4">
        <v>104266</v>
      </c>
    </row>
    <row r="6174" spans="1:10" x14ac:dyDescent="0.75">
      <c r="A6174" t="s">
        <v>151</v>
      </c>
      <c r="B6174">
        <v>776</v>
      </c>
      <c r="C6174" t="s">
        <v>5</v>
      </c>
      <c r="D6174">
        <v>3220</v>
      </c>
      <c r="E6174" t="s">
        <v>370</v>
      </c>
      <c r="F6174" s="4">
        <v>0</v>
      </c>
      <c r="G6174" s="4">
        <v>103341</v>
      </c>
      <c r="H6174" s="4">
        <v>77314</v>
      </c>
      <c r="I6174" s="4">
        <v>26027</v>
      </c>
      <c r="J6174" s="4">
        <v>103341</v>
      </c>
    </row>
    <row r="6175" spans="1:10" x14ac:dyDescent="0.75">
      <c r="A6175" t="s">
        <v>151</v>
      </c>
      <c r="B6175">
        <v>776</v>
      </c>
      <c r="C6175" t="s">
        <v>5</v>
      </c>
      <c r="D6175">
        <v>3282</v>
      </c>
      <c r="E6175" t="s">
        <v>440</v>
      </c>
      <c r="F6175" s="4">
        <v>0</v>
      </c>
      <c r="G6175" s="4">
        <v>101861</v>
      </c>
      <c r="H6175" s="4">
        <v>48421</v>
      </c>
      <c r="I6175" s="4">
        <v>53440</v>
      </c>
      <c r="J6175" s="4">
        <v>101861</v>
      </c>
    </row>
    <row r="6176" spans="1:10" x14ac:dyDescent="0.75">
      <c r="A6176" t="s">
        <v>151</v>
      </c>
      <c r="B6176">
        <v>776</v>
      </c>
      <c r="C6176" t="s">
        <v>5</v>
      </c>
      <c r="D6176">
        <v>2430</v>
      </c>
      <c r="E6176" t="s">
        <v>376</v>
      </c>
      <c r="F6176" s="4">
        <v>75433</v>
      </c>
      <c r="G6176" s="4">
        <v>25871</v>
      </c>
      <c r="H6176" s="4">
        <v>22403</v>
      </c>
      <c r="I6176" s="4">
        <v>3468</v>
      </c>
      <c r="J6176" s="4">
        <v>101304</v>
      </c>
    </row>
    <row r="6177" spans="1:10" x14ac:dyDescent="0.75">
      <c r="A6177" t="s">
        <v>151</v>
      </c>
      <c r="B6177">
        <v>776</v>
      </c>
      <c r="C6177" t="s">
        <v>5</v>
      </c>
      <c r="D6177">
        <v>3284</v>
      </c>
      <c r="E6177" t="s">
        <v>442</v>
      </c>
      <c r="F6177" s="4">
        <v>0</v>
      </c>
      <c r="G6177" s="4">
        <v>97233</v>
      </c>
      <c r="H6177" s="4">
        <v>85702</v>
      </c>
      <c r="I6177" s="4">
        <v>11531</v>
      </c>
      <c r="J6177" s="4">
        <v>97233</v>
      </c>
    </row>
    <row r="6178" spans="1:10" x14ac:dyDescent="0.75">
      <c r="A6178" t="s">
        <v>151</v>
      </c>
      <c r="B6178">
        <v>776</v>
      </c>
      <c r="C6178" t="s">
        <v>5</v>
      </c>
      <c r="D6178">
        <v>3240</v>
      </c>
      <c r="E6178" t="s">
        <v>410</v>
      </c>
      <c r="F6178" s="4">
        <v>0</v>
      </c>
      <c r="G6178" s="4">
        <v>90546</v>
      </c>
      <c r="H6178" s="4">
        <v>73046</v>
      </c>
      <c r="I6178" s="4">
        <v>17500</v>
      </c>
      <c r="J6178" s="4">
        <v>90546</v>
      </c>
    </row>
    <row r="6179" spans="1:10" x14ac:dyDescent="0.75">
      <c r="A6179" t="s">
        <v>151</v>
      </c>
      <c r="B6179">
        <v>776</v>
      </c>
      <c r="C6179" t="s">
        <v>5</v>
      </c>
      <c r="D6179">
        <v>3272</v>
      </c>
      <c r="E6179" t="s">
        <v>504</v>
      </c>
      <c r="F6179" s="4">
        <v>0</v>
      </c>
      <c r="G6179" s="4">
        <v>86587</v>
      </c>
      <c r="H6179" s="4">
        <v>86445</v>
      </c>
      <c r="I6179" s="4">
        <v>142</v>
      </c>
      <c r="J6179" s="4">
        <v>86587</v>
      </c>
    </row>
    <row r="6180" spans="1:10" x14ac:dyDescent="0.75">
      <c r="A6180" t="s">
        <v>151</v>
      </c>
      <c r="B6180">
        <v>776</v>
      </c>
      <c r="C6180" t="s">
        <v>5</v>
      </c>
      <c r="D6180">
        <v>6136</v>
      </c>
      <c r="E6180" t="s">
        <v>471</v>
      </c>
      <c r="F6180" s="4">
        <v>0</v>
      </c>
      <c r="G6180" s="4">
        <v>86049</v>
      </c>
      <c r="H6180" s="4">
        <v>85766</v>
      </c>
      <c r="I6180" s="4">
        <v>283</v>
      </c>
      <c r="J6180" s="4">
        <v>86049</v>
      </c>
    </row>
    <row r="6181" spans="1:10" x14ac:dyDescent="0.75">
      <c r="A6181" t="s">
        <v>151</v>
      </c>
      <c r="B6181">
        <v>776</v>
      </c>
      <c r="C6181" t="s">
        <v>5</v>
      </c>
      <c r="D6181">
        <v>6888</v>
      </c>
      <c r="E6181" t="s">
        <v>494</v>
      </c>
      <c r="F6181" s="4">
        <v>0</v>
      </c>
      <c r="G6181" s="4">
        <v>85976</v>
      </c>
      <c r="H6181" s="4">
        <v>81165</v>
      </c>
      <c r="I6181" s="4">
        <v>4811</v>
      </c>
      <c r="J6181" s="4">
        <v>85976</v>
      </c>
    </row>
    <row r="6182" spans="1:10" x14ac:dyDescent="0.75">
      <c r="A6182" t="s">
        <v>151</v>
      </c>
      <c r="B6182">
        <v>776</v>
      </c>
      <c r="C6182" t="s">
        <v>5</v>
      </c>
      <c r="D6182">
        <v>5390</v>
      </c>
      <c r="E6182" t="s">
        <v>418</v>
      </c>
      <c r="F6182" s="4">
        <v>0</v>
      </c>
      <c r="G6182" s="4">
        <v>85703</v>
      </c>
      <c r="H6182" s="4">
        <v>84896</v>
      </c>
      <c r="I6182" s="4">
        <v>807</v>
      </c>
      <c r="J6182" s="4">
        <v>85703</v>
      </c>
    </row>
    <row r="6183" spans="1:10" x14ac:dyDescent="0.75">
      <c r="A6183" t="s">
        <v>151</v>
      </c>
      <c r="B6183">
        <v>776</v>
      </c>
      <c r="C6183" t="s">
        <v>5</v>
      </c>
      <c r="D6183">
        <v>3219</v>
      </c>
      <c r="E6183" t="s">
        <v>378</v>
      </c>
      <c r="F6183" s="4">
        <v>0</v>
      </c>
      <c r="G6183" s="4">
        <v>79116</v>
      </c>
      <c r="H6183" s="4">
        <v>38347</v>
      </c>
      <c r="I6183" s="4">
        <v>40769</v>
      </c>
      <c r="J6183" s="4">
        <v>79116</v>
      </c>
    </row>
    <row r="6184" spans="1:10" x14ac:dyDescent="0.75">
      <c r="A6184" t="s">
        <v>151</v>
      </c>
      <c r="B6184">
        <v>776</v>
      </c>
      <c r="C6184" t="s">
        <v>5</v>
      </c>
      <c r="D6184">
        <v>3292</v>
      </c>
      <c r="E6184" t="s">
        <v>413</v>
      </c>
      <c r="F6184" s="4">
        <v>0</v>
      </c>
      <c r="G6184" s="4">
        <v>75970</v>
      </c>
      <c r="H6184" s="4">
        <v>43076</v>
      </c>
      <c r="I6184" s="4">
        <v>32894</v>
      </c>
      <c r="J6184" s="4">
        <v>75970</v>
      </c>
    </row>
    <row r="6185" spans="1:10" x14ac:dyDescent="0.75">
      <c r="A6185" t="s">
        <v>151</v>
      </c>
      <c r="B6185">
        <v>776</v>
      </c>
      <c r="C6185" t="s">
        <v>5</v>
      </c>
      <c r="D6185">
        <v>2350</v>
      </c>
      <c r="E6185" t="s">
        <v>404</v>
      </c>
      <c r="F6185" s="4">
        <v>40334</v>
      </c>
      <c r="G6185" s="4">
        <v>27610</v>
      </c>
      <c r="H6185" s="4">
        <v>22792</v>
      </c>
      <c r="I6185" s="4">
        <v>4818</v>
      </c>
      <c r="J6185" s="4">
        <v>67944</v>
      </c>
    </row>
    <row r="6186" spans="1:10" x14ac:dyDescent="0.75">
      <c r="A6186" t="s">
        <v>151</v>
      </c>
      <c r="B6186">
        <v>776</v>
      </c>
      <c r="C6186" t="s">
        <v>5</v>
      </c>
      <c r="D6186">
        <v>6835</v>
      </c>
      <c r="E6186" t="s">
        <v>483</v>
      </c>
      <c r="F6186" s="4">
        <v>0</v>
      </c>
      <c r="G6186" s="4">
        <v>67564</v>
      </c>
      <c r="H6186" s="4">
        <v>67493</v>
      </c>
      <c r="I6186" s="4">
        <v>71</v>
      </c>
      <c r="J6186" s="4">
        <v>67564</v>
      </c>
    </row>
    <row r="6187" spans="1:10" x14ac:dyDescent="0.75">
      <c r="A6187" t="s">
        <v>151</v>
      </c>
      <c r="B6187">
        <v>776</v>
      </c>
      <c r="C6187" t="s">
        <v>5</v>
      </c>
      <c r="D6187">
        <v>3190</v>
      </c>
      <c r="E6187" t="s">
        <v>408</v>
      </c>
      <c r="F6187" s="4">
        <v>0</v>
      </c>
      <c r="G6187" s="4">
        <v>66533</v>
      </c>
      <c r="H6187" s="4">
        <v>56855</v>
      </c>
      <c r="I6187" s="4">
        <v>9678</v>
      </c>
      <c r="J6187" s="4">
        <v>66533</v>
      </c>
    </row>
    <row r="6188" spans="1:10" x14ac:dyDescent="0.75">
      <c r="A6188" t="s">
        <v>151</v>
      </c>
      <c r="B6188">
        <v>776</v>
      </c>
      <c r="C6188" t="s">
        <v>5</v>
      </c>
      <c r="D6188">
        <v>6839</v>
      </c>
      <c r="E6188" t="s">
        <v>485</v>
      </c>
      <c r="F6188" s="4">
        <v>0</v>
      </c>
      <c r="G6188" s="4">
        <v>65561</v>
      </c>
      <c r="H6188" s="4">
        <v>7666</v>
      </c>
      <c r="I6188" s="4">
        <v>57895</v>
      </c>
      <c r="J6188" s="4">
        <v>65561</v>
      </c>
    </row>
    <row r="6189" spans="1:10" x14ac:dyDescent="0.75">
      <c r="A6189" t="s">
        <v>151</v>
      </c>
      <c r="B6189">
        <v>776</v>
      </c>
      <c r="C6189" t="s">
        <v>5</v>
      </c>
      <c r="D6189">
        <v>4310</v>
      </c>
      <c r="E6189" t="s">
        <v>453</v>
      </c>
      <c r="F6189" s="4">
        <v>0</v>
      </c>
      <c r="G6189" s="4">
        <v>64928</v>
      </c>
      <c r="H6189" s="4">
        <v>60088</v>
      </c>
      <c r="I6189" s="4">
        <v>4840</v>
      </c>
      <c r="J6189" s="4">
        <v>64928</v>
      </c>
    </row>
    <row r="6190" spans="1:10" x14ac:dyDescent="0.75">
      <c r="A6190" t="s">
        <v>151</v>
      </c>
      <c r="B6190">
        <v>776</v>
      </c>
      <c r="C6190" t="s">
        <v>5</v>
      </c>
      <c r="D6190">
        <v>6442</v>
      </c>
      <c r="E6190" t="s">
        <v>472</v>
      </c>
      <c r="F6190" s="4">
        <v>0</v>
      </c>
      <c r="G6190" s="4">
        <v>64470</v>
      </c>
      <c r="H6190" s="4">
        <v>56132</v>
      </c>
      <c r="I6190" s="4">
        <v>8338</v>
      </c>
      <c r="J6190" s="4">
        <v>64470</v>
      </c>
    </row>
    <row r="6191" spans="1:10" x14ac:dyDescent="0.75">
      <c r="A6191" t="s">
        <v>151</v>
      </c>
      <c r="B6191">
        <v>776</v>
      </c>
      <c r="C6191" t="s">
        <v>5</v>
      </c>
      <c r="D6191">
        <v>6871</v>
      </c>
      <c r="E6191" t="s">
        <v>491</v>
      </c>
      <c r="F6191" s="4">
        <v>0</v>
      </c>
      <c r="G6191" s="4">
        <v>63766</v>
      </c>
      <c r="H6191" s="4">
        <v>62842</v>
      </c>
      <c r="I6191" s="4">
        <v>924</v>
      </c>
      <c r="J6191" s="4">
        <v>63766</v>
      </c>
    </row>
    <row r="6192" spans="1:10" x14ac:dyDescent="0.75">
      <c r="A6192" t="s">
        <v>151</v>
      </c>
      <c r="B6192">
        <v>776</v>
      </c>
      <c r="C6192" t="s">
        <v>5</v>
      </c>
      <c r="D6192">
        <v>3110</v>
      </c>
      <c r="E6192" t="s">
        <v>405</v>
      </c>
      <c r="F6192" s="4">
        <v>0</v>
      </c>
      <c r="G6192" s="4">
        <v>59049</v>
      </c>
      <c r="H6192" s="4">
        <v>55337</v>
      </c>
      <c r="I6192" s="4">
        <v>3712</v>
      </c>
      <c r="J6192" s="4">
        <v>59049</v>
      </c>
    </row>
    <row r="6193" spans="1:10" x14ac:dyDescent="0.75">
      <c r="A6193" t="s">
        <v>151</v>
      </c>
      <c r="B6193">
        <v>776</v>
      </c>
      <c r="C6193" t="s">
        <v>5</v>
      </c>
      <c r="D6193">
        <v>5421</v>
      </c>
      <c r="E6193" t="s">
        <v>467</v>
      </c>
      <c r="F6193" s="4">
        <v>0</v>
      </c>
      <c r="G6193" s="4">
        <v>51126</v>
      </c>
      <c r="H6193" s="4">
        <v>41905</v>
      </c>
      <c r="I6193" s="4">
        <v>9221</v>
      </c>
      <c r="J6193" s="4">
        <v>51126</v>
      </c>
    </row>
    <row r="6194" spans="1:10" x14ac:dyDescent="0.75">
      <c r="A6194" t="s">
        <v>151</v>
      </c>
      <c r="B6194">
        <v>776</v>
      </c>
      <c r="C6194" t="s">
        <v>5</v>
      </c>
      <c r="D6194">
        <v>2540</v>
      </c>
      <c r="E6194" t="s">
        <v>377</v>
      </c>
      <c r="F6194" s="4">
        <v>0</v>
      </c>
      <c r="G6194" s="4">
        <v>47673</v>
      </c>
      <c r="H6194" s="4">
        <v>37985</v>
      </c>
      <c r="I6194" s="4">
        <v>9688</v>
      </c>
      <c r="J6194" s="4">
        <v>47673</v>
      </c>
    </row>
    <row r="6195" spans="1:10" x14ac:dyDescent="0.75">
      <c r="A6195" t="s">
        <v>151</v>
      </c>
      <c r="B6195">
        <v>776</v>
      </c>
      <c r="C6195" t="s">
        <v>5</v>
      </c>
      <c r="D6195">
        <v>4190</v>
      </c>
      <c r="E6195" t="s">
        <v>452</v>
      </c>
      <c r="F6195" s="4">
        <v>0</v>
      </c>
      <c r="G6195" s="4">
        <v>47446</v>
      </c>
      <c r="H6195" s="4">
        <v>9599</v>
      </c>
      <c r="I6195" s="4">
        <v>37847</v>
      </c>
      <c r="J6195" s="4">
        <v>47446</v>
      </c>
    </row>
    <row r="6196" spans="1:10" x14ac:dyDescent="0.75">
      <c r="A6196" t="s">
        <v>151</v>
      </c>
      <c r="B6196">
        <v>776</v>
      </c>
      <c r="C6196" t="s">
        <v>5</v>
      </c>
      <c r="D6196">
        <v>4161</v>
      </c>
      <c r="E6196" t="s">
        <v>421</v>
      </c>
      <c r="F6196" s="4">
        <v>0</v>
      </c>
      <c r="G6196" s="4">
        <v>46507</v>
      </c>
      <c r="H6196" s="4">
        <v>36848</v>
      </c>
      <c r="I6196" s="4">
        <v>9659</v>
      </c>
      <c r="J6196" s="4">
        <v>46507</v>
      </c>
    </row>
    <row r="6197" spans="1:10" x14ac:dyDescent="0.75">
      <c r="A6197" t="s">
        <v>151</v>
      </c>
      <c r="B6197">
        <v>776</v>
      </c>
      <c r="C6197" t="s">
        <v>5</v>
      </c>
      <c r="D6197">
        <v>3260</v>
      </c>
      <c r="E6197" t="s">
        <v>436</v>
      </c>
      <c r="F6197" s="4">
        <v>0</v>
      </c>
      <c r="G6197" s="4">
        <v>43788</v>
      </c>
      <c r="H6197" s="4">
        <v>31114</v>
      </c>
      <c r="I6197" s="4">
        <v>12674</v>
      </c>
      <c r="J6197" s="4">
        <v>43788</v>
      </c>
    </row>
    <row r="6198" spans="1:10" x14ac:dyDescent="0.75">
      <c r="A6198" t="s">
        <v>151</v>
      </c>
      <c r="B6198">
        <v>776</v>
      </c>
      <c r="C6198" t="s">
        <v>5</v>
      </c>
      <c r="D6198">
        <v>3291</v>
      </c>
      <c r="E6198" t="s">
        <v>444</v>
      </c>
      <c r="F6198" s="4">
        <v>0</v>
      </c>
      <c r="G6198" s="4">
        <v>43395</v>
      </c>
      <c r="H6198" s="4">
        <v>31732</v>
      </c>
      <c r="I6198" s="4">
        <v>11663</v>
      </c>
      <c r="J6198" s="4">
        <v>43395</v>
      </c>
    </row>
    <row r="6199" spans="1:10" x14ac:dyDescent="0.75">
      <c r="A6199" t="s">
        <v>151</v>
      </c>
      <c r="B6199">
        <v>776</v>
      </c>
      <c r="C6199" t="s">
        <v>5</v>
      </c>
      <c r="D6199">
        <v>6522</v>
      </c>
      <c r="E6199" t="s">
        <v>393</v>
      </c>
      <c r="F6199" s="4">
        <v>0</v>
      </c>
      <c r="G6199" s="4">
        <v>42523</v>
      </c>
      <c r="H6199" s="4">
        <v>16310</v>
      </c>
      <c r="I6199" s="4">
        <v>26213</v>
      </c>
      <c r="J6199" s="4">
        <v>42523</v>
      </c>
    </row>
    <row r="6200" spans="1:10" x14ac:dyDescent="0.75">
      <c r="A6200" t="s">
        <v>151</v>
      </c>
      <c r="B6200">
        <v>776</v>
      </c>
      <c r="C6200" t="s">
        <v>5</v>
      </c>
      <c r="D6200">
        <v>6822</v>
      </c>
      <c r="E6200" t="s">
        <v>482</v>
      </c>
      <c r="F6200" s="4">
        <v>0</v>
      </c>
      <c r="G6200" s="4">
        <v>38649</v>
      </c>
      <c r="H6200" s="4">
        <v>9733</v>
      </c>
      <c r="I6200" s="4">
        <v>28916</v>
      </c>
      <c r="J6200" s="4">
        <v>38649</v>
      </c>
    </row>
    <row r="6201" spans="1:10" x14ac:dyDescent="0.75">
      <c r="A6201" t="s">
        <v>151</v>
      </c>
      <c r="B6201">
        <v>776</v>
      </c>
      <c r="C6201" t="s">
        <v>5</v>
      </c>
      <c r="D6201">
        <v>6134</v>
      </c>
      <c r="E6201" t="s">
        <v>470</v>
      </c>
      <c r="F6201" s="4">
        <v>0</v>
      </c>
      <c r="G6201" s="4">
        <v>37469</v>
      </c>
      <c r="H6201" s="4">
        <v>34704</v>
      </c>
      <c r="I6201" s="4">
        <v>2765</v>
      </c>
      <c r="J6201" s="4">
        <v>37469</v>
      </c>
    </row>
    <row r="6202" spans="1:10" x14ac:dyDescent="0.75">
      <c r="A6202" t="s">
        <v>151</v>
      </c>
      <c r="B6202">
        <v>776</v>
      </c>
      <c r="C6202" t="s">
        <v>5</v>
      </c>
      <c r="D6202">
        <v>5312</v>
      </c>
      <c r="E6202" t="s">
        <v>416</v>
      </c>
      <c r="F6202" s="4">
        <v>0</v>
      </c>
      <c r="G6202" s="4">
        <v>35334</v>
      </c>
      <c r="H6202" s="4">
        <v>29772</v>
      </c>
      <c r="I6202" s="4">
        <v>5562</v>
      </c>
      <c r="J6202" s="4">
        <v>35334</v>
      </c>
    </row>
    <row r="6203" spans="1:10" x14ac:dyDescent="0.75">
      <c r="A6203" t="s">
        <v>151</v>
      </c>
      <c r="B6203">
        <v>776</v>
      </c>
      <c r="C6203" t="s">
        <v>5</v>
      </c>
      <c r="D6203">
        <v>2221</v>
      </c>
      <c r="E6203" t="s">
        <v>374</v>
      </c>
      <c r="F6203" s="4">
        <v>34981</v>
      </c>
      <c r="G6203" s="4">
        <v>1</v>
      </c>
      <c r="H6203" s="4">
        <v>0</v>
      </c>
      <c r="I6203" s="4">
        <v>1</v>
      </c>
      <c r="J6203" s="4">
        <v>34982</v>
      </c>
    </row>
    <row r="6204" spans="1:10" x14ac:dyDescent="0.75">
      <c r="A6204" t="s">
        <v>151</v>
      </c>
      <c r="B6204">
        <v>776</v>
      </c>
      <c r="C6204" t="s">
        <v>5</v>
      </c>
      <c r="D6204">
        <v>5429</v>
      </c>
      <c r="E6204" t="s">
        <v>429</v>
      </c>
      <c r="F6204" s="4">
        <v>0</v>
      </c>
      <c r="G6204" s="4">
        <v>27245</v>
      </c>
      <c r="H6204" s="4">
        <v>22842</v>
      </c>
      <c r="I6204" s="4">
        <v>4403</v>
      </c>
      <c r="J6204" s="4">
        <v>27245</v>
      </c>
    </row>
    <row r="6205" spans="1:10" x14ac:dyDescent="0.75">
      <c r="A6205" t="s">
        <v>151</v>
      </c>
      <c r="B6205">
        <v>776</v>
      </c>
      <c r="C6205" t="s">
        <v>5</v>
      </c>
      <c r="D6205">
        <v>3130</v>
      </c>
      <c r="E6205" t="s">
        <v>407</v>
      </c>
      <c r="F6205" s="4">
        <v>0</v>
      </c>
      <c r="G6205" s="4">
        <v>26743</v>
      </c>
      <c r="H6205" s="4">
        <v>24004</v>
      </c>
      <c r="I6205" s="4">
        <v>2739</v>
      </c>
      <c r="J6205" s="4">
        <v>26743</v>
      </c>
    </row>
    <row r="6206" spans="1:10" x14ac:dyDescent="0.75">
      <c r="A6206" t="s">
        <v>151</v>
      </c>
      <c r="B6206">
        <v>776</v>
      </c>
      <c r="C6206" t="s">
        <v>5</v>
      </c>
      <c r="D6206">
        <v>3279</v>
      </c>
      <c r="E6206" t="s">
        <v>422</v>
      </c>
      <c r="F6206" s="4">
        <v>0</v>
      </c>
      <c r="G6206" s="4">
        <v>25678</v>
      </c>
      <c r="H6206" s="4">
        <v>23296</v>
      </c>
      <c r="I6206" s="4">
        <v>2382</v>
      </c>
      <c r="J6206" s="4">
        <v>25678</v>
      </c>
    </row>
    <row r="6207" spans="1:10" x14ac:dyDescent="0.75">
      <c r="A6207" t="s">
        <v>151</v>
      </c>
      <c r="B6207">
        <v>776</v>
      </c>
      <c r="C6207" t="s">
        <v>5</v>
      </c>
      <c r="D6207">
        <v>4783</v>
      </c>
      <c r="E6207" t="s">
        <v>382</v>
      </c>
      <c r="F6207" s="4">
        <v>0</v>
      </c>
      <c r="G6207" s="4">
        <v>24310</v>
      </c>
      <c r="H6207" s="4">
        <v>23408</v>
      </c>
      <c r="I6207" s="4">
        <v>902</v>
      </c>
      <c r="J6207" s="4">
        <v>24310</v>
      </c>
    </row>
    <row r="6208" spans="1:10" x14ac:dyDescent="0.75">
      <c r="A6208" t="s">
        <v>151</v>
      </c>
      <c r="B6208">
        <v>776</v>
      </c>
      <c r="C6208" t="s">
        <v>5</v>
      </c>
      <c r="D6208">
        <v>6856</v>
      </c>
      <c r="E6208" t="s">
        <v>486</v>
      </c>
      <c r="F6208" s="4">
        <v>0</v>
      </c>
      <c r="G6208" s="4">
        <v>22553</v>
      </c>
      <c r="H6208" s="4">
        <v>22522</v>
      </c>
      <c r="I6208" s="4">
        <v>31</v>
      </c>
      <c r="J6208" s="4">
        <v>22553</v>
      </c>
    </row>
    <row r="6209" spans="1:10" x14ac:dyDescent="0.75">
      <c r="A6209" t="s">
        <v>151</v>
      </c>
      <c r="B6209">
        <v>776</v>
      </c>
      <c r="C6209" t="s">
        <v>5</v>
      </c>
      <c r="D6209">
        <v>6817</v>
      </c>
      <c r="E6209" t="s">
        <v>481</v>
      </c>
      <c r="F6209" s="4">
        <v>0</v>
      </c>
      <c r="G6209" s="4">
        <v>21483</v>
      </c>
      <c r="H6209" s="4">
        <v>901</v>
      </c>
      <c r="I6209" s="4">
        <v>20582</v>
      </c>
      <c r="J6209" s="4">
        <v>21483</v>
      </c>
    </row>
    <row r="6210" spans="1:10" x14ac:dyDescent="0.75">
      <c r="A6210" t="s">
        <v>151</v>
      </c>
      <c r="B6210">
        <v>776</v>
      </c>
      <c r="C6210" t="s">
        <v>5</v>
      </c>
      <c r="D6210">
        <v>6891</v>
      </c>
      <c r="E6210" t="s">
        <v>495</v>
      </c>
      <c r="F6210" s="4">
        <v>0</v>
      </c>
      <c r="G6210" s="4">
        <v>20376</v>
      </c>
      <c r="H6210" s="4">
        <v>11803</v>
      </c>
      <c r="I6210" s="4">
        <v>8573</v>
      </c>
      <c r="J6210" s="4">
        <v>20376</v>
      </c>
    </row>
    <row r="6211" spans="1:10" x14ac:dyDescent="0.75">
      <c r="A6211" t="s">
        <v>151</v>
      </c>
      <c r="B6211">
        <v>776</v>
      </c>
      <c r="C6211" t="s">
        <v>5</v>
      </c>
      <c r="D6211">
        <v>3297</v>
      </c>
      <c r="E6211" t="s">
        <v>446</v>
      </c>
      <c r="F6211" s="4">
        <v>0</v>
      </c>
      <c r="G6211" s="4">
        <v>18985</v>
      </c>
      <c r="H6211" s="4">
        <v>4555</v>
      </c>
      <c r="I6211" s="4">
        <v>14430</v>
      </c>
      <c r="J6211" s="4">
        <v>18985</v>
      </c>
    </row>
    <row r="6212" spans="1:10" x14ac:dyDescent="0.75">
      <c r="A6212" t="s">
        <v>151</v>
      </c>
      <c r="B6212">
        <v>776</v>
      </c>
      <c r="C6212" t="s">
        <v>5</v>
      </c>
      <c r="D6212">
        <v>6865</v>
      </c>
      <c r="E6212" t="s">
        <v>490</v>
      </c>
      <c r="F6212" s="4">
        <v>0</v>
      </c>
      <c r="G6212" s="4">
        <v>13611</v>
      </c>
      <c r="H6212" s="4">
        <v>13277</v>
      </c>
      <c r="I6212" s="4">
        <v>334</v>
      </c>
      <c r="J6212" s="4">
        <v>13611</v>
      </c>
    </row>
    <row r="6213" spans="1:10" x14ac:dyDescent="0.75">
      <c r="A6213" t="s">
        <v>151</v>
      </c>
      <c r="B6213">
        <v>776</v>
      </c>
      <c r="C6213" t="s">
        <v>5</v>
      </c>
      <c r="D6213">
        <v>3293</v>
      </c>
      <c r="E6213" t="s">
        <v>445</v>
      </c>
      <c r="F6213" s="4">
        <v>0</v>
      </c>
      <c r="G6213" s="4">
        <v>13272</v>
      </c>
      <c r="H6213" s="4">
        <v>12658</v>
      </c>
      <c r="I6213" s="4">
        <v>614</v>
      </c>
      <c r="J6213" s="4">
        <v>13272</v>
      </c>
    </row>
    <row r="6214" spans="1:10" x14ac:dyDescent="0.75">
      <c r="A6214" t="s">
        <v>151</v>
      </c>
      <c r="B6214">
        <v>776</v>
      </c>
      <c r="C6214" t="s">
        <v>5</v>
      </c>
      <c r="D6214">
        <v>7300</v>
      </c>
      <c r="E6214" t="s">
        <v>501</v>
      </c>
      <c r="F6214" s="4">
        <v>0</v>
      </c>
      <c r="G6214" s="4">
        <v>13033</v>
      </c>
      <c r="H6214" s="4">
        <v>12243</v>
      </c>
      <c r="I6214" s="4">
        <v>790</v>
      </c>
      <c r="J6214" s="4">
        <v>13033</v>
      </c>
    </row>
    <row r="6215" spans="1:10" x14ac:dyDescent="0.75">
      <c r="A6215" t="s">
        <v>151</v>
      </c>
      <c r="B6215">
        <v>776</v>
      </c>
      <c r="C6215" t="s">
        <v>5</v>
      </c>
      <c r="D6215">
        <v>6899</v>
      </c>
      <c r="E6215" t="s">
        <v>498</v>
      </c>
      <c r="F6215" s="4">
        <v>0</v>
      </c>
      <c r="G6215" s="4">
        <v>12457</v>
      </c>
      <c r="H6215" s="4">
        <v>10996</v>
      </c>
      <c r="I6215" s="4">
        <v>1461</v>
      </c>
      <c r="J6215" s="4">
        <v>12457</v>
      </c>
    </row>
    <row r="6216" spans="1:10" x14ac:dyDescent="0.75">
      <c r="A6216" t="s">
        <v>151</v>
      </c>
      <c r="B6216">
        <v>776</v>
      </c>
      <c r="C6216" t="s">
        <v>5</v>
      </c>
      <c r="D6216">
        <v>6781</v>
      </c>
      <c r="E6216" t="s">
        <v>479</v>
      </c>
      <c r="F6216" s="4">
        <v>0</v>
      </c>
      <c r="G6216" s="4">
        <v>11443</v>
      </c>
      <c r="H6216" s="4">
        <v>308</v>
      </c>
      <c r="I6216" s="4">
        <v>11135</v>
      </c>
      <c r="J6216" s="4">
        <v>11443</v>
      </c>
    </row>
    <row r="6217" spans="1:10" x14ac:dyDescent="0.75">
      <c r="A6217" t="s">
        <v>151</v>
      </c>
      <c r="B6217">
        <v>776</v>
      </c>
      <c r="C6217" t="s">
        <v>5</v>
      </c>
      <c r="D6217">
        <v>6894</v>
      </c>
      <c r="E6217" t="s">
        <v>497</v>
      </c>
      <c r="F6217" s="4">
        <v>0</v>
      </c>
      <c r="G6217" s="4">
        <v>10963</v>
      </c>
      <c r="H6217" s="4">
        <v>10866</v>
      </c>
      <c r="I6217" s="4">
        <v>97</v>
      </c>
      <c r="J6217" s="4">
        <v>10963</v>
      </c>
    </row>
    <row r="6218" spans="1:10" x14ac:dyDescent="0.75">
      <c r="A6218" t="s">
        <v>151</v>
      </c>
      <c r="B6218">
        <v>776</v>
      </c>
      <c r="C6218" t="s">
        <v>5</v>
      </c>
      <c r="D6218">
        <v>7230</v>
      </c>
      <c r="E6218" t="s">
        <v>387</v>
      </c>
      <c r="F6218" s="4">
        <v>0</v>
      </c>
      <c r="G6218" s="4">
        <v>9098</v>
      </c>
      <c r="H6218" s="4">
        <v>4700</v>
      </c>
      <c r="I6218" s="4">
        <v>4398</v>
      </c>
      <c r="J6218" s="4">
        <v>9098</v>
      </c>
    </row>
    <row r="6219" spans="1:10" x14ac:dyDescent="0.75">
      <c r="A6219" t="s">
        <v>151</v>
      </c>
      <c r="B6219">
        <v>776</v>
      </c>
      <c r="C6219" t="s">
        <v>5</v>
      </c>
      <c r="D6219">
        <v>3283</v>
      </c>
      <c r="E6219" t="s">
        <v>441</v>
      </c>
      <c r="F6219" s="4">
        <v>0</v>
      </c>
      <c r="G6219" s="4">
        <v>8854</v>
      </c>
      <c r="H6219" s="4">
        <v>6806</v>
      </c>
      <c r="I6219" s="4">
        <v>2048</v>
      </c>
      <c r="J6219" s="4">
        <v>8854</v>
      </c>
    </row>
    <row r="6220" spans="1:10" x14ac:dyDescent="0.75">
      <c r="A6220" t="s">
        <v>151</v>
      </c>
      <c r="B6220">
        <v>776</v>
      </c>
      <c r="C6220" t="s">
        <v>5</v>
      </c>
      <c r="D6220">
        <v>6344</v>
      </c>
      <c r="E6220" t="s">
        <v>392</v>
      </c>
      <c r="F6220" s="4">
        <v>0</v>
      </c>
      <c r="G6220" s="4">
        <v>7745</v>
      </c>
      <c r="H6220" s="4">
        <v>859</v>
      </c>
      <c r="I6220" s="4">
        <v>6886</v>
      </c>
      <c r="J6220" s="4">
        <v>7745</v>
      </c>
    </row>
    <row r="6221" spans="1:10" x14ac:dyDescent="0.75">
      <c r="A6221" t="s">
        <v>151</v>
      </c>
      <c r="B6221">
        <v>776</v>
      </c>
      <c r="C6221" t="s">
        <v>5</v>
      </c>
      <c r="D6221">
        <v>3281</v>
      </c>
      <c r="E6221" t="s">
        <v>439</v>
      </c>
      <c r="F6221" s="4">
        <v>0</v>
      </c>
      <c r="G6221" s="4">
        <v>6055</v>
      </c>
      <c r="H6221" s="4">
        <v>6025</v>
      </c>
      <c r="I6221" s="4">
        <v>30</v>
      </c>
      <c r="J6221" s="4">
        <v>6055</v>
      </c>
    </row>
    <row r="6222" spans="1:10" x14ac:dyDescent="0.75">
      <c r="A6222" t="s">
        <v>151</v>
      </c>
      <c r="B6222">
        <v>776</v>
      </c>
      <c r="C6222" t="s">
        <v>5</v>
      </c>
      <c r="D6222">
        <v>2410</v>
      </c>
      <c r="E6222" t="s">
        <v>430</v>
      </c>
      <c r="F6222" s="4">
        <v>0</v>
      </c>
      <c r="G6222" s="4">
        <v>5896</v>
      </c>
      <c r="H6222" s="4">
        <v>5734</v>
      </c>
      <c r="I6222" s="4">
        <v>162</v>
      </c>
      <c r="J6222" s="4">
        <v>5896</v>
      </c>
    </row>
    <row r="6223" spans="1:10" x14ac:dyDescent="0.75">
      <c r="A6223" t="s">
        <v>151</v>
      </c>
      <c r="B6223">
        <v>776</v>
      </c>
      <c r="C6223" t="s">
        <v>5</v>
      </c>
      <c r="D6223">
        <v>7220</v>
      </c>
      <c r="E6223" t="s">
        <v>500</v>
      </c>
      <c r="F6223" s="4">
        <v>0</v>
      </c>
      <c r="G6223" s="4">
        <v>5731</v>
      </c>
      <c r="H6223" s="4">
        <v>4001</v>
      </c>
      <c r="I6223" s="4">
        <v>1730</v>
      </c>
      <c r="J6223" s="4">
        <v>5731</v>
      </c>
    </row>
    <row r="6224" spans="1:10" x14ac:dyDescent="0.75">
      <c r="A6224" t="s">
        <v>151</v>
      </c>
      <c r="B6224">
        <v>776</v>
      </c>
      <c r="C6224" t="s">
        <v>5</v>
      </c>
      <c r="D6224">
        <v>6746</v>
      </c>
      <c r="E6224" t="s">
        <v>477</v>
      </c>
      <c r="F6224" s="4">
        <v>0</v>
      </c>
      <c r="G6224" s="4">
        <v>4631</v>
      </c>
      <c r="H6224" s="4">
        <v>4375</v>
      </c>
      <c r="I6224" s="4">
        <v>256</v>
      </c>
      <c r="J6224" s="4">
        <v>4631</v>
      </c>
    </row>
    <row r="6225" spans="1:10" x14ac:dyDescent="0.75">
      <c r="A6225" t="s">
        <v>151</v>
      </c>
      <c r="B6225">
        <v>776</v>
      </c>
      <c r="C6225" t="s">
        <v>5</v>
      </c>
      <c r="D6225">
        <v>3211</v>
      </c>
      <c r="E6225" t="s">
        <v>433</v>
      </c>
      <c r="F6225" s="4">
        <v>0</v>
      </c>
      <c r="G6225" s="4">
        <v>4291</v>
      </c>
      <c r="H6225" s="4">
        <v>2142</v>
      </c>
      <c r="I6225" s="4">
        <v>2149</v>
      </c>
      <c r="J6225" s="4">
        <v>4291</v>
      </c>
    </row>
    <row r="6226" spans="1:10" x14ac:dyDescent="0.75">
      <c r="A6226" t="s">
        <v>151</v>
      </c>
      <c r="B6226">
        <v>776</v>
      </c>
      <c r="C6226" t="s">
        <v>5</v>
      </c>
      <c r="D6226">
        <v>6838</v>
      </c>
      <c r="E6226" t="s">
        <v>484</v>
      </c>
      <c r="F6226" s="4">
        <v>0</v>
      </c>
      <c r="G6226" s="4">
        <v>4105</v>
      </c>
      <c r="H6226" s="4">
        <v>2265</v>
      </c>
      <c r="I6226" s="4">
        <v>1840</v>
      </c>
      <c r="J6226" s="4">
        <v>4105</v>
      </c>
    </row>
    <row r="6227" spans="1:10" x14ac:dyDescent="0.75">
      <c r="A6227" t="s">
        <v>151</v>
      </c>
      <c r="B6227">
        <v>776</v>
      </c>
      <c r="C6227" t="s">
        <v>5</v>
      </c>
      <c r="D6227">
        <v>1100</v>
      </c>
      <c r="E6227" t="s">
        <v>397</v>
      </c>
      <c r="F6227" s="4">
        <v>0</v>
      </c>
      <c r="G6227" s="4">
        <v>3739</v>
      </c>
      <c r="H6227" s="4">
        <v>3342</v>
      </c>
      <c r="I6227" s="4">
        <v>397</v>
      </c>
      <c r="J6227" s="4">
        <v>3739</v>
      </c>
    </row>
    <row r="6228" spans="1:10" x14ac:dyDescent="0.75">
      <c r="A6228" t="s">
        <v>151</v>
      </c>
      <c r="B6228">
        <v>776</v>
      </c>
      <c r="C6228" t="s">
        <v>5</v>
      </c>
      <c r="D6228">
        <v>5110</v>
      </c>
      <c r="E6228" t="s">
        <v>460</v>
      </c>
      <c r="F6228" s="4">
        <v>0</v>
      </c>
      <c r="G6228" s="4">
        <v>3662</v>
      </c>
      <c r="H6228" s="4">
        <v>3444</v>
      </c>
      <c r="I6228" s="4">
        <v>218</v>
      </c>
      <c r="J6228" s="4">
        <v>3662</v>
      </c>
    </row>
    <row r="6229" spans="1:10" x14ac:dyDescent="0.75">
      <c r="A6229" t="s">
        <v>151</v>
      </c>
      <c r="B6229">
        <v>776</v>
      </c>
      <c r="C6229" t="s">
        <v>5</v>
      </c>
      <c r="D6229">
        <v>4690</v>
      </c>
      <c r="E6229" t="s">
        <v>428</v>
      </c>
      <c r="F6229" s="4">
        <v>0</v>
      </c>
      <c r="G6229" s="4">
        <v>2789</v>
      </c>
      <c r="H6229" s="4">
        <v>1640</v>
      </c>
      <c r="I6229" s="4">
        <v>1149</v>
      </c>
      <c r="J6229" s="4">
        <v>2789</v>
      </c>
    </row>
    <row r="6230" spans="1:10" x14ac:dyDescent="0.75">
      <c r="A6230" t="s">
        <v>151</v>
      </c>
      <c r="B6230">
        <v>776</v>
      </c>
      <c r="C6230" t="s">
        <v>5</v>
      </c>
      <c r="D6230">
        <v>4860</v>
      </c>
      <c r="E6230" t="s">
        <v>400</v>
      </c>
      <c r="F6230" s="4">
        <v>0</v>
      </c>
      <c r="G6230" s="4">
        <v>2188</v>
      </c>
      <c r="H6230" s="4">
        <v>2128</v>
      </c>
      <c r="I6230" s="4">
        <v>60</v>
      </c>
      <c r="J6230" s="4">
        <v>2188</v>
      </c>
    </row>
    <row r="6231" spans="1:10" x14ac:dyDescent="0.75">
      <c r="A6231" t="s">
        <v>151</v>
      </c>
      <c r="B6231">
        <v>776</v>
      </c>
      <c r="C6231" t="s">
        <v>5</v>
      </c>
      <c r="D6231">
        <v>3273</v>
      </c>
      <c r="E6231" t="s">
        <v>411</v>
      </c>
      <c r="F6231" s="4">
        <v>0</v>
      </c>
      <c r="G6231" s="4">
        <v>1901</v>
      </c>
      <c r="H6231" s="4">
        <v>507</v>
      </c>
      <c r="I6231" s="4">
        <v>1394</v>
      </c>
      <c r="J6231" s="4">
        <v>1901</v>
      </c>
    </row>
    <row r="6232" spans="1:10" x14ac:dyDescent="0.75">
      <c r="A6232" t="s">
        <v>151</v>
      </c>
      <c r="B6232">
        <v>776</v>
      </c>
      <c r="C6232" t="s">
        <v>5</v>
      </c>
      <c r="D6232">
        <v>5315</v>
      </c>
      <c r="E6232" t="s">
        <v>417</v>
      </c>
      <c r="F6232" s="4">
        <v>0</v>
      </c>
      <c r="G6232" s="4">
        <v>1870</v>
      </c>
      <c r="H6232" s="4">
        <v>1724</v>
      </c>
      <c r="I6232" s="4">
        <v>146</v>
      </c>
      <c r="J6232" s="4">
        <v>1870</v>
      </c>
    </row>
    <row r="6233" spans="1:10" x14ac:dyDescent="0.75">
      <c r="A6233" t="s">
        <v>151</v>
      </c>
      <c r="B6233">
        <v>776</v>
      </c>
      <c r="C6233" t="s">
        <v>5</v>
      </c>
      <c r="D6233">
        <v>5320</v>
      </c>
      <c r="E6233" t="s">
        <v>384</v>
      </c>
      <c r="F6233" s="4">
        <v>0</v>
      </c>
      <c r="G6233" s="4">
        <v>1694</v>
      </c>
      <c r="H6233" s="4">
        <v>1053</v>
      </c>
      <c r="I6233" s="4">
        <v>641</v>
      </c>
      <c r="J6233" s="4">
        <v>1694</v>
      </c>
    </row>
    <row r="6234" spans="1:10" x14ac:dyDescent="0.75">
      <c r="A6234" t="s">
        <v>151</v>
      </c>
      <c r="B6234">
        <v>776</v>
      </c>
      <c r="C6234" t="s">
        <v>5</v>
      </c>
      <c r="D6234">
        <v>4630</v>
      </c>
      <c r="E6234" t="s">
        <v>456</v>
      </c>
      <c r="F6234" s="4">
        <v>0</v>
      </c>
      <c r="G6234" s="4">
        <v>1466</v>
      </c>
      <c r="H6234" s="4">
        <v>1466</v>
      </c>
      <c r="I6234" s="4">
        <v>0</v>
      </c>
      <c r="J6234" s="4">
        <v>1466</v>
      </c>
    </row>
    <row r="6235" spans="1:10" x14ac:dyDescent="0.75">
      <c r="A6235" t="s">
        <v>151</v>
      </c>
      <c r="B6235">
        <v>776</v>
      </c>
      <c r="C6235" t="s">
        <v>5</v>
      </c>
      <c r="D6235">
        <v>3271</v>
      </c>
      <c r="E6235" t="s">
        <v>437</v>
      </c>
      <c r="F6235" s="4">
        <v>0</v>
      </c>
      <c r="G6235" s="4">
        <v>1247</v>
      </c>
      <c r="H6235" s="4">
        <v>1089</v>
      </c>
      <c r="I6235" s="4">
        <v>158</v>
      </c>
      <c r="J6235" s="4">
        <v>1247</v>
      </c>
    </row>
    <row r="6236" spans="1:10" x14ac:dyDescent="0.75">
      <c r="A6236" t="s">
        <v>151</v>
      </c>
      <c r="B6236">
        <v>776</v>
      </c>
      <c r="C6236" t="s">
        <v>5</v>
      </c>
      <c r="D6236">
        <v>5210</v>
      </c>
      <c r="E6236" t="s">
        <v>463</v>
      </c>
      <c r="F6236" s="4">
        <v>0</v>
      </c>
      <c r="G6236" s="4">
        <v>1099</v>
      </c>
      <c r="H6236" s="4">
        <v>798</v>
      </c>
      <c r="I6236" s="4">
        <v>301</v>
      </c>
      <c r="J6236" s="4">
        <v>1099</v>
      </c>
    </row>
    <row r="6237" spans="1:10" x14ac:dyDescent="0.75">
      <c r="A6237" t="s">
        <v>151</v>
      </c>
      <c r="B6237">
        <v>776</v>
      </c>
      <c r="C6237" t="s">
        <v>5</v>
      </c>
      <c r="D6237">
        <v>3212</v>
      </c>
      <c r="E6237" t="s">
        <v>409</v>
      </c>
      <c r="F6237" s="4">
        <v>0</v>
      </c>
      <c r="G6237" s="4">
        <v>477</v>
      </c>
      <c r="H6237" s="4">
        <v>477</v>
      </c>
      <c r="I6237" s="4">
        <v>0</v>
      </c>
      <c r="J6237" s="4">
        <v>477</v>
      </c>
    </row>
    <row r="6238" spans="1:10" x14ac:dyDescent="0.75">
      <c r="A6238" t="s">
        <v>151</v>
      </c>
      <c r="B6238">
        <v>776</v>
      </c>
      <c r="C6238" t="s">
        <v>5</v>
      </c>
      <c r="D6238">
        <v>2990</v>
      </c>
      <c r="E6238" t="s">
        <v>432</v>
      </c>
      <c r="F6238" s="4">
        <v>0</v>
      </c>
      <c r="G6238" s="4">
        <v>384</v>
      </c>
      <c r="H6238" s="4">
        <v>57</v>
      </c>
      <c r="I6238" s="4">
        <v>327</v>
      </c>
      <c r="J6238" s="4">
        <v>384</v>
      </c>
    </row>
    <row r="6239" spans="1:10" x14ac:dyDescent="0.75">
      <c r="A6239" t="s">
        <v>151</v>
      </c>
      <c r="B6239">
        <v>776</v>
      </c>
      <c r="C6239" t="s">
        <v>5</v>
      </c>
      <c r="D6239">
        <v>6447</v>
      </c>
      <c r="E6239" t="s">
        <v>475</v>
      </c>
      <c r="F6239" s="4">
        <v>0</v>
      </c>
      <c r="G6239" s="4">
        <v>347</v>
      </c>
      <c r="H6239" s="4">
        <v>22</v>
      </c>
      <c r="I6239" s="4">
        <v>325</v>
      </c>
      <c r="J6239" s="4">
        <v>347</v>
      </c>
    </row>
    <row r="6240" spans="1:10" x14ac:dyDescent="0.75">
      <c r="A6240" t="s">
        <v>151</v>
      </c>
      <c r="B6240">
        <v>776</v>
      </c>
      <c r="C6240" t="s">
        <v>5</v>
      </c>
      <c r="D6240">
        <v>4741</v>
      </c>
      <c r="E6240" t="s">
        <v>425</v>
      </c>
      <c r="F6240" s="4">
        <v>0</v>
      </c>
      <c r="G6240" s="4">
        <v>317</v>
      </c>
      <c r="H6240" s="4">
        <v>195</v>
      </c>
      <c r="I6240" s="4">
        <v>122</v>
      </c>
      <c r="J6240" s="4">
        <v>317</v>
      </c>
    </row>
    <row r="6241" spans="1:10" x14ac:dyDescent="0.75">
      <c r="A6241" t="s">
        <v>151</v>
      </c>
      <c r="B6241">
        <v>776</v>
      </c>
      <c r="C6241" t="s">
        <v>5</v>
      </c>
      <c r="D6241">
        <v>2429</v>
      </c>
      <c r="E6241" t="s">
        <v>375</v>
      </c>
      <c r="F6241" s="4">
        <v>0</v>
      </c>
      <c r="G6241" s="4">
        <v>315</v>
      </c>
      <c r="H6241" s="4">
        <v>33</v>
      </c>
      <c r="I6241" s="4">
        <v>282</v>
      </c>
      <c r="J6241" s="4">
        <v>315</v>
      </c>
    </row>
    <row r="6242" spans="1:10" x14ac:dyDescent="0.75">
      <c r="A6242" t="s">
        <v>151</v>
      </c>
      <c r="B6242">
        <v>776</v>
      </c>
      <c r="C6242" t="s">
        <v>5</v>
      </c>
      <c r="D6242">
        <v>6872</v>
      </c>
      <c r="E6242" t="s">
        <v>492</v>
      </c>
      <c r="F6242" s="4">
        <v>0</v>
      </c>
      <c r="G6242" s="4">
        <v>299</v>
      </c>
      <c r="H6242" s="4">
        <v>203</v>
      </c>
      <c r="I6242" s="4">
        <v>96</v>
      </c>
      <c r="J6242" s="4">
        <v>299</v>
      </c>
    </row>
    <row r="6243" spans="1:10" x14ac:dyDescent="0.75">
      <c r="A6243" t="s">
        <v>151</v>
      </c>
      <c r="B6243">
        <v>776</v>
      </c>
      <c r="C6243" t="s">
        <v>5</v>
      </c>
      <c r="D6243">
        <v>6445</v>
      </c>
      <c r="E6243" t="s">
        <v>474</v>
      </c>
      <c r="F6243" s="4">
        <v>0</v>
      </c>
      <c r="G6243" s="4">
        <v>231</v>
      </c>
      <c r="H6243" s="4">
        <v>33</v>
      </c>
      <c r="I6243" s="4">
        <v>198</v>
      </c>
      <c r="J6243" s="4">
        <v>231</v>
      </c>
    </row>
    <row r="6244" spans="1:10" x14ac:dyDescent="0.75">
      <c r="A6244" t="s">
        <v>151</v>
      </c>
      <c r="B6244">
        <v>776</v>
      </c>
      <c r="C6244" t="s">
        <v>5</v>
      </c>
      <c r="D6244">
        <v>4670</v>
      </c>
      <c r="E6244" t="s">
        <v>458</v>
      </c>
      <c r="F6244" s="4">
        <v>0</v>
      </c>
      <c r="G6244" s="4">
        <v>217</v>
      </c>
      <c r="H6244" s="4">
        <v>217</v>
      </c>
      <c r="I6244" s="4">
        <v>0</v>
      </c>
      <c r="J6244" s="4">
        <v>217</v>
      </c>
    </row>
    <row r="6245" spans="1:10" x14ac:dyDescent="0.75">
      <c r="A6245" t="s">
        <v>151</v>
      </c>
      <c r="B6245">
        <v>776</v>
      </c>
      <c r="C6245" t="s">
        <v>5</v>
      </c>
      <c r="D6245">
        <v>6241</v>
      </c>
      <c r="E6245" t="s">
        <v>391</v>
      </c>
      <c r="F6245" s="4">
        <v>0</v>
      </c>
      <c r="G6245" s="4">
        <v>217</v>
      </c>
      <c r="H6245" s="4">
        <v>69</v>
      </c>
      <c r="I6245" s="4">
        <v>148</v>
      </c>
      <c r="J6245" s="4">
        <v>217</v>
      </c>
    </row>
    <row r="6246" spans="1:10" x14ac:dyDescent="0.75">
      <c r="A6246" t="s">
        <v>151</v>
      </c>
      <c r="B6246">
        <v>776</v>
      </c>
      <c r="C6246" t="s">
        <v>5</v>
      </c>
      <c r="D6246">
        <v>6443</v>
      </c>
      <c r="E6246" t="s">
        <v>473</v>
      </c>
      <c r="F6246" s="4">
        <v>0</v>
      </c>
      <c r="G6246" s="4">
        <v>154</v>
      </c>
      <c r="H6246" s="4">
        <v>130</v>
      </c>
      <c r="I6246" s="4">
        <v>24</v>
      </c>
      <c r="J6246" s="4">
        <v>154</v>
      </c>
    </row>
    <row r="6247" spans="1:10" x14ac:dyDescent="0.75">
      <c r="A6247" t="s">
        <v>151</v>
      </c>
      <c r="B6247">
        <v>776</v>
      </c>
      <c r="C6247" t="s">
        <v>5</v>
      </c>
      <c r="D6247">
        <v>4515</v>
      </c>
      <c r="E6247" t="s">
        <v>455</v>
      </c>
      <c r="F6247" s="4">
        <v>0</v>
      </c>
      <c r="G6247" s="4">
        <v>102</v>
      </c>
      <c r="H6247" s="4">
        <v>65</v>
      </c>
      <c r="I6247" s="4">
        <v>37</v>
      </c>
      <c r="J6247" s="4">
        <v>102</v>
      </c>
    </row>
    <row r="6248" spans="1:10" x14ac:dyDescent="0.75">
      <c r="A6248" t="s">
        <v>151</v>
      </c>
      <c r="B6248">
        <v>776</v>
      </c>
      <c r="C6248" t="s">
        <v>5</v>
      </c>
      <c r="D6248">
        <v>4327</v>
      </c>
      <c r="E6248" t="s">
        <v>454</v>
      </c>
      <c r="F6248" s="4">
        <v>0</v>
      </c>
      <c r="G6248" s="4">
        <v>76</v>
      </c>
      <c r="H6248" s="4">
        <v>76</v>
      </c>
      <c r="I6248" s="4">
        <v>0</v>
      </c>
      <c r="J6248" s="4">
        <v>76</v>
      </c>
    </row>
    <row r="6249" spans="1:10" x14ac:dyDescent="0.75">
      <c r="A6249" t="s">
        <v>151</v>
      </c>
      <c r="B6249">
        <v>776</v>
      </c>
      <c r="C6249" t="s">
        <v>5</v>
      </c>
      <c r="D6249">
        <v>4410</v>
      </c>
      <c r="E6249" t="s">
        <v>399</v>
      </c>
      <c r="F6249" s="4">
        <v>0</v>
      </c>
      <c r="G6249" s="4">
        <v>27</v>
      </c>
      <c r="H6249" s="4">
        <v>27</v>
      </c>
      <c r="I6249" s="4">
        <v>0</v>
      </c>
      <c r="J6249" s="4">
        <v>27</v>
      </c>
    </row>
    <row r="6250" spans="1:10" x14ac:dyDescent="0.75">
      <c r="A6250" t="s">
        <v>151</v>
      </c>
      <c r="B6250">
        <v>776</v>
      </c>
      <c r="C6250" t="s">
        <v>5</v>
      </c>
      <c r="D6250">
        <v>6534</v>
      </c>
      <c r="E6250" t="s">
        <v>508</v>
      </c>
      <c r="F6250" s="4">
        <v>0</v>
      </c>
      <c r="G6250" s="4">
        <v>13</v>
      </c>
      <c r="H6250" s="4">
        <v>0</v>
      </c>
      <c r="I6250" s="4">
        <v>13</v>
      </c>
      <c r="J6250" s="4">
        <v>13</v>
      </c>
    </row>
    <row r="6251" spans="1:10" x14ac:dyDescent="0.75">
      <c r="A6251" t="s">
        <v>151</v>
      </c>
      <c r="B6251">
        <v>4636</v>
      </c>
      <c r="C6251" t="s">
        <v>66</v>
      </c>
      <c r="D6251">
        <v>6241</v>
      </c>
      <c r="E6251" t="s">
        <v>391</v>
      </c>
      <c r="F6251" s="4">
        <v>1255026</v>
      </c>
      <c r="G6251" s="4">
        <v>3084184</v>
      </c>
      <c r="H6251" s="4">
        <v>0</v>
      </c>
      <c r="I6251" s="4">
        <v>3084184</v>
      </c>
      <c r="J6251" s="4">
        <v>4339210</v>
      </c>
    </row>
    <row r="6252" spans="1:10" x14ac:dyDescent="0.75">
      <c r="A6252" t="s">
        <v>151</v>
      </c>
      <c r="B6252">
        <v>4636</v>
      </c>
      <c r="C6252" t="s">
        <v>66</v>
      </c>
      <c r="D6252">
        <v>6522</v>
      </c>
      <c r="E6252" t="s">
        <v>393</v>
      </c>
      <c r="F6252" s="4">
        <v>0</v>
      </c>
      <c r="G6252" s="4">
        <v>1566559</v>
      </c>
      <c r="H6252" s="4">
        <v>0</v>
      </c>
      <c r="I6252" s="4">
        <v>1566559</v>
      </c>
      <c r="J6252" s="4">
        <v>1566559</v>
      </c>
    </row>
    <row r="6253" spans="1:10" x14ac:dyDescent="0.75">
      <c r="A6253" t="s">
        <v>151</v>
      </c>
      <c r="B6253">
        <v>4636</v>
      </c>
      <c r="C6253" t="s">
        <v>66</v>
      </c>
      <c r="D6253">
        <v>6344</v>
      </c>
      <c r="E6253" t="s">
        <v>392</v>
      </c>
      <c r="F6253" s="4">
        <v>0</v>
      </c>
      <c r="G6253" s="4">
        <v>948538</v>
      </c>
      <c r="H6253" s="4">
        <v>0</v>
      </c>
      <c r="I6253" s="4">
        <v>948538</v>
      </c>
      <c r="J6253" s="4">
        <v>948538</v>
      </c>
    </row>
    <row r="6254" spans="1:10" x14ac:dyDescent="0.75">
      <c r="A6254" t="s">
        <v>151</v>
      </c>
      <c r="B6254">
        <v>4636</v>
      </c>
      <c r="C6254" t="s">
        <v>66</v>
      </c>
      <c r="D6254">
        <v>4420</v>
      </c>
      <c r="E6254" t="s">
        <v>381</v>
      </c>
      <c r="F6254" s="4">
        <v>0</v>
      </c>
      <c r="G6254" s="4">
        <v>471188</v>
      </c>
      <c r="H6254" s="4">
        <v>0</v>
      </c>
      <c r="I6254" s="4">
        <v>471188</v>
      </c>
      <c r="J6254" s="4">
        <v>471188</v>
      </c>
    </row>
    <row r="6255" spans="1:10" x14ac:dyDescent="0.75">
      <c r="A6255" t="s">
        <v>151</v>
      </c>
      <c r="B6255">
        <v>4636</v>
      </c>
      <c r="C6255" t="s">
        <v>66</v>
      </c>
      <c r="D6255">
        <v>4331</v>
      </c>
      <c r="E6255" t="s">
        <v>390</v>
      </c>
      <c r="F6255" s="4">
        <v>446708</v>
      </c>
      <c r="G6255" s="4">
        <v>297</v>
      </c>
      <c r="H6255" s="4">
        <v>297</v>
      </c>
      <c r="I6255" s="4">
        <v>0</v>
      </c>
      <c r="J6255" s="4">
        <v>447005</v>
      </c>
    </row>
    <row r="6256" spans="1:10" x14ac:dyDescent="0.75">
      <c r="A6256" t="s">
        <v>151</v>
      </c>
      <c r="B6256">
        <v>4636</v>
      </c>
      <c r="C6256" t="s">
        <v>66</v>
      </c>
      <c r="D6256">
        <v>8900</v>
      </c>
      <c r="E6256" t="s">
        <v>506</v>
      </c>
      <c r="F6256" s="4">
        <v>358125</v>
      </c>
      <c r="G6256" s="4">
        <v>0</v>
      </c>
      <c r="H6256" s="4">
        <v>0</v>
      </c>
      <c r="I6256" s="4">
        <v>0</v>
      </c>
      <c r="J6256" s="4">
        <v>358125</v>
      </c>
    </row>
    <row r="6257" spans="1:10" x14ac:dyDescent="0.75">
      <c r="A6257" t="s">
        <v>151</v>
      </c>
      <c r="B6257">
        <v>4636</v>
      </c>
      <c r="C6257" t="s">
        <v>66</v>
      </c>
      <c r="D6257">
        <v>3274</v>
      </c>
      <c r="E6257" t="s">
        <v>438</v>
      </c>
      <c r="F6257" s="4">
        <v>0</v>
      </c>
      <c r="G6257" s="4">
        <v>248808</v>
      </c>
      <c r="H6257" s="4">
        <v>248808</v>
      </c>
      <c r="I6257" s="4">
        <v>0</v>
      </c>
      <c r="J6257" s="4">
        <v>248808</v>
      </c>
    </row>
    <row r="6258" spans="1:10" x14ac:dyDescent="0.75">
      <c r="A6258" t="s">
        <v>151</v>
      </c>
      <c r="B6258">
        <v>4636</v>
      </c>
      <c r="C6258" t="s">
        <v>66</v>
      </c>
      <c r="D6258">
        <v>5320</v>
      </c>
      <c r="E6258" t="s">
        <v>384</v>
      </c>
      <c r="F6258" s="4">
        <v>0</v>
      </c>
      <c r="G6258" s="4">
        <v>197253</v>
      </c>
      <c r="H6258" s="4">
        <v>181869</v>
      </c>
      <c r="I6258" s="4">
        <v>15384</v>
      </c>
      <c r="J6258" s="4">
        <v>197253</v>
      </c>
    </row>
    <row r="6259" spans="1:10" x14ac:dyDescent="0.75">
      <c r="A6259" t="s">
        <v>151</v>
      </c>
      <c r="B6259">
        <v>4636</v>
      </c>
      <c r="C6259" t="s">
        <v>66</v>
      </c>
      <c r="D6259">
        <v>4630</v>
      </c>
      <c r="E6259" t="s">
        <v>456</v>
      </c>
      <c r="F6259" s="4">
        <v>0</v>
      </c>
      <c r="G6259" s="4">
        <v>196186</v>
      </c>
      <c r="H6259" s="4">
        <v>0</v>
      </c>
      <c r="I6259" s="4">
        <v>196186</v>
      </c>
      <c r="J6259" s="4">
        <v>196186</v>
      </c>
    </row>
    <row r="6260" spans="1:10" x14ac:dyDescent="0.75">
      <c r="A6260" t="s">
        <v>151</v>
      </c>
      <c r="B6260">
        <v>4636</v>
      </c>
      <c r="C6260" t="s">
        <v>66</v>
      </c>
      <c r="D6260">
        <v>6782</v>
      </c>
      <c r="E6260" t="s">
        <v>396</v>
      </c>
      <c r="F6260" s="4">
        <v>0</v>
      </c>
      <c r="G6260" s="4">
        <v>148378</v>
      </c>
      <c r="H6260" s="4">
        <v>5</v>
      </c>
      <c r="I6260" s="4">
        <v>148373</v>
      </c>
      <c r="J6260" s="4">
        <v>148378</v>
      </c>
    </row>
    <row r="6261" spans="1:10" x14ac:dyDescent="0.75">
      <c r="A6261" t="s">
        <v>151</v>
      </c>
      <c r="B6261">
        <v>4636</v>
      </c>
      <c r="C6261" t="s">
        <v>66</v>
      </c>
      <c r="D6261">
        <v>7210</v>
      </c>
      <c r="E6261" t="s">
        <v>426</v>
      </c>
      <c r="F6261" s="4">
        <v>0</v>
      </c>
      <c r="G6261" s="4">
        <v>119820</v>
      </c>
      <c r="H6261" s="4">
        <v>119820</v>
      </c>
      <c r="I6261" s="4">
        <v>0</v>
      </c>
      <c r="J6261" s="4">
        <v>119820</v>
      </c>
    </row>
    <row r="6262" spans="1:10" x14ac:dyDescent="0.75">
      <c r="A6262" t="s">
        <v>151</v>
      </c>
      <c r="B6262">
        <v>4636</v>
      </c>
      <c r="C6262" t="s">
        <v>66</v>
      </c>
      <c r="D6262">
        <v>4782</v>
      </c>
      <c r="E6262" t="s">
        <v>414</v>
      </c>
      <c r="F6262" s="4">
        <v>0</v>
      </c>
      <c r="G6262" s="4">
        <v>111008</v>
      </c>
      <c r="H6262" s="4">
        <v>0</v>
      </c>
      <c r="I6262" s="4">
        <v>111008</v>
      </c>
      <c r="J6262" s="4">
        <v>111008</v>
      </c>
    </row>
    <row r="6263" spans="1:10" x14ac:dyDescent="0.75">
      <c r="A6263" t="s">
        <v>151</v>
      </c>
      <c r="B6263">
        <v>4636</v>
      </c>
      <c r="C6263" t="s">
        <v>66</v>
      </c>
      <c r="D6263">
        <v>3276</v>
      </c>
      <c r="E6263" t="s">
        <v>379</v>
      </c>
      <c r="F6263" s="4">
        <v>0</v>
      </c>
      <c r="G6263" s="4">
        <v>104152</v>
      </c>
      <c r="H6263" s="4">
        <v>399</v>
      </c>
      <c r="I6263" s="4">
        <v>103753</v>
      </c>
      <c r="J6263" s="4">
        <v>104152</v>
      </c>
    </row>
    <row r="6264" spans="1:10" x14ac:dyDescent="0.75">
      <c r="A6264" t="s">
        <v>151</v>
      </c>
      <c r="B6264">
        <v>4636</v>
      </c>
      <c r="C6264" t="s">
        <v>66</v>
      </c>
      <c r="D6264">
        <v>5330</v>
      </c>
      <c r="E6264" t="s">
        <v>385</v>
      </c>
      <c r="F6264" s="4">
        <v>0</v>
      </c>
      <c r="G6264" s="4">
        <v>61782</v>
      </c>
      <c r="H6264" s="4">
        <v>61782</v>
      </c>
      <c r="I6264" s="4">
        <v>0</v>
      </c>
      <c r="J6264" s="4">
        <v>61782</v>
      </c>
    </row>
    <row r="6265" spans="1:10" x14ac:dyDescent="0.75">
      <c r="A6265" t="s">
        <v>151</v>
      </c>
      <c r="B6265">
        <v>4636</v>
      </c>
      <c r="C6265" t="s">
        <v>66</v>
      </c>
      <c r="D6265">
        <v>2330</v>
      </c>
      <c r="E6265" t="s">
        <v>368</v>
      </c>
      <c r="F6265" s="4">
        <v>52788</v>
      </c>
      <c r="G6265" s="4">
        <v>8331</v>
      </c>
      <c r="H6265" s="4">
        <v>8331</v>
      </c>
      <c r="I6265" s="4">
        <v>0</v>
      </c>
      <c r="J6265" s="4">
        <v>61119</v>
      </c>
    </row>
    <row r="6266" spans="1:10" x14ac:dyDescent="0.75">
      <c r="A6266" t="s">
        <v>151</v>
      </c>
      <c r="B6266">
        <v>4636</v>
      </c>
      <c r="C6266" t="s">
        <v>66</v>
      </c>
      <c r="D6266">
        <v>5480</v>
      </c>
      <c r="E6266" t="s">
        <v>386</v>
      </c>
      <c r="F6266" s="4">
        <v>0</v>
      </c>
      <c r="G6266" s="4">
        <v>58474</v>
      </c>
      <c r="H6266" s="4">
        <v>58474</v>
      </c>
      <c r="I6266" s="4">
        <v>0</v>
      </c>
      <c r="J6266" s="4">
        <v>58474</v>
      </c>
    </row>
    <row r="6267" spans="1:10" x14ac:dyDescent="0.75">
      <c r="A6267" t="s">
        <v>151</v>
      </c>
      <c r="B6267">
        <v>4636</v>
      </c>
      <c r="C6267" t="s">
        <v>66</v>
      </c>
      <c r="D6267">
        <v>3292</v>
      </c>
      <c r="E6267" t="s">
        <v>413</v>
      </c>
      <c r="F6267" s="4">
        <v>0</v>
      </c>
      <c r="G6267" s="4">
        <v>50078</v>
      </c>
      <c r="H6267" s="4">
        <v>0</v>
      </c>
      <c r="I6267" s="4">
        <v>50078</v>
      </c>
      <c r="J6267" s="4">
        <v>50078</v>
      </c>
    </row>
    <row r="6268" spans="1:10" x14ac:dyDescent="0.75">
      <c r="A6268" t="s">
        <v>151</v>
      </c>
      <c r="B6268">
        <v>4636</v>
      </c>
      <c r="C6268" t="s">
        <v>66</v>
      </c>
      <c r="D6268">
        <v>5370</v>
      </c>
      <c r="E6268" t="s">
        <v>466</v>
      </c>
      <c r="F6268" s="4">
        <v>0</v>
      </c>
      <c r="G6268" s="4">
        <v>45333</v>
      </c>
      <c r="H6268" s="4">
        <v>45333</v>
      </c>
      <c r="I6268" s="4">
        <v>0</v>
      </c>
      <c r="J6268" s="4">
        <v>45333</v>
      </c>
    </row>
    <row r="6269" spans="1:10" x14ac:dyDescent="0.75">
      <c r="A6269" t="s">
        <v>151</v>
      </c>
      <c r="B6269">
        <v>4636</v>
      </c>
      <c r="C6269" t="s">
        <v>66</v>
      </c>
      <c r="D6269">
        <v>2221</v>
      </c>
      <c r="E6269" t="s">
        <v>374</v>
      </c>
      <c r="F6269" s="4">
        <v>42620</v>
      </c>
      <c r="G6269" s="4">
        <v>0</v>
      </c>
      <c r="H6269" s="4">
        <v>0</v>
      </c>
      <c r="I6269" s="4">
        <v>0</v>
      </c>
      <c r="J6269" s="4">
        <v>42620</v>
      </c>
    </row>
    <row r="6270" spans="1:10" x14ac:dyDescent="0.75">
      <c r="A6270" t="s">
        <v>151</v>
      </c>
      <c r="B6270">
        <v>4636</v>
      </c>
      <c r="C6270" t="s">
        <v>66</v>
      </c>
      <c r="D6270">
        <v>2540</v>
      </c>
      <c r="E6270" t="s">
        <v>377</v>
      </c>
      <c r="F6270" s="4">
        <v>0</v>
      </c>
      <c r="G6270" s="4">
        <v>34172</v>
      </c>
      <c r="H6270" s="4">
        <v>0</v>
      </c>
      <c r="I6270" s="4">
        <v>34172</v>
      </c>
      <c r="J6270" s="4">
        <v>34172</v>
      </c>
    </row>
    <row r="6271" spans="1:10" x14ac:dyDescent="0.75">
      <c r="A6271" t="s">
        <v>151</v>
      </c>
      <c r="B6271">
        <v>4636</v>
      </c>
      <c r="C6271" t="s">
        <v>66</v>
      </c>
      <c r="D6271">
        <v>2340</v>
      </c>
      <c r="E6271" t="s">
        <v>369</v>
      </c>
      <c r="F6271" s="4">
        <v>28291</v>
      </c>
      <c r="G6271" s="4">
        <v>0</v>
      </c>
      <c r="H6271" s="4">
        <v>0</v>
      </c>
      <c r="I6271" s="4">
        <v>0</v>
      </c>
      <c r="J6271" s="4">
        <v>28291</v>
      </c>
    </row>
    <row r="6272" spans="1:10" x14ac:dyDescent="0.75">
      <c r="A6272" t="s">
        <v>151</v>
      </c>
      <c r="B6272">
        <v>4636</v>
      </c>
      <c r="C6272" t="s">
        <v>66</v>
      </c>
      <c r="D6272">
        <v>5422</v>
      </c>
      <c r="E6272" t="s">
        <v>468</v>
      </c>
      <c r="F6272" s="4">
        <v>0</v>
      </c>
      <c r="G6272" s="4">
        <v>27956</v>
      </c>
      <c r="H6272" s="4">
        <v>27956</v>
      </c>
      <c r="I6272" s="4">
        <v>0</v>
      </c>
      <c r="J6272" s="4">
        <v>27956</v>
      </c>
    </row>
    <row r="6273" spans="1:10" x14ac:dyDescent="0.75">
      <c r="A6273" t="s">
        <v>151</v>
      </c>
      <c r="B6273">
        <v>4636</v>
      </c>
      <c r="C6273" t="s">
        <v>66</v>
      </c>
      <c r="D6273">
        <v>5220</v>
      </c>
      <c r="E6273" t="s">
        <v>401</v>
      </c>
      <c r="F6273" s="4">
        <v>0</v>
      </c>
      <c r="G6273" s="4">
        <v>26675</v>
      </c>
      <c r="H6273" s="4">
        <v>26675</v>
      </c>
      <c r="I6273" s="4">
        <v>0</v>
      </c>
      <c r="J6273" s="4">
        <v>26675</v>
      </c>
    </row>
    <row r="6274" spans="1:10" x14ac:dyDescent="0.75">
      <c r="A6274" t="s">
        <v>151</v>
      </c>
      <c r="B6274">
        <v>4636</v>
      </c>
      <c r="C6274" t="s">
        <v>66</v>
      </c>
      <c r="D6274">
        <v>4900</v>
      </c>
      <c r="E6274" t="s">
        <v>383</v>
      </c>
      <c r="F6274" s="4">
        <v>0</v>
      </c>
      <c r="G6274" s="4">
        <v>14040</v>
      </c>
      <c r="H6274" s="4">
        <v>0</v>
      </c>
      <c r="I6274" s="4">
        <v>14040</v>
      </c>
      <c r="J6274" s="4">
        <v>14040</v>
      </c>
    </row>
    <row r="6275" spans="1:10" x14ac:dyDescent="0.75">
      <c r="A6275" t="s">
        <v>151</v>
      </c>
      <c r="B6275">
        <v>4636</v>
      </c>
      <c r="C6275" t="s">
        <v>66</v>
      </c>
      <c r="D6275">
        <v>5421</v>
      </c>
      <c r="E6275" t="s">
        <v>467</v>
      </c>
      <c r="F6275" s="4">
        <v>0</v>
      </c>
      <c r="G6275" s="4">
        <v>11653</v>
      </c>
      <c r="H6275" s="4">
        <v>448</v>
      </c>
      <c r="I6275" s="4">
        <v>11205</v>
      </c>
      <c r="J6275" s="4">
        <v>11653</v>
      </c>
    </row>
    <row r="6276" spans="1:10" x14ac:dyDescent="0.75">
      <c r="A6276" t="s">
        <v>151</v>
      </c>
      <c r="B6276">
        <v>4636</v>
      </c>
      <c r="C6276" t="s">
        <v>66</v>
      </c>
      <c r="D6276">
        <v>2211</v>
      </c>
      <c r="E6276" t="s">
        <v>367</v>
      </c>
      <c r="F6276" s="4">
        <v>11173</v>
      </c>
      <c r="G6276" s="4">
        <v>0</v>
      </c>
      <c r="H6276" s="4">
        <v>0</v>
      </c>
      <c r="I6276" s="4">
        <v>0</v>
      </c>
      <c r="J6276" s="4">
        <v>11173</v>
      </c>
    </row>
    <row r="6277" spans="1:10" x14ac:dyDescent="0.75">
      <c r="A6277" t="s">
        <v>151</v>
      </c>
      <c r="B6277">
        <v>4636</v>
      </c>
      <c r="C6277" t="s">
        <v>66</v>
      </c>
      <c r="D6277">
        <v>7900</v>
      </c>
      <c r="E6277" t="s">
        <v>388</v>
      </c>
      <c r="F6277" s="4">
        <v>0</v>
      </c>
      <c r="G6277" s="4">
        <v>9613</v>
      </c>
      <c r="H6277" s="4">
        <v>9613</v>
      </c>
      <c r="I6277" s="4">
        <v>0</v>
      </c>
      <c r="J6277" s="4">
        <v>9613</v>
      </c>
    </row>
    <row r="6278" spans="1:10" x14ac:dyDescent="0.75">
      <c r="A6278" t="s">
        <v>151</v>
      </c>
      <c r="B6278">
        <v>4636</v>
      </c>
      <c r="C6278" t="s">
        <v>66</v>
      </c>
      <c r="D6278">
        <v>9900</v>
      </c>
      <c r="E6278" t="s">
        <v>389</v>
      </c>
      <c r="F6278" s="4">
        <v>0</v>
      </c>
      <c r="G6278" s="4">
        <v>8104</v>
      </c>
      <c r="H6278" s="4">
        <v>8104</v>
      </c>
      <c r="I6278" s="4">
        <v>0</v>
      </c>
      <c r="J6278" s="4">
        <v>8104</v>
      </c>
    </row>
    <row r="6279" spans="1:10" x14ac:dyDescent="0.75">
      <c r="A6279" t="s">
        <v>151</v>
      </c>
      <c r="B6279">
        <v>4636</v>
      </c>
      <c r="C6279" t="s">
        <v>66</v>
      </c>
      <c r="D6279">
        <v>3299</v>
      </c>
      <c r="E6279" t="s">
        <v>448</v>
      </c>
      <c r="F6279" s="4">
        <v>0</v>
      </c>
      <c r="G6279" s="4">
        <v>3311</v>
      </c>
      <c r="H6279" s="4">
        <v>3311</v>
      </c>
      <c r="I6279" s="4">
        <v>0</v>
      </c>
      <c r="J6279" s="4">
        <v>3311</v>
      </c>
    </row>
    <row r="6280" spans="1:10" x14ac:dyDescent="0.75">
      <c r="A6280" t="s">
        <v>151</v>
      </c>
      <c r="B6280">
        <v>4636</v>
      </c>
      <c r="C6280" t="s">
        <v>66</v>
      </c>
      <c r="D6280">
        <v>7110</v>
      </c>
      <c r="E6280" t="s">
        <v>371</v>
      </c>
      <c r="F6280" s="4">
        <v>0</v>
      </c>
      <c r="G6280" s="4">
        <v>3174</v>
      </c>
      <c r="H6280" s="4">
        <v>3174</v>
      </c>
      <c r="I6280" s="4">
        <v>0</v>
      </c>
      <c r="J6280" s="4">
        <v>3174</v>
      </c>
    </row>
    <row r="6281" spans="1:10" x14ac:dyDescent="0.75">
      <c r="A6281" t="s">
        <v>151</v>
      </c>
      <c r="B6281">
        <v>4636</v>
      </c>
      <c r="C6281" t="s">
        <v>66</v>
      </c>
      <c r="D6281">
        <v>5290</v>
      </c>
      <c r="E6281" t="s">
        <v>415</v>
      </c>
      <c r="F6281" s="4">
        <v>0</v>
      </c>
      <c r="G6281" s="4">
        <v>2761</v>
      </c>
      <c r="H6281" s="4">
        <v>2761</v>
      </c>
      <c r="I6281" s="4">
        <v>0</v>
      </c>
      <c r="J6281" s="4">
        <v>2761</v>
      </c>
    </row>
    <row r="6282" spans="1:10" x14ac:dyDescent="0.75">
      <c r="A6282" t="s">
        <v>151</v>
      </c>
      <c r="B6282">
        <v>4636</v>
      </c>
      <c r="C6282" t="s">
        <v>66</v>
      </c>
      <c r="D6282">
        <v>7500</v>
      </c>
      <c r="E6282" t="s">
        <v>427</v>
      </c>
      <c r="F6282" s="4">
        <v>0</v>
      </c>
      <c r="G6282" s="4">
        <v>1770</v>
      </c>
      <c r="H6282" s="4">
        <v>8</v>
      </c>
      <c r="I6282" s="4">
        <v>1762</v>
      </c>
      <c r="J6282" s="4">
        <v>1770</v>
      </c>
    </row>
    <row r="6283" spans="1:10" x14ac:dyDescent="0.75">
      <c r="A6283" t="s">
        <v>151</v>
      </c>
      <c r="B6283">
        <v>4636</v>
      </c>
      <c r="C6283" t="s">
        <v>66</v>
      </c>
      <c r="D6283">
        <v>7120</v>
      </c>
      <c r="E6283" t="s">
        <v>499</v>
      </c>
      <c r="F6283" s="4">
        <v>0</v>
      </c>
      <c r="G6283" s="4">
        <v>1416</v>
      </c>
      <c r="H6283" s="4">
        <v>1416</v>
      </c>
      <c r="I6283" s="4">
        <v>0</v>
      </c>
      <c r="J6283" s="4">
        <v>1416</v>
      </c>
    </row>
    <row r="6284" spans="1:10" x14ac:dyDescent="0.75">
      <c r="A6284" t="s">
        <v>151</v>
      </c>
      <c r="B6284">
        <v>4636</v>
      </c>
      <c r="C6284" t="s">
        <v>66</v>
      </c>
      <c r="D6284">
        <v>5360</v>
      </c>
      <c r="E6284" t="s">
        <v>465</v>
      </c>
      <c r="F6284" s="4">
        <v>0</v>
      </c>
      <c r="G6284" s="4">
        <v>1148</v>
      </c>
      <c r="H6284" s="4">
        <v>1148</v>
      </c>
      <c r="I6284" s="4">
        <v>0</v>
      </c>
      <c r="J6284" s="4">
        <v>1148</v>
      </c>
    </row>
    <row r="6285" spans="1:10" x14ac:dyDescent="0.75">
      <c r="A6285" t="s">
        <v>151</v>
      </c>
      <c r="B6285">
        <v>4636</v>
      </c>
      <c r="C6285" t="s">
        <v>66</v>
      </c>
      <c r="D6285">
        <v>4310</v>
      </c>
      <c r="E6285" t="s">
        <v>453</v>
      </c>
      <c r="F6285" s="4">
        <v>0</v>
      </c>
      <c r="G6285" s="4">
        <v>340</v>
      </c>
      <c r="H6285" s="4">
        <v>340</v>
      </c>
      <c r="I6285" s="4">
        <v>0</v>
      </c>
      <c r="J6285" s="4">
        <v>340</v>
      </c>
    </row>
    <row r="6286" spans="1:10" x14ac:dyDescent="0.75">
      <c r="A6286" t="s">
        <v>151</v>
      </c>
      <c r="B6286">
        <v>4636</v>
      </c>
      <c r="C6286" t="s">
        <v>66</v>
      </c>
      <c r="D6286">
        <v>3286</v>
      </c>
      <c r="E6286" t="s">
        <v>423</v>
      </c>
      <c r="F6286" s="4">
        <v>0</v>
      </c>
      <c r="G6286" s="4">
        <v>147</v>
      </c>
      <c r="H6286" s="4">
        <v>147</v>
      </c>
      <c r="I6286" s="4">
        <v>0</v>
      </c>
      <c r="J6286" s="4">
        <v>147</v>
      </c>
    </row>
    <row r="6287" spans="1:10" x14ac:dyDescent="0.75">
      <c r="A6287" t="s">
        <v>151</v>
      </c>
      <c r="B6287">
        <v>4636</v>
      </c>
      <c r="C6287" t="s">
        <v>66</v>
      </c>
      <c r="D6287">
        <v>7600</v>
      </c>
      <c r="E6287" t="s">
        <v>503</v>
      </c>
      <c r="F6287" s="4">
        <v>0</v>
      </c>
      <c r="G6287" s="4">
        <v>30</v>
      </c>
      <c r="H6287" s="4">
        <v>30</v>
      </c>
      <c r="I6287" s="4">
        <v>0</v>
      </c>
      <c r="J6287" s="4">
        <v>30</v>
      </c>
    </row>
    <row r="6288" spans="1:10" x14ac:dyDescent="0.75">
      <c r="A6288" t="s">
        <v>151</v>
      </c>
      <c r="B6288">
        <v>4636</v>
      </c>
      <c r="C6288" t="s">
        <v>66</v>
      </c>
      <c r="D6288">
        <v>7800</v>
      </c>
      <c r="E6288" t="s">
        <v>507</v>
      </c>
      <c r="F6288" s="4">
        <v>29</v>
      </c>
      <c r="G6288" s="4">
        <v>0</v>
      </c>
      <c r="H6288" s="4">
        <v>0</v>
      </c>
      <c r="I6288" s="4">
        <v>0</v>
      </c>
      <c r="J6288" s="4">
        <v>29</v>
      </c>
    </row>
    <row r="6289" spans="1:10" x14ac:dyDescent="0.75">
      <c r="A6289" t="s">
        <v>151</v>
      </c>
      <c r="B6289">
        <v>4636</v>
      </c>
      <c r="C6289" t="s">
        <v>66</v>
      </c>
      <c r="D6289">
        <v>6885</v>
      </c>
      <c r="E6289" t="s">
        <v>493</v>
      </c>
      <c r="F6289" s="4">
        <v>0</v>
      </c>
      <c r="G6289" s="4">
        <v>28</v>
      </c>
      <c r="H6289" s="4">
        <v>28</v>
      </c>
      <c r="I6289" s="4">
        <v>0</v>
      </c>
      <c r="J6289" s="4">
        <v>28</v>
      </c>
    </row>
    <row r="6290" spans="1:10" x14ac:dyDescent="0.75">
      <c r="A6290" t="s">
        <v>151</v>
      </c>
      <c r="B6290">
        <v>4636</v>
      </c>
      <c r="C6290" t="s">
        <v>66</v>
      </c>
      <c r="D6290">
        <v>3283</v>
      </c>
      <c r="E6290" t="s">
        <v>441</v>
      </c>
      <c r="F6290" s="4">
        <v>0</v>
      </c>
      <c r="G6290" s="4">
        <v>16</v>
      </c>
      <c r="H6290" s="4">
        <v>16</v>
      </c>
      <c r="I6290" s="4">
        <v>0</v>
      </c>
      <c r="J6290" s="4">
        <v>16</v>
      </c>
    </row>
    <row r="6291" spans="1:10" x14ac:dyDescent="0.75">
      <c r="A6291" t="s">
        <v>151</v>
      </c>
      <c r="B6291">
        <v>4636</v>
      </c>
      <c r="C6291" t="s">
        <v>66</v>
      </c>
      <c r="D6291">
        <v>3275</v>
      </c>
      <c r="E6291" t="s">
        <v>412</v>
      </c>
      <c r="F6291" s="4">
        <v>0</v>
      </c>
      <c r="G6291" s="4">
        <v>7</v>
      </c>
      <c r="H6291" s="4">
        <v>7</v>
      </c>
      <c r="I6291" s="4">
        <v>0</v>
      </c>
      <c r="J6291" s="4">
        <v>7</v>
      </c>
    </row>
    <row r="6292" spans="1:10" x14ac:dyDescent="0.75">
      <c r="A6292" t="s">
        <v>151</v>
      </c>
      <c r="B6292">
        <v>4636</v>
      </c>
      <c r="C6292" t="s">
        <v>66</v>
      </c>
      <c r="D6292">
        <v>6888</v>
      </c>
      <c r="E6292" t="s">
        <v>494</v>
      </c>
      <c r="F6292" s="4">
        <v>0</v>
      </c>
      <c r="G6292" s="4">
        <v>7</v>
      </c>
      <c r="H6292" s="4">
        <v>7</v>
      </c>
      <c r="I6292" s="4">
        <v>0</v>
      </c>
      <c r="J6292" s="4">
        <v>7</v>
      </c>
    </row>
    <row r="6293" spans="1:10" x14ac:dyDescent="0.75">
      <c r="A6293" t="s">
        <v>151</v>
      </c>
      <c r="B6293">
        <v>4636</v>
      </c>
      <c r="C6293" t="s">
        <v>66</v>
      </c>
      <c r="D6293">
        <v>6654</v>
      </c>
      <c r="E6293" t="s">
        <v>419</v>
      </c>
      <c r="F6293" s="4">
        <v>0</v>
      </c>
      <c r="G6293" s="4">
        <v>5</v>
      </c>
      <c r="H6293" s="4">
        <v>5</v>
      </c>
      <c r="I6293" s="4">
        <v>0</v>
      </c>
      <c r="J6293" s="4">
        <v>5</v>
      </c>
    </row>
    <row r="6294" spans="1:10" x14ac:dyDescent="0.75">
      <c r="A6294" t="s">
        <v>151</v>
      </c>
      <c r="B6294">
        <v>4636</v>
      </c>
      <c r="C6294" t="s">
        <v>66</v>
      </c>
      <c r="D6294">
        <v>7400</v>
      </c>
      <c r="E6294" t="s">
        <v>502</v>
      </c>
      <c r="F6294" s="4">
        <v>0</v>
      </c>
      <c r="G6294" s="4">
        <v>5</v>
      </c>
      <c r="H6294" s="4">
        <v>5</v>
      </c>
      <c r="I6294" s="4">
        <v>0</v>
      </c>
      <c r="J6294" s="4">
        <v>5</v>
      </c>
    </row>
    <row r="6295" spans="1:10" x14ac:dyDescent="0.75">
      <c r="A6295" t="s">
        <v>151</v>
      </c>
      <c r="B6295">
        <v>4636</v>
      </c>
      <c r="C6295" t="s">
        <v>66</v>
      </c>
      <c r="D6295">
        <v>3284</v>
      </c>
      <c r="E6295" t="s">
        <v>442</v>
      </c>
      <c r="F6295" s="4">
        <v>0</v>
      </c>
      <c r="G6295" s="4">
        <v>3</v>
      </c>
      <c r="H6295" s="4">
        <v>3</v>
      </c>
      <c r="I6295" s="4">
        <v>0</v>
      </c>
      <c r="J6295" s="4">
        <v>3</v>
      </c>
    </row>
    <row r="6296" spans="1:10" x14ac:dyDescent="0.75">
      <c r="A6296" t="s">
        <v>151</v>
      </c>
      <c r="B6296">
        <v>4636</v>
      </c>
      <c r="C6296" t="s">
        <v>66</v>
      </c>
      <c r="D6296">
        <v>3250</v>
      </c>
      <c r="E6296" t="s">
        <v>435</v>
      </c>
      <c r="F6296" s="4">
        <v>0</v>
      </c>
      <c r="G6296" s="4">
        <v>2</v>
      </c>
      <c r="H6296" s="4">
        <v>2</v>
      </c>
      <c r="I6296" s="4">
        <v>0</v>
      </c>
      <c r="J6296" s="4">
        <v>2</v>
      </c>
    </row>
    <row r="6297" spans="1:10" x14ac:dyDescent="0.75">
      <c r="A6297" t="s">
        <v>151</v>
      </c>
      <c r="B6297">
        <v>4636</v>
      </c>
      <c r="C6297" t="s">
        <v>66</v>
      </c>
      <c r="D6297">
        <v>6857</v>
      </c>
      <c r="E6297" t="s">
        <v>487</v>
      </c>
      <c r="F6297" s="4">
        <v>0</v>
      </c>
      <c r="G6297" s="4">
        <v>2</v>
      </c>
      <c r="H6297" s="4">
        <v>2</v>
      </c>
      <c r="I6297" s="4">
        <v>0</v>
      </c>
      <c r="J6297" s="4">
        <v>2</v>
      </c>
    </row>
    <row r="6298" spans="1:10" x14ac:dyDescent="0.75">
      <c r="A6298" t="s">
        <v>151</v>
      </c>
      <c r="B6298">
        <v>4636</v>
      </c>
      <c r="C6298" t="s">
        <v>66</v>
      </c>
      <c r="D6298">
        <v>6653</v>
      </c>
      <c r="E6298" t="s">
        <v>395</v>
      </c>
      <c r="F6298" s="4">
        <v>0</v>
      </c>
      <c r="G6298" s="4">
        <v>1</v>
      </c>
      <c r="H6298" s="4">
        <v>1</v>
      </c>
      <c r="I6298" s="4">
        <v>0</v>
      </c>
      <c r="J6298" s="4">
        <v>1</v>
      </c>
    </row>
    <row r="6299" spans="1:10" x14ac:dyDescent="0.75">
      <c r="A6299" t="s">
        <v>151</v>
      </c>
      <c r="B6299">
        <v>4636</v>
      </c>
      <c r="C6299" t="s">
        <v>66</v>
      </c>
      <c r="D6299">
        <v>6811</v>
      </c>
      <c r="E6299" t="s">
        <v>480</v>
      </c>
      <c r="F6299" s="4">
        <v>0</v>
      </c>
      <c r="G6299" s="4">
        <v>1</v>
      </c>
      <c r="H6299" s="4">
        <v>1</v>
      </c>
      <c r="I6299" s="4">
        <v>0</v>
      </c>
      <c r="J6299" s="4">
        <v>1</v>
      </c>
    </row>
    <row r="6300" spans="1:10" x14ac:dyDescent="0.75">
      <c r="A6300" t="s">
        <v>151</v>
      </c>
      <c r="B6300">
        <v>4636</v>
      </c>
      <c r="C6300" t="s">
        <v>66</v>
      </c>
      <c r="D6300">
        <v>6889</v>
      </c>
      <c r="E6300" t="s">
        <v>420</v>
      </c>
      <c r="F6300" s="4">
        <v>0</v>
      </c>
      <c r="G6300" s="4">
        <v>1</v>
      </c>
      <c r="H6300" s="4">
        <v>1</v>
      </c>
      <c r="I6300" s="4">
        <v>0</v>
      </c>
      <c r="J6300" s="4">
        <v>1</v>
      </c>
    </row>
    <row r="6301" spans="1:10" x14ac:dyDescent="0.75">
      <c r="A6301" t="s">
        <v>163</v>
      </c>
      <c r="B6301">
        <v>2438</v>
      </c>
      <c r="C6301" t="s">
        <v>209</v>
      </c>
      <c r="D6301">
        <v>4322</v>
      </c>
      <c r="E6301" t="s">
        <v>398</v>
      </c>
      <c r="F6301" s="4">
        <v>559547</v>
      </c>
      <c r="G6301" s="4">
        <v>0</v>
      </c>
      <c r="H6301" s="4">
        <v>0</v>
      </c>
      <c r="I6301" s="4">
        <v>0</v>
      </c>
      <c r="J6301" s="4">
        <v>559547</v>
      </c>
    </row>
    <row r="6302" spans="1:10" x14ac:dyDescent="0.75">
      <c r="A6302" t="s">
        <v>163</v>
      </c>
      <c r="B6302">
        <v>2438</v>
      </c>
      <c r="C6302" t="s">
        <v>209</v>
      </c>
      <c r="D6302">
        <v>2100</v>
      </c>
      <c r="E6302" t="s">
        <v>403</v>
      </c>
      <c r="F6302" s="4">
        <v>529196</v>
      </c>
      <c r="G6302" s="4">
        <v>0</v>
      </c>
      <c r="H6302" s="4">
        <v>0</v>
      </c>
      <c r="I6302" s="4">
        <v>0</v>
      </c>
      <c r="J6302" s="4">
        <v>529196</v>
      </c>
    </row>
    <row r="6303" spans="1:10" x14ac:dyDescent="0.75">
      <c r="A6303" t="s">
        <v>163</v>
      </c>
      <c r="B6303">
        <v>2438</v>
      </c>
      <c r="C6303" t="s">
        <v>209</v>
      </c>
      <c r="D6303">
        <v>2330</v>
      </c>
      <c r="E6303" t="s">
        <v>368</v>
      </c>
      <c r="F6303" s="4">
        <v>454184</v>
      </c>
      <c r="G6303" s="4">
        <v>0</v>
      </c>
      <c r="H6303" s="4">
        <v>0</v>
      </c>
      <c r="I6303" s="4">
        <v>0</v>
      </c>
      <c r="J6303" s="4">
        <v>454184</v>
      </c>
    </row>
    <row r="6304" spans="1:10" x14ac:dyDescent="0.75">
      <c r="A6304" t="s">
        <v>163</v>
      </c>
      <c r="B6304">
        <v>2438</v>
      </c>
      <c r="C6304" t="s">
        <v>209</v>
      </c>
      <c r="D6304">
        <v>3110</v>
      </c>
      <c r="E6304" t="s">
        <v>405</v>
      </c>
      <c r="F6304" s="4">
        <v>274130</v>
      </c>
      <c r="G6304" s="4">
        <v>0</v>
      </c>
      <c r="H6304" s="4">
        <v>0</v>
      </c>
      <c r="I6304" s="4">
        <v>0</v>
      </c>
      <c r="J6304" s="4">
        <v>274130</v>
      </c>
    </row>
    <row r="6305" spans="1:10" x14ac:dyDescent="0.75">
      <c r="A6305" t="s">
        <v>163</v>
      </c>
      <c r="B6305">
        <v>2438</v>
      </c>
      <c r="C6305" t="s">
        <v>209</v>
      </c>
      <c r="D6305">
        <v>6522</v>
      </c>
      <c r="E6305" t="s">
        <v>393</v>
      </c>
      <c r="F6305" s="4">
        <v>233277</v>
      </c>
      <c r="G6305" s="4">
        <v>0</v>
      </c>
      <c r="H6305" s="4">
        <v>0</v>
      </c>
      <c r="I6305" s="4">
        <v>0</v>
      </c>
      <c r="J6305" s="4">
        <v>233277</v>
      </c>
    </row>
    <row r="6306" spans="1:10" x14ac:dyDescent="0.75">
      <c r="A6306" t="s">
        <v>163</v>
      </c>
      <c r="B6306">
        <v>2438</v>
      </c>
      <c r="C6306" t="s">
        <v>209</v>
      </c>
      <c r="D6306">
        <v>2350</v>
      </c>
      <c r="E6306" t="s">
        <v>404</v>
      </c>
      <c r="F6306" s="4">
        <v>192864</v>
      </c>
      <c r="G6306" s="4">
        <v>0</v>
      </c>
      <c r="H6306" s="4">
        <v>0</v>
      </c>
      <c r="I6306" s="4">
        <v>0</v>
      </c>
      <c r="J6306" s="4">
        <v>192864</v>
      </c>
    </row>
    <row r="6307" spans="1:10" x14ac:dyDescent="0.75">
      <c r="A6307" t="s">
        <v>163</v>
      </c>
      <c r="B6307">
        <v>2438</v>
      </c>
      <c r="C6307" t="s">
        <v>209</v>
      </c>
      <c r="D6307">
        <v>4335</v>
      </c>
      <c r="E6307" t="s">
        <v>372</v>
      </c>
      <c r="F6307" s="4">
        <v>167841</v>
      </c>
      <c r="G6307" s="4">
        <v>0</v>
      </c>
      <c r="H6307" s="4">
        <v>0</v>
      </c>
      <c r="I6307" s="4">
        <v>0</v>
      </c>
      <c r="J6307" s="4">
        <v>167841</v>
      </c>
    </row>
    <row r="6308" spans="1:10" x14ac:dyDescent="0.75">
      <c r="A6308" t="s">
        <v>163</v>
      </c>
      <c r="B6308">
        <v>2438</v>
      </c>
      <c r="C6308" t="s">
        <v>209</v>
      </c>
      <c r="D6308">
        <v>5210</v>
      </c>
      <c r="E6308" t="s">
        <v>463</v>
      </c>
      <c r="F6308" s="4">
        <v>147045</v>
      </c>
      <c r="G6308" s="4">
        <v>0</v>
      </c>
      <c r="H6308" s="4">
        <v>0</v>
      </c>
      <c r="I6308" s="4">
        <v>0</v>
      </c>
      <c r="J6308" s="4">
        <v>147045</v>
      </c>
    </row>
    <row r="6309" spans="1:10" x14ac:dyDescent="0.75">
      <c r="A6309" t="s">
        <v>163</v>
      </c>
      <c r="B6309">
        <v>2438</v>
      </c>
      <c r="C6309" t="s">
        <v>209</v>
      </c>
      <c r="D6309">
        <v>6344</v>
      </c>
      <c r="E6309" t="s">
        <v>392</v>
      </c>
      <c r="F6309" s="4">
        <v>126412</v>
      </c>
      <c r="G6309" s="4">
        <v>0</v>
      </c>
      <c r="H6309" s="4">
        <v>0</v>
      </c>
      <c r="I6309" s="4">
        <v>0</v>
      </c>
      <c r="J6309" s="4">
        <v>126412</v>
      </c>
    </row>
    <row r="6310" spans="1:10" x14ac:dyDescent="0.75">
      <c r="A6310" t="s">
        <v>163</v>
      </c>
      <c r="B6310">
        <v>2438</v>
      </c>
      <c r="C6310" t="s">
        <v>209</v>
      </c>
      <c r="D6310">
        <v>5220</v>
      </c>
      <c r="E6310" t="s">
        <v>401</v>
      </c>
      <c r="F6310" s="4">
        <v>111922</v>
      </c>
      <c r="G6310" s="4">
        <v>0</v>
      </c>
      <c r="H6310" s="4">
        <v>0</v>
      </c>
      <c r="I6310" s="4">
        <v>0</v>
      </c>
      <c r="J6310" s="4">
        <v>111922</v>
      </c>
    </row>
    <row r="6311" spans="1:10" x14ac:dyDescent="0.75">
      <c r="A6311" t="s">
        <v>163</v>
      </c>
      <c r="B6311">
        <v>2438</v>
      </c>
      <c r="C6311" t="s">
        <v>209</v>
      </c>
      <c r="D6311">
        <v>2211</v>
      </c>
      <c r="E6311" t="s">
        <v>367</v>
      </c>
      <c r="F6311" s="4">
        <v>89488</v>
      </c>
      <c r="G6311" s="4">
        <v>0</v>
      </c>
      <c r="H6311" s="4">
        <v>0</v>
      </c>
      <c r="I6311" s="4">
        <v>0</v>
      </c>
      <c r="J6311" s="4">
        <v>89488</v>
      </c>
    </row>
    <row r="6312" spans="1:10" x14ac:dyDescent="0.75">
      <c r="A6312" t="s">
        <v>163</v>
      </c>
      <c r="B6312">
        <v>2438</v>
      </c>
      <c r="C6312" t="s">
        <v>209</v>
      </c>
      <c r="D6312">
        <v>2429</v>
      </c>
      <c r="E6312" t="s">
        <v>375</v>
      </c>
      <c r="F6312" s="4">
        <v>83280</v>
      </c>
      <c r="G6312" s="4">
        <v>0</v>
      </c>
      <c r="H6312" s="4">
        <v>0</v>
      </c>
      <c r="I6312" s="4">
        <v>0</v>
      </c>
      <c r="J6312" s="4">
        <v>83280</v>
      </c>
    </row>
    <row r="6313" spans="1:10" x14ac:dyDescent="0.75">
      <c r="A6313" t="s">
        <v>163</v>
      </c>
      <c r="B6313">
        <v>2438</v>
      </c>
      <c r="C6313" t="s">
        <v>209</v>
      </c>
      <c r="D6313">
        <v>2430</v>
      </c>
      <c r="E6313" t="s">
        <v>376</v>
      </c>
      <c r="F6313" s="4">
        <v>63725</v>
      </c>
      <c r="G6313" s="4">
        <v>0</v>
      </c>
      <c r="H6313" s="4">
        <v>0</v>
      </c>
      <c r="I6313" s="4">
        <v>0</v>
      </c>
      <c r="J6313" s="4">
        <v>63725</v>
      </c>
    </row>
    <row r="6314" spans="1:10" x14ac:dyDescent="0.75">
      <c r="A6314" t="s">
        <v>163</v>
      </c>
      <c r="B6314">
        <v>2438</v>
      </c>
      <c r="C6314" t="s">
        <v>209</v>
      </c>
      <c r="D6314">
        <v>3220</v>
      </c>
      <c r="E6314" t="s">
        <v>370</v>
      </c>
      <c r="F6314" s="4">
        <v>58412</v>
      </c>
      <c r="G6314" s="4">
        <v>0</v>
      </c>
      <c r="H6314" s="4">
        <v>0</v>
      </c>
      <c r="I6314" s="4">
        <v>0</v>
      </c>
      <c r="J6314" s="4">
        <v>58412</v>
      </c>
    </row>
    <row r="6315" spans="1:10" x14ac:dyDescent="0.75">
      <c r="A6315" t="s">
        <v>163</v>
      </c>
      <c r="B6315">
        <v>2438</v>
      </c>
      <c r="C6315" t="s">
        <v>209</v>
      </c>
      <c r="D6315">
        <v>4331</v>
      </c>
      <c r="E6315" t="s">
        <v>390</v>
      </c>
      <c r="F6315" s="4">
        <v>42753</v>
      </c>
      <c r="G6315" s="4">
        <v>0</v>
      </c>
      <c r="H6315" s="4">
        <v>0</v>
      </c>
      <c r="I6315" s="4">
        <v>0</v>
      </c>
      <c r="J6315" s="4">
        <v>42753</v>
      </c>
    </row>
    <row r="6316" spans="1:10" x14ac:dyDescent="0.75">
      <c r="A6316" t="s">
        <v>163</v>
      </c>
      <c r="B6316">
        <v>2438</v>
      </c>
      <c r="C6316" t="s">
        <v>209</v>
      </c>
      <c r="D6316">
        <v>4860</v>
      </c>
      <c r="E6316" t="s">
        <v>400</v>
      </c>
      <c r="F6316" s="4">
        <v>30798</v>
      </c>
      <c r="G6316" s="4">
        <v>0</v>
      </c>
      <c r="H6316" s="4">
        <v>0</v>
      </c>
      <c r="I6316" s="4">
        <v>0</v>
      </c>
      <c r="J6316" s="4">
        <v>30798</v>
      </c>
    </row>
    <row r="6317" spans="1:10" x14ac:dyDescent="0.75">
      <c r="A6317" t="s">
        <v>163</v>
      </c>
      <c r="B6317">
        <v>2438</v>
      </c>
      <c r="C6317" t="s">
        <v>209</v>
      </c>
      <c r="D6317">
        <v>2340</v>
      </c>
      <c r="E6317" t="s">
        <v>369</v>
      </c>
      <c r="F6317" s="4">
        <v>23316</v>
      </c>
      <c r="G6317" s="4">
        <v>0</v>
      </c>
      <c r="H6317" s="4">
        <v>0</v>
      </c>
      <c r="I6317" s="4">
        <v>0</v>
      </c>
      <c r="J6317" s="4">
        <v>23316</v>
      </c>
    </row>
    <row r="6318" spans="1:10" x14ac:dyDescent="0.75">
      <c r="A6318" t="s">
        <v>163</v>
      </c>
      <c r="B6318">
        <v>2438</v>
      </c>
      <c r="C6318" t="s">
        <v>209</v>
      </c>
      <c r="D6318">
        <v>3130</v>
      </c>
      <c r="E6318" t="s">
        <v>407</v>
      </c>
      <c r="F6318" s="4">
        <v>21393</v>
      </c>
      <c r="G6318" s="4">
        <v>0</v>
      </c>
      <c r="H6318" s="4">
        <v>0</v>
      </c>
      <c r="I6318" s="4">
        <v>0</v>
      </c>
      <c r="J6318" s="4">
        <v>21393</v>
      </c>
    </row>
    <row r="6319" spans="1:10" x14ac:dyDescent="0.75">
      <c r="A6319" t="s">
        <v>163</v>
      </c>
      <c r="B6319">
        <v>2438</v>
      </c>
      <c r="C6319" t="s">
        <v>209</v>
      </c>
      <c r="D6319">
        <v>2540</v>
      </c>
      <c r="E6319" t="s">
        <v>377</v>
      </c>
      <c r="F6319" s="4">
        <v>20700</v>
      </c>
      <c r="G6319" s="4">
        <v>0</v>
      </c>
      <c r="H6319" s="4">
        <v>0</v>
      </c>
      <c r="I6319" s="4">
        <v>0</v>
      </c>
      <c r="J6319" s="4">
        <v>20700</v>
      </c>
    </row>
    <row r="6320" spans="1:10" x14ac:dyDescent="0.75">
      <c r="A6320" t="s">
        <v>163</v>
      </c>
      <c r="B6320">
        <v>2438</v>
      </c>
      <c r="C6320" t="s">
        <v>209</v>
      </c>
      <c r="D6320">
        <v>3120</v>
      </c>
      <c r="E6320" t="s">
        <v>406</v>
      </c>
      <c r="F6320" s="4">
        <v>12811</v>
      </c>
      <c r="G6320" s="4">
        <v>0</v>
      </c>
      <c r="H6320" s="4">
        <v>0</v>
      </c>
      <c r="I6320" s="4">
        <v>0</v>
      </c>
      <c r="J6320" s="4">
        <v>12811</v>
      </c>
    </row>
    <row r="6321" spans="1:10" x14ac:dyDescent="0.75">
      <c r="A6321" t="s">
        <v>163</v>
      </c>
      <c r="B6321">
        <v>2438</v>
      </c>
      <c r="C6321" t="s">
        <v>209</v>
      </c>
      <c r="D6321">
        <v>5330</v>
      </c>
      <c r="E6321" t="s">
        <v>385</v>
      </c>
      <c r="F6321" s="4">
        <v>11862</v>
      </c>
      <c r="G6321" s="4">
        <v>0</v>
      </c>
      <c r="H6321" s="4">
        <v>0</v>
      </c>
      <c r="I6321" s="4">
        <v>0</v>
      </c>
      <c r="J6321" s="4">
        <v>11862</v>
      </c>
    </row>
    <row r="6322" spans="1:10" x14ac:dyDescent="0.75">
      <c r="A6322" t="s">
        <v>163</v>
      </c>
      <c r="B6322">
        <v>2438</v>
      </c>
      <c r="C6322" t="s">
        <v>209</v>
      </c>
      <c r="D6322">
        <v>6241</v>
      </c>
      <c r="E6322" t="s">
        <v>391</v>
      </c>
      <c r="F6322" s="4">
        <v>8496</v>
      </c>
      <c r="G6322" s="4">
        <v>0</v>
      </c>
      <c r="H6322" s="4">
        <v>0</v>
      </c>
      <c r="I6322" s="4">
        <v>0</v>
      </c>
      <c r="J6322" s="4">
        <v>8496</v>
      </c>
    </row>
    <row r="6323" spans="1:10" x14ac:dyDescent="0.75">
      <c r="A6323" t="s">
        <v>163</v>
      </c>
      <c r="B6323">
        <v>2438</v>
      </c>
      <c r="C6323" t="s">
        <v>209</v>
      </c>
      <c r="D6323">
        <v>3190</v>
      </c>
      <c r="E6323" t="s">
        <v>408</v>
      </c>
      <c r="F6323" s="4">
        <v>6082</v>
      </c>
      <c r="G6323" s="4">
        <v>0</v>
      </c>
      <c r="H6323" s="4">
        <v>0</v>
      </c>
      <c r="I6323" s="4">
        <v>0</v>
      </c>
      <c r="J6323" s="4">
        <v>6082</v>
      </c>
    </row>
    <row r="6324" spans="1:10" x14ac:dyDescent="0.75">
      <c r="A6324" t="s">
        <v>163</v>
      </c>
      <c r="B6324">
        <v>2438</v>
      </c>
      <c r="C6324" t="s">
        <v>209</v>
      </c>
      <c r="D6324">
        <v>6654</v>
      </c>
      <c r="E6324" t="s">
        <v>419</v>
      </c>
      <c r="F6324" s="4">
        <v>5959</v>
      </c>
      <c r="G6324" s="4">
        <v>0</v>
      </c>
      <c r="H6324" s="4">
        <v>0</v>
      </c>
      <c r="I6324" s="4">
        <v>0</v>
      </c>
      <c r="J6324" s="4">
        <v>5959</v>
      </c>
    </row>
    <row r="6325" spans="1:10" x14ac:dyDescent="0.75">
      <c r="A6325" t="s">
        <v>163</v>
      </c>
      <c r="B6325">
        <v>2438</v>
      </c>
      <c r="C6325" t="s">
        <v>209</v>
      </c>
      <c r="D6325">
        <v>2990</v>
      </c>
      <c r="E6325" t="s">
        <v>432</v>
      </c>
      <c r="F6325" s="4">
        <v>3400</v>
      </c>
      <c r="G6325" s="4">
        <v>0</v>
      </c>
      <c r="H6325" s="4">
        <v>0</v>
      </c>
      <c r="I6325" s="4">
        <v>0</v>
      </c>
      <c r="J6325" s="4">
        <v>3400</v>
      </c>
    </row>
    <row r="6326" spans="1:10" x14ac:dyDescent="0.75">
      <c r="A6326" t="s">
        <v>163</v>
      </c>
      <c r="B6326">
        <v>2438</v>
      </c>
      <c r="C6326" t="s">
        <v>209</v>
      </c>
      <c r="D6326">
        <v>5480</v>
      </c>
      <c r="E6326" t="s">
        <v>386</v>
      </c>
      <c r="F6326" s="4">
        <v>2063</v>
      </c>
      <c r="G6326" s="4">
        <v>0</v>
      </c>
      <c r="H6326" s="4">
        <v>0</v>
      </c>
      <c r="I6326" s="4">
        <v>0</v>
      </c>
      <c r="J6326" s="4">
        <v>2063</v>
      </c>
    </row>
    <row r="6327" spans="1:10" x14ac:dyDescent="0.75">
      <c r="A6327" t="s">
        <v>163</v>
      </c>
      <c r="B6327">
        <v>2438</v>
      </c>
      <c r="C6327" t="s">
        <v>209</v>
      </c>
      <c r="D6327">
        <v>6782</v>
      </c>
      <c r="E6327" t="s">
        <v>396</v>
      </c>
      <c r="F6327" s="4">
        <v>1680</v>
      </c>
      <c r="G6327" s="4">
        <v>0</v>
      </c>
      <c r="H6327" s="4">
        <v>0</v>
      </c>
      <c r="I6327" s="4">
        <v>0</v>
      </c>
      <c r="J6327" s="4">
        <v>1680</v>
      </c>
    </row>
    <row r="6328" spans="1:10" x14ac:dyDescent="0.75">
      <c r="A6328" t="s">
        <v>163</v>
      </c>
      <c r="B6328">
        <v>2438</v>
      </c>
      <c r="C6328" t="s">
        <v>209</v>
      </c>
      <c r="D6328">
        <v>4323</v>
      </c>
      <c r="E6328" t="s">
        <v>373</v>
      </c>
      <c r="F6328" s="4">
        <v>1460</v>
      </c>
      <c r="G6328" s="4">
        <v>0</v>
      </c>
      <c r="H6328" s="4">
        <v>0</v>
      </c>
      <c r="I6328" s="4">
        <v>0</v>
      </c>
      <c r="J6328" s="4">
        <v>1460</v>
      </c>
    </row>
    <row r="6329" spans="1:10" x14ac:dyDescent="0.75">
      <c r="A6329" t="s">
        <v>151</v>
      </c>
      <c r="B6329">
        <v>99</v>
      </c>
      <c r="C6329" t="s">
        <v>67</v>
      </c>
      <c r="D6329">
        <v>2211</v>
      </c>
      <c r="E6329" t="s">
        <v>367</v>
      </c>
      <c r="F6329" s="4">
        <v>28703</v>
      </c>
      <c r="G6329" s="4">
        <v>1716124</v>
      </c>
      <c r="H6329" s="4">
        <v>1716124</v>
      </c>
      <c r="I6329" s="4">
        <v>0</v>
      </c>
      <c r="J6329" s="4">
        <v>1744827</v>
      </c>
    </row>
    <row r="6330" spans="1:10" x14ac:dyDescent="0.75">
      <c r="A6330" t="s">
        <v>151</v>
      </c>
      <c r="B6330">
        <v>99</v>
      </c>
      <c r="C6330" t="s">
        <v>67</v>
      </c>
      <c r="D6330">
        <v>2330</v>
      </c>
      <c r="E6330" t="s">
        <v>368</v>
      </c>
      <c r="F6330" s="4">
        <v>68116</v>
      </c>
      <c r="G6330" s="4">
        <v>1134715</v>
      </c>
      <c r="H6330" s="4">
        <v>1134715</v>
      </c>
      <c r="I6330" s="4">
        <v>0</v>
      </c>
      <c r="J6330" s="4">
        <v>1202831</v>
      </c>
    </row>
    <row r="6331" spans="1:10" x14ac:dyDescent="0.75">
      <c r="A6331" t="s">
        <v>151</v>
      </c>
      <c r="B6331">
        <v>99</v>
      </c>
      <c r="C6331" t="s">
        <v>67</v>
      </c>
      <c r="D6331">
        <v>2100</v>
      </c>
      <c r="E6331" t="s">
        <v>403</v>
      </c>
      <c r="F6331" s="4">
        <v>0</v>
      </c>
      <c r="G6331" s="4">
        <v>373282</v>
      </c>
      <c r="H6331" s="4">
        <v>373282</v>
      </c>
      <c r="I6331" s="4">
        <v>0</v>
      </c>
      <c r="J6331" s="4">
        <v>373282</v>
      </c>
    </row>
    <row r="6332" spans="1:10" x14ac:dyDescent="0.75">
      <c r="A6332" t="s">
        <v>151</v>
      </c>
      <c r="B6332">
        <v>99</v>
      </c>
      <c r="C6332" t="s">
        <v>67</v>
      </c>
      <c r="D6332">
        <v>3220</v>
      </c>
      <c r="E6332" t="s">
        <v>370</v>
      </c>
      <c r="F6332" s="4">
        <v>263792</v>
      </c>
      <c r="G6332" s="4">
        <v>68</v>
      </c>
      <c r="H6332" s="4">
        <v>68</v>
      </c>
      <c r="I6332" s="4">
        <v>0</v>
      </c>
      <c r="J6332" s="4">
        <v>263860</v>
      </c>
    </row>
    <row r="6333" spans="1:10" x14ac:dyDescent="0.75">
      <c r="A6333" t="s">
        <v>151</v>
      </c>
      <c r="B6333">
        <v>99</v>
      </c>
      <c r="C6333" t="s">
        <v>67</v>
      </c>
      <c r="D6333">
        <v>4783</v>
      </c>
      <c r="E6333" t="s">
        <v>382</v>
      </c>
      <c r="F6333" s="4">
        <v>0</v>
      </c>
      <c r="G6333" s="4">
        <v>147887</v>
      </c>
      <c r="H6333" s="4">
        <v>147887</v>
      </c>
      <c r="I6333" s="4">
        <v>0</v>
      </c>
      <c r="J6333" s="4">
        <v>147887</v>
      </c>
    </row>
    <row r="6334" spans="1:10" x14ac:dyDescent="0.75">
      <c r="A6334" t="s">
        <v>151</v>
      </c>
      <c r="B6334">
        <v>99</v>
      </c>
      <c r="C6334" t="s">
        <v>67</v>
      </c>
      <c r="D6334">
        <v>4782</v>
      </c>
      <c r="E6334" t="s">
        <v>414</v>
      </c>
      <c r="F6334" s="4">
        <v>0</v>
      </c>
      <c r="G6334" s="4">
        <v>91432</v>
      </c>
      <c r="H6334" s="4">
        <v>91432</v>
      </c>
      <c r="I6334" s="4">
        <v>0</v>
      </c>
      <c r="J6334" s="4">
        <v>91432</v>
      </c>
    </row>
    <row r="6335" spans="1:10" x14ac:dyDescent="0.75">
      <c r="A6335" t="s">
        <v>151</v>
      </c>
      <c r="B6335">
        <v>99</v>
      </c>
      <c r="C6335" t="s">
        <v>67</v>
      </c>
      <c r="D6335">
        <v>1100</v>
      </c>
      <c r="E6335" t="s">
        <v>397</v>
      </c>
      <c r="F6335" s="4">
        <v>0</v>
      </c>
      <c r="G6335" s="4">
        <v>84878</v>
      </c>
      <c r="H6335" s="4">
        <v>84878</v>
      </c>
      <c r="I6335" s="4">
        <v>0</v>
      </c>
      <c r="J6335" s="4">
        <v>84878</v>
      </c>
    </row>
    <row r="6336" spans="1:10" x14ac:dyDescent="0.75">
      <c r="A6336" t="s">
        <v>151</v>
      </c>
      <c r="B6336">
        <v>99</v>
      </c>
      <c r="C6336" t="s">
        <v>67</v>
      </c>
      <c r="D6336">
        <v>2221</v>
      </c>
      <c r="E6336" t="s">
        <v>374</v>
      </c>
      <c r="F6336" s="4">
        <v>67471</v>
      </c>
      <c r="G6336" s="4">
        <v>8944</v>
      </c>
      <c r="H6336" s="4">
        <v>8944</v>
      </c>
      <c r="I6336" s="4">
        <v>0</v>
      </c>
      <c r="J6336" s="4">
        <v>76415</v>
      </c>
    </row>
    <row r="6337" spans="1:10" x14ac:dyDescent="0.75">
      <c r="A6337" t="s">
        <v>151</v>
      </c>
      <c r="B6337">
        <v>99</v>
      </c>
      <c r="C6337" t="s">
        <v>67</v>
      </c>
      <c r="D6337">
        <v>4900</v>
      </c>
      <c r="E6337" t="s">
        <v>383</v>
      </c>
      <c r="F6337" s="4">
        <v>0</v>
      </c>
      <c r="G6337" s="4">
        <v>74757</v>
      </c>
      <c r="H6337" s="4">
        <v>74757</v>
      </c>
      <c r="I6337" s="4">
        <v>0</v>
      </c>
      <c r="J6337" s="4">
        <v>74757</v>
      </c>
    </row>
    <row r="6338" spans="1:10" x14ac:dyDescent="0.75">
      <c r="A6338" t="s">
        <v>151</v>
      </c>
      <c r="B6338">
        <v>99</v>
      </c>
      <c r="C6338" t="s">
        <v>67</v>
      </c>
      <c r="D6338">
        <v>6134</v>
      </c>
      <c r="E6338" t="s">
        <v>470</v>
      </c>
      <c r="F6338" s="4">
        <v>0</v>
      </c>
      <c r="G6338" s="4">
        <v>65300</v>
      </c>
      <c r="H6338" s="4">
        <v>65300</v>
      </c>
      <c r="I6338" s="4">
        <v>0</v>
      </c>
      <c r="J6338" s="4">
        <v>65300</v>
      </c>
    </row>
    <row r="6339" spans="1:10" x14ac:dyDescent="0.75">
      <c r="A6339" t="s">
        <v>151</v>
      </c>
      <c r="B6339">
        <v>99</v>
      </c>
      <c r="C6339" t="s">
        <v>67</v>
      </c>
      <c r="D6339">
        <v>6888</v>
      </c>
      <c r="E6339" t="s">
        <v>494</v>
      </c>
      <c r="F6339" s="4">
        <v>0</v>
      </c>
      <c r="G6339" s="4">
        <v>53006</v>
      </c>
      <c r="H6339" s="4">
        <v>53006</v>
      </c>
      <c r="I6339" s="4">
        <v>0</v>
      </c>
      <c r="J6339" s="4">
        <v>53006</v>
      </c>
    </row>
    <row r="6340" spans="1:10" x14ac:dyDescent="0.75">
      <c r="A6340" t="s">
        <v>151</v>
      </c>
      <c r="B6340">
        <v>99</v>
      </c>
      <c r="C6340" t="s">
        <v>67</v>
      </c>
      <c r="D6340">
        <v>2340</v>
      </c>
      <c r="E6340" t="s">
        <v>369</v>
      </c>
      <c r="F6340" s="4">
        <v>16146</v>
      </c>
      <c r="G6340" s="4">
        <v>0</v>
      </c>
      <c r="H6340" s="4">
        <v>0</v>
      </c>
      <c r="I6340" s="4">
        <v>0</v>
      </c>
      <c r="J6340" s="4">
        <v>16146</v>
      </c>
    </row>
    <row r="6341" spans="1:10" x14ac:dyDescent="0.75">
      <c r="A6341" t="s">
        <v>151</v>
      </c>
      <c r="B6341">
        <v>99</v>
      </c>
      <c r="C6341" t="s">
        <v>67</v>
      </c>
      <c r="D6341">
        <v>7110</v>
      </c>
      <c r="E6341" t="s">
        <v>371</v>
      </c>
      <c r="F6341" s="4">
        <v>0</v>
      </c>
      <c r="G6341" s="4">
        <v>10023</v>
      </c>
      <c r="H6341" s="4">
        <v>10023</v>
      </c>
      <c r="I6341" s="4">
        <v>0</v>
      </c>
      <c r="J6341" s="4">
        <v>10023</v>
      </c>
    </row>
    <row r="6342" spans="1:10" x14ac:dyDescent="0.75">
      <c r="A6342" t="s">
        <v>151</v>
      </c>
      <c r="B6342">
        <v>99</v>
      </c>
      <c r="C6342" t="s">
        <v>67</v>
      </c>
      <c r="D6342">
        <v>6889</v>
      </c>
      <c r="E6342" t="s">
        <v>420</v>
      </c>
      <c r="F6342" s="4">
        <v>0</v>
      </c>
      <c r="G6342" s="4">
        <v>8348</v>
      </c>
      <c r="H6342" s="4">
        <v>8348</v>
      </c>
      <c r="I6342" s="4">
        <v>0</v>
      </c>
      <c r="J6342" s="4">
        <v>8348</v>
      </c>
    </row>
    <row r="6343" spans="1:10" x14ac:dyDescent="0.75">
      <c r="A6343" t="s">
        <v>151</v>
      </c>
      <c r="B6343">
        <v>99</v>
      </c>
      <c r="C6343" t="s">
        <v>67</v>
      </c>
      <c r="D6343">
        <v>5315</v>
      </c>
      <c r="E6343" t="s">
        <v>417</v>
      </c>
      <c r="F6343" s="4">
        <v>0</v>
      </c>
      <c r="G6343" s="4">
        <v>6887</v>
      </c>
      <c r="H6343" s="4">
        <v>6887</v>
      </c>
      <c r="I6343" s="4">
        <v>0</v>
      </c>
      <c r="J6343" s="4">
        <v>6887</v>
      </c>
    </row>
    <row r="6344" spans="1:10" x14ac:dyDescent="0.75">
      <c r="A6344" t="s">
        <v>151</v>
      </c>
      <c r="B6344">
        <v>99</v>
      </c>
      <c r="C6344" t="s">
        <v>67</v>
      </c>
      <c r="D6344">
        <v>5290</v>
      </c>
      <c r="E6344" t="s">
        <v>415</v>
      </c>
      <c r="F6344" s="4">
        <v>0</v>
      </c>
      <c r="G6344" s="4">
        <v>6240</v>
      </c>
      <c r="H6344" s="4">
        <v>6240</v>
      </c>
      <c r="I6344" s="4">
        <v>0</v>
      </c>
      <c r="J6344" s="4">
        <v>6240</v>
      </c>
    </row>
    <row r="6345" spans="1:10" x14ac:dyDescent="0.75">
      <c r="A6345" t="s">
        <v>151</v>
      </c>
      <c r="B6345">
        <v>99</v>
      </c>
      <c r="C6345" t="s">
        <v>67</v>
      </c>
      <c r="D6345">
        <v>7900</v>
      </c>
      <c r="E6345" t="s">
        <v>388</v>
      </c>
      <c r="F6345" s="4">
        <v>294</v>
      </c>
      <c r="G6345" s="4">
        <v>4157</v>
      </c>
      <c r="H6345" s="4">
        <v>4157</v>
      </c>
      <c r="I6345" s="4">
        <v>0</v>
      </c>
      <c r="J6345" s="4">
        <v>4451</v>
      </c>
    </row>
    <row r="6346" spans="1:10" x14ac:dyDescent="0.75">
      <c r="A6346" t="s">
        <v>151</v>
      </c>
      <c r="B6346">
        <v>99</v>
      </c>
      <c r="C6346" t="s">
        <v>67</v>
      </c>
      <c r="D6346">
        <v>5240</v>
      </c>
      <c r="E6346" t="s">
        <v>464</v>
      </c>
      <c r="F6346" s="4">
        <v>0</v>
      </c>
      <c r="G6346" s="4">
        <v>4291</v>
      </c>
      <c r="H6346" s="4">
        <v>4291</v>
      </c>
      <c r="I6346" s="4">
        <v>0</v>
      </c>
      <c r="J6346" s="4">
        <v>4291</v>
      </c>
    </row>
    <row r="6347" spans="1:10" x14ac:dyDescent="0.75">
      <c r="A6347" t="s">
        <v>151</v>
      </c>
      <c r="B6347">
        <v>99</v>
      </c>
      <c r="C6347" t="s">
        <v>67</v>
      </c>
      <c r="D6347">
        <v>5120</v>
      </c>
      <c r="E6347" t="s">
        <v>461</v>
      </c>
      <c r="F6347" s="4">
        <v>0</v>
      </c>
      <c r="G6347" s="4">
        <v>4263</v>
      </c>
      <c r="H6347" s="4">
        <v>4263</v>
      </c>
      <c r="I6347" s="4">
        <v>0</v>
      </c>
      <c r="J6347" s="4">
        <v>4263</v>
      </c>
    </row>
    <row r="6348" spans="1:10" x14ac:dyDescent="0.75">
      <c r="A6348" t="s">
        <v>151</v>
      </c>
      <c r="B6348">
        <v>99</v>
      </c>
      <c r="C6348" t="s">
        <v>67</v>
      </c>
      <c r="D6348">
        <v>7500</v>
      </c>
      <c r="E6348" t="s">
        <v>427</v>
      </c>
      <c r="F6348" s="4">
        <v>0</v>
      </c>
      <c r="G6348" s="4">
        <v>3899</v>
      </c>
      <c r="H6348" s="4">
        <v>3899</v>
      </c>
      <c r="I6348" s="4">
        <v>0</v>
      </c>
      <c r="J6348" s="4">
        <v>3899</v>
      </c>
    </row>
    <row r="6349" spans="1:10" x14ac:dyDescent="0.75">
      <c r="A6349" t="s">
        <v>151</v>
      </c>
      <c r="B6349">
        <v>99</v>
      </c>
      <c r="C6349" t="s">
        <v>67</v>
      </c>
      <c r="D6349">
        <v>6838</v>
      </c>
      <c r="E6349" t="s">
        <v>484</v>
      </c>
      <c r="F6349" s="4">
        <v>0</v>
      </c>
      <c r="G6349" s="4">
        <v>3477</v>
      </c>
      <c r="H6349" s="4">
        <v>3477</v>
      </c>
      <c r="I6349" s="4">
        <v>0</v>
      </c>
      <c r="J6349" s="4">
        <v>3477</v>
      </c>
    </row>
    <row r="6350" spans="1:10" x14ac:dyDescent="0.75">
      <c r="A6350" t="s">
        <v>151</v>
      </c>
      <c r="B6350">
        <v>99</v>
      </c>
      <c r="C6350" t="s">
        <v>67</v>
      </c>
      <c r="D6350">
        <v>3286</v>
      </c>
      <c r="E6350" t="s">
        <v>423</v>
      </c>
      <c r="F6350" s="4">
        <v>0</v>
      </c>
      <c r="G6350" s="4">
        <v>3304</v>
      </c>
      <c r="H6350" s="4">
        <v>3304</v>
      </c>
      <c r="I6350" s="4">
        <v>0</v>
      </c>
      <c r="J6350" s="4">
        <v>3304</v>
      </c>
    </row>
    <row r="6351" spans="1:10" x14ac:dyDescent="0.75">
      <c r="A6351" t="s">
        <v>151</v>
      </c>
      <c r="B6351">
        <v>99</v>
      </c>
      <c r="C6351" t="s">
        <v>67</v>
      </c>
      <c r="D6351">
        <v>9900</v>
      </c>
      <c r="E6351" t="s">
        <v>389</v>
      </c>
      <c r="F6351" s="4">
        <v>0</v>
      </c>
      <c r="G6351" s="4">
        <v>3023</v>
      </c>
      <c r="H6351" s="4">
        <v>3023</v>
      </c>
      <c r="I6351" s="4">
        <v>0</v>
      </c>
      <c r="J6351" s="4">
        <v>3023</v>
      </c>
    </row>
    <row r="6352" spans="1:10" x14ac:dyDescent="0.75">
      <c r="A6352" t="s">
        <v>151</v>
      </c>
      <c r="B6352">
        <v>99</v>
      </c>
      <c r="C6352" t="s">
        <v>67</v>
      </c>
      <c r="D6352">
        <v>7600</v>
      </c>
      <c r="E6352" t="s">
        <v>503</v>
      </c>
      <c r="F6352" s="4">
        <v>0</v>
      </c>
      <c r="G6352" s="4">
        <v>2986</v>
      </c>
      <c r="H6352" s="4">
        <v>2986</v>
      </c>
      <c r="I6352" s="4">
        <v>0</v>
      </c>
      <c r="J6352" s="4">
        <v>2986</v>
      </c>
    </row>
    <row r="6353" spans="1:10" x14ac:dyDescent="0.75">
      <c r="A6353" t="s">
        <v>151</v>
      </c>
      <c r="B6353">
        <v>99</v>
      </c>
      <c r="C6353" t="s">
        <v>67</v>
      </c>
      <c r="D6353">
        <v>6136</v>
      </c>
      <c r="E6353" t="s">
        <v>471</v>
      </c>
      <c r="F6353" s="4">
        <v>0</v>
      </c>
      <c r="G6353" s="4">
        <v>2967</v>
      </c>
      <c r="H6353" s="4">
        <v>2967</v>
      </c>
      <c r="I6353" s="4">
        <v>0</v>
      </c>
      <c r="J6353" s="4">
        <v>2967</v>
      </c>
    </row>
    <row r="6354" spans="1:10" x14ac:dyDescent="0.75">
      <c r="A6354" t="s">
        <v>151</v>
      </c>
      <c r="B6354">
        <v>99</v>
      </c>
      <c r="C6354" t="s">
        <v>67</v>
      </c>
      <c r="D6354">
        <v>5421</v>
      </c>
      <c r="E6354" t="s">
        <v>467</v>
      </c>
      <c r="F6354" s="4">
        <v>0</v>
      </c>
      <c r="G6354" s="4">
        <v>2836</v>
      </c>
      <c r="H6354" s="4">
        <v>2836</v>
      </c>
      <c r="I6354" s="4">
        <v>0</v>
      </c>
      <c r="J6354" s="4">
        <v>2836</v>
      </c>
    </row>
    <row r="6355" spans="1:10" x14ac:dyDescent="0.75">
      <c r="A6355" t="s">
        <v>151</v>
      </c>
      <c r="B6355">
        <v>99</v>
      </c>
      <c r="C6355" t="s">
        <v>67</v>
      </c>
      <c r="D6355">
        <v>3276</v>
      </c>
      <c r="E6355" t="s">
        <v>379</v>
      </c>
      <c r="F6355" s="4">
        <v>0</v>
      </c>
      <c r="G6355" s="4">
        <v>2473</v>
      </c>
      <c r="H6355" s="4">
        <v>2473</v>
      </c>
      <c r="I6355" s="4">
        <v>0</v>
      </c>
      <c r="J6355" s="4">
        <v>2473</v>
      </c>
    </row>
    <row r="6356" spans="1:10" x14ac:dyDescent="0.75">
      <c r="A6356" t="s">
        <v>151</v>
      </c>
      <c r="B6356">
        <v>99</v>
      </c>
      <c r="C6356" t="s">
        <v>67</v>
      </c>
      <c r="D6356">
        <v>6654</v>
      </c>
      <c r="E6356" t="s">
        <v>419</v>
      </c>
      <c r="F6356" s="4">
        <v>0</v>
      </c>
      <c r="G6356" s="4">
        <v>1937</v>
      </c>
      <c r="H6356" s="4">
        <v>1937</v>
      </c>
      <c r="I6356" s="4">
        <v>0</v>
      </c>
      <c r="J6356" s="4">
        <v>1937</v>
      </c>
    </row>
    <row r="6357" spans="1:10" x14ac:dyDescent="0.75">
      <c r="A6357" t="s">
        <v>151</v>
      </c>
      <c r="B6357">
        <v>99</v>
      </c>
      <c r="C6357" t="s">
        <v>67</v>
      </c>
      <c r="D6357">
        <v>4190</v>
      </c>
      <c r="E6357" t="s">
        <v>452</v>
      </c>
      <c r="F6357" s="4">
        <v>0</v>
      </c>
      <c r="G6357" s="4">
        <v>1917</v>
      </c>
      <c r="H6357" s="4">
        <v>1917</v>
      </c>
      <c r="I6357" s="4">
        <v>0</v>
      </c>
      <c r="J6357" s="4">
        <v>1917</v>
      </c>
    </row>
    <row r="6358" spans="1:10" x14ac:dyDescent="0.75">
      <c r="A6358" t="s">
        <v>151</v>
      </c>
      <c r="B6358">
        <v>99</v>
      </c>
      <c r="C6358" t="s">
        <v>67</v>
      </c>
      <c r="D6358">
        <v>6885</v>
      </c>
      <c r="E6358" t="s">
        <v>493</v>
      </c>
      <c r="F6358" s="4">
        <v>0</v>
      </c>
      <c r="G6358" s="4">
        <v>1536</v>
      </c>
      <c r="H6358" s="4">
        <v>1536</v>
      </c>
      <c r="I6358" s="4">
        <v>0</v>
      </c>
      <c r="J6358" s="4">
        <v>1536</v>
      </c>
    </row>
    <row r="6359" spans="1:10" x14ac:dyDescent="0.75">
      <c r="A6359" t="s">
        <v>151</v>
      </c>
      <c r="B6359">
        <v>99</v>
      </c>
      <c r="C6359" t="s">
        <v>67</v>
      </c>
      <c r="D6359">
        <v>5480</v>
      </c>
      <c r="E6359" t="s">
        <v>386</v>
      </c>
      <c r="F6359" s="4">
        <v>0</v>
      </c>
      <c r="G6359" s="4">
        <v>1510</v>
      </c>
      <c r="H6359" s="4">
        <v>1510</v>
      </c>
      <c r="I6359" s="4">
        <v>0</v>
      </c>
      <c r="J6359" s="4">
        <v>1510</v>
      </c>
    </row>
    <row r="6360" spans="1:10" x14ac:dyDescent="0.75">
      <c r="A6360" t="s">
        <v>151</v>
      </c>
      <c r="B6360">
        <v>99</v>
      </c>
      <c r="C6360" t="s">
        <v>67</v>
      </c>
      <c r="D6360">
        <v>5360</v>
      </c>
      <c r="E6360" t="s">
        <v>465</v>
      </c>
      <c r="F6360" s="4">
        <v>0</v>
      </c>
      <c r="G6360" s="4">
        <v>1403</v>
      </c>
      <c r="H6360" s="4">
        <v>1403</v>
      </c>
      <c r="I6360" s="4">
        <v>0</v>
      </c>
      <c r="J6360" s="4">
        <v>1403</v>
      </c>
    </row>
    <row r="6361" spans="1:10" x14ac:dyDescent="0.75">
      <c r="A6361" t="s">
        <v>151</v>
      </c>
      <c r="B6361">
        <v>99</v>
      </c>
      <c r="C6361" t="s">
        <v>67</v>
      </c>
      <c r="D6361">
        <v>6858</v>
      </c>
      <c r="E6361" t="s">
        <v>488</v>
      </c>
      <c r="F6361" s="4">
        <v>0</v>
      </c>
      <c r="G6361" s="4">
        <v>1386</v>
      </c>
      <c r="H6361" s="4">
        <v>1386</v>
      </c>
      <c r="I6361" s="4">
        <v>0</v>
      </c>
      <c r="J6361" s="4">
        <v>1386</v>
      </c>
    </row>
    <row r="6362" spans="1:10" x14ac:dyDescent="0.75">
      <c r="A6362" t="s">
        <v>151</v>
      </c>
      <c r="B6362">
        <v>99</v>
      </c>
      <c r="C6362" t="s">
        <v>67</v>
      </c>
      <c r="D6362">
        <v>6839</v>
      </c>
      <c r="E6362" t="s">
        <v>485</v>
      </c>
      <c r="F6362" s="4">
        <v>0</v>
      </c>
      <c r="G6362" s="4">
        <v>1236</v>
      </c>
      <c r="H6362" s="4">
        <v>1236</v>
      </c>
      <c r="I6362" s="4">
        <v>0</v>
      </c>
      <c r="J6362" s="4">
        <v>1236</v>
      </c>
    </row>
    <row r="6363" spans="1:10" x14ac:dyDescent="0.75">
      <c r="A6363" t="s">
        <v>151</v>
      </c>
      <c r="B6363">
        <v>99</v>
      </c>
      <c r="C6363" t="s">
        <v>67</v>
      </c>
      <c r="D6363">
        <v>6835</v>
      </c>
      <c r="E6363" t="s">
        <v>483</v>
      </c>
      <c r="F6363" s="4">
        <v>0</v>
      </c>
      <c r="G6363" s="4">
        <v>1152</v>
      </c>
      <c r="H6363" s="4">
        <v>1152</v>
      </c>
      <c r="I6363" s="4">
        <v>0</v>
      </c>
      <c r="J6363" s="4">
        <v>1152</v>
      </c>
    </row>
    <row r="6364" spans="1:10" x14ac:dyDescent="0.75">
      <c r="A6364" t="s">
        <v>151</v>
      </c>
      <c r="B6364">
        <v>99</v>
      </c>
      <c r="C6364" t="s">
        <v>67</v>
      </c>
      <c r="D6364">
        <v>3285</v>
      </c>
      <c r="E6364" t="s">
        <v>443</v>
      </c>
      <c r="F6364" s="4">
        <v>0</v>
      </c>
      <c r="G6364" s="4">
        <v>1055</v>
      </c>
      <c r="H6364" s="4">
        <v>1055</v>
      </c>
      <c r="I6364" s="4">
        <v>0</v>
      </c>
      <c r="J6364" s="4">
        <v>1055</v>
      </c>
    </row>
    <row r="6365" spans="1:10" x14ac:dyDescent="0.75">
      <c r="A6365" t="s">
        <v>151</v>
      </c>
      <c r="B6365">
        <v>99</v>
      </c>
      <c r="C6365" t="s">
        <v>67</v>
      </c>
      <c r="D6365">
        <v>3284</v>
      </c>
      <c r="E6365" t="s">
        <v>442</v>
      </c>
      <c r="F6365" s="4">
        <v>0</v>
      </c>
      <c r="G6365" s="4">
        <v>882</v>
      </c>
      <c r="H6365" s="4">
        <v>882</v>
      </c>
      <c r="I6365" s="4">
        <v>0</v>
      </c>
      <c r="J6365" s="4">
        <v>882</v>
      </c>
    </row>
    <row r="6366" spans="1:10" x14ac:dyDescent="0.75">
      <c r="A6366" t="s">
        <v>151</v>
      </c>
      <c r="B6366">
        <v>99</v>
      </c>
      <c r="C6366" t="s">
        <v>67</v>
      </c>
      <c r="D6366">
        <v>5190</v>
      </c>
      <c r="E6366" t="s">
        <v>462</v>
      </c>
      <c r="F6366" s="4">
        <v>0</v>
      </c>
      <c r="G6366" s="4">
        <v>836</v>
      </c>
      <c r="H6366" s="4">
        <v>836</v>
      </c>
      <c r="I6366" s="4">
        <v>0</v>
      </c>
      <c r="J6366" s="4">
        <v>836</v>
      </c>
    </row>
    <row r="6367" spans="1:10" x14ac:dyDescent="0.75">
      <c r="A6367" t="s">
        <v>151</v>
      </c>
      <c r="B6367">
        <v>99</v>
      </c>
      <c r="C6367" t="s">
        <v>67</v>
      </c>
      <c r="D6367">
        <v>7210</v>
      </c>
      <c r="E6367" t="s">
        <v>426</v>
      </c>
      <c r="F6367" s="4">
        <v>0</v>
      </c>
      <c r="G6367" s="4">
        <v>737</v>
      </c>
      <c r="H6367" s="4">
        <v>737</v>
      </c>
      <c r="I6367" s="4">
        <v>0</v>
      </c>
      <c r="J6367" s="4">
        <v>737</v>
      </c>
    </row>
    <row r="6368" spans="1:10" x14ac:dyDescent="0.75">
      <c r="A6368" t="s">
        <v>151</v>
      </c>
      <c r="B6368">
        <v>99</v>
      </c>
      <c r="C6368" t="s">
        <v>67</v>
      </c>
      <c r="D6368">
        <v>3293</v>
      </c>
      <c r="E6368" t="s">
        <v>445</v>
      </c>
      <c r="F6368" s="4">
        <v>0</v>
      </c>
      <c r="G6368" s="4">
        <v>701</v>
      </c>
      <c r="H6368" s="4">
        <v>701</v>
      </c>
      <c r="I6368" s="4">
        <v>0</v>
      </c>
      <c r="J6368" s="4">
        <v>701</v>
      </c>
    </row>
    <row r="6369" spans="1:10" x14ac:dyDescent="0.75">
      <c r="A6369" t="s">
        <v>151</v>
      </c>
      <c r="B6369">
        <v>99</v>
      </c>
      <c r="C6369" t="s">
        <v>67</v>
      </c>
      <c r="D6369">
        <v>6747</v>
      </c>
      <c r="E6369" t="s">
        <v>478</v>
      </c>
      <c r="F6369" s="4">
        <v>0</v>
      </c>
      <c r="G6369" s="4">
        <v>667</v>
      </c>
      <c r="H6369" s="4">
        <v>667</v>
      </c>
      <c r="I6369" s="4">
        <v>0</v>
      </c>
      <c r="J6369" s="4">
        <v>667</v>
      </c>
    </row>
    <row r="6370" spans="1:10" x14ac:dyDescent="0.75">
      <c r="A6370" t="s">
        <v>151</v>
      </c>
      <c r="B6370">
        <v>99</v>
      </c>
      <c r="C6370" t="s">
        <v>67</v>
      </c>
      <c r="D6370">
        <v>3292</v>
      </c>
      <c r="E6370" t="s">
        <v>413</v>
      </c>
      <c r="F6370" s="4">
        <v>0</v>
      </c>
      <c r="G6370" s="4">
        <v>626</v>
      </c>
      <c r="H6370" s="4">
        <v>626</v>
      </c>
      <c r="I6370" s="4">
        <v>0</v>
      </c>
      <c r="J6370" s="4">
        <v>626</v>
      </c>
    </row>
    <row r="6371" spans="1:10" x14ac:dyDescent="0.75">
      <c r="A6371" t="s">
        <v>151</v>
      </c>
      <c r="B6371">
        <v>99</v>
      </c>
      <c r="C6371" t="s">
        <v>67</v>
      </c>
      <c r="D6371">
        <v>6653</v>
      </c>
      <c r="E6371" t="s">
        <v>395</v>
      </c>
      <c r="F6371" s="4">
        <v>0</v>
      </c>
      <c r="G6371" s="4">
        <v>544</v>
      </c>
      <c r="H6371" s="4">
        <v>544</v>
      </c>
      <c r="I6371" s="4">
        <v>0</v>
      </c>
      <c r="J6371" s="4">
        <v>544</v>
      </c>
    </row>
    <row r="6372" spans="1:10" x14ac:dyDescent="0.75">
      <c r="A6372" t="s">
        <v>151</v>
      </c>
      <c r="B6372">
        <v>99</v>
      </c>
      <c r="C6372" t="s">
        <v>67</v>
      </c>
      <c r="D6372">
        <v>4225</v>
      </c>
      <c r="E6372" t="s">
        <v>380</v>
      </c>
      <c r="F6372" s="4">
        <v>0</v>
      </c>
      <c r="G6372" s="4">
        <v>498</v>
      </c>
      <c r="H6372" s="4">
        <v>498</v>
      </c>
      <c r="I6372" s="4">
        <v>0</v>
      </c>
      <c r="J6372" s="4">
        <v>498</v>
      </c>
    </row>
    <row r="6373" spans="1:10" x14ac:dyDescent="0.75">
      <c r="A6373" t="s">
        <v>151</v>
      </c>
      <c r="B6373">
        <v>99</v>
      </c>
      <c r="C6373" t="s">
        <v>67</v>
      </c>
      <c r="D6373">
        <v>5429</v>
      </c>
      <c r="E6373" t="s">
        <v>429</v>
      </c>
      <c r="F6373" s="4">
        <v>0</v>
      </c>
      <c r="G6373" s="4">
        <v>381</v>
      </c>
      <c r="H6373" s="4">
        <v>381</v>
      </c>
      <c r="I6373" s="4">
        <v>0</v>
      </c>
      <c r="J6373" s="4">
        <v>381</v>
      </c>
    </row>
    <row r="6374" spans="1:10" x14ac:dyDescent="0.75">
      <c r="A6374" t="s">
        <v>151</v>
      </c>
      <c r="B6374">
        <v>99</v>
      </c>
      <c r="C6374" t="s">
        <v>67</v>
      </c>
      <c r="D6374">
        <v>6893</v>
      </c>
      <c r="E6374" t="s">
        <v>496</v>
      </c>
      <c r="F6374" s="4">
        <v>0</v>
      </c>
      <c r="G6374" s="4">
        <v>374</v>
      </c>
      <c r="H6374" s="4">
        <v>374</v>
      </c>
      <c r="I6374" s="4">
        <v>0</v>
      </c>
      <c r="J6374" s="4">
        <v>374</v>
      </c>
    </row>
    <row r="6375" spans="1:10" x14ac:dyDescent="0.75">
      <c r="A6375" t="s">
        <v>151</v>
      </c>
      <c r="B6375">
        <v>99</v>
      </c>
      <c r="C6375" t="s">
        <v>67</v>
      </c>
      <c r="D6375">
        <v>6894</v>
      </c>
      <c r="E6375" t="s">
        <v>497</v>
      </c>
      <c r="F6375" s="4">
        <v>0</v>
      </c>
      <c r="G6375" s="4">
        <v>350</v>
      </c>
      <c r="H6375" s="4">
        <v>350</v>
      </c>
      <c r="I6375" s="4">
        <v>0</v>
      </c>
      <c r="J6375" s="4">
        <v>350</v>
      </c>
    </row>
    <row r="6376" spans="1:10" x14ac:dyDescent="0.75">
      <c r="A6376" t="s">
        <v>151</v>
      </c>
      <c r="B6376">
        <v>99</v>
      </c>
      <c r="C6376" t="s">
        <v>67</v>
      </c>
      <c r="D6376">
        <v>3279</v>
      </c>
      <c r="E6376" t="s">
        <v>422</v>
      </c>
      <c r="F6376" s="4">
        <v>0</v>
      </c>
      <c r="G6376" s="4">
        <v>314</v>
      </c>
      <c r="H6376" s="4">
        <v>314</v>
      </c>
      <c r="I6376" s="4">
        <v>0</v>
      </c>
      <c r="J6376" s="4">
        <v>314</v>
      </c>
    </row>
    <row r="6377" spans="1:10" x14ac:dyDescent="0.75">
      <c r="A6377" t="s">
        <v>151</v>
      </c>
      <c r="B6377">
        <v>99</v>
      </c>
      <c r="C6377" t="s">
        <v>67</v>
      </c>
      <c r="D6377">
        <v>7120</v>
      </c>
      <c r="E6377" t="s">
        <v>499</v>
      </c>
      <c r="F6377" s="4">
        <v>0</v>
      </c>
      <c r="G6377" s="4">
        <v>303</v>
      </c>
      <c r="H6377" s="4">
        <v>303</v>
      </c>
      <c r="I6377" s="4">
        <v>0</v>
      </c>
      <c r="J6377" s="4">
        <v>303</v>
      </c>
    </row>
    <row r="6378" spans="1:10" x14ac:dyDescent="0.75">
      <c r="A6378" t="s">
        <v>151</v>
      </c>
      <c r="B6378">
        <v>99</v>
      </c>
      <c r="C6378" t="s">
        <v>67</v>
      </c>
      <c r="D6378">
        <v>3190</v>
      </c>
      <c r="E6378" t="s">
        <v>408</v>
      </c>
      <c r="F6378" s="4">
        <v>0</v>
      </c>
      <c r="G6378" s="4">
        <v>281</v>
      </c>
      <c r="H6378" s="4">
        <v>281</v>
      </c>
      <c r="I6378" s="4">
        <v>0</v>
      </c>
      <c r="J6378" s="4">
        <v>281</v>
      </c>
    </row>
    <row r="6379" spans="1:10" x14ac:dyDescent="0.75">
      <c r="A6379" t="s">
        <v>151</v>
      </c>
      <c r="B6379">
        <v>99</v>
      </c>
      <c r="C6379" t="s">
        <v>67</v>
      </c>
      <c r="D6379">
        <v>7230</v>
      </c>
      <c r="E6379" t="s">
        <v>387</v>
      </c>
      <c r="F6379" s="4">
        <v>0</v>
      </c>
      <c r="G6379" s="4">
        <v>253</v>
      </c>
      <c r="H6379" s="4">
        <v>253</v>
      </c>
      <c r="I6379" s="4">
        <v>0</v>
      </c>
      <c r="J6379" s="4">
        <v>253</v>
      </c>
    </row>
    <row r="6380" spans="1:10" x14ac:dyDescent="0.75">
      <c r="A6380" t="s">
        <v>151</v>
      </c>
      <c r="B6380">
        <v>99</v>
      </c>
      <c r="C6380" t="s">
        <v>67</v>
      </c>
      <c r="D6380">
        <v>3282</v>
      </c>
      <c r="E6380" t="s">
        <v>440</v>
      </c>
      <c r="F6380" s="4">
        <v>0</v>
      </c>
      <c r="G6380" s="4">
        <v>224</v>
      </c>
      <c r="H6380" s="4">
        <v>224</v>
      </c>
      <c r="I6380" s="4">
        <v>0</v>
      </c>
      <c r="J6380" s="4">
        <v>224</v>
      </c>
    </row>
    <row r="6381" spans="1:10" x14ac:dyDescent="0.75">
      <c r="A6381" t="s">
        <v>151</v>
      </c>
      <c r="B6381">
        <v>99</v>
      </c>
      <c r="C6381" t="s">
        <v>67</v>
      </c>
      <c r="D6381">
        <v>2640</v>
      </c>
      <c r="E6381" t="s">
        <v>431</v>
      </c>
      <c r="F6381" s="4">
        <v>0</v>
      </c>
      <c r="G6381" s="4">
        <v>223</v>
      </c>
      <c r="H6381" s="4">
        <v>223</v>
      </c>
      <c r="I6381" s="4">
        <v>0</v>
      </c>
      <c r="J6381" s="4">
        <v>223</v>
      </c>
    </row>
    <row r="6382" spans="1:10" x14ac:dyDescent="0.75">
      <c r="A6382" t="s">
        <v>151</v>
      </c>
      <c r="B6382">
        <v>99</v>
      </c>
      <c r="C6382" t="s">
        <v>67</v>
      </c>
      <c r="D6382">
        <v>7300</v>
      </c>
      <c r="E6382" t="s">
        <v>501</v>
      </c>
      <c r="F6382" s="4">
        <v>0</v>
      </c>
      <c r="G6382" s="4">
        <v>221</v>
      </c>
      <c r="H6382" s="4">
        <v>221</v>
      </c>
      <c r="I6382" s="4">
        <v>0</v>
      </c>
      <c r="J6382" s="4">
        <v>221</v>
      </c>
    </row>
    <row r="6383" spans="1:10" x14ac:dyDescent="0.75">
      <c r="A6383" t="s">
        <v>151</v>
      </c>
      <c r="B6383">
        <v>99</v>
      </c>
      <c r="C6383" t="s">
        <v>67</v>
      </c>
      <c r="D6383">
        <v>6857</v>
      </c>
      <c r="E6383" t="s">
        <v>487</v>
      </c>
      <c r="F6383" s="4">
        <v>0</v>
      </c>
      <c r="G6383" s="4">
        <v>205</v>
      </c>
      <c r="H6383" s="4">
        <v>205</v>
      </c>
      <c r="I6383" s="4">
        <v>0</v>
      </c>
      <c r="J6383" s="4">
        <v>205</v>
      </c>
    </row>
    <row r="6384" spans="1:10" x14ac:dyDescent="0.75">
      <c r="A6384" t="s">
        <v>151</v>
      </c>
      <c r="B6384">
        <v>99</v>
      </c>
      <c r="C6384" t="s">
        <v>67</v>
      </c>
      <c r="D6384">
        <v>4650</v>
      </c>
      <c r="E6384" t="s">
        <v>457</v>
      </c>
      <c r="F6384" s="4">
        <v>0</v>
      </c>
      <c r="G6384" s="4">
        <v>203</v>
      </c>
      <c r="H6384" s="4">
        <v>203</v>
      </c>
      <c r="I6384" s="4">
        <v>0</v>
      </c>
      <c r="J6384" s="4">
        <v>203</v>
      </c>
    </row>
    <row r="6385" spans="1:10" x14ac:dyDescent="0.75">
      <c r="A6385" t="s">
        <v>151</v>
      </c>
      <c r="B6385">
        <v>99</v>
      </c>
      <c r="C6385" t="s">
        <v>67</v>
      </c>
      <c r="D6385">
        <v>5540</v>
      </c>
      <c r="E6385" t="s">
        <v>469</v>
      </c>
      <c r="F6385" s="4">
        <v>0</v>
      </c>
      <c r="G6385" s="4">
        <v>202</v>
      </c>
      <c r="H6385" s="4">
        <v>202</v>
      </c>
      <c r="I6385" s="4">
        <v>0</v>
      </c>
      <c r="J6385" s="4">
        <v>202</v>
      </c>
    </row>
    <row r="6386" spans="1:10" x14ac:dyDescent="0.75">
      <c r="A6386" t="s">
        <v>151</v>
      </c>
      <c r="B6386">
        <v>99</v>
      </c>
      <c r="C6386" t="s">
        <v>67</v>
      </c>
      <c r="D6386">
        <v>6811</v>
      </c>
      <c r="E6386" t="s">
        <v>480</v>
      </c>
      <c r="F6386" s="4">
        <v>0</v>
      </c>
      <c r="G6386" s="4">
        <v>192</v>
      </c>
      <c r="H6386" s="4">
        <v>192</v>
      </c>
      <c r="I6386" s="4">
        <v>0</v>
      </c>
      <c r="J6386" s="4">
        <v>192</v>
      </c>
    </row>
    <row r="6387" spans="1:10" x14ac:dyDescent="0.75">
      <c r="A6387" t="s">
        <v>151</v>
      </c>
      <c r="B6387">
        <v>99</v>
      </c>
      <c r="C6387" t="s">
        <v>67</v>
      </c>
      <c r="D6387">
        <v>7400</v>
      </c>
      <c r="E6387" t="s">
        <v>502</v>
      </c>
      <c r="F6387" s="4">
        <v>0</v>
      </c>
      <c r="G6387" s="4">
        <v>188</v>
      </c>
      <c r="H6387" s="4">
        <v>188</v>
      </c>
      <c r="I6387" s="4">
        <v>0</v>
      </c>
      <c r="J6387" s="4">
        <v>188</v>
      </c>
    </row>
    <row r="6388" spans="1:10" x14ac:dyDescent="0.75">
      <c r="A6388" t="s">
        <v>151</v>
      </c>
      <c r="B6388">
        <v>99</v>
      </c>
      <c r="C6388" t="s">
        <v>67</v>
      </c>
      <c r="D6388">
        <v>5422</v>
      </c>
      <c r="E6388" t="s">
        <v>468</v>
      </c>
      <c r="F6388" s="4">
        <v>0</v>
      </c>
      <c r="G6388" s="4">
        <v>167</v>
      </c>
      <c r="H6388" s="4">
        <v>167</v>
      </c>
      <c r="I6388" s="4">
        <v>0</v>
      </c>
      <c r="J6388" s="4">
        <v>167</v>
      </c>
    </row>
    <row r="6389" spans="1:10" x14ac:dyDescent="0.75">
      <c r="A6389" t="s">
        <v>151</v>
      </c>
      <c r="B6389">
        <v>99</v>
      </c>
      <c r="C6389" t="s">
        <v>67</v>
      </c>
      <c r="D6389">
        <v>6782</v>
      </c>
      <c r="E6389" t="s">
        <v>396</v>
      </c>
      <c r="F6389" s="4">
        <v>0</v>
      </c>
      <c r="G6389" s="4">
        <v>164</v>
      </c>
      <c r="H6389" s="4">
        <v>164</v>
      </c>
      <c r="I6389" s="4">
        <v>0</v>
      </c>
      <c r="J6389" s="4">
        <v>164</v>
      </c>
    </row>
    <row r="6390" spans="1:10" x14ac:dyDescent="0.75">
      <c r="A6390" t="s">
        <v>151</v>
      </c>
      <c r="B6390">
        <v>99</v>
      </c>
      <c r="C6390" t="s">
        <v>67</v>
      </c>
      <c r="D6390">
        <v>6781</v>
      </c>
      <c r="E6390" t="s">
        <v>479</v>
      </c>
      <c r="F6390" s="4">
        <v>0</v>
      </c>
      <c r="G6390" s="4">
        <v>156</v>
      </c>
      <c r="H6390" s="4">
        <v>156</v>
      </c>
      <c r="I6390" s="4">
        <v>0</v>
      </c>
      <c r="J6390" s="4">
        <v>156</v>
      </c>
    </row>
    <row r="6391" spans="1:10" x14ac:dyDescent="0.75">
      <c r="A6391" t="s">
        <v>151</v>
      </c>
      <c r="B6391">
        <v>99</v>
      </c>
      <c r="C6391" t="s">
        <v>67</v>
      </c>
      <c r="D6391">
        <v>5220</v>
      </c>
      <c r="E6391" t="s">
        <v>401</v>
      </c>
      <c r="F6391" s="4">
        <v>0</v>
      </c>
      <c r="G6391" s="4">
        <v>151</v>
      </c>
      <c r="H6391" s="4">
        <v>151</v>
      </c>
      <c r="I6391" s="4">
        <v>0</v>
      </c>
      <c r="J6391" s="4">
        <v>151</v>
      </c>
    </row>
    <row r="6392" spans="1:10" x14ac:dyDescent="0.75">
      <c r="A6392" t="s">
        <v>151</v>
      </c>
      <c r="B6392">
        <v>99</v>
      </c>
      <c r="C6392" t="s">
        <v>67</v>
      </c>
      <c r="D6392">
        <v>6822</v>
      </c>
      <c r="E6392" t="s">
        <v>482</v>
      </c>
      <c r="F6392" s="4">
        <v>0</v>
      </c>
      <c r="G6392" s="4">
        <v>142</v>
      </c>
      <c r="H6392" s="4">
        <v>142</v>
      </c>
      <c r="I6392" s="4">
        <v>0</v>
      </c>
      <c r="J6392" s="4">
        <v>142</v>
      </c>
    </row>
    <row r="6393" spans="1:10" x14ac:dyDescent="0.75">
      <c r="A6393" t="s">
        <v>151</v>
      </c>
      <c r="B6393">
        <v>99</v>
      </c>
      <c r="C6393" t="s">
        <v>67</v>
      </c>
      <c r="D6393">
        <v>6856</v>
      </c>
      <c r="E6393" t="s">
        <v>486</v>
      </c>
      <c r="F6393" s="4">
        <v>0</v>
      </c>
      <c r="G6393" s="4">
        <v>137</v>
      </c>
      <c r="H6393" s="4">
        <v>137</v>
      </c>
      <c r="I6393" s="4">
        <v>0</v>
      </c>
      <c r="J6393" s="4">
        <v>137</v>
      </c>
    </row>
    <row r="6394" spans="1:10" x14ac:dyDescent="0.75">
      <c r="A6394" t="s">
        <v>151</v>
      </c>
      <c r="B6394">
        <v>99</v>
      </c>
      <c r="C6394" t="s">
        <v>67</v>
      </c>
      <c r="D6394">
        <v>6871</v>
      </c>
      <c r="E6394" t="s">
        <v>491</v>
      </c>
      <c r="F6394" s="4">
        <v>0</v>
      </c>
      <c r="G6394" s="4">
        <v>127</v>
      </c>
      <c r="H6394" s="4">
        <v>127</v>
      </c>
      <c r="I6394" s="4">
        <v>0</v>
      </c>
      <c r="J6394" s="4">
        <v>127</v>
      </c>
    </row>
    <row r="6395" spans="1:10" x14ac:dyDescent="0.75">
      <c r="A6395" t="s">
        <v>151</v>
      </c>
      <c r="B6395">
        <v>99</v>
      </c>
      <c r="C6395" t="s">
        <v>67</v>
      </c>
      <c r="D6395">
        <v>5370</v>
      </c>
      <c r="E6395" t="s">
        <v>466</v>
      </c>
      <c r="F6395" s="4">
        <v>0</v>
      </c>
      <c r="G6395" s="4">
        <v>117</v>
      </c>
      <c r="H6395" s="4">
        <v>117</v>
      </c>
      <c r="I6395" s="4">
        <v>0</v>
      </c>
      <c r="J6395" s="4">
        <v>117</v>
      </c>
    </row>
    <row r="6396" spans="1:10" x14ac:dyDescent="0.75">
      <c r="A6396" t="s">
        <v>151</v>
      </c>
      <c r="B6396">
        <v>99</v>
      </c>
      <c r="C6396" t="s">
        <v>67</v>
      </c>
      <c r="D6396">
        <v>3260</v>
      </c>
      <c r="E6396" t="s">
        <v>436</v>
      </c>
      <c r="F6396" s="4">
        <v>0</v>
      </c>
      <c r="G6396" s="4">
        <v>109</v>
      </c>
      <c r="H6396" s="4">
        <v>109</v>
      </c>
      <c r="I6396" s="4">
        <v>0</v>
      </c>
      <c r="J6396" s="4">
        <v>109</v>
      </c>
    </row>
    <row r="6397" spans="1:10" x14ac:dyDescent="0.75">
      <c r="A6397" t="s">
        <v>151</v>
      </c>
      <c r="B6397">
        <v>99</v>
      </c>
      <c r="C6397" t="s">
        <v>67</v>
      </c>
      <c r="D6397">
        <v>3299</v>
      </c>
      <c r="E6397" t="s">
        <v>448</v>
      </c>
      <c r="F6397" s="4">
        <v>0</v>
      </c>
      <c r="G6397" s="4">
        <v>93</v>
      </c>
      <c r="H6397" s="4">
        <v>93</v>
      </c>
      <c r="I6397" s="4">
        <v>0</v>
      </c>
      <c r="J6397" s="4">
        <v>93</v>
      </c>
    </row>
    <row r="6398" spans="1:10" x14ac:dyDescent="0.75">
      <c r="A6398" t="s">
        <v>151</v>
      </c>
      <c r="B6398">
        <v>99</v>
      </c>
      <c r="C6398" t="s">
        <v>67</v>
      </c>
      <c r="D6398">
        <v>4110</v>
      </c>
      <c r="E6398" t="s">
        <v>449</v>
      </c>
      <c r="F6398" s="4">
        <v>0</v>
      </c>
      <c r="G6398" s="4">
        <v>87</v>
      </c>
      <c r="H6398" s="4">
        <v>87</v>
      </c>
      <c r="I6398" s="4">
        <v>0</v>
      </c>
      <c r="J6398" s="4">
        <v>87</v>
      </c>
    </row>
    <row r="6399" spans="1:10" x14ac:dyDescent="0.75">
      <c r="A6399" t="s">
        <v>151</v>
      </c>
      <c r="B6399">
        <v>99</v>
      </c>
      <c r="C6399" t="s">
        <v>67</v>
      </c>
      <c r="D6399">
        <v>3297</v>
      </c>
      <c r="E6399" t="s">
        <v>446</v>
      </c>
      <c r="F6399" s="4">
        <v>0</v>
      </c>
      <c r="G6399" s="4">
        <v>56</v>
      </c>
      <c r="H6399" s="4">
        <v>56</v>
      </c>
      <c r="I6399" s="4">
        <v>0</v>
      </c>
      <c r="J6399" s="4">
        <v>56</v>
      </c>
    </row>
    <row r="6400" spans="1:10" x14ac:dyDescent="0.75">
      <c r="A6400" t="s">
        <v>151</v>
      </c>
      <c r="B6400">
        <v>99</v>
      </c>
      <c r="C6400" t="s">
        <v>67</v>
      </c>
      <c r="D6400">
        <v>5110</v>
      </c>
      <c r="E6400" t="s">
        <v>460</v>
      </c>
      <c r="F6400" s="4">
        <v>0</v>
      </c>
      <c r="G6400" s="4">
        <v>56</v>
      </c>
      <c r="H6400" s="4">
        <v>56</v>
      </c>
      <c r="I6400" s="4">
        <v>0</v>
      </c>
      <c r="J6400" s="4">
        <v>56</v>
      </c>
    </row>
    <row r="6401" spans="1:10" x14ac:dyDescent="0.75">
      <c r="A6401" t="s">
        <v>151</v>
      </c>
      <c r="B6401">
        <v>99</v>
      </c>
      <c r="C6401" t="s">
        <v>67</v>
      </c>
      <c r="D6401">
        <v>7220</v>
      </c>
      <c r="E6401" t="s">
        <v>500</v>
      </c>
      <c r="F6401" s="4">
        <v>0</v>
      </c>
      <c r="G6401" s="4">
        <v>49</v>
      </c>
      <c r="H6401" s="4">
        <v>49</v>
      </c>
      <c r="I6401" s="4">
        <v>0</v>
      </c>
      <c r="J6401" s="4">
        <v>49</v>
      </c>
    </row>
    <row r="6402" spans="1:10" x14ac:dyDescent="0.75">
      <c r="A6402" t="s">
        <v>151</v>
      </c>
      <c r="B6402">
        <v>99</v>
      </c>
      <c r="C6402" t="s">
        <v>67</v>
      </c>
      <c r="D6402">
        <v>5330</v>
      </c>
      <c r="E6402" t="s">
        <v>385</v>
      </c>
      <c r="F6402" s="4">
        <v>0</v>
      </c>
      <c r="G6402" s="4">
        <v>43</v>
      </c>
      <c r="H6402" s="4">
        <v>43</v>
      </c>
      <c r="I6402" s="4">
        <v>0</v>
      </c>
      <c r="J6402" s="4">
        <v>43</v>
      </c>
    </row>
    <row r="6403" spans="1:10" x14ac:dyDescent="0.75">
      <c r="A6403" t="s">
        <v>151</v>
      </c>
      <c r="B6403">
        <v>99</v>
      </c>
      <c r="C6403" t="s">
        <v>67</v>
      </c>
      <c r="D6403">
        <v>6891</v>
      </c>
      <c r="E6403" t="s">
        <v>495</v>
      </c>
      <c r="F6403" s="4">
        <v>0</v>
      </c>
      <c r="G6403" s="4">
        <v>40</v>
      </c>
      <c r="H6403" s="4">
        <v>40</v>
      </c>
      <c r="I6403" s="4">
        <v>0</v>
      </c>
      <c r="J6403" s="4">
        <v>40</v>
      </c>
    </row>
    <row r="6404" spans="1:10" x14ac:dyDescent="0.75">
      <c r="A6404" t="s">
        <v>151</v>
      </c>
      <c r="B6404">
        <v>99</v>
      </c>
      <c r="C6404" t="s">
        <v>67</v>
      </c>
      <c r="D6404">
        <v>3291</v>
      </c>
      <c r="E6404" t="s">
        <v>444</v>
      </c>
      <c r="F6404" s="4">
        <v>0</v>
      </c>
      <c r="G6404" s="4">
        <v>39</v>
      </c>
      <c r="H6404" s="4">
        <v>39</v>
      </c>
      <c r="I6404" s="4">
        <v>0</v>
      </c>
      <c r="J6404" s="4">
        <v>39</v>
      </c>
    </row>
    <row r="6405" spans="1:10" x14ac:dyDescent="0.75">
      <c r="A6405" t="s">
        <v>151</v>
      </c>
      <c r="B6405">
        <v>99</v>
      </c>
      <c r="C6405" t="s">
        <v>67</v>
      </c>
      <c r="D6405">
        <v>4331</v>
      </c>
      <c r="E6405" t="s">
        <v>390</v>
      </c>
      <c r="F6405" s="4">
        <v>0</v>
      </c>
      <c r="G6405" s="4">
        <v>39</v>
      </c>
      <c r="H6405" s="4">
        <v>39</v>
      </c>
      <c r="I6405" s="4">
        <v>0</v>
      </c>
      <c r="J6405" s="4">
        <v>39</v>
      </c>
    </row>
    <row r="6406" spans="1:10" x14ac:dyDescent="0.75">
      <c r="A6406" t="s">
        <v>151</v>
      </c>
      <c r="B6406">
        <v>99</v>
      </c>
      <c r="C6406" t="s">
        <v>67</v>
      </c>
      <c r="D6406">
        <v>6817</v>
      </c>
      <c r="E6406" t="s">
        <v>481</v>
      </c>
      <c r="F6406" s="4">
        <v>0</v>
      </c>
      <c r="G6406" s="4">
        <v>36</v>
      </c>
      <c r="H6406" s="4">
        <v>36</v>
      </c>
      <c r="I6406" s="4">
        <v>0</v>
      </c>
      <c r="J6406" s="4">
        <v>36</v>
      </c>
    </row>
    <row r="6407" spans="1:10" x14ac:dyDescent="0.75">
      <c r="A6407" t="s">
        <v>151</v>
      </c>
      <c r="B6407">
        <v>99</v>
      </c>
      <c r="C6407" t="s">
        <v>67</v>
      </c>
      <c r="D6407">
        <v>6534</v>
      </c>
      <c r="E6407" t="s">
        <v>508</v>
      </c>
      <c r="F6407" s="4">
        <v>0</v>
      </c>
      <c r="G6407" s="4">
        <v>28</v>
      </c>
      <c r="H6407" s="4">
        <v>28</v>
      </c>
      <c r="I6407" s="4">
        <v>0</v>
      </c>
      <c r="J6407" s="4">
        <v>28</v>
      </c>
    </row>
    <row r="6408" spans="1:10" x14ac:dyDescent="0.75">
      <c r="A6408" t="s">
        <v>151</v>
      </c>
      <c r="B6408">
        <v>99</v>
      </c>
      <c r="C6408" t="s">
        <v>67</v>
      </c>
      <c r="D6408">
        <v>2540</v>
      </c>
      <c r="E6408" t="s">
        <v>377</v>
      </c>
      <c r="F6408" s="4">
        <v>0</v>
      </c>
      <c r="G6408" s="4">
        <v>25</v>
      </c>
      <c r="H6408" s="4">
        <v>25</v>
      </c>
      <c r="I6408" s="4">
        <v>0</v>
      </c>
      <c r="J6408" s="4">
        <v>25</v>
      </c>
    </row>
    <row r="6409" spans="1:10" x14ac:dyDescent="0.75">
      <c r="A6409" t="s">
        <v>151</v>
      </c>
      <c r="B6409">
        <v>99</v>
      </c>
      <c r="C6409" t="s">
        <v>67</v>
      </c>
      <c r="D6409">
        <v>3250</v>
      </c>
      <c r="E6409" t="s">
        <v>435</v>
      </c>
      <c r="F6409" s="4">
        <v>0</v>
      </c>
      <c r="G6409" s="4">
        <v>23</v>
      </c>
      <c r="H6409" s="4">
        <v>23</v>
      </c>
      <c r="I6409" s="4">
        <v>0</v>
      </c>
      <c r="J6409" s="4">
        <v>23</v>
      </c>
    </row>
    <row r="6410" spans="1:10" x14ac:dyDescent="0.75">
      <c r="A6410" t="s">
        <v>151</v>
      </c>
      <c r="B6410">
        <v>99</v>
      </c>
      <c r="C6410" t="s">
        <v>67</v>
      </c>
      <c r="D6410">
        <v>6442</v>
      </c>
      <c r="E6410" t="s">
        <v>472</v>
      </c>
      <c r="F6410" s="4">
        <v>0</v>
      </c>
      <c r="G6410" s="4">
        <v>22</v>
      </c>
      <c r="H6410" s="4">
        <v>22</v>
      </c>
      <c r="I6410" s="4">
        <v>0</v>
      </c>
      <c r="J6410" s="4">
        <v>22</v>
      </c>
    </row>
    <row r="6411" spans="1:10" x14ac:dyDescent="0.75">
      <c r="A6411" t="s">
        <v>151</v>
      </c>
      <c r="B6411">
        <v>99</v>
      </c>
      <c r="C6411" t="s">
        <v>67</v>
      </c>
      <c r="D6411">
        <v>3283</v>
      </c>
      <c r="E6411" t="s">
        <v>441</v>
      </c>
      <c r="F6411" s="4">
        <v>0</v>
      </c>
      <c r="G6411" s="4">
        <v>21</v>
      </c>
      <c r="H6411" s="4">
        <v>21</v>
      </c>
      <c r="I6411" s="4">
        <v>0</v>
      </c>
      <c r="J6411" s="4">
        <v>21</v>
      </c>
    </row>
    <row r="6412" spans="1:10" x14ac:dyDescent="0.75">
      <c r="A6412" t="s">
        <v>151</v>
      </c>
      <c r="B6412">
        <v>99</v>
      </c>
      <c r="C6412" t="s">
        <v>67</v>
      </c>
      <c r="D6412">
        <v>4189</v>
      </c>
      <c r="E6412" t="s">
        <v>451</v>
      </c>
      <c r="F6412" s="4">
        <v>0</v>
      </c>
      <c r="G6412" s="4">
        <v>21</v>
      </c>
      <c r="H6412" s="4">
        <v>21</v>
      </c>
      <c r="I6412" s="4">
        <v>0</v>
      </c>
      <c r="J6412" s="4">
        <v>21</v>
      </c>
    </row>
    <row r="6413" spans="1:10" x14ac:dyDescent="0.75">
      <c r="A6413" t="s">
        <v>151</v>
      </c>
      <c r="B6413">
        <v>99</v>
      </c>
      <c r="C6413" t="s">
        <v>67</v>
      </c>
      <c r="D6413">
        <v>5390</v>
      </c>
      <c r="E6413" t="s">
        <v>418</v>
      </c>
      <c r="F6413" s="4">
        <v>0</v>
      </c>
      <c r="G6413" s="4">
        <v>21</v>
      </c>
      <c r="H6413" s="4">
        <v>21</v>
      </c>
      <c r="I6413" s="4">
        <v>0</v>
      </c>
      <c r="J6413" s="4">
        <v>21</v>
      </c>
    </row>
    <row r="6414" spans="1:10" x14ac:dyDescent="0.75">
      <c r="A6414" t="s">
        <v>151</v>
      </c>
      <c r="B6414">
        <v>99</v>
      </c>
      <c r="C6414" t="s">
        <v>67</v>
      </c>
      <c r="D6414">
        <v>3240</v>
      </c>
      <c r="E6414" t="s">
        <v>410</v>
      </c>
      <c r="F6414" s="4">
        <v>0</v>
      </c>
      <c r="G6414" s="4">
        <v>20</v>
      </c>
      <c r="H6414" s="4">
        <v>20</v>
      </c>
      <c r="I6414" s="4">
        <v>0</v>
      </c>
      <c r="J6414" s="4">
        <v>20</v>
      </c>
    </row>
    <row r="6415" spans="1:10" x14ac:dyDescent="0.75">
      <c r="A6415" t="s">
        <v>151</v>
      </c>
      <c r="B6415">
        <v>99</v>
      </c>
      <c r="C6415" t="s">
        <v>67</v>
      </c>
      <c r="D6415">
        <v>6861</v>
      </c>
      <c r="E6415" t="s">
        <v>489</v>
      </c>
      <c r="F6415" s="4">
        <v>0</v>
      </c>
      <c r="G6415" s="4">
        <v>12</v>
      </c>
      <c r="H6415" s="4">
        <v>12</v>
      </c>
      <c r="I6415" s="4">
        <v>0</v>
      </c>
      <c r="J6415" s="4">
        <v>12</v>
      </c>
    </row>
    <row r="6416" spans="1:10" x14ac:dyDescent="0.75">
      <c r="A6416" t="s">
        <v>151</v>
      </c>
      <c r="B6416">
        <v>99</v>
      </c>
      <c r="C6416" t="s">
        <v>67</v>
      </c>
      <c r="D6416">
        <v>2410</v>
      </c>
      <c r="E6416" t="s">
        <v>430</v>
      </c>
      <c r="F6416" s="4">
        <v>0</v>
      </c>
      <c r="G6416" s="4">
        <v>1</v>
      </c>
      <c r="H6416" s="4">
        <v>1</v>
      </c>
      <c r="I6416" s="4">
        <v>0</v>
      </c>
      <c r="J6416" s="4">
        <v>1</v>
      </c>
    </row>
    <row r="6417" spans="1:10" x14ac:dyDescent="0.75">
      <c r="A6417" t="s">
        <v>151</v>
      </c>
      <c r="B6417">
        <v>1992</v>
      </c>
      <c r="C6417" t="s">
        <v>19</v>
      </c>
      <c r="D6417">
        <v>7900</v>
      </c>
      <c r="E6417" t="s">
        <v>388</v>
      </c>
      <c r="F6417" s="4">
        <v>0</v>
      </c>
      <c r="G6417" s="4">
        <v>1157279</v>
      </c>
      <c r="H6417" s="4">
        <v>765799</v>
      </c>
      <c r="I6417" s="4">
        <v>391480</v>
      </c>
      <c r="J6417" s="4">
        <v>1157279</v>
      </c>
    </row>
    <row r="6418" spans="1:10" x14ac:dyDescent="0.75">
      <c r="A6418" t="s">
        <v>151</v>
      </c>
      <c r="B6418">
        <v>1992</v>
      </c>
      <c r="C6418" t="s">
        <v>19</v>
      </c>
      <c r="D6418">
        <v>5290</v>
      </c>
      <c r="E6418" t="s">
        <v>415</v>
      </c>
      <c r="F6418" s="4">
        <v>0</v>
      </c>
      <c r="G6418" s="4">
        <v>1130043</v>
      </c>
      <c r="H6418" s="4">
        <v>1103091</v>
      </c>
      <c r="I6418" s="4">
        <v>26952</v>
      </c>
      <c r="J6418" s="4">
        <v>1130043</v>
      </c>
    </row>
    <row r="6419" spans="1:10" x14ac:dyDescent="0.75">
      <c r="A6419" t="s">
        <v>151</v>
      </c>
      <c r="B6419">
        <v>1992</v>
      </c>
      <c r="C6419" t="s">
        <v>19</v>
      </c>
      <c r="D6419">
        <v>7500</v>
      </c>
      <c r="E6419" t="s">
        <v>427</v>
      </c>
      <c r="F6419" s="4">
        <v>0</v>
      </c>
      <c r="G6419" s="4">
        <v>673892</v>
      </c>
      <c r="H6419" s="4">
        <v>369707</v>
      </c>
      <c r="I6419" s="4">
        <v>304185</v>
      </c>
      <c r="J6419" s="4">
        <v>673892</v>
      </c>
    </row>
    <row r="6420" spans="1:10" x14ac:dyDescent="0.75">
      <c r="A6420" t="s">
        <v>151</v>
      </c>
      <c r="B6420">
        <v>1992</v>
      </c>
      <c r="C6420" t="s">
        <v>19</v>
      </c>
      <c r="D6420">
        <v>6654</v>
      </c>
      <c r="E6420" t="s">
        <v>419</v>
      </c>
      <c r="F6420" s="4">
        <v>0</v>
      </c>
      <c r="G6420" s="4">
        <v>496255</v>
      </c>
      <c r="H6420" s="4">
        <v>434130</v>
      </c>
      <c r="I6420" s="4">
        <v>62125</v>
      </c>
      <c r="J6420" s="4">
        <v>496255</v>
      </c>
    </row>
    <row r="6421" spans="1:10" x14ac:dyDescent="0.75">
      <c r="A6421" t="s">
        <v>151</v>
      </c>
      <c r="B6421">
        <v>1992</v>
      </c>
      <c r="C6421" t="s">
        <v>19</v>
      </c>
      <c r="D6421">
        <v>7210</v>
      </c>
      <c r="E6421" t="s">
        <v>426</v>
      </c>
      <c r="F6421" s="4">
        <v>0</v>
      </c>
      <c r="G6421" s="4">
        <v>455572</v>
      </c>
      <c r="H6421" s="4">
        <v>102495</v>
      </c>
      <c r="I6421" s="4">
        <v>353077</v>
      </c>
      <c r="J6421" s="4">
        <v>455572</v>
      </c>
    </row>
    <row r="6422" spans="1:10" x14ac:dyDescent="0.75">
      <c r="A6422" t="s">
        <v>151</v>
      </c>
      <c r="B6422">
        <v>1992</v>
      </c>
      <c r="C6422" t="s">
        <v>19</v>
      </c>
      <c r="D6422">
        <v>7600</v>
      </c>
      <c r="E6422" t="s">
        <v>503</v>
      </c>
      <c r="F6422" s="4">
        <v>0</v>
      </c>
      <c r="G6422" s="4">
        <v>323759</v>
      </c>
      <c r="H6422" s="4">
        <v>248888</v>
      </c>
      <c r="I6422" s="4">
        <v>74871</v>
      </c>
      <c r="J6422" s="4">
        <v>323759</v>
      </c>
    </row>
    <row r="6423" spans="1:10" x14ac:dyDescent="0.75">
      <c r="A6423" t="s">
        <v>151</v>
      </c>
      <c r="B6423">
        <v>1992</v>
      </c>
      <c r="C6423" t="s">
        <v>19</v>
      </c>
      <c r="D6423">
        <v>6885</v>
      </c>
      <c r="E6423" t="s">
        <v>493</v>
      </c>
      <c r="F6423" s="4">
        <v>0</v>
      </c>
      <c r="G6423" s="4">
        <v>294160</v>
      </c>
      <c r="H6423" s="4">
        <v>259218</v>
      </c>
      <c r="I6423" s="4">
        <v>34942</v>
      </c>
      <c r="J6423" s="4">
        <v>294160</v>
      </c>
    </row>
    <row r="6424" spans="1:10" x14ac:dyDescent="0.75">
      <c r="A6424" t="s">
        <v>151</v>
      </c>
      <c r="B6424">
        <v>1992</v>
      </c>
      <c r="C6424" t="s">
        <v>19</v>
      </c>
      <c r="D6424">
        <v>7120</v>
      </c>
      <c r="E6424" t="s">
        <v>499</v>
      </c>
      <c r="F6424" s="4">
        <v>0</v>
      </c>
      <c r="G6424" s="4">
        <v>282410</v>
      </c>
      <c r="H6424" s="4">
        <v>206069</v>
      </c>
      <c r="I6424" s="4">
        <v>76341</v>
      </c>
      <c r="J6424" s="4">
        <v>282410</v>
      </c>
    </row>
    <row r="6425" spans="1:10" x14ac:dyDescent="0.75">
      <c r="A6425" t="s">
        <v>151</v>
      </c>
      <c r="B6425">
        <v>1992</v>
      </c>
      <c r="C6425" t="s">
        <v>19</v>
      </c>
      <c r="D6425">
        <v>6889</v>
      </c>
      <c r="E6425" t="s">
        <v>420</v>
      </c>
      <c r="F6425" s="4">
        <v>0</v>
      </c>
      <c r="G6425" s="4">
        <v>280022</v>
      </c>
      <c r="H6425" s="4">
        <v>165803</v>
      </c>
      <c r="I6425" s="4">
        <v>114219</v>
      </c>
      <c r="J6425" s="4">
        <v>280022</v>
      </c>
    </row>
    <row r="6426" spans="1:10" x14ac:dyDescent="0.75">
      <c r="A6426" t="s">
        <v>151</v>
      </c>
      <c r="B6426">
        <v>1992</v>
      </c>
      <c r="C6426" t="s">
        <v>19</v>
      </c>
      <c r="D6426">
        <v>6857</v>
      </c>
      <c r="E6426" t="s">
        <v>487</v>
      </c>
      <c r="F6426" s="4">
        <v>0</v>
      </c>
      <c r="G6426" s="4">
        <v>253907</v>
      </c>
      <c r="H6426" s="4">
        <v>233816</v>
      </c>
      <c r="I6426" s="4">
        <v>20091</v>
      </c>
      <c r="J6426" s="4">
        <v>253907</v>
      </c>
    </row>
    <row r="6427" spans="1:10" x14ac:dyDescent="0.75">
      <c r="A6427" t="s">
        <v>151</v>
      </c>
      <c r="B6427">
        <v>1992</v>
      </c>
      <c r="C6427" t="s">
        <v>19</v>
      </c>
      <c r="D6427">
        <v>7110</v>
      </c>
      <c r="E6427" t="s">
        <v>371</v>
      </c>
      <c r="F6427" s="4">
        <v>0</v>
      </c>
      <c r="G6427" s="4">
        <v>238452</v>
      </c>
      <c r="H6427" s="4">
        <v>114528</v>
      </c>
      <c r="I6427" s="4">
        <v>123924</v>
      </c>
      <c r="J6427" s="4">
        <v>238452</v>
      </c>
    </row>
    <row r="6428" spans="1:10" x14ac:dyDescent="0.75">
      <c r="A6428" t="s">
        <v>151</v>
      </c>
      <c r="B6428">
        <v>1992</v>
      </c>
      <c r="C6428" t="s">
        <v>19</v>
      </c>
      <c r="D6428">
        <v>4680</v>
      </c>
      <c r="E6428" t="s">
        <v>459</v>
      </c>
      <c r="F6428" s="4">
        <v>0</v>
      </c>
      <c r="G6428" s="4">
        <v>222427</v>
      </c>
      <c r="H6428" s="4">
        <v>11254</v>
      </c>
      <c r="I6428" s="4">
        <v>211173</v>
      </c>
      <c r="J6428" s="4">
        <v>222427</v>
      </c>
    </row>
    <row r="6429" spans="1:10" x14ac:dyDescent="0.75">
      <c r="A6429" t="s">
        <v>151</v>
      </c>
      <c r="B6429">
        <v>1992</v>
      </c>
      <c r="C6429" t="s">
        <v>19</v>
      </c>
      <c r="D6429">
        <v>4225</v>
      </c>
      <c r="E6429" t="s">
        <v>380</v>
      </c>
      <c r="F6429" s="4">
        <v>0</v>
      </c>
      <c r="G6429" s="4">
        <v>209436</v>
      </c>
      <c r="H6429" s="4">
        <v>6664</v>
      </c>
      <c r="I6429" s="4">
        <v>202772</v>
      </c>
      <c r="J6429" s="4">
        <v>209436</v>
      </c>
    </row>
    <row r="6430" spans="1:10" x14ac:dyDescent="0.75">
      <c r="A6430" t="s">
        <v>151</v>
      </c>
      <c r="B6430">
        <v>1992</v>
      </c>
      <c r="C6430" t="s">
        <v>19</v>
      </c>
      <c r="D6430">
        <v>5480</v>
      </c>
      <c r="E6430" t="s">
        <v>386</v>
      </c>
      <c r="F6430" s="4">
        <v>0</v>
      </c>
      <c r="G6430" s="4">
        <v>206110</v>
      </c>
      <c r="H6430" s="4">
        <v>148453</v>
      </c>
      <c r="I6430" s="4">
        <v>57657</v>
      </c>
      <c r="J6430" s="4">
        <v>206110</v>
      </c>
    </row>
    <row r="6431" spans="1:10" x14ac:dyDescent="0.75">
      <c r="A6431" t="s">
        <v>151</v>
      </c>
      <c r="B6431">
        <v>1992</v>
      </c>
      <c r="C6431" t="s">
        <v>19</v>
      </c>
      <c r="D6431">
        <v>6888</v>
      </c>
      <c r="E6431" t="s">
        <v>494</v>
      </c>
      <c r="F6431" s="4">
        <v>0</v>
      </c>
      <c r="G6431" s="4">
        <v>206038</v>
      </c>
      <c r="H6431" s="4">
        <v>185233</v>
      </c>
      <c r="I6431" s="4">
        <v>20805</v>
      </c>
      <c r="J6431" s="4">
        <v>206038</v>
      </c>
    </row>
    <row r="6432" spans="1:10" x14ac:dyDescent="0.75">
      <c r="A6432" t="s">
        <v>151</v>
      </c>
      <c r="B6432">
        <v>1992</v>
      </c>
      <c r="C6432" t="s">
        <v>19</v>
      </c>
      <c r="D6432">
        <v>6858</v>
      </c>
      <c r="E6432" t="s">
        <v>488</v>
      </c>
      <c r="F6432" s="4">
        <v>0</v>
      </c>
      <c r="G6432" s="4">
        <v>185592</v>
      </c>
      <c r="H6432" s="4">
        <v>119022</v>
      </c>
      <c r="I6432" s="4">
        <v>66570</v>
      </c>
      <c r="J6432" s="4">
        <v>185592</v>
      </c>
    </row>
    <row r="6433" spans="1:10" x14ac:dyDescent="0.75">
      <c r="A6433" t="s">
        <v>151</v>
      </c>
      <c r="B6433">
        <v>1992</v>
      </c>
      <c r="C6433" t="s">
        <v>19</v>
      </c>
      <c r="D6433">
        <v>2340</v>
      </c>
      <c r="E6433" t="s">
        <v>369</v>
      </c>
      <c r="F6433" s="4">
        <v>126756</v>
      </c>
      <c r="G6433" s="4">
        <v>56655</v>
      </c>
      <c r="H6433" s="4">
        <v>56655</v>
      </c>
      <c r="I6433" s="4">
        <v>0</v>
      </c>
      <c r="J6433" s="4">
        <v>183411</v>
      </c>
    </row>
    <row r="6434" spans="1:10" x14ac:dyDescent="0.75">
      <c r="A6434" t="s">
        <v>151</v>
      </c>
      <c r="B6434">
        <v>1992</v>
      </c>
      <c r="C6434" t="s">
        <v>19</v>
      </c>
      <c r="D6434">
        <v>9900</v>
      </c>
      <c r="E6434" t="s">
        <v>389</v>
      </c>
      <c r="F6434" s="4">
        <v>0</v>
      </c>
      <c r="G6434" s="4">
        <v>168481</v>
      </c>
      <c r="H6434" s="4">
        <v>64778</v>
      </c>
      <c r="I6434" s="4">
        <v>103703</v>
      </c>
      <c r="J6434" s="4">
        <v>168481</v>
      </c>
    </row>
    <row r="6435" spans="1:10" x14ac:dyDescent="0.75">
      <c r="A6435" t="s">
        <v>151</v>
      </c>
      <c r="B6435">
        <v>1992</v>
      </c>
      <c r="C6435" t="s">
        <v>19</v>
      </c>
      <c r="D6435">
        <v>4420</v>
      </c>
      <c r="E6435" t="s">
        <v>381</v>
      </c>
      <c r="F6435" s="4">
        <v>0</v>
      </c>
      <c r="G6435" s="4">
        <v>153891</v>
      </c>
      <c r="H6435" s="4">
        <v>1984</v>
      </c>
      <c r="I6435" s="4">
        <v>151907</v>
      </c>
      <c r="J6435" s="4">
        <v>153891</v>
      </c>
    </row>
    <row r="6436" spans="1:10" x14ac:dyDescent="0.75">
      <c r="A6436" t="s">
        <v>151</v>
      </c>
      <c r="B6436">
        <v>1992</v>
      </c>
      <c r="C6436" t="s">
        <v>19</v>
      </c>
      <c r="D6436">
        <v>3285</v>
      </c>
      <c r="E6436" t="s">
        <v>443</v>
      </c>
      <c r="F6436" s="4">
        <v>0</v>
      </c>
      <c r="G6436" s="4">
        <v>111086</v>
      </c>
      <c r="H6436" s="4">
        <v>51675</v>
      </c>
      <c r="I6436" s="4">
        <v>59411</v>
      </c>
      <c r="J6436" s="4">
        <v>111086</v>
      </c>
    </row>
    <row r="6437" spans="1:10" x14ac:dyDescent="0.75">
      <c r="A6437" t="s">
        <v>151</v>
      </c>
      <c r="B6437">
        <v>1992</v>
      </c>
      <c r="C6437" t="s">
        <v>19</v>
      </c>
      <c r="D6437">
        <v>3286</v>
      </c>
      <c r="E6437" t="s">
        <v>423</v>
      </c>
      <c r="F6437" s="4">
        <v>0</v>
      </c>
      <c r="G6437" s="4">
        <v>110650</v>
      </c>
      <c r="H6437" s="4">
        <v>70978</v>
      </c>
      <c r="I6437" s="4">
        <v>39672</v>
      </c>
      <c r="J6437" s="4">
        <v>110650</v>
      </c>
    </row>
    <row r="6438" spans="1:10" x14ac:dyDescent="0.75">
      <c r="A6438" t="s">
        <v>151</v>
      </c>
      <c r="B6438">
        <v>1992</v>
      </c>
      <c r="C6438" t="s">
        <v>19</v>
      </c>
      <c r="D6438">
        <v>6822</v>
      </c>
      <c r="E6438" t="s">
        <v>482</v>
      </c>
      <c r="F6438" s="4">
        <v>0</v>
      </c>
      <c r="G6438" s="4">
        <v>99401</v>
      </c>
      <c r="H6438" s="4">
        <v>22522</v>
      </c>
      <c r="I6438" s="4">
        <v>76879</v>
      </c>
      <c r="J6438" s="4">
        <v>99401</v>
      </c>
    </row>
    <row r="6439" spans="1:10" x14ac:dyDescent="0.75">
      <c r="A6439" t="s">
        <v>151</v>
      </c>
      <c r="B6439">
        <v>1992</v>
      </c>
      <c r="C6439" t="s">
        <v>19</v>
      </c>
      <c r="D6439">
        <v>5240</v>
      </c>
      <c r="E6439" t="s">
        <v>464</v>
      </c>
      <c r="F6439" s="4">
        <v>0</v>
      </c>
      <c r="G6439" s="4">
        <v>95018</v>
      </c>
      <c r="H6439" s="4">
        <v>88115</v>
      </c>
      <c r="I6439" s="4">
        <v>6903</v>
      </c>
      <c r="J6439" s="4">
        <v>95018</v>
      </c>
    </row>
    <row r="6440" spans="1:10" x14ac:dyDescent="0.75">
      <c r="A6440" t="s">
        <v>151</v>
      </c>
      <c r="B6440">
        <v>1992</v>
      </c>
      <c r="C6440" t="s">
        <v>19</v>
      </c>
      <c r="D6440">
        <v>6891</v>
      </c>
      <c r="E6440" t="s">
        <v>495</v>
      </c>
      <c r="F6440" s="4">
        <v>0</v>
      </c>
      <c r="G6440" s="4">
        <v>94546</v>
      </c>
      <c r="H6440" s="4">
        <v>71428</v>
      </c>
      <c r="I6440" s="4">
        <v>23118</v>
      </c>
      <c r="J6440" s="4">
        <v>94546</v>
      </c>
    </row>
    <row r="6441" spans="1:10" x14ac:dyDescent="0.75">
      <c r="A6441" t="s">
        <v>151</v>
      </c>
      <c r="B6441">
        <v>1992</v>
      </c>
      <c r="C6441" t="s">
        <v>19</v>
      </c>
      <c r="D6441">
        <v>5540</v>
      </c>
      <c r="E6441" t="s">
        <v>469</v>
      </c>
      <c r="F6441" s="4">
        <v>0</v>
      </c>
      <c r="G6441" s="4">
        <v>89075</v>
      </c>
      <c r="H6441" s="4">
        <v>84009</v>
      </c>
      <c r="I6441" s="4">
        <v>5066</v>
      </c>
      <c r="J6441" s="4">
        <v>89075</v>
      </c>
    </row>
    <row r="6442" spans="1:10" x14ac:dyDescent="0.75">
      <c r="A6442" t="s">
        <v>151</v>
      </c>
      <c r="B6442">
        <v>1992</v>
      </c>
      <c r="C6442" t="s">
        <v>19</v>
      </c>
      <c r="D6442">
        <v>6136</v>
      </c>
      <c r="E6442" t="s">
        <v>471</v>
      </c>
      <c r="F6442" s="4">
        <v>0</v>
      </c>
      <c r="G6442" s="4">
        <v>88482</v>
      </c>
      <c r="H6442" s="4">
        <v>86791</v>
      </c>
      <c r="I6442" s="4">
        <v>1691</v>
      </c>
      <c r="J6442" s="4">
        <v>88482</v>
      </c>
    </row>
    <row r="6443" spans="1:10" x14ac:dyDescent="0.75">
      <c r="A6443" t="s">
        <v>151</v>
      </c>
      <c r="B6443">
        <v>1992</v>
      </c>
      <c r="C6443" t="s">
        <v>19</v>
      </c>
      <c r="D6443">
        <v>6811</v>
      </c>
      <c r="E6443" t="s">
        <v>480</v>
      </c>
      <c r="F6443" s="4">
        <v>0</v>
      </c>
      <c r="G6443" s="4">
        <v>77918</v>
      </c>
      <c r="H6443" s="4">
        <v>19321</v>
      </c>
      <c r="I6443" s="4">
        <v>58597</v>
      </c>
      <c r="J6443" s="4">
        <v>77918</v>
      </c>
    </row>
    <row r="6444" spans="1:10" x14ac:dyDescent="0.75">
      <c r="A6444" t="s">
        <v>151</v>
      </c>
      <c r="B6444">
        <v>1992</v>
      </c>
      <c r="C6444" t="s">
        <v>19</v>
      </c>
      <c r="D6444">
        <v>6856</v>
      </c>
      <c r="E6444" t="s">
        <v>486</v>
      </c>
      <c r="F6444" s="4">
        <v>0</v>
      </c>
      <c r="G6444" s="4">
        <v>76334</v>
      </c>
      <c r="H6444" s="4">
        <v>75722</v>
      </c>
      <c r="I6444" s="4">
        <v>612</v>
      </c>
      <c r="J6444" s="4">
        <v>76334</v>
      </c>
    </row>
    <row r="6445" spans="1:10" x14ac:dyDescent="0.75">
      <c r="A6445" t="s">
        <v>151</v>
      </c>
      <c r="B6445">
        <v>1992</v>
      </c>
      <c r="C6445" t="s">
        <v>19</v>
      </c>
      <c r="D6445">
        <v>6747</v>
      </c>
      <c r="E6445" t="s">
        <v>478</v>
      </c>
      <c r="F6445" s="4">
        <v>0</v>
      </c>
      <c r="G6445" s="4">
        <v>71766</v>
      </c>
      <c r="H6445" s="4">
        <v>43590</v>
      </c>
      <c r="I6445" s="4">
        <v>28176</v>
      </c>
      <c r="J6445" s="4">
        <v>71766</v>
      </c>
    </row>
    <row r="6446" spans="1:10" x14ac:dyDescent="0.75">
      <c r="A6446" t="s">
        <v>151</v>
      </c>
      <c r="B6446">
        <v>1992</v>
      </c>
      <c r="C6446" t="s">
        <v>19</v>
      </c>
      <c r="D6446">
        <v>5120</v>
      </c>
      <c r="E6446" t="s">
        <v>461</v>
      </c>
      <c r="F6446" s="4">
        <v>0</v>
      </c>
      <c r="G6446" s="4">
        <v>64320</v>
      </c>
      <c r="H6446" s="4">
        <v>33176</v>
      </c>
      <c r="I6446" s="4">
        <v>31144</v>
      </c>
      <c r="J6446" s="4">
        <v>64320</v>
      </c>
    </row>
    <row r="6447" spans="1:10" x14ac:dyDescent="0.75">
      <c r="A6447" t="s">
        <v>151</v>
      </c>
      <c r="B6447">
        <v>1992</v>
      </c>
      <c r="C6447" t="s">
        <v>19</v>
      </c>
      <c r="D6447">
        <v>6134</v>
      </c>
      <c r="E6447" t="s">
        <v>470</v>
      </c>
      <c r="F6447" s="4">
        <v>0</v>
      </c>
      <c r="G6447" s="4">
        <v>55060</v>
      </c>
      <c r="H6447" s="4">
        <v>49734</v>
      </c>
      <c r="I6447" s="4">
        <v>5326</v>
      </c>
      <c r="J6447" s="4">
        <v>55060</v>
      </c>
    </row>
    <row r="6448" spans="1:10" x14ac:dyDescent="0.75">
      <c r="A6448" t="s">
        <v>151</v>
      </c>
      <c r="B6448">
        <v>1992</v>
      </c>
      <c r="C6448" t="s">
        <v>19</v>
      </c>
      <c r="D6448">
        <v>5422</v>
      </c>
      <c r="E6448" t="s">
        <v>468</v>
      </c>
      <c r="F6448" s="4">
        <v>0</v>
      </c>
      <c r="G6448" s="4">
        <v>53996</v>
      </c>
      <c r="H6448" s="4">
        <v>47634</v>
      </c>
      <c r="I6448" s="4">
        <v>6362</v>
      </c>
      <c r="J6448" s="4">
        <v>53996</v>
      </c>
    </row>
    <row r="6449" spans="1:10" x14ac:dyDescent="0.75">
      <c r="A6449" t="s">
        <v>151</v>
      </c>
      <c r="B6449">
        <v>1992</v>
      </c>
      <c r="C6449" t="s">
        <v>19</v>
      </c>
      <c r="D6449">
        <v>3275</v>
      </c>
      <c r="E6449" t="s">
        <v>412</v>
      </c>
      <c r="F6449" s="4">
        <v>0</v>
      </c>
      <c r="G6449" s="4">
        <v>53187</v>
      </c>
      <c r="H6449" s="4">
        <v>19718</v>
      </c>
      <c r="I6449" s="4">
        <v>33469</v>
      </c>
      <c r="J6449" s="4">
        <v>53187</v>
      </c>
    </row>
    <row r="6450" spans="1:10" x14ac:dyDescent="0.75">
      <c r="A6450" t="s">
        <v>151</v>
      </c>
      <c r="B6450">
        <v>1992</v>
      </c>
      <c r="C6450" t="s">
        <v>19</v>
      </c>
      <c r="D6450">
        <v>6653</v>
      </c>
      <c r="E6450" t="s">
        <v>395</v>
      </c>
      <c r="F6450" s="4">
        <v>0</v>
      </c>
      <c r="G6450" s="4">
        <v>49025</v>
      </c>
      <c r="H6450" s="4">
        <v>26592</v>
      </c>
      <c r="I6450" s="4">
        <v>22433</v>
      </c>
      <c r="J6450" s="4">
        <v>49025</v>
      </c>
    </row>
    <row r="6451" spans="1:10" x14ac:dyDescent="0.75">
      <c r="A6451" t="s">
        <v>151</v>
      </c>
      <c r="B6451">
        <v>1992</v>
      </c>
      <c r="C6451" t="s">
        <v>19</v>
      </c>
      <c r="D6451">
        <v>2330</v>
      </c>
      <c r="E6451" t="s">
        <v>368</v>
      </c>
      <c r="F6451" s="4">
        <v>15530</v>
      </c>
      <c r="G6451" s="4">
        <v>28812</v>
      </c>
      <c r="H6451" s="4">
        <v>2896</v>
      </c>
      <c r="I6451" s="4">
        <v>25916</v>
      </c>
      <c r="J6451" s="4">
        <v>44342</v>
      </c>
    </row>
    <row r="6452" spans="1:10" x14ac:dyDescent="0.75">
      <c r="A6452" t="s">
        <v>151</v>
      </c>
      <c r="B6452">
        <v>1992</v>
      </c>
      <c r="C6452" t="s">
        <v>19</v>
      </c>
      <c r="D6452">
        <v>4189</v>
      </c>
      <c r="E6452" t="s">
        <v>451</v>
      </c>
      <c r="F6452" s="4">
        <v>0</v>
      </c>
      <c r="G6452" s="4">
        <v>43198</v>
      </c>
      <c r="H6452" s="4">
        <v>35117</v>
      </c>
      <c r="I6452" s="4">
        <v>8081</v>
      </c>
      <c r="J6452" s="4">
        <v>43198</v>
      </c>
    </row>
    <row r="6453" spans="1:10" x14ac:dyDescent="0.75">
      <c r="A6453" t="s">
        <v>151</v>
      </c>
      <c r="B6453">
        <v>1992</v>
      </c>
      <c r="C6453" t="s">
        <v>19</v>
      </c>
      <c r="D6453">
        <v>5190</v>
      </c>
      <c r="E6453" t="s">
        <v>462</v>
      </c>
      <c r="F6453" s="4">
        <v>0</v>
      </c>
      <c r="G6453" s="4">
        <v>37890</v>
      </c>
      <c r="H6453" s="4">
        <v>25636</v>
      </c>
      <c r="I6453" s="4">
        <v>12254</v>
      </c>
      <c r="J6453" s="4">
        <v>37890</v>
      </c>
    </row>
    <row r="6454" spans="1:10" x14ac:dyDescent="0.75">
      <c r="A6454" t="s">
        <v>151</v>
      </c>
      <c r="B6454">
        <v>1992</v>
      </c>
      <c r="C6454" t="s">
        <v>19</v>
      </c>
      <c r="D6454">
        <v>3299</v>
      </c>
      <c r="E6454" t="s">
        <v>448</v>
      </c>
      <c r="F6454" s="4">
        <v>0</v>
      </c>
      <c r="G6454" s="4">
        <v>33001</v>
      </c>
      <c r="H6454" s="4">
        <v>14915</v>
      </c>
      <c r="I6454" s="4">
        <v>18086</v>
      </c>
      <c r="J6454" s="4">
        <v>33001</v>
      </c>
    </row>
    <row r="6455" spans="1:10" x14ac:dyDescent="0.75">
      <c r="A6455" t="s">
        <v>151</v>
      </c>
      <c r="B6455">
        <v>1992</v>
      </c>
      <c r="C6455" t="s">
        <v>19</v>
      </c>
      <c r="D6455">
        <v>6893</v>
      </c>
      <c r="E6455" t="s">
        <v>496</v>
      </c>
      <c r="F6455" s="4">
        <v>0</v>
      </c>
      <c r="G6455" s="4">
        <v>31720</v>
      </c>
      <c r="H6455" s="4">
        <v>11162</v>
      </c>
      <c r="I6455" s="4">
        <v>20558</v>
      </c>
      <c r="J6455" s="4">
        <v>31720</v>
      </c>
    </row>
    <row r="6456" spans="1:10" x14ac:dyDescent="0.75">
      <c r="A6456" t="s">
        <v>151</v>
      </c>
      <c r="B6456">
        <v>1992</v>
      </c>
      <c r="C6456" t="s">
        <v>19</v>
      </c>
      <c r="D6456">
        <v>6442</v>
      </c>
      <c r="E6456" t="s">
        <v>472</v>
      </c>
      <c r="F6456" s="4">
        <v>0</v>
      </c>
      <c r="G6456" s="4">
        <v>31601</v>
      </c>
      <c r="H6456" s="4">
        <v>26547</v>
      </c>
      <c r="I6456" s="4">
        <v>5054</v>
      </c>
      <c r="J6456" s="4">
        <v>31601</v>
      </c>
    </row>
    <row r="6457" spans="1:10" x14ac:dyDescent="0.75">
      <c r="A6457" t="s">
        <v>151</v>
      </c>
      <c r="B6457">
        <v>1992</v>
      </c>
      <c r="C6457" t="s">
        <v>19</v>
      </c>
      <c r="D6457">
        <v>6861</v>
      </c>
      <c r="E6457" t="s">
        <v>489</v>
      </c>
      <c r="F6457" s="4">
        <v>0</v>
      </c>
      <c r="G6457" s="4">
        <v>28991</v>
      </c>
      <c r="H6457" s="4">
        <v>16751</v>
      </c>
      <c r="I6457" s="4">
        <v>12240</v>
      </c>
      <c r="J6457" s="4">
        <v>28991</v>
      </c>
    </row>
    <row r="6458" spans="1:10" x14ac:dyDescent="0.75">
      <c r="A6458" t="s">
        <v>151</v>
      </c>
      <c r="B6458">
        <v>1992</v>
      </c>
      <c r="C6458" t="s">
        <v>19</v>
      </c>
      <c r="D6458">
        <v>4331</v>
      </c>
      <c r="E6458" t="s">
        <v>390</v>
      </c>
      <c r="F6458" s="4">
        <v>0</v>
      </c>
      <c r="G6458" s="4">
        <v>27346</v>
      </c>
      <c r="H6458" s="4">
        <v>22048</v>
      </c>
      <c r="I6458" s="4">
        <v>5298</v>
      </c>
      <c r="J6458" s="4">
        <v>27346</v>
      </c>
    </row>
    <row r="6459" spans="1:10" x14ac:dyDescent="0.75">
      <c r="A6459" t="s">
        <v>151</v>
      </c>
      <c r="B6459">
        <v>1992</v>
      </c>
      <c r="C6459" t="s">
        <v>19</v>
      </c>
      <c r="D6459">
        <v>5220</v>
      </c>
      <c r="E6459" t="s">
        <v>401</v>
      </c>
      <c r="F6459" s="4">
        <v>0</v>
      </c>
      <c r="G6459" s="4">
        <v>27126</v>
      </c>
      <c r="H6459" s="4">
        <v>20224</v>
      </c>
      <c r="I6459" s="4">
        <v>6902</v>
      </c>
      <c r="J6459" s="4">
        <v>27126</v>
      </c>
    </row>
    <row r="6460" spans="1:10" x14ac:dyDescent="0.75">
      <c r="A6460" t="s">
        <v>151</v>
      </c>
      <c r="B6460">
        <v>1992</v>
      </c>
      <c r="C6460" t="s">
        <v>19</v>
      </c>
      <c r="D6460">
        <v>7400</v>
      </c>
      <c r="E6460" t="s">
        <v>502</v>
      </c>
      <c r="F6460" s="4">
        <v>0</v>
      </c>
      <c r="G6460" s="4">
        <v>25375</v>
      </c>
      <c r="H6460" s="4">
        <v>22708</v>
      </c>
      <c r="I6460" s="4">
        <v>2667</v>
      </c>
      <c r="J6460" s="4">
        <v>25375</v>
      </c>
    </row>
    <row r="6461" spans="1:10" x14ac:dyDescent="0.75">
      <c r="A6461" t="s">
        <v>151</v>
      </c>
      <c r="B6461">
        <v>1992</v>
      </c>
      <c r="C6461" t="s">
        <v>19</v>
      </c>
      <c r="D6461">
        <v>5370</v>
      </c>
      <c r="E6461" t="s">
        <v>466</v>
      </c>
      <c r="F6461" s="4">
        <v>0</v>
      </c>
      <c r="G6461" s="4">
        <v>25189</v>
      </c>
      <c r="H6461" s="4">
        <v>21374</v>
      </c>
      <c r="I6461" s="4">
        <v>3815</v>
      </c>
      <c r="J6461" s="4">
        <v>25189</v>
      </c>
    </row>
    <row r="6462" spans="1:10" x14ac:dyDescent="0.75">
      <c r="A6462" t="s">
        <v>151</v>
      </c>
      <c r="B6462">
        <v>1992</v>
      </c>
      <c r="C6462" t="s">
        <v>19</v>
      </c>
      <c r="D6462">
        <v>3276</v>
      </c>
      <c r="E6462" t="s">
        <v>379</v>
      </c>
      <c r="F6462" s="4">
        <v>0</v>
      </c>
      <c r="G6462" s="4">
        <v>23393</v>
      </c>
      <c r="H6462" s="4">
        <v>12553</v>
      </c>
      <c r="I6462" s="4">
        <v>10840</v>
      </c>
      <c r="J6462" s="4">
        <v>23393</v>
      </c>
    </row>
    <row r="6463" spans="1:10" x14ac:dyDescent="0.75">
      <c r="A6463" t="s">
        <v>151</v>
      </c>
      <c r="B6463">
        <v>1992</v>
      </c>
      <c r="C6463" t="s">
        <v>19</v>
      </c>
      <c r="D6463">
        <v>3282</v>
      </c>
      <c r="E6463" t="s">
        <v>440</v>
      </c>
      <c r="F6463" s="4">
        <v>0</v>
      </c>
      <c r="G6463" s="4">
        <v>23355</v>
      </c>
      <c r="H6463" s="4">
        <v>7467</v>
      </c>
      <c r="I6463" s="4">
        <v>15888</v>
      </c>
      <c r="J6463" s="4">
        <v>23355</v>
      </c>
    </row>
    <row r="6464" spans="1:10" x14ac:dyDescent="0.75">
      <c r="A6464" t="s">
        <v>151</v>
      </c>
      <c r="B6464">
        <v>1992</v>
      </c>
      <c r="C6464" t="s">
        <v>19</v>
      </c>
      <c r="D6464">
        <v>6835</v>
      </c>
      <c r="E6464" t="s">
        <v>483</v>
      </c>
      <c r="F6464" s="4">
        <v>0</v>
      </c>
      <c r="G6464" s="4">
        <v>21404</v>
      </c>
      <c r="H6464" s="4">
        <v>20588</v>
      </c>
      <c r="I6464" s="4">
        <v>816</v>
      </c>
      <c r="J6464" s="4">
        <v>21404</v>
      </c>
    </row>
    <row r="6465" spans="1:10" x14ac:dyDescent="0.75">
      <c r="A6465" t="s">
        <v>151</v>
      </c>
      <c r="B6465">
        <v>1992</v>
      </c>
      <c r="C6465" t="s">
        <v>19</v>
      </c>
      <c r="D6465">
        <v>3220</v>
      </c>
      <c r="E6465" t="s">
        <v>370</v>
      </c>
      <c r="F6465" s="4">
        <v>0</v>
      </c>
      <c r="G6465" s="4">
        <v>20972</v>
      </c>
      <c r="H6465" s="4">
        <v>4842</v>
      </c>
      <c r="I6465" s="4">
        <v>16130</v>
      </c>
      <c r="J6465" s="4">
        <v>20972</v>
      </c>
    </row>
    <row r="6466" spans="1:10" x14ac:dyDescent="0.75">
      <c r="A6466" t="s">
        <v>151</v>
      </c>
      <c r="B6466">
        <v>1992</v>
      </c>
      <c r="C6466" t="s">
        <v>19</v>
      </c>
      <c r="D6466">
        <v>6899</v>
      </c>
      <c r="E6466" t="s">
        <v>498</v>
      </c>
      <c r="F6466" s="4">
        <v>0</v>
      </c>
      <c r="G6466" s="4">
        <v>20376</v>
      </c>
      <c r="H6466" s="4">
        <v>18739</v>
      </c>
      <c r="I6466" s="4">
        <v>1637</v>
      </c>
      <c r="J6466" s="4">
        <v>20376</v>
      </c>
    </row>
    <row r="6467" spans="1:10" x14ac:dyDescent="0.75">
      <c r="A6467" t="s">
        <v>151</v>
      </c>
      <c r="B6467">
        <v>1992</v>
      </c>
      <c r="C6467" t="s">
        <v>19</v>
      </c>
      <c r="D6467">
        <v>6871</v>
      </c>
      <c r="E6467" t="s">
        <v>491</v>
      </c>
      <c r="F6467" s="4">
        <v>0</v>
      </c>
      <c r="G6467" s="4">
        <v>14913</v>
      </c>
      <c r="H6467" s="4">
        <v>13980</v>
      </c>
      <c r="I6467" s="4">
        <v>933</v>
      </c>
      <c r="J6467" s="4">
        <v>14913</v>
      </c>
    </row>
    <row r="6468" spans="1:10" x14ac:dyDescent="0.75">
      <c r="A6468" t="s">
        <v>151</v>
      </c>
      <c r="B6468">
        <v>1992</v>
      </c>
      <c r="C6468" t="s">
        <v>19</v>
      </c>
      <c r="D6468">
        <v>6782</v>
      </c>
      <c r="E6468" t="s">
        <v>396</v>
      </c>
      <c r="F6468" s="4">
        <v>0</v>
      </c>
      <c r="G6468" s="4">
        <v>12828</v>
      </c>
      <c r="H6468" s="4">
        <v>6485</v>
      </c>
      <c r="I6468" s="4">
        <v>6343</v>
      </c>
      <c r="J6468" s="4">
        <v>12828</v>
      </c>
    </row>
    <row r="6469" spans="1:10" x14ac:dyDescent="0.75">
      <c r="A6469" t="s">
        <v>151</v>
      </c>
      <c r="B6469">
        <v>1992</v>
      </c>
      <c r="C6469" t="s">
        <v>19</v>
      </c>
      <c r="D6469">
        <v>6839</v>
      </c>
      <c r="E6469" t="s">
        <v>485</v>
      </c>
      <c r="F6469" s="4">
        <v>0</v>
      </c>
      <c r="G6469" s="4">
        <v>12801</v>
      </c>
      <c r="H6469" s="4">
        <v>2651</v>
      </c>
      <c r="I6469" s="4">
        <v>10150</v>
      </c>
      <c r="J6469" s="4">
        <v>12801</v>
      </c>
    </row>
    <row r="6470" spans="1:10" x14ac:dyDescent="0.75">
      <c r="A6470" t="s">
        <v>151</v>
      </c>
      <c r="B6470">
        <v>1992</v>
      </c>
      <c r="C6470" t="s">
        <v>19</v>
      </c>
      <c r="D6470">
        <v>5330</v>
      </c>
      <c r="E6470" t="s">
        <v>385</v>
      </c>
      <c r="F6470" s="4">
        <v>0</v>
      </c>
      <c r="G6470" s="4">
        <v>11304</v>
      </c>
      <c r="H6470" s="4">
        <v>9007</v>
      </c>
      <c r="I6470" s="4">
        <v>2297</v>
      </c>
      <c r="J6470" s="4">
        <v>11304</v>
      </c>
    </row>
    <row r="6471" spans="1:10" x14ac:dyDescent="0.75">
      <c r="A6471" t="s">
        <v>151</v>
      </c>
      <c r="B6471">
        <v>1992</v>
      </c>
      <c r="C6471" t="s">
        <v>19</v>
      </c>
      <c r="D6471">
        <v>5421</v>
      </c>
      <c r="E6471" t="s">
        <v>467</v>
      </c>
      <c r="F6471" s="4">
        <v>0</v>
      </c>
      <c r="G6471" s="4">
        <v>11222</v>
      </c>
      <c r="H6471" s="4">
        <v>2690</v>
      </c>
      <c r="I6471" s="4">
        <v>8532</v>
      </c>
      <c r="J6471" s="4">
        <v>11222</v>
      </c>
    </row>
    <row r="6472" spans="1:10" x14ac:dyDescent="0.75">
      <c r="A6472" t="s">
        <v>151</v>
      </c>
      <c r="B6472">
        <v>1992</v>
      </c>
      <c r="C6472" t="s">
        <v>19</v>
      </c>
      <c r="D6472">
        <v>6894</v>
      </c>
      <c r="E6472" t="s">
        <v>497</v>
      </c>
      <c r="F6472" s="4">
        <v>0</v>
      </c>
      <c r="G6472" s="4">
        <v>10752</v>
      </c>
      <c r="H6472" s="4">
        <v>10353</v>
      </c>
      <c r="I6472" s="4">
        <v>399</v>
      </c>
      <c r="J6472" s="4">
        <v>10752</v>
      </c>
    </row>
    <row r="6473" spans="1:10" x14ac:dyDescent="0.75">
      <c r="A6473" t="s">
        <v>151</v>
      </c>
      <c r="B6473">
        <v>1992</v>
      </c>
      <c r="C6473" t="s">
        <v>19</v>
      </c>
      <c r="D6473">
        <v>3219</v>
      </c>
      <c r="E6473" t="s">
        <v>378</v>
      </c>
      <c r="F6473" s="4">
        <v>0</v>
      </c>
      <c r="G6473" s="4">
        <v>10426</v>
      </c>
      <c r="H6473" s="4">
        <v>7827</v>
      </c>
      <c r="I6473" s="4">
        <v>2599</v>
      </c>
      <c r="J6473" s="4">
        <v>10426</v>
      </c>
    </row>
    <row r="6474" spans="1:10" x14ac:dyDescent="0.75">
      <c r="A6474" t="s">
        <v>151</v>
      </c>
      <c r="B6474">
        <v>1992</v>
      </c>
      <c r="C6474" t="s">
        <v>19</v>
      </c>
      <c r="D6474">
        <v>3284</v>
      </c>
      <c r="E6474" t="s">
        <v>442</v>
      </c>
      <c r="F6474" s="4">
        <v>0</v>
      </c>
      <c r="G6474" s="4">
        <v>9667</v>
      </c>
      <c r="H6474" s="4">
        <v>5988</v>
      </c>
      <c r="I6474" s="4">
        <v>3679</v>
      </c>
      <c r="J6474" s="4">
        <v>9667</v>
      </c>
    </row>
    <row r="6475" spans="1:10" x14ac:dyDescent="0.75">
      <c r="A6475" t="s">
        <v>151</v>
      </c>
      <c r="B6475">
        <v>1992</v>
      </c>
      <c r="C6475" t="s">
        <v>19</v>
      </c>
      <c r="D6475">
        <v>2211</v>
      </c>
      <c r="E6475" t="s">
        <v>367</v>
      </c>
      <c r="F6475" s="4">
        <v>0</v>
      </c>
      <c r="G6475" s="4">
        <v>9599</v>
      </c>
      <c r="H6475" s="4">
        <v>147</v>
      </c>
      <c r="I6475" s="4">
        <v>9452</v>
      </c>
      <c r="J6475" s="4">
        <v>9599</v>
      </c>
    </row>
    <row r="6476" spans="1:10" x14ac:dyDescent="0.75">
      <c r="A6476" t="s">
        <v>151</v>
      </c>
      <c r="B6476">
        <v>1992</v>
      </c>
      <c r="C6476" t="s">
        <v>19</v>
      </c>
      <c r="D6476">
        <v>4310</v>
      </c>
      <c r="E6476" t="s">
        <v>453</v>
      </c>
      <c r="F6476" s="4">
        <v>0</v>
      </c>
      <c r="G6476" s="4">
        <v>8714</v>
      </c>
      <c r="H6476" s="4">
        <v>8657</v>
      </c>
      <c r="I6476" s="4">
        <v>57</v>
      </c>
      <c r="J6476" s="4">
        <v>8714</v>
      </c>
    </row>
    <row r="6477" spans="1:10" x14ac:dyDescent="0.75">
      <c r="A6477" t="s">
        <v>151</v>
      </c>
      <c r="B6477">
        <v>1992</v>
      </c>
      <c r="C6477" t="s">
        <v>19</v>
      </c>
      <c r="D6477">
        <v>3274</v>
      </c>
      <c r="E6477" t="s">
        <v>438</v>
      </c>
      <c r="F6477" s="4">
        <v>0</v>
      </c>
      <c r="G6477" s="4">
        <v>8051</v>
      </c>
      <c r="H6477" s="4">
        <v>241</v>
      </c>
      <c r="I6477" s="4">
        <v>7810</v>
      </c>
      <c r="J6477" s="4">
        <v>8051</v>
      </c>
    </row>
    <row r="6478" spans="1:10" x14ac:dyDescent="0.75">
      <c r="A6478" t="s">
        <v>151</v>
      </c>
      <c r="B6478">
        <v>1992</v>
      </c>
      <c r="C6478" t="s">
        <v>19</v>
      </c>
      <c r="D6478">
        <v>3240</v>
      </c>
      <c r="E6478" t="s">
        <v>410</v>
      </c>
      <c r="F6478" s="4">
        <v>0</v>
      </c>
      <c r="G6478" s="4">
        <v>7846</v>
      </c>
      <c r="H6478" s="4">
        <v>5125</v>
      </c>
      <c r="I6478" s="4">
        <v>2721</v>
      </c>
      <c r="J6478" s="4">
        <v>7846</v>
      </c>
    </row>
    <row r="6479" spans="1:10" x14ac:dyDescent="0.75">
      <c r="A6479" t="s">
        <v>151</v>
      </c>
      <c r="B6479">
        <v>1992</v>
      </c>
      <c r="C6479" t="s">
        <v>19</v>
      </c>
      <c r="D6479">
        <v>3291</v>
      </c>
      <c r="E6479" t="s">
        <v>444</v>
      </c>
      <c r="F6479" s="4">
        <v>0</v>
      </c>
      <c r="G6479" s="4">
        <v>7810</v>
      </c>
      <c r="H6479" s="4">
        <v>5736</v>
      </c>
      <c r="I6479" s="4">
        <v>2074</v>
      </c>
      <c r="J6479" s="4">
        <v>7810</v>
      </c>
    </row>
    <row r="6480" spans="1:10" x14ac:dyDescent="0.75">
      <c r="A6480" t="s">
        <v>151</v>
      </c>
      <c r="B6480">
        <v>1992</v>
      </c>
      <c r="C6480" t="s">
        <v>19</v>
      </c>
      <c r="D6480">
        <v>4783</v>
      </c>
      <c r="E6480" t="s">
        <v>382</v>
      </c>
      <c r="F6480" s="4">
        <v>0</v>
      </c>
      <c r="G6480" s="4">
        <v>7629</v>
      </c>
      <c r="H6480" s="4">
        <v>5649</v>
      </c>
      <c r="I6480" s="4">
        <v>1980</v>
      </c>
      <c r="J6480" s="4">
        <v>7629</v>
      </c>
    </row>
    <row r="6481" spans="1:10" x14ac:dyDescent="0.75">
      <c r="A6481" t="s">
        <v>151</v>
      </c>
      <c r="B6481">
        <v>1992</v>
      </c>
      <c r="C6481" t="s">
        <v>19</v>
      </c>
      <c r="D6481">
        <v>5360</v>
      </c>
      <c r="E6481" t="s">
        <v>465</v>
      </c>
      <c r="F6481" s="4">
        <v>0</v>
      </c>
      <c r="G6481" s="4">
        <v>7626</v>
      </c>
      <c r="H6481" s="4">
        <v>3604</v>
      </c>
      <c r="I6481" s="4">
        <v>4022</v>
      </c>
      <c r="J6481" s="4">
        <v>7626</v>
      </c>
    </row>
    <row r="6482" spans="1:10" x14ac:dyDescent="0.75">
      <c r="A6482" t="s">
        <v>151</v>
      </c>
      <c r="B6482">
        <v>1992</v>
      </c>
      <c r="C6482" t="s">
        <v>19</v>
      </c>
      <c r="D6482">
        <v>4782</v>
      </c>
      <c r="E6482" t="s">
        <v>414</v>
      </c>
      <c r="F6482" s="4">
        <v>0</v>
      </c>
      <c r="G6482" s="4">
        <v>6458</v>
      </c>
      <c r="H6482" s="4">
        <v>3243</v>
      </c>
      <c r="I6482" s="4">
        <v>3215</v>
      </c>
      <c r="J6482" s="4">
        <v>6458</v>
      </c>
    </row>
    <row r="6483" spans="1:10" x14ac:dyDescent="0.75">
      <c r="A6483" t="s">
        <v>151</v>
      </c>
      <c r="B6483">
        <v>1992</v>
      </c>
      <c r="C6483" t="s">
        <v>19</v>
      </c>
      <c r="D6483">
        <v>3230</v>
      </c>
      <c r="E6483" t="s">
        <v>434</v>
      </c>
      <c r="F6483" s="4">
        <v>0</v>
      </c>
      <c r="G6483" s="4">
        <v>6435</v>
      </c>
      <c r="H6483" s="4">
        <v>5437</v>
      </c>
      <c r="I6483" s="4">
        <v>998</v>
      </c>
      <c r="J6483" s="4">
        <v>6435</v>
      </c>
    </row>
    <row r="6484" spans="1:10" x14ac:dyDescent="0.75">
      <c r="A6484" t="s">
        <v>151</v>
      </c>
      <c r="B6484">
        <v>1992</v>
      </c>
      <c r="C6484" t="s">
        <v>19</v>
      </c>
      <c r="D6484">
        <v>6344</v>
      </c>
      <c r="E6484" t="s">
        <v>392</v>
      </c>
      <c r="F6484" s="4">
        <v>0</v>
      </c>
      <c r="G6484" s="4">
        <v>6427</v>
      </c>
      <c r="H6484" s="4">
        <v>2298</v>
      </c>
      <c r="I6484" s="4">
        <v>4129</v>
      </c>
      <c r="J6484" s="4">
        <v>6427</v>
      </c>
    </row>
    <row r="6485" spans="1:10" x14ac:dyDescent="0.75">
      <c r="A6485" t="s">
        <v>151</v>
      </c>
      <c r="B6485">
        <v>1992</v>
      </c>
      <c r="C6485" t="s">
        <v>19</v>
      </c>
      <c r="D6485">
        <v>3279</v>
      </c>
      <c r="E6485" t="s">
        <v>422</v>
      </c>
      <c r="F6485" s="4">
        <v>0</v>
      </c>
      <c r="G6485" s="4">
        <v>6345</v>
      </c>
      <c r="H6485" s="4">
        <v>521</v>
      </c>
      <c r="I6485" s="4">
        <v>5824</v>
      </c>
      <c r="J6485" s="4">
        <v>6345</v>
      </c>
    </row>
    <row r="6486" spans="1:10" x14ac:dyDescent="0.75">
      <c r="A6486" t="s">
        <v>151</v>
      </c>
      <c r="B6486">
        <v>1992</v>
      </c>
      <c r="C6486" t="s">
        <v>19</v>
      </c>
      <c r="D6486">
        <v>6521</v>
      </c>
      <c r="E6486" t="s">
        <v>476</v>
      </c>
      <c r="F6486" s="4">
        <v>0</v>
      </c>
      <c r="G6486" s="4">
        <v>6075</v>
      </c>
      <c r="H6486" s="4">
        <v>1835</v>
      </c>
      <c r="I6486" s="4">
        <v>4240</v>
      </c>
      <c r="J6486" s="4">
        <v>6075</v>
      </c>
    </row>
    <row r="6487" spans="1:10" x14ac:dyDescent="0.75">
      <c r="A6487" t="s">
        <v>151</v>
      </c>
      <c r="B6487">
        <v>1992</v>
      </c>
      <c r="C6487" t="s">
        <v>19</v>
      </c>
      <c r="D6487">
        <v>4322</v>
      </c>
      <c r="E6487" t="s">
        <v>398</v>
      </c>
      <c r="F6487" s="4">
        <v>0</v>
      </c>
      <c r="G6487" s="4">
        <v>5975</v>
      </c>
      <c r="H6487" s="4">
        <v>5798</v>
      </c>
      <c r="I6487" s="4">
        <v>177</v>
      </c>
      <c r="J6487" s="4">
        <v>5975</v>
      </c>
    </row>
    <row r="6488" spans="1:10" x14ac:dyDescent="0.75">
      <c r="A6488" t="s">
        <v>151</v>
      </c>
      <c r="B6488">
        <v>1992</v>
      </c>
      <c r="C6488" t="s">
        <v>19</v>
      </c>
      <c r="D6488">
        <v>3190</v>
      </c>
      <c r="E6488" t="s">
        <v>408</v>
      </c>
      <c r="F6488" s="4">
        <v>0</v>
      </c>
      <c r="G6488" s="4">
        <v>5928</v>
      </c>
      <c r="H6488" s="4">
        <v>1916</v>
      </c>
      <c r="I6488" s="4">
        <v>4012</v>
      </c>
      <c r="J6488" s="4">
        <v>5928</v>
      </c>
    </row>
    <row r="6489" spans="1:10" x14ac:dyDescent="0.75">
      <c r="A6489" t="s">
        <v>151</v>
      </c>
      <c r="B6489">
        <v>1992</v>
      </c>
      <c r="C6489" t="s">
        <v>19</v>
      </c>
      <c r="D6489">
        <v>3297</v>
      </c>
      <c r="E6489" t="s">
        <v>446</v>
      </c>
      <c r="F6489" s="4">
        <v>0</v>
      </c>
      <c r="G6489" s="4">
        <v>5829</v>
      </c>
      <c r="H6489" s="4">
        <v>452</v>
      </c>
      <c r="I6489" s="4">
        <v>5377</v>
      </c>
      <c r="J6489" s="4">
        <v>5829</v>
      </c>
    </row>
    <row r="6490" spans="1:10" x14ac:dyDescent="0.75">
      <c r="A6490" t="s">
        <v>151</v>
      </c>
      <c r="B6490">
        <v>1992</v>
      </c>
      <c r="C6490" t="s">
        <v>19</v>
      </c>
      <c r="D6490">
        <v>7230</v>
      </c>
      <c r="E6490" t="s">
        <v>387</v>
      </c>
      <c r="F6490" s="4">
        <v>0</v>
      </c>
      <c r="G6490" s="4">
        <v>5622</v>
      </c>
      <c r="H6490" s="4">
        <v>2629</v>
      </c>
      <c r="I6490" s="4">
        <v>2993</v>
      </c>
      <c r="J6490" s="4">
        <v>5622</v>
      </c>
    </row>
    <row r="6491" spans="1:10" x14ac:dyDescent="0.75">
      <c r="A6491" t="s">
        <v>151</v>
      </c>
      <c r="B6491">
        <v>1992</v>
      </c>
      <c r="C6491" t="s">
        <v>19</v>
      </c>
      <c r="D6491">
        <v>3292</v>
      </c>
      <c r="E6491" t="s">
        <v>413</v>
      </c>
      <c r="F6491" s="4">
        <v>0</v>
      </c>
      <c r="G6491" s="4">
        <v>5117</v>
      </c>
      <c r="H6491" s="4">
        <v>2177</v>
      </c>
      <c r="I6491" s="4">
        <v>2940</v>
      </c>
      <c r="J6491" s="4">
        <v>5117</v>
      </c>
    </row>
    <row r="6492" spans="1:10" x14ac:dyDescent="0.75">
      <c r="A6492" t="s">
        <v>151</v>
      </c>
      <c r="B6492">
        <v>1992</v>
      </c>
      <c r="C6492" t="s">
        <v>19</v>
      </c>
      <c r="D6492">
        <v>3250</v>
      </c>
      <c r="E6492" t="s">
        <v>435</v>
      </c>
      <c r="F6492" s="4">
        <v>0</v>
      </c>
      <c r="G6492" s="4">
        <v>4788</v>
      </c>
      <c r="H6492" s="4">
        <v>3172</v>
      </c>
      <c r="I6492" s="4">
        <v>1616</v>
      </c>
      <c r="J6492" s="4">
        <v>4788</v>
      </c>
    </row>
    <row r="6493" spans="1:10" x14ac:dyDescent="0.75">
      <c r="A6493" t="s">
        <v>151</v>
      </c>
      <c r="B6493">
        <v>1992</v>
      </c>
      <c r="C6493" t="s">
        <v>19</v>
      </c>
      <c r="D6493">
        <v>4190</v>
      </c>
      <c r="E6493" t="s">
        <v>452</v>
      </c>
      <c r="F6493" s="4">
        <v>0</v>
      </c>
      <c r="G6493" s="4">
        <v>4369</v>
      </c>
      <c r="H6493" s="4">
        <v>3000</v>
      </c>
      <c r="I6493" s="4">
        <v>1369</v>
      </c>
      <c r="J6493" s="4">
        <v>4369</v>
      </c>
    </row>
    <row r="6494" spans="1:10" x14ac:dyDescent="0.75">
      <c r="A6494" t="s">
        <v>151</v>
      </c>
      <c r="B6494">
        <v>1992</v>
      </c>
      <c r="C6494" t="s">
        <v>19</v>
      </c>
      <c r="D6494">
        <v>5429</v>
      </c>
      <c r="E6494" t="s">
        <v>429</v>
      </c>
      <c r="F6494" s="4">
        <v>0</v>
      </c>
      <c r="G6494" s="4">
        <v>3804</v>
      </c>
      <c r="H6494" s="4">
        <v>3144</v>
      </c>
      <c r="I6494" s="4">
        <v>660</v>
      </c>
      <c r="J6494" s="4">
        <v>3804</v>
      </c>
    </row>
    <row r="6495" spans="1:10" x14ac:dyDescent="0.75">
      <c r="A6495" t="s">
        <v>151</v>
      </c>
      <c r="B6495">
        <v>1992</v>
      </c>
      <c r="C6495" t="s">
        <v>19</v>
      </c>
      <c r="D6495">
        <v>4150</v>
      </c>
      <c r="E6495" t="s">
        <v>450</v>
      </c>
      <c r="F6495" s="4">
        <v>0</v>
      </c>
      <c r="G6495" s="4">
        <v>3652</v>
      </c>
      <c r="H6495" s="4">
        <v>3495</v>
      </c>
      <c r="I6495" s="4">
        <v>157</v>
      </c>
      <c r="J6495" s="4">
        <v>3652</v>
      </c>
    </row>
    <row r="6496" spans="1:10" x14ac:dyDescent="0.75">
      <c r="A6496" t="s">
        <v>151</v>
      </c>
      <c r="B6496">
        <v>1992</v>
      </c>
      <c r="C6496" t="s">
        <v>19</v>
      </c>
      <c r="D6496">
        <v>1100</v>
      </c>
      <c r="E6496" t="s">
        <v>397</v>
      </c>
      <c r="F6496" s="4">
        <v>0</v>
      </c>
      <c r="G6496" s="4">
        <v>3645</v>
      </c>
      <c r="H6496" s="4">
        <v>3554</v>
      </c>
      <c r="I6496" s="4">
        <v>91</v>
      </c>
      <c r="J6496" s="4">
        <v>3645</v>
      </c>
    </row>
    <row r="6497" spans="1:10" x14ac:dyDescent="0.75">
      <c r="A6497" t="s">
        <v>151</v>
      </c>
      <c r="B6497">
        <v>1992</v>
      </c>
      <c r="C6497" t="s">
        <v>19</v>
      </c>
      <c r="D6497">
        <v>4650</v>
      </c>
      <c r="E6497" t="s">
        <v>457</v>
      </c>
      <c r="F6497" s="4">
        <v>0</v>
      </c>
      <c r="G6497" s="4">
        <v>3563</v>
      </c>
      <c r="H6497" s="4">
        <v>337</v>
      </c>
      <c r="I6497" s="4">
        <v>3226</v>
      </c>
      <c r="J6497" s="4">
        <v>3563</v>
      </c>
    </row>
    <row r="6498" spans="1:10" x14ac:dyDescent="0.75">
      <c r="A6498" t="s">
        <v>151</v>
      </c>
      <c r="B6498">
        <v>1992</v>
      </c>
      <c r="C6498" t="s">
        <v>19</v>
      </c>
      <c r="D6498">
        <v>3260</v>
      </c>
      <c r="E6498" t="s">
        <v>436</v>
      </c>
      <c r="F6498" s="4">
        <v>0</v>
      </c>
      <c r="G6498" s="4">
        <v>3557</v>
      </c>
      <c r="H6498" s="4">
        <v>2040</v>
      </c>
      <c r="I6498" s="4">
        <v>1517</v>
      </c>
      <c r="J6498" s="4">
        <v>3557</v>
      </c>
    </row>
    <row r="6499" spans="1:10" x14ac:dyDescent="0.75">
      <c r="A6499" t="s">
        <v>151</v>
      </c>
      <c r="B6499">
        <v>1992</v>
      </c>
      <c r="C6499" t="s">
        <v>19</v>
      </c>
      <c r="D6499">
        <v>4900</v>
      </c>
      <c r="E6499" t="s">
        <v>383</v>
      </c>
      <c r="F6499" s="4">
        <v>0</v>
      </c>
      <c r="G6499" s="4">
        <v>3474</v>
      </c>
      <c r="H6499" s="4">
        <v>2625</v>
      </c>
      <c r="I6499" s="4">
        <v>849</v>
      </c>
      <c r="J6499" s="4">
        <v>3474</v>
      </c>
    </row>
    <row r="6500" spans="1:10" x14ac:dyDescent="0.75">
      <c r="A6500" t="s">
        <v>151</v>
      </c>
      <c r="B6500">
        <v>1992</v>
      </c>
      <c r="C6500" t="s">
        <v>19</v>
      </c>
      <c r="D6500">
        <v>7220</v>
      </c>
      <c r="E6500" t="s">
        <v>500</v>
      </c>
      <c r="F6500" s="4">
        <v>0</v>
      </c>
      <c r="G6500" s="4">
        <v>3230</v>
      </c>
      <c r="H6500" s="4">
        <v>1258</v>
      </c>
      <c r="I6500" s="4">
        <v>1972</v>
      </c>
      <c r="J6500" s="4">
        <v>3230</v>
      </c>
    </row>
    <row r="6501" spans="1:10" x14ac:dyDescent="0.75">
      <c r="A6501" t="s">
        <v>151</v>
      </c>
      <c r="B6501">
        <v>1992</v>
      </c>
      <c r="C6501" t="s">
        <v>19</v>
      </c>
      <c r="D6501">
        <v>6746</v>
      </c>
      <c r="E6501" t="s">
        <v>477</v>
      </c>
      <c r="F6501" s="4">
        <v>0</v>
      </c>
      <c r="G6501" s="4">
        <v>3075</v>
      </c>
      <c r="H6501" s="4">
        <v>2332</v>
      </c>
      <c r="I6501" s="4">
        <v>743</v>
      </c>
      <c r="J6501" s="4">
        <v>3075</v>
      </c>
    </row>
    <row r="6502" spans="1:10" x14ac:dyDescent="0.75">
      <c r="A6502" t="s">
        <v>151</v>
      </c>
      <c r="B6502">
        <v>1992</v>
      </c>
      <c r="C6502" t="s">
        <v>19</v>
      </c>
      <c r="D6502">
        <v>6817</v>
      </c>
      <c r="E6502" t="s">
        <v>481</v>
      </c>
      <c r="F6502" s="4">
        <v>0</v>
      </c>
      <c r="G6502" s="4">
        <v>3058</v>
      </c>
      <c r="H6502" s="4">
        <v>1498</v>
      </c>
      <c r="I6502" s="4">
        <v>1560</v>
      </c>
      <c r="J6502" s="4">
        <v>3058</v>
      </c>
    </row>
    <row r="6503" spans="1:10" x14ac:dyDescent="0.75">
      <c r="A6503" t="s">
        <v>151</v>
      </c>
      <c r="B6503">
        <v>1992</v>
      </c>
      <c r="C6503" t="s">
        <v>19</v>
      </c>
      <c r="D6503">
        <v>6590</v>
      </c>
      <c r="E6503" t="s">
        <v>394</v>
      </c>
      <c r="F6503" s="4">
        <v>0</v>
      </c>
      <c r="G6503" s="4">
        <v>3052</v>
      </c>
      <c r="H6503" s="4">
        <v>2216</v>
      </c>
      <c r="I6503" s="4">
        <v>836</v>
      </c>
      <c r="J6503" s="4">
        <v>3052</v>
      </c>
    </row>
    <row r="6504" spans="1:10" x14ac:dyDescent="0.75">
      <c r="A6504" t="s">
        <v>151</v>
      </c>
      <c r="B6504">
        <v>1992</v>
      </c>
      <c r="C6504" t="s">
        <v>19</v>
      </c>
      <c r="D6504">
        <v>2640</v>
      </c>
      <c r="E6504" t="s">
        <v>431</v>
      </c>
      <c r="F6504" s="4">
        <v>0</v>
      </c>
      <c r="G6504" s="4">
        <v>2914</v>
      </c>
      <c r="H6504" s="4">
        <v>1831</v>
      </c>
      <c r="I6504" s="4">
        <v>1083</v>
      </c>
      <c r="J6504" s="4">
        <v>2914</v>
      </c>
    </row>
    <row r="6505" spans="1:10" x14ac:dyDescent="0.75">
      <c r="A6505" t="s">
        <v>151</v>
      </c>
      <c r="B6505">
        <v>1992</v>
      </c>
      <c r="C6505" t="s">
        <v>19</v>
      </c>
      <c r="D6505">
        <v>5110</v>
      </c>
      <c r="E6505" t="s">
        <v>460</v>
      </c>
      <c r="F6505" s="4">
        <v>0</v>
      </c>
      <c r="G6505" s="4">
        <v>2703</v>
      </c>
      <c r="H6505" s="4">
        <v>129</v>
      </c>
      <c r="I6505" s="4">
        <v>2574</v>
      </c>
      <c r="J6505" s="4">
        <v>2703</v>
      </c>
    </row>
    <row r="6506" spans="1:10" x14ac:dyDescent="0.75">
      <c r="A6506" t="s">
        <v>151</v>
      </c>
      <c r="B6506">
        <v>1992</v>
      </c>
      <c r="C6506" t="s">
        <v>19</v>
      </c>
      <c r="D6506">
        <v>5390</v>
      </c>
      <c r="E6506" t="s">
        <v>418</v>
      </c>
      <c r="F6506" s="4">
        <v>0</v>
      </c>
      <c r="G6506" s="4">
        <v>2700</v>
      </c>
      <c r="H6506" s="4">
        <v>2152</v>
      </c>
      <c r="I6506" s="4">
        <v>548</v>
      </c>
      <c r="J6506" s="4">
        <v>2700</v>
      </c>
    </row>
    <row r="6507" spans="1:10" x14ac:dyDescent="0.75">
      <c r="A6507" t="s">
        <v>151</v>
      </c>
      <c r="B6507">
        <v>1992</v>
      </c>
      <c r="C6507" t="s">
        <v>19</v>
      </c>
      <c r="D6507">
        <v>3283</v>
      </c>
      <c r="E6507" t="s">
        <v>441</v>
      </c>
      <c r="F6507" s="4">
        <v>0</v>
      </c>
      <c r="G6507" s="4">
        <v>2559</v>
      </c>
      <c r="H6507" s="4">
        <v>801</v>
      </c>
      <c r="I6507" s="4">
        <v>1758</v>
      </c>
      <c r="J6507" s="4">
        <v>2559</v>
      </c>
    </row>
    <row r="6508" spans="1:10" x14ac:dyDescent="0.75">
      <c r="A6508" t="s">
        <v>151</v>
      </c>
      <c r="B6508">
        <v>1992</v>
      </c>
      <c r="C6508" t="s">
        <v>19</v>
      </c>
      <c r="D6508">
        <v>6781</v>
      </c>
      <c r="E6508" t="s">
        <v>479</v>
      </c>
      <c r="F6508" s="4">
        <v>0</v>
      </c>
      <c r="G6508" s="4">
        <v>2519</v>
      </c>
      <c r="H6508" s="4">
        <v>222</v>
      </c>
      <c r="I6508" s="4">
        <v>2297</v>
      </c>
      <c r="J6508" s="4">
        <v>2519</v>
      </c>
    </row>
    <row r="6509" spans="1:10" x14ac:dyDescent="0.75">
      <c r="A6509" t="s">
        <v>151</v>
      </c>
      <c r="B6509">
        <v>1992</v>
      </c>
      <c r="C6509" t="s">
        <v>19</v>
      </c>
      <c r="D6509">
        <v>2430</v>
      </c>
      <c r="E6509" t="s">
        <v>376</v>
      </c>
      <c r="F6509" s="4">
        <v>0</v>
      </c>
      <c r="G6509" s="4">
        <v>2501</v>
      </c>
      <c r="H6509" s="4">
        <v>1</v>
      </c>
      <c r="I6509" s="4">
        <v>2500</v>
      </c>
      <c r="J6509" s="4">
        <v>2501</v>
      </c>
    </row>
    <row r="6510" spans="1:10" x14ac:dyDescent="0.75">
      <c r="A6510" t="s">
        <v>151</v>
      </c>
      <c r="B6510">
        <v>1992</v>
      </c>
      <c r="C6510" t="s">
        <v>19</v>
      </c>
      <c r="D6510">
        <v>2350</v>
      </c>
      <c r="E6510" t="s">
        <v>404</v>
      </c>
      <c r="F6510" s="4">
        <v>0</v>
      </c>
      <c r="G6510" s="4">
        <v>2283</v>
      </c>
      <c r="H6510" s="4">
        <v>238</v>
      </c>
      <c r="I6510" s="4">
        <v>2045</v>
      </c>
      <c r="J6510" s="4">
        <v>2283</v>
      </c>
    </row>
    <row r="6511" spans="1:10" x14ac:dyDescent="0.75">
      <c r="A6511" t="s">
        <v>151</v>
      </c>
      <c r="B6511">
        <v>1992</v>
      </c>
      <c r="C6511" t="s">
        <v>19</v>
      </c>
      <c r="D6511">
        <v>5312</v>
      </c>
      <c r="E6511" t="s">
        <v>416</v>
      </c>
      <c r="F6511" s="4">
        <v>0</v>
      </c>
      <c r="G6511" s="4">
        <v>1935</v>
      </c>
      <c r="H6511" s="4">
        <v>1563</v>
      </c>
      <c r="I6511" s="4">
        <v>372</v>
      </c>
      <c r="J6511" s="4">
        <v>1935</v>
      </c>
    </row>
    <row r="6512" spans="1:10" x14ac:dyDescent="0.75">
      <c r="A6512" t="s">
        <v>151</v>
      </c>
      <c r="B6512">
        <v>1992</v>
      </c>
      <c r="C6512" t="s">
        <v>19</v>
      </c>
      <c r="D6512">
        <v>3211</v>
      </c>
      <c r="E6512" t="s">
        <v>433</v>
      </c>
      <c r="F6512" s="4">
        <v>0</v>
      </c>
      <c r="G6512" s="4">
        <v>1588</v>
      </c>
      <c r="H6512" s="4">
        <v>53</v>
      </c>
      <c r="I6512" s="4">
        <v>1535</v>
      </c>
      <c r="J6512" s="4">
        <v>1588</v>
      </c>
    </row>
    <row r="6513" spans="1:10" x14ac:dyDescent="0.75">
      <c r="A6513" t="s">
        <v>151</v>
      </c>
      <c r="B6513">
        <v>1992</v>
      </c>
      <c r="C6513" t="s">
        <v>19</v>
      </c>
      <c r="D6513">
        <v>7300</v>
      </c>
      <c r="E6513" t="s">
        <v>501</v>
      </c>
      <c r="F6513" s="4">
        <v>0</v>
      </c>
      <c r="G6513" s="4">
        <v>1426</v>
      </c>
      <c r="H6513" s="4">
        <v>1264</v>
      </c>
      <c r="I6513" s="4">
        <v>162</v>
      </c>
      <c r="J6513" s="4">
        <v>1426</v>
      </c>
    </row>
    <row r="6514" spans="1:10" x14ac:dyDescent="0.75">
      <c r="A6514" t="s">
        <v>151</v>
      </c>
      <c r="B6514">
        <v>1992</v>
      </c>
      <c r="C6514" t="s">
        <v>19</v>
      </c>
      <c r="D6514">
        <v>4690</v>
      </c>
      <c r="E6514" t="s">
        <v>428</v>
      </c>
      <c r="F6514" s="4">
        <v>0</v>
      </c>
      <c r="G6514" s="4">
        <v>1291</v>
      </c>
      <c r="H6514" s="4">
        <v>1258</v>
      </c>
      <c r="I6514" s="4">
        <v>33</v>
      </c>
      <c r="J6514" s="4">
        <v>1291</v>
      </c>
    </row>
    <row r="6515" spans="1:10" x14ac:dyDescent="0.75">
      <c r="A6515" t="s">
        <v>151</v>
      </c>
      <c r="B6515">
        <v>1992</v>
      </c>
      <c r="C6515" t="s">
        <v>19</v>
      </c>
      <c r="D6515">
        <v>2990</v>
      </c>
      <c r="E6515" t="s">
        <v>432</v>
      </c>
      <c r="F6515" s="4">
        <v>0</v>
      </c>
      <c r="G6515" s="4">
        <v>1038</v>
      </c>
      <c r="H6515" s="4">
        <v>497</v>
      </c>
      <c r="I6515" s="4">
        <v>541</v>
      </c>
      <c r="J6515" s="4">
        <v>1038</v>
      </c>
    </row>
    <row r="6516" spans="1:10" x14ac:dyDescent="0.75">
      <c r="A6516" t="s">
        <v>151</v>
      </c>
      <c r="B6516">
        <v>1992</v>
      </c>
      <c r="C6516" t="s">
        <v>19</v>
      </c>
      <c r="D6516">
        <v>6838</v>
      </c>
      <c r="E6516" t="s">
        <v>484</v>
      </c>
      <c r="F6516" s="4">
        <v>0</v>
      </c>
      <c r="G6516" s="4">
        <v>1032</v>
      </c>
      <c r="H6516" s="4">
        <v>1013</v>
      </c>
      <c r="I6516" s="4">
        <v>19</v>
      </c>
      <c r="J6516" s="4">
        <v>1032</v>
      </c>
    </row>
    <row r="6517" spans="1:10" x14ac:dyDescent="0.75">
      <c r="A6517" t="s">
        <v>151</v>
      </c>
      <c r="B6517">
        <v>1992</v>
      </c>
      <c r="C6517" t="s">
        <v>19</v>
      </c>
      <c r="D6517">
        <v>2410</v>
      </c>
      <c r="E6517" t="s">
        <v>430</v>
      </c>
      <c r="F6517" s="4">
        <v>0</v>
      </c>
      <c r="G6517" s="4">
        <v>857</v>
      </c>
      <c r="H6517" s="4">
        <v>360</v>
      </c>
      <c r="I6517" s="4">
        <v>497</v>
      </c>
      <c r="J6517" s="4">
        <v>857</v>
      </c>
    </row>
    <row r="6518" spans="1:10" x14ac:dyDescent="0.75">
      <c r="A6518" t="s">
        <v>151</v>
      </c>
      <c r="B6518">
        <v>1992</v>
      </c>
      <c r="C6518" t="s">
        <v>19</v>
      </c>
      <c r="D6518">
        <v>3273</v>
      </c>
      <c r="E6518" t="s">
        <v>411</v>
      </c>
      <c r="F6518" s="4">
        <v>0</v>
      </c>
      <c r="G6518" s="4">
        <v>817</v>
      </c>
      <c r="H6518" s="4">
        <v>101</v>
      </c>
      <c r="I6518" s="4">
        <v>716</v>
      </c>
      <c r="J6518" s="4">
        <v>817</v>
      </c>
    </row>
    <row r="6519" spans="1:10" x14ac:dyDescent="0.75">
      <c r="A6519" t="s">
        <v>151</v>
      </c>
      <c r="B6519">
        <v>1992</v>
      </c>
      <c r="C6519" t="s">
        <v>19</v>
      </c>
      <c r="D6519">
        <v>4515</v>
      </c>
      <c r="E6519" t="s">
        <v>455</v>
      </c>
      <c r="F6519" s="4">
        <v>0</v>
      </c>
      <c r="G6519" s="4">
        <v>718</v>
      </c>
      <c r="H6519" s="4">
        <v>239</v>
      </c>
      <c r="I6519" s="4">
        <v>479</v>
      </c>
      <c r="J6519" s="4">
        <v>718</v>
      </c>
    </row>
    <row r="6520" spans="1:10" x14ac:dyDescent="0.75">
      <c r="A6520" t="s">
        <v>151</v>
      </c>
      <c r="B6520">
        <v>1992</v>
      </c>
      <c r="C6520" t="s">
        <v>19</v>
      </c>
      <c r="D6520">
        <v>5315</v>
      </c>
      <c r="E6520" t="s">
        <v>417</v>
      </c>
      <c r="F6520" s="4">
        <v>0</v>
      </c>
      <c r="G6520" s="4">
        <v>706</v>
      </c>
      <c r="H6520" s="4">
        <v>683</v>
      </c>
      <c r="I6520" s="4">
        <v>23</v>
      </c>
      <c r="J6520" s="4">
        <v>706</v>
      </c>
    </row>
    <row r="6521" spans="1:10" x14ac:dyDescent="0.75">
      <c r="A6521" t="s">
        <v>151</v>
      </c>
      <c r="B6521">
        <v>1992</v>
      </c>
      <c r="C6521" t="s">
        <v>19</v>
      </c>
      <c r="D6521">
        <v>4170</v>
      </c>
      <c r="E6521" t="s">
        <v>424</v>
      </c>
      <c r="F6521" s="4">
        <v>0</v>
      </c>
      <c r="G6521" s="4">
        <v>696</v>
      </c>
      <c r="H6521" s="4">
        <v>234</v>
      </c>
      <c r="I6521" s="4">
        <v>462</v>
      </c>
      <c r="J6521" s="4">
        <v>696</v>
      </c>
    </row>
    <row r="6522" spans="1:10" x14ac:dyDescent="0.75">
      <c r="A6522" t="s">
        <v>151</v>
      </c>
      <c r="B6522">
        <v>1992</v>
      </c>
      <c r="C6522" t="s">
        <v>19</v>
      </c>
      <c r="D6522">
        <v>4110</v>
      </c>
      <c r="E6522" t="s">
        <v>449</v>
      </c>
      <c r="F6522" s="4">
        <v>0</v>
      </c>
      <c r="G6522" s="4">
        <v>675</v>
      </c>
      <c r="H6522" s="4">
        <v>97</v>
      </c>
      <c r="I6522" s="4">
        <v>578</v>
      </c>
      <c r="J6522" s="4">
        <v>675</v>
      </c>
    </row>
    <row r="6523" spans="1:10" x14ac:dyDescent="0.75">
      <c r="A6523" t="s">
        <v>151</v>
      </c>
      <c r="B6523">
        <v>1992</v>
      </c>
      <c r="C6523" t="s">
        <v>19</v>
      </c>
      <c r="D6523">
        <v>6872</v>
      </c>
      <c r="E6523" t="s">
        <v>492</v>
      </c>
      <c r="F6523" s="4">
        <v>0</v>
      </c>
      <c r="G6523" s="4">
        <v>595</v>
      </c>
      <c r="H6523" s="4">
        <v>335</v>
      </c>
      <c r="I6523" s="4">
        <v>260</v>
      </c>
      <c r="J6523" s="4">
        <v>595</v>
      </c>
    </row>
    <row r="6524" spans="1:10" x14ac:dyDescent="0.75">
      <c r="A6524" t="s">
        <v>151</v>
      </c>
      <c r="B6524">
        <v>1992</v>
      </c>
      <c r="C6524" t="s">
        <v>19</v>
      </c>
      <c r="D6524">
        <v>6445</v>
      </c>
      <c r="E6524" t="s">
        <v>474</v>
      </c>
      <c r="F6524" s="4">
        <v>0</v>
      </c>
      <c r="G6524" s="4">
        <v>569</v>
      </c>
      <c r="H6524" s="4">
        <v>329</v>
      </c>
      <c r="I6524" s="4">
        <v>240</v>
      </c>
      <c r="J6524" s="4">
        <v>569</v>
      </c>
    </row>
    <row r="6525" spans="1:10" x14ac:dyDescent="0.75">
      <c r="A6525" t="s">
        <v>151</v>
      </c>
      <c r="B6525">
        <v>1992</v>
      </c>
      <c r="C6525" t="s">
        <v>19</v>
      </c>
      <c r="D6525">
        <v>3293</v>
      </c>
      <c r="E6525" t="s">
        <v>445</v>
      </c>
      <c r="F6525" s="4">
        <v>0</v>
      </c>
      <c r="G6525" s="4">
        <v>563</v>
      </c>
      <c r="H6525" s="4">
        <v>242</v>
      </c>
      <c r="I6525" s="4">
        <v>321</v>
      </c>
      <c r="J6525" s="4">
        <v>563</v>
      </c>
    </row>
    <row r="6526" spans="1:10" x14ac:dyDescent="0.75">
      <c r="A6526" t="s">
        <v>151</v>
      </c>
      <c r="B6526">
        <v>1992</v>
      </c>
      <c r="C6526" t="s">
        <v>19</v>
      </c>
      <c r="D6526">
        <v>3298</v>
      </c>
      <c r="E6526" t="s">
        <v>447</v>
      </c>
      <c r="F6526" s="4">
        <v>0</v>
      </c>
      <c r="G6526" s="4">
        <v>491</v>
      </c>
      <c r="H6526" s="4">
        <v>238</v>
      </c>
      <c r="I6526" s="4">
        <v>253</v>
      </c>
      <c r="J6526" s="4">
        <v>491</v>
      </c>
    </row>
    <row r="6527" spans="1:10" x14ac:dyDescent="0.75">
      <c r="A6527" t="s">
        <v>151</v>
      </c>
      <c r="B6527">
        <v>1992</v>
      </c>
      <c r="C6527" t="s">
        <v>19</v>
      </c>
      <c r="D6527">
        <v>2540</v>
      </c>
      <c r="E6527" t="s">
        <v>377</v>
      </c>
      <c r="F6527" s="4">
        <v>0</v>
      </c>
      <c r="G6527" s="4">
        <v>376</v>
      </c>
      <c r="H6527" s="4">
        <v>0</v>
      </c>
      <c r="I6527" s="4">
        <v>376</v>
      </c>
      <c r="J6527" s="4">
        <v>376</v>
      </c>
    </row>
    <row r="6528" spans="1:10" x14ac:dyDescent="0.75">
      <c r="A6528" t="s">
        <v>151</v>
      </c>
      <c r="B6528">
        <v>1992</v>
      </c>
      <c r="C6528" t="s">
        <v>19</v>
      </c>
      <c r="D6528">
        <v>3212</v>
      </c>
      <c r="E6528" t="s">
        <v>409</v>
      </c>
      <c r="F6528" s="4">
        <v>0</v>
      </c>
      <c r="G6528" s="4">
        <v>367</v>
      </c>
      <c r="H6528" s="4">
        <v>0</v>
      </c>
      <c r="I6528" s="4">
        <v>367</v>
      </c>
      <c r="J6528" s="4">
        <v>367</v>
      </c>
    </row>
    <row r="6529" spans="1:10" x14ac:dyDescent="0.75">
      <c r="A6529" t="s">
        <v>151</v>
      </c>
      <c r="B6529">
        <v>1992</v>
      </c>
      <c r="C6529" t="s">
        <v>19</v>
      </c>
      <c r="D6529">
        <v>2221</v>
      </c>
      <c r="E6529" t="s">
        <v>374</v>
      </c>
      <c r="F6529" s="4">
        <v>0</v>
      </c>
      <c r="G6529" s="4">
        <v>320</v>
      </c>
      <c r="H6529" s="4">
        <v>0</v>
      </c>
      <c r="I6529" s="4">
        <v>320</v>
      </c>
      <c r="J6529" s="4">
        <v>320</v>
      </c>
    </row>
    <row r="6530" spans="1:10" x14ac:dyDescent="0.75">
      <c r="A6530" t="s">
        <v>151</v>
      </c>
      <c r="B6530">
        <v>1992</v>
      </c>
      <c r="C6530" t="s">
        <v>19</v>
      </c>
      <c r="D6530">
        <v>3110</v>
      </c>
      <c r="E6530" t="s">
        <v>405</v>
      </c>
      <c r="F6530" s="4">
        <v>0</v>
      </c>
      <c r="G6530" s="4">
        <v>278</v>
      </c>
      <c r="H6530" s="4">
        <v>136</v>
      </c>
      <c r="I6530" s="4">
        <v>142</v>
      </c>
      <c r="J6530" s="4">
        <v>278</v>
      </c>
    </row>
    <row r="6531" spans="1:10" x14ac:dyDescent="0.75">
      <c r="A6531" t="s">
        <v>151</v>
      </c>
      <c r="B6531">
        <v>1992</v>
      </c>
      <c r="C6531" t="s">
        <v>19</v>
      </c>
      <c r="D6531">
        <v>4323</v>
      </c>
      <c r="E6531" t="s">
        <v>373</v>
      </c>
      <c r="F6531" s="4">
        <v>0</v>
      </c>
      <c r="G6531" s="4">
        <v>261</v>
      </c>
      <c r="H6531" s="4">
        <v>85</v>
      </c>
      <c r="I6531" s="4">
        <v>176</v>
      </c>
      <c r="J6531" s="4">
        <v>261</v>
      </c>
    </row>
    <row r="6532" spans="1:10" x14ac:dyDescent="0.75">
      <c r="A6532" t="s">
        <v>151</v>
      </c>
      <c r="B6532">
        <v>1992</v>
      </c>
      <c r="C6532" t="s">
        <v>19</v>
      </c>
      <c r="D6532">
        <v>4860</v>
      </c>
      <c r="E6532" t="s">
        <v>400</v>
      </c>
      <c r="F6532" s="4">
        <v>0</v>
      </c>
      <c r="G6532" s="4">
        <v>261</v>
      </c>
      <c r="H6532" s="4">
        <v>191</v>
      </c>
      <c r="I6532" s="4">
        <v>70</v>
      </c>
      <c r="J6532" s="4">
        <v>261</v>
      </c>
    </row>
    <row r="6533" spans="1:10" x14ac:dyDescent="0.75">
      <c r="A6533" t="s">
        <v>151</v>
      </c>
      <c r="B6533">
        <v>1992</v>
      </c>
      <c r="C6533" t="s">
        <v>19</v>
      </c>
      <c r="D6533">
        <v>2429</v>
      </c>
      <c r="E6533" t="s">
        <v>375</v>
      </c>
      <c r="F6533" s="4">
        <v>0</v>
      </c>
      <c r="G6533" s="4">
        <v>241</v>
      </c>
      <c r="H6533" s="4">
        <v>0</v>
      </c>
      <c r="I6533" s="4">
        <v>241</v>
      </c>
      <c r="J6533" s="4">
        <v>241</v>
      </c>
    </row>
    <row r="6534" spans="1:10" x14ac:dyDescent="0.75">
      <c r="A6534" t="s">
        <v>151</v>
      </c>
      <c r="B6534">
        <v>1992</v>
      </c>
      <c r="C6534" t="s">
        <v>19</v>
      </c>
      <c r="D6534">
        <v>4161</v>
      </c>
      <c r="E6534" t="s">
        <v>421</v>
      </c>
      <c r="F6534" s="4">
        <v>0</v>
      </c>
      <c r="G6534" s="4">
        <v>218</v>
      </c>
      <c r="H6534" s="4">
        <v>64</v>
      </c>
      <c r="I6534" s="4">
        <v>154</v>
      </c>
      <c r="J6534" s="4">
        <v>218</v>
      </c>
    </row>
    <row r="6535" spans="1:10" x14ac:dyDescent="0.75">
      <c r="A6535" t="s">
        <v>151</v>
      </c>
      <c r="B6535">
        <v>1992</v>
      </c>
      <c r="C6535" t="s">
        <v>19</v>
      </c>
      <c r="D6535">
        <v>6447</v>
      </c>
      <c r="E6535" t="s">
        <v>475</v>
      </c>
      <c r="F6535" s="4">
        <v>0</v>
      </c>
      <c r="G6535" s="4">
        <v>144</v>
      </c>
      <c r="H6535" s="4">
        <v>100</v>
      </c>
      <c r="I6535" s="4">
        <v>44</v>
      </c>
      <c r="J6535" s="4">
        <v>144</v>
      </c>
    </row>
    <row r="6536" spans="1:10" x14ac:dyDescent="0.75">
      <c r="A6536" t="s">
        <v>151</v>
      </c>
      <c r="B6536">
        <v>1992</v>
      </c>
      <c r="C6536" t="s">
        <v>19</v>
      </c>
      <c r="D6536">
        <v>5320</v>
      </c>
      <c r="E6536" t="s">
        <v>384</v>
      </c>
      <c r="F6536" s="4">
        <v>0</v>
      </c>
      <c r="G6536" s="4">
        <v>119</v>
      </c>
      <c r="H6536" s="4">
        <v>109</v>
      </c>
      <c r="I6536" s="4">
        <v>10</v>
      </c>
      <c r="J6536" s="4">
        <v>119</v>
      </c>
    </row>
    <row r="6537" spans="1:10" x14ac:dyDescent="0.75">
      <c r="A6537" t="s">
        <v>151</v>
      </c>
      <c r="B6537">
        <v>1992</v>
      </c>
      <c r="C6537" t="s">
        <v>19</v>
      </c>
      <c r="D6537">
        <v>4741</v>
      </c>
      <c r="E6537" t="s">
        <v>425</v>
      </c>
      <c r="F6537" s="4">
        <v>0</v>
      </c>
      <c r="G6537" s="4">
        <v>97</v>
      </c>
      <c r="H6537" s="4">
        <v>0</v>
      </c>
      <c r="I6537" s="4">
        <v>97</v>
      </c>
      <c r="J6537" s="4">
        <v>97</v>
      </c>
    </row>
    <row r="6538" spans="1:10" x14ac:dyDescent="0.75">
      <c r="A6538" t="s">
        <v>151</v>
      </c>
      <c r="B6538">
        <v>1992</v>
      </c>
      <c r="C6538" t="s">
        <v>19</v>
      </c>
      <c r="D6538">
        <v>6522</v>
      </c>
      <c r="E6538" t="s">
        <v>393</v>
      </c>
      <c r="F6538" s="4">
        <v>0</v>
      </c>
      <c r="G6538" s="4">
        <v>93</v>
      </c>
      <c r="H6538" s="4">
        <v>0</v>
      </c>
      <c r="I6538" s="4">
        <v>93</v>
      </c>
      <c r="J6538" s="4">
        <v>93</v>
      </c>
    </row>
    <row r="6539" spans="1:10" x14ac:dyDescent="0.75">
      <c r="A6539" t="s">
        <v>151</v>
      </c>
      <c r="B6539">
        <v>1992</v>
      </c>
      <c r="C6539" t="s">
        <v>19</v>
      </c>
      <c r="D6539">
        <v>3130</v>
      </c>
      <c r="E6539" t="s">
        <v>407</v>
      </c>
      <c r="F6539" s="4">
        <v>0</v>
      </c>
      <c r="G6539" s="4">
        <v>88</v>
      </c>
      <c r="H6539" s="4">
        <v>45</v>
      </c>
      <c r="I6539" s="4">
        <v>43</v>
      </c>
      <c r="J6539" s="4">
        <v>88</v>
      </c>
    </row>
    <row r="6540" spans="1:10" x14ac:dyDescent="0.75">
      <c r="A6540" t="s">
        <v>151</v>
      </c>
      <c r="B6540">
        <v>1992</v>
      </c>
      <c r="C6540" t="s">
        <v>19</v>
      </c>
      <c r="D6540">
        <v>6241</v>
      </c>
      <c r="E6540" t="s">
        <v>391</v>
      </c>
      <c r="F6540" s="4">
        <v>0</v>
      </c>
      <c r="G6540" s="4">
        <v>63</v>
      </c>
      <c r="H6540" s="4">
        <v>3</v>
      </c>
      <c r="I6540" s="4">
        <v>60</v>
      </c>
      <c r="J6540" s="4">
        <v>63</v>
      </c>
    </row>
    <row r="6541" spans="1:10" x14ac:dyDescent="0.75">
      <c r="A6541" t="s">
        <v>151</v>
      </c>
      <c r="B6541">
        <v>1992</v>
      </c>
      <c r="C6541" t="s">
        <v>19</v>
      </c>
      <c r="D6541">
        <v>4410</v>
      </c>
      <c r="E6541" t="s">
        <v>399</v>
      </c>
      <c r="F6541" s="4">
        <v>0</v>
      </c>
      <c r="G6541" s="4">
        <v>40</v>
      </c>
      <c r="H6541" s="4">
        <v>27</v>
      </c>
      <c r="I6541" s="4">
        <v>13</v>
      </c>
      <c r="J6541" s="4">
        <v>40</v>
      </c>
    </row>
    <row r="6542" spans="1:10" x14ac:dyDescent="0.75">
      <c r="A6542" t="s">
        <v>151</v>
      </c>
      <c r="B6542">
        <v>1992</v>
      </c>
      <c r="C6542" t="s">
        <v>19</v>
      </c>
      <c r="D6542">
        <v>1200</v>
      </c>
      <c r="E6542" t="s">
        <v>402</v>
      </c>
      <c r="F6542" s="4">
        <v>0</v>
      </c>
      <c r="G6542" s="4">
        <v>28</v>
      </c>
      <c r="H6542" s="4">
        <v>28</v>
      </c>
      <c r="I6542" s="4">
        <v>0</v>
      </c>
      <c r="J6542" s="4">
        <v>28</v>
      </c>
    </row>
    <row r="6543" spans="1:10" x14ac:dyDescent="0.75">
      <c r="A6543" t="s">
        <v>151</v>
      </c>
      <c r="B6543">
        <v>1992</v>
      </c>
      <c r="C6543" t="s">
        <v>19</v>
      </c>
      <c r="D6543">
        <v>6534</v>
      </c>
      <c r="E6543" t="s">
        <v>508</v>
      </c>
      <c r="F6543" s="4">
        <v>0</v>
      </c>
      <c r="G6543" s="4">
        <v>25</v>
      </c>
      <c r="H6543" s="4">
        <v>0</v>
      </c>
      <c r="I6543" s="4">
        <v>25</v>
      </c>
      <c r="J6543" s="4">
        <v>25</v>
      </c>
    </row>
    <row r="6544" spans="1:10" x14ac:dyDescent="0.75">
      <c r="A6544" t="s">
        <v>151</v>
      </c>
      <c r="B6544">
        <v>1992</v>
      </c>
      <c r="C6544" t="s">
        <v>19</v>
      </c>
      <c r="D6544">
        <v>3281</v>
      </c>
      <c r="E6544" t="s">
        <v>439</v>
      </c>
      <c r="F6544" s="4">
        <v>0</v>
      </c>
      <c r="G6544" s="4">
        <v>23</v>
      </c>
      <c r="H6544" s="4">
        <v>0</v>
      </c>
      <c r="I6544" s="4">
        <v>23</v>
      </c>
      <c r="J6544" s="4">
        <v>23</v>
      </c>
    </row>
    <row r="6545" spans="1:10" x14ac:dyDescent="0.75">
      <c r="A6545" t="s">
        <v>151</v>
      </c>
      <c r="B6545">
        <v>1992</v>
      </c>
      <c r="C6545" t="s">
        <v>19</v>
      </c>
      <c r="D6545">
        <v>5210</v>
      </c>
      <c r="E6545" t="s">
        <v>463</v>
      </c>
      <c r="F6545" s="4">
        <v>0</v>
      </c>
      <c r="G6545" s="4">
        <v>19</v>
      </c>
      <c r="H6545" s="4">
        <v>0</v>
      </c>
      <c r="I6545" s="4">
        <v>19</v>
      </c>
      <c r="J6545" s="4">
        <v>19</v>
      </c>
    </row>
    <row r="6546" spans="1:10" x14ac:dyDescent="0.75">
      <c r="A6546" t="s">
        <v>151</v>
      </c>
      <c r="B6546">
        <v>1992</v>
      </c>
      <c r="C6546" t="s">
        <v>19</v>
      </c>
      <c r="D6546">
        <v>3272</v>
      </c>
      <c r="E6546" t="s">
        <v>504</v>
      </c>
      <c r="F6546" s="4">
        <v>0</v>
      </c>
      <c r="G6546" s="4">
        <v>13</v>
      </c>
      <c r="H6546" s="4">
        <v>6</v>
      </c>
      <c r="I6546" s="4">
        <v>7</v>
      </c>
      <c r="J6546" s="4">
        <v>13</v>
      </c>
    </row>
    <row r="6547" spans="1:10" x14ac:dyDescent="0.75">
      <c r="A6547" t="s">
        <v>151</v>
      </c>
      <c r="B6547">
        <v>1992</v>
      </c>
      <c r="C6547" t="s">
        <v>19</v>
      </c>
      <c r="D6547">
        <v>2100</v>
      </c>
      <c r="E6547" t="s">
        <v>403</v>
      </c>
      <c r="F6547" s="4">
        <v>0</v>
      </c>
      <c r="G6547" s="4">
        <v>8</v>
      </c>
      <c r="H6547" s="4">
        <v>0</v>
      </c>
      <c r="I6547" s="4">
        <v>8</v>
      </c>
      <c r="J6547" s="4">
        <v>8</v>
      </c>
    </row>
    <row r="6548" spans="1:10" x14ac:dyDescent="0.75">
      <c r="A6548" t="s">
        <v>151</v>
      </c>
      <c r="B6548">
        <v>1992</v>
      </c>
      <c r="C6548" t="s">
        <v>19</v>
      </c>
      <c r="D6548">
        <v>6865</v>
      </c>
      <c r="E6548" t="s">
        <v>490</v>
      </c>
      <c r="F6548" s="4">
        <v>0</v>
      </c>
      <c r="G6548" s="4">
        <v>1</v>
      </c>
      <c r="H6548" s="4">
        <v>1</v>
      </c>
      <c r="I6548" s="4">
        <v>0</v>
      </c>
      <c r="J6548" s="4">
        <v>1</v>
      </c>
    </row>
    <row r="6549" spans="1:10" x14ac:dyDescent="0.75">
      <c r="A6549" t="s">
        <v>151</v>
      </c>
      <c r="B6549">
        <v>78</v>
      </c>
      <c r="C6549" t="s">
        <v>247</v>
      </c>
      <c r="D6549">
        <v>2330</v>
      </c>
      <c r="E6549" t="s">
        <v>368</v>
      </c>
      <c r="F6549" s="4">
        <v>74605</v>
      </c>
      <c r="G6549" s="4">
        <v>575652</v>
      </c>
      <c r="H6549" s="4">
        <v>575652</v>
      </c>
      <c r="I6549" s="4">
        <v>0</v>
      </c>
      <c r="J6549" s="4">
        <v>650257</v>
      </c>
    </row>
    <row r="6550" spans="1:10" x14ac:dyDescent="0.75">
      <c r="A6550" t="s">
        <v>151</v>
      </c>
      <c r="B6550">
        <v>78</v>
      </c>
      <c r="C6550" t="s">
        <v>247</v>
      </c>
      <c r="D6550">
        <v>4783</v>
      </c>
      <c r="E6550" t="s">
        <v>382</v>
      </c>
      <c r="F6550" s="4">
        <v>0</v>
      </c>
      <c r="G6550" s="4">
        <v>328079</v>
      </c>
      <c r="H6550" s="4">
        <v>328079</v>
      </c>
      <c r="I6550" s="4">
        <v>0</v>
      </c>
      <c r="J6550" s="4">
        <v>328079</v>
      </c>
    </row>
    <row r="6551" spans="1:10" x14ac:dyDescent="0.75">
      <c r="A6551" t="s">
        <v>151</v>
      </c>
      <c r="B6551">
        <v>78</v>
      </c>
      <c r="C6551" t="s">
        <v>247</v>
      </c>
      <c r="D6551">
        <v>4323</v>
      </c>
      <c r="E6551" t="s">
        <v>373</v>
      </c>
      <c r="F6551" s="4">
        <v>0</v>
      </c>
      <c r="G6551" s="4">
        <v>227627</v>
      </c>
      <c r="H6551" s="4">
        <v>227627</v>
      </c>
      <c r="I6551" s="4">
        <v>0</v>
      </c>
      <c r="J6551" s="4">
        <v>227627</v>
      </c>
    </row>
    <row r="6552" spans="1:10" x14ac:dyDescent="0.75">
      <c r="A6552" t="s">
        <v>151</v>
      </c>
      <c r="B6552">
        <v>78</v>
      </c>
      <c r="C6552" t="s">
        <v>247</v>
      </c>
      <c r="D6552">
        <v>2221</v>
      </c>
      <c r="E6552" t="s">
        <v>374</v>
      </c>
      <c r="F6552" s="4">
        <v>16639</v>
      </c>
      <c r="G6552" s="4">
        <v>0</v>
      </c>
      <c r="H6552" s="4">
        <v>0</v>
      </c>
      <c r="I6552" s="4">
        <v>0</v>
      </c>
      <c r="J6552" s="4">
        <v>16639</v>
      </c>
    </row>
    <row r="6553" spans="1:10" x14ac:dyDescent="0.75">
      <c r="A6553" t="s">
        <v>151</v>
      </c>
      <c r="B6553">
        <v>78</v>
      </c>
      <c r="C6553" t="s">
        <v>247</v>
      </c>
      <c r="D6553">
        <v>2640</v>
      </c>
      <c r="E6553" t="s">
        <v>431</v>
      </c>
      <c r="F6553" s="4">
        <v>0</v>
      </c>
      <c r="G6553" s="4">
        <v>5607</v>
      </c>
      <c r="H6553" s="4">
        <v>5607</v>
      </c>
      <c r="I6553" s="4">
        <v>0</v>
      </c>
      <c r="J6553" s="4">
        <v>5607</v>
      </c>
    </row>
    <row r="6554" spans="1:10" x14ac:dyDescent="0.75">
      <c r="A6554" t="s">
        <v>151</v>
      </c>
      <c r="B6554">
        <v>78</v>
      </c>
      <c r="C6554" t="s">
        <v>247</v>
      </c>
      <c r="D6554">
        <v>7230</v>
      </c>
      <c r="E6554" t="s">
        <v>387</v>
      </c>
      <c r="F6554" s="4">
        <v>0</v>
      </c>
      <c r="G6554" s="4">
        <v>1</v>
      </c>
      <c r="H6554" s="4">
        <v>1</v>
      </c>
      <c r="I6554" s="4">
        <v>0</v>
      </c>
      <c r="J6554" s="4">
        <v>1</v>
      </c>
    </row>
    <row r="6555" spans="1:10" x14ac:dyDescent="0.75">
      <c r="A6555" t="s">
        <v>160</v>
      </c>
      <c r="B6555">
        <v>3619</v>
      </c>
      <c r="C6555" t="s">
        <v>202</v>
      </c>
      <c r="D6555">
        <v>4322</v>
      </c>
      <c r="E6555" t="s">
        <v>398</v>
      </c>
      <c r="F6555" s="4">
        <v>3553337</v>
      </c>
      <c r="G6555" s="4">
        <v>25944</v>
      </c>
      <c r="H6555" s="4">
        <v>0</v>
      </c>
      <c r="I6555" s="4">
        <v>25944</v>
      </c>
      <c r="J6555" s="4">
        <v>3579281</v>
      </c>
    </row>
    <row r="6556" spans="1:10" x14ac:dyDescent="0.75">
      <c r="A6556" t="s">
        <v>160</v>
      </c>
      <c r="B6556">
        <v>3619</v>
      </c>
      <c r="C6556" t="s">
        <v>202</v>
      </c>
      <c r="D6556">
        <v>4331</v>
      </c>
      <c r="E6556" t="s">
        <v>390</v>
      </c>
      <c r="F6556" s="4">
        <v>515405</v>
      </c>
      <c r="G6556" s="4">
        <v>0</v>
      </c>
      <c r="H6556" s="4">
        <v>0</v>
      </c>
      <c r="I6556" s="4">
        <v>0</v>
      </c>
      <c r="J6556" s="4">
        <v>515405</v>
      </c>
    </row>
    <row r="6557" spans="1:10" x14ac:dyDescent="0.75">
      <c r="A6557" t="s">
        <v>160</v>
      </c>
      <c r="B6557">
        <v>3619</v>
      </c>
      <c r="C6557" t="s">
        <v>202</v>
      </c>
      <c r="D6557">
        <v>4783</v>
      </c>
      <c r="E6557" t="s">
        <v>382</v>
      </c>
      <c r="F6557" s="4">
        <v>0</v>
      </c>
      <c r="G6557" s="4">
        <v>52360</v>
      </c>
      <c r="H6557" s="4">
        <v>52360</v>
      </c>
      <c r="I6557" s="4">
        <v>0</v>
      </c>
      <c r="J6557" s="4">
        <v>52360</v>
      </c>
    </row>
    <row r="6558" spans="1:10" x14ac:dyDescent="0.75">
      <c r="A6558" t="s">
        <v>160</v>
      </c>
      <c r="B6558">
        <v>3619</v>
      </c>
      <c r="C6558" t="s">
        <v>202</v>
      </c>
      <c r="D6558">
        <v>7500</v>
      </c>
      <c r="E6558" t="s">
        <v>427</v>
      </c>
      <c r="F6558" s="4">
        <v>0</v>
      </c>
      <c r="G6558" s="4">
        <v>26000</v>
      </c>
      <c r="H6558" s="4">
        <v>0</v>
      </c>
      <c r="I6558" s="4">
        <v>26000</v>
      </c>
      <c r="J6558" s="4">
        <v>26000</v>
      </c>
    </row>
    <row r="6559" spans="1:10" x14ac:dyDescent="0.75">
      <c r="A6559" t="s">
        <v>160</v>
      </c>
      <c r="B6559">
        <v>3619</v>
      </c>
      <c r="C6559" t="s">
        <v>202</v>
      </c>
      <c r="D6559">
        <v>5220</v>
      </c>
      <c r="E6559" t="s">
        <v>401</v>
      </c>
      <c r="F6559" s="4">
        <v>0</v>
      </c>
      <c r="G6559" s="4">
        <v>18949</v>
      </c>
      <c r="H6559" s="4">
        <v>0</v>
      </c>
      <c r="I6559" s="4">
        <v>18949</v>
      </c>
      <c r="J6559" s="4">
        <v>18949</v>
      </c>
    </row>
    <row r="6560" spans="1:10" x14ac:dyDescent="0.75">
      <c r="A6560" t="s">
        <v>160</v>
      </c>
      <c r="B6560">
        <v>3619</v>
      </c>
      <c r="C6560" t="s">
        <v>202</v>
      </c>
      <c r="D6560">
        <v>4420</v>
      </c>
      <c r="E6560" t="s">
        <v>381</v>
      </c>
      <c r="F6560" s="4">
        <v>0</v>
      </c>
      <c r="G6560" s="4">
        <v>10000</v>
      </c>
      <c r="H6560" s="4">
        <v>10000</v>
      </c>
      <c r="I6560" s="4">
        <v>0</v>
      </c>
      <c r="J6560" s="4">
        <v>10000</v>
      </c>
    </row>
    <row r="6561" spans="1:10" x14ac:dyDescent="0.75">
      <c r="A6561" t="s">
        <v>160</v>
      </c>
      <c r="B6561">
        <v>3200</v>
      </c>
      <c r="C6561" t="s">
        <v>338</v>
      </c>
      <c r="D6561">
        <v>4322</v>
      </c>
      <c r="E6561" t="s">
        <v>398</v>
      </c>
      <c r="F6561" s="4">
        <v>5119</v>
      </c>
      <c r="G6561" s="4">
        <v>0</v>
      </c>
      <c r="H6561" s="4">
        <v>0</v>
      </c>
      <c r="I6561" s="4">
        <v>0</v>
      </c>
      <c r="J6561" s="4">
        <v>5119</v>
      </c>
    </row>
    <row r="6562" spans="1:10" x14ac:dyDescent="0.75">
      <c r="A6562" t="s">
        <v>160</v>
      </c>
      <c r="B6562">
        <v>3200</v>
      </c>
      <c r="C6562" t="s">
        <v>338</v>
      </c>
      <c r="D6562">
        <v>7900</v>
      </c>
      <c r="E6562" t="s">
        <v>388</v>
      </c>
      <c r="F6562" s="4">
        <v>270</v>
      </c>
      <c r="G6562" s="4">
        <v>0</v>
      </c>
      <c r="H6562" s="4">
        <v>0</v>
      </c>
      <c r="I6562" s="4">
        <v>0</v>
      </c>
      <c r="J6562" s="4">
        <v>270</v>
      </c>
    </row>
    <row r="6563" spans="1:10" x14ac:dyDescent="0.75">
      <c r="A6563" t="s">
        <v>160</v>
      </c>
      <c r="B6563">
        <v>3754</v>
      </c>
      <c r="C6563" t="s">
        <v>349</v>
      </c>
      <c r="D6563">
        <v>4335</v>
      </c>
      <c r="E6563" t="s">
        <v>372</v>
      </c>
      <c r="F6563" s="4">
        <v>1370</v>
      </c>
      <c r="G6563" s="4">
        <v>0</v>
      </c>
      <c r="H6563" s="4">
        <v>0</v>
      </c>
      <c r="I6563" s="4">
        <v>0</v>
      </c>
      <c r="J6563" s="4">
        <v>1370</v>
      </c>
    </row>
    <row r="6564" spans="1:10" x14ac:dyDescent="0.75">
      <c r="A6564" t="s">
        <v>160</v>
      </c>
      <c r="B6564">
        <v>3754</v>
      </c>
      <c r="C6564" t="s">
        <v>349</v>
      </c>
      <c r="D6564">
        <v>7110</v>
      </c>
      <c r="E6564" t="s">
        <v>371</v>
      </c>
      <c r="F6564" s="4">
        <v>70</v>
      </c>
      <c r="G6564" s="4">
        <v>0</v>
      </c>
      <c r="H6564" s="4">
        <v>0</v>
      </c>
      <c r="I6564" s="4">
        <v>0</v>
      </c>
      <c r="J6564" s="4">
        <v>70</v>
      </c>
    </row>
    <row r="6565" spans="1:10" x14ac:dyDescent="0.75">
      <c r="A6565" t="s">
        <v>163</v>
      </c>
      <c r="B6565">
        <v>2354</v>
      </c>
      <c r="C6565" t="s">
        <v>303</v>
      </c>
      <c r="D6565">
        <v>4783</v>
      </c>
      <c r="E6565" t="s">
        <v>382</v>
      </c>
      <c r="F6565" s="4">
        <v>76324</v>
      </c>
      <c r="G6565" s="4">
        <v>0</v>
      </c>
      <c r="H6565" s="4">
        <v>0</v>
      </c>
      <c r="I6565" s="4">
        <v>0</v>
      </c>
      <c r="J6565" s="4">
        <v>76324</v>
      </c>
    </row>
    <row r="6566" spans="1:10" x14ac:dyDescent="0.75">
      <c r="A6566" t="s">
        <v>163</v>
      </c>
      <c r="B6566">
        <v>2354</v>
      </c>
      <c r="C6566" t="s">
        <v>303</v>
      </c>
      <c r="D6566">
        <v>6522</v>
      </c>
      <c r="E6566" t="s">
        <v>393</v>
      </c>
      <c r="F6566" s="4">
        <v>45064</v>
      </c>
      <c r="G6566" s="4">
        <v>0</v>
      </c>
      <c r="H6566" s="4">
        <v>0</v>
      </c>
      <c r="I6566" s="4">
        <v>0</v>
      </c>
      <c r="J6566" s="4">
        <v>45064</v>
      </c>
    </row>
    <row r="6567" spans="1:10" x14ac:dyDescent="0.75">
      <c r="A6567" t="s">
        <v>163</v>
      </c>
      <c r="B6567">
        <v>2354</v>
      </c>
      <c r="C6567" t="s">
        <v>303</v>
      </c>
      <c r="D6567">
        <v>6344</v>
      </c>
      <c r="E6567" t="s">
        <v>392</v>
      </c>
      <c r="F6567" s="4">
        <v>20508</v>
      </c>
      <c r="G6567" s="4">
        <v>0</v>
      </c>
      <c r="H6567" s="4">
        <v>0</v>
      </c>
      <c r="I6567" s="4">
        <v>0</v>
      </c>
      <c r="J6567" s="4">
        <v>20508</v>
      </c>
    </row>
    <row r="6568" spans="1:10" x14ac:dyDescent="0.75">
      <c r="A6568" t="s">
        <v>163</v>
      </c>
      <c r="B6568">
        <v>2354</v>
      </c>
      <c r="C6568" t="s">
        <v>303</v>
      </c>
      <c r="D6568">
        <v>3276</v>
      </c>
      <c r="E6568" t="s">
        <v>379</v>
      </c>
      <c r="F6568" s="4">
        <v>11101</v>
      </c>
      <c r="G6568" s="4">
        <v>0</v>
      </c>
      <c r="H6568" s="4">
        <v>0</v>
      </c>
      <c r="I6568" s="4">
        <v>0</v>
      </c>
      <c r="J6568" s="4">
        <v>11101</v>
      </c>
    </row>
    <row r="6569" spans="1:10" x14ac:dyDescent="0.75">
      <c r="A6569" t="s">
        <v>163</v>
      </c>
      <c r="B6569">
        <v>2354</v>
      </c>
      <c r="C6569" t="s">
        <v>303</v>
      </c>
      <c r="D6569">
        <v>4322</v>
      </c>
      <c r="E6569" t="s">
        <v>398</v>
      </c>
      <c r="F6569" s="4">
        <v>9196</v>
      </c>
      <c r="G6569" s="4">
        <v>0</v>
      </c>
      <c r="H6569" s="4">
        <v>0</v>
      </c>
      <c r="I6569" s="4">
        <v>0</v>
      </c>
      <c r="J6569" s="4">
        <v>9196</v>
      </c>
    </row>
    <row r="6570" spans="1:10" x14ac:dyDescent="0.75">
      <c r="A6570" t="s">
        <v>163</v>
      </c>
      <c r="B6570">
        <v>2354</v>
      </c>
      <c r="C6570" t="s">
        <v>303</v>
      </c>
      <c r="D6570">
        <v>4335</v>
      </c>
      <c r="E6570" t="s">
        <v>372</v>
      </c>
      <c r="F6570" s="4">
        <v>8368</v>
      </c>
      <c r="G6570" s="4">
        <v>0</v>
      </c>
      <c r="H6570" s="4">
        <v>0</v>
      </c>
      <c r="I6570" s="4">
        <v>0</v>
      </c>
      <c r="J6570" s="4">
        <v>8368</v>
      </c>
    </row>
    <row r="6571" spans="1:10" x14ac:dyDescent="0.75">
      <c r="A6571" t="s">
        <v>163</v>
      </c>
      <c r="B6571">
        <v>2354</v>
      </c>
      <c r="C6571" t="s">
        <v>303</v>
      </c>
      <c r="D6571">
        <v>4331</v>
      </c>
      <c r="E6571" t="s">
        <v>390</v>
      </c>
      <c r="F6571" s="4">
        <v>7965</v>
      </c>
      <c r="G6571" s="4">
        <v>0</v>
      </c>
      <c r="H6571" s="4">
        <v>0</v>
      </c>
      <c r="I6571" s="4">
        <v>0</v>
      </c>
      <c r="J6571" s="4">
        <v>7965</v>
      </c>
    </row>
    <row r="6572" spans="1:10" x14ac:dyDescent="0.75">
      <c r="A6572" t="s">
        <v>163</v>
      </c>
      <c r="B6572">
        <v>2354</v>
      </c>
      <c r="C6572" t="s">
        <v>303</v>
      </c>
      <c r="D6572">
        <v>4782</v>
      </c>
      <c r="E6572" t="s">
        <v>414</v>
      </c>
      <c r="F6572" s="4">
        <v>4942</v>
      </c>
      <c r="G6572" s="4">
        <v>0</v>
      </c>
      <c r="H6572" s="4">
        <v>0</v>
      </c>
      <c r="I6572" s="4">
        <v>0</v>
      </c>
      <c r="J6572" s="4">
        <v>4942</v>
      </c>
    </row>
    <row r="6573" spans="1:10" x14ac:dyDescent="0.75">
      <c r="A6573" t="s">
        <v>163</v>
      </c>
      <c r="B6573">
        <v>2354</v>
      </c>
      <c r="C6573" t="s">
        <v>303</v>
      </c>
      <c r="D6573">
        <v>3110</v>
      </c>
      <c r="E6573" t="s">
        <v>405</v>
      </c>
      <c r="F6573" s="4">
        <v>4357</v>
      </c>
      <c r="G6573" s="4">
        <v>0</v>
      </c>
      <c r="H6573" s="4">
        <v>0</v>
      </c>
      <c r="I6573" s="4">
        <v>0</v>
      </c>
      <c r="J6573" s="4">
        <v>4357</v>
      </c>
    </row>
    <row r="6574" spans="1:10" x14ac:dyDescent="0.75">
      <c r="A6574" t="s">
        <v>163</v>
      </c>
      <c r="B6574">
        <v>2354</v>
      </c>
      <c r="C6574" t="s">
        <v>303</v>
      </c>
      <c r="D6574">
        <v>6590</v>
      </c>
      <c r="E6574" t="s">
        <v>394</v>
      </c>
      <c r="F6574" s="4">
        <v>3200</v>
      </c>
      <c r="G6574" s="4">
        <v>0</v>
      </c>
      <c r="H6574" s="4">
        <v>0</v>
      </c>
      <c r="I6574" s="4">
        <v>0</v>
      </c>
      <c r="J6574" s="4">
        <v>3200</v>
      </c>
    </row>
    <row r="6575" spans="1:10" x14ac:dyDescent="0.75">
      <c r="A6575" t="s">
        <v>163</v>
      </c>
      <c r="B6575">
        <v>2354</v>
      </c>
      <c r="C6575" t="s">
        <v>303</v>
      </c>
      <c r="D6575">
        <v>7110</v>
      </c>
      <c r="E6575" t="s">
        <v>371</v>
      </c>
      <c r="F6575" s="4">
        <v>1500</v>
      </c>
      <c r="G6575" s="4">
        <v>0</v>
      </c>
      <c r="H6575" s="4">
        <v>0</v>
      </c>
      <c r="I6575" s="4">
        <v>0</v>
      </c>
      <c r="J6575" s="4">
        <v>1500</v>
      </c>
    </row>
    <row r="6576" spans="1:10" x14ac:dyDescent="0.75">
      <c r="A6576" t="s">
        <v>151</v>
      </c>
      <c r="B6576">
        <v>4340</v>
      </c>
      <c r="C6576" t="s">
        <v>236</v>
      </c>
      <c r="D6576">
        <v>4331</v>
      </c>
      <c r="E6576" t="s">
        <v>390</v>
      </c>
      <c r="F6576" s="4">
        <v>43286</v>
      </c>
      <c r="G6576" s="4">
        <v>1067411</v>
      </c>
      <c r="H6576" s="4">
        <v>1067411</v>
      </c>
      <c r="I6576" s="4">
        <v>0</v>
      </c>
      <c r="J6576" s="4">
        <v>1110697</v>
      </c>
    </row>
    <row r="6577" spans="1:10" x14ac:dyDescent="0.75">
      <c r="A6577" t="s">
        <v>151</v>
      </c>
      <c r="B6577">
        <v>4340</v>
      </c>
      <c r="C6577" t="s">
        <v>236</v>
      </c>
      <c r="D6577">
        <v>4323</v>
      </c>
      <c r="E6577" t="s">
        <v>373</v>
      </c>
      <c r="F6577" s="4">
        <v>0</v>
      </c>
      <c r="G6577" s="4">
        <v>276354</v>
      </c>
      <c r="H6577" s="4">
        <v>276354</v>
      </c>
      <c r="I6577" s="4">
        <v>0</v>
      </c>
      <c r="J6577" s="4">
        <v>276354</v>
      </c>
    </row>
    <row r="6578" spans="1:10" x14ac:dyDescent="0.75">
      <c r="A6578" t="s">
        <v>151</v>
      </c>
      <c r="B6578">
        <v>4340</v>
      </c>
      <c r="C6578" t="s">
        <v>236</v>
      </c>
      <c r="D6578">
        <v>4420</v>
      </c>
      <c r="E6578" t="s">
        <v>381</v>
      </c>
      <c r="F6578" s="4">
        <v>0</v>
      </c>
      <c r="G6578" s="4">
        <v>241208</v>
      </c>
      <c r="H6578" s="4">
        <v>0</v>
      </c>
      <c r="I6578" s="4">
        <v>241208</v>
      </c>
      <c r="J6578" s="4">
        <v>241208</v>
      </c>
    </row>
    <row r="6579" spans="1:10" x14ac:dyDescent="0.75">
      <c r="A6579" t="s">
        <v>151</v>
      </c>
      <c r="B6579">
        <v>4340</v>
      </c>
      <c r="C6579" t="s">
        <v>236</v>
      </c>
      <c r="D6579">
        <v>4860</v>
      </c>
      <c r="E6579" t="s">
        <v>400</v>
      </c>
      <c r="F6579" s="4">
        <v>0</v>
      </c>
      <c r="G6579" s="4">
        <v>101669</v>
      </c>
      <c r="H6579" s="4">
        <v>101669</v>
      </c>
      <c r="I6579" s="4">
        <v>0</v>
      </c>
      <c r="J6579" s="4">
        <v>101669</v>
      </c>
    </row>
    <row r="6580" spans="1:10" x14ac:dyDescent="0.75">
      <c r="A6580" t="s">
        <v>151</v>
      </c>
      <c r="B6580">
        <v>4340</v>
      </c>
      <c r="C6580" t="s">
        <v>236</v>
      </c>
      <c r="D6580">
        <v>7230</v>
      </c>
      <c r="E6580" t="s">
        <v>387</v>
      </c>
      <c r="F6580" s="4">
        <v>0</v>
      </c>
      <c r="G6580" s="4">
        <v>3</v>
      </c>
      <c r="H6580" s="4">
        <v>3</v>
      </c>
      <c r="I6580" s="4">
        <v>0</v>
      </c>
      <c r="J6580" s="4">
        <v>3</v>
      </c>
    </row>
    <row r="6581" spans="1:10" x14ac:dyDescent="0.75">
      <c r="A6581" t="s">
        <v>151</v>
      </c>
      <c r="B6581">
        <v>4351</v>
      </c>
      <c r="C6581" t="s">
        <v>119</v>
      </c>
      <c r="D6581">
        <v>2100</v>
      </c>
      <c r="E6581" t="s">
        <v>403</v>
      </c>
      <c r="F6581" s="4">
        <v>2190726</v>
      </c>
      <c r="G6581" s="4">
        <v>10355165</v>
      </c>
      <c r="H6581" s="4">
        <v>10355165</v>
      </c>
      <c r="I6581" s="4">
        <v>0</v>
      </c>
      <c r="J6581" s="4">
        <v>12545891</v>
      </c>
    </row>
    <row r="6582" spans="1:10" x14ac:dyDescent="0.75">
      <c r="A6582" t="s">
        <v>151</v>
      </c>
      <c r="B6582">
        <v>4351</v>
      </c>
      <c r="C6582" t="s">
        <v>119</v>
      </c>
      <c r="D6582">
        <v>2330</v>
      </c>
      <c r="E6582" t="s">
        <v>368</v>
      </c>
      <c r="F6582" s="4">
        <v>736500</v>
      </c>
      <c r="G6582" s="4">
        <v>2064990</v>
      </c>
      <c r="H6582" s="4">
        <v>1263336</v>
      </c>
      <c r="I6582" s="4">
        <v>801654</v>
      </c>
      <c r="J6582" s="4">
        <v>2801490</v>
      </c>
    </row>
    <row r="6583" spans="1:10" x14ac:dyDescent="0.75">
      <c r="A6583" t="s">
        <v>151</v>
      </c>
      <c r="B6583">
        <v>4351</v>
      </c>
      <c r="C6583" t="s">
        <v>119</v>
      </c>
      <c r="D6583">
        <v>2211</v>
      </c>
      <c r="E6583" t="s">
        <v>367</v>
      </c>
      <c r="F6583" s="4">
        <v>556204</v>
      </c>
      <c r="G6583" s="4">
        <v>856389</v>
      </c>
      <c r="H6583" s="4">
        <v>18607</v>
      </c>
      <c r="I6583" s="4">
        <v>837782</v>
      </c>
      <c r="J6583" s="4">
        <v>1412593</v>
      </c>
    </row>
    <row r="6584" spans="1:10" x14ac:dyDescent="0.75">
      <c r="A6584" t="s">
        <v>151</v>
      </c>
      <c r="B6584">
        <v>4351</v>
      </c>
      <c r="C6584" t="s">
        <v>119</v>
      </c>
      <c r="D6584">
        <v>2340</v>
      </c>
      <c r="E6584" t="s">
        <v>369</v>
      </c>
      <c r="F6584" s="4">
        <v>399879</v>
      </c>
      <c r="G6584" s="4">
        <v>264025</v>
      </c>
      <c r="H6584" s="4">
        <v>61674</v>
      </c>
      <c r="I6584" s="4">
        <v>202351</v>
      </c>
      <c r="J6584" s="4">
        <v>663904</v>
      </c>
    </row>
    <row r="6585" spans="1:10" x14ac:dyDescent="0.75">
      <c r="A6585" t="s">
        <v>151</v>
      </c>
      <c r="B6585">
        <v>4351</v>
      </c>
      <c r="C6585" t="s">
        <v>119</v>
      </c>
      <c r="D6585">
        <v>4331</v>
      </c>
      <c r="E6585" t="s">
        <v>390</v>
      </c>
      <c r="F6585" s="4">
        <v>0</v>
      </c>
      <c r="G6585" s="4">
        <v>533193</v>
      </c>
      <c r="H6585" s="4">
        <v>533193</v>
      </c>
      <c r="I6585" s="4">
        <v>0</v>
      </c>
      <c r="J6585" s="4">
        <v>533193</v>
      </c>
    </row>
    <row r="6586" spans="1:10" x14ac:dyDescent="0.75">
      <c r="A6586" t="s">
        <v>151</v>
      </c>
      <c r="B6586">
        <v>4351</v>
      </c>
      <c r="C6586" t="s">
        <v>119</v>
      </c>
      <c r="D6586">
        <v>2350</v>
      </c>
      <c r="E6586" t="s">
        <v>404</v>
      </c>
      <c r="F6586" s="4">
        <v>79679</v>
      </c>
      <c r="G6586" s="4">
        <v>415876</v>
      </c>
      <c r="H6586" s="4">
        <v>0</v>
      </c>
      <c r="I6586" s="4">
        <v>415876</v>
      </c>
      <c r="J6586" s="4">
        <v>495555</v>
      </c>
    </row>
    <row r="6587" spans="1:10" x14ac:dyDescent="0.75">
      <c r="A6587" t="s">
        <v>151</v>
      </c>
      <c r="B6587">
        <v>4351</v>
      </c>
      <c r="C6587" t="s">
        <v>119</v>
      </c>
      <c r="D6587">
        <v>1100</v>
      </c>
      <c r="E6587" t="s">
        <v>397</v>
      </c>
      <c r="F6587" s="4">
        <v>0</v>
      </c>
      <c r="G6587" s="4">
        <v>428399</v>
      </c>
      <c r="H6587" s="4">
        <v>0</v>
      </c>
      <c r="I6587" s="4">
        <v>428399</v>
      </c>
      <c r="J6587" s="4">
        <v>428399</v>
      </c>
    </row>
    <row r="6588" spans="1:10" x14ac:dyDescent="0.75">
      <c r="A6588" t="s">
        <v>151</v>
      </c>
      <c r="B6588">
        <v>4351</v>
      </c>
      <c r="C6588" t="s">
        <v>119</v>
      </c>
      <c r="D6588">
        <v>2429</v>
      </c>
      <c r="E6588" t="s">
        <v>375</v>
      </c>
      <c r="F6588" s="4">
        <v>0</v>
      </c>
      <c r="G6588" s="4">
        <v>322091</v>
      </c>
      <c r="H6588" s="4">
        <v>0</v>
      </c>
      <c r="I6588" s="4">
        <v>322091</v>
      </c>
      <c r="J6588" s="4">
        <v>322091</v>
      </c>
    </row>
    <row r="6589" spans="1:10" x14ac:dyDescent="0.75">
      <c r="A6589" t="s">
        <v>151</v>
      </c>
      <c r="B6589">
        <v>4351</v>
      </c>
      <c r="C6589" t="s">
        <v>119</v>
      </c>
      <c r="D6589">
        <v>2221</v>
      </c>
      <c r="E6589" t="s">
        <v>374</v>
      </c>
      <c r="F6589" s="4">
        <v>36486</v>
      </c>
      <c r="G6589" s="4">
        <v>275141</v>
      </c>
      <c r="H6589" s="4">
        <v>25883</v>
      </c>
      <c r="I6589" s="4">
        <v>249258</v>
      </c>
      <c r="J6589" s="4">
        <v>311627</v>
      </c>
    </row>
    <row r="6590" spans="1:10" x14ac:dyDescent="0.75">
      <c r="A6590" t="s">
        <v>151</v>
      </c>
      <c r="B6590">
        <v>4351</v>
      </c>
      <c r="C6590" t="s">
        <v>119</v>
      </c>
      <c r="D6590">
        <v>2540</v>
      </c>
      <c r="E6590" t="s">
        <v>377</v>
      </c>
      <c r="F6590" s="4">
        <v>0</v>
      </c>
      <c r="G6590" s="4">
        <v>276306</v>
      </c>
      <c r="H6590" s="4">
        <v>0</v>
      </c>
      <c r="I6590" s="4">
        <v>276306</v>
      </c>
      <c r="J6590" s="4">
        <v>276306</v>
      </c>
    </row>
    <row r="6591" spans="1:10" x14ac:dyDescent="0.75">
      <c r="A6591" t="s">
        <v>151</v>
      </c>
      <c r="B6591">
        <v>4351</v>
      </c>
      <c r="C6591" t="s">
        <v>119</v>
      </c>
      <c r="D6591">
        <v>6653</v>
      </c>
      <c r="E6591" t="s">
        <v>395</v>
      </c>
      <c r="F6591" s="4">
        <v>0</v>
      </c>
      <c r="G6591" s="4">
        <v>263898</v>
      </c>
      <c r="H6591" s="4">
        <v>263348</v>
      </c>
      <c r="I6591" s="4">
        <v>550</v>
      </c>
      <c r="J6591" s="4">
        <v>263898</v>
      </c>
    </row>
    <row r="6592" spans="1:10" x14ac:dyDescent="0.75">
      <c r="A6592" t="s">
        <v>151</v>
      </c>
      <c r="B6592">
        <v>4351</v>
      </c>
      <c r="C6592" t="s">
        <v>119</v>
      </c>
      <c r="D6592">
        <v>4323</v>
      </c>
      <c r="E6592" t="s">
        <v>373</v>
      </c>
      <c r="F6592" s="4">
        <v>0</v>
      </c>
      <c r="G6592" s="4">
        <v>212525</v>
      </c>
      <c r="H6592" s="4">
        <v>212525</v>
      </c>
      <c r="I6592" s="4">
        <v>0</v>
      </c>
      <c r="J6592" s="4">
        <v>212525</v>
      </c>
    </row>
    <row r="6593" spans="1:10" x14ac:dyDescent="0.75">
      <c r="A6593" t="s">
        <v>151</v>
      </c>
      <c r="B6593">
        <v>4351</v>
      </c>
      <c r="C6593" t="s">
        <v>119</v>
      </c>
      <c r="D6593">
        <v>4420</v>
      </c>
      <c r="E6593" t="s">
        <v>381</v>
      </c>
      <c r="F6593" s="4">
        <v>0</v>
      </c>
      <c r="G6593" s="4">
        <v>207412</v>
      </c>
      <c r="H6593" s="4">
        <v>0</v>
      </c>
      <c r="I6593" s="4">
        <v>207412</v>
      </c>
      <c r="J6593" s="4">
        <v>207412</v>
      </c>
    </row>
    <row r="6594" spans="1:10" x14ac:dyDescent="0.75">
      <c r="A6594" t="s">
        <v>151</v>
      </c>
      <c r="B6594">
        <v>4351</v>
      </c>
      <c r="C6594" t="s">
        <v>119</v>
      </c>
      <c r="D6594">
        <v>3274</v>
      </c>
      <c r="E6594" t="s">
        <v>438</v>
      </c>
      <c r="F6594" s="4">
        <v>0</v>
      </c>
      <c r="G6594" s="4">
        <v>94924</v>
      </c>
      <c r="H6594" s="4">
        <v>94924</v>
      </c>
      <c r="I6594" s="4">
        <v>0</v>
      </c>
      <c r="J6594" s="4">
        <v>94924</v>
      </c>
    </row>
    <row r="6595" spans="1:10" x14ac:dyDescent="0.75">
      <c r="A6595" t="s">
        <v>151</v>
      </c>
      <c r="B6595">
        <v>4351</v>
      </c>
      <c r="C6595" t="s">
        <v>119</v>
      </c>
      <c r="D6595">
        <v>7210</v>
      </c>
      <c r="E6595" t="s">
        <v>426</v>
      </c>
      <c r="F6595" s="4">
        <v>0</v>
      </c>
      <c r="G6595" s="4">
        <v>94662</v>
      </c>
      <c r="H6595" s="4">
        <v>94662</v>
      </c>
      <c r="I6595" s="4">
        <v>0</v>
      </c>
      <c r="J6595" s="4">
        <v>94662</v>
      </c>
    </row>
    <row r="6596" spans="1:10" x14ac:dyDescent="0.75">
      <c r="A6596" t="s">
        <v>151</v>
      </c>
      <c r="B6596">
        <v>4351</v>
      </c>
      <c r="C6596" t="s">
        <v>119</v>
      </c>
      <c r="D6596">
        <v>2990</v>
      </c>
      <c r="E6596" t="s">
        <v>432</v>
      </c>
      <c r="F6596" s="4">
        <v>89057</v>
      </c>
      <c r="G6596" s="4">
        <v>0</v>
      </c>
      <c r="H6596" s="4">
        <v>0</v>
      </c>
      <c r="I6596" s="4">
        <v>0</v>
      </c>
      <c r="J6596" s="4">
        <v>89057</v>
      </c>
    </row>
    <row r="6597" spans="1:10" x14ac:dyDescent="0.75">
      <c r="A6597" t="s">
        <v>151</v>
      </c>
      <c r="B6597">
        <v>4351</v>
      </c>
      <c r="C6597" t="s">
        <v>119</v>
      </c>
      <c r="D6597">
        <v>2410</v>
      </c>
      <c r="E6597" t="s">
        <v>430</v>
      </c>
      <c r="F6597" s="4">
        <v>0</v>
      </c>
      <c r="G6597" s="4">
        <v>39694</v>
      </c>
      <c r="H6597" s="4">
        <v>39694</v>
      </c>
      <c r="I6597" s="4">
        <v>0</v>
      </c>
      <c r="J6597" s="4">
        <v>39694</v>
      </c>
    </row>
    <row r="6598" spans="1:10" x14ac:dyDescent="0.75">
      <c r="A6598" t="s">
        <v>151</v>
      </c>
      <c r="B6598">
        <v>4351</v>
      </c>
      <c r="C6598" t="s">
        <v>119</v>
      </c>
      <c r="D6598">
        <v>2430</v>
      </c>
      <c r="E6598" t="s">
        <v>376</v>
      </c>
      <c r="F6598" s="4">
        <v>0</v>
      </c>
      <c r="G6598" s="4">
        <v>30906</v>
      </c>
      <c r="H6598" s="4">
        <v>0</v>
      </c>
      <c r="I6598" s="4">
        <v>30906</v>
      </c>
      <c r="J6598" s="4">
        <v>30906</v>
      </c>
    </row>
    <row r="6599" spans="1:10" x14ac:dyDescent="0.75">
      <c r="A6599" t="s">
        <v>151</v>
      </c>
      <c r="B6599">
        <v>4351</v>
      </c>
      <c r="C6599" t="s">
        <v>119</v>
      </c>
      <c r="D6599">
        <v>6889</v>
      </c>
      <c r="E6599" t="s">
        <v>420</v>
      </c>
      <c r="F6599" s="4">
        <v>0</v>
      </c>
      <c r="G6599" s="4">
        <v>22153</v>
      </c>
      <c r="H6599" s="4">
        <v>14490</v>
      </c>
      <c r="I6599" s="4">
        <v>7663</v>
      </c>
      <c r="J6599" s="4">
        <v>22153</v>
      </c>
    </row>
    <row r="6600" spans="1:10" x14ac:dyDescent="0.75">
      <c r="A6600" t="s">
        <v>151</v>
      </c>
      <c r="B6600">
        <v>4351</v>
      </c>
      <c r="C6600" t="s">
        <v>119</v>
      </c>
      <c r="D6600">
        <v>3285</v>
      </c>
      <c r="E6600" t="s">
        <v>443</v>
      </c>
      <c r="F6600" s="4">
        <v>0</v>
      </c>
      <c r="G6600" s="4">
        <v>6220</v>
      </c>
      <c r="H6600" s="4">
        <v>0</v>
      </c>
      <c r="I6600" s="4">
        <v>6220</v>
      </c>
      <c r="J6600" s="4">
        <v>6220</v>
      </c>
    </row>
    <row r="6601" spans="1:10" x14ac:dyDescent="0.75">
      <c r="A6601" t="s">
        <v>151</v>
      </c>
      <c r="B6601">
        <v>4351</v>
      </c>
      <c r="C6601" t="s">
        <v>119</v>
      </c>
      <c r="D6601">
        <v>7900</v>
      </c>
      <c r="E6601" t="s">
        <v>388</v>
      </c>
      <c r="F6601" s="4">
        <v>0</v>
      </c>
      <c r="G6601" s="4">
        <v>5257</v>
      </c>
      <c r="H6601" s="4">
        <v>12</v>
      </c>
      <c r="I6601" s="4">
        <v>5245</v>
      </c>
      <c r="J6601" s="4">
        <v>5257</v>
      </c>
    </row>
    <row r="6602" spans="1:10" x14ac:dyDescent="0.75">
      <c r="A6602" t="s">
        <v>151</v>
      </c>
      <c r="B6602">
        <v>4351</v>
      </c>
      <c r="C6602" t="s">
        <v>119</v>
      </c>
      <c r="D6602">
        <v>3220</v>
      </c>
      <c r="E6602" t="s">
        <v>370</v>
      </c>
      <c r="F6602" s="4">
        <v>0</v>
      </c>
      <c r="G6602" s="4">
        <v>1543</v>
      </c>
      <c r="H6602" s="4">
        <v>1543</v>
      </c>
      <c r="I6602" s="4">
        <v>0</v>
      </c>
      <c r="J6602" s="4">
        <v>1543</v>
      </c>
    </row>
    <row r="6603" spans="1:10" x14ac:dyDescent="0.75">
      <c r="A6603" t="s">
        <v>151</v>
      </c>
      <c r="B6603">
        <v>4351</v>
      </c>
      <c r="C6603" t="s">
        <v>119</v>
      </c>
      <c r="D6603">
        <v>7110</v>
      </c>
      <c r="E6603" t="s">
        <v>371</v>
      </c>
      <c r="F6603" s="4">
        <v>0</v>
      </c>
      <c r="G6603" s="4">
        <v>405</v>
      </c>
      <c r="H6603" s="4">
        <v>405</v>
      </c>
      <c r="I6603" s="4">
        <v>0</v>
      </c>
      <c r="J6603" s="4">
        <v>405</v>
      </c>
    </row>
    <row r="6604" spans="1:10" x14ac:dyDescent="0.75">
      <c r="A6604" t="s">
        <v>151</v>
      </c>
      <c r="B6604">
        <v>4351</v>
      </c>
      <c r="C6604" t="s">
        <v>119</v>
      </c>
      <c r="D6604">
        <v>7230</v>
      </c>
      <c r="E6604" t="s">
        <v>387</v>
      </c>
      <c r="F6604" s="4">
        <v>0</v>
      </c>
      <c r="G6604" s="4">
        <v>1</v>
      </c>
      <c r="H6604" s="4">
        <v>1</v>
      </c>
      <c r="I6604" s="4">
        <v>0</v>
      </c>
      <c r="J6604" s="4">
        <v>1</v>
      </c>
    </row>
    <row r="6605" spans="1:10" x14ac:dyDescent="0.75">
      <c r="A6605" t="s">
        <v>151</v>
      </c>
      <c r="B6605">
        <v>4351</v>
      </c>
      <c r="C6605" t="s">
        <v>119</v>
      </c>
      <c r="D6605">
        <v>9900</v>
      </c>
      <c r="E6605" t="s">
        <v>389</v>
      </c>
      <c r="F6605" s="4">
        <v>0</v>
      </c>
      <c r="G6605" s="4">
        <v>1</v>
      </c>
      <c r="H6605" s="4">
        <v>1</v>
      </c>
      <c r="I6605" s="4">
        <v>0</v>
      </c>
      <c r="J6605" s="4">
        <v>1</v>
      </c>
    </row>
    <row r="6606" spans="1:10" x14ac:dyDescent="0.75">
      <c r="A6606" t="s">
        <v>151</v>
      </c>
      <c r="B6606">
        <v>737</v>
      </c>
      <c r="C6606" t="s">
        <v>125</v>
      </c>
      <c r="D6606">
        <v>4331</v>
      </c>
      <c r="E6606" t="s">
        <v>390</v>
      </c>
      <c r="F6606" s="4">
        <v>687210</v>
      </c>
      <c r="G6606" s="4">
        <v>0</v>
      </c>
      <c r="H6606" s="4">
        <v>0</v>
      </c>
      <c r="I6606" s="4">
        <v>0</v>
      </c>
      <c r="J6606" s="4">
        <v>687210</v>
      </c>
    </row>
    <row r="6607" spans="1:10" x14ac:dyDescent="0.75">
      <c r="A6607" t="s">
        <v>151</v>
      </c>
      <c r="B6607">
        <v>737</v>
      </c>
      <c r="C6607" t="s">
        <v>125</v>
      </c>
      <c r="D6607">
        <v>2330</v>
      </c>
      <c r="E6607" t="s">
        <v>368</v>
      </c>
      <c r="F6607" s="4">
        <v>154749</v>
      </c>
      <c r="G6607" s="4">
        <v>0</v>
      </c>
      <c r="H6607" s="4">
        <v>0</v>
      </c>
      <c r="I6607" s="4">
        <v>0</v>
      </c>
      <c r="J6607" s="4">
        <v>154749</v>
      </c>
    </row>
    <row r="6608" spans="1:10" x14ac:dyDescent="0.75">
      <c r="A6608" t="s">
        <v>151</v>
      </c>
      <c r="B6608">
        <v>737</v>
      </c>
      <c r="C6608" t="s">
        <v>125</v>
      </c>
      <c r="D6608">
        <v>2430</v>
      </c>
      <c r="E6608" t="s">
        <v>376</v>
      </c>
      <c r="F6608" s="4">
        <v>72965</v>
      </c>
      <c r="G6608" s="4">
        <v>0</v>
      </c>
      <c r="H6608" s="4">
        <v>0</v>
      </c>
      <c r="I6608" s="4">
        <v>0</v>
      </c>
      <c r="J6608" s="4">
        <v>72965</v>
      </c>
    </row>
    <row r="6609" spans="1:10" x14ac:dyDescent="0.75">
      <c r="A6609" t="s">
        <v>151</v>
      </c>
      <c r="B6609">
        <v>737</v>
      </c>
      <c r="C6609" t="s">
        <v>125</v>
      </c>
      <c r="D6609">
        <v>3276</v>
      </c>
      <c r="E6609" t="s">
        <v>379</v>
      </c>
      <c r="F6609" s="4">
        <v>0</v>
      </c>
      <c r="G6609" s="4">
        <v>24399</v>
      </c>
      <c r="H6609" s="4">
        <v>0</v>
      </c>
      <c r="I6609" s="4">
        <v>24399</v>
      </c>
      <c r="J6609" s="4">
        <v>24399</v>
      </c>
    </row>
    <row r="6610" spans="1:10" x14ac:dyDescent="0.75">
      <c r="A6610" t="s">
        <v>151</v>
      </c>
      <c r="B6610">
        <v>737</v>
      </c>
      <c r="C6610" t="s">
        <v>125</v>
      </c>
      <c r="D6610">
        <v>4335</v>
      </c>
      <c r="E6610" t="s">
        <v>372</v>
      </c>
      <c r="F6610" s="4">
        <v>11521</v>
      </c>
      <c r="G6610" s="4">
        <v>0</v>
      </c>
      <c r="H6610" s="4">
        <v>0</v>
      </c>
      <c r="I6610" s="4">
        <v>0</v>
      </c>
      <c r="J6610" s="4">
        <v>11521</v>
      </c>
    </row>
    <row r="6611" spans="1:10" x14ac:dyDescent="0.75">
      <c r="A6611" t="s">
        <v>151</v>
      </c>
      <c r="B6611">
        <v>737</v>
      </c>
      <c r="C6611" t="s">
        <v>125</v>
      </c>
      <c r="D6611">
        <v>2221</v>
      </c>
      <c r="E6611" t="s">
        <v>374</v>
      </c>
      <c r="F6611" s="4">
        <v>7942</v>
      </c>
      <c r="G6611" s="4">
        <v>0</v>
      </c>
      <c r="H6611" s="4">
        <v>0</v>
      </c>
      <c r="I6611" s="4">
        <v>0</v>
      </c>
      <c r="J6611" s="4">
        <v>7942</v>
      </c>
    </row>
    <row r="6612" spans="1:10" x14ac:dyDescent="0.75">
      <c r="A6612" t="s">
        <v>151</v>
      </c>
      <c r="B6612">
        <v>737</v>
      </c>
      <c r="C6612" t="s">
        <v>125</v>
      </c>
      <c r="D6612">
        <v>3274</v>
      </c>
      <c r="E6612" t="s">
        <v>438</v>
      </c>
      <c r="F6612" s="4">
        <v>0</v>
      </c>
      <c r="G6612" s="4">
        <v>6899</v>
      </c>
      <c r="H6612" s="4">
        <v>6899</v>
      </c>
      <c r="I6612" s="4">
        <v>0</v>
      </c>
      <c r="J6612" s="4">
        <v>6899</v>
      </c>
    </row>
    <row r="6613" spans="1:10" x14ac:dyDescent="0.75">
      <c r="A6613" t="s">
        <v>151</v>
      </c>
      <c r="B6613">
        <v>737</v>
      </c>
      <c r="C6613" t="s">
        <v>125</v>
      </c>
      <c r="D6613">
        <v>3190</v>
      </c>
      <c r="E6613" t="s">
        <v>408</v>
      </c>
      <c r="F6613" s="4">
        <v>0</v>
      </c>
      <c r="G6613" s="4">
        <v>4279</v>
      </c>
      <c r="H6613" s="4">
        <v>0</v>
      </c>
      <c r="I6613" s="4">
        <v>4279</v>
      </c>
      <c r="J6613" s="4">
        <v>4279</v>
      </c>
    </row>
    <row r="6614" spans="1:10" x14ac:dyDescent="0.75">
      <c r="A6614" t="s">
        <v>151</v>
      </c>
      <c r="B6614">
        <v>737</v>
      </c>
      <c r="C6614" t="s">
        <v>125</v>
      </c>
      <c r="D6614">
        <v>4323</v>
      </c>
      <c r="E6614" t="s">
        <v>373</v>
      </c>
      <c r="F6614" s="4">
        <v>2705</v>
      </c>
      <c r="G6614" s="4">
        <v>0</v>
      </c>
      <c r="H6614" s="4">
        <v>0</v>
      </c>
      <c r="I6614" s="4">
        <v>0</v>
      </c>
      <c r="J6614" s="4">
        <v>2705</v>
      </c>
    </row>
    <row r="6615" spans="1:10" x14ac:dyDescent="0.75">
      <c r="A6615" t="s">
        <v>151</v>
      </c>
      <c r="B6615">
        <v>737</v>
      </c>
      <c r="C6615" t="s">
        <v>125</v>
      </c>
      <c r="D6615">
        <v>3275</v>
      </c>
      <c r="E6615" t="s">
        <v>412</v>
      </c>
      <c r="F6615" s="4">
        <v>0</v>
      </c>
      <c r="G6615" s="4">
        <v>1155</v>
      </c>
      <c r="H6615" s="4">
        <v>1155</v>
      </c>
      <c r="I6615" s="4">
        <v>0</v>
      </c>
      <c r="J6615" s="4">
        <v>1155</v>
      </c>
    </row>
    <row r="6616" spans="1:10" x14ac:dyDescent="0.75">
      <c r="A6616" t="s">
        <v>151</v>
      </c>
      <c r="B6616">
        <v>737</v>
      </c>
      <c r="C6616" t="s">
        <v>125</v>
      </c>
      <c r="D6616">
        <v>2350</v>
      </c>
      <c r="E6616" t="s">
        <v>404</v>
      </c>
      <c r="F6616" s="4">
        <v>980</v>
      </c>
      <c r="G6616" s="4">
        <v>0</v>
      </c>
      <c r="H6616" s="4">
        <v>0</v>
      </c>
      <c r="I6616" s="4">
        <v>0</v>
      </c>
      <c r="J6616" s="4">
        <v>980</v>
      </c>
    </row>
    <row r="6617" spans="1:10" x14ac:dyDescent="0.75">
      <c r="A6617" t="s">
        <v>151</v>
      </c>
      <c r="B6617">
        <v>737</v>
      </c>
      <c r="C6617" t="s">
        <v>125</v>
      </c>
      <c r="D6617">
        <v>2340</v>
      </c>
      <c r="E6617" t="s">
        <v>369</v>
      </c>
      <c r="F6617" s="4">
        <v>256</v>
      </c>
      <c r="G6617" s="4">
        <v>0</v>
      </c>
      <c r="H6617" s="4">
        <v>0</v>
      </c>
      <c r="I6617" s="4">
        <v>0</v>
      </c>
      <c r="J6617" s="4">
        <v>256</v>
      </c>
    </row>
    <row r="6618" spans="1:10" x14ac:dyDescent="0.75">
      <c r="A6618" t="s">
        <v>151</v>
      </c>
      <c r="B6618">
        <v>737</v>
      </c>
      <c r="C6618" t="s">
        <v>125</v>
      </c>
      <c r="D6618">
        <v>7120</v>
      </c>
      <c r="E6618" t="s">
        <v>499</v>
      </c>
      <c r="F6618" s="4">
        <v>0</v>
      </c>
      <c r="G6618" s="4">
        <v>41</v>
      </c>
      <c r="H6618" s="4">
        <v>41</v>
      </c>
      <c r="I6618" s="4">
        <v>0</v>
      </c>
      <c r="J6618" s="4">
        <v>41</v>
      </c>
    </row>
    <row r="6619" spans="1:10" x14ac:dyDescent="0.75">
      <c r="A6619" t="s">
        <v>160</v>
      </c>
      <c r="B6619">
        <v>3105</v>
      </c>
      <c r="C6619" t="s">
        <v>133</v>
      </c>
      <c r="D6619">
        <v>5220</v>
      </c>
      <c r="E6619" t="s">
        <v>401</v>
      </c>
      <c r="F6619" s="4">
        <v>0</v>
      </c>
      <c r="G6619" s="4">
        <v>88157</v>
      </c>
      <c r="H6619" s="4">
        <v>88157</v>
      </c>
      <c r="I6619" s="4">
        <v>0</v>
      </c>
      <c r="J6619" s="4">
        <v>88157</v>
      </c>
    </row>
    <row r="6620" spans="1:10" x14ac:dyDescent="0.75">
      <c r="A6620" t="s">
        <v>160</v>
      </c>
      <c r="B6620">
        <v>3635</v>
      </c>
      <c r="C6620" t="s">
        <v>117</v>
      </c>
      <c r="D6620">
        <v>4322</v>
      </c>
      <c r="E6620" t="s">
        <v>398</v>
      </c>
      <c r="F6620" s="4">
        <v>6748910</v>
      </c>
      <c r="G6620" s="4">
        <v>128254</v>
      </c>
      <c r="H6620" s="4">
        <v>0</v>
      </c>
      <c r="I6620" s="4">
        <v>128254</v>
      </c>
      <c r="J6620" s="4">
        <v>6877164</v>
      </c>
    </row>
    <row r="6621" spans="1:10" x14ac:dyDescent="0.75">
      <c r="A6621" t="s">
        <v>160</v>
      </c>
      <c r="B6621">
        <v>3635</v>
      </c>
      <c r="C6621" t="s">
        <v>117</v>
      </c>
      <c r="D6621">
        <v>4331</v>
      </c>
      <c r="E6621" t="s">
        <v>390</v>
      </c>
      <c r="F6621" s="4">
        <v>194033</v>
      </c>
      <c r="G6621" s="4">
        <v>20944</v>
      </c>
      <c r="H6621" s="4">
        <v>20944</v>
      </c>
      <c r="I6621" s="4">
        <v>0</v>
      </c>
      <c r="J6621" s="4">
        <v>214977</v>
      </c>
    </row>
    <row r="6622" spans="1:10" x14ac:dyDescent="0.75">
      <c r="A6622" t="s">
        <v>160</v>
      </c>
      <c r="B6622">
        <v>3635</v>
      </c>
      <c r="C6622" t="s">
        <v>117</v>
      </c>
      <c r="D6622">
        <v>4410</v>
      </c>
      <c r="E6622" t="s">
        <v>399</v>
      </c>
      <c r="F6622" s="4">
        <v>53150</v>
      </c>
      <c r="G6622" s="4">
        <v>0</v>
      </c>
      <c r="H6622" s="4">
        <v>0</v>
      </c>
      <c r="I6622" s="4">
        <v>0</v>
      </c>
      <c r="J6622" s="4">
        <v>53150</v>
      </c>
    </row>
    <row r="6623" spans="1:10" x14ac:dyDescent="0.75">
      <c r="A6623" t="s">
        <v>160</v>
      </c>
      <c r="B6623">
        <v>3635</v>
      </c>
      <c r="C6623" t="s">
        <v>117</v>
      </c>
      <c r="D6623">
        <v>2330</v>
      </c>
      <c r="E6623" t="s">
        <v>368</v>
      </c>
      <c r="F6623" s="4">
        <v>16286</v>
      </c>
      <c r="G6623" s="4">
        <v>279</v>
      </c>
      <c r="H6623" s="4">
        <v>279</v>
      </c>
      <c r="I6623" s="4">
        <v>0</v>
      </c>
      <c r="J6623" s="4">
        <v>16565</v>
      </c>
    </row>
    <row r="6624" spans="1:10" x14ac:dyDescent="0.75">
      <c r="A6624" t="s">
        <v>160</v>
      </c>
      <c r="B6624">
        <v>3635</v>
      </c>
      <c r="C6624" t="s">
        <v>117</v>
      </c>
      <c r="D6624">
        <v>5330</v>
      </c>
      <c r="E6624" t="s">
        <v>385</v>
      </c>
      <c r="F6624" s="4">
        <v>800</v>
      </c>
      <c r="G6624" s="4">
        <v>0</v>
      </c>
      <c r="H6624" s="4">
        <v>0</v>
      </c>
      <c r="I6624" s="4">
        <v>0</v>
      </c>
      <c r="J6624" s="4">
        <v>800</v>
      </c>
    </row>
    <row r="6625" spans="1:10" x14ac:dyDescent="0.75">
      <c r="A6625" t="s">
        <v>160</v>
      </c>
      <c r="B6625">
        <v>3635</v>
      </c>
      <c r="C6625" t="s">
        <v>117</v>
      </c>
      <c r="D6625">
        <v>5480</v>
      </c>
      <c r="E6625" t="s">
        <v>386</v>
      </c>
      <c r="F6625" s="4">
        <v>150</v>
      </c>
      <c r="G6625" s="4">
        <v>0</v>
      </c>
      <c r="H6625" s="4">
        <v>0</v>
      </c>
      <c r="I6625" s="4">
        <v>0</v>
      </c>
      <c r="J6625" s="4">
        <v>150</v>
      </c>
    </row>
    <row r="6626" spans="1:10" x14ac:dyDescent="0.75">
      <c r="A6626" t="s">
        <v>160</v>
      </c>
      <c r="B6626">
        <v>3635</v>
      </c>
      <c r="C6626" t="s">
        <v>117</v>
      </c>
      <c r="D6626">
        <v>7110</v>
      </c>
      <c r="E6626" t="s">
        <v>371</v>
      </c>
      <c r="F6626" s="4">
        <v>100</v>
      </c>
      <c r="G6626" s="4">
        <v>0</v>
      </c>
      <c r="H6626" s="4">
        <v>0</v>
      </c>
      <c r="I6626" s="4">
        <v>0</v>
      </c>
      <c r="J6626" s="4">
        <v>100</v>
      </c>
    </row>
    <row r="6627" spans="1:10" x14ac:dyDescent="0.75">
      <c r="A6627" t="s">
        <v>160</v>
      </c>
      <c r="B6627">
        <v>3635</v>
      </c>
      <c r="C6627" t="s">
        <v>117</v>
      </c>
      <c r="D6627">
        <v>2211</v>
      </c>
      <c r="E6627" t="s">
        <v>367</v>
      </c>
      <c r="F6627" s="4">
        <v>0</v>
      </c>
      <c r="G6627" s="4">
        <v>91</v>
      </c>
      <c r="H6627" s="4">
        <v>91</v>
      </c>
      <c r="I6627" s="4">
        <v>0</v>
      </c>
      <c r="J6627" s="4">
        <v>91</v>
      </c>
    </row>
    <row r="6628" spans="1:10" x14ac:dyDescent="0.75">
      <c r="A6628" t="s">
        <v>160</v>
      </c>
      <c r="B6628">
        <v>3635</v>
      </c>
      <c r="C6628" t="s">
        <v>117</v>
      </c>
      <c r="D6628">
        <v>4420</v>
      </c>
      <c r="E6628" t="s">
        <v>381</v>
      </c>
      <c r="F6628" s="4">
        <v>80</v>
      </c>
      <c r="G6628" s="4">
        <v>0</v>
      </c>
      <c r="H6628" s="4">
        <v>0</v>
      </c>
      <c r="I6628" s="4">
        <v>0</v>
      </c>
      <c r="J6628" s="4">
        <v>80</v>
      </c>
    </row>
    <row r="6629" spans="1:10" x14ac:dyDescent="0.75">
      <c r="A6629" t="s">
        <v>163</v>
      </c>
      <c r="B6629">
        <v>541</v>
      </c>
      <c r="C6629" t="s">
        <v>309</v>
      </c>
      <c r="D6629">
        <v>2330</v>
      </c>
      <c r="E6629" t="s">
        <v>368</v>
      </c>
      <c r="F6629" s="4">
        <v>93360</v>
      </c>
      <c r="G6629" s="4">
        <v>0</v>
      </c>
      <c r="H6629" s="4">
        <v>0</v>
      </c>
      <c r="I6629" s="4">
        <v>0</v>
      </c>
      <c r="J6629" s="4">
        <v>93360</v>
      </c>
    </row>
    <row r="6630" spans="1:10" x14ac:dyDescent="0.75">
      <c r="A6630" t="s">
        <v>163</v>
      </c>
      <c r="B6630">
        <v>541</v>
      </c>
      <c r="C6630" t="s">
        <v>309</v>
      </c>
      <c r="D6630">
        <v>2221</v>
      </c>
      <c r="E6630" t="s">
        <v>374</v>
      </c>
      <c r="F6630" s="4">
        <v>1959</v>
      </c>
      <c r="G6630" s="4">
        <v>0</v>
      </c>
      <c r="H6630" s="4">
        <v>0</v>
      </c>
      <c r="I6630" s="4">
        <v>0</v>
      </c>
      <c r="J6630" s="4">
        <v>1959</v>
      </c>
    </row>
    <row r="6631" spans="1:10" x14ac:dyDescent="0.75">
      <c r="A6631" t="s">
        <v>151</v>
      </c>
      <c r="B6631">
        <v>2397</v>
      </c>
      <c r="C6631" t="s">
        <v>305</v>
      </c>
      <c r="D6631">
        <v>2640</v>
      </c>
      <c r="E6631" t="s">
        <v>431</v>
      </c>
      <c r="F6631" s="4">
        <v>0</v>
      </c>
      <c r="G6631" s="4">
        <v>69424</v>
      </c>
      <c r="H6631" s="4">
        <v>0</v>
      </c>
      <c r="I6631" s="4">
        <v>69424</v>
      </c>
      <c r="J6631" s="4">
        <v>69424</v>
      </c>
    </row>
    <row r="6632" spans="1:10" x14ac:dyDescent="0.75">
      <c r="A6632" t="s">
        <v>151</v>
      </c>
      <c r="B6632">
        <v>2397</v>
      </c>
      <c r="C6632" t="s">
        <v>305</v>
      </c>
      <c r="D6632">
        <v>7110</v>
      </c>
      <c r="E6632" t="s">
        <v>371</v>
      </c>
      <c r="F6632" s="4">
        <v>30370</v>
      </c>
      <c r="G6632" s="4">
        <v>34</v>
      </c>
      <c r="H6632" s="4">
        <v>34</v>
      </c>
      <c r="I6632" s="4">
        <v>0</v>
      </c>
      <c r="J6632" s="4">
        <v>30404</v>
      </c>
    </row>
    <row r="6633" spans="1:10" x14ac:dyDescent="0.75">
      <c r="A6633" t="s">
        <v>151</v>
      </c>
      <c r="B6633">
        <v>2397</v>
      </c>
      <c r="C6633" t="s">
        <v>305</v>
      </c>
      <c r="D6633">
        <v>2100</v>
      </c>
      <c r="E6633" t="s">
        <v>403</v>
      </c>
      <c r="F6633" s="4">
        <v>22963</v>
      </c>
      <c r="G6633" s="4">
        <v>0</v>
      </c>
      <c r="H6633" s="4">
        <v>0</v>
      </c>
      <c r="I6633" s="4">
        <v>0</v>
      </c>
      <c r="J6633" s="4">
        <v>22963</v>
      </c>
    </row>
    <row r="6634" spans="1:10" x14ac:dyDescent="0.75">
      <c r="A6634" t="s">
        <v>151</v>
      </c>
      <c r="B6634">
        <v>2397</v>
      </c>
      <c r="C6634" t="s">
        <v>305</v>
      </c>
      <c r="D6634">
        <v>3273</v>
      </c>
      <c r="E6634" t="s">
        <v>411</v>
      </c>
      <c r="F6634" s="4">
        <v>0</v>
      </c>
      <c r="G6634" s="4">
        <v>11023</v>
      </c>
      <c r="H6634" s="4">
        <v>11023</v>
      </c>
      <c r="I6634" s="4">
        <v>0</v>
      </c>
      <c r="J6634" s="4">
        <v>11023</v>
      </c>
    </row>
    <row r="6635" spans="1:10" x14ac:dyDescent="0.75">
      <c r="A6635" t="s">
        <v>151</v>
      </c>
      <c r="B6635">
        <v>2397</v>
      </c>
      <c r="C6635" t="s">
        <v>305</v>
      </c>
      <c r="D6635">
        <v>2330</v>
      </c>
      <c r="E6635" t="s">
        <v>368</v>
      </c>
      <c r="F6635" s="4">
        <v>245</v>
      </c>
      <c r="G6635" s="4">
        <v>0</v>
      </c>
      <c r="H6635" s="4">
        <v>0</v>
      </c>
      <c r="I6635" s="4">
        <v>0</v>
      </c>
      <c r="J6635" s="4">
        <v>245</v>
      </c>
    </row>
    <row r="6636" spans="1:10" x14ac:dyDescent="0.75">
      <c r="A6636" t="s">
        <v>151</v>
      </c>
      <c r="B6636">
        <v>2397</v>
      </c>
      <c r="C6636" t="s">
        <v>305</v>
      </c>
      <c r="D6636">
        <v>5480</v>
      </c>
      <c r="E6636" t="s">
        <v>386</v>
      </c>
      <c r="F6636" s="4">
        <v>0</v>
      </c>
      <c r="G6636" s="4">
        <v>3</v>
      </c>
      <c r="H6636" s="4">
        <v>3</v>
      </c>
      <c r="I6636" s="4">
        <v>0</v>
      </c>
      <c r="J6636" s="4">
        <v>3</v>
      </c>
    </row>
    <row r="6637" spans="1:10" x14ac:dyDescent="0.75">
      <c r="A6637" t="s">
        <v>151</v>
      </c>
      <c r="B6637">
        <v>2397</v>
      </c>
      <c r="C6637" t="s">
        <v>305</v>
      </c>
      <c r="D6637">
        <v>7600</v>
      </c>
      <c r="E6637" t="s">
        <v>503</v>
      </c>
      <c r="F6637" s="4">
        <v>0</v>
      </c>
      <c r="G6637" s="4">
        <v>1</v>
      </c>
      <c r="H6637" s="4">
        <v>1</v>
      </c>
      <c r="I6637" s="4">
        <v>0</v>
      </c>
      <c r="J6637" s="4">
        <v>1</v>
      </c>
    </row>
    <row r="6638" spans="1:10" x14ac:dyDescent="0.75">
      <c r="A6638" t="s">
        <v>151</v>
      </c>
      <c r="B6638">
        <v>2397</v>
      </c>
      <c r="C6638" t="s">
        <v>305</v>
      </c>
      <c r="D6638">
        <v>9900</v>
      </c>
      <c r="E6638" t="s">
        <v>389</v>
      </c>
      <c r="F6638" s="4">
        <v>0</v>
      </c>
      <c r="G6638" s="4">
        <v>1</v>
      </c>
      <c r="H6638" s="4">
        <v>1</v>
      </c>
      <c r="I6638" s="4">
        <v>0</v>
      </c>
      <c r="J6638" s="4">
        <v>1</v>
      </c>
    </row>
    <row r="6639" spans="1:10" x14ac:dyDescent="0.75">
      <c r="A6639" t="s">
        <v>151</v>
      </c>
      <c r="B6639">
        <v>4240</v>
      </c>
      <c r="C6639" t="s">
        <v>250</v>
      </c>
      <c r="D6639">
        <v>5220</v>
      </c>
      <c r="E6639" t="s">
        <v>401</v>
      </c>
      <c r="F6639" s="4">
        <v>0</v>
      </c>
      <c r="G6639" s="4">
        <v>773222</v>
      </c>
      <c r="H6639" s="4">
        <v>773222</v>
      </c>
      <c r="I6639" s="4">
        <v>0</v>
      </c>
      <c r="J6639" s="4">
        <v>773222</v>
      </c>
    </row>
    <row r="6640" spans="1:10" x14ac:dyDescent="0.75">
      <c r="A6640" t="s">
        <v>151</v>
      </c>
      <c r="B6640">
        <v>4240</v>
      </c>
      <c r="C6640" t="s">
        <v>250</v>
      </c>
      <c r="D6640">
        <v>6442</v>
      </c>
      <c r="E6640" t="s">
        <v>472</v>
      </c>
      <c r="F6640" s="4">
        <v>0</v>
      </c>
      <c r="G6640" s="4">
        <v>218068</v>
      </c>
      <c r="H6640" s="4">
        <v>0</v>
      </c>
      <c r="I6640" s="4">
        <v>218068</v>
      </c>
      <c r="J6640" s="4">
        <v>218068</v>
      </c>
    </row>
    <row r="6641" spans="1:10" x14ac:dyDescent="0.75">
      <c r="A6641" t="s">
        <v>151</v>
      </c>
      <c r="B6641">
        <v>4240</v>
      </c>
      <c r="C6641" t="s">
        <v>250</v>
      </c>
      <c r="D6641">
        <v>4860</v>
      </c>
      <c r="E6641" t="s">
        <v>400</v>
      </c>
      <c r="F6641" s="4">
        <v>0</v>
      </c>
      <c r="G6641" s="4">
        <v>81412</v>
      </c>
      <c r="H6641" s="4">
        <v>81412</v>
      </c>
      <c r="I6641" s="4">
        <v>0</v>
      </c>
      <c r="J6641" s="4">
        <v>81412</v>
      </c>
    </row>
    <row r="6642" spans="1:10" x14ac:dyDescent="0.75">
      <c r="A6642" t="s">
        <v>151</v>
      </c>
      <c r="B6642">
        <v>4240</v>
      </c>
      <c r="C6642" t="s">
        <v>250</v>
      </c>
      <c r="D6642">
        <v>3110</v>
      </c>
      <c r="E6642" t="s">
        <v>405</v>
      </c>
      <c r="F6642" s="4">
        <v>0</v>
      </c>
      <c r="G6642" s="4">
        <v>59626</v>
      </c>
      <c r="H6642" s="4">
        <v>59626</v>
      </c>
      <c r="I6642" s="4">
        <v>0</v>
      </c>
      <c r="J6642" s="4">
        <v>59626</v>
      </c>
    </row>
    <row r="6643" spans="1:10" x14ac:dyDescent="0.75">
      <c r="A6643" t="s">
        <v>151</v>
      </c>
      <c r="B6643">
        <v>4240</v>
      </c>
      <c r="C6643" t="s">
        <v>250</v>
      </c>
      <c r="D6643">
        <v>7900</v>
      </c>
      <c r="E6643" t="s">
        <v>388</v>
      </c>
      <c r="F6643" s="4">
        <v>0</v>
      </c>
      <c r="G6643" s="4">
        <v>12</v>
      </c>
      <c r="H6643" s="4">
        <v>0</v>
      </c>
      <c r="I6643" s="4">
        <v>12</v>
      </c>
      <c r="J6643" s="4">
        <v>12</v>
      </c>
    </row>
    <row r="6644" spans="1:10" x14ac:dyDescent="0.75">
      <c r="A6644" t="s">
        <v>163</v>
      </c>
      <c r="B6644">
        <v>2392</v>
      </c>
      <c r="C6644" t="s">
        <v>308</v>
      </c>
      <c r="D6644">
        <v>4331</v>
      </c>
      <c r="E6644" t="s">
        <v>390</v>
      </c>
      <c r="F6644" s="4">
        <v>92462</v>
      </c>
      <c r="G6644" s="4">
        <v>0</v>
      </c>
      <c r="H6644" s="4">
        <v>0</v>
      </c>
      <c r="I6644" s="4">
        <v>0</v>
      </c>
      <c r="J6644" s="4">
        <v>92462</v>
      </c>
    </row>
    <row r="6645" spans="1:10" x14ac:dyDescent="0.75">
      <c r="A6645" t="s">
        <v>163</v>
      </c>
      <c r="B6645">
        <v>2392</v>
      </c>
      <c r="C6645" t="s">
        <v>308</v>
      </c>
      <c r="D6645">
        <v>3110</v>
      </c>
      <c r="E6645" t="s">
        <v>405</v>
      </c>
      <c r="F6645" s="4">
        <v>2976</v>
      </c>
      <c r="G6645" s="4">
        <v>0</v>
      </c>
      <c r="H6645" s="4">
        <v>0</v>
      </c>
      <c r="I6645" s="4">
        <v>0</v>
      </c>
      <c r="J6645" s="4">
        <v>2976</v>
      </c>
    </row>
    <row r="6646" spans="1:10" x14ac:dyDescent="0.75">
      <c r="A6646" t="s">
        <v>163</v>
      </c>
      <c r="B6646">
        <v>2392</v>
      </c>
      <c r="C6646" t="s">
        <v>308</v>
      </c>
      <c r="D6646">
        <v>3190</v>
      </c>
      <c r="E6646" t="s">
        <v>408</v>
      </c>
      <c r="F6646" s="4">
        <v>2938</v>
      </c>
      <c r="G6646" s="4">
        <v>0</v>
      </c>
      <c r="H6646" s="4">
        <v>0</v>
      </c>
      <c r="I6646" s="4">
        <v>0</v>
      </c>
      <c r="J6646" s="4">
        <v>2938</v>
      </c>
    </row>
    <row r="6647" spans="1:10" x14ac:dyDescent="0.75">
      <c r="A6647" t="s">
        <v>163</v>
      </c>
      <c r="B6647">
        <v>2392</v>
      </c>
      <c r="C6647" t="s">
        <v>308</v>
      </c>
      <c r="D6647">
        <v>3130</v>
      </c>
      <c r="E6647" t="s">
        <v>407</v>
      </c>
      <c r="F6647" s="4">
        <v>2904</v>
      </c>
      <c r="G6647" s="4">
        <v>0</v>
      </c>
      <c r="H6647" s="4">
        <v>0</v>
      </c>
      <c r="I6647" s="4">
        <v>0</v>
      </c>
      <c r="J6647" s="4">
        <v>2904</v>
      </c>
    </row>
    <row r="6648" spans="1:10" x14ac:dyDescent="0.75">
      <c r="A6648" t="s">
        <v>163</v>
      </c>
      <c r="B6648">
        <v>2392</v>
      </c>
      <c r="C6648" t="s">
        <v>308</v>
      </c>
      <c r="D6648">
        <v>6857</v>
      </c>
      <c r="E6648" t="s">
        <v>487</v>
      </c>
      <c r="F6648" s="4">
        <v>1500</v>
      </c>
      <c r="G6648" s="4">
        <v>0</v>
      </c>
      <c r="H6648" s="4">
        <v>0</v>
      </c>
      <c r="I6648" s="4">
        <v>0</v>
      </c>
      <c r="J6648" s="4">
        <v>1500</v>
      </c>
    </row>
    <row r="6649" spans="1:10" x14ac:dyDescent="0.75">
      <c r="A6649" t="s">
        <v>151</v>
      </c>
      <c r="B6649">
        <v>4102</v>
      </c>
      <c r="C6649" t="s">
        <v>237</v>
      </c>
      <c r="D6649">
        <v>6856</v>
      </c>
      <c r="E6649" t="s">
        <v>486</v>
      </c>
      <c r="F6649" s="4">
        <v>0</v>
      </c>
      <c r="G6649" s="4">
        <v>586082</v>
      </c>
      <c r="H6649" s="4">
        <v>585543</v>
      </c>
      <c r="I6649" s="4">
        <v>539</v>
      </c>
      <c r="J6649" s="4">
        <v>586082</v>
      </c>
    </row>
    <row r="6650" spans="1:10" x14ac:dyDescent="0.75">
      <c r="A6650" t="s">
        <v>151</v>
      </c>
      <c r="B6650">
        <v>4102</v>
      </c>
      <c r="C6650" t="s">
        <v>237</v>
      </c>
      <c r="D6650">
        <v>2221</v>
      </c>
      <c r="E6650" t="s">
        <v>374</v>
      </c>
      <c r="F6650" s="4">
        <v>231578</v>
      </c>
      <c r="G6650" s="4">
        <v>0</v>
      </c>
      <c r="H6650" s="4">
        <v>0</v>
      </c>
      <c r="I6650" s="4">
        <v>0</v>
      </c>
      <c r="J6650" s="4">
        <v>231578</v>
      </c>
    </row>
    <row r="6651" spans="1:10" x14ac:dyDescent="0.75">
      <c r="A6651" t="s">
        <v>151</v>
      </c>
      <c r="B6651">
        <v>4102</v>
      </c>
      <c r="C6651" t="s">
        <v>237</v>
      </c>
      <c r="D6651">
        <v>7210</v>
      </c>
      <c r="E6651" t="s">
        <v>426</v>
      </c>
      <c r="F6651" s="4">
        <v>0</v>
      </c>
      <c r="G6651" s="4">
        <v>224722</v>
      </c>
      <c r="H6651" s="4">
        <v>224006</v>
      </c>
      <c r="I6651" s="4">
        <v>716</v>
      </c>
      <c r="J6651" s="4">
        <v>224722</v>
      </c>
    </row>
    <row r="6652" spans="1:10" x14ac:dyDescent="0.75">
      <c r="A6652" t="s">
        <v>151</v>
      </c>
      <c r="B6652">
        <v>4102</v>
      </c>
      <c r="C6652" t="s">
        <v>237</v>
      </c>
      <c r="D6652">
        <v>6857</v>
      </c>
      <c r="E6652" t="s">
        <v>487</v>
      </c>
      <c r="F6652" s="4">
        <v>0</v>
      </c>
      <c r="G6652" s="4">
        <v>142661</v>
      </c>
      <c r="H6652" s="4">
        <v>135426</v>
      </c>
      <c r="I6652" s="4">
        <v>7235</v>
      </c>
      <c r="J6652" s="4">
        <v>142661</v>
      </c>
    </row>
    <row r="6653" spans="1:10" x14ac:dyDescent="0.75">
      <c r="A6653" t="s">
        <v>151</v>
      </c>
      <c r="B6653">
        <v>4102</v>
      </c>
      <c r="C6653" t="s">
        <v>237</v>
      </c>
      <c r="D6653">
        <v>4650</v>
      </c>
      <c r="E6653" t="s">
        <v>457</v>
      </c>
      <c r="F6653" s="4">
        <v>0</v>
      </c>
      <c r="G6653" s="4">
        <v>109161</v>
      </c>
      <c r="H6653" s="4">
        <v>109101</v>
      </c>
      <c r="I6653" s="4">
        <v>60</v>
      </c>
      <c r="J6653" s="4">
        <v>109161</v>
      </c>
    </row>
    <row r="6654" spans="1:10" x14ac:dyDescent="0.75">
      <c r="A6654" t="s">
        <v>151</v>
      </c>
      <c r="B6654">
        <v>4102</v>
      </c>
      <c r="C6654" t="s">
        <v>237</v>
      </c>
      <c r="D6654">
        <v>6889</v>
      </c>
      <c r="E6654" t="s">
        <v>420</v>
      </c>
      <c r="F6654" s="4">
        <v>0</v>
      </c>
      <c r="G6654" s="4">
        <v>107606</v>
      </c>
      <c r="H6654" s="4">
        <v>106842</v>
      </c>
      <c r="I6654" s="4">
        <v>764</v>
      </c>
      <c r="J6654" s="4">
        <v>107606</v>
      </c>
    </row>
    <row r="6655" spans="1:10" x14ac:dyDescent="0.75">
      <c r="A6655" t="s">
        <v>151</v>
      </c>
      <c r="B6655">
        <v>4102</v>
      </c>
      <c r="C6655" t="s">
        <v>237</v>
      </c>
      <c r="D6655">
        <v>2340</v>
      </c>
      <c r="E6655" t="s">
        <v>369</v>
      </c>
      <c r="F6655" s="4">
        <v>87802</v>
      </c>
      <c r="G6655" s="4">
        <v>0</v>
      </c>
      <c r="H6655" s="4">
        <v>0</v>
      </c>
      <c r="I6655" s="4">
        <v>0</v>
      </c>
      <c r="J6655" s="4">
        <v>87802</v>
      </c>
    </row>
    <row r="6656" spans="1:10" x14ac:dyDescent="0.75">
      <c r="A6656" t="s">
        <v>151</v>
      </c>
      <c r="B6656">
        <v>4102</v>
      </c>
      <c r="C6656" t="s">
        <v>237</v>
      </c>
      <c r="D6656">
        <v>6136</v>
      </c>
      <c r="E6656" t="s">
        <v>471</v>
      </c>
      <c r="F6656" s="4">
        <v>0</v>
      </c>
      <c r="G6656" s="4">
        <v>36925</v>
      </c>
      <c r="H6656" s="4">
        <v>36628</v>
      </c>
      <c r="I6656" s="4">
        <v>297</v>
      </c>
      <c r="J6656" s="4">
        <v>36925</v>
      </c>
    </row>
    <row r="6657" spans="1:10" x14ac:dyDescent="0.75">
      <c r="A6657" t="s">
        <v>151</v>
      </c>
      <c r="B6657">
        <v>4102</v>
      </c>
      <c r="C6657" t="s">
        <v>237</v>
      </c>
      <c r="D6657">
        <v>7120</v>
      </c>
      <c r="E6657" t="s">
        <v>499</v>
      </c>
      <c r="F6657" s="4">
        <v>0</v>
      </c>
      <c r="G6657" s="4">
        <v>25471</v>
      </c>
      <c r="H6657" s="4">
        <v>25317</v>
      </c>
      <c r="I6657" s="4">
        <v>154</v>
      </c>
      <c r="J6657" s="4">
        <v>25471</v>
      </c>
    </row>
    <row r="6658" spans="1:10" x14ac:dyDescent="0.75">
      <c r="A6658" t="s">
        <v>151</v>
      </c>
      <c r="B6658">
        <v>4102</v>
      </c>
      <c r="C6658" t="s">
        <v>237</v>
      </c>
      <c r="D6658">
        <v>9900</v>
      </c>
      <c r="E6658" t="s">
        <v>389</v>
      </c>
      <c r="F6658" s="4">
        <v>0</v>
      </c>
      <c r="G6658" s="4">
        <v>19873</v>
      </c>
      <c r="H6658" s="4">
        <v>19166</v>
      </c>
      <c r="I6658" s="4">
        <v>707</v>
      </c>
      <c r="J6658" s="4">
        <v>19873</v>
      </c>
    </row>
    <row r="6659" spans="1:10" x14ac:dyDescent="0.75">
      <c r="A6659" t="s">
        <v>151</v>
      </c>
      <c r="B6659">
        <v>4102</v>
      </c>
      <c r="C6659" t="s">
        <v>237</v>
      </c>
      <c r="D6659">
        <v>5330</v>
      </c>
      <c r="E6659" t="s">
        <v>385</v>
      </c>
      <c r="F6659" s="4">
        <v>0</v>
      </c>
      <c r="G6659" s="4">
        <v>18439</v>
      </c>
      <c r="H6659" s="4">
        <v>18408</v>
      </c>
      <c r="I6659" s="4">
        <v>31</v>
      </c>
      <c r="J6659" s="4">
        <v>18439</v>
      </c>
    </row>
    <row r="6660" spans="1:10" x14ac:dyDescent="0.75">
      <c r="A6660" t="s">
        <v>151</v>
      </c>
      <c r="B6660">
        <v>4102</v>
      </c>
      <c r="C6660" t="s">
        <v>237</v>
      </c>
      <c r="D6660">
        <v>6654</v>
      </c>
      <c r="E6660" t="s">
        <v>419</v>
      </c>
      <c r="F6660" s="4">
        <v>0</v>
      </c>
      <c r="G6660" s="4">
        <v>13601</v>
      </c>
      <c r="H6660" s="4">
        <v>10690</v>
      </c>
      <c r="I6660" s="4">
        <v>2911</v>
      </c>
      <c r="J6660" s="4">
        <v>13601</v>
      </c>
    </row>
    <row r="6661" spans="1:10" x14ac:dyDescent="0.75">
      <c r="A6661" t="s">
        <v>151</v>
      </c>
      <c r="B6661">
        <v>4102</v>
      </c>
      <c r="C6661" t="s">
        <v>237</v>
      </c>
      <c r="D6661">
        <v>3190</v>
      </c>
      <c r="E6661" t="s">
        <v>408</v>
      </c>
      <c r="F6661" s="4">
        <v>0</v>
      </c>
      <c r="G6661" s="4">
        <v>13309</v>
      </c>
      <c r="H6661" s="4">
        <v>13049</v>
      </c>
      <c r="I6661" s="4">
        <v>260</v>
      </c>
      <c r="J6661" s="4">
        <v>13309</v>
      </c>
    </row>
    <row r="6662" spans="1:10" x14ac:dyDescent="0.75">
      <c r="A6662" t="s">
        <v>151</v>
      </c>
      <c r="B6662">
        <v>4102</v>
      </c>
      <c r="C6662" t="s">
        <v>237</v>
      </c>
      <c r="D6662">
        <v>3110</v>
      </c>
      <c r="E6662" t="s">
        <v>405</v>
      </c>
      <c r="F6662" s="4">
        <v>0</v>
      </c>
      <c r="G6662" s="4">
        <v>12726</v>
      </c>
      <c r="H6662" s="4">
        <v>12579</v>
      </c>
      <c r="I6662" s="4">
        <v>147</v>
      </c>
      <c r="J6662" s="4">
        <v>12726</v>
      </c>
    </row>
    <row r="6663" spans="1:10" x14ac:dyDescent="0.75">
      <c r="A6663" t="s">
        <v>151</v>
      </c>
      <c r="B6663">
        <v>4102</v>
      </c>
      <c r="C6663" t="s">
        <v>237</v>
      </c>
      <c r="D6663">
        <v>7900</v>
      </c>
      <c r="E6663" t="s">
        <v>388</v>
      </c>
      <c r="F6663" s="4">
        <v>500</v>
      </c>
      <c r="G6663" s="4">
        <v>11467</v>
      </c>
      <c r="H6663" s="4">
        <v>3956</v>
      </c>
      <c r="I6663" s="4">
        <v>7511</v>
      </c>
      <c r="J6663" s="4">
        <v>11967</v>
      </c>
    </row>
    <row r="6664" spans="1:10" x14ac:dyDescent="0.75">
      <c r="A6664" t="s">
        <v>151</v>
      </c>
      <c r="B6664">
        <v>4102</v>
      </c>
      <c r="C6664" t="s">
        <v>237</v>
      </c>
      <c r="D6664">
        <v>6858</v>
      </c>
      <c r="E6664" t="s">
        <v>488</v>
      </c>
      <c r="F6664" s="4">
        <v>0</v>
      </c>
      <c r="G6664" s="4">
        <v>10267</v>
      </c>
      <c r="H6664" s="4">
        <v>9923</v>
      </c>
      <c r="I6664" s="4">
        <v>344</v>
      </c>
      <c r="J6664" s="4">
        <v>10267</v>
      </c>
    </row>
    <row r="6665" spans="1:10" x14ac:dyDescent="0.75">
      <c r="A6665" t="s">
        <v>151</v>
      </c>
      <c r="B6665">
        <v>4102</v>
      </c>
      <c r="C6665" t="s">
        <v>237</v>
      </c>
      <c r="D6665">
        <v>5480</v>
      </c>
      <c r="E6665" t="s">
        <v>386</v>
      </c>
      <c r="F6665" s="4">
        <v>0</v>
      </c>
      <c r="G6665" s="4">
        <v>8462</v>
      </c>
      <c r="H6665" s="4">
        <v>7716</v>
      </c>
      <c r="I6665" s="4">
        <v>746</v>
      </c>
      <c r="J6665" s="4">
        <v>8462</v>
      </c>
    </row>
    <row r="6666" spans="1:10" x14ac:dyDescent="0.75">
      <c r="A6666" t="s">
        <v>151</v>
      </c>
      <c r="B6666">
        <v>4102</v>
      </c>
      <c r="C6666" t="s">
        <v>237</v>
      </c>
      <c r="D6666">
        <v>5290</v>
      </c>
      <c r="E6666" t="s">
        <v>415</v>
      </c>
      <c r="F6666" s="4">
        <v>0</v>
      </c>
      <c r="G6666" s="4">
        <v>5230</v>
      </c>
      <c r="H6666" s="4">
        <v>5176</v>
      </c>
      <c r="I6666" s="4">
        <v>54</v>
      </c>
      <c r="J6666" s="4">
        <v>5230</v>
      </c>
    </row>
    <row r="6667" spans="1:10" x14ac:dyDescent="0.75">
      <c r="A6667" t="s">
        <v>151</v>
      </c>
      <c r="B6667">
        <v>4102</v>
      </c>
      <c r="C6667" t="s">
        <v>237</v>
      </c>
      <c r="D6667">
        <v>7110</v>
      </c>
      <c r="E6667" t="s">
        <v>371</v>
      </c>
      <c r="F6667" s="4">
        <v>0</v>
      </c>
      <c r="G6667" s="4">
        <v>5061</v>
      </c>
      <c r="H6667" s="4">
        <v>4341</v>
      </c>
      <c r="I6667" s="4">
        <v>720</v>
      </c>
      <c r="J6667" s="4">
        <v>5061</v>
      </c>
    </row>
    <row r="6668" spans="1:10" x14ac:dyDescent="0.75">
      <c r="A6668" t="s">
        <v>151</v>
      </c>
      <c r="B6668">
        <v>4102</v>
      </c>
      <c r="C6668" t="s">
        <v>237</v>
      </c>
      <c r="D6668">
        <v>3286</v>
      </c>
      <c r="E6668" t="s">
        <v>423</v>
      </c>
      <c r="F6668" s="4">
        <v>0</v>
      </c>
      <c r="G6668" s="4">
        <v>4174</v>
      </c>
      <c r="H6668" s="4">
        <v>158</v>
      </c>
      <c r="I6668" s="4">
        <v>4016</v>
      </c>
      <c r="J6668" s="4">
        <v>4174</v>
      </c>
    </row>
    <row r="6669" spans="1:10" x14ac:dyDescent="0.75">
      <c r="A6669" t="s">
        <v>151</v>
      </c>
      <c r="B6669">
        <v>4102</v>
      </c>
      <c r="C6669" t="s">
        <v>237</v>
      </c>
      <c r="D6669">
        <v>6835</v>
      </c>
      <c r="E6669" t="s">
        <v>483</v>
      </c>
      <c r="F6669" s="4">
        <v>0</v>
      </c>
      <c r="G6669" s="4">
        <v>3943</v>
      </c>
      <c r="H6669" s="4">
        <v>3881</v>
      </c>
      <c r="I6669" s="4">
        <v>62</v>
      </c>
      <c r="J6669" s="4">
        <v>3943</v>
      </c>
    </row>
    <row r="6670" spans="1:10" x14ac:dyDescent="0.75">
      <c r="A6670" t="s">
        <v>151</v>
      </c>
      <c r="B6670">
        <v>4102</v>
      </c>
      <c r="C6670" t="s">
        <v>237</v>
      </c>
      <c r="D6670">
        <v>3276</v>
      </c>
      <c r="E6670" t="s">
        <v>379</v>
      </c>
      <c r="F6670" s="4">
        <v>0</v>
      </c>
      <c r="G6670" s="4">
        <v>3823</v>
      </c>
      <c r="H6670" s="4">
        <v>3527</v>
      </c>
      <c r="I6670" s="4">
        <v>296</v>
      </c>
      <c r="J6670" s="4">
        <v>3823</v>
      </c>
    </row>
    <row r="6671" spans="1:10" x14ac:dyDescent="0.75">
      <c r="A6671" t="s">
        <v>151</v>
      </c>
      <c r="B6671">
        <v>4102</v>
      </c>
      <c r="C6671" t="s">
        <v>237</v>
      </c>
      <c r="D6671">
        <v>6822</v>
      </c>
      <c r="E6671" t="s">
        <v>482</v>
      </c>
      <c r="F6671" s="4">
        <v>0</v>
      </c>
      <c r="G6671" s="4">
        <v>3557</v>
      </c>
      <c r="H6671" s="4">
        <v>363</v>
      </c>
      <c r="I6671" s="4">
        <v>3194</v>
      </c>
      <c r="J6671" s="4">
        <v>3557</v>
      </c>
    </row>
    <row r="6672" spans="1:10" x14ac:dyDescent="0.75">
      <c r="A6672" t="s">
        <v>151</v>
      </c>
      <c r="B6672">
        <v>4102</v>
      </c>
      <c r="C6672" t="s">
        <v>237</v>
      </c>
      <c r="D6672">
        <v>6899</v>
      </c>
      <c r="E6672" t="s">
        <v>498</v>
      </c>
      <c r="F6672" s="4">
        <v>0</v>
      </c>
      <c r="G6672" s="4">
        <v>3125</v>
      </c>
      <c r="H6672" s="4">
        <v>2929</v>
      </c>
      <c r="I6672" s="4">
        <v>196</v>
      </c>
      <c r="J6672" s="4">
        <v>3125</v>
      </c>
    </row>
    <row r="6673" spans="1:10" x14ac:dyDescent="0.75">
      <c r="A6673" t="s">
        <v>151</v>
      </c>
      <c r="B6673">
        <v>4102</v>
      </c>
      <c r="C6673" t="s">
        <v>237</v>
      </c>
      <c r="D6673">
        <v>4331</v>
      </c>
      <c r="E6673" t="s">
        <v>390</v>
      </c>
      <c r="F6673" s="4">
        <v>2000</v>
      </c>
      <c r="G6673" s="4">
        <v>0</v>
      </c>
      <c r="H6673" s="4">
        <v>0</v>
      </c>
      <c r="I6673" s="4">
        <v>0</v>
      </c>
      <c r="J6673" s="4">
        <v>2000</v>
      </c>
    </row>
    <row r="6674" spans="1:10" x14ac:dyDescent="0.75">
      <c r="A6674" t="s">
        <v>151</v>
      </c>
      <c r="B6674">
        <v>4102</v>
      </c>
      <c r="C6674" t="s">
        <v>237</v>
      </c>
      <c r="D6674">
        <v>5360</v>
      </c>
      <c r="E6674" t="s">
        <v>465</v>
      </c>
      <c r="F6674" s="4">
        <v>0</v>
      </c>
      <c r="G6674" s="4">
        <v>1882</v>
      </c>
      <c r="H6674" s="4">
        <v>1882</v>
      </c>
      <c r="I6674" s="4">
        <v>0</v>
      </c>
      <c r="J6674" s="4">
        <v>1882</v>
      </c>
    </row>
    <row r="6675" spans="1:10" x14ac:dyDescent="0.75">
      <c r="A6675" t="s">
        <v>151</v>
      </c>
      <c r="B6675">
        <v>4102</v>
      </c>
      <c r="C6675" t="s">
        <v>237</v>
      </c>
      <c r="D6675">
        <v>7500</v>
      </c>
      <c r="E6675" t="s">
        <v>427</v>
      </c>
      <c r="F6675" s="4">
        <v>0</v>
      </c>
      <c r="G6675" s="4">
        <v>1584</v>
      </c>
      <c r="H6675" s="4">
        <v>237</v>
      </c>
      <c r="I6675" s="4">
        <v>1347</v>
      </c>
      <c r="J6675" s="4">
        <v>1584</v>
      </c>
    </row>
    <row r="6676" spans="1:10" x14ac:dyDescent="0.75">
      <c r="A6676" t="s">
        <v>151</v>
      </c>
      <c r="B6676">
        <v>4102</v>
      </c>
      <c r="C6676" t="s">
        <v>237</v>
      </c>
      <c r="D6676">
        <v>6811</v>
      </c>
      <c r="E6676" t="s">
        <v>480</v>
      </c>
      <c r="F6676" s="4">
        <v>0</v>
      </c>
      <c r="G6676" s="4">
        <v>1352</v>
      </c>
      <c r="H6676" s="4">
        <v>778</v>
      </c>
      <c r="I6676" s="4">
        <v>574</v>
      </c>
      <c r="J6676" s="4">
        <v>1352</v>
      </c>
    </row>
    <row r="6677" spans="1:10" x14ac:dyDescent="0.75">
      <c r="A6677" t="s">
        <v>151</v>
      </c>
      <c r="B6677">
        <v>4102</v>
      </c>
      <c r="C6677" t="s">
        <v>237</v>
      </c>
      <c r="D6677">
        <v>6885</v>
      </c>
      <c r="E6677" t="s">
        <v>493</v>
      </c>
      <c r="F6677" s="4">
        <v>0</v>
      </c>
      <c r="G6677" s="4">
        <v>1204</v>
      </c>
      <c r="H6677" s="4">
        <v>985</v>
      </c>
      <c r="I6677" s="4">
        <v>219</v>
      </c>
      <c r="J6677" s="4">
        <v>1204</v>
      </c>
    </row>
    <row r="6678" spans="1:10" x14ac:dyDescent="0.75">
      <c r="A6678" t="s">
        <v>151</v>
      </c>
      <c r="B6678">
        <v>4102</v>
      </c>
      <c r="C6678" t="s">
        <v>237</v>
      </c>
      <c r="D6678">
        <v>5120</v>
      </c>
      <c r="E6678" t="s">
        <v>461</v>
      </c>
      <c r="F6678" s="4">
        <v>0</v>
      </c>
      <c r="G6678" s="4">
        <v>1159</v>
      </c>
      <c r="H6678" s="4">
        <v>4</v>
      </c>
      <c r="I6678" s="4">
        <v>1155</v>
      </c>
      <c r="J6678" s="4">
        <v>1159</v>
      </c>
    </row>
    <row r="6679" spans="1:10" x14ac:dyDescent="0.75">
      <c r="A6679" t="s">
        <v>151</v>
      </c>
      <c r="B6679">
        <v>4102</v>
      </c>
      <c r="C6679" t="s">
        <v>237</v>
      </c>
      <c r="D6679">
        <v>5370</v>
      </c>
      <c r="E6679" t="s">
        <v>466</v>
      </c>
      <c r="F6679" s="4">
        <v>0</v>
      </c>
      <c r="G6679" s="4">
        <v>1054</v>
      </c>
      <c r="H6679" s="4">
        <v>981</v>
      </c>
      <c r="I6679" s="4">
        <v>73</v>
      </c>
      <c r="J6679" s="4">
        <v>1054</v>
      </c>
    </row>
    <row r="6680" spans="1:10" x14ac:dyDescent="0.75">
      <c r="A6680" t="s">
        <v>151</v>
      </c>
      <c r="B6680">
        <v>4102</v>
      </c>
      <c r="C6680" t="s">
        <v>237</v>
      </c>
      <c r="D6680">
        <v>2211</v>
      </c>
      <c r="E6680" t="s">
        <v>367</v>
      </c>
      <c r="F6680" s="4">
        <v>660</v>
      </c>
      <c r="G6680" s="4">
        <v>380</v>
      </c>
      <c r="H6680" s="4">
        <v>380</v>
      </c>
      <c r="I6680" s="4">
        <v>0</v>
      </c>
      <c r="J6680" s="4">
        <v>1040</v>
      </c>
    </row>
    <row r="6681" spans="1:10" x14ac:dyDescent="0.75">
      <c r="A6681" t="s">
        <v>151</v>
      </c>
      <c r="B6681">
        <v>4102</v>
      </c>
      <c r="C6681" t="s">
        <v>237</v>
      </c>
      <c r="D6681">
        <v>7600</v>
      </c>
      <c r="E6681" t="s">
        <v>503</v>
      </c>
      <c r="F6681" s="4">
        <v>0</v>
      </c>
      <c r="G6681" s="4">
        <v>1011</v>
      </c>
      <c r="H6681" s="4">
        <v>168</v>
      </c>
      <c r="I6681" s="4">
        <v>843</v>
      </c>
      <c r="J6681" s="4">
        <v>1011</v>
      </c>
    </row>
    <row r="6682" spans="1:10" x14ac:dyDescent="0.75">
      <c r="A6682" t="s">
        <v>151</v>
      </c>
      <c r="B6682">
        <v>4102</v>
      </c>
      <c r="C6682" t="s">
        <v>237</v>
      </c>
      <c r="D6682">
        <v>6747</v>
      </c>
      <c r="E6682" t="s">
        <v>478</v>
      </c>
      <c r="F6682" s="4">
        <v>0</v>
      </c>
      <c r="G6682" s="4">
        <v>883</v>
      </c>
      <c r="H6682" s="4">
        <v>653</v>
      </c>
      <c r="I6682" s="4">
        <v>230</v>
      </c>
      <c r="J6682" s="4">
        <v>883</v>
      </c>
    </row>
    <row r="6683" spans="1:10" x14ac:dyDescent="0.75">
      <c r="A6683" t="s">
        <v>151</v>
      </c>
      <c r="B6683">
        <v>4102</v>
      </c>
      <c r="C6683" t="s">
        <v>237</v>
      </c>
      <c r="D6683">
        <v>7300</v>
      </c>
      <c r="E6683" t="s">
        <v>501</v>
      </c>
      <c r="F6683" s="4">
        <v>0</v>
      </c>
      <c r="G6683" s="4">
        <v>636</v>
      </c>
      <c r="H6683" s="4">
        <v>636</v>
      </c>
      <c r="I6683" s="4">
        <v>0</v>
      </c>
      <c r="J6683" s="4">
        <v>636</v>
      </c>
    </row>
    <row r="6684" spans="1:10" x14ac:dyDescent="0.75">
      <c r="A6684" t="s">
        <v>151</v>
      </c>
      <c r="B6684">
        <v>4102</v>
      </c>
      <c r="C6684" t="s">
        <v>237</v>
      </c>
      <c r="D6684">
        <v>3279</v>
      </c>
      <c r="E6684" t="s">
        <v>422</v>
      </c>
      <c r="F6684" s="4">
        <v>0</v>
      </c>
      <c r="G6684" s="4">
        <v>322</v>
      </c>
      <c r="H6684" s="4">
        <v>303</v>
      </c>
      <c r="I6684" s="4">
        <v>19</v>
      </c>
      <c r="J6684" s="4">
        <v>322</v>
      </c>
    </row>
    <row r="6685" spans="1:10" x14ac:dyDescent="0.75">
      <c r="A6685" t="s">
        <v>151</v>
      </c>
      <c r="B6685">
        <v>4102</v>
      </c>
      <c r="C6685" t="s">
        <v>237</v>
      </c>
      <c r="D6685">
        <v>3130</v>
      </c>
      <c r="E6685" t="s">
        <v>407</v>
      </c>
      <c r="F6685" s="4">
        <v>0</v>
      </c>
      <c r="G6685" s="4">
        <v>301</v>
      </c>
      <c r="H6685" s="4">
        <v>0</v>
      </c>
      <c r="I6685" s="4">
        <v>301</v>
      </c>
      <c r="J6685" s="4">
        <v>301</v>
      </c>
    </row>
    <row r="6686" spans="1:10" x14ac:dyDescent="0.75">
      <c r="A6686" t="s">
        <v>151</v>
      </c>
      <c r="B6686">
        <v>4102</v>
      </c>
      <c r="C6686" t="s">
        <v>237</v>
      </c>
      <c r="D6686">
        <v>6134</v>
      </c>
      <c r="E6686" t="s">
        <v>470</v>
      </c>
      <c r="F6686" s="4">
        <v>0</v>
      </c>
      <c r="G6686" s="4">
        <v>280</v>
      </c>
      <c r="H6686" s="4">
        <v>23</v>
      </c>
      <c r="I6686" s="4">
        <v>257</v>
      </c>
      <c r="J6686" s="4">
        <v>280</v>
      </c>
    </row>
    <row r="6687" spans="1:10" x14ac:dyDescent="0.75">
      <c r="A6687" t="s">
        <v>151</v>
      </c>
      <c r="B6687">
        <v>4102</v>
      </c>
      <c r="C6687" t="s">
        <v>237</v>
      </c>
      <c r="D6687">
        <v>6782</v>
      </c>
      <c r="E6687" t="s">
        <v>396</v>
      </c>
      <c r="F6687" s="4">
        <v>0</v>
      </c>
      <c r="G6687" s="4">
        <v>277</v>
      </c>
      <c r="H6687" s="4">
        <v>0</v>
      </c>
      <c r="I6687" s="4">
        <v>277</v>
      </c>
      <c r="J6687" s="4">
        <v>277</v>
      </c>
    </row>
    <row r="6688" spans="1:10" x14ac:dyDescent="0.75">
      <c r="A6688" t="s">
        <v>151</v>
      </c>
      <c r="B6688">
        <v>4102</v>
      </c>
      <c r="C6688" t="s">
        <v>237</v>
      </c>
      <c r="D6688">
        <v>5190</v>
      </c>
      <c r="E6688" t="s">
        <v>462</v>
      </c>
      <c r="F6688" s="4">
        <v>0</v>
      </c>
      <c r="G6688" s="4">
        <v>253</v>
      </c>
      <c r="H6688" s="4">
        <v>188</v>
      </c>
      <c r="I6688" s="4">
        <v>65</v>
      </c>
      <c r="J6688" s="4">
        <v>253</v>
      </c>
    </row>
    <row r="6689" spans="1:10" x14ac:dyDescent="0.75">
      <c r="A6689" t="s">
        <v>151</v>
      </c>
      <c r="B6689">
        <v>4102</v>
      </c>
      <c r="C6689" t="s">
        <v>237</v>
      </c>
      <c r="D6689">
        <v>2640</v>
      </c>
      <c r="E6689" t="s">
        <v>431</v>
      </c>
      <c r="F6689" s="4">
        <v>0</v>
      </c>
      <c r="G6689" s="4">
        <v>251</v>
      </c>
      <c r="H6689" s="4">
        <v>251</v>
      </c>
      <c r="I6689" s="4">
        <v>0</v>
      </c>
      <c r="J6689" s="4">
        <v>251</v>
      </c>
    </row>
    <row r="6690" spans="1:10" x14ac:dyDescent="0.75">
      <c r="A6690" t="s">
        <v>151</v>
      </c>
      <c r="B6690">
        <v>4102</v>
      </c>
      <c r="C6690" t="s">
        <v>237</v>
      </c>
      <c r="D6690">
        <v>7230</v>
      </c>
      <c r="E6690" t="s">
        <v>387</v>
      </c>
      <c r="F6690" s="4">
        <v>0</v>
      </c>
      <c r="G6690" s="4">
        <v>230</v>
      </c>
      <c r="H6690" s="4">
        <v>230</v>
      </c>
      <c r="I6690" s="4">
        <v>0</v>
      </c>
      <c r="J6690" s="4">
        <v>230</v>
      </c>
    </row>
    <row r="6691" spans="1:10" x14ac:dyDescent="0.75">
      <c r="A6691" t="s">
        <v>151</v>
      </c>
      <c r="B6691">
        <v>4102</v>
      </c>
      <c r="C6691" t="s">
        <v>237</v>
      </c>
      <c r="D6691">
        <v>6891</v>
      </c>
      <c r="E6691" t="s">
        <v>495</v>
      </c>
      <c r="F6691" s="4">
        <v>0</v>
      </c>
      <c r="G6691" s="4">
        <v>143</v>
      </c>
      <c r="H6691" s="4">
        <v>96</v>
      </c>
      <c r="I6691" s="4">
        <v>47</v>
      </c>
      <c r="J6691" s="4">
        <v>143</v>
      </c>
    </row>
    <row r="6692" spans="1:10" x14ac:dyDescent="0.75">
      <c r="A6692" t="s">
        <v>151</v>
      </c>
      <c r="B6692">
        <v>4102</v>
      </c>
      <c r="C6692" t="s">
        <v>237</v>
      </c>
      <c r="D6692">
        <v>7400</v>
      </c>
      <c r="E6692" t="s">
        <v>502</v>
      </c>
      <c r="F6692" s="4">
        <v>0</v>
      </c>
      <c r="G6692" s="4">
        <v>140</v>
      </c>
      <c r="H6692" s="4">
        <v>93</v>
      </c>
      <c r="I6692" s="4">
        <v>47</v>
      </c>
      <c r="J6692" s="4">
        <v>140</v>
      </c>
    </row>
    <row r="6693" spans="1:10" x14ac:dyDescent="0.75">
      <c r="A6693" t="s">
        <v>151</v>
      </c>
      <c r="B6693">
        <v>4102</v>
      </c>
      <c r="C6693" t="s">
        <v>237</v>
      </c>
      <c r="D6693">
        <v>6344</v>
      </c>
      <c r="E6693" t="s">
        <v>392</v>
      </c>
      <c r="F6693" s="4">
        <v>0</v>
      </c>
      <c r="G6693" s="4">
        <v>123</v>
      </c>
      <c r="H6693" s="4">
        <v>80</v>
      </c>
      <c r="I6693" s="4">
        <v>43</v>
      </c>
      <c r="J6693" s="4">
        <v>123</v>
      </c>
    </row>
    <row r="6694" spans="1:10" x14ac:dyDescent="0.75">
      <c r="A6694" t="s">
        <v>151</v>
      </c>
      <c r="B6694">
        <v>4102</v>
      </c>
      <c r="C6694" t="s">
        <v>237</v>
      </c>
      <c r="D6694">
        <v>3292</v>
      </c>
      <c r="E6694" t="s">
        <v>413</v>
      </c>
      <c r="F6694" s="4">
        <v>0</v>
      </c>
      <c r="G6694" s="4">
        <v>120</v>
      </c>
      <c r="H6694" s="4">
        <v>104</v>
      </c>
      <c r="I6694" s="4">
        <v>16</v>
      </c>
      <c r="J6694" s="4">
        <v>120</v>
      </c>
    </row>
    <row r="6695" spans="1:10" x14ac:dyDescent="0.75">
      <c r="A6695" t="s">
        <v>151</v>
      </c>
      <c r="B6695">
        <v>4102</v>
      </c>
      <c r="C6695" t="s">
        <v>237</v>
      </c>
      <c r="D6695">
        <v>3275</v>
      </c>
      <c r="E6695" t="s">
        <v>412</v>
      </c>
      <c r="F6695" s="4">
        <v>0</v>
      </c>
      <c r="G6695" s="4">
        <v>114</v>
      </c>
      <c r="H6695" s="4">
        <v>0</v>
      </c>
      <c r="I6695" s="4">
        <v>114</v>
      </c>
      <c r="J6695" s="4">
        <v>114</v>
      </c>
    </row>
    <row r="6696" spans="1:10" x14ac:dyDescent="0.75">
      <c r="A6696" t="s">
        <v>151</v>
      </c>
      <c r="B6696">
        <v>4102</v>
      </c>
      <c r="C6696" t="s">
        <v>237</v>
      </c>
      <c r="D6696">
        <v>6839</v>
      </c>
      <c r="E6696" t="s">
        <v>485</v>
      </c>
      <c r="F6696" s="4">
        <v>0</v>
      </c>
      <c r="G6696" s="4">
        <v>114</v>
      </c>
      <c r="H6696" s="4">
        <v>32</v>
      </c>
      <c r="I6696" s="4">
        <v>82</v>
      </c>
      <c r="J6696" s="4">
        <v>114</v>
      </c>
    </row>
    <row r="6697" spans="1:10" x14ac:dyDescent="0.75">
      <c r="A6697" t="s">
        <v>151</v>
      </c>
      <c r="B6697">
        <v>4102</v>
      </c>
      <c r="C6697" t="s">
        <v>237</v>
      </c>
      <c r="D6697">
        <v>6746</v>
      </c>
      <c r="E6697" t="s">
        <v>477</v>
      </c>
      <c r="F6697" s="4">
        <v>0</v>
      </c>
      <c r="G6697" s="4">
        <v>112</v>
      </c>
      <c r="H6697" s="4">
        <v>112</v>
      </c>
      <c r="I6697" s="4">
        <v>0</v>
      </c>
      <c r="J6697" s="4">
        <v>112</v>
      </c>
    </row>
    <row r="6698" spans="1:10" x14ac:dyDescent="0.75">
      <c r="A6698" t="s">
        <v>151</v>
      </c>
      <c r="B6698">
        <v>4102</v>
      </c>
      <c r="C6698" t="s">
        <v>237</v>
      </c>
      <c r="D6698">
        <v>3285</v>
      </c>
      <c r="E6698" t="s">
        <v>443</v>
      </c>
      <c r="F6698" s="4">
        <v>0</v>
      </c>
      <c r="G6698" s="4">
        <v>101</v>
      </c>
      <c r="H6698" s="4">
        <v>0</v>
      </c>
      <c r="I6698" s="4">
        <v>101</v>
      </c>
      <c r="J6698" s="4">
        <v>101</v>
      </c>
    </row>
    <row r="6699" spans="1:10" x14ac:dyDescent="0.75">
      <c r="A6699" t="s">
        <v>151</v>
      </c>
      <c r="B6699">
        <v>4102</v>
      </c>
      <c r="C6699" t="s">
        <v>237</v>
      </c>
      <c r="D6699">
        <v>6442</v>
      </c>
      <c r="E6699" t="s">
        <v>472</v>
      </c>
      <c r="F6699" s="4">
        <v>0</v>
      </c>
      <c r="G6699" s="4">
        <v>100</v>
      </c>
      <c r="H6699" s="4">
        <v>4</v>
      </c>
      <c r="I6699" s="4">
        <v>96</v>
      </c>
      <c r="J6699" s="4">
        <v>100</v>
      </c>
    </row>
    <row r="6700" spans="1:10" x14ac:dyDescent="0.75">
      <c r="A6700" t="s">
        <v>151</v>
      </c>
      <c r="B6700">
        <v>4102</v>
      </c>
      <c r="C6700" t="s">
        <v>237</v>
      </c>
      <c r="D6700">
        <v>3220</v>
      </c>
      <c r="E6700" t="s">
        <v>370</v>
      </c>
      <c r="F6700" s="4">
        <v>0</v>
      </c>
      <c r="G6700" s="4">
        <v>95</v>
      </c>
      <c r="H6700" s="4">
        <v>38</v>
      </c>
      <c r="I6700" s="4">
        <v>57</v>
      </c>
      <c r="J6700" s="4">
        <v>95</v>
      </c>
    </row>
    <row r="6701" spans="1:10" x14ac:dyDescent="0.75">
      <c r="A6701" t="s">
        <v>151</v>
      </c>
      <c r="B6701">
        <v>4102</v>
      </c>
      <c r="C6701" t="s">
        <v>237</v>
      </c>
      <c r="D6701">
        <v>3260</v>
      </c>
      <c r="E6701" t="s">
        <v>436</v>
      </c>
      <c r="F6701" s="4">
        <v>0</v>
      </c>
      <c r="G6701" s="4">
        <v>92</v>
      </c>
      <c r="H6701" s="4">
        <v>0</v>
      </c>
      <c r="I6701" s="4">
        <v>92</v>
      </c>
      <c r="J6701" s="4">
        <v>92</v>
      </c>
    </row>
    <row r="6702" spans="1:10" x14ac:dyDescent="0.75">
      <c r="A6702" t="s">
        <v>151</v>
      </c>
      <c r="B6702">
        <v>4102</v>
      </c>
      <c r="C6702" t="s">
        <v>237</v>
      </c>
      <c r="D6702">
        <v>6893</v>
      </c>
      <c r="E6702" t="s">
        <v>496</v>
      </c>
      <c r="F6702" s="4">
        <v>0</v>
      </c>
      <c r="G6702" s="4">
        <v>86</v>
      </c>
      <c r="H6702" s="4">
        <v>0</v>
      </c>
      <c r="I6702" s="4">
        <v>86</v>
      </c>
      <c r="J6702" s="4">
        <v>86</v>
      </c>
    </row>
    <row r="6703" spans="1:10" x14ac:dyDescent="0.75">
      <c r="A6703" t="s">
        <v>151</v>
      </c>
      <c r="B6703">
        <v>4102</v>
      </c>
      <c r="C6703" t="s">
        <v>237</v>
      </c>
      <c r="D6703">
        <v>3282</v>
      </c>
      <c r="E6703" t="s">
        <v>440</v>
      </c>
      <c r="F6703" s="4">
        <v>0</v>
      </c>
      <c r="G6703" s="4">
        <v>82</v>
      </c>
      <c r="H6703" s="4">
        <v>2</v>
      </c>
      <c r="I6703" s="4">
        <v>80</v>
      </c>
      <c r="J6703" s="4">
        <v>82</v>
      </c>
    </row>
    <row r="6704" spans="1:10" x14ac:dyDescent="0.75">
      <c r="A6704" t="s">
        <v>151</v>
      </c>
      <c r="B6704">
        <v>4102</v>
      </c>
      <c r="C6704" t="s">
        <v>237</v>
      </c>
      <c r="D6704">
        <v>5240</v>
      </c>
      <c r="E6704" t="s">
        <v>464</v>
      </c>
      <c r="F6704" s="4">
        <v>0</v>
      </c>
      <c r="G6704" s="4">
        <v>65</v>
      </c>
      <c r="H6704" s="4">
        <v>4</v>
      </c>
      <c r="I6704" s="4">
        <v>61</v>
      </c>
      <c r="J6704" s="4">
        <v>65</v>
      </c>
    </row>
    <row r="6705" spans="1:10" x14ac:dyDescent="0.75">
      <c r="A6705" t="s">
        <v>151</v>
      </c>
      <c r="B6705">
        <v>4102</v>
      </c>
      <c r="C6705" t="s">
        <v>237</v>
      </c>
      <c r="D6705">
        <v>6653</v>
      </c>
      <c r="E6705" t="s">
        <v>395</v>
      </c>
      <c r="F6705" s="4">
        <v>0</v>
      </c>
      <c r="G6705" s="4">
        <v>65</v>
      </c>
      <c r="H6705" s="4">
        <v>0</v>
      </c>
      <c r="I6705" s="4">
        <v>65</v>
      </c>
      <c r="J6705" s="4">
        <v>65</v>
      </c>
    </row>
    <row r="6706" spans="1:10" x14ac:dyDescent="0.75">
      <c r="A6706" t="s">
        <v>151</v>
      </c>
      <c r="B6706">
        <v>4102</v>
      </c>
      <c r="C6706" t="s">
        <v>237</v>
      </c>
      <c r="D6706">
        <v>2330</v>
      </c>
      <c r="E6706" t="s">
        <v>368</v>
      </c>
      <c r="F6706" s="4">
        <v>0</v>
      </c>
      <c r="G6706" s="4">
        <v>55</v>
      </c>
      <c r="H6706" s="4">
        <v>0</v>
      </c>
      <c r="I6706" s="4">
        <v>55</v>
      </c>
      <c r="J6706" s="4">
        <v>55</v>
      </c>
    </row>
    <row r="6707" spans="1:10" x14ac:dyDescent="0.75">
      <c r="A6707" t="s">
        <v>151</v>
      </c>
      <c r="B6707">
        <v>4102</v>
      </c>
      <c r="C6707" t="s">
        <v>237</v>
      </c>
      <c r="D6707">
        <v>3299</v>
      </c>
      <c r="E6707" t="s">
        <v>448</v>
      </c>
      <c r="F6707" s="4">
        <v>0</v>
      </c>
      <c r="G6707" s="4">
        <v>55</v>
      </c>
      <c r="H6707" s="4">
        <v>6</v>
      </c>
      <c r="I6707" s="4">
        <v>49</v>
      </c>
      <c r="J6707" s="4">
        <v>55</v>
      </c>
    </row>
    <row r="6708" spans="1:10" x14ac:dyDescent="0.75">
      <c r="A6708" t="s">
        <v>151</v>
      </c>
      <c r="B6708">
        <v>4102</v>
      </c>
      <c r="C6708" t="s">
        <v>237</v>
      </c>
      <c r="D6708">
        <v>4783</v>
      </c>
      <c r="E6708" t="s">
        <v>382</v>
      </c>
      <c r="F6708" s="4">
        <v>0</v>
      </c>
      <c r="G6708" s="4">
        <v>44</v>
      </c>
      <c r="H6708" s="4">
        <v>0</v>
      </c>
      <c r="I6708" s="4">
        <v>44</v>
      </c>
      <c r="J6708" s="4">
        <v>44</v>
      </c>
    </row>
    <row r="6709" spans="1:10" x14ac:dyDescent="0.75">
      <c r="A6709" t="s">
        <v>151</v>
      </c>
      <c r="B6709">
        <v>4102</v>
      </c>
      <c r="C6709" t="s">
        <v>237</v>
      </c>
      <c r="D6709">
        <v>4225</v>
      </c>
      <c r="E6709" t="s">
        <v>380</v>
      </c>
      <c r="F6709" s="4">
        <v>0</v>
      </c>
      <c r="G6709" s="4">
        <v>42</v>
      </c>
      <c r="H6709" s="4">
        <v>0</v>
      </c>
      <c r="I6709" s="4">
        <v>42</v>
      </c>
      <c r="J6709" s="4">
        <v>42</v>
      </c>
    </row>
    <row r="6710" spans="1:10" x14ac:dyDescent="0.75">
      <c r="A6710" t="s">
        <v>151</v>
      </c>
      <c r="B6710">
        <v>4102</v>
      </c>
      <c r="C6710" t="s">
        <v>237</v>
      </c>
      <c r="D6710">
        <v>4680</v>
      </c>
      <c r="E6710" t="s">
        <v>459</v>
      </c>
      <c r="F6710" s="4">
        <v>0</v>
      </c>
      <c r="G6710" s="4">
        <v>42</v>
      </c>
      <c r="H6710" s="4">
        <v>22</v>
      </c>
      <c r="I6710" s="4">
        <v>20</v>
      </c>
      <c r="J6710" s="4">
        <v>42</v>
      </c>
    </row>
    <row r="6711" spans="1:10" x14ac:dyDescent="0.75">
      <c r="A6711" t="s">
        <v>151</v>
      </c>
      <c r="B6711">
        <v>4102</v>
      </c>
      <c r="C6711" t="s">
        <v>237</v>
      </c>
      <c r="D6711">
        <v>7220</v>
      </c>
      <c r="E6711" t="s">
        <v>500</v>
      </c>
      <c r="F6711" s="4">
        <v>0</v>
      </c>
      <c r="G6711" s="4">
        <v>41</v>
      </c>
      <c r="H6711" s="4">
        <v>39</v>
      </c>
      <c r="I6711" s="4">
        <v>2</v>
      </c>
      <c r="J6711" s="4">
        <v>41</v>
      </c>
    </row>
    <row r="6712" spans="1:10" x14ac:dyDescent="0.75">
      <c r="A6712" t="s">
        <v>151</v>
      </c>
      <c r="B6712">
        <v>4102</v>
      </c>
      <c r="C6712" t="s">
        <v>237</v>
      </c>
      <c r="D6712">
        <v>5312</v>
      </c>
      <c r="E6712" t="s">
        <v>416</v>
      </c>
      <c r="F6712" s="4">
        <v>0</v>
      </c>
      <c r="G6712" s="4">
        <v>26</v>
      </c>
      <c r="H6712" s="4">
        <v>26</v>
      </c>
      <c r="I6712" s="4">
        <v>0</v>
      </c>
      <c r="J6712" s="4">
        <v>26</v>
      </c>
    </row>
    <row r="6713" spans="1:10" x14ac:dyDescent="0.75">
      <c r="A6713" t="s">
        <v>151</v>
      </c>
      <c r="B6713">
        <v>4102</v>
      </c>
      <c r="C6713" t="s">
        <v>237</v>
      </c>
      <c r="D6713">
        <v>6872</v>
      </c>
      <c r="E6713" t="s">
        <v>492</v>
      </c>
      <c r="F6713" s="4">
        <v>0</v>
      </c>
      <c r="G6713" s="4">
        <v>25</v>
      </c>
      <c r="H6713" s="4">
        <v>25</v>
      </c>
      <c r="I6713" s="4">
        <v>0</v>
      </c>
      <c r="J6713" s="4">
        <v>25</v>
      </c>
    </row>
    <row r="6714" spans="1:10" x14ac:dyDescent="0.75">
      <c r="A6714" t="s">
        <v>151</v>
      </c>
      <c r="B6714">
        <v>4102</v>
      </c>
      <c r="C6714" t="s">
        <v>237</v>
      </c>
      <c r="D6714">
        <v>3297</v>
      </c>
      <c r="E6714" t="s">
        <v>446</v>
      </c>
      <c r="F6714" s="4">
        <v>0</v>
      </c>
      <c r="G6714" s="4">
        <v>23</v>
      </c>
      <c r="H6714" s="4">
        <v>0</v>
      </c>
      <c r="I6714" s="4">
        <v>23</v>
      </c>
      <c r="J6714" s="4">
        <v>23</v>
      </c>
    </row>
    <row r="6715" spans="1:10" x14ac:dyDescent="0.75">
      <c r="A6715" t="s">
        <v>151</v>
      </c>
      <c r="B6715">
        <v>4102</v>
      </c>
      <c r="C6715" t="s">
        <v>237</v>
      </c>
      <c r="D6715">
        <v>3240</v>
      </c>
      <c r="E6715" t="s">
        <v>410</v>
      </c>
      <c r="F6715" s="4">
        <v>0</v>
      </c>
      <c r="G6715" s="4">
        <v>20</v>
      </c>
      <c r="H6715" s="4">
        <v>0</v>
      </c>
      <c r="I6715" s="4">
        <v>20</v>
      </c>
      <c r="J6715" s="4">
        <v>20</v>
      </c>
    </row>
    <row r="6716" spans="1:10" x14ac:dyDescent="0.75">
      <c r="A6716" t="s">
        <v>151</v>
      </c>
      <c r="B6716">
        <v>4102</v>
      </c>
      <c r="C6716" t="s">
        <v>237</v>
      </c>
      <c r="D6716">
        <v>6443</v>
      </c>
      <c r="E6716" t="s">
        <v>473</v>
      </c>
      <c r="F6716" s="4">
        <v>0</v>
      </c>
      <c r="G6716" s="4">
        <v>20</v>
      </c>
      <c r="H6716" s="4">
        <v>0</v>
      </c>
      <c r="I6716" s="4">
        <v>20</v>
      </c>
      <c r="J6716" s="4">
        <v>20</v>
      </c>
    </row>
    <row r="6717" spans="1:10" x14ac:dyDescent="0.75">
      <c r="A6717" t="s">
        <v>151</v>
      </c>
      <c r="B6717">
        <v>4102</v>
      </c>
      <c r="C6717" t="s">
        <v>237</v>
      </c>
      <c r="D6717">
        <v>5422</v>
      </c>
      <c r="E6717" t="s">
        <v>468</v>
      </c>
      <c r="F6717" s="4">
        <v>0</v>
      </c>
      <c r="G6717" s="4">
        <v>16</v>
      </c>
      <c r="H6717" s="4">
        <v>0</v>
      </c>
      <c r="I6717" s="4">
        <v>16</v>
      </c>
      <c r="J6717" s="4">
        <v>16</v>
      </c>
    </row>
    <row r="6718" spans="1:10" x14ac:dyDescent="0.75">
      <c r="A6718" t="s">
        <v>151</v>
      </c>
      <c r="B6718">
        <v>4102</v>
      </c>
      <c r="C6718" t="s">
        <v>237</v>
      </c>
      <c r="D6718">
        <v>6894</v>
      </c>
      <c r="E6718" t="s">
        <v>497</v>
      </c>
      <c r="F6718" s="4">
        <v>0</v>
      </c>
      <c r="G6718" s="4">
        <v>13</v>
      </c>
      <c r="H6718" s="4">
        <v>13</v>
      </c>
      <c r="I6718" s="4">
        <v>0</v>
      </c>
      <c r="J6718" s="4">
        <v>13</v>
      </c>
    </row>
    <row r="6719" spans="1:10" x14ac:dyDescent="0.75">
      <c r="A6719" t="s">
        <v>151</v>
      </c>
      <c r="B6719">
        <v>4102</v>
      </c>
      <c r="C6719" t="s">
        <v>237</v>
      </c>
      <c r="D6719">
        <v>3230</v>
      </c>
      <c r="E6719" t="s">
        <v>434</v>
      </c>
      <c r="F6719" s="4">
        <v>0</v>
      </c>
      <c r="G6719" s="4">
        <v>11</v>
      </c>
      <c r="H6719" s="4">
        <v>5</v>
      </c>
      <c r="I6719" s="4">
        <v>6</v>
      </c>
      <c r="J6719" s="4">
        <v>11</v>
      </c>
    </row>
    <row r="6720" spans="1:10" x14ac:dyDescent="0.75">
      <c r="A6720" t="s">
        <v>151</v>
      </c>
      <c r="B6720">
        <v>4102</v>
      </c>
      <c r="C6720" t="s">
        <v>237</v>
      </c>
      <c r="D6720">
        <v>3284</v>
      </c>
      <c r="E6720" t="s">
        <v>442</v>
      </c>
      <c r="F6720" s="4">
        <v>0</v>
      </c>
      <c r="G6720" s="4">
        <v>11</v>
      </c>
      <c r="H6720" s="4">
        <v>7</v>
      </c>
      <c r="I6720" s="4">
        <v>4</v>
      </c>
      <c r="J6720" s="4">
        <v>11</v>
      </c>
    </row>
    <row r="6721" spans="1:10" x14ac:dyDescent="0.75">
      <c r="A6721" t="s">
        <v>151</v>
      </c>
      <c r="B6721">
        <v>4102</v>
      </c>
      <c r="C6721" t="s">
        <v>237</v>
      </c>
      <c r="D6721">
        <v>6871</v>
      </c>
      <c r="E6721" t="s">
        <v>491</v>
      </c>
      <c r="F6721" s="4">
        <v>0</v>
      </c>
      <c r="G6721" s="4">
        <v>11</v>
      </c>
      <c r="H6721" s="4">
        <v>11</v>
      </c>
      <c r="I6721" s="4">
        <v>0</v>
      </c>
      <c r="J6721" s="4">
        <v>11</v>
      </c>
    </row>
    <row r="6722" spans="1:10" x14ac:dyDescent="0.75">
      <c r="A6722" t="s">
        <v>151</v>
      </c>
      <c r="B6722">
        <v>4102</v>
      </c>
      <c r="C6722" t="s">
        <v>237</v>
      </c>
      <c r="D6722">
        <v>4900</v>
      </c>
      <c r="E6722" t="s">
        <v>383</v>
      </c>
      <c r="F6722" s="4">
        <v>0</v>
      </c>
      <c r="G6722" s="4">
        <v>8</v>
      </c>
      <c r="H6722" s="4">
        <v>0</v>
      </c>
      <c r="I6722" s="4">
        <v>8</v>
      </c>
      <c r="J6722" s="4">
        <v>8</v>
      </c>
    </row>
    <row r="6723" spans="1:10" x14ac:dyDescent="0.75">
      <c r="A6723" t="s">
        <v>151</v>
      </c>
      <c r="B6723">
        <v>4102</v>
      </c>
      <c r="C6723" t="s">
        <v>237</v>
      </c>
      <c r="D6723">
        <v>2410</v>
      </c>
      <c r="E6723" t="s">
        <v>430</v>
      </c>
      <c r="F6723" s="4">
        <v>0</v>
      </c>
      <c r="G6723" s="4">
        <v>7</v>
      </c>
      <c r="H6723" s="4">
        <v>0</v>
      </c>
      <c r="I6723" s="4">
        <v>7</v>
      </c>
      <c r="J6723" s="4">
        <v>7</v>
      </c>
    </row>
    <row r="6724" spans="1:10" x14ac:dyDescent="0.75">
      <c r="A6724" t="s">
        <v>151</v>
      </c>
      <c r="B6724">
        <v>4102</v>
      </c>
      <c r="C6724" t="s">
        <v>237</v>
      </c>
      <c r="D6724">
        <v>6817</v>
      </c>
      <c r="E6724" t="s">
        <v>481</v>
      </c>
      <c r="F6724" s="4">
        <v>0</v>
      </c>
      <c r="G6724" s="4">
        <v>6</v>
      </c>
      <c r="H6724" s="4">
        <v>0</v>
      </c>
      <c r="I6724" s="4">
        <v>6</v>
      </c>
      <c r="J6724" s="4">
        <v>6</v>
      </c>
    </row>
    <row r="6725" spans="1:10" x14ac:dyDescent="0.75">
      <c r="A6725" t="s">
        <v>151</v>
      </c>
      <c r="B6725">
        <v>4102</v>
      </c>
      <c r="C6725" t="s">
        <v>237</v>
      </c>
      <c r="D6725">
        <v>4190</v>
      </c>
      <c r="E6725" t="s">
        <v>452</v>
      </c>
      <c r="F6725" s="4">
        <v>0</v>
      </c>
      <c r="G6725" s="4">
        <v>5</v>
      </c>
      <c r="H6725" s="4">
        <v>0</v>
      </c>
      <c r="I6725" s="4">
        <v>5</v>
      </c>
      <c r="J6725" s="4">
        <v>5</v>
      </c>
    </row>
    <row r="6726" spans="1:10" x14ac:dyDescent="0.75">
      <c r="A6726" t="s">
        <v>151</v>
      </c>
      <c r="B6726">
        <v>4102</v>
      </c>
      <c r="C6726" t="s">
        <v>237</v>
      </c>
      <c r="D6726">
        <v>3291</v>
      </c>
      <c r="E6726" t="s">
        <v>444</v>
      </c>
      <c r="F6726" s="4">
        <v>0</v>
      </c>
      <c r="G6726" s="4">
        <v>4</v>
      </c>
      <c r="H6726" s="4">
        <v>4</v>
      </c>
      <c r="I6726" s="4">
        <v>0</v>
      </c>
      <c r="J6726" s="4">
        <v>4</v>
      </c>
    </row>
    <row r="6727" spans="1:10" x14ac:dyDescent="0.75">
      <c r="A6727" t="s">
        <v>151</v>
      </c>
      <c r="B6727">
        <v>4335</v>
      </c>
      <c r="C6727" t="s">
        <v>222</v>
      </c>
      <c r="D6727">
        <v>4331</v>
      </c>
      <c r="E6727" t="s">
        <v>390</v>
      </c>
      <c r="F6727" s="4">
        <v>526043</v>
      </c>
      <c r="G6727" s="4">
        <v>856847</v>
      </c>
      <c r="H6727" s="4">
        <v>856847</v>
      </c>
      <c r="I6727" s="4">
        <v>0</v>
      </c>
      <c r="J6727" s="4">
        <v>1382890</v>
      </c>
    </row>
    <row r="6728" spans="1:10" x14ac:dyDescent="0.75">
      <c r="A6728" t="s">
        <v>151</v>
      </c>
      <c r="B6728">
        <v>4335</v>
      </c>
      <c r="C6728" t="s">
        <v>222</v>
      </c>
      <c r="D6728">
        <v>5220</v>
      </c>
      <c r="E6728" t="s">
        <v>401</v>
      </c>
      <c r="F6728" s="4">
        <v>0</v>
      </c>
      <c r="G6728" s="4">
        <v>244325</v>
      </c>
      <c r="H6728" s="4">
        <v>244325</v>
      </c>
      <c r="I6728" s="4">
        <v>0</v>
      </c>
      <c r="J6728" s="4">
        <v>244325</v>
      </c>
    </row>
    <row r="6729" spans="1:10" x14ac:dyDescent="0.75">
      <c r="A6729" t="s">
        <v>151</v>
      </c>
      <c r="B6729">
        <v>4335</v>
      </c>
      <c r="C6729" t="s">
        <v>222</v>
      </c>
      <c r="D6729">
        <v>2211</v>
      </c>
      <c r="E6729" t="s">
        <v>367</v>
      </c>
      <c r="F6729" s="4">
        <v>7130</v>
      </c>
      <c r="G6729" s="4">
        <v>196955</v>
      </c>
      <c r="H6729" s="4">
        <v>169152</v>
      </c>
      <c r="I6729" s="4">
        <v>27803</v>
      </c>
      <c r="J6729" s="4">
        <v>204085</v>
      </c>
    </row>
    <row r="6730" spans="1:10" x14ac:dyDescent="0.75">
      <c r="A6730" t="s">
        <v>151</v>
      </c>
      <c r="B6730">
        <v>4335</v>
      </c>
      <c r="C6730" t="s">
        <v>222</v>
      </c>
      <c r="D6730">
        <v>2340</v>
      </c>
      <c r="E6730" t="s">
        <v>369</v>
      </c>
      <c r="F6730" s="4">
        <v>80154</v>
      </c>
      <c r="G6730" s="4">
        <v>79740</v>
      </c>
      <c r="H6730" s="4">
        <v>79740</v>
      </c>
      <c r="I6730" s="4">
        <v>0</v>
      </c>
      <c r="J6730" s="4">
        <v>159894</v>
      </c>
    </row>
    <row r="6731" spans="1:10" x14ac:dyDescent="0.75">
      <c r="A6731" t="s">
        <v>151</v>
      </c>
      <c r="B6731">
        <v>4335</v>
      </c>
      <c r="C6731" t="s">
        <v>222</v>
      </c>
      <c r="D6731">
        <v>2100</v>
      </c>
      <c r="E6731" t="s">
        <v>403</v>
      </c>
      <c r="F6731" s="4">
        <v>0</v>
      </c>
      <c r="G6731" s="4">
        <v>105979</v>
      </c>
      <c r="H6731" s="4">
        <v>105979</v>
      </c>
      <c r="I6731" s="4">
        <v>0</v>
      </c>
      <c r="J6731" s="4">
        <v>105979</v>
      </c>
    </row>
    <row r="6732" spans="1:10" x14ac:dyDescent="0.75">
      <c r="A6732" t="s">
        <v>151</v>
      </c>
      <c r="B6732">
        <v>4335</v>
      </c>
      <c r="C6732" t="s">
        <v>222</v>
      </c>
      <c r="D6732">
        <v>2330</v>
      </c>
      <c r="E6732" t="s">
        <v>368</v>
      </c>
      <c r="F6732" s="4">
        <v>21282</v>
      </c>
      <c r="G6732" s="4">
        <v>57083</v>
      </c>
      <c r="H6732" s="4">
        <v>57083</v>
      </c>
      <c r="I6732" s="4">
        <v>0</v>
      </c>
      <c r="J6732" s="4">
        <v>78365</v>
      </c>
    </row>
    <row r="6733" spans="1:10" x14ac:dyDescent="0.75">
      <c r="A6733" t="s">
        <v>151</v>
      </c>
      <c r="B6733">
        <v>4335</v>
      </c>
      <c r="C6733" t="s">
        <v>222</v>
      </c>
      <c r="D6733">
        <v>3220</v>
      </c>
      <c r="E6733" t="s">
        <v>370</v>
      </c>
      <c r="F6733" s="4">
        <v>0</v>
      </c>
      <c r="G6733" s="4">
        <v>57277</v>
      </c>
      <c r="H6733" s="4">
        <v>57277</v>
      </c>
      <c r="I6733" s="4">
        <v>0</v>
      </c>
      <c r="J6733" s="4">
        <v>57277</v>
      </c>
    </row>
    <row r="6734" spans="1:10" x14ac:dyDescent="0.75">
      <c r="A6734" t="s">
        <v>151</v>
      </c>
      <c r="B6734">
        <v>4335</v>
      </c>
      <c r="C6734" t="s">
        <v>222</v>
      </c>
      <c r="D6734">
        <v>1100</v>
      </c>
      <c r="E6734" t="s">
        <v>397</v>
      </c>
      <c r="F6734" s="4">
        <v>0</v>
      </c>
      <c r="G6734" s="4">
        <v>49604</v>
      </c>
      <c r="H6734" s="4">
        <v>0</v>
      </c>
      <c r="I6734" s="4">
        <v>49604</v>
      </c>
      <c r="J6734" s="4">
        <v>49604</v>
      </c>
    </row>
    <row r="6735" spans="1:10" x14ac:dyDescent="0.75">
      <c r="A6735" t="s">
        <v>151</v>
      </c>
      <c r="B6735">
        <v>4335</v>
      </c>
      <c r="C6735" t="s">
        <v>222</v>
      </c>
      <c r="D6735">
        <v>4420</v>
      </c>
      <c r="E6735" t="s">
        <v>381</v>
      </c>
      <c r="F6735" s="4">
        <v>0</v>
      </c>
      <c r="G6735" s="4">
        <v>35494</v>
      </c>
      <c r="H6735" s="4">
        <v>0</v>
      </c>
      <c r="I6735" s="4">
        <v>35494</v>
      </c>
      <c r="J6735" s="4">
        <v>35494</v>
      </c>
    </row>
    <row r="6736" spans="1:10" x14ac:dyDescent="0.75">
      <c r="A6736" t="s">
        <v>151</v>
      </c>
      <c r="B6736">
        <v>4335</v>
      </c>
      <c r="C6736" t="s">
        <v>222</v>
      </c>
      <c r="D6736">
        <v>2221</v>
      </c>
      <c r="E6736" t="s">
        <v>374</v>
      </c>
      <c r="F6736" s="4">
        <v>16869</v>
      </c>
      <c r="G6736" s="4">
        <v>13987</v>
      </c>
      <c r="H6736" s="4">
        <v>13987</v>
      </c>
      <c r="I6736" s="4">
        <v>0</v>
      </c>
      <c r="J6736" s="4">
        <v>30856</v>
      </c>
    </row>
    <row r="6737" spans="1:10" x14ac:dyDescent="0.75">
      <c r="A6737" t="s">
        <v>151</v>
      </c>
      <c r="B6737">
        <v>4335</v>
      </c>
      <c r="C6737" t="s">
        <v>222</v>
      </c>
      <c r="D6737">
        <v>6442</v>
      </c>
      <c r="E6737" t="s">
        <v>472</v>
      </c>
      <c r="F6737" s="4">
        <v>0</v>
      </c>
      <c r="G6737" s="4">
        <v>13270</v>
      </c>
      <c r="H6737" s="4">
        <v>0</v>
      </c>
      <c r="I6737" s="4">
        <v>13270</v>
      </c>
      <c r="J6737" s="4">
        <v>13270</v>
      </c>
    </row>
    <row r="6738" spans="1:10" x14ac:dyDescent="0.75">
      <c r="A6738" t="s">
        <v>151</v>
      </c>
      <c r="B6738">
        <v>4335</v>
      </c>
      <c r="C6738" t="s">
        <v>222</v>
      </c>
      <c r="D6738">
        <v>6653</v>
      </c>
      <c r="E6738" t="s">
        <v>395</v>
      </c>
      <c r="F6738" s="4">
        <v>0</v>
      </c>
      <c r="G6738" s="4">
        <v>4970</v>
      </c>
      <c r="H6738" s="4">
        <v>4960</v>
      </c>
      <c r="I6738" s="4">
        <v>10</v>
      </c>
      <c r="J6738" s="4">
        <v>4970</v>
      </c>
    </row>
    <row r="6739" spans="1:10" x14ac:dyDescent="0.75">
      <c r="A6739" t="s">
        <v>151</v>
      </c>
      <c r="B6739">
        <v>4335</v>
      </c>
      <c r="C6739" t="s">
        <v>222</v>
      </c>
      <c r="D6739">
        <v>4225</v>
      </c>
      <c r="E6739" t="s">
        <v>380</v>
      </c>
      <c r="F6739" s="4">
        <v>0</v>
      </c>
      <c r="G6739" s="4">
        <v>2554</v>
      </c>
      <c r="H6739" s="4">
        <v>0</v>
      </c>
      <c r="I6739" s="4">
        <v>2554</v>
      </c>
      <c r="J6739" s="4">
        <v>2554</v>
      </c>
    </row>
    <row r="6740" spans="1:10" x14ac:dyDescent="0.75">
      <c r="A6740" t="s">
        <v>151</v>
      </c>
      <c r="B6740">
        <v>4335</v>
      </c>
      <c r="C6740" t="s">
        <v>222</v>
      </c>
      <c r="D6740">
        <v>6344</v>
      </c>
      <c r="E6740" t="s">
        <v>392</v>
      </c>
      <c r="F6740" s="4">
        <v>0</v>
      </c>
      <c r="G6740" s="4">
        <v>889</v>
      </c>
      <c r="H6740" s="4">
        <v>0</v>
      </c>
      <c r="I6740" s="4">
        <v>889</v>
      </c>
      <c r="J6740" s="4">
        <v>889</v>
      </c>
    </row>
    <row r="6741" spans="1:10" x14ac:dyDescent="0.75">
      <c r="A6741" t="s">
        <v>151</v>
      </c>
      <c r="B6741">
        <v>4335</v>
      </c>
      <c r="C6741" t="s">
        <v>222</v>
      </c>
      <c r="D6741">
        <v>6811</v>
      </c>
      <c r="E6741" t="s">
        <v>480</v>
      </c>
      <c r="F6741" s="4">
        <v>0</v>
      </c>
      <c r="G6741" s="4">
        <v>868</v>
      </c>
      <c r="H6741" s="4">
        <v>0</v>
      </c>
      <c r="I6741" s="4">
        <v>868</v>
      </c>
      <c r="J6741" s="4">
        <v>868</v>
      </c>
    </row>
    <row r="6742" spans="1:10" x14ac:dyDescent="0.75">
      <c r="A6742" t="s">
        <v>151</v>
      </c>
      <c r="B6742">
        <v>4335</v>
      </c>
      <c r="C6742" t="s">
        <v>222</v>
      </c>
      <c r="D6742">
        <v>6822</v>
      </c>
      <c r="E6742" t="s">
        <v>482</v>
      </c>
      <c r="F6742" s="4">
        <v>0</v>
      </c>
      <c r="G6742" s="4">
        <v>499</v>
      </c>
      <c r="H6742" s="4">
        <v>0</v>
      </c>
      <c r="I6742" s="4">
        <v>499</v>
      </c>
      <c r="J6742" s="4">
        <v>499</v>
      </c>
    </row>
    <row r="6743" spans="1:10" x14ac:dyDescent="0.75">
      <c r="A6743" t="s">
        <v>151</v>
      </c>
      <c r="B6743">
        <v>4335</v>
      </c>
      <c r="C6743" t="s">
        <v>222</v>
      </c>
      <c r="D6743">
        <v>6781</v>
      </c>
      <c r="E6743" t="s">
        <v>479</v>
      </c>
      <c r="F6743" s="4">
        <v>0</v>
      </c>
      <c r="G6743" s="4">
        <v>372</v>
      </c>
      <c r="H6743" s="4">
        <v>0</v>
      </c>
      <c r="I6743" s="4">
        <v>372</v>
      </c>
      <c r="J6743" s="4">
        <v>372</v>
      </c>
    </row>
    <row r="6744" spans="1:10" x14ac:dyDescent="0.75">
      <c r="A6744" t="s">
        <v>151</v>
      </c>
      <c r="B6744">
        <v>4335</v>
      </c>
      <c r="C6744" t="s">
        <v>222</v>
      </c>
      <c r="D6744">
        <v>4680</v>
      </c>
      <c r="E6744" t="s">
        <v>459</v>
      </c>
      <c r="F6744" s="4">
        <v>0</v>
      </c>
      <c r="G6744" s="4">
        <v>363</v>
      </c>
      <c r="H6744" s="4">
        <v>0</v>
      </c>
      <c r="I6744" s="4">
        <v>363</v>
      </c>
      <c r="J6744" s="4">
        <v>363</v>
      </c>
    </row>
    <row r="6745" spans="1:10" x14ac:dyDescent="0.75">
      <c r="A6745" t="s">
        <v>151</v>
      </c>
      <c r="B6745">
        <v>4335</v>
      </c>
      <c r="C6745" t="s">
        <v>222</v>
      </c>
      <c r="D6745">
        <v>6839</v>
      </c>
      <c r="E6745" t="s">
        <v>485</v>
      </c>
      <c r="F6745" s="4">
        <v>0</v>
      </c>
      <c r="G6745" s="4">
        <v>353</v>
      </c>
      <c r="H6745" s="4">
        <v>0</v>
      </c>
      <c r="I6745" s="4">
        <v>353</v>
      </c>
      <c r="J6745" s="4">
        <v>353</v>
      </c>
    </row>
    <row r="6746" spans="1:10" x14ac:dyDescent="0.75">
      <c r="A6746" t="s">
        <v>151</v>
      </c>
      <c r="B6746">
        <v>4335</v>
      </c>
      <c r="C6746" t="s">
        <v>222</v>
      </c>
      <c r="D6746">
        <v>5240</v>
      </c>
      <c r="E6746" t="s">
        <v>464</v>
      </c>
      <c r="F6746" s="4">
        <v>0</v>
      </c>
      <c r="G6746" s="4">
        <v>217</v>
      </c>
      <c r="H6746" s="4">
        <v>217</v>
      </c>
      <c r="I6746" s="4">
        <v>0</v>
      </c>
      <c r="J6746" s="4">
        <v>217</v>
      </c>
    </row>
    <row r="6747" spans="1:10" x14ac:dyDescent="0.75">
      <c r="A6747" t="s">
        <v>151</v>
      </c>
      <c r="B6747">
        <v>4335</v>
      </c>
      <c r="C6747" t="s">
        <v>222</v>
      </c>
      <c r="D6747">
        <v>6858</v>
      </c>
      <c r="E6747" t="s">
        <v>488</v>
      </c>
      <c r="F6747" s="4">
        <v>0</v>
      </c>
      <c r="G6747" s="4">
        <v>203</v>
      </c>
      <c r="H6747" s="4">
        <v>0</v>
      </c>
      <c r="I6747" s="4">
        <v>203</v>
      </c>
      <c r="J6747" s="4">
        <v>203</v>
      </c>
    </row>
    <row r="6748" spans="1:10" x14ac:dyDescent="0.75">
      <c r="A6748" t="s">
        <v>151</v>
      </c>
      <c r="B6748">
        <v>4335</v>
      </c>
      <c r="C6748" t="s">
        <v>222</v>
      </c>
      <c r="D6748">
        <v>6838</v>
      </c>
      <c r="E6748" t="s">
        <v>484</v>
      </c>
      <c r="F6748" s="4">
        <v>0</v>
      </c>
      <c r="G6748" s="4">
        <v>188</v>
      </c>
      <c r="H6748" s="4">
        <v>0</v>
      </c>
      <c r="I6748" s="4">
        <v>188</v>
      </c>
      <c r="J6748" s="4">
        <v>188</v>
      </c>
    </row>
    <row r="6749" spans="1:10" x14ac:dyDescent="0.75">
      <c r="A6749" t="s">
        <v>151</v>
      </c>
      <c r="B6749">
        <v>4335</v>
      </c>
      <c r="C6749" t="s">
        <v>222</v>
      </c>
      <c r="D6749">
        <v>6889</v>
      </c>
      <c r="E6749" t="s">
        <v>420</v>
      </c>
      <c r="F6749" s="4">
        <v>0</v>
      </c>
      <c r="G6749" s="4">
        <v>181</v>
      </c>
      <c r="H6749" s="4">
        <v>181</v>
      </c>
      <c r="I6749" s="4">
        <v>0</v>
      </c>
      <c r="J6749" s="4">
        <v>181</v>
      </c>
    </row>
    <row r="6750" spans="1:10" x14ac:dyDescent="0.75">
      <c r="A6750" t="s">
        <v>151</v>
      </c>
      <c r="B6750">
        <v>4335</v>
      </c>
      <c r="C6750" t="s">
        <v>222</v>
      </c>
      <c r="D6750">
        <v>7900</v>
      </c>
      <c r="E6750" t="s">
        <v>388</v>
      </c>
      <c r="F6750" s="4">
        <v>0</v>
      </c>
      <c r="G6750" s="4">
        <v>140</v>
      </c>
      <c r="H6750" s="4">
        <v>22</v>
      </c>
      <c r="I6750" s="4">
        <v>118</v>
      </c>
      <c r="J6750" s="4">
        <v>140</v>
      </c>
    </row>
    <row r="6751" spans="1:10" x14ac:dyDescent="0.75">
      <c r="A6751" t="s">
        <v>151</v>
      </c>
      <c r="B6751">
        <v>4335</v>
      </c>
      <c r="C6751" t="s">
        <v>222</v>
      </c>
      <c r="D6751">
        <v>3282</v>
      </c>
      <c r="E6751" t="s">
        <v>440</v>
      </c>
      <c r="F6751" s="4">
        <v>0</v>
      </c>
      <c r="G6751" s="4">
        <v>131</v>
      </c>
      <c r="H6751" s="4">
        <v>0</v>
      </c>
      <c r="I6751" s="4">
        <v>131</v>
      </c>
      <c r="J6751" s="4">
        <v>131</v>
      </c>
    </row>
    <row r="6752" spans="1:10" x14ac:dyDescent="0.75">
      <c r="A6752" t="s">
        <v>151</v>
      </c>
      <c r="B6752">
        <v>4335</v>
      </c>
      <c r="C6752" t="s">
        <v>222</v>
      </c>
      <c r="D6752">
        <v>6885</v>
      </c>
      <c r="E6752" t="s">
        <v>493</v>
      </c>
      <c r="F6752" s="4">
        <v>0</v>
      </c>
      <c r="G6752" s="4">
        <v>101</v>
      </c>
      <c r="H6752" s="4">
        <v>0</v>
      </c>
      <c r="I6752" s="4">
        <v>101</v>
      </c>
      <c r="J6752" s="4">
        <v>101</v>
      </c>
    </row>
    <row r="6753" spans="1:10" x14ac:dyDescent="0.75">
      <c r="A6753" t="s">
        <v>151</v>
      </c>
      <c r="B6753">
        <v>4335</v>
      </c>
      <c r="C6753" t="s">
        <v>222</v>
      </c>
      <c r="D6753">
        <v>6857</v>
      </c>
      <c r="E6753" t="s">
        <v>487</v>
      </c>
      <c r="F6753" s="4">
        <v>0</v>
      </c>
      <c r="G6753" s="4">
        <v>89</v>
      </c>
      <c r="H6753" s="4">
        <v>0</v>
      </c>
      <c r="I6753" s="4">
        <v>89</v>
      </c>
      <c r="J6753" s="4">
        <v>89</v>
      </c>
    </row>
    <row r="6754" spans="1:10" x14ac:dyDescent="0.75">
      <c r="A6754" t="s">
        <v>151</v>
      </c>
      <c r="B6754">
        <v>4335</v>
      </c>
      <c r="C6754" t="s">
        <v>222</v>
      </c>
      <c r="D6754">
        <v>6654</v>
      </c>
      <c r="E6754" t="s">
        <v>419</v>
      </c>
      <c r="F6754" s="4">
        <v>0</v>
      </c>
      <c r="G6754" s="4">
        <v>83</v>
      </c>
      <c r="H6754" s="4">
        <v>8</v>
      </c>
      <c r="I6754" s="4">
        <v>75</v>
      </c>
      <c r="J6754" s="4">
        <v>83</v>
      </c>
    </row>
    <row r="6755" spans="1:10" x14ac:dyDescent="0.75">
      <c r="A6755" t="s">
        <v>151</v>
      </c>
      <c r="B6755">
        <v>4335</v>
      </c>
      <c r="C6755" t="s">
        <v>222</v>
      </c>
      <c r="D6755">
        <v>5480</v>
      </c>
      <c r="E6755" t="s">
        <v>386</v>
      </c>
      <c r="F6755" s="4">
        <v>0</v>
      </c>
      <c r="G6755" s="4">
        <v>78</v>
      </c>
      <c r="H6755" s="4">
        <v>78</v>
      </c>
      <c r="I6755" s="4">
        <v>0</v>
      </c>
      <c r="J6755" s="4">
        <v>78</v>
      </c>
    </row>
    <row r="6756" spans="1:10" x14ac:dyDescent="0.75">
      <c r="A6756" t="s">
        <v>151</v>
      </c>
      <c r="B6756">
        <v>4335</v>
      </c>
      <c r="C6756" t="s">
        <v>222</v>
      </c>
      <c r="D6756">
        <v>7600</v>
      </c>
      <c r="E6756" t="s">
        <v>503</v>
      </c>
      <c r="F6756" s="4">
        <v>0</v>
      </c>
      <c r="G6756" s="4">
        <v>62</v>
      </c>
      <c r="H6756" s="4">
        <v>11</v>
      </c>
      <c r="I6756" s="4">
        <v>51</v>
      </c>
      <c r="J6756" s="4">
        <v>62</v>
      </c>
    </row>
    <row r="6757" spans="1:10" x14ac:dyDescent="0.75">
      <c r="A6757" t="s">
        <v>151</v>
      </c>
      <c r="B6757">
        <v>4335</v>
      </c>
      <c r="C6757" t="s">
        <v>222</v>
      </c>
      <c r="D6757">
        <v>9900</v>
      </c>
      <c r="E6757" t="s">
        <v>389</v>
      </c>
      <c r="F6757" s="4">
        <v>0</v>
      </c>
      <c r="G6757" s="4">
        <v>50</v>
      </c>
      <c r="H6757" s="4">
        <v>1</v>
      </c>
      <c r="I6757" s="4">
        <v>49</v>
      </c>
      <c r="J6757" s="4">
        <v>50</v>
      </c>
    </row>
    <row r="6758" spans="1:10" x14ac:dyDescent="0.75">
      <c r="A6758" t="s">
        <v>151</v>
      </c>
      <c r="B6758">
        <v>4335</v>
      </c>
      <c r="C6758" t="s">
        <v>222</v>
      </c>
      <c r="D6758">
        <v>5190</v>
      </c>
      <c r="E6758" t="s">
        <v>462</v>
      </c>
      <c r="F6758" s="4">
        <v>0</v>
      </c>
      <c r="G6758" s="4">
        <v>37</v>
      </c>
      <c r="H6758" s="4">
        <v>37</v>
      </c>
      <c r="I6758" s="4">
        <v>0</v>
      </c>
      <c r="J6758" s="4">
        <v>37</v>
      </c>
    </row>
    <row r="6759" spans="1:10" x14ac:dyDescent="0.75">
      <c r="A6759" t="s">
        <v>151</v>
      </c>
      <c r="B6759">
        <v>4335</v>
      </c>
      <c r="C6759" t="s">
        <v>222</v>
      </c>
      <c r="D6759">
        <v>6134</v>
      </c>
      <c r="E6759" t="s">
        <v>470</v>
      </c>
      <c r="F6759" s="4">
        <v>0</v>
      </c>
      <c r="G6759" s="4">
        <v>31</v>
      </c>
      <c r="H6759" s="4">
        <v>0</v>
      </c>
      <c r="I6759" s="4">
        <v>31</v>
      </c>
      <c r="J6759" s="4">
        <v>31</v>
      </c>
    </row>
    <row r="6760" spans="1:10" x14ac:dyDescent="0.75">
      <c r="A6760" t="s">
        <v>151</v>
      </c>
      <c r="B6760">
        <v>4335</v>
      </c>
      <c r="C6760" t="s">
        <v>222</v>
      </c>
      <c r="D6760">
        <v>7110</v>
      </c>
      <c r="E6760" t="s">
        <v>371</v>
      </c>
      <c r="F6760" s="4">
        <v>0</v>
      </c>
      <c r="G6760" s="4">
        <v>26</v>
      </c>
      <c r="H6760" s="4">
        <v>3</v>
      </c>
      <c r="I6760" s="4">
        <v>23</v>
      </c>
      <c r="J6760" s="4">
        <v>26</v>
      </c>
    </row>
    <row r="6761" spans="1:10" x14ac:dyDescent="0.75">
      <c r="A6761" t="s">
        <v>151</v>
      </c>
      <c r="B6761">
        <v>4335</v>
      </c>
      <c r="C6761" t="s">
        <v>222</v>
      </c>
      <c r="D6761">
        <v>3275</v>
      </c>
      <c r="E6761" t="s">
        <v>412</v>
      </c>
      <c r="F6761" s="4">
        <v>0</v>
      </c>
      <c r="G6761" s="4">
        <v>25</v>
      </c>
      <c r="H6761" s="4">
        <v>0</v>
      </c>
      <c r="I6761" s="4">
        <v>25</v>
      </c>
      <c r="J6761" s="4">
        <v>25</v>
      </c>
    </row>
    <row r="6762" spans="1:10" x14ac:dyDescent="0.75">
      <c r="A6762" t="s">
        <v>151</v>
      </c>
      <c r="B6762">
        <v>4335</v>
      </c>
      <c r="C6762" t="s">
        <v>222</v>
      </c>
      <c r="D6762">
        <v>3190</v>
      </c>
      <c r="E6762" t="s">
        <v>408</v>
      </c>
      <c r="F6762" s="4">
        <v>0</v>
      </c>
      <c r="G6762" s="4">
        <v>22</v>
      </c>
      <c r="H6762" s="4">
        <v>0</v>
      </c>
      <c r="I6762" s="4">
        <v>22</v>
      </c>
      <c r="J6762" s="4">
        <v>22</v>
      </c>
    </row>
    <row r="6763" spans="1:10" x14ac:dyDescent="0.75">
      <c r="A6763" t="s">
        <v>151</v>
      </c>
      <c r="B6763">
        <v>4335</v>
      </c>
      <c r="C6763" t="s">
        <v>222</v>
      </c>
      <c r="D6763">
        <v>6447</v>
      </c>
      <c r="E6763" t="s">
        <v>475</v>
      </c>
      <c r="F6763" s="4">
        <v>0</v>
      </c>
      <c r="G6763" s="4">
        <v>22</v>
      </c>
      <c r="H6763" s="4">
        <v>0</v>
      </c>
      <c r="I6763" s="4">
        <v>22</v>
      </c>
      <c r="J6763" s="4">
        <v>22</v>
      </c>
    </row>
    <row r="6764" spans="1:10" x14ac:dyDescent="0.75">
      <c r="A6764" t="s">
        <v>151</v>
      </c>
      <c r="B6764">
        <v>4335</v>
      </c>
      <c r="C6764" t="s">
        <v>222</v>
      </c>
      <c r="D6764">
        <v>6888</v>
      </c>
      <c r="E6764" t="s">
        <v>494</v>
      </c>
      <c r="F6764" s="4">
        <v>0</v>
      </c>
      <c r="G6764" s="4">
        <v>22</v>
      </c>
      <c r="H6764" s="4">
        <v>0</v>
      </c>
      <c r="I6764" s="4">
        <v>22</v>
      </c>
      <c r="J6764" s="4">
        <v>22</v>
      </c>
    </row>
    <row r="6765" spans="1:10" x14ac:dyDescent="0.75">
      <c r="A6765" t="s">
        <v>151</v>
      </c>
      <c r="B6765">
        <v>4335</v>
      </c>
      <c r="C6765" t="s">
        <v>222</v>
      </c>
      <c r="D6765">
        <v>4900</v>
      </c>
      <c r="E6765" t="s">
        <v>383</v>
      </c>
      <c r="F6765" s="4">
        <v>0</v>
      </c>
      <c r="G6765" s="4">
        <v>21</v>
      </c>
      <c r="H6765" s="4">
        <v>0</v>
      </c>
      <c r="I6765" s="4">
        <v>21</v>
      </c>
      <c r="J6765" s="4">
        <v>21</v>
      </c>
    </row>
    <row r="6766" spans="1:10" x14ac:dyDescent="0.75">
      <c r="A6766" t="s">
        <v>151</v>
      </c>
      <c r="B6766">
        <v>4335</v>
      </c>
      <c r="C6766" t="s">
        <v>222</v>
      </c>
      <c r="D6766">
        <v>3299</v>
      </c>
      <c r="E6766" t="s">
        <v>448</v>
      </c>
      <c r="F6766" s="4">
        <v>0</v>
      </c>
      <c r="G6766" s="4">
        <v>15</v>
      </c>
      <c r="H6766" s="4">
        <v>0</v>
      </c>
      <c r="I6766" s="4">
        <v>15</v>
      </c>
      <c r="J6766" s="4">
        <v>15</v>
      </c>
    </row>
    <row r="6767" spans="1:10" x14ac:dyDescent="0.75">
      <c r="A6767" t="s">
        <v>151</v>
      </c>
      <c r="B6767">
        <v>4335</v>
      </c>
      <c r="C6767" t="s">
        <v>222</v>
      </c>
      <c r="D6767">
        <v>7400</v>
      </c>
      <c r="E6767" t="s">
        <v>502</v>
      </c>
      <c r="F6767" s="4">
        <v>0</v>
      </c>
      <c r="G6767" s="4">
        <v>11</v>
      </c>
      <c r="H6767" s="4">
        <v>11</v>
      </c>
      <c r="I6767" s="4">
        <v>0</v>
      </c>
      <c r="J6767" s="4">
        <v>11</v>
      </c>
    </row>
    <row r="6768" spans="1:10" x14ac:dyDescent="0.75">
      <c r="A6768" t="s">
        <v>151</v>
      </c>
      <c r="B6768">
        <v>4335</v>
      </c>
      <c r="C6768" t="s">
        <v>222</v>
      </c>
      <c r="D6768">
        <v>7500</v>
      </c>
      <c r="E6768" t="s">
        <v>427</v>
      </c>
      <c r="F6768" s="4">
        <v>0</v>
      </c>
      <c r="G6768" s="4">
        <v>5</v>
      </c>
      <c r="H6768" s="4">
        <v>5</v>
      </c>
      <c r="I6768" s="4">
        <v>0</v>
      </c>
      <c r="J6768" s="4">
        <v>5</v>
      </c>
    </row>
    <row r="6769" spans="1:10" x14ac:dyDescent="0.75">
      <c r="A6769" t="s">
        <v>151</v>
      </c>
      <c r="B6769">
        <v>4335</v>
      </c>
      <c r="C6769" t="s">
        <v>222</v>
      </c>
      <c r="D6769">
        <v>5290</v>
      </c>
      <c r="E6769" t="s">
        <v>415</v>
      </c>
      <c r="F6769" s="4">
        <v>0</v>
      </c>
      <c r="G6769" s="4">
        <v>2</v>
      </c>
      <c r="H6769" s="4">
        <v>2</v>
      </c>
      <c r="I6769" s="4">
        <v>0</v>
      </c>
      <c r="J6769" s="4">
        <v>2</v>
      </c>
    </row>
    <row r="6770" spans="1:10" x14ac:dyDescent="0.75">
      <c r="A6770" t="s">
        <v>151</v>
      </c>
      <c r="B6770">
        <v>4335</v>
      </c>
      <c r="C6770" t="s">
        <v>222</v>
      </c>
      <c r="D6770">
        <v>7120</v>
      </c>
      <c r="E6770" t="s">
        <v>499</v>
      </c>
      <c r="F6770" s="4">
        <v>0</v>
      </c>
      <c r="G6770" s="4">
        <v>1</v>
      </c>
      <c r="H6770" s="4">
        <v>1</v>
      </c>
      <c r="I6770" s="4">
        <v>0</v>
      </c>
      <c r="J6770" s="4">
        <v>1</v>
      </c>
    </row>
    <row r="6771" spans="1:10" x14ac:dyDescent="0.75">
      <c r="A6771" t="s">
        <v>151</v>
      </c>
      <c r="B6771">
        <v>1913</v>
      </c>
      <c r="C6771" t="s">
        <v>20</v>
      </c>
      <c r="D6771">
        <v>7900</v>
      </c>
      <c r="E6771" t="s">
        <v>388</v>
      </c>
      <c r="F6771" s="4">
        <v>1792506</v>
      </c>
      <c r="G6771" s="4">
        <v>282280</v>
      </c>
      <c r="H6771" s="4">
        <v>216177</v>
      </c>
      <c r="I6771" s="4">
        <v>66103</v>
      </c>
      <c r="J6771" s="4">
        <v>2074786</v>
      </c>
    </row>
    <row r="6772" spans="1:10" x14ac:dyDescent="0.75">
      <c r="A6772" t="s">
        <v>151</v>
      </c>
      <c r="B6772">
        <v>1913</v>
      </c>
      <c r="C6772" t="s">
        <v>20</v>
      </c>
      <c r="D6772">
        <v>2211</v>
      </c>
      <c r="E6772" t="s">
        <v>367</v>
      </c>
      <c r="F6772" s="4">
        <v>0</v>
      </c>
      <c r="G6772" s="4">
        <v>1015045</v>
      </c>
      <c r="H6772" s="4">
        <v>953926</v>
      </c>
      <c r="I6772" s="4">
        <v>61119</v>
      </c>
      <c r="J6772" s="4">
        <v>1015045</v>
      </c>
    </row>
    <row r="6773" spans="1:10" x14ac:dyDescent="0.75">
      <c r="A6773" t="s">
        <v>151</v>
      </c>
      <c r="B6773">
        <v>1913</v>
      </c>
      <c r="C6773" t="s">
        <v>20</v>
      </c>
      <c r="D6773">
        <v>6887</v>
      </c>
      <c r="E6773" t="s">
        <v>505</v>
      </c>
      <c r="F6773" s="4">
        <v>851858</v>
      </c>
      <c r="G6773" s="4">
        <v>0</v>
      </c>
      <c r="H6773" s="4">
        <v>0</v>
      </c>
      <c r="I6773" s="4">
        <v>0</v>
      </c>
      <c r="J6773" s="4">
        <v>851858</v>
      </c>
    </row>
    <row r="6774" spans="1:10" x14ac:dyDescent="0.75">
      <c r="A6774" t="s">
        <v>151</v>
      </c>
      <c r="B6774">
        <v>1913</v>
      </c>
      <c r="C6774" t="s">
        <v>20</v>
      </c>
      <c r="D6774">
        <v>2640</v>
      </c>
      <c r="E6774" t="s">
        <v>431</v>
      </c>
      <c r="F6774" s="4">
        <v>893</v>
      </c>
      <c r="G6774" s="4">
        <v>614891</v>
      </c>
      <c r="H6774" s="4">
        <v>606315</v>
      </c>
      <c r="I6774" s="4">
        <v>8576</v>
      </c>
      <c r="J6774" s="4">
        <v>615784</v>
      </c>
    </row>
    <row r="6775" spans="1:10" x14ac:dyDescent="0.75">
      <c r="A6775" t="s">
        <v>151</v>
      </c>
      <c r="B6775">
        <v>1913</v>
      </c>
      <c r="C6775" t="s">
        <v>20</v>
      </c>
      <c r="D6775">
        <v>2330</v>
      </c>
      <c r="E6775" t="s">
        <v>368</v>
      </c>
      <c r="F6775" s="4">
        <v>275670</v>
      </c>
      <c r="G6775" s="4">
        <v>294296</v>
      </c>
      <c r="H6775" s="4">
        <v>265221</v>
      </c>
      <c r="I6775" s="4">
        <v>29075</v>
      </c>
      <c r="J6775" s="4">
        <v>569966</v>
      </c>
    </row>
    <row r="6776" spans="1:10" x14ac:dyDescent="0.75">
      <c r="A6776" t="s">
        <v>151</v>
      </c>
      <c r="B6776">
        <v>1913</v>
      </c>
      <c r="C6776" t="s">
        <v>20</v>
      </c>
      <c r="D6776">
        <v>5220</v>
      </c>
      <c r="E6776" t="s">
        <v>401</v>
      </c>
      <c r="F6776" s="4">
        <v>2562</v>
      </c>
      <c r="G6776" s="4">
        <v>492061</v>
      </c>
      <c r="H6776" s="4">
        <v>467682</v>
      </c>
      <c r="I6776" s="4">
        <v>24379</v>
      </c>
      <c r="J6776" s="4">
        <v>494623</v>
      </c>
    </row>
    <row r="6777" spans="1:10" x14ac:dyDescent="0.75">
      <c r="A6777" t="s">
        <v>151</v>
      </c>
      <c r="B6777">
        <v>1913</v>
      </c>
      <c r="C6777" t="s">
        <v>20</v>
      </c>
      <c r="D6777">
        <v>6889</v>
      </c>
      <c r="E6777" t="s">
        <v>420</v>
      </c>
      <c r="F6777" s="4">
        <v>350218</v>
      </c>
      <c r="G6777" s="4">
        <v>89213</v>
      </c>
      <c r="H6777" s="4">
        <v>75855</v>
      </c>
      <c r="I6777" s="4">
        <v>13358</v>
      </c>
      <c r="J6777" s="4">
        <v>439431</v>
      </c>
    </row>
    <row r="6778" spans="1:10" x14ac:dyDescent="0.75">
      <c r="A6778" t="s">
        <v>151</v>
      </c>
      <c r="B6778">
        <v>1913</v>
      </c>
      <c r="C6778" t="s">
        <v>20</v>
      </c>
      <c r="D6778">
        <v>7110</v>
      </c>
      <c r="E6778" t="s">
        <v>371</v>
      </c>
      <c r="F6778" s="4">
        <v>360782</v>
      </c>
      <c r="G6778" s="4">
        <v>58666</v>
      </c>
      <c r="H6778" s="4">
        <v>56455</v>
      </c>
      <c r="I6778" s="4">
        <v>2211</v>
      </c>
      <c r="J6778" s="4">
        <v>419448</v>
      </c>
    </row>
    <row r="6779" spans="1:10" x14ac:dyDescent="0.75">
      <c r="A6779" t="s">
        <v>151</v>
      </c>
      <c r="B6779">
        <v>1913</v>
      </c>
      <c r="C6779" t="s">
        <v>20</v>
      </c>
      <c r="D6779">
        <v>7210</v>
      </c>
      <c r="E6779" t="s">
        <v>426</v>
      </c>
      <c r="F6779" s="4">
        <v>164380</v>
      </c>
      <c r="G6779" s="4">
        <v>220344</v>
      </c>
      <c r="H6779" s="4">
        <v>218037</v>
      </c>
      <c r="I6779" s="4">
        <v>2307</v>
      </c>
      <c r="J6779" s="4">
        <v>384724</v>
      </c>
    </row>
    <row r="6780" spans="1:10" x14ac:dyDescent="0.75">
      <c r="A6780" t="s">
        <v>151</v>
      </c>
      <c r="B6780">
        <v>1913</v>
      </c>
      <c r="C6780" t="s">
        <v>20</v>
      </c>
      <c r="D6780">
        <v>3299</v>
      </c>
      <c r="E6780" t="s">
        <v>448</v>
      </c>
      <c r="F6780" s="4">
        <v>341982</v>
      </c>
      <c r="G6780" s="4">
        <v>13945</v>
      </c>
      <c r="H6780" s="4">
        <v>10018</v>
      </c>
      <c r="I6780" s="4">
        <v>3927</v>
      </c>
      <c r="J6780" s="4">
        <v>355927</v>
      </c>
    </row>
    <row r="6781" spans="1:10" x14ac:dyDescent="0.75">
      <c r="A6781" t="s">
        <v>151</v>
      </c>
      <c r="B6781">
        <v>1913</v>
      </c>
      <c r="C6781" t="s">
        <v>20</v>
      </c>
      <c r="D6781">
        <v>7120</v>
      </c>
      <c r="E6781" t="s">
        <v>499</v>
      </c>
      <c r="F6781" s="4">
        <v>153340</v>
      </c>
      <c r="G6781" s="4">
        <v>105418</v>
      </c>
      <c r="H6781" s="4">
        <v>95194</v>
      </c>
      <c r="I6781" s="4">
        <v>10224</v>
      </c>
      <c r="J6781" s="4">
        <v>258758</v>
      </c>
    </row>
    <row r="6782" spans="1:10" x14ac:dyDescent="0.75">
      <c r="A6782" t="s">
        <v>151</v>
      </c>
      <c r="B6782">
        <v>1913</v>
      </c>
      <c r="C6782" t="s">
        <v>20</v>
      </c>
      <c r="D6782">
        <v>6654</v>
      </c>
      <c r="E6782" t="s">
        <v>419</v>
      </c>
      <c r="F6782" s="4">
        <v>57645</v>
      </c>
      <c r="G6782" s="4">
        <v>197585</v>
      </c>
      <c r="H6782" s="4">
        <v>195107</v>
      </c>
      <c r="I6782" s="4">
        <v>2478</v>
      </c>
      <c r="J6782" s="4">
        <v>255230</v>
      </c>
    </row>
    <row r="6783" spans="1:10" x14ac:dyDescent="0.75">
      <c r="A6783" t="s">
        <v>151</v>
      </c>
      <c r="B6783">
        <v>1913</v>
      </c>
      <c r="C6783" t="s">
        <v>20</v>
      </c>
      <c r="D6783">
        <v>6811</v>
      </c>
      <c r="E6783" t="s">
        <v>480</v>
      </c>
      <c r="F6783" s="4">
        <v>113952</v>
      </c>
      <c r="G6783" s="4">
        <v>70444</v>
      </c>
      <c r="H6783" s="4">
        <v>70222</v>
      </c>
      <c r="I6783" s="4">
        <v>222</v>
      </c>
      <c r="J6783" s="4">
        <v>184396</v>
      </c>
    </row>
    <row r="6784" spans="1:10" x14ac:dyDescent="0.75">
      <c r="A6784" t="s">
        <v>151</v>
      </c>
      <c r="B6784">
        <v>1913</v>
      </c>
      <c r="C6784" t="s">
        <v>20</v>
      </c>
      <c r="D6784">
        <v>2221</v>
      </c>
      <c r="E6784" t="s">
        <v>374</v>
      </c>
      <c r="F6784" s="4">
        <v>0</v>
      </c>
      <c r="G6784" s="4">
        <v>181617</v>
      </c>
      <c r="H6784" s="4">
        <v>162115</v>
      </c>
      <c r="I6784" s="4">
        <v>19502</v>
      </c>
      <c r="J6784" s="4">
        <v>181617</v>
      </c>
    </row>
    <row r="6785" spans="1:10" x14ac:dyDescent="0.75">
      <c r="A6785" t="s">
        <v>151</v>
      </c>
      <c r="B6785">
        <v>1913</v>
      </c>
      <c r="C6785" t="s">
        <v>20</v>
      </c>
      <c r="D6785">
        <v>5290</v>
      </c>
      <c r="E6785" t="s">
        <v>415</v>
      </c>
      <c r="F6785" s="4">
        <v>4587</v>
      </c>
      <c r="G6785" s="4">
        <v>169856</v>
      </c>
      <c r="H6785" s="4">
        <v>161514</v>
      </c>
      <c r="I6785" s="4">
        <v>8342</v>
      </c>
      <c r="J6785" s="4">
        <v>174443</v>
      </c>
    </row>
    <row r="6786" spans="1:10" x14ac:dyDescent="0.75">
      <c r="A6786" t="s">
        <v>151</v>
      </c>
      <c r="B6786">
        <v>1913</v>
      </c>
      <c r="C6786" t="s">
        <v>20</v>
      </c>
      <c r="D6786">
        <v>6885</v>
      </c>
      <c r="E6786" t="s">
        <v>493</v>
      </c>
      <c r="F6786" s="4">
        <v>58540</v>
      </c>
      <c r="G6786" s="4">
        <v>111702</v>
      </c>
      <c r="H6786" s="4">
        <v>111123</v>
      </c>
      <c r="I6786" s="4">
        <v>579</v>
      </c>
      <c r="J6786" s="4">
        <v>170242</v>
      </c>
    </row>
    <row r="6787" spans="1:10" x14ac:dyDescent="0.75">
      <c r="A6787" t="s">
        <v>151</v>
      </c>
      <c r="B6787">
        <v>1913</v>
      </c>
      <c r="C6787" t="s">
        <v>20</v>
      </c>
      <c r="D6787">
        <v>7600</v>
      </c>
      <c r="E6787" t="s">
        <v>503</v>
      </c>
      <c r="F6787" s="4">
        <v>23525</v>
      </c>
      <c r="G6787" s="4">
        <v>146605</v>
      </c>
      <c r="H6787" s="4">
        <v>102401</v>
      </c>
      <c r="I6787" s="4">
        <v>44204</v>
      </c>
      <c r="J6787" s="4">
        <v>170130</v>
      </c>
    </row>
    <row r="6788" spans="1:10" x14ac:dyDescent="0.75">
      <c r="A6788" t="s">
        <v>151</v>
      </c>
      <c r="B6788">
        <v>1913</v>
      </c>
      <c r="C6788" t="s">
        <v>20</v>
      </c>
      <c r="D6788">
        <v>6344</v>
      </c>
      <c r="E6788" t="s">
        <v>392</v>
      </c>
      <c r="F6788" s="4">
        <v>24</v>
      </c>
      <c r="G6788" s="4">
        <v>143513</v>
      </c>
      <c r="H6788" s="4">
        <v>143373</v>
      </c>
      <c r="I6788" s="4">
        <v>140</v>
      </c>
      <c r="J6788" s="4">
        <v>143537</v>
      </c>
    </row>
    <row r="6789" spans="1:10" x14ac:dyDescent="0.75">
      <c r="A6789" t="s">
        <v>151</v>
      </c>
      <c r="B6789">
        <v>1913</v>
      </c>
      <c r="C6789" t="s">
        <v>20</v>
      </c>
      <c r="D6789">
        <v>3286</v>
      </c>
      <c r="E6789" t="s">
        <v>423</v>
      </c>
      <c r="F6789" s="4">
        <v>4207</v>
      </c>
      <c r="G6789" s="4">
        <v>132340</v>
      </c>
      <c r="H6789" s="4">
        <v>126836</v>
      </c>
      <c r="I6789" s="4">
        <v>5504</v>
      </c>
      <c r="J6789" s="4">
        <v>136547</v>
      </c>
    </row>
    <row r="6790" spans="1:10" x14ac:dyDescent="0.75">
      <c r="A6790" t="s">
        <v>151</v>
      </c>
      <c r="B6790">
        <v>1913</v>
      </c>
      <c r="C6790" t="s">
        <v>20</v>
      </c>
      <c r="D6790">
        <v>4225</v>
      </c>
      <c r="E6790" t="s">
        <v>380</v>
      </c>
      <c r="F6790" s="4">
        <v>78</v>
      </c>
      <c r="G6790" s="4">
        <v>126212</v>
      </c>
      <c r="H6790" s="4">
        <v>1272</v>
      </c>
      <c r="I6790" s="4">
        <v>124940</v>
      </c>
      <c r="J6790" s="4">
        <v>126290</v>
      </c>
    </row>
    <row r="6791" spans="1:10" x14ac:dyDescent="0.75">
      <c r="A6791" t="s">
        <v>151</v>
      </c>
      <c r="B6791">
        <v>1913</v>
      </c>
      <c r="C6791" t="s">
        <v>20</v>
      </c>
      <c r="D6791">
        <v>4680</v>
      </c>
      <c r="E6791" t="s">
        <v>459</v>
      </c>
      <c r="F6791" s="4">
        <v>2130</v>
      </c>
      <c r="G6791" s="4">
        <v>108922</v>
      </c>
      <c r="H6791" s="4">
        <v>927</v>
      </c>
      <c r="I6791" s="4">
        <v>107995</v>
      </c>
      <c r="J6791" s="4">
        <v>111052</v>
      </c>
    </row>
    <row r="6792" spans="1:10" x14ac:dyDescent="0.75">
      <c r="A6792" t="s">
        <v>151</v>
      </c>
      <c r="B6792">
        <v>1913</v>
      </c>
      <c r="C6792" t="s">
        <v>20</v>
      </c>
      <c r="D6792">
        <v>7400</v>
      </c>
      <c r="E6792" t="s">
        <v>502</v>
      </c>
      <c r="F6792" s="4">
        <v>93293</v>
      </c>
      <c r="G6792" s="4">
        <v>8308</v>
      </c>
      <c r="H6792" s="4">
        <v>7755</v>
      </c>
      <c r="I6792" s="4">
        <v>553</v>
      </c>
      <c r="J6792" s="4">
        <v>101601</v>
      </c>
    </row>
    <row r="6793" spans="1:10" x14ac:dyDescent="0.75">
      <c r="A6793" t="s">
        <v>151</v>
      </c>
      <c r="B6793">
        <v>1913</v>
      </c>
      <c r="C6793" t="s">
        <v>20</v>
      </c>
      <c r="D6793">
        <v>6442</v>
      </c>
      <c r="E6793" t="s">
        <v>472</v>
      </c>
      <c r="F6793" s="4">
        <v>19546</v>
      </c>
      <c r="G6793" s="4">
        <v>74104</v>
      </c>
      <c r="H6793" s="4">
        <v>73419</v>
      </c>
      <c r="I6793" s="4">
        <v>685</v>
      </c>
      <c r="J6793" s="4">
        <v>93650</v>
      </c>
    </row>
    <row r="6794" spans="1:10" x14ac:dyDescent="0.75">
      <c r="A6794" t="s">
        <v>151</v>
      </c>
      <c r="B6794">
        <v>1913</v>
      </c>
      <c r="C6794" t="s">
        <v>20</v>
      </c>
      <c r="D6794">
        <v>5360</v>
      </c>
      <c r="E6794" t="s">
        <v>465</v>
      </c>
      <c r="F6794" s="4">
        <v>4540</v>
      </c>
      <c r="G6794" s="4">
        <v>89070</v>
      </c>
      <c r="H6794" s="4">
        <v>82549</v>
      </c>
      <c r="I6794" s="4">
        <v>6521</v>
      </c>
      <c r="J6794" s="4">
        <v>93610</v>
      </c>
    </row>
    <row r="6795" spans="1:10" x14ac:dyDescent="0.75">
      <c r="A6795" t="s">
        <v>151</v>
      </c>
      <c r="B6795">
        <v>1913</v>
      </c>
      <c r="C6795" t="s">
        <v>20</v>
      </c>
      <c r="D6795">
        <v>5190</v>
      </c>
      <c r="E6795" t="s">
        <v>462</v>
      </c>
      <c r="F6795" s="4">
        <v>53650</v>
      </c>
      <c r="G6795" s="4">
        <v>38078</v>
      </c>
      <c r="H6795" s="4">
        <v>35596</v>
      </c>
      <c r="I6795" s="4">
        <v>2482</v>
      </c>
      <c r="J6795" s="4">
        <v>91728</v>
      </c>
    </row>
    <row r="6796" spans="1:10" x14ac:dyDescent="0.75">
      <c r="A6796" t="s">
        <v>151</v>
      </c>
      <c r="B6796">
        <v>1913</v>
      </c>
      <c r="C6796" t="s">
        <v>20</v>
      </c>
      <c r="D6796">
        <v>6865</v>
      </c>
      <c r="E6796" t="s">
        <v>490</v>
      </c>
      <c r="F6796" s="4">
        <v>0</v>
      </c>
      <c r="G6796" s="4">
        <v>91619</v>
      </c>
      <c r="H6796" s="4">
        <v>91619</v>
      </c>
      <c r="I6796" s="4">
        <v>0</v>
      </c>
      <c r="J6796" s="4">
        <v>91619</v>
      </c>
    </row>
    <row r="6797" spans="1:10" x14ac:dyDescent="0.75">
      <c r="A6797" t="s">
        <v>151</v>
      </c>
      <c r="B6797">
        <v>1913</v>
      </c>
      <c r="C6797" t="s">
        <v>20</v>
      </c>
      <c r="D6797">
        <v>7500</v>
      </c>
      <c r="E6797" t="s">
        <v>427</v>
      </c>
      <c r="F6797" s="4">
        <v>41543</v>
      </c>
      <c r="G6797" s="4">
        <v>44409</v>
      </c>
      <c r="H6797" s="4">
        <v>37642</v>
      </c>
      <c r="I6797" s="4">
        <v>6767</v>
      </c>
      <c r="J6797" s="4">
        <v>85952</v>
      </c>
    </row>
    <row r="6798" spans="1:10" x14ac:dyDescent="0.75">
      <c r="A6798" t="s">
        <v>151</v>
      </c>
      <c r="B6798">
        <v>1913</v>
      </c>
      <c r="C6798" t="s">
        <v>20</v>
      </c>
      <c r="D6798">
        <v>6747</v>
      </c>
      <c r="E6798" t="s">
        <v>478</v>
      </c>
      <c r="F6798" s="4">
        <v>42214</v>
      </c>
      <c r="G6798" s="4">
        <v>40495</v>
      </c>
      <c r="H6798" s="4">
        <v>38468</v>
      </c>
      <c r="I6798" s="4">
        <v>2027</v>
      </c>
      <c r="J6798" s="4">
        <v>82709</v>
      </c>
    </row>
    <row r="6799" spans="1:10" x14ac:dyDescent="0.75">
      <c r="A6799" t="s">
        <v>151</v>
      </c>
      <c r="B6799">
        <v>1913</v>
      </c>
      <c r="C6799" t="s">
        <v>20</v>
      </c>
      <c r="D6799">
        <v>3284</v>
      </c>
      <c r="E6799" t="s">
        <v>442</v>
      </c>
      <c r="F6799" s="4">
        <v>65776</v>
      </c>
      <c r="G6799" s="4">
        <v>15885</v>
      </c>
      <c r="H6799" s="4">
        <v>12473</v>
      </c>
      <c r="I6799" s="4">
        <v>3412</v>
      </c>
      <c r="J6799" s="4">
        <v>81661</v>
      </c>
    </row>
    <row r="6800" spans="1:10" x14ac:dyDescent="0.75">
      <c r="A6800" t="s">
        <v>151</v>
      </c>
      <c r="B6800">
        <v>1913</v>
      </c>
      <c r="C6800" t="s">
        <v>20</v>
      </c>
      <c r="D6800">
        <v>5480</v>
      </c>
      <c r="E6800" t="s">
        <v>386</v>
      </c>
      <c r="F6800" s="4">
        <v>5907</v>
      </c>
      <c r="G6800" s="4">
        <v>71465</v>
      </c>
      <c r="H6800" s="4">
        <v>63861</v>
      </c>
      <c r="I6800" s="4">
        <v>7604</v>
      </c>
      <c r="J6800" s="4">
        <v>77372</v>
      </c>
    </row>
    <row r="6801" spans="1:10" x14ac:dyDescent="0.75">
      <c r="A6801" t="s">
        <v>151</v>
      </c>
      <c r="B6801">
        <v>1913</v>
      </c>
      <c r="C6801" t="s">
        <v>20</v>
      </c>
      <c r="D6801">
        <v>3285</v>
      </c>
      <c r="E6801" t="s">
        <v>443</v>
      </c>
      <c r="F6801" s="4">
        <v>8452</v>
      </c>
      <c r="G6801" s="4">
        <v>59256</v>
      </c>
      <c r="H6801" s="4">
        <v>52790</v>
      </c>
      <c r="I6801" s="4">
        <v>6466</v>
      </c>
      <c r="J6801" s="4">
        <v>67708</v>
      </c>
    </row>
    <row r="6802" spans="1:10" x14ac:dyDescent="0.75">
      <c r="A6802" t="s">
        <v>151</v>
      </c>
      <c r="B6802">
        <v>1913</v>
      </c>
      <c r="C6802" t="s">
        <v>20</v>
      </c>
      <c r="D6802">
        <v>5240</v>
      </c>
      <c r="E6802" t="s">
        <v>464</v>
      </c>
      <c r="F6802" s="4">
        <v>1184</v>
      </c>
      <c r="G6802" s="4">
        <v>66150</v>
      </c>
      <c r="H6802" s="4">
        <v>65461</v>
      </c>
      <c r="I6802" s="4">
        <v>689</v>
      </c>
      <c r="J6802" s="4">
        <v>67334</v>
      </c>
    </row>
    <row r="6803" spans="1:10" x14ac:dyDescent="0.75">
      <c r="A6803" t="s">
        <v>151</v>
      </c>
      <c r="B6803">
        <v>1913</v>
      </c>
      <c r="C6803" t="s">
        <v>20</v>
      </c>
      <c r="D6803">
        <v>5120</v>
      </c>
      <c r="E6803" t="s">
        <v>461</v>
      </c>
      <c r="F6803" s="4">
        <v>9672</v>
      </c>
      <c r="G6803" s="4">
        <v>52661</v>
      </c>
      <c r="H6803" s="4">
        <v>52262</v>
      </c>
      <c r="I6803" s="4">
        <v>399</v>
      </c>
      <c r="J6803" s="4">
        <v>62333</v>
      </c>
    </row>
    <row r="6804" spans="1:10" x14ac:dyDescent="0.75">
      <c r="A6804" t="s">
        <v>151</v>
      </c>
      <c r="B6804">
        <v>1913</v>
      </c>
      <c r="C6804" t="s">
        <v>20</v>
      </c>
      <c r="D6804">
        <v>6241</v>
      </c>
      <c r="E6804" t="s">
        <v>391</v>
      </c>
      <c r="F6804" s="4">
        <v>0</v>
      </c>
      <c r="G6804" s="4">
        <v>60244</v>
      </c>
      <c r="H6804" s="4">
        <v>59208</v>
      </c>
      <c r="I6804" s="4">
        <v>1036</v>
      </c>
      <c r="J6804" s="4">
        <v>60244</v>
      </c>
    </row>
    <row r="6805" spans="1:10" x14ac:dyDescent="0.75">
      <c r="A6805" t="s">
        <v>151</v>
      </c>
      <c r="B6805">
        <v>1913</v>
      </c>
      <c r="C6805" t="s">
        <v>20</v>
      </c>
      <c r="D6805">
        <v>6822</v>
      </c>
      <c r="E6805" t="s">
        <v>482</v>
      </c>
      <c r="F6805" s="4">
        <v>42511</v>
      </c>
      <c r="G6805" s="4">
        <v>13908</v>
      </c>
      <c r="H6805" s="4">
        <v>8863</v>
      </c>
      <c r="I6805" s="4">
        <v>5045</v>
      </c>
      <c r="J6805" s="4">
        <v>56419</v>
      </c>
    </row>
    <row r="6806" spans="1:10" x14ac:dyDescent="0.75">
      <c r="A6806" t="s">
        <v>151</v>
      </c>
      <c r="B6806">
        <v>1913</v>
      </c>
      <c r="C6806" t="s">
        <v>20</v>
      </c>
      <c r="D6806">
        <v>6782</v>
      </c>
      <c r="E6806" t="s">
        <v>396</v>
      </c>
      <c r="F6806" s="4">
        <v>19346</v>
      </c>
      <c r="G6806" s="4">
        <v>34274</v>
      </c>
      <c r="H6806" s="4">
        <v>33500</v>
      </c>
      <c r="I6806" s="4">
        <v>774</v>
      </c>
      <c r="J6806" s="4">
        <v>53620</v>
      </c>
    </row>
    <row r="6807" spans="1:10" x14ac:dyDescent="0.75">
      <c r="A6807" t="s">
        <v>151</v>
      </c>
      <c r="B6807">
        <v>1913</v>
      </c>
      <c r="C6807" t="s">
        <v>20</v>
      </c>
      <c r="D6807">
        <v>6858</v>
      </c>
      <c r="E6807" t="s">
        <v>488</v>
      </c>
      <c r="F6807" s="4">
        <v>10415</v>
      </c>
      <c r="G6807" s="4">
        <v>42455</v>
      </c>
      <c r="H6807" s="4">
        <v>41972</v>
      </c>
      <c r="I6807" s="4">
        <v>483</v>
      </c>
      <c r="J6807" s="4">
        <v>52870</v>
      </c>
    </row>
    <row r="6808" spans="1:10" x14ac:dyDescent="0.75">
      <c r="A6808" t="s">
        <v>151</v>
      </c>
      <c r="B6808">
        <v>1913</v>
      </c>
      <c r="C6808" t="s">
        <v>20</v>
      </c>
      <c r="D6808">
        <v>5330</v>
      </c>
      <c r="E6808" t="s">
        <v>385</v>
      </c>
      <c r="F6808" s="4">
        <v>3297</v>
      </c>
      <c r="G6808" s="4">
        <v>49305</v>
      </c>
      <c r="H6808" s="4">
        <v>48788</v>
      </c>
      <c r="I6808" s="4">
        <v>517</v>
      </c>
      <c r="J6808" s="4">
        <v>52602</v>
      </c>
    </row>
    <row r="6809" spans="1:10" x14ac:dyDescent="0.75">
      <c r="A6809" t="s">
        <v>151</v>
      </c>
      <c r="B6809">
        <v>1913</v>
      </c>
      <c r="C6809" t="s">
        <v>20</v>
      </c>
      <c r="D6809">
        <v>5540</v>
      </c>
      <c r="E6809" t="s">
        <v>469</v>
      </c>
      <c r="F6809" s="4">
        <v>326</v>
      </c>
      <c r="G6809" s="4">
        <v>48623</v>
      </c>
      <c r="H6809" s="4">
        <v>40691</v>
      </c>
      <c r="I6809" s="4">
        <v>7932</v>
      </c>
      <c r="J6809" s="4">
        <v>48949</v>
      </c>
    </row>
    <row r="6810" spans="1:10" x14ac:dyDescent="0.75">
      <c r="A6810" t="s">
        <v>151</v>
      </c>
      <c r="B6810">
        <v>1913</v>
      </c>
      <c r="C6810" t="s">
        <v>20</v>
      </c>
      <c r="D6810">
        <v>4189</v>
      </c>
      <c r="E6810" t="s">
        <v>451</v>
      </c>
      <c r="F6810" s="4">
        <v>7858</v>
      </c>
      <c r="G6810" s="4">
        <v>40819</v>
      </c>
      <c r="H6810" s="4">
        <v>37168</v>
      </c>
      <c r="I6810" s="4">
        <v>3651</v>
      </c>
      <c r="J6810" s="4">
        <v>48677</v>
      </c>
    </row>
    <row r="6811" spans="1:10" x14ac:dyDescent="0.75">
      <c r="A6811" t="s">
        <v>151</v>
      </c>
      <c r="B6811">
        <v>1913</v>
      </c>
      <c r="C6811" t="s">
        <v>20</v>
      </c>
      <c r="D6811">
        <v>5422</v>
      </c>
      <c r="E6811" t="s">
        <v>468</v>
      </c>
      <c r="F6811" s="4">
        <v>11080</v>
      </c>
      <c r="G6811" s="4">
        <v>36275</v>
      </c>
      <c r="H6811" s="4">
        <v>35868</v>
      </c>
      <c r="I6811" s="4">
        <v>407</v>
      </c>
      <c r="J6811" s="4">
        <v>47355</v>
      </c>
    </row>
    <row r="6812" spans="1:10" x14ac:dyDescent="0.75">
      <c r="A6812" t="s">
        <v>151</v>
      </c>
      <c r="B6812">
        <v>1913</v>
      </c>
      <c r="C6812" t="s">
        <v>20</v>
      </c>
      <c r="D6812">
        <v>2340</v>
      </c>
      <c r="E6812" t="s">
        <v>369</v>
      </c>
      <c r="F6812" s="4">
        <v>0</v>
      </c>
      <c r="G6812" s="4">
        <v>45598</v>
      </c>
      <c r="H6812" s="4">
        <v>45598</v>
      </c>
      <c r="I6812" s="4">
        <v>0</v>
      </c>
      <c r="J6812" s="4">
        <v>45598</v>
      </c>
    </row>
    <row r="6813" spans="1:10" x14ac:dyDescent="0.75">
      <c r="A6813" t="s">
        <v>151</v>
      </c>
      <c r="B6813">
        <v>1913</v>
      </c>
      <c r="C6813" t="s">
        <v>20</v>
      </c>
      <c r="D6813">
        <v>3220</v>
      </c>
      <c r="E6813" t="s">
        <v>370</v>
      </c>
      <c r="F6813" s="4">
        <v>558</v>
      </c>
      <c r="G6813" s="4">
        <v>42540</v>
      </c>
      <c r="H6813" s="4">
        <v>40018</v>
      </c>
      <c r="I6813" s="4">
        <v>2522</v>
      </c>
      <c r="J6813" s="4">
        <v>43098</v>
      </c>
    </row>
    <row r="6814" spans="1:10" x14ac:dyDescent="0.75">
      <c r="A6814" t="s">
        <v>151</v>
      </c>
      <c r="B6814">
        <v>1913</v>
      </c>
      <c r="C6814" t="s">
        <v>20</v>
      </c>
      <c r="D6814">
        <v>6857</v>
      </c>
      <c r="E6814" t="s">
        <v>487</v>
      </c>
      <c r="F6814" s="4">
        <v>15247</v>
      </c>
      <c r="G6814" s="4">
        <v>25245</v>
      </c>
      <c r="H6814" s="4">
        <v>24635</v>
      </c>
      <c r="I6814" s="4">
        <v>610</v>
      </c>
      <c r="J6814" s="4">
        <v>40492</v>
      </c>
    </row>
    <row r="6815" spans="1:10" x14ac:dyDescent="0.75">
      <c r="A6815" t="s">
        <v>151</v>
      </c>
      <c r="B6815">
        <v>1913</v>
      </c>
      <c r="C6815" t="s">
        <v>20</v>
      </c>
      <c r="D6815">
        <v>6861</v>
      </c>
      <c r="E6815" t="s">
        <v>489</v>
      </c>
      <c r="F6815" s="4">
        <v>4021</v>
      </c>
      <c r="G6815" s="4">
        <v>34815</v>
      </c>
      <c r="H6815" s="4">
        <v>34812</v>
      </c>
      <c r="I6815" s="4">
        <v>3</v>
      </c>
      <c r="J6815" s="4">
        <v>38836</v>
      </c>
    </row>
    <row r="6816" spans="1:10" x14ac:dyDescent="0.75">
      <c r="A6816" t="s">
        <v>151</v>
      </c>
      <c r="B6816">
        <v>1913</v>
      </c>
      <c r="C6816" t="s">
        <v>20</v>
      </c>
      <c r="D6816">
        <v>9900</v>
      </c>
      <c r="E6816" t="s">
        <v>389</v>
      </c>
      <c r="F6816" s="4">
        <v>8064</v>
      </c>
      <c r="G6816" s="4">
        <v>27590</v>
      </c>
      <c r="H6816" s="4">
        <v>25278</v>
      </c>
      <c r="I6816" s="4">
        <v>2312</v>
      </c>
      <c r="J6816" s="4">
        <v>35654</v>
      </c>
    </row>
    <row r="6817" spans="1:10" x14ac:dyDescent="0.75">
      <c r="A6817" t="s">
        <v>151</v>
      </c>
      <c r="B6817">
        <v>1913</v>
      </c>
      <c r="C6817" t="s">
        <v>20</v>
      </c>
      <c r="D6817">
        <v>5370</v>
      </c>
      <c r="E6817" t="s">
        <v>466</v>
      </c>
      <c r="F6817" s="4">
        <v>903</v>
      </c>
      <c r="G6817" s="4">
        <v>31340</v>
      </c>
      <c r="H6817" s="4">
        <v>30613</v>
      </c>
      <c r="I6817" s="4">
        <v>727</v>
      </c>
      <c r="J6817" s="4">
        <v>32243</v>
      </c>
    </row>
    <row r="6818" spans="1:10" x14ac:dyDescent="0.75">
      <c r="A6818" t="s">
        <v>151</v>
      </c>
      <c r="B6818">
        <v>1913</v>
      </c>
      <c r="C6818" t="s">
        <v>20</v>
      </c>
      <c r="D6818">
        <v>6653</v>
      </c>
      <c r="E6818" t="s">
        <v>395</v>
      </c>
      <c r="F6818" s="4">
        <v>10240</v>
      </c>
      <c r="G6818" s="4">
        <v>19990</v>
      </c>
      <c r="H6818" s="4">
        <v>19852</v>
      </c>
      <c r="I6818" s="4">
        <v>138</v>
      </c>
      <c r="J6818" s="4">
        <v>30230</v>
      </c>
    </row>
    <row r="6819" spans="1:10" x14ac:dyDescent="0.75">
      <c r="A6819" t="s">
        <v>151</v>
      </c>
      <c r="B6819">
        <v>1913</v>
      </c>
      <c r="C6819" t="s">
        <v>20</v>
      </c>
      <c r="D6819">
        <v>2540</v>
      </c>
      <c r="E6819" t="s">
        <v>377</v>
      </c>
      <c r="F6819" s="4">
        <v>0</v>
      </c>
      <c r="G6819" s="4">
        <v>28799</v>
      </c>
      <c r="H6819" s="4">
        <v>28775</v>
      </c>
      <c r="I6819" s="4">
        <v>24</v>
      </c>
      <c r="J6819" s="4">
        <v>28799</v>
      </c>
    </row>
    <row r="6820" spans="1:10" x14ac:dyDescent="0.75">
      <c r="A6820" t="s">
        <v>151</v>
      </c>
      <c r="B6820">
        <v>1913</v>
      </c>
      <c r="C6820" t="s">
        <v>20</v>
      </c>
      <c r="D6820">
        <v>4420</v>
      </c>
      <c r="E6820" t="s">
        <v>381</v>
      </c>
      <c r="F6820" s="4">
        <v>4054</v>
      </c>
      <c r="G6820" s="4">
        <v>20815</v>
      </c>
      <c r="H6820" s="4">
        <v>629</v>
      </c>
      <c r="I6820" s="4">
        <v>20186</v>
      </c>
      <c r="J6820" s="4">
        <v>24869</v>
      </c>
    </row>
    <row r="6821" spans="1:10" x14ac:dyDescent="0.75">
      <c r="A6821" t="s">
        <v>151</v>
      </c>
      <c r="B6821">
        <v>1913</v>
      </c>
      <c r="C6821" t="s">
        <v>20</v>
      </c>
      <c r="D6821">
        <v>3276</v>
      </c>
      <c r="E6821" t="s">
        <v>379</v>
      </c>
      <c r="F6821" s="4">
        <v>821</v>
      </c>
      <c r="G6821" s="4">
        <v>20377</v>
      </c>
      <c r="H6821" s="4">
        <v>20005</v>
      </c>
      <c r="I6821" s="4">
        <v>372</v>
      </c>
      <c r="J6821" s="4">
        <v>21198</v>
      </c>
    </row>
    <row r="6822" spans="1:10" x14ac:dyDescent="0.75">
      <c r="A6822" t="s">
        <v>151</v>
      </c>
      <c r="B6822">
        <v>1913</v>
      </c>
      <c r="C6822" t="s">
        <v>20</v>
      </c>
      <c r="D6822">
        <v>6891</v>
      </c>
      <c r="E6822" t="s">
        <v>495</v>
      </c>
      <c r="F6822" s="4">
        <v>9433</v>
      </c>
      <c r="G6822" s="4">
        <v>11691</v>
      </c>
      <c r="H6822" s="4">
        <v>10834</v>
      </c>
      <c r="I6822" s="4">
        <v>857</v>
      </c>
      <c r="J6822" s="4">
        <v>21124</v>
      </c>
    </row>
    <row r="6823" spans="1:10" x14ac:dyDescent="0.75">
      <c r="A6823" t="s">
        <v>151</v>
      </c>
      <c r="B6823">
        <v>1913</v>
      </c>
      <c r="C6823" t="s">
        <v>20</v>
      </c>
      <c r="D6823">
        <v>6817</v>
      </c>
      <c r="E6823" t="s">
        <v>481</v>
      </c>
      <c r="F6823" s="4">
        <v>7583</v>
      </c>
      <c r="G6823" s="4">
        <v>9684</v>
      </c>
      <c r="H6823" s="4">
        <v>9448</v>
      </c>
      <c r="I6823" s="4">
        <v>236</v>
      </c>
      <c r="J6823" s="4">
        <v>17267</v>
      </c>
    </row>
    <row r="6824" spans="1:10" x14ac:dyDescent="0.75">
      <c r="A6824" t="s">
        <v>151</v>
      </c>
      <c r="B6824">
        <v>1913</v>
      </c>
      <c r="C6824" t="s">
        <v>20</v>
      </c>
      <c r="D6824">
        <v>3275</v>
      </c>
      <c r="E6824" t="s">
        <v>412</v>
      </c>
      <c r="F6824" s="4">
        <v>3039</v>
      </c>
      <c r="G6824" s="4">
        <v>14078</v>
      </c>
      <c r="H6824" s="4">
        <v>9074</v>
      </c>
      <c r="I6824" s="4">
        <v>5004</v>
      </c>
      <c r="J6824" s="4">
        <v>17117</v>
      </c>
    </row>
    <row r="6825" spans="1:10" x14ac:dyDescent="0.75">
      <c r="A6825" t="s">
        <v>151</v>
      </c>
      <c r="B6825">
        <v>1913</v>
      </c>
      <c r="C6825" t="s">
        <v>20</v>
      </c>
      <c r="D6825">
        <v>6871</v>
      </c>
      <c r="E6825" t="s">
        <v>491</v>
      </c>
      <c r="F6825" s="4">
        <v>1194</v>
      </c>
      <c r="G6825" s="4">
        <v>14600</v>
      </c>
      <c r="H6825" s="4">
        <v>14134</v>
      </c>
      <c r="I6825" s="4">
        <v>466</v>
      </c>
      <c r="J6825" s="4">
        <v>15794</v>
      </c>
    </row>
    <row r="6826" spans="1:10" x14ac:dyDescent="0.75">
      <c r="A6826" t="s">
        <v>151</v>
      </c>
      <c r="B6826">
        <v>1913</v>
      </c>
      <c r="C6826" t="s">
        <v>20</v>
      </c>
      <c r="D6826">
        <v>6888</v>
      </c>
      <c r="E6826" t="s">
        <v>494</v>
      </c>
      <c r="F6826" s="4">
        <v>2750</v>
      </c>
      <c r="G6826" s="4">
        <v>12730</v>
      </c>
      <c r="H6826" s="4">
        <v>10905</v>
      </c>
      <c r="I6826" s="4">
        <v>1825</v>
      </c>
      <c r="J6826" s="4">
        <v>15480</v>
      </c>
    </row>
    <row r="6827" spans="1:10" x14ac:dyDescent="0.75">
      <c r="A6827" t="s">
        <v>151</v>
      </c>
      <c r="B6827">
        <v>1913</v>
      </c>
      <c r="C6827" t="s">
        <v>20</v>
      </c>
      <c r="D6827">
        <v>6839</v>
      </c>
      <c r="E6827" t="s">
        <v>485</v>
      </c>
      <c r="F6827" s="4">
        <v>12756</v>
      </c>
      <c r="G6827" s="4">
        <v>667</v>
      </c>
      <c r="H6827" s="4">
        <v>590</v>
      </c>
      <c r="I6827" s="4">
        <v>77</v>
      </c>
      <c r="J6827" s="4">
        <v>13423</v>
      </c>
    </row>
    <row r="6828" spans="1:10" x14ac:dyDescent="0.75">
      <c r="A6828" t="s">
        <v>151</v>
      </c>
      <c r="B6828">
        <v>1913</v>
      </c>
      <c r="C6828" t="s">
        <v>20</v>
      </c>
      <c r="D6828">
        <v>3190</v>
      </c>
      <c r="E6828" t="s">
        <v>408</v>
      </c>
      <c r="F6828" s="4">
        <v>276</v>
      </c>
      <c r="G6828" s="4">
        <v>12755</v>
      </c>
      <c r="H6828" s="4">
        <v>12702</v>
      </c>
      <c r="I6828" s="4">
        <v>53</v>
      </c>
      <c r="J6828" s="4">
        <v>13031</v>
      </c>
    </row>
    <row r="6829" spans="1:10" x14ac:dyDescent="0.75">
      <c r="A6829" t="s">
        <v>151</v>
      </c>
      <c r="B6829">
        <v>1913</v>
      </c>
      <c r="C6829" t="s">
        <v>20</v>
      </c>
      <c r="D6829">
        <v>3282</v>
      </c>
      <c r="E6829" t="s">
        <v>440</v>
      </c>
      <c r="F6829" s="4">
        <v>6517</v>
      </c>
      <c r="G6829" s="4">
        <v>6220</v>
      </c>
      <c r="H6829" s="4">
        <v>4796</v>
      </c>
      <c r="I6829" s="4">
        <v>1424</v>
      </c>
      <c r="J6829" s="4">
        <v>12737</v>
      </c>
    </row>
    <row r="6830" spans="1:10" x14ac:dyDescent="0.75">
      <c r="A6830" t="s">
        <v>151</v>
      </c>
      <c r="B6830">
        <v>1913</v>
      </c>
      <c r="C6830" t="s">
        <v>20</v>
      </c>
      <c r="D6830">
        <v>5390</v>
      </c>
      <c r="E6830" t="s">
        <v>418</v>
      </c>
      <c r="F6830" s="4">
        <v>22</v>
      </c>
      <c r="G6830" s="4">
        <v>11901</v>
      </c>
      <c r="H6830" s="4">
        <v>11651</v>
      </c>
      <c r="I6830" s="4">
        <v>250</v>
      </c>
      <c r="J6830" s="4">
        <v>11923</v>
      </c>
    </row>
    <row r="6831" spans="1:10" x14ac:dyDescent="0.75">
      <c r="A6831" t="s">
        <v>151</v>
      </c>
      <c r="B6831">
        <v>1913</v>
      </c>
      <c r="C6831" t="s">
        <v>20</v>
      </c>
      <c r="D6831">
        <v>3110</v>
      </c>
      <c r="E6831" t="s">
        <v>405</v>
      </c>
      <c r="F6831" s="4">
        <v>7366</v>
      </c>
      <c r="G6831" s="4">
        <v>4282</v>
      </c>
      <c r="H6831" s="4">
        <v>4233</v>
      </c>
      <c r="I6831" s="4">
        <v>49</v>
      </c>
      <c r="J6831" s="4">
        <v>11648</v>
      </c>
    </row>
    <row r="6832" spans="1:10" x14ac:dyDescent="0.75">
      <c r="A6832" t="s">
        <v>151</v>
      </c>
      <c r="B6832">
        <v>1913</v>
      </c>
      <c r="C6832" t="s">
        <v>20</v>
      </c>
      <c r="D6832">
        <v>5110</v>
      </c>
      <c r="E6832" t="s">
        <v>460</v>
      </c>
      <c r="F6832" s="4">
        <v>0</v>
      </c>
      <c r="G6832" s="4">
        <v>10735</v>
      </c>
      <c r="H6832" s="4">
        <v>10735</v>
      </c>
      <c r="I6832" s="4">
        <v>0</v>
      </c>
      <c r="J6832" s="4">
        <v>10735</v>
      </c>
    </row>
    <row r="6833" spans="1:10" x14ac:dyDescent="0.75">
      <c r="A6833" t="s">
        <v>151</v>
      </c>
      <c r="B6833">
        <v>1913</v>
      </c>
      <c r="C6833" t="s">
        <v>20</v>
      </c>
      <c r="D6833">
        <v>6522</v>
      </c>
      <c r="E6833" t="s">
        <v>393</v>
      </c>
      <c r="F6833" s="4">
        <v>0</v>
      </c>
      <c r="G6833" s="4">
        <v>10695</v>
      </c>
      <c r="H6833" s="4">
        <v>10695</v>
      </c>
      <c r="I6833" s="4">
        <v>0</v>
      </c>
      <c r="J6833" s="4">
        <v>10695</v>
      </c>
    </row>
    <row r="6834" spans="1:10" x14ac:dyDescent="0.75">
      <c r="A6834" t="s">
        <v>151</v>
      </c>
      <c r="B6834">
        <v>1913</v>
      </c>
      <c r="C6834" t="s">
        <v>20</v>
      </c>
      <c r="D6834">
        <v>6835</v>
      </c>
      <c r="E6834" t="s">
        <v>483</v>
      </c>
      <c r="F6834" s="4">
        <v>101</v>
      </c>
      <c r="G6834" s="4">
        <v>10093</v>
      </c>
      <c r="H6834" s="4">
        <v>10004</v>
      </c>
      <c r="I6834" s="4">
        <v>89</v>
      </c>
      <c r="J6834" s="4">
        <v>10194</v>
      </c>
    </row>
    <row r="6835" spans="1:10" x14ac:dyDescent="0.75">
      <c r="A6835" t="s">
        <v>151</v>
      </c>
      <c r="B6835">
        <v>1913</v>
      </c>
      <c r="C6835" t="s">
        <v>20</v>
      </c>
      <c r="D6835">
        <v>4331</v>
      </c>
      <c r="E6835" t="s">
        <v>390</v>
      </c>
      <c r="F6835" s="4">
        <v>1424</v>
      </c>
      <c r="G6835" s="4">
        <v>7648</v>
      </c>
      <c r="H6835" s="4">
        <v>7647</v>
      </c>
      <c r="I6835" s="4">
        <v>1</v>
      </c>
      <c r="J6835" s="4">
        <v>9072</v>
      </c>
    </row>
    <row r="6836" spans="1:10" x14ac:dyDescent="0.75">
      <c r="A6836" t="s">
        <v>151</v>
      </c>
      <c r="B6836">
        <v>1913</v>
      </c>
      <c r="C6836" t="s">
        <v>20</v>
      </c>
      <c r="D6836">
        <v>6134</v>
      </c>
      <c r="E6836" t="s">
        <v>470</v>
      </c>
      <c r="F6836" s="4">
        <v>405</v>
      </c>
      <c r="G6836" s="4">
        <v>8060</v>
      </c>
      <c r="H6836" s="4">
        <v>7912</v>
      </c>
      <c r="I6836" s="4">
        <v>148</v>
      </c>
      <c r="J6836" s="4">
        <v>8465</v>
      </c>
    </row>
    <row r="6837" spans="1:10" x14ac:dyDescent="0.75">
      <c r="A6837" t="s">
        <v>151</v>
      </c>
      <c r="B6837">
        <v>1913</v>
      </c>
      <c r="C6837" t="s">
        <v>20</v>
      </c>
      <c r="D6837">
        <v>5312</v>
      </c>
      <c r="E6837" t="s">
        <v>416</v>
      </c>
      <c r="F6837" s="4">
        <v>0</v>
      </c>
      <c r="G6837" s="4">
        <v>8191</v>
      </c>
      <c r="H6837" s="4">
        <v>8191</v>
      </c>
      <c r="I6837" s="4">
        <v>0</v>
      </c>
      <c r="J6837" s="4">
        <v>8191</v>
      </c>
    </row>
    <row r="6838" spans="1:10" x14ac:dyDescent="0.75">
      <c r="A6838" t="s">
        <v>151</v>
      </c>
      <c r="B6838">
        <v>1913</v>
      </c>
      <c r="C6838" t="s">
        <v>20</v>
      </c>
      <c r="D6838">
        <v>6856</v>
      </c>
      <c r="E6838" t="s">
        <v>486</v>
      </c>
      <c r="F6838" s="4">
        <v>0</v>
      </c>
      <c r="G6838" s="4">
        <v>7610</v>
      </c>
      <c r="H6838" s="4">
        <v>7610</v>
      </c>
      <c r="I6838" s="4">
        <v>0</v>
      </c>
      <c r="J6838" s="4">
        <v>7610</v>
      </c>
    </row>
    <row r="6839" spans="1:10" x14ac:dyDescent="0.75">
      <c r="A6839" t="s">
        <v>151</v>
      </c>
      <c r="B6839">
        <v>1913</v>
      </c>
      <c r="C6839" t="s">
        <v>20</v>
      </c>
      <c r="D6839">
        <v>6136</v>
      </c>
      <c r="E6839" t="s">
        <v>471</v>
      </c>
      <c r="F6839" s="4">
        <v>59</v>
      </c>
      <c r="G6839" s="4">
        <v>7123</v>
      </c>
      <c r="H6839" s="4">
        <v>7013</v>
      </c>
      <c r="I6839" s="4">
        <v>110</v>
      </c>
      <c r="J6839" s="4">
        <v>7182</v>
      </c>
    </row>
    <row r="6840" spans="1:10" x14ac:dyDescent="0.75">
      <c r="A6840" t="s">
        <v>151</v>
      </c>
      <c r="B6840">
        <v>1913</v>
      </c>
      <c r="C6840" t="s">
        <v>20</v>
      </c>
      <c r="D6840">
        <v>2350</v>
      </c>
      <c r="E6840" t="s">
        <v>404</v>
      </c>
      <c r="F6840" s="4">
        <v>2502</v>
      </c>
      <c r="G6840" s="4">
        <v>3846</v>
      </c>
      <c r="H6840" s="4">
        <v>1878</v>
      </c>
      <c r="I6840" s="4">
        <v>1968</v>
      </c>
      <c r="J6840" s="4">
        <v>6348</v>
      </c>
    </row>
    <row r="6841" spans="1:10" x14ac:dyDescent="0.75">
      <c r="A6841" t="s">
        <v>151</v>
      </c>
      <c r="B6841">
        <v>1913</v>
      </c>
      <c r="C6841" t="s">
        <v>20</v>
      </c>
      <c r="D6841">
        <v>1100</v>
      </c>
      <c r="E6841" t="s">
        <v>397</v>
      </c>
      <c r="F6841" s="4">
        <v>0</v>
      </c>
      <c r="G6841" s="4">
        <v>5946</v>
      </c>
      <c r="H6841" s="4">
        <v>5946</v>
      </c>
      <c r="I6841" s="4">
        <v>0</v>
      </c>
      <c r="J6841" s="4">
        <v>5946</v>
      </c>
    </row>
    <row r="6842" spans="1:10" x14ac:dyDescent="0.75">
      <c r="A6842" t="s">
        <v>151</v>
      </c>
      <c r="B6842">
        <v>1913</v>
      </c>
      <c r="C6842" t="s">
        <v>20</v>
      </c>
      <c r="D6842">
        <v>7800</v>
      </c>
      <c r="E6842" t="s">
        <v>507</v>
      </c>
      <c r="F6842" s="4">
        <v>5730</v>
      </c>
      <c r="G6842" s="4">
        <v>0</v>
      </c>
      <c r="H6842" s="4">
        <v>0</v>
      </c>
      <c r="I6842" s="4">
        <v>0</v>
      </c>
      <c r="J6842" s="4">
        <v>5730</v>
      </c>
    </row>
    <row r="6843" spans="1:10" x14ac:dyDescent="0.75">
      <c r="A6843" t="s">
        <v>151</v>
      </c>
      <c r="B6843">
        <v>1913</v>
      </c>
      <c r="C6843" t="s">
        <v>20</v>
      </c>
      <c r="D6843">
        <v>3230</v>
      </c>
      <c r="E6843" t="s">
        <v>434</v>
      </c>
      <c r="F6843" s="4">
        <v>47</v>
      </c>
      <c r="G6843" s="4">
        <v>5363</v>
      </c>
      <c r="H6843" s="4">
        <v>5338</v>
      </c>
      <c r="I6843" s="4">
        <v>25</v>
      </c>
      <c r="J6843" s="4">
        <v>5410</v>
      </c>
    </row>
    <row r="6844" spans="1:10" x14ac:dyDescent="0.75">
      <c r="A6844" t="s">
        <v>151</v>
      </c>
      <c r="B6844">
        <v>1913</v>
      </c>
      <c r="C6844" t="s">
        <v>20</v>
      </c>
      <c r="D6844">
        <v>4783</v>
      </c>
      <c r="E6844" t="s">
        <v>382</v>
      </c>
      <c r="F6844" s="4">
        <v>14</v>
      </c>
      <c r="G6844" s="4">
        <v>5364</v>
      </c>
      <c r="H6844" s="4">
        <v>5212</v>
      </c>
      <c r="I6844" s="4">
        <v>152</v>
      </c>
      <c r="J6844" s="4">
        <v>5378</v>
      </c>
    </row>
    <row r="6845" spans="1:10" x14ac:dyDescent="0.75">
      <c r="A6845" t="s">
        <v>151</v>
      </c>
      <c r="B6845">
        <v>1913</v>
      </c>
      <c r="C6845" t="s">
        <v>20</v>
      </c>
      <c r="D6845">
        <v>6899</v>
      </c>
      <c r="E6845" t="s">
        <v>498</v>
      </c>
      <c r="F6845" s="4">
        <v>3932</v>
      </c>
      <c r="G6845" s="4">
        <v>1353</v>
      </c>
      <c r="H6845" s="4">
        <v>1299</v>
      </c>
      <c r="I6845" s="4">
        <v>54</v>
      </c>
      <c r="J6845" s="4">
        <v>5285</v>
      </c>
    </row>
    <row r="6846" spans="1:10" x14ac:dyDescent="0.75">
      <c r="A6846" t="s">
        <v>151</v>
      </c>
      <c r="B6846">
        <v>1913</v>
      </c>
      <c r="C6846" t="s">
        <v>20</v>
      </c>
      <c r="D6846">
        <v>3292</v>
      </c>
      <c r="E6846" t="s">
        <v>413</v>
      </c>
      <c r="F6846" s="4">
        <v>1165</v>
      </c>
      <c r="G6846" s="4">
        <v>3833</v>
      </c>
      <c r="H6846" s="4">
        <v>2707</v>
      </c>
      <c r="I6846" s="4">
        <v>1126</v>
      </c>
      <c r="J6846" s="4">
        <v>4998</v>
      </c>
    </row>
    <row r="6847" spans="1:10" x14ac:dyDescent="0.75">
      <c r="A6847" t="s">
        <v>151</v>
      </c>
      <c r="B6847">
        <v>1913</v>
      </c>
      <c r="C6847" t="s">
        <v>20</v>
      </c>
      <c r="D6847">
        <v>3240</v>
      </c>
      <c r="E6847" t="s">
        <v>410</v>
      </c>
      <c r="F6847" s="4">
        <v>0</v>
      </c>
      <c r="G6847" s="4">
        <v>4988</v>
      </c>
      <c r="H6847" s="4">
        <v>4818</v>
      </c>
      <c r="I6847" s="4">
        <v>170</v>
      </c>
      <c r="J6847" s="4">
        <v>4988</v>
      </c>
    </row>
    <row r="6848" spans="1:10" x14ac:dyDescent="0.75">
      <c r="A6848" t="s">
        <v>151</v>
      </c>
      <c r="B6848">
        <v>1913</v>
      </c>
      <c r="C6848" t="s">
        <v>20</v>
      </c>
      <c r="D6848">
        <v>3291</v>
      </c>
      <c r="E6848" t="s">
        <v>444</v>
      </c>
      <c r="F6848" s="4">
        <v>3446</v>
      </c>
      <c r="G6848" s="4">
        <v>934</v>
      </c>
      <c r="H6848" s="4">
        <v>508</v>
      </c>
      <c r="I6848" s="4">
        <v>426</v>
      </c>
      <c r="J6848" s="4">
        <v>4380</v>
      </c>
    </row>
    <row r="6849" spans="1:10" x14ac:dyDescent="0.75">
      <c r="A6849" t="s">
        <v>151</v>
      </c>
      <c r="B6849">
        <v>1913</v>
      </c>
      <c r="C6849" t="s">
        <v>20</v>
      </c>
      <c r="D6849">
        <v>4860</v>
      </c>
      <c r="E6849" t="s">
        <v>400</v>
      </c>
      <c r="F6849" s="4">
        <v>0</v>
      </c>
      <c r="G6849" s="4">
        <v>4198</v>
      </c>
      <c r="H6849" s="4">
        <v>4198</v>
      </c>
      <c r="I6849" s="4">
        <v>0</v>
      </c>
      <c r="J6849" s="4">
        <v>4198</v>
      </c>
    </row>
    <row r="6850" spans="1:10" x14ac:dyDescent="0.75">
      <c r="A6850" t="s">
        <v>151</v>
      </c>
      <c r="B6850">
        <v>1913</v>
      </c>
      <c r="C6850" t="s">
        <v>20</v>
      </c>
      <c r="D6850">
        <v>6781</v>
      </c>
      <c r="E6850" t="s">
        <v>479</v>
      </c>
      <c r="F6850" s="4">
        <v>0</v>
      </c>
      <c r="G6850" s="4">
        <v>4052</v>
      </c>
      <c r="H6850" s="4">
        <v>3987</v>
      </c>
      <c r="I6850" s="4">
        <v>65</v>
      </c>
      <c r="J6850" s="4">
        <v>4052</v>
      </c>
    </row>
    <row r="6851" spans="1:10" x14ac:dyDescent="0.75">
      <c r="A6851" t="s">
        <v>151</v>
      </c>
      <c r="B6851">
        <v>1913</v>
      </c>
      <c r="C6851" t="s">
        <v>20</v>
      </c>
      <c r="D6851">
        <v>5210</v>
      </c>
      <c r="E6851" t="s">
        <v>463</v>
      </c>
      <c r="F6851" s="4">
        <v>0</v>
      </c>
      <c r="G6851" s="4">
        <v>4045</v>
      </c>
      <c r="H6851" s="4">
        <v>4045</v>
      </c>
      <c r="I6851" s="4">
        <v>0</v>
      </c>
      <c r="J6851" s="4">
        <v>4045</v>
      </c>
    </row>
    <row r="6852" spans="1:10" x14ac:dyDescent="0.75">
      <c r="A6852" t="s">
        <v>151</v>
      </c>
      <c r="B6852">
        <v>1913</v>
      </c>
      <c r="C6852" t="s">
        <v>20</v>
      </c>
      <c r="D6852">
        <v>5421</v>
      </c>
      <c r="E6852" t="s">
        <v>467</v>
      </c>
      <c r="F6852" s="4">
        <v>46</v>
      </c>
      <c r="G6852" s="4">
        <v>3932</v>
      </c>
      <c r="H6852" s="4">
        <v>3510</v>
      </c>
      <c r="I6852" s="4">
        <v>422</v>
      </c>
      <c r="J6852" s="4">
        <v>3978</v>
      </c>
    </row>
    <row r="6853" spans="1:10" x14ac:dyDescent="0.75">
      <c r="A6853" t="s">
        <v>151</v>
      </c>
      <c r="B6853">
        <v>1913</v>
      </c>
      <c r="C6853" t="s">
        <v>20</v>
      </c>
      <c r="D6853">
        <v>3219</v>
      </c>
      <c r="E6853" t="s">
        <v>378</v>
      </c>
      <c r="F6853" s="4">
        <v>0</v>
      </c>
      <c r="G6853" s="4">
        <v>3834</v>
      </c>
      <c r="H6853" s="4">
        <v>3822</v>
      </c>
      <c r="I6853" s="4">
        <v>12</v>
      </c>
      <c r="J6853" s="4">
        <v>3834</v>
      </c>
    </row>
    <row r="6854" spans="1:10" x14ac:dyDescent="0.75">
      <c r="A6854" t="s">
        <v>151</v>
      </c>
      <c r="B6854">
        <v>1913</v>
      </c>
      <c r="C6854" t="s">
        <v>20</v>
      </c>
      <c r="D6854">
        <v>4900</v>
      </c>
      <c r="E6854" t="s">
        <v>383</v>
      </c>
      <c r="F6854" s="4">
        <v>26</v>
      </c>
      <c r="G6854" s="4">
        <v>3631</v>
      </c>
      <c r="H6854" s="4">
        <v>2315</v>
      </c>
      <c r="I6854" s="4">
        <v>1316</v>
      </c>
      <c r="J6854" s="4">
        <v>3657</v>
      </c>
    </row>
    <row r="6855" spans="1:10" x14ac:dyDescent="0.75">
      <c r="A6855" t="s">
        <v>151</v>
      </c>
      <c r="B6855">
        <v>1913</v>
      </c>
      <c r="C6855" t="s">
        <v>20</v>
      </c>
      <c r="D6855">
        <v>6746</v>
      </c>
      <c r="E6855" t="s">
        <v>477</v>
      </c>
      <c r="F6855" s="4">
        <v>0</v>
      </c>
      <c r="G6855" s="4">
        <v>3322</v>
      </c>
      <c r="H6855" s="4">
        <v>342</v>
      </c>
      <c r="I6855" s="4">
        <v>2980</v>
      </c>
      <c r="J6855" s="4">
        <v>3322</v>
      </c>
    </row>
    <row r="6856" spans="1:10" x14ac:dyDescent="0.75">
      <c r="A6856" t="s">
        <v>151</v>
      </c>
      <c r="B6856">
        <v>1913</v>
      </c>
      <c r="C6856" t="s">
        <v>20</v>
      </c>
      <c r="D6856">
        <v>3279</v>
      </c>
      <c r="E6856" t="s">
        <v>422</v>
      </c>
      <c r="F6856" s="4">
        <v>0</v>
      </c>
      <c r="G6856" s="4">
        <v>3198</v>
      </c>
      <c r="H6856" s="4">
        <v>3108</v>
      </c>
      <c r="I6856" s="4">
        <v>90</v>
      </c>
      <c r="J6856" s="4">
        <v>3198</v>
      </c>
    </row>
    <row r="6857" spans="1:10" x14ac:dyDescent="0.75">
      <c r="A6857" t="s">
        <v>151</v>
      </c>
      <c r="B6857">
        <v>1913</v>
      </c>
      <c r="C6857" t="s">
        <v>20</v>
      </c>
      <c r="D6857">
        <v>3250</v>
      </c>
      <c r="E6857" t="s">
        <v>435</v>
      </c>
      <c r="F6857" s="4">
        <v>0</v>
      </c>
      <c r="G6857" s="4">
        <v>3181</v>
      </c>
      <c r="H6857" s="4">
        <v>2607</v>
      </c>
      <c r="I6857" s="4">
        <v>574</v>
      </c>
      <c r="J6857" s="4">
        <v>3181</v>
      </c>
    </row>
    <row r="6858" spans="1:10" x14ac:dyDescent="0.75">
      <c r="A6858" t="s">
        <v>151</v>
      </c>
      <c r="B6858">
        <v>1913</v>
      </c>
      <c r="C6858" t="s">
        <v>20</v>
      </c>
      <c r="D6858">
        <v>5429</v>
      </c>
      <c r="E6858" t="s">
        <v>429</v>
      </c>
      <c r="F6858" s="4">
        <v>0</v>
      </c>
      <c r="G6858" s="4">
        <v>3081</v>
      </c>
      <c r="H6858" s="4">
        <v>3081</v>
      </c>
      <c r="I6858" s="4">
        <v>0</v>
      </c>
      <c r="J6858" s="4">
        <v>3081</v>
      </c>
    </row>
    <row r="6859" spans="1:10" x14ac:dyDescent="0.75">
      <c r="A6859" t="s">
        <v>151</v>
      </c>
      <c r="B6859">
        <v>1913</v>
      </c>
      <c r="C6859" t="s">
        <v>20</v>
      </c>
      <c r="D6859">
        <v>3272</v>
      </c>
      <c r="E6859" t="s">
        <v>504</v>
      </c>
      <c r="F6859" s="4">
        <v>0</v>
      </c>
      <c r="G6859" s="4">
        <v>2979</v>
      </c>
      <c r="H6859" s="4">
        <v>2931</v>
      </c>
      <c r="I6859" s="4">
        <v>48</v>
      </c>
      <c r="J6859" s="4">
        <v>2979</v>
      </c>
    </row>
    <row r="6860" spans="1:10" x14ac:dyDescent="0.75">
      <c r="A6860" t="s">
        <v>151</v>
      </c>
      <c r="B6860">
        <v>1913</v>
      </c>
      <c r="C6860" t="s">
        <v>20</v>
      </c>
      <c r="D6860">
        <v>4170</v>
      </c>
      <c r="E6860" t="s">
        <v>424</v>
      </c>
      <c r="F6860" s="4">
        <v>131</v>
      </c>
      <c r="G6860" s="4">
        <v>2607</v>
      </c>
      <c r="H6860" s="4">
        <v>1423</v>
      </c>
      <c r="I6860" s="4">
        <v>1184</v>
      </c>
      <c r="J6860" s="4">
        <v>2738</v>
      </c>
    </row>
    <row r="6861" spans="1:10" x14ac:dyDescent="0.75">
      <c r="A6861" t="s">
        <v>151</v>
      </c>
      <c r="B6861">
        <v>1913</v>
      </c>
      <c r="C6861" t="s">
        <v>20</v>
      </c>
      <c r="D6861">
        <v>4322</v>
      </c>
      <c r="E6861" t="s">
        <v>398</v>
      </c>
      <c r="F6861" s="4">
        <v>91</v>
      </c>
      <c r="G6861" s="4">
        <v>2511</v>
      </c>
      <c r="H6861" s="4">
        <v>2511</v>
      </c>
      <c r="I6861" s="4">
        <v>0</v>
      </c>
      <c r="J6861" s="4">
        <v>2602</v>
      </c>
    </row>
    <row r="6862" spans="1:10" x14ac:dyDescent="0.75">
      <c r="A6862" t="s">
        <v>151</v>
      </c>
      <c r="B6862">
        <v>1913</v>
      </c>
      <c r="C6862" t="s">
        <v>20</v>
      </c>
      <c r="D6862">
        <v>6838</v>
      </c>
      <c r="E6862" t="s">
        <v>484</v>
      </c>
      <c r="F6862" s="4">
        <v>46</v>
      </c>
      <c r="G6862" s="4">
        <v>2483</v>
      </c>
      <c r="H6862" s="4">
        <v>2323</v>
      </c>
      <c r="I6862" s="4">
        <v>160</v>
      </c>
      <c r="J6862" s="4">
        <v>2529</v>
      </c>
    </row>
    <row r="6863" spans="1:10" x14ac:dyDescent="0.75">
      <c r="A6863" t="s">
        <v>151</v>
      </c>
      <c r="B6863">
        <v>1913</v>
      </c>
      <c r="C6863" t="s">
        <v>20</v>
      </c>
      <c r="D6863">
        <v>6445</v>
      </c>
      <c r="E6863" t="s">
        <v>474</v>
      </c>
      <c r="F6863" s="4">
        <v>20</v>
      </c>
      <c r="G6863" s="4">
        <v>2507</v>
      </c>
      <c r="H6863" s="4">
        <v>2507</v>
      </c>
      <c r="I6863" s="4">
        <v>0</v>
      </c>
      <c r="J6863" s="4">
        <v>2527</v>
      </c>
    </row>
    <row r="6864" spans="1:10" x14ac:dyDescent="0.75">
      <c r="A6864" t="s">
        <v>151</v>
      </c>
      <c r="B6864">
        <v>1913</v>
      </c>
      <c r="C6864" t="s">
        <v>20</v>
      </c>
      <c r="D6864">
        <v>6590</v>
      </c>
      <c r="E6864" t="s">
        <v>394</v>
      </c>
      <c r="F6864" s="4">
        <v>1418</v>
      </c>
      <c r="G6864" s="4">
        <v>997</v>
      </c>
      <c r="H6864" s="4">
        <v>993</v>
      </c>
      <c r="I6864" s="4">
        <v>4</v>
      </c>
      <c r="J6864" s="4">
        <v>2415</v>
      </c>
    </row>
    <row r="6865" spans="1:10" x14ac:dyDescent="0.75">
      <c r="A6865" t="s">
        <v>151</v>
      </c>
      <c r="B6865">
        <v>1913</v>
      </c>
      <c r="C6865" t="s">
        <v>20</v>
      </c>
      <c r="D6865">
        <v>4150</v>
      </c>
      <c r="E6865" t="s">
        <v>450</v>
      </c>
      <c r="F6865" s="4">
        <v>0</v>
      </c>
      <c r="G6865" s="4">
        <v>2074</v>
      </c>
      <c r="H6865" s="4">
        <v>2068</v>
      </c>
      <c r="I6865" s="4">
        <v>6</v>
      </c>
      <c r="J6865" s="4">
        <v>2074</v>
      </c>
    </row>
    <row r="6866" spans="1:10" x14ac:dyDescent="0.75">
      <c r="A6866" t="s">
        <v>151</v>
      </c>
      <c r="B6866">
        <v>1913</v>
      </c>
      <c r="C6866" t="s">
        <v>20</v>
      </c>
      <c r="D6866">
        <v>3297</v>
      </c>
      <c r="E6866" t="s">
        <v>446</v>
      </c>
      <c r="F6866" s="4">
        <v>0</v>
      </c>
      <c r="G6866" s="4">
        <v>1654</v>
      </c>
      <c r="H6866" s="4">
        <v>1295</v>
      </c>
      <c r="I6866" s="4">
        <v>359</v>
      </c>
      <c r="J6866" s="4">
        <v>1654</v>
      </c>
    </row>
    <row r="6867" spans="1:10" x14ac:dyDescent="0.75">
      <c r="A6867" t="s">
        <v>151</v>
      </c>
      <c r="B6867">
        <v>1913</v>
      </c>
      <c r="C6867" t="s">
        <v>20</v>
      </c>
      <c r="D6867">
        <v>4310</v>
      </c>
      <c r="E6867" t="s">
        <v>453</v>
      </c>
      <c r="F6867" s="4">
        <v>0</v>
      </c>
      <c r="G6867" s="4">
        <v>1639</v>
      </c>
      <c r="H6867" s="4">
        <v>1067</v>
      </c>
      <c r="I6867" s="4">
        <v>572</v>
      </c>
      <c r="J6867" s="4">
        <v>1639</v>
      </c>
    </row>
    <row r="6868" spans="1:10" x14ac:dyDescent="0.75">
      <c r="A6868" t="s">
        <v>151</v>
      </c>
      <c r="B6868">
        <v>1913</v>
      </c>
      <c r="C6868" t="s">
        <v>20</v>
      </c>
      <c r="D6868">
        <v>3273</v>
      </c>
      <c r="E6868" t="s">
        <v>411</v>
      </c>
      <c r="F6868" s="4">
        <v>1623</v>
      </c>
      <c r="G6868" s="4">
        <v>8</v>
      </c>
      <c r="H6868" s="4">
        <v>8</v>
      </c>
      <c r="I6868" s="4">
        <v>0</v>
      </c>
      <c r="J6868" s="4">
        <v>1631</v>
      </c>
    </row>
    <row r="6869" spans="1:10" x14ac:dyDescent="0.75">
      <c r="A6869" t="s">
        <v>151</v>
      </c>
      <c r="B6869">
        <v>1913</v>
      </c>
      <c r="C6869" t="s">
        <v>20</v>
      </c>
      <c r="D6869">
        <v>2429</v>
      </c>
      <c r="E6869" t="s">
        <v>375</v>
      </c>
      <c r="F6869" s="4">
        <v>0</v>
      </c>
      <c r="G6869" s="4">
        <v>1551</v>
      </c>
      <c r="H6869" s="4">
        <v>20</v>
      </c>
      <c r="I6869" s="4">
        <v>1531</v>
      </c>
      <c r="J6869" s="4">
        <v>1551</v>
      </c>
    </row>
    <row r="6870" spans="1:10" x14ac:dyDescent="0.75">
      <c r="A6870" t="s">
        <v>151</v>
      </c>
      <c r="B6870">
        <v>1913</v>
      </c>
      <c r="C6870" t="s">
        <v>20</v>
      </c>
      <c r="D6870">
        <v>4190</v>
      </c>
      <c r="E6870" t="s">
        <v>452</v>
      </c>
      <c r="F6870" s="4">
        <v>1116</v>
      </c>
      <c r="G6870" s="4">
        <v>175</v>
      </c>
      <c r="H6870" s="4">
        <v>145</v>
      </c>
      <c r="I6870" s="4">
        <v>30</v>
      </c>
      <c r="J6870" s="4">
        <v>1291</v>
      </c>
    </row>
    <row r="6871" spans="1:10" x14ac:dyDescent="0.75">
      <c r="A6871" t="s">
        <v>151</v>
      </c>
      <c r="B6871">
        <v>1913</v>
      </c>
      <c r="C6871" t="s">
        <v>20</v>
      </c>
      <c r="D6871">
        <v>3130</v>
      </c>
      <c r="E6871" t="s">
        <v>407</v>
      </c>
      <c r="F6871" s="4">
        <v>0</v>
      </c>
      <c r="G6871" s="4">
        <v>1259</v>
      </c>
      <c r="H6871" s="4">
        <v>1259</v>
      </c>
      <c r="I6871" s="4">
        <v>0</v>
      </c>
      <c r="J6871" s="4">
        <v>1259</v>
      </c>
    </row>
    <row r="6872" spans="1:10" x14ac:dyDescent="0.75">
      <c r="A6872" t="s">
        <v>151</v>
      </c>
      <c r="B6872">
        <v>1913</v>
      </c>
      <c r="C6872" t="s">
        <v>20</v>
      </c>
      <c r="D6872">
        <v>3260</v>
      </c>
      <c r="E6872" t="s">
        <v>436</v>
      </c>
      <c r="F6872" s="4">
        <v>0</v>
      </c>
      <c r="G6872" s="4">
        <v>1215</v>
      </c>
      <c r="H6872" s="4">
        <v>1196</v>
      </c>
      <c r="I6872" s="4">
        <v>19</v>
      </c>
      <c r="J6872" s="4">
        <v>1215</v>
      </c>
    </row>
    <row r="6873" spans="1:10" x14ac:dyDescent="0.75">
      <c r="A6873" t="s">
        <v>151</v>
      </c>
      <c r="B6873">
        <v>1913</v>
      </c>
      <c r="C6873" t="s">
        <v>20</v>
      </c>
      <c r="D6873">
        <v>2430</v>
      </c>
      <c r="E6873" t="s">
        <v>376</v>
      </c>
      <c r="F6873" s="4">
        <v>0</v>
      </c>
      <c r="G6873" s="4">
        <v>1115</v>
      </c>
      <c r="H6873" s="4">
        <v>1115</v>
      </c>
      <c r="I6873" s="4">
        <v>0</v>
      </c>
      <c r="J6873" s="4">
        <v>1115</v>
      </c>
    </row>
    <row r="6874" spans="1:10" x14ac:dyDescent="0.75">
      <c r="A6874" t="s">
        <v>151</v>
      </c>
      <c r="B6874">
        <v>1913</v>
      </c>
      <c r="C6874" t="s">
        <v>20</v>
      </c>
      <c r="D6874">
        <v>6893</v>
      </c>
      <c r="E6874" t="s">
        <v>496</v>
      </c>
      <c r="F6874" s="4">
        <v>0</v>
      </c>
      <c r="G6874" s="4">
        <v>1046</v>
      </c>
      <c r="H6874" s="4">
        <v>1046</v>
      </c>
      <c r="I6874" s="4">
        <v>0</v>
      </c>
      <c r="J6874" s="4">
        <v>1046</v>
      </c>
    </row>
    <row r="6875" spans="1:10" x14ac:dyDescent="0.75">
      <c r="A6875" t="s">
        <v>151</v>
      </c>
      <c r="B6875">
        <v>1913</v>
      </c>
      <c r="C6875" t="s">
        <v>20</v>
      </c>
      <c r="D6875">
        <v>7220</v>
      </c>
      <c r="E6875" t="s">
        <v>500</v>
      </c>
      <c r="F6875" s="4">
        <v>21</v>
      </c>
      <c r="G6875" s="4">
        <v>753</v>
      </c>
      <c r="H6875" s="4">
        <v>731</v>
      </c>
      <c r="I6875" s="4">
        <v>22</v>
      </c>
      <c r="J6875" s="4">
        <v>774</v>
      </c>
    </row>
    <row r="6876" spans="1:10" x14ac:dyDescent="0.75">
      <c r="A6876" t="s">
        <v>151</v>
      </c>
      <c r="B6876">
        <v>1913</v>
      </c>
      <c r="C6876" t="s">
        <v>20</v>
      </c>
      <c r="D6876">
        <v>6894</v>
      </c>
      <c r="E6876" t="s">
        <v>497</v>
      </c>
      <c r="F6876" s="4">
        <v>0</v>
      </c>
      <c r="G6876" s="4">
        <v>754</v>
      </c>
      <c r="H6876" s="4">
        <v>752</v>
      </c>
      <c r="I6876" s="4">
        <v>2</v>
      </c>
      <c r="J6876" s="4">
        <v>754</v>
      </c>
    </row>
    <row r="6877" spans="1:10" x14ac:dyDescent="0.75">
      <c r="A6877" t="s">
        <v>151</v>
      </c>
      <c r="B6877">
        <v>1913</v>
      </c>
      <c r="C6877" t="s">
        <v>20</v>
      </c>
      <c r="D6877">
        <v>4161</v>
      </c>
      <c r="E6877" t="s">
        <v>421</v>
      </c>
      <c r="F6877" s="4">
        <v>381</v>
      </c>
      <c r="G6877" s="4">
        <v>248</v>
      </c>
      <c r="H6877" s="4">
        <v>170</v>
      </c>
      <c r="I6877" s="4">
        <v>78</v>
      </c>
      <c r="J6877" s="4">
        <v>629</v>
      </c>
    </row>
    <row r="6878" spans="1:10" x14ac:dyDescent="0.75">
      <c r="A6878" t="s">
        <v>151</v>
      </c>
      <c r="B6878">
        <v>1913</v>
      </c>
      <c r="C6878" t="s">
        <v>20</v>
      </c>
      <c r="D6878">
        <v>7230</v>
      </c>
      <c r="E6878" t="s">
        <v>387</v>
      </c>
      <c r="F6878" s="4">
        <v>86</v>
      </c>
      <c r="G6878" s="4">
        <v>466</v>
      </c>
      <c r="H6878" s="4">
        <v>400</v>
      </c>
      <c r="I6878" s="4">
        <v>66</v>
      </c>
      <c r="J6878" s="4">
        <v>552</v>
      </c>
    </row>
    <row r="6879" spans="1:10" x14ac:dyDescent="0.75">
      <c r="A6879" t="s">
        <v>151</v>
      </c>
      <c r="B6879">
        <v>1913</v>
      </c>
      <c r="C6879" t="s">
        <v>20</v>
      </c>
      <c r="D6879">
        <v>4782</v>
      </c>
      <c r="E6879" t="s">
        <v>414</v>
      </c>
      <c r="F6879" s="4">
        <v>48</v>
      </c>
      <c r="G6879" s="4">
        <v>483</v>
      </c>
      <c r="H6879" s="4">
        <v>483</v>
      </c>
      <c r="I6879" s="4">
        <v>0</v>
      </c>
      <c r="J6879" s="4">
        <v>531</v>
      </c>
    </row>
    <row r="6880" spans="1:10" x14ac:dyDescent="0.75">
      <c r="A6880" t="s">
        <v>151</v>
      </c>
      <c r="B6880">
        <v>1913</v>
      </c>
      <c r="C6880" t="s">
        <v>20</v>
      </c>
      <c r="D6880">
        <v>4650</v>
      </c>
      <c r="E6880" t="s">
        <v>457</v>
      </c>
      <c r="F6880" s="4">
        <v>0</v>
      </c>
      <c r="G6880" s="4">
        <v>451</v>
      </c>
      <c r="H6880" s="4">
        <v>451</v>
      </c>
      <c r="I6880" s="4">
        <v>0</v>
      </c>
      <c r="J6880" s="4">
        <v>451</v>
      </c>
    </row>
    <row r="6881" spans="1:10" x14ac:dyDescent="0.75">
      <c r="A6881" t="s">
        <v>151</v>
      </c>
      <c r="B6881">
        <v>1913</v>
      </c>
      <c r="C6881" t="s">
        <v>20</v>
      </c>
      <c r="D6881">
        <v>3120</v>
      </c>
      <c r="E6881" t="s">
        <v>406</v>
      </c>
      <c r="F6881" s="4">
        <v>150</v>
      </c>
      <c r="G6881" s="4">
        <v>212</v>
      </c>
      <c r="H6881" s="4">
        <v>212</v>
      </c>
      <c r="I6881" s="4">
        <v>0</v>
      </c>
      <c r="J6881" s="4">
        <v>362</v>
      </c>
    </row>
    <row r="6882" spans="1:10" x14ac:dyDescent="0.75">
      <c r="A6882" t="s">
        <v>151</v>
      </c>
      <c r="B6882">
        <v>1913</v>
      </c>
      <c r="C6882" t="s">
        <v>20</v>
      </c>
      <c r="D6882">
        <v>3211</v>
      </c>
      <c r="E6882" t="s">
        <v>433</v>
      </c>
      <c r="F6882" s="4">
        <v>115</v>
      </c>
      <c r="G6882" s="4">
        <v>221</v>
      </c>
      <c r="H6882" s="4">
        <v>221</v>
      </c>
      <c r="I6882" s="4">
        <v>0</v>
      </c>
      <c r="J6882" s="4">
        <v>336</v>
      </c>
    </row>
    <row r="6883" spans="1:10" x14ac:dyDescent="0.75">
      <c r="A6883" t="s">
        <v>151</v>
      </c>
      <c r="B6883">
        <v>1913</v>
      </c>
      <c r="C6883" t="s">
        <v>20</v>
      </c>
      <c r="D6883">
        <v>7300</v>
      </c>
      <c r="E6883" t="s">
        <v>501</v>
      </c>
      <c r="F6883" s="4">
        <v>0</v>
      </c>
      <c r="G6883" s="4">
        <v>335</v>
      </c>
      <c r="H6883" s="4">
        <v>335</v>
      </c>
      <c r="I6883" s="4">
        <v>0</v>
      </c>
      <c r="J6883" s="4">
        <v>335</v>
      </c>
    </row>
    <row r="6884" spans="1:10" x14ac:dyDescent="0.75">
      <c r="A6884" t="s">
        <v>151</v>
      </c>
      <c r="B6884">
        <v>1913</v>
      </c>
      <c r="C6884" t="s">
        <v>20</v>
      </c>
      <c r="D6884">
        <v>2990</v>
      </c>
      <c r="E6884" t="s">
        <v>432</v>
      </c>
      <c r="F6884" s="4">
        <v>53</v>
      </c>
      <c r="G6884" s="4">
        <v>226</v>
      </c>
      <c r="H6884" s="4">
        <v>226</v>
      </c>
      <c r="I6884" s="4">
        <v>0</v>
      </c>
      <c r="J6884" s="4">
        <v>279</v>
      </c>
    </row>
    <row r="6885" spans="1:10" x14ac:dyDescent="0.75">
      <c r="A6885" t="s">
        <v>151</v>
      </c>
      <c r="B6885">
        <v>1913</v>
      </c>
      <c r="C6885" t="s">
        <v>20</v>
      </c>
      <c r="D6885">
        <v>3274</v>
      </c>
      <c r="E6885" t="s">
        <v>438</v>
      </c>
      <c r="F6885" s="4">
        <v>29</v>
      </c>
      <c r="G6885" s="4">
        <v>245</v>
      </c>
      <c r="H6885" s="4">
        <v>188</v>
      </c>
      <c r="I6885" s="4">
        <v>57</v>
      </c>
      <c r="J6885" s="4">
        <v>274</v>
      </c>
    </row>
    <row r="6886" spans="1:10" x14ac:dyDescent="0.75">
      <c r="A6886" t="s">
        <v>151</v>
      </c>
      <c r="B6886">
        <v>1913</v>
      </c>
      <c r="C6886" t="s">
        <v>20</v>
      </c>
      <c r="D6886">
        <v>2410</v>
      </c>
      <c r="E6886" t="s">
        <v>430</v>
      </c>
      <c r="F6886" s="4">
        <v>0</v>
      </c>
      <c r="G6886" s="4">
        <v>255</v>
      </c>
      <c r="H6886" s="4">
        <v>236</v>
      </c>
      <c r="I6886" s="4">
        <v>19</v>
      </c>
      <c r="J6886" s="4">
        <v>255</v>
      </c>
    </row>
    <row r="6887" spans="1:10" x14ac:dyDescent="0.75">
      <c r="A6887" t="s">
        <v>151</v>
      </c>
      <c r="B6887">
        <v>1913</v>
      </c>
      <c r="C6887" t="s">
        <v>20</v>
      </c>
      <c r="D6887">
        <v>3283</v>
      </c>
      <c r="E6887" t="s">
        <v>441</v>
      </c>
      <c r="F6887" s="4">
        <v>0</v>
      </c>
      <c r="G6887" s="4">
        <v>221</v>
      </c>
      <c r="H6887" s="4">
        <v>207</v>
      </c>
      <c r="I6887" s="4">
        <v>14</v>
      </c>
      <c r="J6887" s="4">
        <v>221</v>
      </c>
    </row>
    <row r="6888" spans="1:10" x14ac:dyDescent="0.75">
      <c r="A6888" t="s">
        <v>151</v>
      </c>
      <c r="B6888">
        <v>1913</v>
      </c>
      <c r="C6888" t="s">
        <v>20</v>
      </c>
      <c r="D6888">
        <v>3298</v>
      </c>
      <c r="E6888" t="s">
        <v>447</v>
      </c>
      <c r="F6888" s="4">
        <v>0</v>
      </c>
      <c r="G6888" s="4">
        <v>148</v>
      </c>
      <c r="H6888" s="4">
        <v>148</v>
      </c>
      <c r="I6888" s="4">
        <v>0</v>
      </c>
      <c r="J6888" s="4">
        <v>148</v>
      </c>
    </row>
    <row r="6889" spans="1:10" x14ac:dyDescent="0.75">
      <c r="A6889" t="s">
        <v>151</v>
      </c>
      <c r="B6889">
        <v>1913</v>
      </c>
      <c r="C6889" t="s">
        <v>20</v>
      </c>
      <c r="D6889">
        <v>8900</v>
      </c>
      <c r="E6889" t="s">
        <v>506</v>
      </c>
      <c r="F6889" s="4">
        <v>109</v>
      </c>
      <c r="G6889" s="4">
        <v>0</v>
      </c>
      <c r="H6889" s="4">
        <v>0</v>
      </c>
      <c r="I6889" s="4">
        <v>0</v>
      </c>
      <c r="J6889" s="4">
        <v>109</v>
      </c>
    </row>
    <row r="6890" spans="1:10" x14ac:dyDescent="0.75">
      <c r="A6890" t="s">
        <v>151</v>
      </c>
      <c r="B6890">
        <v>1913</v>
      </c>
      <c r="C6890" t="s">
        <v>20</v>
      </c>
      <c r="D6890">
        <v>3212</v>
      </c>
      <c r="E6890" t="s">
        <v>409</v>
      </c>
      <c r="F6890" s="4">
        <v>0</v>
      </c>
      <c r="G6890" s="4">
        <v>107</v>
      </c>
      <c r="H6890" s="4">
        <v>107</v>
      </c>
      <c r="I6890" s="4">
        <v>0</v>
      </c>
      <c r="J6890" s="4">
        <v>107</v>
      </c>
    </row>
    <row r="6891" spans="1:10" x14ac:dyDescent="0.75">
      <c r="A6891" t="s">
        <v>151</v>
      </c>
      <c r="B6891">
        <v>1913</v>
      </c>
      <c r="C6891" t="s">
        <v>20</v>
      </c>
      <c r="D6891">
        <v>6521</v>
      </c>
      <c r="E6891" t="s">
        <v>476</v>
      </c>
      <c r="F6891" s="4">
        <v>78</v>
      </c>
      <c r="G6891" s="4">
        <v>0</v>
      </c>
      <c r="H6891" s="4">
        <v>0</v>
      </c>
      <c r="I6891" s="4">
        <v>0</v>
      </c>
      <c r="J6891" s="4">
        <v>78</v>
      </c>
    </row>
    <row r="6892" spans="1:10" x14ac:dyDescent="0.75">
      <c r="A6892" t="s">
        <v>151</v>
      </c>
      <c r="B6892">
        <v>1913</v>
      </c>
      <c r="C6892" t="s">
        <v>20</v>
      </c>
      <c r="D6892">
        <v>4630</v>
      </c>
      <c r="E6892" t="s">
        <v>456</v>
      </c>
      <c r="F6892" s="4">
        <v>0</v>
      </c>
      <c r="G6892" s="4">
        <v>68</v>
      </c>
      <c r="H6892" s="4">
        <v>0</v>
      </c>
      <c r="I6892" s="4">
        <v>68</v>
      </c>
      <c r="J6892" s="4">
        <v>68</v>
      </c>
    </row>
    <row r="6893" spans="1:10" x14ac:dyDescent="0.75">
      <c r="A6893" t="s">
        <v>151</v>
      </c>
      <c r="B6893">
        <v>1913</v>
      </c>
      <c r="C6893" t="s">
        <v>20</v>
      </c>
      <c r="D6893">
        <v>3271</v>
      </c>
      <c r="E6893" t="s">
        <v>437</v>
      </c>
      <c r="F6893" s="4">
        <v>0</v>
      </c>
      <c r="G6893" s="4">
        <v>53</v>
      </c>
      <c r="H6893" s="4">
        <v>53</v>
      </c>
      <c r="I6893" s="4">
        <v>0</v>
      </c>
      <c r="J6893" s="4">
        <v>53</v>
      </c>
    </row>
    <row r="6894" spans="1:10" x14ac:dyDescent="0.75">
      <c r="A6894" t="s">
        <v>151</v>
      </c>
      <c r="B6894">
        <v>1913</v>
      </c>
      <c r="C6894" t="s">
        <v>20</v>
      </c>
      <c r="D6894">
        <v>4323</v>
      </c>
      <c r="E6894" t="s">
        <v>373</v>
      </c>
      <c r="F6894" s="4">
        <v>0</v>
      </c>
      <c r="G6894" s="4">
        <v>50</v>
      </c>
      <c r="H6894" s="4">
        <v>50</v>
      </c>
      <c r="I6894" s="4">
        <v>0</v>
      </c>
      <c r="J6894" s="4">
        <v>50</v>
      </c>
    </row>
    <row r="6895" spans="1:10" x14ac:dyDescent="0.75">
      <c r="A6895" t="s">
        <v>151</v>
      </c>
      <c r="B6895">
        <v>1913</v>
      </c>
      <c r="C6895" t="s">
        <v>20</v>
      </c>
      <c r="D6895">
        <v>6872</v>
      </c>
      <c r="E6895" t="s">
        <v>492</v>
      </c>
      <c r="F6895" s="4">
        <v>0</v>
      </c>
      <c r="G6895" s="4">
        <v>49</v>
      </c>
      <c r="H6895" s="4">
        <v>49</v>
      </c>
      <c r="I6895" s="4">
        <v>0</v>
      </c>
      <c r="J6895" s="4">
        <v>49</v>
      </c>
    </row>
    <row r="6896" spans="1:10" x14ac:dyDescent="0.75">
      <c r="A6896" t="s">
        <v>151</v>
      </c>
      <c r="B6896">
        <v>1913</v>
      </c>
      <c r="C6896" t="s">
        <v>20</v>
      </c>
      <c r="D6896">
        <v>4338</v>
      </c>
      <c r="E6896" t="s">
        <v>509</v>
      </c>
      <c r="F6896" s="4">
        <v>48</v>
      </c>
      <c r="G6896" s="4">
        <v>0</v>
      </c>
      <c r="H6896" s="4">
        <v>0</v>
      </c>
      <c r="I6896" s="4">
        <v>0</v>
      </c>
      <c r="J6896" s="4">
        <v>48</v>
      </c>
    </row>
    <row r="6897" spans="1:10" x14ac:dyDescent="0.75">
      <c r="A6897" t="s">
        <v>151</v>
      </c>
      <c r="B6897">
        <v>1913</v>
      </c>
      <c r="C6897" t="s">
        <v>20</v>
      </c>
      <c r="D6897">
        <v>3293</v>
      </c>
      <c r="E6897" t="s">
        <v>445</v>
      </c>
      <c r="F6897" s="4">
        <v>0</v>
      </c>
      <c r="G6897" s="4">
        <v>25</v>
      </c>
      <c r="H6897" s="4">
        <v>25</v>
      </c>
      <c r="I6897" s="4">
        <v>0</v>
      </c>
      <c r="J6897" s="4">
        <v>25</v>
      </c>
    </row>
    <row r="6898" spans="1:10" x14ac:dyDescent="0.75">
      <c r="A6898" t="s">
        <v>151</v>
      </c>
      <c r="B6898">
        <v>1913</v>
      </c>
      <c r="C6898" t="s">
        <v>20</v>
      </c>
      <c r="D6898">
        <v>4110</v>
      </c>
      <c r="E6898" t="s">
        <v>449</v>
      </c>
      <c r="F6898" s="4">
        <v>0</v>
      </c>
      <c r="G6898" s="4">
        <v>23</v>
      </c>
      <c r="H6898" s="4">
        <v>23</v>
      </c>
      <c r="I6898" s="4">
        <v>0</v>
      </c>
      <c r="J6898" s="4">
        <v>23</v>
      </c>
    </row>
    <row r="6899" spans="1:10" x14ac:dyDescent="0.75">
      <c r="A6899" t="s">
        <v>151</v>
      </c>
      <c r="B6899">
        <v>1913</v>
      </c>
      <c r="C6899" t="s">
        <v>20</v>
      </c>
      <c r="D6899">
        <v>4515</v>
      </c>
      <c r="E6899" t="s">
        <v>455</v>
      </c>
      <c r="F6899" s="4">
        <v>0</v>
      </c>
      <c r="G6899" s="4">
        <v>23</v>
      </c>
      <c r="H6899" s="4">
        <v>23</v>
      </c>
      <c r="I6899" s="4">
        <v>0</v>
      </c>
      <c r="J6899" s="4">
        <v>23</v>
      </c>
    </row>
    <row r="6900" spans="1:10" x14ac:dyDescent="0.75">
      <c r="A6900" t="s">
        <v>151</v>
      </c>
      <c r="B6900">
        <v>1913</v>
      </c>
      <c r="C6900" t="s">
        <v>20</v>
      </c>
      <c r="D6900">
        <v>5320</v>
      </c>
      <c r="E6900" t="s">
        <v>384</v>
      </c>
      <c r="F6900" s="4">
        <v>0</v>
      </c>
      <c r="G6900" s="4">
        <v>1</v>
      </c>
      <c r="H6900" s="4">
        <v>1</v>
      </c>
      <c r="I6900" s="4">
        <v>0</v>
      </c>
      <c r="J6900" s="4">
        <v>1</v>
      </c>
    </row>
    <row r="6901" spans="1:10" x14ac:dyDescent="0.75">
      <c r="A6901" t="s">
        <v>160</v>
      </c>
      <c r="B6901">
        <v>3213</v>
      </c>
      <c r="C6901" t="s">
        <v>211</v>
      </c>
      <c r="D6901">
        <v>1100</v>
      </c>
      <c r="E6901" t="s">
        <v>397</v>
      </c>
      <c r="F6901" s="4">
        <v>923912</v>
      </c>
      <c r="G6901" s="4">
        <v>1857136</v>
      </c>
      <c r="H6901" s="4">
        <v>0</v>
      </c>
      <c r="I6901" s="4">
        <v>1857136</v>
      </c>
      <c r="J6901" s="4">
        <v>2781048</v>
      </c>
    </row>
    <row r="6902" spans="1:10" x14ac:dyDescent="0.75">
      <c r="A6902" t="s">
        <v>160</v>
      </c>
      <c r="B6902">
        <v>3213</v>
      </c>
      <c r="C6902" t="s">
        <v>211</v>
      </c>
      <c r="D6902">
        <v>4783</v>
      </c>
      <c r="E6902" t="s">
        <v>382</v>
      </c>
      <c r="F6902" s="4">
        <v>18059</v>
      </c>
      <c r="G6902" s="4">
        <v>49544</v>
      </c>
      <c r="H6902" s="4">
        <v>49544</v>
      </c>
      <c r="I6902" s="4">
        <v>0</v>
      </c>
      <c r="J6902" s="4">
        <v>67603</v>
      </c>
    </row>
    <row r="6903" spans="1:10" x14ac:dyDescent="0.75">
      <c r="A6903" t="s">
        <v>160</v>
      </c>
      <c r="B6903">
        <v>3213</v>
      </c>
      <c r="C6903" t="s">
        <v>211</v>
      </c>
      <c r="D6903">
        <v>1200</v>
      </c>
      <c r="E6903" t="s">
        <v>402</v>
      </c>
      <c r="F6903" s="4">
        <v>7595</v>
      </c>
      <c r="G6903" s="4">
        <v>52359</v>
      </c>
      <c r="H6903" s="4">
        <v>0</v>
      </c>
      <c r="I6903" s="4">
        <v>52359</v>
      </c>
      <c r="J6903" s="4">
        <v>59954</v>
      </c>
    </row>
    <row r="6904" spans="1:10" x14ac:dyDescent="0.75">
      <c r="A6904" t="s">
        <v>160</v>
      </c>
      <c r="B6904">
        <v>3213</v>
      </c>
      <c r="C6904" t="s">
        <v>211</v>
      </c>
      <c r="D6904">
        <v>2540</v>
      </c>
      <c r="E6904" t="s">
        <v>377</v>
      </c>
      <c r="F6904" s="4">
        <v>0</v>
      </c>
      <c r="G6904" s="4">
        <v>31267</v>
      </c>
      <c r="H6904" s="4">
        <v>0</v>
      </c>
      <c r="I6904" s="4">
        <v>31267</v>
      </c>
      <c r="J6904" s="4">
        <v>31267</v>
      </c>
    </row>
    <row r="6905" spans="1:10" x14ac:dyDescent="0.75">
      <c r="A6905" t="s">
        <v>160</v>
      </c>
      <c r="B6905">
        <v>3213</v>
      </c>
      <c r="C6905" t="s">
        <v>211</v>
      </c>
      <c r="D6905">
        <v>6747</v>
      </c>
      <c r="E6905" t="s">
        <v>478</v>
      </c>
      <c r="F6905" s="4">
        <v>0</v>
      </c>
      <c r="G6905" s="4">
        <v>17637</v>
      </c>
      <c r="H6905" s="4">
        <v>17637</v>
      </c>
      <c r="I6905" s="4">
        <v>0</v>
      </c>
      <c r="J6905" s="4">
        <v>17637</v>
      </c>
    </row>
    <row r="6906" spans="1:10" x14ac:dyDescent="0.75">
      <c r="A6906" t="s">
        <v>160</v>
      </c>
      <c r="B6906">
        <v>3213</v>
      </c>
      <c r="C6906" t="s">
        <v>211</v>
      </c>
      <c r="D6906">
        <v>6445</v>
      </c>
      <c r="E6906" t="s">
        <v>474</v>
      </c>
      <c r="F6906" s="4">
        <v>0</v>
      </c>
      <c r="G6906" s="4">
        <v>13228</v>
      </c>
      <c r="H6906" s="4">
        <v>13228</v>
      </c>
      <c r="I6906" s="4">
        <v>0</v>
      </c>
      <c r="J6906" s="4">
        <v>13228</v>
      </c>
    </row>
    <row r="6907" spans="1:10" x14ac:dyDescent="0.75">
      <c r="A6907" t="s">
        <v>160</v>
      </c>
      <c r="B6907">
        <v>3213</v>
      </c>
      <c r="C6907" t="s">
        <v>211</v>
      </c>
      <c r="D6907">
        <v>4331</v>
      </c>
      <c r="E6907" t="s">
        <v>390</v>
      </c>
      <c r="F6907" s="4">
        <v>0</v>
      </c>
      <c r="G6907" s="4">
        <v>22</v>
      </c>
      <c r="H6907" s="4">
        <v>22</v>
      </c>
      <c r="I6907" s="4">
        <v>0</v>
      </c>
      <c r="J6907" s="4">
        <v>22</v>
      </c>
    </row>
    <row r="6908" spans="1:10" x14ac:dyDescent="0.75">
      <c r="A6908" t="s">
        <v>160</v>
      </c>
      <c r="B6908">
        <v>3817</v>
      </c>
      <c r="C6908" t="s">
        <v>257</v>
      </c>
      <c r="D6908">
        <v>1100</v>
      </c>
      <c r="E6908" t="s">
        <v>397</v>
      </c>
      <c r="F6908" s="4">
        <v>610462</v>
      </c>
      <c r="G6908" s="4">
        <v>0</v>
      </c>
      <c r="H6908" s="4">
        <v>0</v>
      </c>
      <c r="I6908" s="4">
        <v>0</v>
      </c>
      <c r="J6908" s="4">
        <v>610462</v>
      </c>
    </row>
    <row r="6909" spans="1:10" x14ac:dyDescent="0.75">
      <c r="A6909" t="s">
        <v>160</v>
      </c>
      <c r="B6909">
        <v>3817</v>
      </c>
      <c r="C6909" t="s">
        <v>257</v>
      </c>
      <c r="D6909">
        <v>4322</v>
      </c>
      <c r="E6909" t="s">
        <v>398</v>
      </c>
      <c r="F6909" s="4">
        <v>134175</v>
      </c>
      <c r="G6909" s="4">
        <v>0</v>
      </c>
      <c r="H6909" s="4">
        <v>0</v>
      </c>
      <c r="I6909" s="4">
        <v>0</v>
      </c>
      <c r="J6909" s="4">
        <v>134175</v>
      </c>
    </row>
    <row r="6910" spans="1:10" x14ac:dyDescent="0.75">
      <c r="A6910" t="s">
        <v>160</v>
      </c>
      <c r="B6910">
        <v>3817</v>
      </c>
      <c r="C6910" t="s">
        <v>257</v>
      </c>
      <c r="D6910">
        <v>4331</v>
      </c>
      <c r="E6910" t="s">
        <v>390</v>
      </c>
      <c r="F6910" s="4">
        <v>2360</v>
      </c>
      <c r="G6910" s="4">
        <v>84356</v>
      </c>
      <c r="H6910" s="4">
        <v>84356</v>
      </c>
      <c r="I6910" s="4">
        <v>0</v>
      </c>
      <c r="J6910" s="4">
        <v>86716</v>
      </c>
    </row>
    <row r="6911" spans="1:10" x14ac:dyDescent="0.75">
      <c r="A6911" t="s">
        <v>160</v>
      </c>
      <c r="B6911">
        <v>3817</v>
      </c>
      <c r="C6911" t="s">
        <v>257</v>
      </c>
      <c r="D6911">
        <v>4783</v>
      </c>
      <c r="E6911" t="s">
        <v>382</v>
      </c>
      <c r="F6911" s="4">
        <v>1497</v>
      </c>
      <c r="G6911" s="4">
        <v>37478</v>
      </c>
      <c r="H6911" s="4">
        <v>37478</v>
      </c>
      <c r="I6911" s="4">
        <v>0</v>
      </c>
      <c r="J6911" s="4">
        <v>38975</v>
      </c>
    </row>
    <row r="6912" spans="1:10" x14ac:dyDescent="0.75">
      <c r="A6912" t="s">
        <v>160</v>
      </c>
      <c r="B6912">
        <v>3817</v>
      </c>
      <c r="C6912" t="s">
        <v>257</v>
      </c>
      <c r="D6912">
        <v>7110</v>
      </c>
      <c r="E6912" t="s">
        <v>371</v>
      </c>
      <c r="F6912" s="4">
        <v>30996</v>
      </c>
      <c r="G6912" s="4">
        <v>0</v>
      </c>
      <c r="H6912" s="4">
        <v>0</v>
      </c>
      <c r="I6912" s="4">
        <v>0</v>
      </c>
      <c r="J6912" s="4">
        <v>30996</v>
      </c>
    </row>
    <row r="6913" spans="1:10" x14ac:dyDescent="0.75">
      <c r="A6913" t="s">
        <v>160</v>
      </c>
      <c r="B6913">
        <v>3817</v>
      </c>
      <c r="C6913" t="s">
        <v>257</v>
      </c>
      <c r="D6913">
        <v>4323</v>
      </c>
      <c r="E6913" t="s">
        <v>373</v>
      </c>
      <c r="F6913" s="4">
        <v>0</v>
      </c>
      <c r="G6913" s="4">
        <v>18590</v>
      </c>
      <c r="H6913" s="4">
        <v>18590</v>
      </c>
      <c r="I6913" s="4">
        <v>0</v>
      </c>
      <c r="J6913" s="4">
        <v>18590</v>
      </c>
    </row>
    <row r="6914" spans="1:10" x14ac:dyDescent="0.75">
      <c r="A6914" t="s">
        <v>160</v>
      </c>
      <c r="B6914">
        <v>3817</v>
      </c>
      <c r="C6914" t="s">
        <v>257</v>
      </c>
      <c r="D6914">
        <v>5220</v>
      </c>
      <c r="E6914" t="s">
        <v>401</v>
      </c>
      <c r="F6914" s="4">
        <v>0</v>
      </c>
      <c r="G6914" s="4">
        <v>12125</v>
      </c>
      <c r="H6914" s="4">
        <v>0</v>
      </c>
      <c r="I6914" s="4">
        <v>12125</v>
      </c>
      <c r="J6914" s="4">
        <v>12125</v>
      </c>
    </row>
    <row r="6915" spans="1:10" x14ac:dyDescent="0.75">
      <c r="A6915" t="s">
        <v>160</v>
      </c>
      <c r="B6915">
        <v>3817</v>
      </c>
      <c r="C6915" t="s">
        <v>257</v>
      </c>
      <c r="D6915">
        <v>1200</v>
      </c>
      <c r="E6915" t="s">
        <v>402</v>
      </c>
      <c r="F6915" s="4">
        <v>7595</v>
      </c>
      <c r="G6915" s="4">
        <v>0</v>
      </c>
      <c r="H6915" s="4">
        <v>0</v>
      </c>
      <c r="I6915" s="4">
        <v>0</v>
      </c>
      <c r="J6915" s="4">
        <v>7595</v>
      </c>
    </row>
    <row r="6916" spans="1:10" x14ac:dyDescent="0.75">
      <c r="A6916" t="s">
        <v>160</v>
      </c>
      <c r="B6916">
        <v>3817</v>
      </c>
      <c r="C6916" t="s">
        <v>257</v>
      </c>
      <c r="D6916">
        <v>4310</v>
      </c>
      <c r="E6916" t="s">
        <v>453</v>
      </c>
      <c r="F6916" s="4">
        <v>5075</v>
      </c>
      <c r="G6916" s="4">
        <v>0</v>
      </c>
      <c r="H6916" s="4">
        <v>0</v>
      </c>
      <c r="I6916" s="4">
        <v>0</v>
      </c>
      <c r="J6916" s="4">
        <v>5075</v>
      </c>
    </row>
    <row r="6917" spans="1:10" x14ac:dyDescent="0.75">
      <c r="A6917" t="s">
        <v>160</v>
      </c>
      <c r="B6917">
        <v>3817</v>
      </c>
      <c r="C6917" t="s">
        <v>257</v>
      </c>
      <c r="D6917">
        <v>5290</v>
      </c>
      <c r="E6917" t="s">
        <v>415</v>
      </c>
      <c r="F6917" s="4">
        <v>2275</v>
      </c>
      <c r="G6917" s="4">
        <v>0</v>
      </c>
      <c r="H6917" s="4">
        <v>0</v>
      </c>
      <c r="I6917" s="4">
        <v>0</v>
      </c>
      <c r="J6917" s="4">
        <v>2275</v>
      </c>
    </row>
    <row r="6918" spans="1:10" x14ac:dyDescent="0.75">
      <c r="A6918" t="s">
        <v>160</v>
      </c>
      <c r="B6918">
        <v>3817</v>
      </c>
      <c r="C6918" t="s">
        <v>257</v>
      </c>
      <c r="D6918">
        <v>7900</v>
      </c>
      <c r="E6918" t="s">
        <v>388</v>
      </c>
      <c r="F6918" s="4">
        <v>315</v>
      </c>
      <c r="G6918" s="4">
        <v>0</v>
      </c>
      <c r="H6918" s="4">
        <v>0</v>
      </c>
      <c r="I6918" s="4">
        <v>0</v>
      </c>
      <c r="J6918" s="4">
        <v>315</v>
      </c>
    </row>
    <row r="6919" spans="1:10" x14ac:dyDescent="0.75">
      <c r="A6919" t="s">
        <v>160</v>
      </c>
      <c r="B6919">
        <v>3817</v>
      </c>
      <c r="C6919" t="s">
        <v>257</v>
      </c>
      <c r="D6919">
        <v>7210</v>
      </c>
      <c r="E6919" t="s">
        <v>426</v>
      </c>
      <c r="F6919" s="4">
        <v>61</v>
      </c>
      <c r="G6919" s="4">
        <v>0</v>
      </c>
      <c r="H6919" s="4">
        <v>0</v>
      </c>
      <c r="I6919" s="4">
        <v>0</v>
      </c>
      <c r="J6919" s="4">
        <v>61</v>
      </c>
    </row>
    <row r="6920" spans="1:10" x14ac:dyDescent="0.75">
      <c r="A6920" t="s">
        <v>160</v>
      </c>
      <c r="B6920">
        <v>3817</v>
      </c>
      <c r="C6920" t="s">
        <v>257</v>
      </c>
      <c r="D6920">
        <v>4420</v>
      </c>
      <c r="E6920" t="s">
        <v>381</v>
      </c>
      <c r="F6920" s="4">
        <v>55</v>
      </c>
      <c r="G6920" s="4">
        <v>0</v>
      </c>
      <c r="H6920" s="4">
        <v>0</v>
      </c>
      <c r="I6920" s="4">
        <v>0</v>
      </c>
      <c r="J6920" s="4">
        <v>55</v>
      </c>
    </row>
    <row r="6921" spans="1:10" x14ac:dyDescent="0.75">
      <c r="A6921" t="s">
        <v>160</v>
      </c>
      <c r="B6921">
        <v>3817</v>
      </c>
      <c r="C6921" t="s">
        <v>257</v>
      </c>
      <c r="D6921">
        <v>4170</v>
      </c>
      <c r="E6921" t="s">
        <v>424</v>
      </c>
      <c r="F6921" s="4">
        <v>15</v>
      </c>
      <c r="G6921" s="4">
        <v>0</v>
      </c>
      <c r="H6921" s="4">
        <v>0</v>
      </c>
      <c r="I6921" s="4">
        <v>0</v>
      </c>
      <c r="J6921" s="4">
        <v>15</v>
      </c>
    </row>
    <row r="6922" spans="1:10" x14ac:dyDescent="0.75">
      <c r="A6922" t="s">
        <v>151</v>
      </c>
      <c r="B6922">
        <v>77</v>
      </c>
      <c r="C6922" t="s">
        <v>101</v>
      </c>
      <c r="D6922">
        <v>2330</v>
      </c>
      <c r="E6922" t="s">
        <v>368</v>
      </c>
      <c r="F6922" s="4">
        <v>0</v>
      </c>
      <c r="G6922" s="4">
        <v>316662</v>
      </c>
      <c r="H6922" s="4">
        <v>316662</v>
      </c>
      <c r="I6922" s="4">
        <v>0</v>
      </c>
      <c r="J6922" s="4">
        <v>316662</v>
      </c>
    </row>
    <row r="6923" spans="1:10" x14ac:dyDescent="0.75">
      <c r="A6923" t="s">
        <v>151</v>
      </c>
      <c r="B6923">
        <v>77</v>
      </c>
      <c r="C6923" t="s">
        <v>101</v>
      </c>
      <c r="D6923">
        <v>2211</v>
      </c>
      <c r="E6923" t="s">
        <v>367</v>
      </c>
      <c r="F6923" s="4">
        <v>0</v>
      </c>
      <c r="G6923" s="4">
        <v>223142</v>
      </c>
      <c r="H6923" s="4">
        <v>223142</v>
      </c>
      <c r="I6923" s="4">
        <v>0</v>
      </c>
      <c r="J6923" s="4">
        <v>223142</v>
      </c>
    </row>
    <row r="6924" spans="1:10" x14ac:dyDescent="0.75">
      <c r="A6924" t="s">
        <v>151</v>
      </c>
      <c r="B6924">
        <v>77</v>
      </c>
      <c r="C6924" t="s">
        <v>101</v>
      </c>
      <c r="D6924">
        <v>4783</v>
      </c>
      <c r="E6924" t="s">
        <v>382</v>
      </c>
      <c r="F6924" s="4">
        <v>0</v>
      </c>
      <c r="G6924" s="4">
        <v>218331</v>
      </c>
      <c r="H6924" s="4">
        <v>218331</v>
      </c>
      <c r="I6924" s="4">
        <v>0</v>
      </c>
      <c r="J6924" s="4">
        <v>218331</v>
      </c>
    </row>
    <row r="6925" spans="1:10" x14ac:dyDescent="0.75">
      <c r="A6925" t="s">
        <v>151</v>
      </c>
      <c r="B6925">
        <v>77</v>
      </c>
      <c r="C6925" t="s">
        <v>101</v>
      </c>
      <c r="D6925">
        <v>4860</v>
      </c>
      <c r="E6925" t="s">
        <v>400</v>
      </c>
      <c r="F6925" s="4">
        <v>0</v>
      </c>
      <c r="G6925" s="4">
        <v>98702</v>
      </c>
      <c r="H6925" s="4">
        <v>98702</v>
      </c>
      <c r="I6925" s="4">
        <v>0</v>
      </c>
      <c r="J6925" s="4">
        <v>98702</v>
      </c>
    </row>
    <row r="6926" spans="1:10" x14ac:dyDescent="0.75">
      <c r="A6926" t="s">
        <v>151</v>
      </c>
      <c r="B6926">
        <v>77</v>
      </c>
      <c r="C6926" t="s">
        <v>101</v>
      </c>
      <c r="D6926">
        <v>3220</v>
      </c>
      <c r="E6926" t="s">
        <v>370</v>
      </c>
      <c r="F6926" s="4">
        <v>56196</v>
      </c>
      <c r="G6926" s="4">
        <v>0</v>
      </c>
      <c r="H6926" s="4">
        <v>0</v>
      </c>
      <c r="I6926" s="4">
        <v>0</v>
      </c>
      <c r="J6926" s="4">
        <v>56196</v>
      </c>
    </row>
    <row r="6927" spans="1:10" x14ac:dyDescent="0.75">
      <c r="A6927" t="s">
        <v>151</v>
      </c>
      <c r="B6927">
        <v>77</v>
      </c>
      <c r="C6927" t="s">
        <v>101</v>
      </c>
      <c r="D6927">
        <v>2221</v>
      </c>
      <c r="E6927" t="s">
        <v>374</v>
      </c>
      <c r="F6927" s="4">
        <v>23741</v>
      </c>
      <c r="G6927" s="4">
        <v>31910</v>
      </c>
      <c r="H6927" s="4">
        <v>31910</v>
      </c>
      <c r="I6927" s="4">
        <v>0</v>
      </c>
      <c r="J6927" s="4">
        <v>55651</v>
      </c>
    </row>
    <row r="6928" spans="1:10" x14ac:dyDescent="0.75">
      <c r="A6928" t="s">
        <v>151</v>
      </c>
      <c r="B6928">
        <v>77</v>
      </c>
      <c r="C6928" t="s">
        <v>101</v>
      </c>
      <c r="D6928">
        <v>4782</v>
      </c>
      <c r="E6928" t="s">
        <v>414</v>
      </c>
      <c r="F6928" s="4">
        <v>0</v>
      </c>
      <c r="G6928" s="4">
        <v>50885</v>
      </c>
      <c r="H6928" s="4">
        <v>50885</v>
      </c>
      <c r="I6928" s="4">
        <v>0</v>
      </c>
      <c r="J6928" s="4">
        <v>50885</v>
      </c>
    </row>
    <row r="6929" spans="1:10" x14ac:dyDescent="0.75">
      <c r="A6929" t="s">
        <v>151</v>
      </c>
      <c r="B6929">
        <v>77</v>
      </c>
      <c r="C6929" t="s">
        <v>101</v>
      </c>
      <c r="D6929">
        <v>2540</v>
      </c>
      <c r="E6929" t="s">
        <v>377</v>
      </c>
      <c r="F6929" s="4">
        <v>0</v>
      </c>
      <c r="G6929" s="4">
        <v>48502</v>
      </c>
      <c r="H6929" s="4">
        <v>48502</v>
      </c>
      <c r="I6929" s="4">
        <v>0</v>
      </c>
      <c r="J6929" s="4">
        <v>48502</v>
      </c>
    </row>
    <row r="6930" spans="1:10" x14ac:dyDescent="0.75">
      <c r="A6930" t="s">
        <v>151</v>
      </c>
      <c r="B6930">
        <v>77</v>
      </c>
      <c r="C6930" t="s">
        <v>101</v>
      </c>
      <c r="D6930">
        <v>4900</v>
      </c>
      <c r="E6930" t="s">
        <v>383</v>
      </c>
      <c r="F6930" s="4">
        <v>0</v>
      </c>
      <c r="G6930" s="4">
        <v>36290</v>
      </c>
      <c r="H6930" s="4">
        <v>36290</v>
      </c>
      <c r="I6930" s="4">
        <v>0</v>
      </c>
      <c r="J6930" s="4">
        <v>36290</v>
      </c>
    </row>
    <row r="6931" spans="1:10" x14ac:dyDescent="0.75">
      <c r="A6931" t="s">
        <v>151</v>
      </c>
      <c r="B6931">
        <v>77</v>
      </c>
      <c r="C6931" t="s">
        <v>101</v>
      </c>
      <c r="D6931">
        <v>4225</v>
      </c>
      <c r="E6931" t="s">
        <v>380</v>
      </c>
      <c r="F6931" s="4">
        <v>0</v>
      </c>
      <c r="G6931" s="4">
        <v>34677</v>
      </c>
      <c r="H6931" s="4">
        <v>34677</v>
      </c>
      <c r="I6931" s="4">
        <v>0</v>
      </c>
      <c r="J6931" s="4">
        <v>34677</v>
      </c>
    </row>
    <row r="6932" spans="1:10" x14ac:dyDescent="0.75">
      <c r="A6932" t="s">
        <v>151</v>
      </c>
      <c r="B6932">
        <v>77</v>
      </c>
      <c r="C6932" t="s">
        <v>101</v>
      </c>
      <c r="D6932">
        <v>4323</v>
      </c>
      <c r="E6932" t="s">
        <v>373</v>
      </c>
      <c r="F6932" s="4">
        <v>0</v>
      </c>
      <c r="G6932" s="4">
        <v>27453</v>
      </c>
      <c r="H6932" s="4">
        <v>27453</v>
      </c>
      <c r="I6932" s="4">
        <v>0</v>
      </c>
      <c r="J6932" s="4">
        <v>27453</v>
      </c>
    </row>
    <row r="6933" spans="1:10" x14ac:dyDescent="0.75">
      <c r="A6933" t="s">
        <v>151</v>
      </c>
      <c r="B6933">
        <v>77</v>
      </c>
      <c r="C6933" t="s">
        <v>101</v>
      </c>
      <c r="D6933">
        <v>4420</v>
      </c>
      <c r="E6933" t="s">
        <v>381</v>
      </c>
      <c r="F6933" s="4">
        <v>0</v>
      </c>
      <c r="G6933" s="4">
        <v>27077</v>
      </c>
      <c r="H6933" s="4">
        <v>0</v>
      </c>
      <c r="I6933" s="4">
        <v>27077</v>
      </c>
      <c r="J6933" s="4">
        <v>27077</v>
      </c>
    </row>
    <row r="6934" spans="1:10" x14ac:dyDescent="0.75">
      <c r="A6934" t="s">
        <v>151</v>
      </c>
      <c r="B6934">
        <v>77</v>
      </c>
      <c r="C6934" t="s">
        <v>101</v>
      </c>
      <c r="D6934">
        <v>2340</v>
      </c>
      <c r="E6934" t="s">
        <v>369</v>
      </c>
      <c r="F6934" s="4">
        <v>18906</v>
      </c>
      <c r="G6934" s="4">
        <v>0</v>
      </c>
      <c r="H6934" s="4">
        <v>0</v>
      </c>
      <c r="I6934" s="4">
        <v>0</v>
      </c>
      <c r="J6934" s="4">
        <v>18906</v>
      </c>
    </row>
    <row r="6935" spans="1:10" x14ac:dyDescent="0.75">
      <c r="A6935" t="s">
        <v>151</v>
      </c>
      <c r="B6935">
        <v>77</v>
      </c>
      <c r="C6935" t="s">
        <v>101</v>
      </c>
      <c r="D6935">
        <v>3292</v>
      </c>
      <c r="E6935" t="s">
        <v>413</v>
      </c>
      <c r="F6935" s="4">
        <v>0</v>
      </c>
      <c r="G6935" s="4">
        <v>5512</v>
      </c>
      <c r="H6935" s="4">
        <v>5512</v>
      </c>
      <c r="I6935" s="4">
        <v>0</v>
      </c>
      <c r="J6935" s="4">
        <v>5512</v>
      </c>
    </row>
    <row r="6936" spans="1:10" x14ac:dyDescent="0.75">
      <c r="A6936" t="s">
        <v>151</v>
      </c>
      <c r="B6936">
        <v>77</v>
      </c>
      <c r="C6936" t="s">
        <v>101</v>
      </c>
      <c r="D6936">
        <v>3274</v>
      </c>
      <c r="E6936" t="s">
        <v>438</v>
      </c>
      <c r="F6936" s="4">
        <v>5202</v>
      </c>
      <c r="G6936" s="4">
        <v>0</v>
      </c>
      <c r="H6936" s="4">
        <v>0</v>
      </c>
      <c r="I6936" s="4">
        <v>0</v>
      </c>
      <c r="J6936" s="4">
        <v>5202</v>
      </c>
    </row>
    <row r="6937" spans="1:10" x14ac:dyDescent="0.75">
      <c r="A6937" t="s">
        <v>151</v>
      </c>
      <c r="B6937">
        <v>77</v>
      </c>
      <c r="C6937" t="s">
        <v>101</v>
      </c>
      <c r="D6937">
        <v>9900</v>
      </c>
      <c r="E6937" t="s">
        <v>389</v>
      </c>
      <c r="F6937" s="4">
        <v>0</v>
      </c>
      <c r="G6937" s="4">
        <v>3296</v>
      </c>
      <c r="H6937" s="4">
        <v>3296</v>
      </c>
      <c r="I6937" s="4">
        <v>0</v>
      </c>
      <c r="J6937" s="4">
        <v>3296</v>
      </c>
    </row>
    <row r="6938" spans="1:10" x14ac:dyDescent="0.75">
      <c r="A6938" t="s">
        <v>151</v>
      </c>
      <c r="B6938">
        <v>77</v>
      </c>
      <c r="C6938" t="s">
        <v>101</v>
      </c>
      <c r="D6938">
        <v>7110</v>
      </c>
      <c r="E6938" t="s">
        <v>371</v>
      </c>
      <c r="F6938" s="4">
        <v>0</v>
      </c>
      <c r="G6938" s="4">
        <v>1072</v>
      </c>
      <c r="H6938" s="4">
        <v>1072</v>
      </c>
      <c r="I6938" s="4">
        <v>0</v>
      </c>
      <c r="J6938" s="4">
        <v>1072</v>
      </c>
    </row>
    <row r="6939" spans="1:10" x14ac:dyDescent="0.75">
      <c r="A6939" t="s">
        <v>151</v>
      </c>
      <c r="B6939">
        <v>77</v>
      </c>
      <c r="C6939" t="s">
        <v>101</v>
      </c>
      <c r="D6939">
        <v>7900</v>
      </c>
      <c r="E6939" t="s">
        <v>388</v>
      </c>
      <c r="F6939" s="4">
        <v>0</v>
      </c>
      <c r="G6939" s="4">
        <v>86</v>
      </c>
      <c r="H6939" s="4">
        <v>86</v>
      </c>
      <c r="I6939" s="4">
        <v>0</v>
      </c>
      <c r="J6939" s="4">
        <v>86</v>
      </c>
    </row>
    <row r="6940" spans="1:10" x14ac:dyDescent="0.75">
      <c r="A6940" t="s">
        <v>151</v>
      </c>
      <c r="B6940">
        <v>77</v>
      </c>
      <c r="C6940" t="s">
        <v>101</v>
      </c>
      <c r="D6940">
        <v>7230</v>
      </c>
      <c r="E6940" t="s">
        <v>387</v>
      </c>
      <c r="F6940" s="4">
        <v>0</v>
      </c>
      <c r="G6940" s="4">
        <v>1</v>
      </c>
      <c r="H6940" s="4">
        <v>1</v>
      </c>
      <c r="I6940" s="4">
        <v>0</v>
      </c>
      <c r="J6940" s="4">
        <v>1</v>
      </c>
    </row>
    <row r="6941" spans="1:10" x14ac:dyDescent="0.75">
      <c r="A6941" t="s">
        <v>151</v>
      </c>
      <c r="B6941">
        <v>4722</v>
      </c>
      <c r="C6941" t="s">
        <v>165</v>
      </c>
      <c r="D6941">
        <v>4331</v>
      </c>
      <c r="E6941" t="s">
        <v>390</v>
      </c>
      <c r="F6941" s="4">
        <v>2806916</v>
      </c>
      <c r="G6941" s="4">
        <v>667122</v>
      </c>
      <c r="H6941" s="4">
        <v>648294</v>
      </c>
      <c r="I6941" s="4">
        <v>18828</v>
      </c>
      <c r="J6941" s="4">
        <v>3474038</v>
      </c>
    </row>
    <row r="6942" spans="1:10" x14ac:dyDescent="0.75">
      <c r="A6942" t="s">
        <v>151</v>
      </c>
      <c r="B6942">
        <v>4722</v>
      </c>
      <c r="C6942" t="s">
        <v>165</v>
      </c>
      <c r="D6942">
        <v>6344</v>
      </c>
      <c r="E6942" t="s">
        <v>392</v>
      </c>
      <c r="F6942" s="4">
        <v>0</v>
      </c>
      <c r="G6942" s="4">
        <v>2244893</v>
      </c>
      <c r="H6942" s="4">
        <v>793</v>
      </c>
      <c r="I6942" s="4">
        <v>2244100</v>
      </c>
      <c r="J6942" s="4">
        <v>2244893</v>
      </c>
    </row>
    <row r="6943" spans="1:10" x14ac:dyDescent="0.75">
      <c r="A6943" t="s">
        <v>151</v>
      </c>
      <c r="B6943">
        <v>4722</v>
      </c>
      <c r="C6943" t="s">
        <v>165</v>
      </c>
      <c r="D6943">
        <v>6522</v>
      </c>
      <c r="E6943" t="s">
        <v>393</v>
      </c>
      <c r="F6943" s="4">
        <v>0</v>
      </c>
      <c r="G6943" s="4">
        <v>2000555</v>
      </c>
      <c r="H6943" s="4">
        <v>3267</v>
      </c>
      <c r="I6943" s="4">
        <v>1997288</v>
      </c>
      <c r="J6943" s="4">
        <v>2000555</v>
      </c>
    </row>
    <row r="6944" spans="1:10" x14ac:dyDescent="0.75">
      <c r="A6944" t="s">
        <v>151</v>
      </c>
      <c r="B6944">
        <v>4722</v>
      </c>
      <c r="C6944" t="s">
        <v>165</v>
      </c>
      <c r="D6944">
        <v>7900</v>
      </c>
      <c r="E6944" t="s">
        <v>388</v>
      </c>
      <c r="F6944" s="4">
        <v>556610</v>
      </c>
      <c r="G6944" s="4">
        <v>1336497</v>
      </c>
      <c r="H6944" s="4">
        <v>1207220</v>
      </c>
      <c r="I6944" s="4">
        <v>129277</v>
      </c>
      <c r="J6944" s="4">
        <v>1893107</v>
      </c>
    </row>
    <row r="6945" spans="1:10" x14ac:dyDescent="0.75">
      <c r="A6945" t="s">
        <v>151</v>
      </c>
      <c r="B6945">
        <v>4722</v>
      </c>
      <c r="C6945" t="s">
        <v>165</v>
      </c>
      <c r="D6945">
        <v>5220</v>
      </c>
      <c r="E6945" t="s">
        <v>401</v>
      </c>
      <c r="F6945" s="4">
        <v>0</v>
      </c>
      <c r="G6945" s="4">
        <v>1221939</v>
      </c>
      <c r="H6945" s="4">
        <v>1125422</v>
      </c>
      <c r="I6945" s="4">
        <v>96517</v>
      </c>
      <c r="J6945" s="4">
        <v>1221939</v>
      </c>
    </row>
    <row r="6946" spans="1:10" x14ac:dyDescent="0.75">
      <c r="A6946" t="s">
        <v>151</v>
      </c>
      <c r="B6946">
        <v>4722</v>
      </c>
      <c r="C6946" t="s">
        <v>165</v>
      </c>
      <c r="D6946">
        <v>4322</v>
      </c>
      <c r="E6946" t="s">
        <v>398</v>
      </c>
      <c r="F6946" s="4">
        <v>0</v>
      </c>
      <c r="G6946" s="4">
        <v>908075</v>
      </c>
      <c r="H6946" s="4">
        <v>908048</v>
      </c>
      <c r="I6946" s="4">
        <v>27</v>
      </c>
      <c r="J6946" s="4">
        <v>908075</v>
      </c>
    </row>
    <row r="6947" spans="1:10" x14ac:dyDescent="0.75">
      <c r="A6947" t="s">
        <v>151</v>
      </c>
      <c r="B6947">
        <v>4722</v>
      </c>
      <c r="C6947" t="s">
        <v>165</v>
      </c>
      <c r="D6947">
        <v>6781</v>
      </c>
      <c r="E6947" t="s">
        <v>479</v>
      </c>
      <c r="F6947" s="4">
        <v>0</v>
      </c>
      <c r="G6947" s="4">
        <v>790618</v>
      </c>
      <c r="H6947" s="4">
        <v>964</v>
      </c>
      <c r="I6947" s="4">
        <v>789654</v>
      </c>
      <c r="J6947" s="4">
        <v>790618</v>
      </c>
    </row>
    <row r="6948" spans="1:10" x14ac:dyDescent="0.75">
      <c r="A6948" t="s">
        <v>151</v>
      </c>
      <c r="B6948">
        <v>4722</v>
      </c>
      <c r="C6948" t="s">
        <v>165</v>
      </c>
      <c r="D6948">
        <v>6654</v>
      </c>
      <c r="E6948" t="s">
        <v>419</v>
      </c>
      <c r="F6948" s="4">
        <v>0</v>
      </c>
      <c r="G6948" s="4">
        <v>707581</v>
      </c>
      <c r="H6948" s="4">
        <v>65667</v>
      </c>
      <c r="I6948" s="4">
        <v>641914</v>
      </c>
      <c r="J6948" s="4">
        <v>707581</v>
      </c>
    </row>
    <row r="6949" spans="1:10" x14ac:dyDescent="0.75">
      <c r="A6949" t="s">
        <v>151</v>
      </c>
      <c r="B6949">
        <v>4722</v>
      </c>
      <c r="C6949" t="s">
        <v>165</v>
      </c>
      <c r="D6949">
        <v>4323</v>
      </c>
      <c r="E6949" t="s">
        <v>373</v>
      </c>
      <c r="F6949" s="4">
        <v>0</v>
      </c>
      <c r="G6949" s="4">
        <v>612763</v>
      </c>
      <c r="H6949" s="4">
        <v>568462</v>
      </c>
      <c r="I6949" s="4">
        <v>44301</v>
      </c>
      <c r="J6949" s="4">
        <v>612763</v>
      </c>
    </row>
    <row r="6950" spans="1:10" x14ac:dyDescent="0.75">
      <c r="A6950" t="s">
        <v>151</v>
      </c>
      <c r="B6950">
        <v>4722</v>
      </c>
      <c r="C6950" t="s">
        <v>165</v>
      </c>
      <c r="D6950">
        <v>6447</v>
      </c>
      <c r="E6950" t="s">
        <v>475</v>
      </c>
      <c r="F6950" s="4">
        <v>0</v>
      </c>
      <c r="G6950" s="4">
        <v>496119</v>
      </c>
      <c r="H6950" s="4">
        <v>0</v>
      </c>
      <c r="I6950" s="4">
        <v>496119</v>
      </c>
      <c r="J6950" s="4">
        <v>496119</v>
      </c>
    </row>
    <row r="6951" spans="1:10" x14ac:dyDescent="0.75">
      <c r="A6951" t="s">
        <v>151</v>
      </c>
      <c r="B6951">
        <v>4722</v>
      </c>
      <c r="C6951" t="s">
        <v>165</v>
      </c>
      <c r="D6951">
        <v>4420</v>
      </c>
      <c r="E6951" t="s">
        <v>381</v>
      </c>
      <c r="F6951" s="4">
        <v>11366</v>
      </c>
      <c r="G6951" s="4">
        <v>414225</v>
      </c>
      <c r="H6951" s="4">
        <v>377894</v>
      </c>
      <c r="I6951" s="4">
        <v>36331</v>
      </c>
      <c r="J6951" s="4">
        <v>425591</v>
      </c>
    </row>
    <row r="6952" spans="1:10" x14ac:dyDescent="0.75">
      <c r="A6952" t="s">
        <v>151</v>
      </c>
      <c r="B6952">
        <v>4722</v>
      </c>
      <c r="C6952" t="s">
        <v>165</v>
      </c>
      <c r="D6952">
        <v>4860</v>
      </c>
      <c r="E6952" t="s">
        <v>400</v>
      </c>
      <c r="F6952" s="4">
        <v>0</v>
      </c>
      <c r="G6952" s="4">
        <v>406794</v>
      </c>
      <c r="H6952" s="4">
        <v>406794</v>
      </c>
      <c r="I6952" s="4">
        <v>0</v>
      </c>
      <c r="J6952" s="4">
        <v>406794</v>
      </c>
    </row>
    <row r="6953" spans="1:10" x14ac:dyDescent="0.75">
      <c r="A6953" t="s">
        <v>151</v>
      </c>
      <c r="B6953">
        <v>4722</v>
      </c>
      <c r="C6953" t="s">
        <v>165</v>
      </c>
      <c r="D6953">
        <v>5480</v>
      </c>
      <c r="E6953" t="s">
        <v>386</v>
      </c>
      <c r="F6953" s="4">
        <v>15884</v>
      </c>
      <c r="G6953" s="4">
        <v>387857</v>
      </c>
      <c r="H6953" s="4">
        <v>372001</v>
      </c>
      <c r="I6953" s="4">
        <v>15856</v>
      </c>
      <c r="J6953" s="4">
        <v>403741</v>
      </c>
    </row>
    <row r="6954" spans="1:10" x14ac:dyDescent="0.75">
      <c r="A6954" t="s">
        <v>151</v>
      </c>
      <c r="B6954">
        <v>4722</v>
      </c>
      <c r="C6954" t="s">
        <v>165</v>
      </c>
      <c r="D6954">
        <v>4225</v>
      </c>
      <c r="E6954" t="s">
        <v>380</v>
      </c>
      <c r="F6954" s="4">
        <v>6179</v>
      </c>
      <c r="G6954" s="4">
        <v>395804</v>
      </c>
      <c r="H6954" s="4">
        <v>37263</v>
      </c>
      <c r="I6954" s="4">
        <v>358541</v>
      </c>
      <c r="J6954" s="4">
        <v>401983</v>
      </c>
    </row>
    <row r="6955" spans="1:10" x14ac:dyDescent="0.75">
      <c r="A6955" t="s">
        <v>151</v>
      </c>
      <c r="B6955">
        <v>4722</v>
      </c>
      <c r="C6955" t="s">
        <v>165</v>
      </c>
      <c r="D6955">
        <v>7500</v>
      </c>
      <c r="E6955" t="s">
        <v>427</v>
      </c>
      <c r="F6955" s="4">
        <v>2051</v>
      </c>
      <c r="G6955" s="4">
        <v>379548</v>
      </c>
      <c r="H6955" s="4">
        <v>328832</v>
      </c>
      <c r="I6955" s="4">
        <v>50716</v>
      </c>
      <c r="J6955" s="4">
        <v>381599</v>
      </c>
    </row>
    <row r="6956" spans="1:10" x14ac:dyDescent="0.75">
      <c r="A6956" t="s">
        <v>151</v>
      </c>
      <c r="B6956">
        <v>4722</v>
      </c>
      <c r="C6956" t="s">
        <v>165</v>
      </c>
      <c r="D6956">
        <v>7110</v>
      </c>
      <c r="E6956" t="s">
        <v>371</v>
      </c>
      <c r="F6956" s="4">
        <v>22023</v>
      </c>
      <c r="G6956" s="4">
        <v>358137</v>
      </c>
      <c r="H6956" s="4">
        <v>324992</v>
      </c>
      <c r="I6956" s="4">
        <v>33145</v>
      </c>
      <c r="J6956" s="4">
        <v>380160</v>
      </c>
    </row>
    <row r="6957" spans="1:10" x14ac:dyDescent="0.75">
      <c r="A6957" t="s">
        <v>151</v>
      </c>
      <c r="B6957">
        <v>4722</v>
      </c>
      <c r="C6957" t="s">
        <v>165</v>
      </c>
      <c r="D6957">
        <v>6134</v>
      </c>
      <c r="E6957" t="s">
        <v>470</v>
      </c>
      <c r="F6957" s="4">
        <v>207755</v>
      </c>
      <c r="G6957" s="4">
        <v>152026</v>
      </c>
      <c r="H6957" s="4">
        <v>34511</v>
      </c>
      <c r="I6957" s="4">
        <v>117515</v>
      </c>
      <c r="J6957" s="4">
        <v>359781</v>
      </c>
    </row>
    <row r="6958" spans="1:10" x14ac:dyDescent="0.75">
      <c r="A6958" t="s">
        <v>151</v>
      </c>
      <c r="B6958">
        <v>4722</v>
      </c>
      <c r="C6958" t="s">
        <v>165</v>
      </c>
      <c r="D6958">
        <v>6782</v>
      </c>
      <c r="E6958" t="s">
        <v>396</v>
      </c>
      <c r="F6958" s="4">
        <v>28283</v>
      </c>
      <c r="G6958" s="4">
        <v>311986</v>
      </c>
      <c r="H6958" s="4">
        <v>48143</v>
      </c>
      <c r="I6958" s="4">
        <v>263843</v>
      </c>
      <c r="J6958" s="4">
        <v>340269</v>
      </c>
    </row>
    <row r="6959" spans="1:10" x14ac:dyDescent="0.75">
      <c r="A6959" t="s">
        <v>151</v>
      </c>
      <c r="B6959">
        <v>4722</v>
      </c>
      <c r="C6959" t="s">
        <v>165</v>
      </c>
      <c r="D6959">
        <v>7600</v>
      </c>
      <c r="E6959" t="s">
        <v>503</v>
      </c>
      <c r="F6959" s="4">
        <v>1453</v>
      </c>
      <c r="G6959" s="4">
        <v>335539</v>
      </c>
      <c r="H6959" s="4">
        <v>316545</v>
      </c>
      <c r="I6959" s="4">
        <v>18994</v>
      </c>
      <c r="J6959" s="4">
        <v>336992</v>
      </c>
    </row>
    <row r="6960" spans="1:10" x14ac:dyDescent="0.75">
      <c r="A6960" t="s">
        <v>151</v>
      </c>
      <c r="B6960">
        <v>4722</v>
      </c>
      <c r="C6960" t="s">
        <v>165</v>
      </c>
      <c r="D6960">
        <v>7120</v>
      </c>
      <c r="E6960" t="s">
        <v>499</v>
      </c>
      <c r="F6960" s="4">
        <v>3889</v>
      </c>
      <c r="G6960" s="4">
        <v>308663</v>
      </c>
      <c r="H6960" s="4">
        <v>295859</v>
      </c>
      <c r="I6960" s="4">
        <v>12804</v>
      </c>
      <c r="J6960" s="4">
        <v>312552</v>
      </c>
    </row>
    <row r="6961" spans="1:10" x14ac:dyDescent="0.75">
      <c r="A6961" t="s">
        <v>151</v>
      </c>
      <c r="B6961">
        <v>4722</v>
      </c>
      <c r="C6961" t="s">
        <v>165</v>
      </c>
      <c r="D6961">
        <v>7210</v>
      </c>
      <c r="E6961" t="s">
        <v>426</v>
      </c>
      <c r="F6961" s="4">
        <v>23087</v>
      </c>
      <c r="G6961" s="4">
        <v>273894</v>
      </c>
      <c r="H6961" s="4">
        <v>231115</v>
      </c>
      <c r="I6961" s="4">
        <v>42779</v>
      </c>
      <c r="J6961" s="4">
        <v>296981</v>
      </c>
    </row>
    <row r="6962" spans="1:10" x14ac:dyDescent="0.75">
      <c r="A6962" t="s">
        <v>151</v>
      </c>
      <c r="B6962">
        <v>4722</v>
      </c>
      <c r="C6962" t="s">
        <v>165</v>
      </c>
      <c r="D6962">
        <v>4189</v>
      </c>
      <c r="E6962" t="s">
        <v>451</v>
      </c>
      <c r="F6962" s="4">
        <v>127137</v>
      </c>
      <c r="G6962" s="4">
        <v>150476</v>
      </c>
      <c r="H6962" s="4">
        <v>72940</v>
      </c>
      <c r="I6962" s="4">
        <v>77536</v>
      </c>
      <c r="J6962" s="4">
        <v>277613</v>
      </c>
    </row>
    <row r="6963" spans="1:10" x14ac:dyDescent="0.75">
      <c r="A6963" t="s">
        <v>151</v>
      </c>
      <c r="B6963">
        <v>4722</v>
      </c>
      <c r="C6963" t="s">
        <v>165</v>
      </c>
      <c r="D6963">
        <v>5290</v>
      </c>
      <c r="E6963" t="s">
        <v>415</v>
      </c>
      <c r="F6963" s="4">
        <v>35308</v>
      </c>
      <c r="G6963" s="4">
        <v>191803</v>
      </c>
      <c r="H6963" s="4">
        <v>184990</v>
      </c>
      <c r="I6963" s="4">
        <v>6813</v>
      </c>
      <c r="J6963" s="4">
        <v>227111</v>
      </c>
    </row>
    <row r="6964" spans="1:10" x14ac:dyDescent="0.75">
      <c r="A6964" t="s">
        <v>151</v>
      </c>
      <c r="B6964">
        <v>4722</v>
      </c>
      <c r="C6964" t="s">
        <v>165</v>
      </c>
      <c r="D6964">
        <v>5120</v>
      </c>
      <c r="E6964" t="s">
        <v>461</v>
      </c>
      <c r="F6964" s="4">
        <v>0</v>
      </c>
      <c r="G6964" s="4">
        <v>187604</v>
      </c>
      <c r="H6964" s="4">
        <v>47181</v>
      </c>
      <c r="I6964" s="4">
        <v>140423</v>
      </c>
      <c r="J6964" s="4">
        <v>187604</v>
      </c>
    </row>
    <row r="6965" spans="1:10" x14ac:dyDescent="0.75">
      <c r="A6965" t="s">
        <v>151</v>
      </c>
      <c r="B6965">
        <v>4722</v>
      </c>
      <c r="C6965" t="s">
        <v>165</v>
      </c>
      <c r="D6965">
        <v>5540</v>
      </c>
      <c r="E6965" t="s">
        <v>469</v>
      </c>
      <c r="F6965" s="4">
        <v>27641</v>
      </c>
      <c r="G6965" s="4">
        <v>157862</v>
      </c>
      <c r="H6965" s="4">
        <v>147605</v>
      </c>
      <c r="I6965" s="4">
        <v>10257</v>
      </c>
      <c r="J6965" s="4">
        <v>185503</v>
      </c>
    </row>
    <row r="6966" spans="1:10" x14ac:dyDescent="0.75">
      <c r="A6966" t="s">
        <v>151</v>
      </c>
      <c r="B6966">
        <v>4722</v>
      </c>
      <c r="C6966" t="s">
        <v>165</v>
      </c>
      <c r="D6966">
        <v>6857</v>
      </c>
      <c r="E6966" t="s">
        <v>487</v>
      </c>
      <c r="F6966" s="4">
        <v>0</v>
      </c>
      <c r="G6966" s="4">
        <v>183427</v>
      </c>
      <c r="H6966" s="4">
        <v>36280</v>
      </c>
      <c r="I6966" s="4">
        <v>147147</v>
      </c>
      <c r="J6966" s="4">
        <v>183427</v>
      </c>
    </row>
    <row r="6967" spans="1:10" x14ac:dyDescent="0.75">
      <c r="A6967" t="s">
        <v>151</v>
      </c>
      <c r="B6967">
        <v>4722</v>
      </c>
      <c r="C6967" t="s">
        <v>165</v>
      </c>
      <c r="D6967">
        <v>6889</v>
      </c>
      <c r="E6967" t="s">
        <v>420</v>
      </c>
      <c r="F6967" s="4">
        <v>55889</v>
      </c>
      <c r="G6967" s="4">
        <v>113280</v>
      </c>
      <c r="H6967" s="4">
        <v>62288</v>
      </c>
      <c r="I6967" s="4">
        <v>50992</v>
      </c>
      <c r="J6967" s="4">
        <v>169169</v>
      </c>
    </row>
    <row r="6968" spans="1:10" x14ac:dyDescent="0.75">
      <c r="A6968" t="s">
        <v>151</v>
      </c>
      <c r="B6968">
        <v>4722</v>
      </c>
      <c r="C6968" t="s">
        <v>165</v>
      </c>
      <c r="D6968">
        <v>6822</v>
      </c>
      <c r="E6968" t="s">
        <v>482</v>
      </c>
      <c r="F6968" s="4">
        <v>0</v>
      </c>
      <c r="G6968" s="4">
        <v>166202</v>
      </c>
      <c r="H6968" s="4">
        <v>4728</v>
      </c>
      <c r="I6968" s="4">
        <v>161474</v>
      </c>
      <c r="J6968" s="4">
        <v>166202</v>
      </c>
    </row>
    <row r="6969" spans="1:10" x14ac:dyDescent="0.75">
      <c r="A6969" t="s">
        <v>151</v>
      </c>
      <c r="B6969">
        <v>4722</v>
      </c>
      <c r="C6969" t="s">
        <v>165</v>
      </c>
      <c r="D6969">
        <v>7400</v>
      </c>
      <c r="E6969" t="s">
        <v>502</v>
      </c>
      <c r="F6969" s="4">
        <v>73905</v>
      </c>
      <c r="G6969" s="4">
        <v>75288</v>
      </c>
      <c r="H6969" s="4">
        <v>57906</v>
      </c>
      <c r="I6969" s="4">
        <v>17382</v>
      </c>
      <c r="J6969" s="4">
        <v>149193</v>
      </c>
    </row>
    <row r="6970" spans="1:10" x14ac:dyDescent="0.75">
      <c r="A6970" t="s">
        <v>151</v>
      </c>
      <c r="B6970">
        <v>4722</v>
      </c>
      <c r="C6970" t="s">
        <v>165</v>
      </c>
      <c r="D6970">
        <v>2340</v>
      </c>
      <c r="E6970" t="s">
        <v>369</v>
      </c>
      <c r="F6970" s="4">
        <v>128941</v>
      </c>
      <c r="G6970" s="4">
        <v>6071</v>
      </c>
      <c r="H6970" s="4">
        <v>6071</v>
      </c>
      <c r="I6970" s="4">
        <v>0</v>
      </c>
      <c r="J6970" s="4">
        <v>135012</v>
      </c>
    </row>
    <row r="6971" spans="1:10" x14ac:dyDescent="0.75">
      <c r="A6971" t="s">
        <v>151</v>
      </c>
      <c r="B6971">
        <v>4722</v>
      </c>
      <c r="C6971" t="s">
        <v>165</v>
      </c>
      <c r="D6971">
        <v>6885</v>
      </c>
      <c r="E6971" t="s">
        <v>493</v>
      </c>
      <c r="F6971" s="4">
        <v>39885</v>
      </c>
      <c r="G6971" s="4">
        <v>89883</v>
      </c>
      <c r="H6971" s="4">
        <v>81356</v>
      </c>
      <c r="I6971" s="4">
        <v>8527</v>
      </c>
      <c r="J6971" s="4">
        <v>129768</v>
      </c>
    </row>
    <row r="6972" spans="1:10" x14ac:dyDescent="0.75">
      <c r="A6972" t="s">
        <v>151</v>
      </c>
      <c r="B6972">
        <v>4722</v>
      </c>
      <c r="C6972" t="s">
        <v>165</v>
      </c>
      <c r="D6972">
        <v>4900</v>
      </c>
      <c r="E6972" t="s">
        <v>383</v>
      </c>
      <c r="F6972" s="4">
        <v>0</v>
      </c>
      <c r="G6972" s="4">
        <v>127070</v>
      </c>
      <c r="H6972" s="4">
        <v>101724</v>
      </c>
      <c r="I6972" s="4">
        <v>25346</v>
      </c>
      <c r="J6972" s="4">
        <v>127070</v>
      </c>
    </row>
    <row r="6973" spans="1:10" x14ac:dyDescent="0.75">
      <c r="A6973" t="s">
        <v>151</v>
      </c>
      <c r="B6973">
        <v>4722</v>
      </c>
      <c r="C6973" t="s">
        <v>165</v>
      </c>
      <c r="D6973">
        <v>3286</v>
      </c>
      <c r="E6973" t="s">
        <v>423</v>
      </c>
      <c r="F6973" s="4">
        <v>211</v>
      </c>
      <c r="G6973" s="4">
        <v>126570</v>
      </c>
      <c r="H6973" s="4">
        <v>98818</v>
      </c>
      <c r="I6973" s="4">
        <v>27752</v>
      </c>
      <c r="J6973" s="4">
        <v>126781</v>
      </c>
    </row>
    <row r="6974" spans="1:10" x14ac:dyDescent="0.75">
      <c r="A6974" t="s">
        <v>151</v>
      </c>
      <c r="B6974">
        <v>4722</v>
      </c>
      <c r="C6974" t="s">
        <v>165</v>
      </c>
      <c r="D6974">
        <v>4680</v>
      </c>
      <c r="E6974" t="s">
        <v>459</v>
      </c>
      <c r="F6974" s="4">
        <v>0</v>
      </c>
      <c r="G6974" s="4">
        <v>121516</v>
      </c>
      <c r="H6974" s="4">
        <v>844</v>
      </c>
      <c r="I6974" s="4">
        <v>120672</v>
      </c>
      <c r="J6974" s="4">
        <v>121516</v>
      </c>
    </row>
    <row r="6975" spans="1:10" x14ac:dyDescent="0.75">
      <c r="A6975" t="s">
        <v>151</v>
      </c>
      <c r="B6975">
        <v>4722</v>
      </c>
      <c r="C6975" t="s">
        <v>165</v>
      </c>
      <c r="D6975">
        <v>6858</v>
      </c>
      <c r="E6975" t="s">
        <v>488</v>
      </c>
      <c r="F6975" s="4">
        <v>0</v>
      </c>
      <c r="G6975" s="4">
        <v>118862</v>
      </c>
      <c r="H6975" s="4">
        <v>100138</v>
      </c>
      <c r="I6975" s="4">
        <v>18724</v>
      </c>
      <c r="J6975" s="4">
        <v>118862</v>
      </c>
    </row>
    <row r="6976" spans="1:10" x14ac:dyDescent="0.75">
      <c r="A6976" t="s">
        <v>151</v>
      </c>
      <c r="B6976">
        <v>4722</v>
      </c>
      <c r="C6976" t="s">
        <v>165</v>
      </c>
      <c r="D6976">
        <v>6811</v>
      </c>
      <c r="E6976" t="s">
        <v>480</v>
      </c>
      <c r="F6976" s="4">
        <v>0</v>
      </c>
      <c r="G6976" s="4">
        <v>115314</v>
      </c>
      <c r="H6976" s="4">
        <v>31440</v>
      </c>
      <c r="I6976" s="4">
        <v>83874</v>
      </c>
      <c r="J6976" s="4">
        <v>115314</v>
      </c>
    </row>
    <row r="6977" spans="1:10" x14ac:dyDescent="0.75">
      <c r="A6977" t="s">
        <v>151</v>
      </c>
      <c r="B6977">
        <v>4722</v>
      </c>
      <c r="C6977" t="s">
        <v>165</v>
      </c>
      <c r="D6977">
        <v>9900</v>
      </c>
      <c r="E6977" t="s">
        <v>389</v>
      </c>
      <c r="F6977" s="4">
        <v>0</v>
      </c>
      <c r="G6977" s="4">
        <v>99585</v>
      </c>
      <c r="H6977" s="4">
        <v>70237</v>
      </c>
      <c r="I6977" s="4">
        <v>29348</v>
      </c>
      <c r="J6977" s="4">
        <v>99585</v>
      </c>
    </row>
    <row r="6978" spans="1:10" x14ac:dyDescent="0.75">
      <c r="A6978" t="s">
        <v>151</v>
      </c>
      <c r="B6978">
        <v>4722</v>
      </c>
      <c r="C6978" t="s">
        <v>165</v>
      </c>
      <c r="D6978">
        <v>5190</v>
      </c>
      <c r="E6978" t="s">
        <v>462</v>
      </c>
      <c r="F6978" s="4">
        <v>53586</v>
      </c>
      <c r="G6978" s="4">
        <v>37360</v>
      </c>
      <c r="H6978" s="4">
        <v>33894</v>
      </c>
      <c r="I6978" s="4">
        <v>3466</v>
      </c>
      <c r="J6978" s="4">
        <v>90946</v>
      </c>
    </row>
    <row r="6979" spans="1:10" x14ac:dyDescent="0.75">
      <c r="A6979" t="s">
        <v>151</v>
      </c>
      <c r="B6979">
        <v>4722</v>
      </c>
      <c r="C6979" t="s">
        <v>165</v>
      </c>
      <c r="D6979">
        <v>2330</v>
      </c>
      <c r="E6979" t="s">
        <v>368</v>
      </c>
      <c r="F6979" s="4">
        <v>3312</v>
      </c>
      <c r="G6979" s="4">
        <v>85717</v>
      </c>
      <c r="H6979" s="4">
        <v>83887</v>
      </c>
      <c r="I6979" s="4">
        <v>1830</v>
      </c>
      <c r="J6979" s="4">
        <v>89029</v>
      </c>
    </row>
    <row r="6980" spans="1:10" x14ac:dyDescent="0.75">
      <c r="A6980" t="s">
        <v>151</v>
      </c>
      <c r="B6980">
        <v>4722</v>
      </c>
      <c r="C6980" t="s">
        <v>165</v>
      </c>
      <c r="D6980">
        <v>4783</v>
      </c>
      <c r="E6980" t="s">
        <v>382</v>
      </c>
      <c r="F6980" s="4">
        <v>14418</v>
      </c>
      <c r="G6980" s="4">
        <v>74302</v>
      </c>
      <c r="H6980" s="4">
        <v>73879</v>
      </c>
      <c r="I6980" s="4">
        <v>423</v>
      </c>
      <c r="J6980" s="4">
        <v>88720</v>
      </c>
    </row>
    <row r="6981" spans="1:10" x14ac:dyDescent="0.75">
      <c r="A6981" t="s">
        <v>151</v>
      </c>
      <c r="B6981">
        <v>4722</v>
      </c>
      <c r="C6981" t="s">
        <v>165</v>
      </c>
      <c r="D6981">
        <v>4161</v>
      </c>
      <c r="E6981" t="s">
        <v>421</v>
      </c>
      <c r="F6981" s="4">
        <v>79528</v>
      </c>
      <c r="G6981" s="4">
        <v>4987</v>
      </c>
      <c r="H6981" s="4">
        <v>245</v>
      </c>
      <c r="I6981" s="4">
        <v>4742</v>
      </c>
      <c r="J6981" s="4">
        <v>84515</v>
      </c>
    </row>
    <row r="6982" spans="1:10" x14ac:dyDescent="0.75">
      <c r="A6982" t="s">
        <v>151</v>
      </c>
      <c r="B6982">
        <v>4722</v>
      </c>
      <c r="C6982" t="s">
        <v>165</v>
      </c>
      <c r="D6982">
        <v>5240</v>
      </c>
      <c r="E6982" t="s">
        <v>464</v>
      </c>
      <c r="F6982" s="4">
        <v>5120</v>
      </c>
      <c r="G6982" s="4">
        <v>77239</v>
      </c>
      <c r="H6982" s="4">
        <v>68729</v>
      </c>
      <c r="I6982" s="4">
        <v>8510</v>
      </c>
      <c r="J6982" s="4">
        <v>82359</v>
      </c>
    </row>
    <row r="6983" spans="1:10" x14ac:dyDescent="0.75">
      <c r="A6983" t="s">
        <v>151</v>
      </c>
      <c r="B6983">
        <v>4722</v>
      </c>
      <c r="C6983" t="s">
        <v>165</v>
      </c>
      <c r="D6983">
        <v>5422</v>
      </c>
      <c r="E6983" t="s">
        <v>468</v>
      </c>
      <c r="F6983" s="4">
        <v>0</v>
      </c>
      <c r="G6983" s="4">
        <v>82320</v>
      </c>
      <c r="H6983" s="4">
        <v>68354</v>
      </c>
      <c r="I6983" s="4">
        <v>13966</v>
      </c>
      <c r="J6983" s="4">
        <v>82320</v>
      </c>
    </row>
    <row r="6984" spans="1:10" x14ac:dyDescent="0.75">
      <c r="A6984" t="s">
        <v>151</v>
      </c>
      <c r="B6984">
        <v>4722</v>
      </c>
      <c r="C6984" t="s">
        <v>165</v>
      </c>
      <c r="D6984">
        <v>6871</v>
      </c>
      <c r="E6984" t="s">
        <v>491</v>
      </c>
      <c r="F6984" s="4">
        <v>0</v>
      </c>
      <c r="G6984" s="4">
        <v>65865</v>
      </c>
      <c r="H6984" s="4">
        <v>63823</v>
      </c>
      <c r="I6984" s="4">
        <v>2042</v>
      </c>
      <c r="J6984" s="4">
        <v>65865</v>
      </c>
    </row>
    <row r="6985" spans="1:10" x14ac:dyDescent="0.75">
      <c r="A6985" t="s">
        <v>151</v>
      </c>
      <c r="B6985">
        <v>4722</v>
      </c>
      <c r="C6985" t="s">
        <v>165</v>
      </c>
      <c r="D6985">
        <v>6899</v>
      </c>
      <c r="E6985" t="s">
        <v>498</v>
      </c>
      <c r="F6985" s="4">
        <v>130</v>
      </c>
      <c r="G6985" s="4">
        <v>65173</v>
      </c>
      <c r="H6985" s="4">
        <v>10681</v>
      </c>
      <c r="I6985" s="4">
        <v>54492</v>
      </c>
      <c r="J6985" s="4">
        <v>65303</v>
      </c>
    </row>
    <row r="6986" spans="1:10" x14ac:dyDescent="0.75">
      <c r="A6986" t="s">
        <v>151</v>
      </c>
      <c r="B6986">
        <v>4722</v>
      </c>
      <c r="C6986" t="s">
        <v>165</v>
      </c>
      <c r="D6986">
        <v>4690</v>
      </c>
      <c r="E6986" t="s">
        <v>428</v>
      </c>
      <c r="F6986" s="4">
        <v>0</v>
      </c>
      <c r="G6986" s="4">
        <v>62900</v>
      </c>
      <c r="H6986" s="4">
        <v>41649</v>
      </c>
      <c r="I6986" s="4">
        <v>21251</v>
      </c>
      <c r="J6986" s="4">
        <v>62900</v>
      </c>
    </row>
    <row r="6987" spans="1:10" x14ac:dyDescent="0.75">
      <c r="A6987" t="s">
        <v>151</v>
      </c>
      <c r="B6987">
        <v>4722</v>
      </c>
      <c r="C6987" t="s">
        <v>165</v>
      </c>
      <c r="D6987">
        <v>6839</v>
      </c>
      <c r="E6987" t="s">
        <v>485</v>
      </c>
      <c r="F6987" s="4">
        <v>0</v>
      </c>
      <c r="G6987" s="4">
        <v>59728</v>
      </c>
      <c r="H6987" s="4">
        <v>3527</v>
      </c>
      <c r="I6987" s="4">
        <v>56201</v>
      </c>
      <c r="J6987" s="4">
        <v>59728</v>
      </c>
    </row>
    <row r="6988" spans="1:10" x14ac:dyDescent="0.75">
      <c r="A6988" t="s">
        <v>151</v>
      </c>
      <c r="B6988">
        <v>4722</v>
      </c>
      <c r="C6988" t="s">
        <v>165</v>
      </c>
      <c r="D6988">
        <v>6887</v>
      </c>
      <c r="E6988" t="s">
        <v>505</v>
      </c>
      <c r="F6988" s="4">
        <v>59675</v>
      </c>
      <c r="G6988" s="4">
        <v>0</v>
      </c>
      <c r="H6988" s="4">
        <v>0</v>
      </c>
      <c r="I6988" s="4">
        <v>0</v>
      </c>
      <c r="J6988" s="4">
        <v>59675</v>
      </c>
    </row>
    <row r="6989" spans="1:10" x14ac:dyDescent="0.75">
      <c r="A6989" t="s">
        <v>151</v>
      </c>
      <c r="B6989">
        <v>4722</v>
      </c>
      <c r="C6989" t="s">
        <v>165</v>
      </c>
      <c r="D6989">
        <v>6241</v>
      </c>
      <c r="E6989" t="s">
        <v>391</v>
      </c>
      <c r="F6989" s="4">
        <v>0</v>
      </c>
      <c r="G6989" s="4">
        <v>59532</v>
      </c>
      <c r="H6989" s="4">
        <v>20</v>
      </c>
      <c r="I6989" s="4">
        <v>59512</v>
      </c>
      <c r="J6989" s="4">
        <v>59532</v>
      </c>
    </row>
    <row r="6990" spans="1:10" x14ac:dyDescent="0.75">
      <c r="A6990" t="s">
        <v>151</v>
      </c>
      <c r="B6990">
        <v>4722</v>
      </c>
      <c r="C6990" t="s">
        <v>165</v>
      </c>
      <c r="D6990">
        <v>6443</v>
      </c>
      <c r="E6990" t="s">
        <v>473</v>
      </c>
      <c r="F6990" s="4">
        <v>0</v>
      </c>
      <c r="G6990" s="4">
        <v>58452</v>
      </c>
      <c r="H6990" s="4">
        <v>1129</v>
      </c>
      <c r="I6990" s="4">
        <v>57323</v>
      </c>
      <c r="J6990" s="4">
        <v>58452</v>
      </c>
    </row>
    <row r="6991" spans="1:10" x14ac:dyDescent="0.75">
      <c r="A6991" t="s">
        <v>151</v>
      </c>
      <c r="B6991">
        <v>4722</v>
      </c>
      <c r="C6991" t="s">
        <v>165</v>
      </c>
      <c r="D6991">
        <v>3276</v>
      </c>
      <c r="E6991" t="s">
        <v>379</v>
      </c>
      <c r="F6991" s="4">
        <v>0</v>
      </c>
      <c r="G6991" s="4">
        <v>58260</v>
      </c>
      <c r="H6991" s="4">
        <v>41048</v>
      </c>
      <c r="I6991" s="4">
        <v>17212</v>
      </c>
      <c r="J6991" s="4">
        <v>58260</v>
      </c>
    </row>
    <row r="6992" spans="1:10" x14ac:dyDescent="0.75">
      <c r="A6992" t="s">
        <v>151</v>
      </c>
      <c r="B6992">
        <v>4722</v>
      </c>
      <c r="C6992" t="s">
        <v>165</v>
      </c>
      <c r="D6992">
        <v>3285</v>
      </c>
      <c r="E6992" t="s">
        <v>443</v>
      </c>
      <c r="F6992" s="4">
        <v>0</v>
      </c>
      <c r="G6992" s="4">
        <v>50008</v>
      </c>
      <c r="H6992" s="4">
        <v>43154</v>
      </c>
      <c r="I6992" s="4">
        <v>6854</v>
      </c>
      <c r="J6992" s="4">
        <v>50008</v>
      </c>
    </row>
    <row r="6993" spans="1:10" x14ac:dyDescent="0.75">
      <c r="A6993" t="s">
        <v>151</v>
      </c>
      <c r="B6993">
        <v>4722</v>
      </c>
      <c r="C6993" t="s">
        <v>165</v>
      </c>
      <c r="D6993">
        <v>4782</v>
      </c>
      <c r="E6993" t="s">
        <v>414</v>
      </c>
      <c r="F6993" s="4">
        <v>0</v>
      </c>
      <c r="G6993" s="4">
        <v>47246</v>
      </c>
      <c r="H6993" s="4">
        <v>2574</v>
      </c>
      <c r="I6993" s="4">
        <v>44672</v>
      </c>
      <c r="J6993" s="4">
        <v>47246</v>
      </c>
    </row>
    <row r="6994" spans="1:10" x14ac:dyDescent="0.75">
      <c r="A6994" t="s">
        <v>151</v>
      </c>
      <c r="B6994">
        <v>4722</v>
      </c>
      <c r="C6994" t="s">
        <v>165</v>
      </c>
      <c r="D6994">
        <v>8900</v>
      </c>
      <c r="E6994" t="s">
        <v>506</v>
      </c>
      <c r="F6994" s="4">
        <v>43192</v>
      </c>
      <c r="G6994" s="4">
        <v>0</v>
      </c>
      <c r="H6994" s="4">
        <v>0</v>
      </c>
      <c r="I6994" s="4">
        <v>0</v>
      </c>
      <c r="J6994" s="4">
        <v>43192</v>
      </c>
    </row>
    <row r="6995" spans="1:10" x14ac:dyDescent="0.75">
      <c r="A6995" t="s">
        <v>151</v>
      </c>
      <c r="B6995">
        <v>4722</v>
      </c>
      <c r="C6995" t="s">
        <v>165</v>
      </c>
      <c r="D6995">
        <v>3299</v>
      </c>
      <c r="E6995" t="s">
        <v>448</v>
      </c>
      <c r="F6995" s="4">
        <v>7976</v>
      </c>
      <c r="G6995" s="4">
        <v>35032</v>
      </c>
      <c r="H6995" s="4">
        <v>17826</v>
      </c>
      <c r="I6995" s="4">
        <v>17206</v>
      </c>
      <c r="J6995" s="4">
        <v>43008</v>
      </c>
    </row>
    <row r="6996" spans="1:10" x14ac:dyDescent="0.75">
      <c r="A6996" t="s">
        <v>151</v>
      </c>
      <c r="B6996">
        <v>4722</v>
      </c>
      <c r="C6996" t="s">
        <v>165</v>
      </c>
      <c r="D6996">
        <v>5370</v>
      </c>
      <c r="E6996" t="s">
        <v>466</v>
      </c>
      <c r="F6996" s="4">
        <v>13618</v>
      </c>
      <c r="G6996" s="4">
        <v>27491</v>
      </c>
      <c r="H6996" s="4">
        <v>26656</v>
      </c>
      <c r="I6996" s="4">
        <v>835</v>
      </c>
      <c r="J6996" s="4">
        <v>41109</v>
      </c>
    </row>
    <row r="6997" spans="1:10" x14ac:dyDescent="0.75">
      <c r="A6997" t="s">
        <v>151</v>
      </c>
      <c r="B6997">
        <v>4722</v>
      </c>
      <c r="C6997" t="s">
        <v>165</v>
      </c>
      <c r="D6997">
        <v>5330</v>
      </c>
      <c r="E6997" t="s">
        <v>385</v>
      </c>
      <c r="F6997" s="4">
        <v>29253</v>
      </c>
      <c r="G6997" s="4">
        <v>8158</v>
      </c>
      <c r="H6997" s="4">
        <v>7869</v>
      </c>
      <c r="I6997" s="4">
        <v>289</v>
      </c>
      <c r="J6997" s="4">
        <v>37411</v>
      </c>
    </row>
    <row r="6998" spans="1:10" x14ac:dyDescent="0.75">
      <c r="A6998" t="s">
        <v>151</v>
      </c>
      <c r="B6998">
        <v>4722</v>
      </c>
      <c r="C6998" t="s">
        <v>165</v>
      </c>
      <c r="D6998">
        <v>6888</v>
      </c>
      <c r="E6998" t="s">
        <v>494</v>
      </c>
      <c r="F6998" s="4">
        <v>0</v>
      </c>
      <c r="G6998" s="4">
        <v>36163</v>
      </c>
      <c r="H6998" s="4">
        <v>32475</v>
      </c>
      <c r="I6998" s="4">
        <v>3688</v>
      </c>
      <c r="J6998" s="4">
        <v>36163</v>
      </c>
    </row>
    <row r="6999" spans="1:10" x14ac:dyDescent="0.75">
      <c r="A6999" t="s">
        <v>151</v>
      </c>
      <c r="B6999">
        <v>4722</v>
      </c>
      <c r="C6999" t="s">
        <v>165</v>
      </c>
      <c r="D6999">
        <v>3275</v>
      </c>
      <c r="E6999" t="s">
        <v>412</v>
      </c>
      <c r="F6999" s="4">
        <v>0</v>
      </c>
      <c r="G6999" s="4">
        <v>35504</v>
      </c>
      <c r="H6999" s="4">
        <v>28796</v>
      </c>
      <c r="I6999" s="4">
        <v>6708</v>
      </c>
      <c r="J6999" s="4">
        <v>35504</v>
      </c>
    </row>
    <row r="7000" spans="1:10" x14ac:dyDescent="0.75">
      <c r="A7000" t="s">
        <v>151</v>
      </c>
      <c r="B7000">
        <v>4722</v>
      </c>
      <c r="C7000" t="s">
        <v>165</v>
      </c>
      <c r="D7000">
        <v>3292</v>
      </c>
      <c r="E7000" t="s">
        <v>413</v>
      </c>
      <c r="F7000" s="4">
        <v>0</v>
      </c>
      <c r="G7000" s="4">
        <v>34509</v>
      </c>
      <c r="H7000" s="4">
        <v>27907</v>
      </c>
      <c r="I7000" s="4">
        <v>6602</v>
      </c>
      <c r="J7000" s="4">
        <v>34509</v>
      </c>
    </row>
    <row r="7001" spans="1:10" x14ac:dyDescent="0.75">
      <c r="A7001" t="s">
        <v>151</v>
      </c>
      <c r="B7001">
        <v>4722</v>
      </c>
      <c r="C7001" t="s">
        <v>165</v>
      </c>
      <c r="D7001">
        <v>6590</v>
      </c>
      <c r="E7001" t="s">
        <v>394</v>
      </c>
      <c r="F7001" s="4">
        <v>0</v>
      </c>
      <c r="G7001" s="4">
        <v>34196</v>
      </c>
      <c r="H7001" s="4">
        <v>4933</v>
      </c>
      <c r="I7001" s="4">
        <v>29263</v>
      </c>
      <c r="J7001" s="4">
        <v>34196</v>
      </c>
    </row>
    <row r="7002" spans="1:10" x14ac:dyDescent="0.75">
      <c r="A7002" t="s">
        <v>151</v>
      </c>
      <c r="B7002">
        <v>4722</v>
      </c>
      <c r="C7002" t="s">
        <v>165</v>
      </c>
      <c r="D7002">
        <v>4170</v>
      </c>
      <c r="E7002" t="s">
        <v>424</v>
      </c>
      <c r="F7002" s="4">
        <v>4</v>
      </c>
      <c r="G7002" s="4">
        <v>31732</v>
      </c>
      <c r="H7002" s="4">
        <v>1398</v>
      </c>
      <c r="I7002" s="4">
        <v>30334</v>
      </c>
      <c r="J7002" s="4">
        <v>31736</v>
      </c>
    </row>
    <row r="7003" spans="1:10" x14ac:dyDescent="0.75">
      <c r="A7003" t="s">
        <v>151</v>
      </c>
      <c r="B7003">
        <v>4722</v>
      </c>
      <c r="C7003" t="s">
        <v>165</v>
      </c>
      <c r="D7003">
        <v>5360</v>
      </c>
      <c r="E7003" t="s">
        <v>465</v>
      </c>
      <c r="F7003" s="4">
        <v>22205</v>
      </c>
      <c r="G7003" s="4">
        <v>5225</v>
      </c>
      <c r="H7003" s="4">
        <v>5181</v>
      </c>
      <c r="I7003" s="4">
        <v>44</v>
      </c>
      <c r="J7003" s="4">
        <v>27430</v>
      </c>
    </row>
    <row r="7004" spans="1:10" x14ac:dyDescent="0.75">
      <c r="A7004" t="s">
        <v>151</v>
      </c>
      <c r="B7004">
        <v>4722</v>
      </c>
      <c r="C7004" t="s">
        <v>165</v>
      </c>
      <c r="D7004">
        <v>6747</v>
      </c>
      <c r="E7004" t="s">
        <v>478</v>
      </c>
      <c r="F7004" s="4">
        <v>0</v>
      </c>
      <c r="G7004" s="4">
        <v>26822</v>
      </c>
      <c r="H7004" s="4">
        <v>13460</v>
      </c>
      <c r="I7004" s="4">
        <v>13362</v>
      </c>
      <c r="J7004" s="4">
        <v>26822</v>
      </c>
    </row>
    <row r="7005" spans="1:10" x14ac:dyDescent="0.75">
      <c r="A7005" t="s">
        <v>151</v>
      </c>
      <c r="B7005">
        <v>4722</v>
      </c>
      <c r="C7005" t="s">
        <v>165</v>
      </c>
      <c r="D7005">
        <v>6136</v>
      </c>
      <c r="E7005" t="s">
        <v>471</v>
      </c>
      <c r="F7005" s="4">
        <v>3871</v>
      </c>
      <c r="G7005" s="4">
        <v>22441</v>
      </c>
      <c r="H7005" s="4">
        <v>18201</v>
      </c>
      <c r="I7005" s="4">
        <v>4240</v>
      </c>
      <c r="J7005" s="4">
        <v>26312</v>
      </c>
    </row>
    <row r="7006" spans="1:10" x14ac:dyDescent="0.75">
      <c r="A7006" t="s">
        <v>151</v>
      </c>
      <c r="B7006">
        <v>4722</v>
      </c>
      <c r="C7006" t="s">
        <v>165</v>
      </c>
      <c r="D7006">
        <v>6856</v>
      </c>
      <c r="E7006" t="s">
        <v>486</v>
      </c>
      <c r="F7006" s="4">
        <v>0</v>
      </c>
      <c r="G7006" s="4">
        <v>25341</v>
      </c>
      <c r="H7006" s="4">
        <v>25325</v>
      </c>
      <c r="I7006" s="4">
        <v>16</v>
      </c>
      <c r="J7006" s="4">
        <v>25341</v>
      </c>
    </row>
    <row r="7007" spans="1:10" x14ac:dyDescent="0.75">
      <c r="A7007" t="s">
        <v>151</v>
      </c>
      <c r="B7007">
        <v>4722</v>
      </c>
      <c r="C7007" t="s">
        <v>165</v>
      </c>
      <c r="D7007">
        <v>6865</v>
      </c>
      <c r="E7007" t="s">
        <v>490</v>
      </c>
      <c r="F7007" s="4">
        <v>0</v>
      </c>
      <c r="G7007" s="4">
        <v>24695</v>
      </c>
      <c r="H7007" s="4">
        <v>24684</v>
      </c>
      <c r="I7007" s="4">
        <v>11</v>
      </c>
      <c r="J7007" s="4">
        <v>24695</v>
      </c>
    </row>
    <row r="7008" spans="1:10" x14ac:dyDescent="0.75">
      <c r="A7008" t="s">
        <v>151</v>
      </c>
      <c r="B7008">
        <v>4722</v>
      </c>
      <c r="C7008" t="s">
        <v>165</v>
      </c>
      <c r="D7008">
        <v>2211</v>
      </c>
      <c r="E7008" t="s">
        <v>367</v>
      </c>
      <c r="F7008" s="4">
        <v>17865</v>
      </c>
      <c r="G7008" s="4">
        <v>6222</v>
      </c>
      <c r="H7008" s="4">
        <v>2748</v>
      </c>
      <c r="I7008" s="4">
        <v>3474</v>
      </c>
      <c r="J7008" s="4">
        <v>24087</v>
      </c>
    </row>
    <row r="7009" spans="1:10" x14ac:dyDescent="0.75">
      <c r="A7009" t="s">
        <v>151</v>
      </c>
      <c r="B7009">
        <v>4722</v>
      </c>
      <c r="C7009" t="s">
        <v>165</v>
      </c>
      <c r="D7009">
        <v>3230</v>
      </c>
      <c r="E7009" t="s">
        <v>434</v>
      </c>
      <c r="F7009" s="4">
        <v>0</v>
      </c>
      <c r="G7009" s="4">
        <v>23097</v>
      </c>
      <c r="H7009" s="4">
        <v>15057</v>
      </c>
      <c r="I7009" s="4">
        <v>8040</v>
      </c>
      <c r="J7009" s="4">
        <v>23097</v>
      </c>
    </row>
    <row r="7010" spans="1:10" x14ac:dyDescent="0.75">
      <c r="A7010" t="s">
        <v>151</v>
      </c>
      <c r="B7010">
        <v>4722</v>
      </c>
      <c r="C7010" t="s">
        <v>165</v>
      </c>
      <c r="D7010">
        <v>3260</v>
      </c>
      <c r="E7010" t="s">
        <v>436</v>
      </c>
      <c r="F7010" s="4">
        <v>0</v>
      </c>
      <c r="G7010" s="4">
        <v>20667</v>
      </c>
      <c r="H7010" s="4">
        <v>16362</v>
      </c>
      <c r="I7010" s="4">
        <v>4305</v>
      </c>
      <c r="J7010" s="4">
        <v>20667</v>
      </c>
    </row>
    <row r="7011" spans="1:10" x14ac:dyDescent="0.75">
      <c r="A7011" t="s">
        <v>151</v>
      </c>
      <c r="B7011">
        <v>4722</v>
      </c>
      <c r="C7011" t="s">
        <v>165</v>
      </c>
      <c r="D7011">
        <v>3240</v>
      </c>
      <c r="E7011" t="s">
        <v>410</v>
      </c>
      <c r="F7011" s="4">
        <v>0</v>
      </c>
      <c r="G7011" s="4">
        <v>20611</v>
      </c>
      <c r="H7011" s="4">
        <v>14660</v>
      </c>
      <c r="I7011" s="4">
        <v>5951</v>
      </c>
      <c r="J7011" s="4">
        <v>20611</v>
      </c>
    </row>
    <row r="7012" spans="1:10" x14ac:dyDescent="0.75">
      <c r="A7012" t="s">
        <v>151</v>
      </c>
      <c r="B7012">
        <v>4722</v>
      </c>
      <c r="C7012" t="s">
        <v>165</v>
      </c>
      <c r="D7012">
        <v>3220</v>
      </c>
      <c r="E7012" t="s">
        <v>370</v>
      </c>
      <c r="F7012" s="4">
        <v>783</v>
      </c>
      <c r="G7012" s="4">
        <v>18022</v>
      </c>
      <c r="H7012" s="4">
        <v>8740</v>
      </c>
      <c r="I7012" s="4">
        <v>9282</v>
      </c>
      <c r="J7012" s="4">
        <v>18805</v>
      </c>
    </row>
    <row r="7013" spans="1:10" x14ac:dyDescent="0.75">
      <c r="A7013" t="s">
        <v>151</v>
      </c>
      <c r="B7013">
        <v>4722</v>
      </c>
      <c r="C7013" t="s">
        <v>165</v>
      </c>
      <c r="D7013">
        <v>6653</v>
      </c>
      <c r="E7013" t="s">
        <v>395</v>
      </c>
      <c r="F7013" s="4">
        <v>0</v>
      </c>
      <c r="G7013" s="4">
        <v>17189</v>
      </c>
      <c r="H7013" s="4">
        <v>14095</v>
      </c>
      <c r="I7013" s="4">
        <v>3094</v>
      </c>
      <c r="J7013" s="4">
        <v>17189</v>
      </c>
    </row>
    <row r="7014" spans="1:10" x14ac:dyDescent="0.75">
      <c r="A7014" t="s">
        <v>151</v>
      </c>
      <c r="B7014">
        <v>4722</v>
      </c>
      <c r="C7014" t="s">
        <v>165</v>
      </c>
      <c r="D7014">
        <v>6861</v>
      </c>
      <c r="E7014" t="s">
        <v>489</v>
      </c>
      <c r="F7014" s="4">
        <v>0</v>
      </c>
      <c r="G7014" s="4">
        <v>17173</v>
      </c>
      <c r="H7014" s="4">
        <v>16665</v>
      </c>
      <c r="I7014" s="4">
        <v>508</v>
      </c>
      <c r="J7014" s="4">
        <v>17173</v>
      </c>
    </row>
    <row r="7015" spans="1:10" x14ac:dyDescent="0.75">
      <c r="A7015" t="s">
        <v>151</v>
      </c>
      <c r="B7015">
        <v>4722</v>
      </c>
      <c r="C7015" t="s">
        <v>165</v>
      </c>
      <c r="D7015">
        <v>4410</v>
      </c>
      <c r="E7015" t="s">
        <v>399</v>
      </c>
      <c r="F7015" s="4">
        <v>0</v>
      </c>
      <c r="G7015" s="4">
        <v>17111</v>
      </c>
      <c r="H7015" s="4">
        <v>25</v>
      </c>
      <c r="I7015" s="4">
        <v>17086</v>
      </c>
      <c r="J7015" s="4">
        <v>17111</v>
      </c>
    </row>
    <row r="7016" spans="1:10" x14ac:dyDescent="0.75">
      <c r="A7016" t="s">
        <v>151</v>
      </c>
      <c r="B7016">
        <v>4722</v>
      </c>
      <c r="C7016" t="s">
        <v>165</v>
      </c>
      <c r="D7016">
        <v>6835</v>
      </c>
      <c r="E7016" t="s">
        <v>483</v>
      </c>
      <c r="F7016" s="4">
        <v>2445</v>
      </c>
      <c r="G7016" s="4">
        <v>13487</v>
      </c>
      <c r="H7016" s="4">
        <v>8489</v>
      </c>
      <c r="I7016" s="4">
        <v>4998</v>
      </c>
      <c r="J7016" s="4">
        <v>15932</v>
      </c>
    </row>
    <row r="7017" spans="1:10" x14ac:dyDescent="0.75">
      <c r="A7017" t="s">
        <v>151</v>
      </c>
      <c r="B7017">
        <v>4722</v>
      </c>
      <c r="C7017" t="s">
        <v>165</v>
      </c>
      <c r="D7017">
        <v>3250</v>
      </c>
      <c r="E7017" t="s">
        <v>435</v>
      </c>
      <c r="F7017" s="4">
        <v>0</v>
      </c>
      <c r="G7017" s="4">
        <v>14475</v>
      </c>
      <c r="H7017" s="4">
        <v>13450</v>
      </c>
      <c r="I7017" s="4">
        <v>1025</v>
      </c>
      <c r="J7017" s="4">
        <v>14475</v>
      </c>
    </row>
    <row r="7018" spans="1:10" x14ac:dyDescent="0.75">
      <c r="A7018" t="s">
        <v>151</v>
      </c>
      <c r="B7018">
        <v>4722</v>
      </c>
      <c r="C7018" t="s">
        <v>165</v>
      </c>
      <c r="D7018">
        <v>6442</v>
      </c>
      <c r="E7018" t="s">
        <v>472</v>
      </c>
      <c r="F7018" s="4">
        <v>0</v>
      </c>
      <c r="G7018" s="4">
        <v>14339</v>
      </c>
      <c r="H7018" s="4">
        <v>13775</v>
      </c>
      <c r="I7018" s="4">
        <v>564</v>
      </c>
      <c r="J7018" s="4">
        <v>14339</v>
      </c>
    </row>
    <row r="7019" spans="1:10" x14ac:dyDescent="0.75">
      <c r="A7019" t="s">
        <v>151</v>
      </c>
      <c r="B7019">
        <v>4722</v>
      </c>
      <c r="C7019" t="s">
        <v>165</v>
      </c>
      <c r="D7019">
        <v>3284</v>
      </c>
      <c r="E7019" t="s">
        <v>442</v>
      </c>
      <c r="F7019" s="4">
        <v>0</v>
      </c>
      <c r="G7019" s="4">
        <v>12511</v>
      </c>
      <c r="H7019" s="4">
        <v>10619</v>
      </c>
      <c r="I7019" s="4">
        <v>1892</v>
      </c>
      <c r="J7019" s="4">
        <v>12511</v>
      </c>
    </row>
    <row r="7020" spans="1:10" x14ac:dyDescent="0.75">
      <c r="A7020" t="s">
        <v>151</v>
      </c>
      <c r="B7020">
        <v>4722</v>
      </c>
      <c r="C7020" t="s">
        <v>165</v>
      </c>
      <c r="D7020">
        <v>5315</v>
      </c>
      <c r="E7020" t="s">
        <v>417</v>
      </c>
      <c r="F7020" s="4">
        <v>0</v>
      </c>
      <c r="G7020" s="4">
        <v>12076</v>
      </c>
      <c r="H7020" s="4">
        <v>12076</v>
      </c>
      <c r="I7020" s="4">
        <v>0</v>
      </c>
      <c r="J7020" s="4">
        <v>12076</v>
      </c>
    </row>
    <row r="7021" spans="1:10" x14ac:dyDescent="0.75">
      <c r="A7021" t="s">
        <v>151</v>
      </c>
      <c r="B7021">
        <v>4722</v>
      </c>
      <c r="C7021" t="s">
        <v>165</v>
      </c>
      <c r="D7021">
        <v>4310</v>
      </c>
      <c r="E7021" t="s">
        <v>453</v>
      </c>
      <c r="F7021" s="4">
        <v>0</v>
      </c>
      <c r="G7021" s="4">
        <v>11900</v>
      </c>
      <c r="H7021" s="4">
        <v>11267</v>
      </c>
      <c r="I7021" s="4">
        <v>633</v>
      </c>
      <c r="J7021" s="4">
        <v>11900</v>
      </c>
    </row>
    <row r="7022" spans="1:10" x14ac:dyDescent="0.75">
      <c r="A7022" t="s">
        <v>151</v>
      </c>
      <c r="B7022">
        <v>4722</v>
      </c>
      <c r="C7022" t="s">
        <v>165</v>
      </c>
      <c r="D7022">
        <v>5429</v>
      </c>
      <c r="E7022" t="s">
        <v>429</v>
      </c>
      <c r="F7022" s="4">
        <v>0</v>
      </c>
      <c r="G7022" s="4">
        <v>10163</v>
      </c>
      <c r="H7022" s="4">
        <v>9559</v>
      </c>
      <c r="I7022" s="4">
        <v>604</v>
      </c>
      <c r="J7022" s="4">
        <v>10163</v>
      </c>
    </row>
    <row r="7023" spans="1:10" x14ac:dyDescent="0.75">
      <c r="A7023" t="s">
        <v>151</v>
      </c>
      <c r="B7023">
        <v>4722</v>
      </c>
      <c r="C7023" t="s">
        <v>165</v>
      </c>
      <c r="D7023">
        <v>2430</v>
      </c>
      <c r="E7023" t="s">
        <v>376</v>
      </c>
      <c r="F7023" s="4">
        <v>9545</v>
      </c>
      <c r="G7023" s="4">
        <v>118</v>
      </c>
      <c r="H7023" s="4">
        <v>5</v>
      </c>
      <c r="I7023" s="4">
        <v>113</v>
      </c>
      <c r="J7023" s="4">
        <v>9663</v>
      </c>
    </row>
    <row r="7024" spans="1:10" x14ac:dyDescent="0.75">
      <c r="A7024" t="s">
        <v>151</v>
      </c>
      <c r="B7024">
        <v>4722</v>
      </c>
      <c r="C7024" t="s">
        <v>165</v>
      </c>
      <c r="D7024">
        <v>3190</v>
      </c>
      <c r="E7024" t="s">
        <v>408</v>
      </c>
      <c r="F7024" s="4">
        <v>0</v>
      </c>
      <c r="G7024" s="4">
        <v>9606</v>
      </c>
      <c r="H7024" s="4">
        <v>8134</v>
      </c>
      <c r="I7024" s="4">
        <v>1472</v>
      </c>
      <c r="J7024" s="4">
        <v>9606</v>
      </c>
    </row>
    <row r="7025" spans="1:10" x14ac:dyDescent="0.75">
      <c r="A7025" t="s">
        <v>151</v>
      </c>
      <c r="B7025">
        <v>4722</v>
      </c>
      <c r="C7025" t="s">
        <v>165</v>
      </c>
      <c r="D7025">
        <v>2990</v>
      </c>
      <c r="E7025" t="s">
        <v>432</v>
      </c>
      <c r="F7025" s="4">
        <v>9241</v>
      </c>
      <c r="G7025" s="4">
        <v>0</v>
      </c>
      <c r="H7025" s="4">
        <v>0</v>
      </c>
      <c r="I7025" s="4">
        <v>0</v>
      </c>
      <c r="J7025" s="4">
        <v>9241</v>
      </c>
    </row>
    <row r="7026" spans="1:10" x14ac:dyDescent="0.75">
      <c r="A7026" t="s">
        <v>151</v>
      </c>
      <c r="B7026">
        <v>4722</v>
      </c>
      <c r="C7026" t="s">
        <v>165</v>
      </c>
      <c r="D7026">
        <v>3291</v>
      </c>
      <c r="E7026" t="s">
        <v>444</v>
      </c>
      <c r="F7026" s="4">
        <v>0</v>
      </c>
      <c r="G7026" s="4">
        <v>9031</v>
      </c>
      <c r="H7026" s="4">
        <v>8318</v>
      </c>
      <c r="I7026" s="4">
        <v>713</v>
      </c>
      <c r="J7026" s="4">
        <v>9031</v>
      </c>
    </row>
    <row r="7027" spans="1:10" x14ac:dyDescent="0.75">
      <c r="A7027" t="s">
        <v>151</v>
      </c>
      <c r="B7027">
        <v>4722</v>
      </c>
      <c r="C7027" t="s">
        <v>165</v>
      </c>
      <c r="D7027">
        <v>5312</v>
      </c>
      <c r="E7027" t="s">
        <v>416</v>
      </c>
      <c r="F7027" s="4">
        <v>0</v>
      </c>
      <c r="G7027" s="4">
        <v>8872</v>
      </c>
      <c r="H7027" s="4">
        <v>8762</v>
      </c>
      <c r="I7027" s="4">
        <v>110</v>
      </c>
      <c r="J7027" s="4">
        <v>8872</v>
      </c>
    </row>
    <row r="7028" spans="1:10" x14ac:dyDescent="0.75">
      <c r="A7028" t="s">
        <v>151</v>
      </c>
      <c r="B7028">
        <v>4722</v>
      </c>
      <c r="C7028" t="s">
        <v>165</v>
      </c>
      <c r="D7028">
        <v>2540</v>
      </c>
      <c r="E7028" t="s">
        <v>377</v>
      </c>
      <c r="F7028" s="4">
        <v>0</v>
      </c>
      <c r="G7028" s="4">
        <v>8669</v>
      </c>
      <c r="H7028" s="4">
        <v>5</v>
      </c>
      <c r="I7028" s="4">
        <v>8664</v>
      </c>
      <c r="J7028" s="4">
        <v>8669</v>
      </c>
    </row>
    <row r="7029" spans="1:10" x14ac:dyDescent="0.75">
      <c r="A7029" t="s">
        <v>151</v>
      </c>
      <c r="B7029">
        <v>4722</v>
      </c>
      <c r="C7029" t="s">
        <v>165</v>
      </c>
      <c r="D7029">
        <v>4190</v>
      </c>
      <c r="E7029" t="s">
        <v>452</v>
      </c>
      <c r="F7029" s="4">
        <v>0</v>
      </c>
      <c r="G7029" s="4">
        <v>8478</v>
      </c>
      <c r="H7029" s="4">
        <v>4368</v>
      </c>
      <c r="I7029" s="4">
        <v>4110</v>
      </c>
      <c r="J7029" s="4">
        <v>8478</v>
      </c>
    </row>
    <row r="7030" spans="1:10" x14ac:dyDescent="0.75">
      <c r="A7030" t="s">
        <v>151</v>
      </c>
      <c r="B7030">
        <v>4722</v>
      </c>
      <c r="C7030" t="s">
        <v>165</v>
      </c>
      <c r="D7030">
        <v>3279</v>
      </c>
      <c r="E7030" t="s">
        <v>422</v>
      </c>
      <c r="F7030" s="4">
        <v>0</v>
      </c>
      <c r="G7030" s="4">
        <v>8049</v>
      </c>
      <c r="H7030" s="4">
        <v>3708</v>
      </c>
      <c r="I7030" s="4">
        <v>4341</v>
      </c>
      <c r="J7030" s="4">
        <v>8049</v>
      </c>
    </row>
    <row r="7031" spans="1:10" x14ac:dyDescent="0.75">
      <c r="A7031" t="s">
        <v>151</v>
      </c>
      <c r="B7031">
        <v>4722</v>
      </c>
      <c r="C7031" t="s">
        <v>165</v>
      </c>
      <c r="D7031">
        <v>6894</v>
      </c>
      <c r="E7031" t="s">
        <v>497</v>
      </c>
      <c r="F7031" s="4">
        <v>0</v>
      </c>
      <c r="G7031" s="4">
        <v>7949</v>
      </c>
      <c r="H7031" s="4">
        <v>7924</v>
      </c>
      <c r="I7031" s="4">
        <v>25</v>
      </c>
      <c r="J7031" s="4">
        <v>7949</v>
      </c>
    </row>
    <row r="7032" spans="1:10" x14ac:dyDescent="0.75">
      <c r="A7032" t="s">
        <v>151</v>
      </c>
      <c r="B7032">
        <v>4722</v>
      </c>
      <c r="C7032" t="s">
        <v>165</v>
      </c>
      <c r="D7032">
        <v>3282</v>
      </c>
      <c r="E7032" t="s">
        <v>440</v>
      </c>
      <c r="F7032" s="4">
        <v>805</v>
      </c>
      <c r="G7032" s="4">
        <v>6891</v>
      </c>
      <c r="H7032" s="4">
        <v>5219</v>
      </c>
      <c r="I7032" s="4">
        <v>1672</v>
      </c>
      <c r="J7032" s="4">
        <v>7696</v>
      </c>
    </row>
    <row r="7033" spans="1:10" x14ac:dyDescent="0.75">
      <c r="A7033" t="s">
        <v>151</v>
      </c>
      <c r="B7033">
        <v>4722</v>
      </c>
      <c r="C7033" t="s">
        <v>165</v>
      </c>
      <c r="D7033">
        <v>5421</v>
      </c>
      <c r="E7033" t="s">
        <v>467</v>
      </c>
      <c r="F7033" s="4">
        <v>0</v>
      </c>
      <c r="G7033" s="4">
        <v>6742</v>
      </c>
      <c r="H7033" s="4">
        <v>2904</v>
      </c>
      <c r="I7033" s="4">
        <v>3838</v>
      </c>
      <c r="J7033" s="4">
        <v>6742</v>
      </c>
    </row>
    <row r="7034" spans="1:10" x14ac:dyDescent="0.75">
      <c r="A7034" t="s">
        <v>151</v>
      </c>
      <c r="B7034">
        <v>4722</v>
      </c>
      <c r="C7034" t="s">
        <v>165</v>
      </c>
      <c r="D7034">
        <v>6893</v>
      </c>
      <c r="E7034" t="s">
        <v>496</v>
      </c>
      <c r="F7034" s="4">
        <v>0</v>
      </c>
      <c r="G7034" s="4">
        <v>5774</v>
      </c>
      <c r="H7034" s="4">
        <v>1942</v>
      </c>
      <c r="I7034" s="4">
        <v>3832</v>
      </c>
      <c r="J7034" s="4">
        <v>5774</v>
      </c>
    </row>
    <row r="7035" spans="1:10" x14ac:dyDescent="0.75">
      <c r="A7035" t="s">
        <v>151</v>
      </c>
      <c r="B7035">
        <v>4722</v>
      </c>
      <c r="C7035" t="s">
        <v>165</v>
      </c>
      <c r="D7035">
        <v>7230</v>
      </c>
      <c r="E7035" t="s">
        <v>387</v>
      </c>
      <c r="F7035" s="4">
        <v>2796</v>
      </c>
      <c r="G7035" s="4">
        <v>2917</v>
      </c>
      <c r="H7035" s="4">
        <v>2448</v>
      </c>
      <c r="I7035" s="4">
        <v>469</v>
      </c>
      <c r="J7035" s="4">
        <v>5713</v>
      </c>
    </row>
    <row r="7036" spans="1:10" x14ac:dyDescent="0.75">
      <c r="A7036" t="s">
        <v>151</v>
      </c>
      <c r="B7036">
        <v>4722</v>
      </c>
      <c r="C7036" t="s">
        <v>165</v>
      </c>
      <c r="D7036">
        <v>3219</v>
      </c>
      <c r="E7036" t="s">
        <v>378</v>
      </c>
      <c r="F7036" s="4">
        <v>0</v>
      </c>
      <c r="G7036" s="4">
        <v>5497</v>
      </c>
      <c r="H7036" s="4">
        <v>2348</v>
      </c>
      <c r="I7036" s="4">
        <v>3149</v>
      </c>
      <c r="J7036" s="4">
        <v>5497</v>
      </c>
    </row>
    <row r="7037" spans="1:10" x14ac:dyDescent="0.75">
      <c r="A7037" t="s">
        <v>151</v>
      </c>
      <c r="B7037">
        <v>4722</v>
      </c>
      <c r="C7037" t="s">
        <v>165</v>
      </c>
      <c r="D7037">
        <v>7220</v>
      </c>
      <c r="E7037" t="s">
        <v>500</v>
      </c>
      <c r="F7037" s="4">
        <v>911</v>
      </c>
      <c r="G7037" s="4">
        <v>4115</v>
      </c>
      <c r="H7037" s="4">
        <v>1998</v>
      </c>
      <c r="I7037" s="4">
        <v>2117</v>
      </c>
      <c r="J7037" s="4">
        <v>5026</v>
      </c>
    </row>
    <row r="7038" spans="1:10" x14ac:dyDescent="0.75">
      <c r="A7038" t="s">
        <v>151</v>
      </c>
      <c r="B7038">
        <v>4722</v>
      </c>
      <c r="C7038" t="s">
        <v>165</v>
      </c>
      <c r="D7038">
        <v>5390</v>
      </c>
      <c r="E7038" t="s">
        <v>418</v>
      </c>
      <c r="F7038" s="4">
        <v>0</v>
      </c>
      <c r="G7038" s="4">
        <v>4898</v>
      </c>
      <c r="H7038" s="4">
        <v>4898</v>
      </c>
      <c r="I7038" s="4">
        <v>0</v>
      </c>
      <c r="J7038" s="4">
        <v>4898</v>
      </c>
    </row>
    <row r="7039" spans="1:10" x14ac:dyDescent="0.75">
      <c r="A7039" t="s">
        <v>151</v>
      </c>
      <c r="B7039">
        <v>4722</v>
      </c>
      <c r="C7039" t="s">
        <v>165</v>
      </c>
      <c r="D7039">
        <v>4650</v>
      </c>
      <c r="E7039" t="s">
        <v>457</v>
      </c>
      <c r="F7039" s="4">
        <v>0</v>
      </c>
      <c r="G7039" s="4">
        <v>4533</v>
      </c>
      <c r="H7039" s="4">
        <v>3103</v>
      </c>
      <c r="I7039" s="4">
        <v>1430</v>
      </c>
      <c r="J7039" s="4">
        <v>4533</v>
      </c>
    </row>
    <row r="7040" spans="1:10" x14ac:dyDescent="0.75">
      <c r="A7040" t="s">
        <v>151</v>
      </c>
      <c r="B7040">
        <v>4722</v>
      </c>
      <c r="C7040" t="s">
        <v>165</v>
      </c>
      <c r="D7040">
        <v>3273</v>
      </c>
      <c r="E7040" t="s">
        <v>411</v>
      </c>
      <c r="F7040" s="4">
        <v>0</v>
      </c>
      <c r="G7040" s="4">
        <v>4279</v>
      </c>
      <c r="H7040" s="4">
        <v>640</v>
      </c>
      <c r="I7040" s="4">
        <v>3639</v>
      </c>
      <c r="J7040" s="4">
        <v>4279</v>
      </c>
    </row>
    <row r="7041" spans="1:10" x14ac:dyDescent="0.75">
      <c r="A7041" t="s">
        <v>151</v>
      </c>
      <c r="B7041">
        <v>4722</v>
      </c>
      <c r="C7041" t="s">
        <v>165</v>
      </c>
      <c r="D7041">
        <v>3293</v>
      </c>
      <c r="E7041" t="s">
        <v>445</v>
      </c>
      <c r="F7041" s="4">
        <v>1102</v>
      </c>
      <c r="G7041" s="4">
        <v>3066</v>
      </c>
      <c r="H7041" s="4">
        <v>2408</v>
      </c>
      <c r="I7041" s="4">
        <v>658</v>
      </c>
      <c r="J7041" s="4">
        <v>4168</v>
      </c>
    </row>
    <row r="7042" spans="1:10" x14ac:dyDescent="0.75">
      <c r="A7042" t="s">
        <v>151</v>
      </c>
      <c r="B7042">
        <v>4722</v>
      </c>
      <c r="C7042" t="s">
        <v>165</v>
      </c>
      <c r="D7042">
        <v>3297</v>
      </c>
      <c r="E7042" t="s">
        <v>446</v>
      </c>
      <c r="F7042" s="4">
        <v>0</v>
      </c>
      <c r="G7042" s="4">
        <v>3712</v>
      </c>
      <c r="H7042" s="4">
        <v>2519</v>
      </c>
      <c r="I7042" s="4">
        <v>1193</v>
      </c>
      <c r="J7042" s="4">
        <v>3712</v>
      </c>
    </row>
    <row r="7043" spans="1:10" x14ac:dyDescent="0.75">
      <c r="A7043" t="s">
        <v>151</v>
      </c>
      <c r="B7043">
        <v>4722</v>
      </c>
      <c r="C7043" t="s">
        <v>165</v>
      </c>
      <c r="D7043">
        <v>5110</v>
      </c>
      <c r="E7043" t="s">
        <v>460</v>
      </c>
      <c r="F7043" s="4">
        <v>0</v>
      </c>
      <c r="G7043" s="4">
        <v>3396</v>
      </c>
      <c r="H7043" s="4">
        <v>411</v>
      </c>
      <c r="I7043" s="4">
        <v>2985</v>
      </c>
      <c r="J7043" s="4">
        <v>3396</v>
      </c>
    </row>
    <row r="7044" spans="1:10" x14ac:dyDescent="0.75">
      <c r="A7044" t="s">
        <v>151</v>
      </c>
      <c r="B7044">
        <v>4722</v>
      </c>
      <c r="C7044" t="s">
        <v>165</v>
      </c>
      <c r="D7044">
        <v>6838</v>
      </c>
      <c r="E7044" t="s">
        <v>484</v>
      </c>
      <c r="F7044" s="4">
        <v>1023</v>
      </c>
      <c r="G7044" s="4">
        <v>2185</v>
      </c>
      <c r="H7044" s="4">
        <v>658</v>
      </c>
      <c r="I7044" s="4">
        <v>1527</v>
      </c>
      <c r="J7044" s="4">
        <v>3208</v>
      </c>
    </row>
    <row r="7045" spans="1:10" x14ac:dyDescent="0.75">
      <c r="A7045" t="s">
        <v>151</v>
      </c>
      <c r="B7045">
        <v>4722</v>
      </c>
      <c r="C7045" t="s">
        <v>165</v>
      </c>
      <c r="D7045">
        <v>5210</v>
      </c>
      <c r="E7045" t="s">
        <v>463</v>
      </c>
      <c r="F7045" s="4">
        <v>0</v>
      </c>
      <c r="G7045" s="4">
        <v>2893</v>
      </c>
      <c r="H7045" s="4">
        <v>2893</v>
      </c>
      <c r="I7045" s="4">
        <v>0</v>
      </c>
      <c r="J7045" s="4">
        <v>2893</v>
      </c>
    </row>
    <row r="7046" spans="1:10" x14ac:dyDescent="0.75">
      <c r="A7046" t="s">
        <v>151</v>
      </c>
      <c r="B7046">
        <v>4722</v>
      </c>
      <c r="C7046" t="s">
        <v>165</v>
      </c>
      <c r="D7046">
        <v>6891</v>
      </c>
      <c r="E7046" t="s">
        <v>495</v>
      </c>
      <c r="F7046" s="4">
        <v>0</v>
      </c>
      <c r="G7046" s="4">
        <v>2177</v>
      </c>
      <c r="H7046" s="4">
        <v>1870</v>
      </c>
      <c r="I7046" s="4">
        <v>307</v>
      </c>
      <c r="J7046" s="4">
        <v>2177</v>
      </c>
    </row>
    <row r="7047" spans="1:10" x14ac:dyDescent="0.75">
      <c r="A7047" t="s">
        <v>151</v>
      </c>
      <c r="B7047">
        <v>4722</v>
      </c>
      <c r="C7047" t="s">
        <v>165</v>
      </c>
      <c r="D7047">
        <v>6445</v>
      </c>
      <c r="E7047" t="s">
        <v>474</v>
      </c>
      <c r="F7047" s="4">
        <v>0</v>
      </c>
      <c r="G7047" s="4">
        <v>2134</v>
      </c>
      <c r="H7047" s="4">
        <v>54</v>
      </c>
      <c r="I7047" s="4">
        <v>2080</v>
      </c>
      <c r="J7047" s="4">
        <v>2134</v>
      </c>
    </row>
    <row r="7048" spans="1:10" x14ac:dyDescent="0.75">
      <c r="A7048" t="s">
        <v>151</v>
      </c>
      <c r="B7048">
        <v>4722</v>
      </c>
      <c r="C7048" t="s">
        <v>165</v>
      </c>
      <c r="D7048">
        <v>1100</v>
      </c>
      <c r="E7048" t="s">
        <v>397</v>
      </c>
      <c r="F7048" s="4">
        <v>0</v>
      </c>
      <c r="G7048" s="4">
        <v>1931</v>
      </c>
      <c r="H7048" s="4">
        <v>843</v>
      </c>
      <c r="I7048" s="4">
        <v>1088</v>
      </c>
      <c r="J7048" s="4">
        <v>1931</v>
      </c>
    </row>
    <row r="7049" spans="1:10" x14ac:dyDescent="0.75">
      <c r="A7049" t="s">
        <v>151</v>
      </c>
      <c r="B7049">
        <v>4722</v>
      </c>
      <c r="C7049" t="s">
        <v>165</v>
      </c>
      <c r="D7049">
        <v>4150</v>
      </c>
      <c r="E7049" t="s">
        <v>450</v>
      </c>
      <c r="F7049" s="4">
        <v>0</v>
      </c>
      <c r="G7049" s="4">
        <v>1712</v>
      </c>
      <c r="H7049" s="4">
        <v>1180</v>
      </c>
      <c r="I7049" s="4">
        <v>532</v>
      </c>
      <c r="J7049" s="4">
        <v>1712</v>
      </c>
    </row>
    <row r="7050" spans="1:10" x14ac:dyDescent="0.75">
      <c r="A7050" t="s">
        <v>151</v>
      </c>
      <c r="B7050">
        <v>4722</v>
      </c>
      <c r="C7050" t="s">
        <v>165</v>
      </c>
      <c r="D7050">
        <v>3283</v>
      </c>
      <c r="E7050" t="s">
        <v>441</v>
      </c>
      <c r="F7050" s="4">
        <v>0</v>
      </c>
      <c r="G7050" s="4">
        <v>1575</v>
      </c>
      <c r="H7050" s="4">
        <v>1392</v>
      </c>
      <c r="I7050" s="4">
        <v>183</v>
      </c>
      <c r="J7050" s="4">
        <v>1575</v>
      </c>
    </row>
    <row r="7051" spans="1:10" x14ac:dyDescent="0.75">
      <c r="A7051" t="s">
        <v>151</v>
      </c>
      <c r="B7051">
        <v>4722</v>
      </c>
      <c r="C7051" t="s">
        <v>165</v>
      </c>
      <c r="D7051">
        <v>6746</v>
      </c>
      <c r="E7051" t="s">
        <v>477</v>
      </c>
      <c r="F7051" s="4">
        <v>0</v>
      </c>
      <c r="G7051" s="4">
        <v>1478</v>
      </c>
      <c r="H7051" s="4">
        <v>955</v>
      </c>
      <c r="I7051" s="4">
        <v>523</v>
      </c>
      <c r="J7051" s="4">
        <v>1478</v>
      </c>
    </row>
    <row r="7052" spans="1:10" x14ac:dyDescent="0.75">
      <c r="A7052" t="s">
        <v>151</v>
      </c>
      <c r="B7052">
        <v>4722</v>
      </c>
      <c r="C7052" t="s">
        <v>165</v>
      </c>
      <c r="D7052">
        <v>6534</v>
      </c>
      <c r="E7052" t="s">
        <v>508</v>
      </c>
      <c r="F7052" s="4">
        <v>0</v>
      </c>
      <c r="G7052" s="4">
        <v>1421</v>
      </c>
      <c r="H7052" s="4">
        <v>1421</v>
      </c>
      <c r="I7052" s="4">
        <v>0</v>
      </c>
      <c r="J7052" s="4">
        <v>1421</v>
      </c>
    </row>
    <row r="7053" spans="1:10" x14ac:dyDescent="0.75">
      <c r="A7053" t="s">
        <v>151</v>
      </c>
      <c r="B7053">
        <v>4722</v>
      </c>
      <c r="C7053" t="s">
        <v>165</v>
      </c>
      <c r="D7053">
        <v>3274</v>
      </c>
      <c r="E7053" t="s">
        <v>438</v>
      </c>
      <c r="F7053" s="4">
        <v>0</v>
      </c>
      <c r="G7053" s="4">
        <v>1265</v>
      </c>
      <c r="H7053" s="4">
        <v>747</v>
      </c>
      <c r="I7053" s="4">
        <v>518</v>
      </c>
      <c r="J7053" s="4">
        <v>1265</v>
      </c>
    </row>
    <row r="7054" spans="1:10" x14ac:dyDescent="0.75">
      <c r="A7054" t="s">
        <v>151</v>
      </c>
      <c r="B7054">
        <v>4722</v>
      </c>
      <c r="C7054" t="s">
        <v>165</v>
      </c>
      <c r="D7054">
        <v>6817</v>
      </c>
      <c r="E7054" t="s">
        <v>481</v>
      </c>
      <c r="F7054" s="4">
        <v>0</v>
      </c>
      <c r="G7054" s="4">
        <v>1220</v>
      </c>
      <c r="H7054" s="4">
        <v>198</v>
      </c>
      <c r="I7054" s="4">
        <v>1022</v>
      </c>
      <c r="J7054" s="4">
        <v>1220</v>
      </c>
    </row>
    <row r="7055" spans="1:10" x14ac:dyDescent="0.75">
      <c r="A7055" t="s">
        <v>151</v>
      </c>
      <c r="B7055">
        <v>4722</v>
      </c>
      <c r="C7055" t="s">
        <v>165</v>
      </c>
      <c r="D7055">
        <v>6872</v>
      </c>
      <c r="E7055" t="s">
        <v>492</v>
      </c>
      <c r="F7055" s="4">
        <v>0</v>
      </c>
      <c r="G7055" s="4">
        <v>1099</v>
      </c>
      <c r="H7055" s="4">
        <v>668</v>
      </c>
      <c r="I7055" s="4">
        <v>431</v>
      </c>
      <c r="J7055" s="4">
        <v>1099</v>
      </c>
    </row>
    <row r="7056" spans="1:10" x14ac:dyDescent="0.75">
      <c r="A7056" t="s">
        <v>151</v>
      </c>
      <c r="B7056">
        <v>4722</v>
      </c>
      <c r="C7056" t="s">
        <v>165</v>
      </c>
      <c r="D7056">
        <v>6521</v>
      </c>
      <c r="E7056" t="s">
        <v>476</v>
      </c>
      <c r="F7056" s="4">
        <v>0</v>
      </c>
      <c r="G7056" s="4">
        <v>910</v>
      </c>
      <c r="H7056" s="4">
        <v>135</v>
      </c>
      <c r="I7056" s="4">
        <v>775</v>
      </c>
      <c r="J7056" s="4">
        <v>910</v>
      </c>
    </row>
    <row r="7057" spans="1:10" x14ac:dyDescent="0.75">
      <c r="A7057" t="s">
        <v>151</v>
      </c>
      <c r="B7057">
        <v>4722</v>
      </c>
      <c r="C7057" t="s">
        <v>165</v>
      </c>
      <c r="D7057">
        <v>4741</v>
      </c>
      <c r="E7057" t="s">
        <v>425</v>
      </c>
      <c r="F7057" s="4">
        <v>0</v>
      </c>
      <c r="G7057" s="4">
        <v>902</v>
      </c>
      <c r="H7057" s="4">
        <v>0</v>
      </c>
      <c r="I7057" s="4">
        <v>902</v>
      </c>
      <c r="J7057" s="4">
        <v>902</v>
      </c>
    </row>
    <row r="7058" spans="1:10" x14ac:dyDescent="0.75">
      <c r="A7058" t="s">
        <v>151</v>
      </c>
      <c r="B7058">
        <v>4722</v>
      </c>
      <c r="C7058" t="s">
        <v>165</v>
      </c>
      <c r="D7058">
        <v>3298</v>
      </c>
      <c r="E7058" t="s">
        <v>447</v>
      </c>
      <c r="F7058" s="4">
        <v>0</v>
      </c>
      <c r="G7058" s="4">
        <v>887</v>
      </c>
      <c r="H7058" s="4">
        <v>548</v>
      </c>
      <c r="I7058" s="4">
        <v>339</v>
      </c>
      <c r="J7058" s="4">
        <v>887</v>
      </c>
    </row>
    <row r="7059" spans="1:10" x14ac:dyDescent="0.75">
      <c r="A7059" t="s">
        <v>151</v>
      </c>
      <c r="B7059">
        <v>4722</v>
      </c>
      <c r="C7059" t="s">
        <v>165</v>
      </c>
      <c r="D7059">
        <v>3110</v>
      </c>
      <c r="E7059" t="s">
        <v>405</v>
      </c>
      <c r="F7059" s="4">
        <v>0</v>
      </c>
      <c r="G7059" s="4">
        <v>871</v>
      </c>
      <c r="H7059" s="4">
        <v>778</v>
      </c>
      <c r="I7059" s="4">
        <v>93</v>
      </c>
      <c r="J7059" s="4">
        <v>871</v>
      </c>
    </row>
    <row r="7060" spans="1:10" x14ac:dyDescent="0.75">
      <c r="A7060" t="s">
        <v>151</v>
      </c>
      <c r="B7060">
        <v>4722</v>
      </c>
      <c r="C7060" t="s">
        <v>165</v>
      </c>
      <c r="D7060">
        <v>3281</v>
      </c>
      <c r="E7060" t="s">
        <v>439</v>
      </c>
      <c r="F7060" s="4">
        <v>0</v>
      </c>
      <c r="G7060" s="4">
        <v>790</v>
      </c>
      <c r="H7060" s="4">
        <v>790</v>
      </c>
      <c r="I7060" s="4">
        <v>0</v>
      </c>
      <c r="J7060" s="4">
        <v>790</v>
      </c>
    </row>
    <row r="7061" spans="1:10" x14ac:dyDescent="0.75">
      <c r="A7061" t="s">
        <v>151</v>
      </c>
      <c r="B7061">
        <v>4722</v>
      </c>
      <c r="C7061" t="s">
        <v>165</v>
      </c>
      <c r="D7061">
        <v>7300</v>
      </c>
      <c r="E7061" t="s">
        <v>501</v>
      </c>
      <c r="F7061" s="4">
        <v>0</v>
      </c>
      <c r="G7061" s="4">
        <v>657</v>
      </c>
      <c r="H7061" s="4">
        <v>649</v>
      </c>
      <c r="I7061" s="4">
        <v>8</v>
      </c>
      <c r="J7061" s="4">
        <v>657</v>
      </c>
    </row>
    <row r="7062" spans="1:10" x14ac:dyDescent="0.75">
      <c r="A7062" t="s">
        <v>151</v>
      </c>
      <c r="B7062">
        <v>4722</v>
      </c>
      <c r="C7062" t="s">
        <v>165</v>
      </c>
      <c r="D7062">
        <v>2640</v>
      </c>
      <c r="E7062" t="s">
        <v>431</v>
      </c>
      <c r="F7062" s="4">
        <v>216</v>
      </c>
      <c r="G7062" s="4">
        <v>416</v>
      </c>
      <c r="H7062" s="4">
        <v>406</v>
      </c>
      <c r="I7062" s="4">
        <v>10</v>
      </c>
      <c r="J7062" s="4">
        <v>632</v>
      </c>
    </row>
    <row r="7063" spans="1:10" x14ac:dyDescent="0.75">
      <c r="A7063" t="s">
        <v>151</v>
      </c>
      <c r="B7063">
        <v>4722</v>
      </c>
      <c r="C7063" t="s">
        <v>165</v>
      </c>
      <c r="D7063">
        <v>2410</v>
      </c>
      <c r="E7063" t="s">
        <v>430</v>
      </c>
      <c r="F7063" s="4">
        <v>0</v>
      </c>
      <c r="G7063" s="4">
        <v>477</v>
      </c>
      <c r="H7063" s="4">
        <v>477</v>
      </c>
      <c r="I7063" s="4">
        <v>0</v>
      </c>
      <c r="J7063" s="4">
        <v>477</v>
      </c>
    </row>
    <row r="7064" spans="1:10" x14ac:dyDescent="0.75">
      <c r="A7064" t="s">
        <v>151</v>
      </c>
      <c r="B7064">
        <v>4722</v>
      </c>
      <c r="C7064" t="s">
        <v>165</v>
      </c>
      <c r="D7064">
        <v>5320</v>
      </c>
      <c r="E7064" t="s">
        <v>384</v>
      </c>
      <c r="F7064" s="4">
        <v>0</v>
      </c>
      <c r="G7064" s="4">
        <v>424</v>
      </c>
      <c r="H7064" s="4">
        <v>424</v>
      </c>
      <c r="I7064" s="4">
        <v>0</v>
      </c>
      <c r="J7064" s="4">
        <v>424</v>
      </c>
    </row>
    <row r="7065" spans="1:10" x14ac:dyDescent="0.75">
      <c r="A7065" t="s">
        <v>151</v>
      </c>
      <c r="B7065">
        <v>4722</v>
      </c>
      <c r="C7065" t="s">
        <v>165</v>
      </c>
      <c r="D7065">
        <v>3211</v>
      </c>
      <c r="E7065" t="s">
        <v>433</v>
      </c>
      <c r="F7065" s="4">
        <v>0</v>
      </c>
      <c r="G7065" s="4">
        <v>417</v>
      </c>
      <c r="H7065" s="4">
        <v>140</v>
      </c>
      <c r="I7065" s="4">
        <v>277</v>
      </c>
      <c r="J7065" s="4">
        <v>417</v>
      </c>
    </row>
    <row r="7066" spans="1:10" x14ac:dyDescent="0.75">
      <c r="A7066" t="s">
        <v>151</v>
      </c>
      <c r="B7066">
        <v>4722</v>
      </c>
      <c r="C7066" t="s">
        <v>165</v>
      </c>
      <c r="D7066">
        <v>3130</v>
      </c>
      <c r="E7066" t="s">
        <v>407</v>
      </c>
      <c r="F7066" s="4">
        <v>0</v>
      </c>
      <c r="G7066" s="4">
        <v>301</v>
      </c>
      <c r="H7066" s="4">
        <v>243</v>
      </c>
      <c r="I7066" s="4">
        <v>58</v>
      </c>
      <c r="J7066" s="4">
        <v>301</v>
      </c>
    </row>
    <row r="7067" spans="1:10" x14ac:dyDescent="0.75">
      <c r="A7067" t="s">
        <v>151</v>
      </c>
      <c r="B7067">
        <v>4722</v>
      </c>
      <c r="C7067" t="s">
        <v>165</v>
      </c>
      <c r="D7067">
        <v>3120</v>
      </c>
      <c r="E7067" t="s">
        <v>406</v>
      </c>
      <c r="F7067" s="4">
        <v>0</v>
      </c>
      <c r="G7067" s="4">
        <v>251</v>
      </c>
      <c r="H7067" s="4">
        <v>178</v>
      </c>
      <c r="I7067" s="4">
        <v>73</v>
      </c>
      <c r="J7067" s="4">
        <v>251</v>
      </c>
    </row>
    <row r="7068" spans="1:10" x14ac:dyDescent="0.75">
      <c r="A7068" t="s">
        <v>151</v>
      </c>
      <c r="B7068">
        <v>4722</v>
      </c>
      <c r="C7068" t="s">
        <v>165</v>
      </c>
      <c r="D7068">
        <v>4110</v>
      </c>
      <c r="E7068" t="s">
        <v>449</v>
      </c>
      <c r="F7068" s="4">
        <v>0</v>
      </c>
      <c r="G7068" s="4">
        <v>191</v>
      </c>
      <c r="H7068" s="4">
        <v>191</v>
      </c>
      <c r="I7068" s="4">
        <v>0</v>
      </c>
      <c r="J7068" s="4">
        <v>191</v>
      </c>
    </row>
    <row r="7069" spans="1:10" x14ac:dyDescent="0.75">
      <c r="A7069" t="s">
        <v>151</v>
      </c>
      <c r="B7069">
        <v>4722</v>
      </c>
      <c r="C7069" t="s">
        <v>165</v>
      </c>
      <c r="D7069">
        <v>3272</v>
      </c>
      <c r="E7069" t="s">
        <v>504</v>
      </c>
      <c r="F7069" s="4">
        <v>0</v>
      </c>
      <c r="G7069" s="4">
        <v>43</v>
      </c>
      <c r="H7069" s="4">
        <v>26</v>
      </c>
      <c r="I7069" s="4">
        <v>17</v>
      </c>
      <c r="J7069" s="4">
        <v>43</v>
      </c>
    </row>
    <row r="7070" spans="1:10" x14ac:dyDescent="0.75">
      <c r="A7070" t="s">
        <v>151</v>
      </c>
      <c r="B7070">
        <v>4722</v>
      </c>
      <c r="C7070" t="s">
        <v>165</v>
      </c>
      <c r="D7070">
        <v>1200</v>
      </c>
      <c r="E7070" t="s">
        <v>402</v>
      </c>
      <c r="F7070" s="4">
        <v>0</v>
      </c>
      <c r="G7070" s="4">
        <v>40</v>
      </c>
      <c r="H7070" s="4">
        <v>0</v>
      </c>
      <c r="I7070" s="4">
        <v>40</v>
      </c>
      <c r="J7070" s="4">
        <v>40</v>
      </c>
    </row>
    <row r="7071" spans="1:10" x14ac:dyDescent="0.75">
      <c r="A7071" t="s">
        <v>151</v>
      </c>
      <c r="B7071">
        <v>4722</v>
      </c>
      <c r="C7071" t="s">
        <v>165</v>
      </c>
      <c r="D7071">
        <v>4515</v>
      </c>
      <c r="E7071" t="s">
        <v>455</v>
      </c>
      <c r="F7071" s="4">
        <v>0</v>
      </c>
      <c r="G7071" s="4">
        <v>24</v>
      </c>
      <c r="H7071" s="4">
        <v>24</v>
      </c>
      <c r="I7071" s="4">
        <v>0</v>
      </c>
      <c r="J7071" s="4">
        <v>24</v>
      </c>
    </row>
    <row r="7072" spans="1:10" x14ac:dyDescent="0.75">
      <c r="A7072" t="s">
        <v>151</v>
      </c>
      <c r="B7072">
        <v>4722</v>
      </c>
      <c r="C7072" t="s">
        <v>165</v>
      </c>
      <c r="D7072">
        <v>2429</v>
      </c>
      <c r="E7072" t="s">
        <v>375</v>
      </c>
      <c r="F7072" s="4">
        <v>0</v>
      </c>
      <c r="G7072" s="4">
        <v>19</v>
      </c>
      <c r="H7072" s="4">
        <v>0</v>
      </c>
      <c r="I7072" s="4">
        <v>19</v>
      </c>
      <c r="J7072" s="4">
        <v>19</v>
      </c>
    </row>
    <row r="7073" spans="1:10" x14ac:dyDescent="0.75">
      <c r="A7073" t="s">
        <v>151</v>
      </c>
      <c r="B7073">
        <v>4722</v>
      </c>
      <c r="C7073" t="s">
        <v>165</v>
      </c>
      <c r="D7073">
        <v>2100</v>
      </c>
      <c r="E7073" t="s">
        <v>403</v>
      </c>
      <c r="F7073" s="4">
        <v>0</v>
      </c>
      <c r="G7073" s="4">
        <v>18</v>
      </c>
      <c r="H7073" s="4">
        <v>18</v>
      </c>
      <c r="I7073" s="4">
        <v>0</v>
      </c>
      <c r="J7073" s="4">
        <v>18</v>
      </c>
    </row>
    <row r="7074" spans="1:10" x14ac:dyDescent="0.75">
      <c r="A7074" t="s">
        <v>151</v>
      </c>
      <c r="B7074">
        <v>4722</v>
      </c>
      <c r="C7074" t="s">
        <v>165</v>
      </c>
      <c r="D7074">
        <v>3212</v>
      </c>
      <c r="E7074" t="s">
        <v>409</v>
      </c>
      <c r="F7074" s="4">
        <v>0</v>
      </c>
      <c r="G7074" s="4">
        <v>17</v>
      </c>
      <c r="H7074" s="4">
        <v>17</v>
      </c>
      <c r="I7074" s="4">
        <v>0</v>
      </c>
      <c r="J7074" s="4">
        <v>17</v>
      </c>
    </row>
    <row r="7075" spans="1:10" x14ac:dyDescent="0.75">
      <c r="A7075" t="s">
        <v>151</v>
      </c>
      <c r="B7075">
        <v>4722</v>
      </c>
      <c r="C7075" t="s">
        <v>165</v>
      </c>
      <c r="D7075">
        <v>2350</v>
      </c>
      <c r="E7075" t="s">
        <v>404</v>
      </c>
      <c r="F7075" s="4">
        <v>0</v>
      </c>
      <c r="G7075" s="4">
        <v>14</v>
      </c>
      <c r="H7075" s="4">
        <v>0</v>
      </c>
      <c r="I7075" s="4">
        <v>14</v>
      </c>
      <c r="J7075" s="4">
        <v>14</v>
      </c>
    </row>
    <row r="7076" spans="1:10" x14ac:dyDescent="0.75">
      <c r="A7076" t="s">
        <v>151</v>
      </c>
      <c r="B7076">
        <v>4722</v>
      </c>
      <c r="C7076" t="s">
        <v>165</v>
      </c>
      <c r="D7076">
        <v>2221</v>
      </c>
      <c r="E7076" t="s">
        <v>374</v>
      </c>
      <c r="F7076" s="4">
        <v>0</v>
      </c>
      <c r="G7076" s="4">
        <v>9</v>
      </c>
      <c r="H7076" s="4">
        <v>0</v>
      </c>
      <c r="I7076" s="4">
        <v>9</v>
      </c>
      <c r="J7076" s="4">
        <v>9</v>
      </c>
    </row>
    <row r="7077" spans="1:10" x14ac:dyDescent="0.75">
      <c r="A7077" t="s">
        <v>151</v>
      </c>
      <c r="B7077">
        <v>4897</v>
      </c>
      <c r="C7077" t="s">
        <v>344</v>
      </c>
      <c r="D7077">
        <v>2330</v>
      </c>
      <c r="E7077" t="s">
        <v>368</v>
      </c>
      <c r="F7077" s="4">
        <v>1772</v>
      </c>
      <c r="G7077" s="4">
        <v>0</v>
      </c>
      <c r="H7077" s="4">
        <v>0</v>
      </c>
      <c r="I7077" s="4">
        <v>0</v>
      </c>
      <c r="J7077" s="4">
        <v>1772</v>
      </c>
    </row>
    <row r="7078" spans="1:10" x14ac:dyDescent="0.75">
      <c r="A7078" t="s">
        <v>151</v>
      </c>
      <c r="B7078">
        <v>4897</v>
      </c>
      <c r="C7078" t="s">
        <v>344</v>
      </c>
      <c r="D7078">
        <v>2221</v>
      </c>
      <c r="E7078" t="s">
        <v>374</v>
      </c>
      <c r="F7078" s="4">
        <v>372</v>
      </c>
      <c r="G7078" s="4">
        <v>0</v>
      </c>
      <c r="H7078" s="4">
        <v>0</v>
      </c>
      <c r="I7078" s="4">
        <v>0</v>
      </c>
      <c r="J7078" s="4">
        <v>372</v>
      </c>
    </row>
    <row r="7079" spans="1:10" x14ac:dyDescent="0.75">
      <c r="A7079" t="s">
        <v>151</v>
      </c>
      <c r="B7079">
        <v>4897</v>
      </c>
      <c r="C7079" t="s">
        <v>344</v>
      </c>
      <c r="D7079">
        <v>2211</v>
      </c>
      <c r="E7079" t="s">
        <v>367</v>
      </c>
      <c r="F7079" s="4">
        <v>353</v>
      </c>
      <c r="G7079" s="4">
        <v>0</v>
      </c>
      <c r="H7079" s="4">
        <v>0</v>
      </c>
      <c r="I7079" s="4">
        <v>0</v>
      </c>
      <c r="J7079" s="4">
        <v>353</v>
      </c>
    </row>
    <row r="7080" spans="1:10" x14ac:dyDescent="0.75">
      <c r="A7080" t="s">
        <v>163</v>
      </c>
      <c r="B7080">
        <v>7710</v>
      </c>
      <c r="C7080" t="s">
        <v>280</v>
      </c>
      <c r="D7080">
        <v>6344</v>
      </c>
      <c r="E7080" t="s">
        <v>392</v>
      </c>
      <c r="F7080" s="4">
        <v>199778</v>
      </c>
      <c r="G7080" s="4">
        <v>0</v>
      </c>
      <c r="H7080" s="4">
        <v>0</v>
      </c>
      <c r="I7080" s="4">
        <v>0</v>
      </c>
      <c r="J7080" s="4">
        <v>199778</v>
      </c>
    </row>
    <row r="7081" spans="1:10" x14ac:dyDescent="0.75">
      <c r="A7081" t="s">
        <v>163</v>
      </c>
      <c r="B7081">
        <v>7710</v>
      </c>
      <c r="C7081" t="s">
        <v>280</v>
      </c>
      <c r="D7081">
        <v>3110</v>
      </c>
      <c r="E7081" t="s">
        <v>405</v>
      </c>
      <c r="F7081" s="4">
        <v>135723</v>
      </c>
      <c r="G7081" s="4">
        <v>0</v>
      </c>
      <c r="H7081" s="4">
        <v>0</v>
      </c>
      <c r="I7081" s="4">
        <v>0</v>
      </c>
      <c r="J7081" s="4">
        <v>135723</v>
      </c>
    </row>
    <row r="7082" spans="1:10" x14ac:dyDescent="0.75">
      <c r="A7082" t="s">
        <v>163</v>
      </c>
      <c r="B7082">
        <v>7710</v>
      </c>
      <c r="C7082" t="s">
        <v>280</v>
      </c>
      <c r="D7082">
        <v>3190</v>
      </c>
      <c r="E7082" t="s">
        <v>408</v>
      </c>
      <c r="F7082" s="4">
        <v>35026</v>
      </c>
      <c r="G7082" s="4">
        <v>0</v>
      </c>
      <c r="H7082" s="4">
        <v>0</v>
      </c>
      <c r="I7082" s="4">
        <v>0</v>
      </c>
      <c r="J7082" s="4">
        <v>35026</v>
      </c>
    </row>
    <row r="7083" spans="1:10" x14ac:dyDescent="0.75">
      <c r="A7083" t="s">
        <v>163</v>
      </c>
      <c r="B7083">
        <v>7710</v>
      </c>
      <c r="C7083" t="s">
        <v>280</v>
      </c>
      <c r="D7083">
        <v>6522</v>
      </c>
      <c r="E7083" t="s">
        <v>393</v>
      </c>
      <c r="F7083" s="4">
        <v>34174</v>
      </c>
      <c r="G7083" s="4">
        <v>0</v>
      </c>
      <c r="H7083" s="4">
        <v>0</v>
      </c>
      <c r="I7083" s="4">
        <v>0</v>
      </c>
      <c r="J7083" s="4">
        <v>34174</v>
      </c>
    </row>
    <row r="7084" spans="1:10" x14ac:dyDescent="0.75">
      <c r="A7084" t="s">
        <v>163</v>
      </c>
      <c r="B7084">
        <v>7710</v>
      </c>
      <c r="C7084" t="s">
        <v>280</v>
      </c>
      <c r="D7084">
        <v>3273</v>
      </c>
      <c r="E7084" t="s">
        <v>411</v>
      </c>
      <c r="F7084" s="4">
        <v>32500</v>
      </c>
      <c r="G7084" s="4">
        <v>0</v>
      </c>
      <c r="H7084" s="4">
        <v>0</v>
      </c>
      <c r="I7084" s="4">
        <v>0</v>
      </c>
      <c r="J7084" s="4">
        <v>32500</v>
      </c>
    </row>
    <row r="7085" spans="1:10" x14ac:dyDescent="0.75">
      <c r="A7085" t="s">
        <v>163</v>
      </c>
      <c r="B7085">
        <v>7710</v>
      </c>
      <c r="C7085" t="s">
        <v>280</v>
      </c>
      <c r="D7085">
        <v>3130</v>
      </c>
      <c r="E7085" t="s">
        <v>407</v>
      </c>
      <c r="F7085" s="4">
        <v>22628</v>
      </c>
      <c r="G7085" s="4">
        <v>0</v>
      </c>
      <c r="H7085" s="4">
        <v>0</v>
      </c>
      <c r="I7085" s="4">
        <v>0</v>
      </c>
      <c r="J7085" s="4">
        <v>22628</v>
      </c>
    </row>
    <row r="7086" spans="1:10" x14ac:dyDescent="0.75">
      <c r="A7086" t="s">
        <v>163</v>
      </c>
      <c r="B7086">
        <v>7710</v>
      </c>
      <c r="C7086" t="s">
        <v>280</v>
      </c>
      <c r="D7086">
        <v>2330</v>
      </c>
      <c r="E7086" t="s">
        <v>368</v>
      </c>
      <c r="F7086" s="4">
        <v>5905</v>
      </c>
      <c r="G7086" s="4">
        <v>0</v>
      </c>
      <c r="H7086" s="4">
        <v>0</v>
      </c>
      <c r="I7086" s="4">
        <v>0</v>
      </c>
      <c r="J7086" s="4">
        <v>5905</v>
      </c>
    </row>
    <row r="7087" spans="1:10" x14ac:dyDescent="0.75">
      <c r="A7087" t="s">
        <v>163</v>
      </c>
      <c r="B7087">
        <v>7710</v>
      </c>
      <c r="C7087" t="s">
        <v>280</v>
      </c>
      <c r="D7087">
        <v>5390</v>
      </c>
      <c r="E7087" t="s">
        <v>418</v>
      </c>
      <c r="F7087" s="4">
        <v>5864</v>
      </c>
      <c r="G7087" s="4">
        <v>0</v>
      </c>
      <c r="H7087" s="4">
        <v>0</v>
      </c>
      <c r="I7087" s="4">
        <v>0</v>
      </c>
      <c r="J7087" s="4">
        <v>5864</v>
      </c>
    </row>
    <row r="7088" spans="1:10" x14ac:dyDescent="0.75">
      <c r="A7088" t="s">
        <v>163</v>
      </c>
      <c r="B7088">
        <v>7710</v>
      </c>
      <c r="C7088" t="s">
        <v>280</v>
      </c>
      <c r="D7088">
        <v>3120</v>
      </c>
      <c r="E7088" t="s">
        <v>406</v>
      </c>
      <c r="F7088" s="4">
        <v>4299</v>
      </c>
      <c r="G7088" s="4">
        <v>0</v>
      </c>
      <c r="H7088" s="4">
        <v>0</v>
      </c>
      <c r="I7088" s="4">
        <v>0</v>
      </c>
      <c r="J7088" s="4">
        <v>4299</v>
      </c>
    </row>
    <row r="7089" spans="1:10" x14ac:dyDescent="0.75">
      <c r="A7089" t="s">
        <v>163</v>
      </c>
      <c r="B7089">
        <v>7710</v>
      </c>
      <c r="C7089" t="s">
        <v>280</v>
      </c>
      <c r="D7089">
        <v>6782</v>
      </c>
      <c r="E7089" t="s">
        <v>396</v>
      </c>
      <c r="F7089" s="4">
        <v>3091</v>
      </c>
      <c r="G7089" s="4">
        <v>0</v>
      </c>
      <c r="H7089" s="4">
        <v>0</v>
      </c>
      <c r="I7089" s="4">
        <v>0</v>
      </c>
      <c r="J7089" s="4">
        <v>3091</v>
      </c>
    </row>
    <row r="7090" spans="1:10" x14ac:dyDescent="0.75">
      <c r="A7090" t="s">
        <v>151</v>
      </c>
      <c r="B7090">
        <v>4907</v>
      </c>
      <c r="C7090" t="s">
        <v>318</v>
      </c>
      <c r="D7090">
        <v>2330</v>
      </c>
      <c r="E7090" t="s">
        <v>368</v>
      </c>
      <c r="F7090" s="4">
        <v>45581</v>
      </c>
      <c r="G7090" s="4">
        <v>0</v>
      </c>
      <c r="H7090" s="4">
        <v>0</v>
      </c>
      <c r="I7090" s="4">
        <v>0</v>
      </c>
      <c r="J7090" s="4">
        <v>45581</v>
      </c>
    </row>
    <row r="7091" spans="1:10" x14ac:dyDescent="0.75">
      <c r="A7091" t="s">
        <v>151</v>
      </c>
      <c r="B7091">
        <v>4907</v>
      </c>
      <c r="C7091" t="s">
        <v>318</v>
      </c>
      <c r="D7091">
        <v>2211</v>
      </c>
      <c r="E7091" t="s">
        <v>367</v>
      </c>
      <c r="F7091" s="4">
        <v>13365</v>
      </c>
      <c r="G7091" s="4">
        <v>0</v>
      </c>
      <c r="H7091" s="4">
        <v>0</v>
      </c>
      <c r="I7091" s="4">
        <v>0</v>
      </c>
      <c r="J7091" s="4">
        <v>13365</v>
      </c>
    </row>
    <row r="7092" spans="1:10" x14ac:dyDescent="0.75">
      <c r="A7092" t="s">
        <v>151</v>
      </c>
      <c r="B7092">
        <v>4907</v>
      </c>
      <c r="C7092" t="s">
        <v>318</v>
      </c>
      <c r="D7092">
        <v>5370</v>
      </c>
      <c r="E7092" t="s">
        <v>466</v>
      </c>
      <c r="F7092" s="4">
        <v>0</v>
      </c>
      <c r="G7092" s="4">
        <v>4493</v>
      </c>
      <c r="H7092" s="4">
        <v>4493</v>
      </c>
      <c r="I7092" s="4">
        <v>0</v>
      </c>
      <c r="J7092" s="4">
        <v>4493</v>
      </c>
    </row>
    <row r="7093" spans="1:10" x14ac:dyDescent="0.75">
      <c r="A7093" t="s">
        <v>163</v>
      </c>
      <c r="B7093">
        <v>2318</v>
      </c>
      <c r="C7093" t="s">
        <v>262</v>
      </c>
      <c r="D7093">
        <v>6344</v>
      </c>
      <c r="E7093" t="s">
        <v>392</v>
      </c>
      <c r="F7093" s="4">
        <v>617160</v>
      </c>
      <c r="G7093" s="4">
        <v>0</v>
      </c>
      <c r="H7093" s="4">
        <v>0</v>
      </c>
      <c r="I7093" s="4">
        <v>0</v>
      </c>
      <c r="J7093" s="4">
        <v>617160</v>
      </c>
    </row>
    <row r="7094" spans="1:10" x14ac:dyDescent="0.75">
      <c r="A7094" t="s">
        <v>163</v>
      </c>
      <c r="B7094">
        <v>2318</v>
      </c>
      <c r="C7094" t="s">
        <v>262</v>
      </c>
      <c r="D7094">
        <v>6522</v>
      </c>
      <c r="E7094" t="s">
        <v>393</v>
      </c>
      <c r="F7094" s="4">
        <v>237810</v>
      </c>
      <c r="G7094" s="4">
        <v>0</v>
      </c>
      <c r="H7094" s="4">
        <v>0</v>
      </c>
      <c r="I7094" s="4">
        <v>0</v>
      </c>
      <c r="J7094" s="4">
        <v>237810</v>
      </c>
    </row>
    <row r="7095" spans="1:10" x14ac:dyDescent="0.75">
      <c r="A7095" t="s">
        <v>163</v>
      </c>
      <c r="B7095">
        <v>2318</v>
      </c>
      <c r="C7095" t="s">
        <v>262</v>
      </c>
      <c r="D7095">
        <v>6241</v>
      </c>
      <c r="E7095" t="s">
        <v>391</v>
      </c>
      <c r="F7095" s="4">
        <v>11914</v>
      </c>
      <c r="G7095" s="4">
        <v>0</v>
      </c>
      <c r="H7095" s="4">
        <v>0</v>
      </c>
      <c r="I7095" s="4">
        <v>0</v>
      </c>
      <c r="J7095" s="4">
        <v>11914</v>
      </c>
    </row>
    <row r="7096" spans="1:10" x14ac:dyDescent="0.75">
      <c r="A7096" t="s">
        <v>163</v>
      </c>
      <c r="B7096">
        <v>2318</v>
      </c>
      <c r="C7096" t="s">
        <v>262</v>
      </c>
      <c r="D7096">
        <v>6590</v>
      </c>
      <c r="E7096" t="s">
        <v>394</v>
      </c>
      <c r="F7096" s="4">
        <v>5563</v>
      </c>
      <c r="G7096" s="4">
        <v>0</v>
      </c>
      <c r="H7096" s="4">
        <v>0</v>
      </c>
      <c r="I7096" s="4">
        <v>0</v>
      </c>
      <c r="J7096" s="4">
        <v>5563</v>
      </c>
    </row>
    <row r="7097" spans="1:10" x14ac:dyDescent="0.75">
      <c r="A7097" t="s">
        <v>151</v>
      </c>
      <c r="B7097">
        <v>4977</v>
      </c>
      <c r="C7097" t="s">
        <v>103</v>
      </c>
      <c r="D7097">
        <v>2330</v>
      </c>
      <c r="E7097" t="s">
        <v>368</v>
      </c>
      <c r="F7097" s="4">
        <v>544</v>
      </c>
      <c r="G7097" s="4">
        <v>0</v>
      </c>
      <c r="H7097" s="4">
        <v>0</v>
      </c>
      <c r="I7097" s="4">
        <v>0</v>
      </c>
      <c r="J7097" s="4">
        <v>544</v>
      </c>
    </row>
    <row r="7098" spans="1:10" x14ac:dyDescent="0.75">
      <c r="A7098" t="s">
        <v>151</v>
      </c>
      <c r="B7098">
        <v>4977</v>
      </c>
      <c r="C7098" t="s">
        <v>103</v>
      </c>
      <c r="D7098">
        <v>7400</v>
      </c>
      <c r="E7098" t="s">
        <v>502</v>
      </c>
      <c r="F7098" s="4">
        <v>205</v>
      </c>
      <c r="G7098" s="4">
        <v>0</v>
      </c>
      <c r="H7098" s="4">
        <v>0</v>
      </c>
      <c r="I7098" s="4">
        <v>0</v>
      </c>
      <c r="J7098" s="4">
        <v>205</v>
      </c>
    </row>
    <row r="7099" spans="1:10" x14ac:dyDescent="0.75">
      <c r="A7099" t="s">
        <v>151</v>
      </c>
      <c r="B7099">
        <v>4977</v>
      </c>
      <c r="C7099" t="s">
        <v>103</v>
      </c>
      <c r="D7099">
        <v>2211</v>
      </c>
      <c r="E7099" t="s">
        <v>367</v>
      </c>
      <c r="F7099" s="4">
        <v>204</v>
      </c>
      <c r="G7099" s="4">
        <v>0</v>
      </c>
      <c r="H7099" s="4">
        <v>0</v>
      </c>
      <c r="I7099" s="4">
        <v>0</v>
      </c>
      <c r="J7099" s="4">
        <v>204</v>
      </c>
    </row>
    <row r="7100" spans="1:10" x14ac:dyDescent="0.75">
      <c r="A7100" t="s">
        <v>151</v>
      </c>
      <c r="B7100">
        <v>4977</v>
      </c>
      <c r="C7100" t="s">
        <v>103</v>
      </c>
      <c r="D7100">
        <v>7900</v>
      </c>
      <c r="E7100" t="s">
        <v>388</v>
      </c>
      <c r="F7100" s="4">
        <v>90</v>
      </c>
      <c r="G7100" s="4">
        <v>0</v>
      </c>
      <c r="H7100" s="4">
        <v>0</v>
      </c>
      <c r="I7100" s="4">
        <v>0</v>
      </c>
      <c r="J7100" s="4">
        <v>90</v>
      </c>
    </row>
    <row r="7101" spans="1:10" x14ac:dyDescent="0.75">
      <c r="A7101" t="s">
        <v>151</v>
      </c>
      <c r="B7101">
        <v>4977</v>
      </c>
      <c r="C7101" t="s">
        <v>103</v>
      </c>
      <c r="D7101">
        <v>7210</v>
      </c>
      <c r="E7101" t="s">
        <v>426</v>
      </c>
      <c r="F7101" s="4">
        <v>34</v>
      </c>
      <c r="G7101" s="4">
        <v>0</v>
      </c>
      <c r="H7101" s="4">
        <v>0</v>
      </c>
      <c r="I7101" s="4">
        <v>0</v>
      </c>
      <c r="J7101" s="4">
        <v>34</v>
      </c>
    </row>
    <row r="7102" spans="1:10" x14ac:dyDescent="0.75">
      <c r="A7102" t="s">
        <v>151</v>
      </c>
      <c r="B7102">
        <v>4977</v>
      </c>
      <c r="C7102" t="s">
        <v>103</v>
      </c>
      <c r="D7102">
        <v>4189</v>
      </c>
      <c r="E7102" t="s">
        <v>451</v>
      </c>
      <c r="F7102" s="4">
        <v>31</v>
      </c>
      <c r="G7102" s="4">
        <v>0</v>
      </c>
      <c r="H7102" s="4">
        <v>0</v>
      </c>
      <c r="I7102" s="4">
        <v>0</v>
      </c>
      <c r="J7102" s="4">
        <v>31</v>
      </c>
    </row>
    <row r="7103" spans="1:10" x14ac:dyDescent="0.75">
      <c r="A7103" t="s">
        <v>151</v>
      </c>
      <c r="B7103">
        <v>4977</v>
      </c>
      <c r="C7103" t="s">
        <v>103</v>
      </c>
      <c r="D7103">
        <v>2990</v>
      </c>
      <c r="E7103" t="s">
        <v>432</v>
      </c>
      <c r="F7103" s="4">
        <v>28</v>
      </c>
      <c r="G7103" s="4">
        <v>0</v>
      </c>
      <c r="H7103" s="4">
        <v>0</v>
      </c>
      <c r="I7103" s="4">
        <v>0</v>
      </c>
      <c r="J7103" s="4">
        <v>28</v>
      </c>
    </row>
    <row r="7104" spans="1:10" x14ac:dyDescent="0.75">
      <c r="A7104" t="s">
        <v>151</v>
      </c>
      <c r="B7104">
        <v>4977</v>
      </c>
      <c r="C7104" t="s">
        <v>103</v>
      </c>
      <c r="D7104">
        <v>3299</v>
      </c>
      <c r="E7104" t="s">
        <v>448</v>
      </c>
      <c r="F7104" s="4">
        <v>10</v>
      </c>
      <c r="G7104" s="4">
        <v>0</v>
      </c>
      <c r="H7104" s="4">
        <v>0</v>
      </c>
      <c r="I7104" s="4">
        <v>0</v>
      </c>
      <c r="J7104" s="4">
        <v>10</v>
      </c>
    </row>
    <row r="7105" spans="1:10" x14ac:dyDescent="0.75">
      <c r="A7105" t="s">
        <v>151</v>
      </c>
      <c r="B7105">
        <v>4977</v>
      </c>
      <c r="C7105" t="s">
        <v>103</v>
      </c>
      <c r="D7105">
        <v>7110</v>
      </c>
      <c r="E7105" t="s">
        <v>371</v>
      </c>
      <c r="F7105" s="4">
        <v>10</v>
      </c>
      <c r="G7105" s="4">
        <v>0</v>
      </c>
      <c r="H7105" s="4">
        <v>0</v>
      </c>
      <c r="I7105" s="4">
        <v>0</v>
      </c>
      <c r="J7105" s="4">
        <v>10</v>
      </c>
    </row>
    <row r="7106" spans="1:10" x14ac:dyDescent="0.75">
      <c r="A7106" t="s">
        <v>151</v>
      </c>
      <c r="B7106">
        <v>4977</v>
      </c>
      <c r="C7106" t="s">
        <v>103</v>
      </c>
      <c r="D7106">
        <v>5360</v>
      </c>
      <c r="E7106" t="s">
        <v>465</v>
      </c>
      <c r="F7106" s="4">
        <v>9</v>
      </c>
      <c r="G7106" s="4">
        <v>0</v>
      </c>
      <c r="H7106" s="4">
        <v>0</v>
      </c>
      <c r="I7106" s="4">
        <v>0</v>
      </c>
      <c r="J7106" s="4">
        <v>9</v>
      </c>
    </row>
    <row r="7107" spans="1:10" x14ac:dyDescent="0.75">
      <c r="A7107" t="s">
        <v>151</v>
      </c>
      <c r="B7107">
        <v>4977</v>
      </c>
      <c r="C7107" t="s">
        <v>103</v>
      </c>
      <c r="D7107">
        <v>6887</v>
      </c>
      <c r="E7107" t="s">
        <v>505</v>
      </c>
      <c r="F7107" s="4">
        <v>6</v>
      </c>
      <c r="G7107" s="4">
        <v>0</v>
      </c>
      <c r="H7107" s="4">
        <v>0</v>
      </c>
      <c r="I7107" s="4">
        <v>0</v>
      </c>
      <c r="J7107" s="4">
        <v>6</v>
      </c>
    </row>
    <row r="7108" spans="1:10" x14ac:dyDescent="0.75">
      <c r="A7108" t="s">
        <v>151</v>
      </c>
      <c r="B7108">
        <v>4977</v>
      </c>
      <c r="C7108" t="s">
        <v>103</v>
      </c>
      <c r="D7108">
        <v>5370</v>
      </c>
      <c r="E7108" t="s">
        <v>466</v>
      </c>
      <c r="F7108" s="4">
        <v>4</v>
      </c>
      <c r="G7108" s="4">
        <v>0</v>
      </c>
      <c r="H7108" s="4">
        <v>0</v>
      </c>
      <c r="I7108" s="4">
        <v>0</v>
      </c>
      <c r="J7108" s="4">
        <v>4</v>
      </c>
    </row>
    <row r="7109" spans="1:10" x14ac:dyDescent="0.75">
      <c r="A7109" t="s">
        <v>151</v>
      </c>
      <c r="B7109">
        <v>4977</v>
      </c>
      <c r="C7109" t="s">
        <v>103</v>
      </c>
      <c r="D7109">
        <v>7120</v>
      </c>
      <c r="E7109" t="s">
        <v>499</v>
      </c>
      <c r="F7109" s="4">
        <v>2</v>
      </c>
      <c r="G7109" s="4">
        <v>0</v>
      </c>
      <c r="H7109" s="4">
        <v>0</v>
      </c>
      <c r="I7109" s="4">
        <v>0</v>
      </c>
      <c r="J7109" s="4">
        <v>2</v>
      </c>
    </row>
    <row r="7110" spans="1:10" x14ac:dyDescent="0.75">
      <c r="A7110" t="s">
        <v>151</v>
      </c>
      <c r="B7110">
        <v>4977</v>
      </c>
      <c r="C7110" t="s">
        <v>103</v>
      </c>
      <c r="D7110">
        <v>4331</v>
      </c>
      <c r="E7110" t="s">
        <v>390</v>
      </c>
      <c r="F7110" s="4">
        <v>1</v>
      </c>
      <c r="G7110" s="4">
        <v>0</v>
      </c>
      <c r="H7110" s="4">
        <v>0</v>
      </c>
      <c r="I7110" s="4">
        <v>0</v>
      </c>
      <c r="J7110" s="4">
        <v>1</v>
      </c>
    </row>
    <row r="7111" spans="1:10" x14ac:dyDescent="0.75">
      <c r="A7111" t="s">
        <v>151</v>
      </c>
      <c r="B7111">
        <v>4977</v>
      </c>
      <c r="C7111" t="s">
        <v>103</v>
      </c>
      <c r="D7111">
        <v>7230</v>
      </c>
      <c r="E7111" t="s">
        <v>387</v>
      </c>
      <c r="F7111" s="4">
        <v>1</v>
      </c>
      <c r="G7111" s="4">
        <v>0</v>
      </c>
      <c r="H7111" s="4">
        <v>0</v>
      </c>
      <c r="I7111" s="4">
        <v>0</v>
      </c>
      <c r="J7111" s="4">
        <v>1</v>
      </c>
    </row>
    <row r="7112" spans="1:10" x14ac:dyDescent="0.75">
      <c r="A7112" t="s">
        <v>160</v>
      </c>
      <c r="B7112">
        <v>3928</v>
      </c>
      <c r="C7112" t="s">
        <v>192</v>
      </c>
      <c r="D7112">
        <v>4410</v>
      </c>
      <c r="E7112" t="s">
        <v>399</v>
      </c>
      <c r="F7112" s="4">
        <v>4751129</v>
      </c>
      <c r="G7112" s="4">
        <v>941593</v>
      </c>
      <c r="H7112" s="4">
        <v>0</v>
      </c>
      <c r="I7112" s="4">
        <v>941593</v>
      </c>
      <c r="J7112" s="4">
        <v>5692722</v>
      </c>
    </row>
    <row r="7113" spans="1:10" x14ac:dyDescent="0.75">
      <c r="A7113" t="s">
        <v>160</v>
      </c>
      <c r="B7113">
        <v>3928</v>
      </c>
      <c r="C7113" t="s">
        <v>192</v>
      </c>
      <c r="D7113">
        <v>4322</v>
      </c>
      <c r="E7113" t="s">
        <v>398</v>
      </c>
      <c r="F7113" s="4">
        <v>146919</v>
      </c>
      <c r="G7113" s="4">
        <v>0</v>
      </c>
      <c r="H7113" s="4">
        <v>0</v>
      </c>
      <c r="I7113" s="4">
        <v>0</v>
      </c>
      <c r="J7113" s="4">
        <v>146919</v>
      </c>
    </row>
    <row r="7114" spans="1:10" x14ac:dyDescent="0.75">
      <c r="A7114" t="s">
        <v>151</v>
      </c>
      <c r="B7114">
        <v>4796</v>
      </c>
      <c r="C7114" t="s">
        <v>345</v>
      </c>
      <c r="D7114">
        <v>6134</v>
      </c>
      <c r="E7114" t="s">
        <v>470</v>
      </c>
      <c r="F7114" s="4">
        <v>2109</v>
      </c>
      <c r="G7114" s="4">
        <v>20</v>
      </c>
      <c r="H7114" s="4">
        <v>20</v>
      </c>
      <c r="I7114" s="4">
        <v>0</v>
      </c>
      <c r="J7114" s="4">
        <v>2129</v>
      </c>
    </row>
    <row r="7115" spans="1:10" x14ac:dyDescent="0.75">
      <c r="A7115" t="s">
        <v>151</v>
      </c>
      <c r="B7115">
        <v>4796</v>
      </c>
      <c r="C7115" t="s">
        <v>345</v>
      </c>
      <c r="D7115">
        <v>7900</v>
      </c>
      <c r="E7115" t="s">
        <v>388</v>
      </c>
      <c r="F7115" s="4">
        <v>91</v>
      </c>
      <c r="G7115" s="4">
        <v>0</v>
      </c>
      <c r="H7115" s="4">
        <v>0</v>
      </c>
      <c r="I7115" s="4">
        <v>0</v>
      </c>
      <c r="J7115" s="4">
        <v>91</v>
      </c>
    </row>
    <row r="7116" spans="1:10" x14ac:dyDescent="0.75">
      <c r="A7116" t="s">
        <v>151</v>
      </c>
      <c r="B7116">
        <v>4857</v>
      </c>
      <c r="C7116" t="s">
        <v>71</v>
      </c>
      <c r="D7116">
        <v>4331</v>
      </c>
      <c r="E7116" t="s">
        <v>390</v>
      </c>
      <c r="F7116" s="4">
        <v>38353</v>
      </c>
      <c r="G7116" s="4">
        <v>0</v>
      </c>
      <c r="H7116" s="4">
        <v>0</v>
      </c>
      <c r="I7116" s="4">
        <v>0</v>
      </c>
      <c r="J7116" s="4">
        <v>38353</v>
      </c>
    </row>
    <row r="7117" spans="1:10" x14ac:dyDescent="0.75">
      <c r="A7117" t="s">
        <v>151</v>
      </c>
      <c r="B7117">
        <v>4857</v>
      </c>
      <c r="C7117" t="s">
        <v>71</v>
      </c>
      <c r="D7117">
        <v>4690</v>
      </c>
      <c r="E7117" t="s">
        <v>428</v>
      </c>
      <c r="F7117" s="4">
        <v>0</v>
      </c>
      <c r="G7117" s="4">
        <v>20933</v>
      </c>
      <c r="H7117" s="4">
        <v>0</v>
      </c>
      <c r="I7117" s="4">
        <v>20933</v>
      </c>
      <c r="J7117" s="4">
        <v>20933</v>
      </c>
    </row>
    <row r="7118" spans="1:10" x14ac:dyDescent="0.75">
      <c r="A7118" t="s">
        <v>151</v>
      </c>
      <c r="B7118">
        <v>4857</v>
      </c>
      <c r="C7118" t="s">
        <v>71</v>
      </c>
      <c r="D7118">
        <v>4783</v>
      </c>
      <c r="E7118" t="s">
        <v>382</v>
      </c>
      <c r="F7118" s="4">
        <v>18329</v>
      </c>
      <c r="G7118" s="4">
        <v>0</v>
      </c>
      <c r="H7118" s="4">
        <v>0</v>
      </c>
      <c r="I7118" s="4">
        <v>0</v>
      </c>
      <c r="J7118" s="4">
        <v>18329</v>
      </c>
    </row>
    <row r="7119" spans="1:10" x14ac:dyDescent="0.75">
      <c r="A7119" t="s">
        <v>151</v>
      </c>
      <c r="B7119">
        <v>4857</v>
      </c>
      <c r="C7119" t="s">
        <v>71</v>
      </c>
      <c r="D7119">
        <v>4630</v>
      </c>
      <c r="E7119" t="s">
        <v>456</v>
      </c>
      <c r="F7119" s="4">
        <v>0</v>
      </c>
      <c r="G7119" s="4">
        <v>17929</v>
      </c>
      <c r="H7119" s="4">
        <v>0</v>
      </c>
      <c r="I7119" s="4">
        <v>17929</v>
      </c>
      <c r="J7119" s="4">
        <v>17929</v>
      </c>
    </row>
    <row r="7120" spans="1:10" x14ac:dyDescent="0.75">
      <c r="A7120" t="s">
        <v>151</v>
      </c>
      <c r="B7120">
        <v>4857</v>
      </c>
      <c r="C7120" t="s">
        <v>71</v>
      </c>
      <c r="D7120">
        <v>2211</v>
      </c>
      <c r="E7120" t="s">
        <v>367</v>
      </c>
      <c r="F7120" s="4">
        <v>638</v>
      </c>
      <c r="G7120" s="4">
        <v>15997</v>
      </c>
      <c r="H7120" s="4">
        <v>15997</v>
      </c>
      <c r="I7120" s="4">
        <v>0</v>
      </c>
      <c r="J7120" s="4">
        <v>16635</v>
      </c>
    </row>
    <row r="7121" spans="1:10" x14ac:dyDescent="0.75">
      <c r="A7121" t="s">
        <v>151</v>
      </c>
      <c r="B7121">
        <v>4857</v>
      </c>
      <c r="C7121" t="s">
        <v>71</v>
      </c>
      <c r="D7121">
        <v>6889</v>
      </c>
      <c r="E7121" t="s">
        <v>420</v>
      </c>
      <c r="F7121" s="4">
        <v>14798</v>
      </c>
      <c r="G7121" s="4">
        <v>0</v>
      </c>
      <c r="H7121" s="4">
        <v>0</v>
      </c>
      <c r="I7121" s="4">
        <v>0</v>
      </c>
      <c r="J7121" s="4">
        <v>14798</v>
      </c>
    </row>
    <row r="7122" spans="1:10" x14ac:dyDescent="0.75">
      <c r="A7122" t="s">
        <v>151</v>
      </c>
      <c r="B7122">
        <v>4857</v>
      </c>
      <c r="C7122" t="s">
        <v>71</v>
      </c>
      <c r="D7122">
        <v>7900</v>
      </c>
      <c r="E7122" t="s">
        <v>388</v>
      </c>
      <c r="F7122" s="4">
        <v>9725</v>
      </c>
      <c r="G7122" s="4">
        <v>0</v>
      </c>
      <c r="H7122" s="4">
        <v>0</v>
      </c>
      <c r="I7122" s="4">
        <v>0</v>
      </c>
      <c r="J7122" s="4">
        <v>9725</v>
      </c>
    </row>
    <row r="7123" spans="1:10" x14ac:dyDescent="0.75">
      <c r="A7123" t="s">
        <v>151</v>
      </c>
      <c r="B7123">
        <v>4857</v>
      </c>
      <c r="C7123" t="s">
        <v>71</v>
      </c>
      <c r="D7123">
        <v>2330</v>
      </c>
      <c r="E7123" t="s">
        <v>368</v>
      </c>
      <c r="F7123" s="4">
        <v>0</v>
      </c>
      <c r="G7123" s="4">
        <v>9197</v>
      </c>
      <c r="H7123" s="4">
        <v>9197</v>
      </c>
      <c r="I7123" s="4">
        <v>0</v>
      </c>
      <c r="J7123" s="4">
        <v>9197</v>
      </c>
    </row>
    <row r="7124" spans="1:10" x14ac:dyDescent="0.75">
      <c r="A7124" t="s">
        <v>151</v>
      </c>
      <c r="B7124">
        <v>4857</v>
      </c>
      <c r="C7124" t="s">
        <v>71</v>
      </c>
      <c r="D7124">
        <v>2221</v>
      </c>
      <c r="E7124" t="s">
        <v>374</v>
      </c>
      <c r="F7124" s="4">
        <v>0</v>
      </c>
      <c r="G7124" s="4">
        <v>5896</v>
      </c>
      <c r="H7124" s="4">
        <v>5896</v>
      </c>
      <c r="I7124" s="4">
        <v>0</v>
      </c>
      <c r="J7124" s="4">
        <v>5896</v>
      </c>
    </row>
    <row r="7125" spans="1:10" x14ac:dyDescent="0.75">
      <c r="A7125" t="s">
        <v>151</v>
      </c>
      <c r="B7125">
        <v>4857</v>
      </c>
      <c r="C7125" t="s">
        <v>71</v>
      </c>
      <c r="D7125">
        <v>3299</v>
      </c>
      <c r="E7125" t="s">
        <v>448</v>
      </c>
      <c r="F7125" s="4">
        <v>4810</v>
      </c>
      <c r="G7125" s="4">
        <v>0</v>
      </c>
      <c r="H7125" s="4">
        <v>0</v>
      </c>
      <c r="I7125" s="4">
        <v>0</v>
      </c>
      <c r="J7125" s="4">
        <v>4810</v>
      </c>
    </row>
    <row r="7126" spans="1:10" x14ac:dyDescent="0.75">
      <c r="A7126" t="s">
        <v>151</v>
      </c>
      <c r="B7126">
        <v>4857</v>
      </c>
      <c r="C7126" t="s">
        <v>71</v>
      </c>
      <c r="D7126">
        <v>6887</v>
      </c>
      <c r="E7126" t="s">
        <v>505</v>
      </c>
      <c r="F7126" s="4">
        <v>4415</v>
      </c>
      <c r="G7126" s="4">
        <v>0</v>
      </c>
      <c r="H7126" s="4">
        <v>0</v>
      </c>
      <c r="I7126" s="4">
        <v>0</v>
      </c>
      <c r="J7126" s="4">
        <v>4415</v>
      </c>
    </row>
    <row r="7127" spans="1:10" x14ac:dyDescent="0.75">
      <c r="A7127" t="s">
        <v>151</v>
      </c>
      <c r="B7127">
        <v>4857</v>
      </c>
      <c r="C7127" t="s">
        <v>71</v>
      </c>
      <c r="D7127">
        <v>7400</v>
      </c>
      <c r="E7127" t="s">
        <v>502</v>
      </c>
      <c r="F7127" s="4">
        <v>3826</v>
      </c>
      <c r="G7127" s="4">
        <v>0</v>
      </c>
      <c r="H7127" s="4">
        <v>0</v>
      </c>
      <c r="I7127" s="4">
        <v>0</v>
      </c>
      <c r="J7127" s="4">
        <v>3826</v>
      </c>
    </row>
    <row r="7128" spans="1:10" x14ac:dyDescent="0.75">
      <c r="A7128" t="s">
        <v>151</v>
      </c>
      <c r="B7128">
        <v>4857</v>
      </c>
      <c r="C7128" t="s">
        <v>71</v>
      </c>
      <c r="D7128">
        <v>5240</v>
      </c>
      <c r="E7128" t="s">
        <v>464</v>
      </c>
      <c r="F7128" s="4">
        <v>2192</v>
      </c>
      <c r="G7128" s="4">
        <v>0</v>
      </c>
      <c r="H7128" s="4">
        <v>0</v>
      </c>
      <c r="I7128" s="4">
        <v>0</v>
      </c>
      <c r="J7128" s="4">
        <v>2192</v>
      </c>
    </row>
    <row r="7129" spans="1:10" x14ac:dyDescent="0.75">
      <c r="A7129" t="s">
        <v>151</v>
      </c>
      <c r="B7129">
        <v>4857</v>
      </c>
      <c r="C7129" t="s">
        <v>71</v>
      </c>
      <c r="D7129">
        <v>7110</v>
      </c>
      <c r="E7129" t="s">
        <v>371</v>
      </c>
      <c r="F7129" s="4">
        <v>1762</v>
      </c>
      <c r="G7129" s="4">
        <v>0</v>
      </c>
      <c r="H7129" s="4">
        <v>0</v>
      </c>
      <c r="I7129" s="4">
        <v>0</v>
      </c>
      <c r="J7129" s="4">
        <v>1762</v>
      </c>
    </row>
    <row r="7130" spans="1:10" x14ac:dyDescent="0.75">
      <c r="A7130" t="s">
        <v>151</v>
      </c>
      <c r="B7130">
        <v>4857</v>
      </c>
      <c r="C7130" t="s">
        <v>71</v>
      </c>
      <c r="D7130">
        <v>3293</v>
      </c>
      <c r="E7130" t="s">
        <v>445</v>
      </c>
      <c r="F7130" s="4">
        <v>1615</v>
      </c>
      <c r="G7130" s="4">
        <v>0</v>
      </c>
      <c r="H7130" s="4">
        <v>0</v>
      </c>
      <c r="I7130" s="4">
        <v>0</v>
      </c>
      <c r="J7130" s="4">
        <v>1615</v>
      </c>
    </row>
    <row r="7131" spans="1:10" x14ac:dyDescent="0.75">
      <c r="A7131" t="s">
        <v>151</v>
      </c>
      <c r="B7131">
        <v>4857</v>
      </c>
      <c r="C7131" t="s">
        <v>71</v>
      </c>
      <c r="D7131">
        <v>4189</v>
      </c>
      <c r="E7131" t="s">
        <v>451</v>
      </c>
      <c r="F7131" s="4">
        <v>1424</v>
      </c>
      <c r="G7131" s="4">
        <v>0</v>
      </c>
      <c r="H7131" s="4">
        <v>0</v>
      </c>
      <c r="I7131" s="4">
        <v>0</v>
      </c>
      <c r="J7131" s="4">
        <v>1424</v>
      </c>
    </row>
    <row r="7132" spans="1:10" x14ac:dyDescent="0.75">
      <c r="A7132" t="s">
        <v>151</v>
      </c>
      <c r="B7132">
        <v>4857</v>
      </c>
      <c r="C7132" t="s">
        <v>71</v>
      </c>
      <c r="D7132">
        <v>5480</v>
      </c>
      <c r="E7132" t="s">
        <v>386</v>
      </c>
      <c r="F7132" s="4">
        <v>1098</v>
      </c>
      <c r="G7132" s="4">
        <v>0</v>
      </c>
      <c r="H7132" s="4">
        <v>0</v>
      </c>
      <c r="I7132" s="4">
        <v>0</v>
      </c>
      <c r="J7132" s="4">
        <v>1098</v>
      </c>
    </row>
    <row r="7133" spans="1:10" x14ac:dyDescent="0.75">
      <c r="A7133" t="s">
        <v>151</v>
      </c>
      <c r="B7133">
        <v>4857</v>
      </c>
      <c r="C7133" t="s">
        <v>71</v>
      </c>
      <c r="D7133">
        <v>6782</v>
      </c>
      <c r="E7133" t="s">
        <v>396</v>
      </c>
      <c r="F7133" s="4">
        <v>1010</v>
      </c>
      <c r="G7133" s="4">
        <v>0</v>
      </c>
      <c r="H7133" s="4">
        <v>0</v>
      </c>
      <c r="I7133" s="4">
        <v>0</v>
      </c>
      <c r="J7133" s="4">
        <v>1010</v>
      </c>
    </row>
    <row r="7134" spans="1:10" x14ac:dyDescent="0.75">
      <c r="A7134" t="s">
        <v>151</v>
      </c>
      <c r="B7134">
        <v>4857</v>
      </c>
      <c r="C7134" t="s">
        <v>71</v>
      </c>
      <c r="D7134">
        <v>6885</v>
      </c>
      <c r="E7134" t="s">
        <v>493</v>
      </c>
      <c r="F7134" s="4">
        <v>885</v>
      </c>
      <c r="G7134" s="4">
        <v>0</v>
      </c>
      <c r="H7134" s="4">
        <v>0</v>
      </c>
      <c r="I7134" s="4">
        <v>0</v>
      </c>
      <c r="J7134" s="4">
        <v>885</v>
      </c>
    </row>
    <row r="7135" spans="1:10" x14ac:dyDescent="0.75">
      <c r="A7135" t="s">
        <v>151</v>
      </c>
      <c r="B7135">
        <v>4857</v>
      </c>
      <c r="C7135" t="s">
        <v>71</v>
      </c>
      <c r="D7135">
        <v>7210</v>
      </c>
      <c r="E7135" t="s">
        <v>426</v>
      </c>
      <c r="F7135" s="4">
        <v>815</v>
      </c>
      <c r="G7135" s="4">
        <v>0</v>
      </c>
      <c r="H7135" s="4">
        <v>0</v>
      </c>
      <c r="I7135" s="4">
        <v>0</v>
      </c>
      <c r="J7135" s="4">
        <v>815</v>
      </c>
    </row>
    <row r="7136" spans="1:10" x14ac:dyDescent="0.75">
      <c r="A7136" t="s">
        <v>151</v>
      </c>
      <c r="B7136">
        <v>4857</v>
      </c>
      <c r="C7136" t="s">
        <v>71</v>
      </c>
      <c r="D7136">
        <v>7120</v>
      </c>
      <c r="E7136" t="s">
        <v>499</v>
      </c>
      <c r="F7136" s="4">
        <v>640</v>
      </c>
      <c r="G7136" s="4">
        <v>0</v>
      </c>
      <c r="H7136" s="4">
        <v>0</v>
      </c>
      <c r="I7136" s="4">
        <v>0</v>
      </c>
      <c r="J7136" s="4">
        <v>640</v>
      </c>
    </row>
    <row r="7137" spans="1:10" x14ac:dyDescent="0.75">
      <c r="A7137" t="s">
        <v>151</v>
      </c>
      <c r="B7137">
        <v>4857</v>
      </c>
      <c r="C7137" t="s">
        <v>71</v>
      </c>
      <c r="D7137">
        <v>2430</v>
      </c>
      <c r="E7137" t="s">
        <v>376</v>
      </c>
      <c r="F7137" s="4">
        <v>438</v>
      </c>
      <c r="G7137" s="4">
        <v>0</v>
      </c>
      <c r="H7137" s="4">
        <v>0</v>
      </c>
      <c r="I7137" s="4">
        <v>0</v>
      </c>
      <c r="J7137" s="4">
        <v>438</v>
      </c>
    </row>
    <row r="7138" spans="1:10" x14ac:dyDescent="0.75">
      <c r="A7138" t="s">
        <v>151</v>
      </c>
      <c r="B7138">
        <v>4857</v>
      </c>
      <c r="C7138" t="s">
        <v>71</v>
      </c>
      <c r="D7138">
        <v>5360</v>
      </c>
      <c r="E7138" t="s">
        <v>465</v>
      </c>
      <c r="F7138" s="4">
        <v>366</v>
      </c>
      <c r="G7138" s="4">
        <v>0</v>
      </c>
      <c r="H7138" s="4">
        <v>0</v>
      </c>
      <c r="I7138" s="4">
        <v>0</v>
      </c>
      <c r="J7138" s="4">
        <v>366</v>
      </c>
    </row>
    <row r="7139" spans="1:10" x14ac:dyDescent="0.75">
      <c r="A7139" t="s">
        <v>151</v>
      </c>
      <c r="B7139">
        <v>4857</v>
      </c>
      <c r="C7139" t="s">
        <v>71</v>
      </c>
      <c r="D7139">
        <v>4420</v>
      </c>
      <c r="E7139" t="s">
        <v>381</v>
      </c>
      <c r="F7139" s="4">
        <v>242</v>
      </c>
      <c r="G7139" s="4">
        <v>0</v>
      </c>
      <c r="H7139" s="4">
        <v>0</v>
      </c>
      <c r="I7139" s="4">
        <v>0</v>
      </c>
      <c r="J7139" s="4">
        <v>242</v>
      </c>
    </row>
    <row r="7140" spans="1:10" x14ac:dyDescent="0.75">
      <c r="A7140" t="s">
        <v>151</v>
      </c>
      <c r="B7140">
        <v>4857</v>
      </c>
      <c r="C7140" t="s">
        <v>71</v>
      </c>
      <c r="D7140">
        <v>5290</v>
      </c>
      <c r="E7140" t="s">
        <v>415</v>
      </c>
      <c r="F7140" s="4">
        <v>238</v>
      </c>
      <c r="G7140" s="4">
        <v>0</v>
      </c>
      <c r="H7140" s="4">
        <v>0</v>
      </c>
      <c r="I7140" s="4">
        <v>0</v>
      </c>
      <c r="J7140" s="4">
        <v>238</v>
      </c>
    </row>
    <row r="7141" spans="1:10" x14ac:dyDescent="0.75">
      <c r="A7141" t="s">
        <v>151</v>
      </c>
      <c r="B7141">
        <v>4857</v>
      </c>
      <c r="C7141" t="s">
        <v>71</v>
      </c>
      <c r="D7141">
        <v>6134</v>
      </c>
      <c r="E7141" t="s">
        <v>470</v>
      </c>
      <c r="F7141" s="4">
        <v>236</v>
      </c>
      <c r="G7141" s="4">
        <v>0</v>
      </c>
      <c r="H7141" s="4">
        <v>0</v>
      </c>
      <c r="I7141" s="4">
        <v>0</v>
      </c>
      <c r="J7141" s="4">
        <v>236</v>
      </c>
    </row>
    <row r="7142" spans="1:10" x14ac:dyDescent="0.75">
      <c r="A7142" t="s">
        <v>151</v>
      </c>
      <c r="B7142">
        <v>4857</v>
      </c>
      <c r="C7142" t="s">
        <v>71</v>
      </c>
      <c r="D7142">
        <v>5190</v>
      </c>
      <c r="E7142" t="s">
        <v>462</v>
      </c>
      <c r="F7142" s="4">
        <v>205</v>
      </c>
      <c r="G7142" s="4">
        <v>0</v>
      </c>
      <c r="H7142" s="4">
        <v>0</v>
      </c>
      <c r="I7142" s="4">
        <v>0</v>
      </c>
      <c r="J7142" s="4">
        <v>205</v>
      </c>
    </row>
    <row r="7143" spans="1:10" x14ac:dyDescent="0.75">
      <c r="A7143" t="s">
        <v>151</v>
      </c>
      <c r="B7143">
        <v>4857</v>
      </c>
      <c r="C7143" t="s">
        <v>71</v>
      </c>
      <c r="D7143">
        <v>8900</v>
      </c>
      <c r="E7143" t="s">
        <v>506</v>
      </c>
      <c r="F7143" s="4">
        <v>204</v>
      </c>
      <c r="G7143" s="4">
        <v>0</v>
      </c>
      <c r="H7143" s="4">
        <v>0</v>
      </c>
      <c r="I7143" s="4">
        <v>0</v>
      </c>
      <c r="J7143" s="4">
        <v>204</v>
      </c>
    </row>
    <row r="7144" spans="1:10" x14ac:dyDescent="0.75">
      <c r="A7144" t="s">
        <v>151</v>
      </c>
      <c r="B7144">
        <v>4857</v>
      </c>
      <c r="C7144" t="s">
        <v>71</v>
      </c>
      <c r="D7144">
        <v>7500</v>
      </c>
      <c r="E7144" t="s">
        <v>427</v>
      </c>
      <c r="F7144" s="4">
        <v>139</v>
      </c>
      <c r="G7144" s="4">
        <v>0</v>
      </c>
      <c r="H7144" s="4">
        <v>0</v>
      </c>
      <c r="I7144" s="4">
        <v>0</v>
      </c>
      <c r="J7144" s="4">
        <v>139</v>
      </c>
    </row>
    <row r="7145" spans="1:10" x14ac:dyDescent="0.75">
      <c r="A7145" t="s">
        <v>151</v>
      </c>
      <c r="B7145">
        <v>4857</v>
      </c>
      <c r="C7145" t="s">
        <v>71</v>
      </c>
      <c r="D7145">
        <v>5540</v>
      </c>
      <c r="E7145" t="s">
        <v>469</v>
      </c>
      <c r="F7145" s="4">
        <v>102</v>
      </c>
      <c r="G7145" s="4">
        <v>0</v>
      </c>
      <c r="H7145" s="4">
        <v>0</v>
      </c>
      <c r="I7145" s="4">
        <v>0</v>
      </c>
      <c r="J7145" s="4">
        <v>102</v>
      </c>
    </row>
    <row r="7146" spans="1:10" x14ac:dyDescent="0.75">
      <c r="A7146" t="s">
        <v>151</v>
      </c>
      <c r="B7146">
        <v>4857</v>
      </c>
      <c r="C7146" t="s">
        <v>71</v>
      </c>
      <c r="D7146">
        <v>3282</v>
      </c>
      <c r="E7146" t="s">
        <v>440</v>
      </c>
      <c r="F7146" s="4">
        <v>94</v>
      </c>
      <c r="G7146" s="4">
        <v>0</v>
      </c>
      <c r="H7146" s="4">
        <v>0</v>
      </c>
      <c r="I7146" s="4">
        <v>0</v>
      </c>
      <c r="J7146" s="4">
        <v>94</v>
      </c>
    </row>
    <row r="7147" spans="1:10" x14ac:dyDescent="0.75">
      <c r="A7147" t="s">
        <v>151</v>
      </c>
      <c r="B7147">
        <v>4857</v>
      </c>
      <c r="C7147" t="s">
        <v>71</v>
      </c>
      <c r="D7147">
        <v>2340</v>
      </c>
      <c r="E7147" t="s">
        <v>369</v>
      </c>
      <c r="F7147" s="4">
        <v>89</v>
      </c>
      <c r="G7147" s="4">
        <v>0</v>
      </c>
      <c r="H7147" s="4">
        <v>0</v>
      </c>
      <c r="I7147" s="4">
        <v>0</v>
      </c>
      <c r="J7147" s="4">
        <v>89</v>
      </c>
    </row>
    <row r="7148" spans="1:10" x14ac:dyDescent="0.75">
      <c r="A7148" t="s">
        <v>151</v>
      </c>
      <c r="B7148">
        <v>4857</v>
      </c>
      <c r="C7148" t="s">
        <v>71</v>
      </c>
      <c r="D7148">
        <v>4225</v>
      </c>
      <c r="E7148" t="s">
        <v>380</v>
      </c>
      <c r="F7148" s="4">
        <v>82</v>
      </c>
      <c r="G7148" s="4">
        <v>0</v>
      </c>
      <c r="H7148" s="4">
        <v>0</v>
      </c>
      <c r="I7148" s="4">
        <v>0</v>
      </c>
      <c r="J7148" s="4">
        <v>82</v>
      </c>
    </row>
    <row r="7149" spans="1:10" x14ac:dyDescent="0.75">
      <c r="A7149" t="s">
        <v>151</v>
      </c>
      <c r="B7149">
        <v>4857</v>
      </c>
      <c r="C7149" t="s">
        <v>71</v>
      </c>
      <c r="D7149">
        <v>6136</v>
      </c>
      <c r="E7149" t="s">
        <v>471</v>
      </c>
      <c r="F7149" s="4">
        <v>58</v>
      </c>
      <c r="G7149" s="4">
        <v>0</v>
      </c>
      <c r="H7149" s="4">
        <v>0</v>
      </c>
      <c r="I7149" s="4">
        <v>0</v>
      </c>
      <c r="J7149" s="4">
        <v>58</v>
      </c>
    </row>
    <row r="7150" spans="1:10" x14ac:dyDescent="0.75">
      <c r="A7150" t="s">
        <v>151</v>
      </c>
      <c r="B7150">
        <v>4857</v>
      </c>
      <c r="C7150" t="s">
        <v>71</v>
      </c>
      <c r="D7150">
        <v>5370</v>
      </c>
      <c r="E7150" t="s">
        <v>466</v>
      </c>
      <c r="F7150" s="4">
        <v>47</v>
      </c>
      <c r="G7150" s="4">
        <v>0</v>
      </c>
      <c r="H7150" s="4">
        <v>0</v>
      </c>
      <c r="I7150" s="4">
        <v>0</v>
      </c>
      <c r="J7150" s="4">
        <v>47</v>
      </c>
    </row>
    <row r="7151" spans="1:10" x14ac:dyDescent="0.75">
      <c r="A7151" t="s">
        <v>151</v>
      </c>
      <c r="B7151">
        <v>4857</v>
      </c>
      <c r="C7151" t="s">
        <v>71</v>
      </c>
      <c r="D7151">
        <v>7230</v>
      </c>
      <c r="E7151" t="s">
        <v>387</v>
      </c>
      <c r="F7151" s="4">
        <v>41</v>
      </c>
      <c r="G7151" s="4">
        <v>0</v>
      </c>
      <c r="H7151" s="4">
        <v>0</v>
      </c>
      <c r="I7151" s="4">
        <v>0</v>
      </c>
      <c r="J7151" s="4">
        <v>41</v>
      </c>
    </row>
    <row r="7152" spans="1:10" x14ac:dyDescent="0.75">
      <c r="A7152" t="s">
        <v>151</v>
      </c>
      <c r="B7152">
        <v>4857</v>
      </c>
      <c r="C7152" t="s">
        <v>71</v>
      </c>
      <c r="D7152">
        <v>3220</v>
      </c>
      <c r="E7152" t="s">
        <v>370</v>
      </c>
      <c r="F7152" s="4">
        <v>24</v>
      </c>
      <c r="G7152" s="4">
        <v>0</v>
      </c>
      <c r="H7152" s="4">
        <v>0</v>
      </c>
      <c r="I7152" s="4">
        <v>0</v>
      </c>
      <c r="J7152" s="4">
        <v>24</v>
      </c>
    </row>
    <row r="7153" spans="1:10" x14ac:dyDescent="0.75">
      <c r="A7153" t="s">
        <v>151</v>
      </c>
      <c r="B7153">
        <v>4857</v>
      </c>
      <c r="C7153" t="s">
        <v>71</v>
      </c>
      <c r="D7153">
        <v>2990</v>
      </c>
      <c r="E7153" t="s">
        <v>432</v>
      </c>
      <c r="F7153" s="4">
        <v>19</v>
      </c>
      <c r="G7153" s="4">
        <v>0</v>
      </c>
      <c r="H7153" s="4">
        <v>0</v>
      </c>
      <c r="I7153" s="4">
        <v>0</v>
      </c>
      <c r="J7153" s="4">
        <v>19</v>
      </c>
    </row>
    <row r="7154" spans="1:10" x14ac:dyDescent="0.75">
      <c r="A7154" t="s">
        <v>151</v>
      </c>
      <c r="B7154">
        <v>4857</v>
      </c>
      <c r="C7154" t="s">
        <v>71</v>
      </c>
      <c r="D7154">
        <v>7600</v>
      </c>
      <c r="E7154" t="s">
        <v>503</v>
      </c>
      <c r="F7154" s="4">
        <v>18</v>
      </c>
      <c r="G7154" s="4">
        <v>0</v>
      </c>
      <c r="H7154" s="4">
        <v>0</v>
      </c>
      <c r="I7154" s="4">
        <v>0</v>
      </c>
      <c r="J7154" s="4">
        <v>18</v>
      </c>
    </row>
    <row r="7155" spans="1:10" x14ac:dyDescent="0.75">
      <c r="A7155" t="s">
        <v>151</v>
      </c>
      <c r="B7155">
        <v>4857</v>
      </c>
      <c r="C7155" t="s">
        <v>71</v>
      </c>
      <c r="D7155">
        <v>5330</v>
      </c>
      <c r="E7155" t="s">
        <v>385</v>
      </c>
      <c r="F7155" s="4">
        <v>10</v>
      </c>
      <c r="G7155" s="4">
        <v>0</v>
      </c>
      <c r="H7155" s="4">
        <v>0</v>
      </c>
      <c r="I7155" s="4">
        <v>0</v>
      </c>
      <c r="J7155" s="4">
        <v>10</v>
      </c>
    </row>
    <row r="7156" spans="1:10" x14ac:dyDescent="0.75">
      <c r="A7156" t="s">
        <v>151</v>
      </c>
      <c r="B7156">
        <v>550</v>
      </c>
      <c r="C7156" t="s">
        <v>166</v>
      </c>
      <c r="D7156">
        <v>2100</v>
      </c>
      <c r="E7156" t="s">
        <v>403</v>
      </c>
      <c r="F7156" s="4">
        <v>38957</v>
      </c>
      <c r="G7156" s="4">
        <v>4612564</v>
      </c>
      <c r="H7156" s="4">
        <v>4612564</v>
      </c>
      <c r="I7156" s="4">
        <v>0</v>
      </c>
      <c r="J7156" s="4">
        <v>4651521</v>
      </c>
    </row>
    <row r="7157" spans="1:10" x14ac:dyDescent="0.75">
      <c r="A7157" t="s">
        <v>151</v>
      </c>
      <c r="B7157">
        <v>550</v>
      </c>
      <c r="C7157" t="s">
        <v>166</v>
      </c>
      <c r="D7157">
        <v>2330</v>
      </c>
      <c r="E7157" t="s">
        <v>368</v>
      </c>
      <c r="F7157" s="4">
        <v>1948077</v>
      </c>
      <c r="G7157" s="4">
        <v>890293</v>
      </c>
      <c r="H7157" s="4">
        <v>773877</v>
      </c>
      <c r="I7157" s="4">
        <v>116416</v>
      </c>
      <c r="J7157" s="4">
        <v>2838370</v>
      </c>
    </row>
    <row r="7158" spans="1:10" x14ac:dyDescent="0.75">
      <c r="A7158" t="s">
        <v>151</v>
      </c>
      <c r="B7158">
        <v>550</v>
      </c>
      <c r="C7158" t="s">
        <v>166</v>
      </c>
      <c r="D7158">
        <v>2340</v>
      </c>
      <c r="E7158" t="s">
        <v>369</v>
      </c>
      <c r="F7158" s="4">
        <v>1569453</v>
      </c>
      <c r="G7158" s="4">
        <v>292896</v>
      </c>
      <c r="H7158" s="4">
        <v>263267</v>
      </c>
      <c r="I7158" s="4">
        <v>29629</v>
      </c>
      <c r="J7158" s="4">
        <v>1862349</v>
      </c>
    </row>
    <row r="7159" spans="1:10" x14ac:dyDescent="0.75">
      <c r="A7159" t="s">
        <v>151</v>
      </c>
      <c r="B7159">
        <v>550</v>
      </c>
      <c r="C7159" t="s">
        <v>166</v>
      </c>
      <c r="D7159">
        <v>5320</v>
      </c>
      <c r="E7159" t="s">
        <v>384</v>
      </c>
      <c r="F7159" s="4">
        <v>0</v>
      </c>
      <c r="G7159" s="4">
        <v>1550061</v>
      </c>
      <c r="H7159" s="4">
        <v>1550061</v>
      </c>
      <c r="I7159" s="4">
        <v>0</v>
      </c>
      <c r="J7159" s="4">
        <v>1550061</v>
      </c>
    </row>
    <row r="7160" spans="1:10" x14ac:dyDescent="0.75">
      <c r="A7160" t="s">
        <v>151</v>
      </c>
      <c r="B7160">
        <v>550</v>
      </c>
      <c r="C7160" t="s">
        <v>166</v>
      </c>
      <c r="D7160">
        <v>2211</v>
      </c>
      <c r="E7160" t="s">
        <v>367</v>
      </c>
      <c r="F7160" s="4">
        <v>1037552</v>
      </c>
      <c r="G7160" s="4">
        <v>173240</v>
      </c>
      <c r="H7160" s="4">
        <v>173240</v>
      </c>
      <c r="I7160" s="4">
        <v>0</v>
      </c>
      <c r="J7160" s="4">
        <v>1210792</v>
      </c>
    </row>
    <row r="7161" spans="1:10" x14ac:dyDescent="0.75">
      <c r="A7161" t="s">
        <v>151</v>
      </c>
      <c r="B7161">
        <v>550</v>
      </c>
      <c r="C7161" t="s">
        <v>166</v>
      </c>
      <c r="D7161">
        <v>2429</v>
      </c>
      <c r="E7161" t="s">
        <v>375</v>
      </c>
      <c r="F7161" s="4">
        <v>1044856</v>
      </c>
      <c r="G7161" s="4">
        <v>73485</v>
      </c>
      <c r="H7161" s="4">
        <v>73485</v>
      </c>
      <c r="I7161" s="4">
        <v>0</v>
      </c>
      <c r="J7161" s="4">
        <v>1118341</v>
      </c>
    </row>
    <row r="7162" spans="1:10" x14ac:dyDescent="0.75">
      <c r="A7162" t="s">
        <v>151</v>
      </c>
      <c r="B7162">
        <v>550</v>
      </c>
      <c r="C7162" t="s">
        <v>166</v>
      </c>
      <c r="D7162">
        <v>4420</v>
      </c>
      <c r="E7162" t="s">
        <v>381</v>
      </c>
      <c r="F7162" s="4">
        <v>118127</v>
      </c>
      <c r="G7162" s="4">
        <v>595850</v>
      </c>
      <c r="H7162" s="4">
        <v>7</v>
      </c>
      <c r="I7162" s="4">
        <v>595843</v>
      </c>
      <c r="J7162" s="4">
        <v>713977</v>
      </c>
    </row>
    <row r="7163" spans="1:10" x14ac:dyDescent="0.75">
      <c r="A7163" t="s">
        <v>151</v>
      </c>
      <c r="B7163">
        <v>550</v>
      </c>
      <c r="C7163" t="s">
        <v>166</v>
      </c>
      <c r="D7163">
        <v>4860</v>
      </c>
      <c r="E7163" t="s">
        <v>400</v>
      </c>
      <c r="F7163" s="4">
        <v>167008</v>
      </c>
      <c r="G7163" s="4">
        <v>482838</v>
      </c>
      <c r="H7163" s="4">
        <v>482838</v>
      </c>
      <c r="I7163" s="4">
        <v>0</v>
      </c>
      <c r="J7163" s="4">
        <v>649846</v>
      </c>
    </row>
    <row r="7164" spans="1:10" x14ac:dyDescent="0.75">
      <c r="A7164" t="s">
        <v>151</v>
      </c>
      <c r="B7164">
        <v>550</v>
      </c>
      <c r="C7164" t="s">
        <v>166</v>
      </c>
      <c r="D7164">
        <v>2430</v>
      </c>
      <c r="E7164" t="s">
        <v>376</v>
      </c>
      <c r="F7164" s="4">
        <v>595676</v>
      </c>
      <c r="G7164" s="4">
        <v>11466</v>
      </c>
      <c r="H7164" s="4">
        <v>0</v>
      </c>
      <c r="I7164" s="4">
        <v>11466</v>
      </c>
      <c r="J7164" s="4">
        <v>607142</v>
      </c>
    </row>
    <row r="7165" spans="1:10" x14ac:dyDescent="0.75">
      <c r="A7165" t="s">
        <v>151</v>
      </c>
      <c r="B7165">
        <v>550</v>
      </c>
      <c r="C7165" t="s">
        <v>166</v>
      </c>
      <c r="D7165">
        <v>6857</v>
      </c>
      <c r="E7165" t="s">
        <v>487</v>
      </c>
      <c r="F7165" s="4">
        <v>0</v>
      </c>
      <c r="G7165" s="4">
        <v>541974</v>
      </c>
      <c r="H7165" s="4">
        <v>541974</v>
      </c>
      <c r="I7165" s="4">
        <v>0</v>
      </c>
      <c r="J7165" s="4">
        <v>541974</v>
      </c>
    </row>
    <row r="7166" spans="1:10" x14ac:dyDescent="0.75">
      <c r="A7166" t="s">
        <v>151</v>
      </c>
      <c r="B7166">
        <v>550</v>
      </c>
      <c r="C7166" t="s">
        <v>166</v>
      </c>
      <c r="D7166">
        <v>3219</v>
      </c>
      <c r="E7166" t="s">
        <v>378</v>
      </c>
      <c r="F7166" s="4">
        <v>414576</v>
      </c>
      <c r="G7166" s="4">
        <v>29784</v>
      </c>
      <c r="H7166" s="4">
        <v>29779</v>
      </c>
      <c r="I7166" s="4">
        <v>5</v>
      </c>
      <c r="J7166" s="4">
        <v>444360</v>
      </c>
    </row>
    <row r="7167" spans="1:10" x14ac:dyDescent="0.75">
      <c r="A7167" t="s">
        <v>151</v>
      </c>
      <c r="B7167">
        <v>550</v>
      </c>
      <c r="C7167" t="s">
        <v>166</v>
      </c>
      <c r="D7167">
        <v>5360</v>
      </c>
      <c r="E7167" t="s">
        <v>465</v>
      </c>
      <c r="F7167" s="4">
        <v>0</v>
      </c>
      <c r="G7167" s="4">
        <v>414849</v>
      </c>
      <c r="H7167" s="4">
        <v>414313</v>
      </c>
      <c r="I7167" s="4">
        <v>536</v>
      </c>
      <c r="J7167" s="4">
        <v>414849</v>
      </c>
    </row>
    <row r="7168" spans="1:10" x14ac:dyDescent="0.75">
      <c r="A7168" t="s">
        <v>151</v>
      </c>
      <c r="B7168">
        <v>550</v>
      </c>
      <c r="C7168" t="s">
        <v>166</v>
      </c>
      <c r="D7168">
        <v>6856</v>
      </c>
      <c r="E7168" t="s">
        <v>486</v>
      </c>
      <c r="F7168" s="4">
        <v>0</v>
      </c>
      <c r="G7168" s="4">
        <v>407857</v>
      </c>
      <c r="H7168" s="4">
        <v>407857</v>
      </c>
      <c r="I7168" s="4">
        <v>0</v>
      </c>
      <c r="J7168" s="4">
        <v>407857</v>
      </c>
    </row>
    <row r="7169" spans="1:10" x14ac:dyDescent="0.75">
      <c r="A7169" t="s">
        <v>151</v>
      </c>
      <c r="B7169">
        <v>550</v>
      </c>
      <c r="C7169" t="s">
        <v>166</v>
      </c>
      <c r="D7169">
        <v>4323</v>
      </c>
      <c r="E7169" t="s">
        <v>373</v>
      </c>
      <c r="F7169" s="4">
        <v>0</v>
      </c>
      <c r="G7169" s="4">
        <v>384488</v>
      </c>
      <c r="H7169" s="4">
        <v>384488</v>
      </c>
      <c r="I7169" s="4">
        <v>0</v>
      </c>
      <c r="J7169" s="4">
        <v>384488</v>
      </c>
    </row>
    <row r="7170" spans="1:10" x14ac:dyDescent="0.75">
      <c r="A7170" t="s">
        <v>151</v>
      </c>
      <c r="B7170">
        <v>550</v>
      </c>
      <c r="C7170" t="s">
        <v>166</v>
      </c>
      <c r="D7170">
        <v>2350</v>
      </c>
      <c r="E7170" t="s">
        <v>404</v>
      </c>
      <c r="F7170" s="4">
        <v>356963</v>
      </c>
      <c r="G7170" s="4">
        <v>0</v>
      </c>
      <c r="H7170" s="4">
        <v>0</v>
      </c>
      <c r="I7170" s="4">
        <v>0</v>
      </c>
      <c r="J7170" s="4">
        <v>356963</v>
      </c>
    </row>
    <row r="7171" spans="1:10" x14ac:dyDescent="0.75">
      <c r="A7171" t="s">
        <v>151</v>
      </c>
      <c r="B7171">
        <v>550</v>
      </c>
      <c r="C7171" t="s">
        <v>166</v>
      </c>
      <c r="D7171">
        <v>5330</v>
      </c>
      <c r="E7171" t="s">
        <v>385</v>
      </c>
      <c r="F7171" s="4">
        <v>0</v>
      </c>
      <c r="G7171" s="4">
        <v>332466</v>
      </c>
      <c r="H7171" s="4">
        <v>332270</v>
      </c>
      <c r="I7171" s="4">
        <v>196</v>
      </c>
      <c r="J7171" s="4">
        <v>332466</v>
      </c>
    </row>
    <row r="7172" spans="1:10" x14ac:dyDescent="0.75">
      <c r="A7172" t="s">
        <v>151</v>
      </c>
      <c r="B7172">
        <v>550</v>
      </c>
      <c r="C7172" t="s">
        <v>166</v>
      </c>
      <c r="D7172">
        <v>1100</v>
      </c>
      <c r="E7172" t="s">
        <v>397</v>
      </c>
      <c r="F7172" s="4">
        <v>286653</v>
      </c>
      <c r="G7172" s="4">
        <v>8</v>
      </c>
      <c r="H7172" s="4">
        <v>0</v>
      </c>
      <c r="I7172" s="4">
        <v>8</v>
      </c>
      <c r="J7172" s="4">
        <v>286661</v>
      </c>
    </row>
    <row r="7173" spans="1:10" x14ac:dyDescent="0.75">
      <c r="A7173" t="s">
        <v>151</v>
      </c>
      <c r="B7173">
        <v>550</v>
      </c>
      <c r="C7173" t="s">
        <v>166</v>
      </c>
      <c r="D7173">
        <v>2540</v>
      </c>
      <c r="E7173" t="s">
        <v>377</v>
      </c>
      <c r="F7173" s="4">
        <v>0</v>
      </c>
      <c r="G7173" s="4">
        <v>235159</v>
      </c>
      <c r="H7173" s="4">
        <v>155244</v>
      </c>
      <c r="I7173" s="4">
        <v>79915</v>
      </c>
      <c r="J7173" s="4">
        <v>235159</v>
      </c>
    </row>
    <row r="7174" spans="1:10" x14ac:dyDescent="0.75">
      <c r="A7174" t="s">
        <v>151</v>
      </c>
      <c r="B7174">
        <v>550</v>
      </c>
      <c r="C7174" t="s">
        <v>166</v>
      </c>
      <c r="D7174">
        <v>6887</v>
      </c>
      <c r="E7174" t="s">
        <v>505</v>
      </c>
      <c r="F7174" s="4">
        <v>216824</v>
      </c>
      <c r="G7174" s="4">
        <v>0</v>
      </c>
      <c r="H7174" s="4">
        <v>0</v>
      </c>
      <c r="I7174" s="4">
        <v>0</v>
      </c>
      <c r="J7174" s="4">
        <v>216824</v>
      </c>
    </row>
    <row r="7175" spans="1:10" x14ac:dyDescent="0.75">
      <c r="A7175" t="s">
        <v>151</v>
      </c>
      <c r="B7175">
        <v>550</v>
      </c>
      <c r="C7175" t="s">
        <v>166</v>
      </c>
      <c r="D7175">
        <v>7900</v>
      </c>
      <c r="E7175" t="s">
        <v>388</v>
      </c>
      <c r="F7175" s="4">
        <v>165871</v>
      </c>
      <c r="G7175" s="4">
        <v>18732</v>
      </c>
      <c r="H7175" s="4">
        <v>14779</v>
      </c>
      <c r="I7175" s="4">
        <v>3953</v>
      </c>
      <c r="J7175" s="4">
        <v>184603</v>
      </c>
    </row>
    <row r="7176" spans="1:10" x14ac:dyDescent="0.75">
      <c r="A7176" t="s">
        <v>151</v>
      </c>
      <c r="B7176">
        <v>550</v>
      </c>
      <c r="C7176" t="s">
        <v>166</v>
      </c>
      <c r="D7176">
        <v>2221</v>
      </c>
      <c r="E7176" t="s">
        <v>374</v>
      </c>
      <c r="F7176" s="4">
        <v>137884</v>
      </c>
      <c r="G7176" s="4">
        <v>34360</v>
      </c>
      <c r="H7176" s="4">
        <v>34360</v>
      </c>
      <c r="I7176" s="4">
        <v>0</v>
      </c>
      <c r="J7176" s="4">
        <v>172244</v>
      </c>
    </row>
    <row r="7177" spans="1:10" x14ac:dyDescent="0.75">
      <c r="A7177" t="s">
        <v>151</v>
      </c>
      <c r="B7177">
        <v>550</v>
      </c>
      <c r="C7177" t="s">
        <v>166</v>
      </c>
      <c r="D7177">
        <v>4900</v>
      </c>
      <c r="E7177" t="s">
        <v>383</v>
      </c>
      <c r="F7177" s="4">
        <v>0</v>
      </c>
      <c r="G7177" s="4">
        <v>147702</v>
      </c>
      <c r="H7177" s="4">
        <v>147616</v>
      </c>
      <c r="I7177" s="4">
        <v>86</v>
      </c>
      <c r="J7177" s="4">
        <v>147702</v>
      </c>
    </row>
    <row r="7178" spans="1:10" x14ac:dyDescent="0.75">
      <c r="A7178" t="s">
        <v>151</v>
      </c>
      <c r="B7178">
        <v>550</v>
      </c>
      <c r="C7178" t="s">
        <v>166</v>
      </c>
      <c r="D7178">
        <v>5540</v>
      </c>
      <c r="E7178" t="s">
        <v>469</v>
      </c>
      <c r="F7178" s="4">
        <v>0</v>
      </c>
      <c r="G7178" s="4">
        <v>133816</v>
      </c>
      <c r="H7178" s="4">
        <v>133777</v>
      </c>
      <c r="I7178" s="4">
        <v>39</v>
      </c>
      <c r="J7178" s="4">
        <v>133816</v>
      </c>
    </row>
    <row r="7179" spans="1:10" x14ac:dyDescent="0.75">
      <c r="A7179" t="s">
        <v>151</v>
      </c>
      <c r="B7179">
        <v>550</v>
      </c>
      <c r="C7179" t="s">
        <v>166</v>
      </c>
      <c r="D7179">
        <v>3220</v>
      </c>
      <c r="E7179" t="s">
        <v>370</v>
      </c>
      <c r="F7179" s="4">
        <v>83536</v>
      </c>
      <c r="G7179" s="4">
        <v>370</v>
      </c>
      <c r="H7179" s="4">
        <v>212</v>
      </c>
      <c r="I7179" s="4">
        <v>158</v>
      </c>
      <c r="J7179" s="4">
        <v>83906</v>
      </c>
    </row>
    <row r="7180" spans="1:10" x14ac:dyDescent="0.75">
      <c r="A7180" t="s">
        <v>151</v>
      </c>
      <c r="B7180">
        <v>550</v>
      </c>
      <c r="C7180" t="s">
        <v>166</v>
      </c>
      <c r="D7180">
        <v>5220</v>
      </c>
      <c r="E7180" t="s">
        <v>401</v>
      </c>
      <c r="F7180" s="4">
        <v>62992</v>
      </c>
      <c r="G7180" s="4">
        <v>0</v>
      </c>
      <c r="H7180" s="4">
        <v>0</v>
      </c>
      <c r="I7180" s="4">
        <v>0</v>
      </c>
      <c r="J7180" s="4">
        <v>62992</v>
      </c>
    </row>
    <row r="7181" spans="1:10" x14ac:dyDescent="0.75">
      <c r="A7181" t="s">
        <v>151</v>
      </c>
      <c r="B7181">
        <v>550</v>
      </c>
      <c r="C7181" t="s">
        <v>166</v>
      </c>
      <c r="D7181">
        <v>7110</v>
      </c>
      <c r="E7181" t="s">
        <v>371</v>
      </c>
      <c r="F7181" s="4">
        <v>51746</v>
      </c>
      <c r="G7181" s="4">
        <v>11100</v>
      </c>
      <c r="H7181" s="4">
        <v>9210</v>
      </c>
      <c r="I7181" s="4">
        <v>1890</v>
      </c>
      <c r="J7181" s="4">
        <v>62846</v>
      </c>
    </row>
    <row r="7182" spans="1:10" x14ac:dyDescent="0.75">
      <c r="A7182" t="s">
        <v>151</v>
      </c>
      <c r="B7182">
        <v>550</v>
      </c>
      <c r="C7182" t="s">
        <v>166</v>
      </c>
      <c r="D7182">
        <v>9900</v>
      </c>
      <c r="E7182" t="s">
        <v>389</v>
      </c>
      <c r="F7182" s="4">
        <v>0</v>
      </c>
      <c r="G7182" s="4">
        <v>59846</v>
      </c>
      <c r="H7182" s="4">
        <v>58912</v>
      </c>
      <c r="I7182" s="4">
        <v>934</v>
      </c>
      <c r="J7182" s="4">
        <v>59846</v>
      </c>
    </row>
    <row r="7183" spans="1:10" x14ac:dyDescent="0.75">
      <c r="A7183" t="s">
        <v>151</v>
      </c>
      <c r="B7183">
        <v>550</v>
      </c>
      <c r="C7183" t="s">
        <v>166</v>
      </c>
      <c r="D7183">
        <v>6858</v>
      </c>
      <c r="E7183" t="s">
        <v>488</v>
      </c>
      <c r="F7183" s="4">
        <v>0</v>
      </c>
      <c r="G7183" s="4">
        <v>55583</v>
      </c>
      <c r="H7183" s="4">
        <v>55469</v>
      </c>
      <c r="I7183" s="4">
        <v>114</v>
      </c>
      <c r="J7183" s="4">
        <v>55583</v>
      </c>
    </row>
    <row r="7184" spans="1:10" x14ac:dyDescent="0.75">
      <c r="A7184" t="s">
        <v>151</v>
      </c>
      <c r="B7184">
        <v>550</v>
      </c>
      <c r="C7184" t="s">
        <v>166</v>
      </c>
      <c r="D7184">
        <v>3299</v>
      </c>
      <c r="E7184" t="s">
        <v>448</v>
      </c>
      <c r="F7184" s="4">
        <v>41284</v>
      </c>
      <c r="G7184" s="4">
        <v>13757</v>
      </c>
      <c r="H7184" s="4">
        <v>12036</v>
      </c>
      <c r="I7184" s="4">
        <v>1721</v>
      </c>
      <c r="J7184" s="4">
        <v>55041</v>
      </c>
    </row>
    <row r="7185" spans="1:10" x14ac:dyDescent="0.75">
      <c r="A7185" t="s">
        <v>151</v>
      </c>
      <c r="B7185">
        <v>550</v>
      </c>
      <c r="C7185" t="s">
        <v>166</v>
      </c>
      <c r="D7185">
        <v>4783</v>
      </c>
      <c r="E7185" t="s">
        <v>382</v>
      </c>
      <c r="F7185" s="4">
        <v>0</v>
      </c>
      <c r="G7185" s="4">
        <v>53316</v>
      </c>
      <c r="H7185" s="4">
        <v>53242</v>
      </c>
      <c r="I7185" s="4">
        <v>74</v>
      </c>
      <c r="J7185" s="4">
        <v>53316</v>
      </c>
    </row>
    <row r="7186" spans="1:10" x14ac:dyDescent="0.75">
      <c r="A7186" t="s">
        <v>151</v>
      </c>
      <c r="B7186">
        <v>550</v>
      </c>
      <c r="C7186" t="s">
        <v>166</v>
      </c>
      <c r="D7186">
        <v>5480</v>
      </c>
      <c r="E7186" t="s">
        <v>386</v>
      </c>
      <c r="F7186" s="4">
        <v>120</v>
      </c>
      <c r="G7186" s="4">
        <v>51689</v>
      </c>
      <c r="H7186" s="4">
        <v>47932</v>
      </c>
      <c r="I7186" s="4">
        <v>3757</v>
      </c>
      <c r="J7186" s="4">
        <v>51809</v>
      </c>
    </row>
    <row r="7187" spans="1:10" x14ac:dyDescent="0.75">
      <c r="A7187" t="s">
        <v>151</v>
      </c>
      <c r="B7187">
        <v>550</v>
      </c>
      <c r="C7187" t="s">
        <v>166</v>
      </c>
      <c r="D7187">
        <v>6872</v>
      </c>
      <c r="E7187" t="s">
        <v>492</v>
      </c>
      <c r="F7187" s="4">
        <v>0</v>
      </c>
      <c r="G7187" s="4">
        <v>50096</v>
      </c>
      <c r="H7187" s="4">
        <v>50096</v>
      </c>
      <c r="I7187" s="4">
        <v>0</v>
      </c>
      <c r="J7187" s="4">
        <v>50096</v>
      </c>
    </row>
    <row r="7188" spans="1:10" x14ac:dyDescent="0.75">
      <c r="A7188" t="s">
        <v>151</v>
      </c>
      <c r="B7188">
        <v>550</v>
      </c>
      <c r="C7188" t="s">
        <v>166</v>
      </c>
      <c r="D7188">
        <v>6889</v>
      </c>
      <c r="E7188" t="s">
        <v>420</v>
      </c>
      <c r="F7188" s="4">
        <v>34803</v>
      </c>
      <c r="G7188" s="4">
        <v>10566</v>
      </c>
      <c r="H7188" s="4">
        <v>7673</v>
      </c>
      <c r="I7188" s="4">
        <v>2893</v>
      </c>
      <c r="J7188" s="4">
        <v>45369</v>
      </c>
    </row>
    <row r="7189" spans="1:10" x14ac:dyDescent="0.75">
      <c r="A7189" t="s">
        <v>151</v>
      </c>
      <c r="B7189">
        <v>550</v>
      </c>
      <c r="C7189" t="s">
        <v>166</v>
      </c>
      <c r="D7189">
        <v>6654</v>
      </c>
      <c r="E7189" t="s">
        <v>419</v>
      </c>
      <c r="F7189" s="4">
        <v>0</v>
      </c>
      <c r="G7189" s="4">
        <v>25116</v>
      </c>
      <c r="H7189" s="4">
        <v>23600</v>
      </c>
      <c r="I7189" s="4">
        <v>1516</v>
      </c>
      <c r="J7189" s="4">
        <v>25116</v>
      </c>
    </row>
    <row r="7190" spans="1:10" x14ac:dyDescent="0.75">
      <c r="A7190" t="s">
        <v>151</v>
      </c>
      <c r="B7190">
        <v>550</v>
      </c>
      <c r="C7190" t="s">
        <v>166</v>
      </c>
      <c r="D7190">
        <v>5370</v>
      </c>
      <c r="E7190" t="s">
        <v>466</v>
      </c>
      <c r="F7190" s="4">
        <v>0</v>
      </c>
      <c r="G7190" s="4">
        <v>17685</v>
      </c>
      <c r="H7190" s="4">
        <v>17598</v>
      </c>
      <c r="I7190" s="4">
        <v>87</v>
      </c>
      <c r="J7190" s="4">
        <v>17685</v>
      </c>
    </row>
    <row r="7191" spans="1:10" x14ac:dyDescent="0.75">
      <c r="A7191" t="s">
        <v>151</v>
      </c>
      <c r="B7191">
        <v>550</v>
      </c>
      <c r="C7191" t="s">
        <v>166</v>
      </c>
      <c r="D7191">
        <v>2640</v>
      </c>
      <c r="E7191" t="s">
        <v>431</v>
      </c>
      <c r="F7191" s="4">
        <v>0</v>
      </c>
      <c r="G7191" s="4">
        <v>13996</v>
      </c>
      <c r="H7191" s="4">
        <v>6</v>
      </c>
      <c r="I7191" s="4">
        <v>13990</v>
      </c>
      <c r="J7191" s="4">
        <v>13996</v>
      </c>
    </row>
    <row r="7192" spans="1:10" x14ac:dyDescent="0.75">
      <c r="A7192" t="s">
        <v>151</v>
      </c>
      <c r="B7192">
        <v>550</v>
      </c>
      <c r="C7192" t="s">
        <v>166</v>
      </c>
      <c r="D7192">
        <v>7210</v>
      </c>
      <c r="E7192" t="s">
        <v>426</v>
      </c>
      <c r="F7192" s="4">
        <v>10254</v>
      </c>
      <c r="G7192" s="4">
        <v>1839</v>
      </c>
      <c r="H7192" s="4">
        <v>1419</v>
      </c>
      <c r="I7192" s="4">
        <v>420</v>
      </c>
      <c r="J7192" s="4">
        <v>12093</v>
      </c>
    </row>
    <row r="7193" spans="1:10" x14ac:dyDescent="0.75">
      <c r="A7193" t="s">
        <v>151</v>
      </c>
      <c r="B7193">
        <v>550</v>
      </c>
      <c r="C7193" t="s">
        <v>166</v>
      </c>
      <c r="D7193">
        <v>3274</v>
      </c>
      <c r="E7193" t="s">
        <v>438</v>
      </c>
      <c r="F7193" s="4">
        <v>0</v>
      </c>
      <c r="G7193" s="4">
        <v>7133</v>
      </c>
      <c r="H7193" s="4">
        <v>7055</v>
      </c>
      <c r="I7193" s="4">
        <v>78</v>
      </c>
      <c r="J7193" s="4">
        <v>7133</v>
      </c>
    </row>
    <row r="7194" spans="1:10" x14ac:dyDescent="0.75">
      <c r="A7194" t="s">
        <v>151</v>
      </c>
      <c r="B7194">
        <v>550</v>
      </c>
      <c r="C7194" t="s">
        <v>166</v>
      </c>
      <c r="D7194">
        <v>5429</v>
      </c>
      <c r="E7194" t="s">
        <v>429</v>
      </c>
      <c r="F7194" s="4">
        <v>0</v>
      </c>
      <c r="G7194" s="4">
        <v>6796</v>
      </c>
      <c r="H7194" s="4">
        <v>6035</v>
      </c>
      <c r="I7194" s="4">
        <v>761</v>
      </c>
      <c r="J7194" s="4">
        <v>6796</v>
      </c>
    </row>
    <row r="7195" spans="1:10" x14ac:dyDescent="0.75">
      <c r="A7195" t="s">
        <v>151</v>
      </c>
      <c r="B7195">
        <v>550</v>
      </c>
      <c r="C7195" t="s">
        <v>166</v>
      </c>
      <c r="D7195">
        <v>7400</v>
      </c>
      <c r="E7195" t="s">
        <v>502</v>
      </c>
      <c r="F7195" s="4">
        <v>1799</v>
      </c>
      <c r="G7195" s="4">
        <v>4322</v>
      </c>
      <c r="H7195" s="4">
        <v>3937</v>
      </c>
      <c r="I7195" s="4">
        <v>385</v>
      </c>
      <c r="J7195" s="4">
        <v>6121</v>
      </c>
    </row>
    <row r="7196" spans="1:10" x14ac:dyDescent="0.75">
      <c r="A7196" t="s">
        <v>151</v>
      </c>
      <c r="B7196">
        <v>550</v>
      </c>
      <c r="C7196" t="s">
        <v>166</v>
      </c>
      <c r="D7196">
        <v>6885</v>
      </c>
      <c r="E7196" t="s">
        <v>493</v>
      </c>
      <c r="F7196" s="4">
        <v>0</v>
      </c>
      <c r="G7196" s="4">
        <v>5584</v>
      </c>
      <c r="H7196" s="4">
        <v>273</v>
      </c>
      <c r="I7196" s="4">
        <v>5311</v>
      </c>
      <c r="J7196" s="4">
        <v>5584</v>
      </c>
    </row>
    <row r="7197" spans="1:10" x14ac:dyDescent="0.75">
      <c r="A7197" t="s">
        <v>151</v>
      </c>
      <c r="B7197">
        <v>550</v>
      </c>
      <c r="C7197" t="s">
        <v>166</v>
      </c>
      <c r="D7197">
        <v>7600</v>
      </c>
      <c r="E7197" t="s">
        <v>503</v>
      </c>
      <c r="F7197" s="4">
        <v>0</v>
      </c>
      <c r="G7197" s="4">
        <v>5435</v>
      </c>
      <c r="H7197" s="4">
        <v>3553</v>
      </c>
      <c r="I7197" s="4">
        <v>1882</v>
      </c>
      <c r="J7197" s="4">
        <v>5435</v>
      </c>
    </row>
    <row r="7198" spans="1:10" x14ac:dyDescent="0.75">
      <c r="A7198" t="s">
        <v>151</v>
      </c>
      <c r="B7198">
        <v>550</v>
      </c>
      <c r="C7198" t="s">
        <v>166</v>
      </c>
      <c r="D7198">
        <v>3240</v>
      </c>
      <c r="E7198" t="s">
        <v>410</v>
      </c>
      <c r="F7198" s="4">
        <v>0</v>
      </c>
      <c r="G7198" s="4">
        <v>5205</v>
      </c>
      <c r="H7198" s="4">
        <v>5030</v>
      </c>
      <c r="I7198" s="4">
        <v>175</v>
      </c>
      <c r="J7198" s="4">
        <v>5205</v>
      </c>
    </row>
    <row r="7199" spans="1:10" x14ac:dyDescent="0.75">
      <c r="A7199" t="s">
        <v>151</v>
      </c>
      <c r="B7199">
        <v>550</v>
      </c>
      <c r="C7199" t="s">
        <v>166</v>
      </c>
      <c r="D7199">
        <v>3286</v>
      </c>
      <c r="E7199" t="s">
        <v>423</v>
      </c>
      <c r="F7199" s="4">
        <v>0</v>
      </c>
      <c r="G7199" s="4">
        <v>4922</v>
      </c>
      <c r="H7199" s="4">
        <v>1852</v>
      </c>
      <c r="I7199" s="4">
        <v>3070</v>
      </c>
      <c r="J7199" s="4">
        <v>4922</v>
      </c>
    </row>
    <row r="7200" spans="1:10" x14ac:dyDescent="0.75">
      <c r="A7200" t="s">
        <v>151</v>
      </c>
      <c r="B7200">
        <v>550</v>
      </c>
      <c r="C7200" t="s">
        <v>166</v>
      </c>
      <c r="D7200">
        <v>6811</v>
      </c>
      <c r="E7200" t="s">
        <v>480</v>
      </c>
      <c r="F7200" s="4">
        <v>0</v>
      </c>
      <c r="G7200" s="4">
        <v>4813</v>
      </c>
      <c r="H7200" s="4">
        <v>2962</v>
      </c>
      <c r="I7200" s="4">
        <v>1851</v>
      </c>
      <c r="J7200" s="4">
        <v>4813</v>
      </c>
    </row>
    <row r="7201" spans="1:10" x14ac:dyDescent="0.75">
      <c r="A7201" t="s">
        <v>151</v>
      </c>
      <c r="B7201">
        <v>550</v>
      </c>
      <c r="C7201" t="s">
        <v>166</v>
      </c>
      <c r="D7201">
        <v>3211</v>
      </c>
      <c r="E7201" t="s">
        <v>433</v>
      </c>
      <c r="F7201" s="4">
        <v>0</v>
      </c>
      <c r="G7201" s="4">
        <v>4657</v>
      </c>
      <c r="H7201" s="4">
        <v>4638</v>
      </c>
      <c r="I7201" s="4">
        <v>19</v>
      </c>
      <c r="J7201" s="4">
        <v>4657</v>
      </c>
    </row>
    <row r="7202" spans="1:10" x14ac:dyDescent="0.75">
      <c r="A7202" t="s">
        <v>151</v>
      </c>
      <c r="B7202">
        <v>550</v>
      </c>
      <c r="C7202" t="s">
        <v>166</v>
      </c>
      <c r="D7202">
        <v>7120</v>
      </c>
      <c r="E7202" t="s">
        <v>499</v>
      </c>
      <c r="F7202" s="4">
        <v>0</v>
      </c>
      <c r="G7202" s="4">
        <v>4236</v>
      </c>
      <c r="H7202" s="4">
        <v>3053</v>
      </c>
      <c r="I7202" s="4">
        <v>1183</v>
      </c>
      <c r="J7202" s="4">
        <v>4236</v>
      </c>
    </row>
    <row r="7203" spans="1:10" x14ac:dyDescent="0.75">
      <c r="A7203" t="s">
        <v>151</v>
      </c>
      <c r="B7203">
        <v>550</v>
      </c>
      <c r="C7203" t="s">
        <v>166</v>
      </c>
      <c r="D7203">
        <v>3279</v>
      </c>
      <c r="E7203" t="s">
        <v>422</v>
      </c>
      <c r="F7203" s="4">
        <v>0</v>
      </c>
      <c r="G7203" s="4">
        <v>3139</v>
      </c>
      <c r="H7203" s="4">
        <v>3139</v>
      </c>
      <c r="I7203" s="4">
        <v>0</v>
      </c>
      <c r="J7203" s="4">
        <v>3139</v>
      </c>
    </row>
    <row r="7204" spans="1:10" x14ac:dyDescent="0.75">
      <c r="A7204" t="s">
        <v>151</v>
      </c>
      <c r="B7204">
        <v>550</v>
      </c>
      <c r="C7204" t="s">
        <v>166</v>
      </c>
      <c r="D7204">
        <v>5290</v>
      </c>
      <c r="E7204" t="s">
        <v>415</v>
      </c>
      <c r="F7204" s="4">
        <v>0</v>
      </c>
      <c r="G7204" s="4">
        <v>3078</v>
      </c>
      <c r="H7204" s="4">
        <v>1884</v>
      </c>
      <c r="I7204" s="4">
        <v>1194</v>
      </c>
      <c r="J7204" s="4">
        <v>3078</v>
      </c>
    </row>
    <row r="7205" spans="1:10" x14ac:dyDescent="0.75">
      <c r="A7205" t="s">
        <v>151</v>
      </c>
      <c r="B7205">
        <v>550</v>
      </c>
      <c r="C7205" t="s">
        <v>166</v>
      </c>
      <c r="D7205">
        <v>6782</v>
      </c>
      <c r="E7205" t="s">
        <v>396</v>
      </c>
      <c r="F7205" s="4">
        <v>0</v>
      </c>
      <c r="G7205" s="4">
        <v>2371</v>
      </c>
      <c r="H7205" s="4">
        <v>356</v>
      </c>
      <c r="I7205" s="4">
        <v>2015</v>
      </c>
      <c r="J7205" s="4">
        <v>2371</v>
      </c>
    </row>
    <row r="7206" spans="1:10" x14ac:dyDescent="0.75">
      <c r="A7206" t="s">
        <v>151</v>
      </c>
      <c r="B7206">
        <v>550</v>
      </c>
      <c r="C7206" t="s">
        <v>166</v>
      </c>
      <c r="D7206">
        <v>6822</v>
      </c>
      <c r="E7206" t="s">
        <v>482</v>
      </c>
      <c r="F7206" s="4">
        <v>0</v>
      </c>
      <c r="G7206" s="4">
        <v>2137</v>
      </c>
      <c r="H7206" s="4">
        <v>699</v>
      </c>
      <c r="I7206" s="4">
        <v>1438</v>
      </c>
      <c r="J7206" s="4">
        <v>2137</v>
      </c>
    </row>
    <row r="7207" spans="1:10" x14ac:dyDescent="0.75">
      <c r="A7207" t="s">
        <v>151</v>
      </c>
      <c r="B7207">
        <v>550</v>
      </c>
      <c r="C7207" t="s">
        <v>166</v>
      </c>
      <c r="D7207">
        <v>6747</v>
      </c>
      <c r="E7207" t="s">
        <v>478</v>
      </c>
      <c r="F7207" s="4">
        <v>0</v>
      </c>
      <c r="G7207" s="4">
        <v>2109</v>
      </c>
      <c r="H7207" s="4">
        <v>331</v>
      </c>
      <c r="I7207" s="4">
        <v>1778</v>
      </c>
      <c r="J7207" s="4">
        <v>2109</v>
      </c>
    </row>
    <row r="7208" spans="1:10" x14ac:dyDescent="0.75">
      <c r="A7208" t="s">
        <v>151</v>
      </c>
      <c r="B7208">
        <v>550</v>
      </c>
      <c r="C7208" t="s">
        <v>166</v>
      </c>
      <c r="D7208">
        <v>3297</v>
      </c>
      <c r="E7208" t="s">
        <v>446</v>
      </c>
      <c r="F7208" s="4">
        <v>0</v>
      </c>
      <c r="G7208" s="4">
        <v>1796</v>
      </c>
      <c r="H7208" s="4">
        <v>27</v>
      </c>
      <c r="I7208" s="4">
        <v>1769</v>
      </c>
      <c r="J7208" s="4">
        <v>1796</v>
      </c>
    </row>
    <row r="7209" spans="1:10" x14ac:dyDescent="0.75">
      <c r="A7209" t="s">
        <v>151</v>
      </c>
      <c r="B7209">
        <v>550</v>
      </c>
      <c r="C7209" t="s">
        <v>166</v>
      </c>
      <c r="D7209">
        <v>6888</v>
      </c>
      <c r="E7209" t="s">
        <v>494</v>
      </c>
      <c r="F7209" s="4">
        <v>0</v>
      </c>
      <c r="G7209" s="4">
        <v>1658</v>
      </c>
      <c r="H7209" s="4">
        <v>0</v>
      </c>
      <c r="I7209" s="4">
        <v>1658</v>
      </c>
      <c r="J7209" s="4">
        <v>1658</v>
      </c>
    </row>
    <row r="7210" spans="1:10" x14ac:dyDescent="0.75">
      <c r="A7210" t="s">
        <v>151</v>
      </c>
      <c r="B7210">
        <v>550</v>
      </c>
      <c r="C7210" t="s">
        <v>166</v>
      </c>
      <c r="D7210">
        <v>6899</v>
      </c>
      <c r="E7210" t="s">
        <v>498</v>
      </c>
      <c r="F7210" s="4">
        <v>0</v>
      </c>
      <c r="G7210" s="4">
        <v>1461</v>
      </c>
      <c r="H7210" s="4">
        <v>1438</v>
      </c>
      <c r="I7210" s="4">
        <v>23</v>
      </c>
      <c r="J7210" s="4">
        <v>1461</v>
      </c>
    </row>
    <row r="7211" spans="1:10" x14ac:dyDescent="0.75">
      <c r="A7211" t="s">
        <v>151</v>
      </c>
      <c r="B7211">
        <v>550</v>
      </c>
      <c r="C7211" t="s">
        <v>166</v>
      </c>
      <c r="D7211">
        <v>3285</v>
      </c>
      <c r="E7211" t="s">
        <v>443</v>
      </c>
      <c r="F7211" s="4">
        <v>0</v>
      </c>
      <c r="G7211" s="4">
        <v>1458</v>
      </c>
      <c r="H7211" s="4">
        <v>387</v>
      </c>
      <c r="I7211" s="4">
        <v>1071</v>
      </c>
      <c r="J7211" s="4">
        <v>1458</v>
      </c>
    </row>
    <row r="7212" spans="1:10" x14ac:dyDescent="0.75">
      <c r="A7212" t="s">
        <v>151</v>
      </c>
      <c r="B7212">
        <v>550</v>
      </c>
      <c r="C7212" t="s">
        <v>166</v>
      </c>
      <c r="D7212">
        <v>7500</v>
      </c>
      <c r="E7212" t="s">
        <v>427</v>
      </c>
      <c r="F7212" s="4">
        <v>0</v>
      </c>
      <c r="G7212" s="4">
        <v>1316</v>
      </c>
      <c r="H7212" s="4">
        <v>996</v>
      </c>
      <c r="I7212" s="4">
        <v>320</v>
      </c>
      <c r="J7212" s="4">
        <v>1316</v>
      </c>
    </row>
    <row r="7213" spans="1:10" x14ac:dyDescent="0.75">
      <c r="A7213" t="s">
        <v>151</v>
      </c>
      <c r="B7213">
        <v>550</v>
      </c>
      <c r="C7213" t="s">
        <v>166</v>
      </c>
      <c r="D7213">
        <v>5422</v>
      </c>
      <c r="E7213" t="s">
        <v>468</v>
      </c>
      <c r="F7213" s="4">
        <v>0</v>
      </c>
      <c r="G7213" s="4">
        <v>1188</v>
      </c>
      <c r="H7213" s="4">
        <v>1165</v>
      </c>
      <c r="I7213" s="4">
        <v>23</v>
      </c>
      <c r="J7213" s="4">
        <v>1188</v>
      </c>
    </row>
    <row r="7214" spans="1:10" x14ac:dyDescent="0.75">
      <c r="A7214" t="s">
        <v>151</v>
      </c>
      <c r="B7214">
        <v>550</v>
      </c>
      <c r="C7214" t="s">
        <v>166</v>
      </c>
      <c r="D7214">
        <v>5120</v>
      </c>
      <c r="E7214" t="s">
        <v>461</v>
      </c>
      <c r="F7214" s="4">
        <v>0</v>
      </c>
      <c r="G7214" s="4">
        <v>1044</v>
      </c>
      <c r="H7214" s="4">
        <v>36</v>
      </c>
      <c r="I7214" s="4">
        <v>1008</v>
      </c>
      <c r="J7214" s="4">
        <v>1044</v>
      </c>
    </row>
    <row r="7215" spans="1:10" x14ac:dyDescent="0.75">
      <c r="A7215" t="s">
        <v>151</v>
      </c>
      <c r="B7215">
        <v>550</v>
      </c>
      <c r="C7215" t="s">
        <v>166</v>
      </c>
      <c r="D7215">
        <v>3275</v>
      </c>
      <c r="E7215" t="s">
        <v>412</v>
      </c>
      <c r="F7215" s="4">
        <v>0</v>
      </c>
      <c r="G7215" s="4">
        <v>624</v>
      </c>
      <c r="H7215" s="4">
        <v>249</v>
      </c>
      <c r="I7215" s="4">
        <v>375</v>
      </c>
      <c r="J7215" s="4">
        <v>624</v>
      </c>
    </row>
    <row r="7216" spans="1:10" x14ac:dyDescent="0.75">
      <c r="A7216" t="s">
        <v>151</v>
      </c>
      <c r="B7216">
        <v>550</v>
      </c>
      <c r="C7216" t="s">
        <v>166</v>
      </c>
      <c r="D7216">
        <v>3230</v>
      </c>
      <c r="E7216" t="s">
        <v>434</v>
      </c>
      <c r="F7216" s="4">
        <v>0</v>
      </c>
      <c r="G7216" s="4">
        <v>550</v>
      </c>
      <c r="H7216" s="4">
        <v>76</v>
      </c>
      <c r="I7216" s="4">
        <v>474</v>
      </c>
      <c r="J7216" s="4">
        <v>550</v>
      </c>
    </row>
    <row r="7217" spans="1:10" x14ac:dyDescent="0.75">
      <c r="A7217" t="s">
        <v>151</v>
      </c>
      <c r="B7217">
        <v>550</v>
      </c>
      <c r="C7217" t="s">
        <v>166</v>
      </c>
      <c r="D7217">
        <v>4690</v>
      </c>
      <c r="E7217" t="s">
        <v>428</v>
      </c>
      <c r="F7217" s="4">
        <v>0</v>
      </c>
      <c r="G7217" s="4">
        <v>531</v>
      </c>
      <c r="H7217" s="4">
        <v>0</v>
      </c>
      <c r="I7217" s="4">
        <v>531</v>
      </c>
      <c r="J7217" s="4">
        <v>531</v>
      </c>
    </row>
    <row r="7218" spans="1:10" x14ac:dyDescent="0.75">
      <c r="A7218" t="s">
        <v>151</v>
      </c>
      <c r="B7218">
        <v>550</v>
      </c>
      <c r="C7218" t="s">
        <v>166</v>
      </c>
      <c r="D7218">
        <v>3282</v>
      </c>
      <c r="E7218" t="s">
        <v>440</v>
      </c>
      <c r="F7218" s="4">
        <v>0</v>
      </c>
      <c r="G7218" s="4">
        <v>487</v>
      </c>
      <c r="H7218" s="4">
        <v>364</v>
      </c>
      <c r="I7218" s="4">
        <v>123</v>
      </c>
      <c r="J7218" s="4">
        <v>487</v>
      </c>
    </row>
    <row r="7219" spans="1:10" x14ac:dyDescent="0.75">
      <c r="A7219" t="s">
        <v>151</v>
      </c>
      <c r="B7219">
        <v>550</v>
      </c>
      <c r="C7219" t="s">
        <v>166</v>
      </c>
      <c r="D7219">
        <v>3292</v>
      </c>
      <c r="E7219" t="s">
        <v>413</v>
      </c>
      <c r="F7219" s="4">
        <v>0</v>
      </c>
      <c r="G7219" s="4">
        <v>458</v>
      </c>
      <c r="H7219" s="4">
        <v>377</v>
      </c>
      <c r="I7219" s="4">
        <v>81</v>
      </c>
      <c r="J7219" s="4">
        <v>458</v>
      </c>
    </row>
    <row r="7220" spans="1:10" x14ac:dyDescent="0.75">
      <c r="A7220" t="s">
        <v>151</v>
      </c>
      <c r="B7220">
        <v>550</v>
      </c>
      <c r="C7220" t="s">
        <v>166</v>
      </c>
      <c r="D7220">
        <v>3284</v>
      </c>
      <c r="E7220" t="s">
        <v>442</v>
      </c>
      <c r="F7220" s="4">
        <v>0</v>
      </c>
      <c r="G7220" s="4">
        <v>442</v>
      </c>
      <c r="H7220" s="4">
        <v>355</v>
      </c>
      <c r="I7220" s="4">
        <v>87</v>
      </c>
      <c r="J7220" s="4">
        <v>442</v>
      </c>
    </row>
    <row r="7221" spans="1:10" x14ac:dyDescent="0.75">
      <c r="A7221" t="s">
        <v>151</v>
      </c>
      <c r="B7221">
        <v>550</v>
      </c>
      <c r="C7221" t="s">
        <v>166</v>
      </c>
      <c r="D7221">
        <v>6746</v>
      </c>
      <c r="E7221" t="s">
        <v>477</v>
      </c>
      <c r="F7221" s="4">
        <v>0</v>
      </c>
      <c r="G7221" s="4">
        <v>420</v>
      </c>
      <c r="H7221" s="4">
        <v>22</v>
      </c>
      <c r="I7221" s="4">
        <v>398</v>
      </c>
      <c r="J7221" s="4">
        <v>420</v>
      </c>
    </row>
    <row r="7222" spans="1:10" x14ac:dyDescent="0.75">
      <c r="A7222" t="s">
        <v>151</v>
      </c>
      <c r="B7222">
        <v>550</v>
      </c>
      <c r="C7222" t="s">
        <v>166</v>
      </c>
      <c r="D7222">
        <v>4189</v>
      </c>
      <c r="E7222" t="s">
        <v>451</v>
      </c>
      <c r="F7222" s="4">
        <v>0</v>
      </c>
      <c r="G7222" s="4">
        <v>415</v>
      </c>
      <c r="H7222" s="4">
        <v>43</v>
      </c>
      <c r="I7222" s="4">
        <v>372</v>
      </c>
      <c r="J7222" s="4">
        <v>415</v>
      </c>
    </row>
    <row r="7223" spans="1:10" x14ac:dyDescent="0.75">
      <c r="A7223" t="s">
        <v>151</v>
      </c>
      <c r="B7223">
        <v>550</v>
      </c>
      <c r="C7223" t="s">
        <v>166</v>
      </c>
      <c r="D7223">
        <v>3250</v>
      </c>
      <c r="E7223" t="s">
        <v>435</v>
      </c>
      <c r="F7223" s="4">
        <v>0</v>
      </c>
      <c r="G7223" s="4">
        <v>390</v>
      </c>
      <c r="H7223" s="4">
        <v>259</v>
      </c>
      <c r="I7223" s="4">
        <v>131</v>
      </c>
      <c r="J7223" s="4">
        <v>390</v>
      </c>
    </row>
    <row r="7224" spans="1:10" x14ac:dyDescent="0.75">
      <c r="A7224" t="s">
        <v>151</v>
      </c>
      <c r="B7224">
        <v>550</v>
      </c>
      <c r="C7224" t="s">
        <v>166</v>
      </c>
      <c r="D7224">
        <v>3260</v>
      </c>
      <c r="E7224" t="s">
        <v>436</v>
      </c>
      <c r="F7224" s="4">
        <v>0</v>
      </c>
      <c r="G7224" s="4">
        <v>387</v>
      </c>
      <c r="H7224" s="4">
        <v>87</v>
      </c>
      <c r="I7224" s="4">
        <v>300</v>
      </c>
      <c r="J7224" s="4">
        <v>387</v>
      </c>
    </row>
    <row r="7225" spans="1:10" x14ac:dyDescent="0.75">
      <c r="A7225" t="s">
        <v>151</v>
      </c>
      <c r="B7225">
        <v>550</v>
      </c>
      <c r="C7225" t="s">
        <v>166</v>
      </c>
      <c r="D7225">
        <v>5190</v>
      </c>
      <c r="E7225" t="s">
        <v>462</v>
      </c>
      <c r="F7225" s="4">
        <v>0</v>
      </c>
      <c r="G7225" s="4">
        <v>373</v>
      </c>
      <c r="H7225" s="4">
        <v>71</v>
      </c>
      <c r="I7225" s="4">
        <v>302</v>
      </c>
      <c r="J7225" s="4">
        <v>373</v>
      </c>
    </row>
    <row r="7226" spans="1:10" x14ac:dyDescent="0.75">
      <c r="A7226" t="s">
        <v>151</v>
      </c>
      <c r="B7226">
        <v>550</v>
      </c>
      <c r="C7226" t="s">
        <v>166</v>
      </c>
      <c r="D7226">
        <v>6653</v>
      </c>
      <c r="E7226" t="s">
        <v>395</v>
      </c>
      <c r="F7226" s="4">
        <v>0</v>
      </c>
      <c r="G7226" s="4">
        <v>370</v>
      </c>
      <c r="H7226" s="4">
        <v>370</v>
      </c>
      <c r="I7226" s="4">
        <v>0</v>
      </c>
      <c r="J7226" s="4">
        <v>370</v>
      </c>
    </row>
    <row r="7227" spans="1:10" x14ac:dyDescent="0.75">
      <c r="A7227" t="s">
        <v>151</v>
      </c>
      <c r="B7227">
        <v>550</v>
      </c>
      <c r="C7227" t="s">
        <v>166</v>
      </c>
      <c r="D7227">
        <v>6136</v>
      </c>
      <c r="E7227" t="s">
        <v>471</v>
      </c>
      <c r="F7227" s="4">
        <v>0</v>
      </c>
      <c r="G7227" s="4">
        <v>363</v>
      </c>
      <c r="H7227" s="4">
        <v>363</v>
      </c>
      <c r="I7227" s="4">
        <v>0</v>
      </c>
      <c r="J7227" s="4">
        <v>363</v>
      </c>
    </row>
    <row r="7228" spans="1:10" x14ac:dyDescent="0.75">
      <c r="A7228" t="s">
        <v>151</v>
      </c>
      <c r="B7228">
        <v>550</v>
      </c>
      <c r="C7228" t="s">
        <v>166</v>
      </c>
      <c r="D7228">
        <v>3276</v>
      </c>
      <c r="E7228" t="s">
        <v>379</v>
      </c>
      <c r="F7228" s="4">
        <v>0</v>
      </c>
      <c r="G7228" s="4">
        <v>288</v>
      </c>
      <c r="H7228" s="4">
        <v>210</v>
      </c>
      <c r="I7228" s="4">
        <v>78</v>
      </c>
      <c r="J7228" s="4">
        <v>288</v>
      </c>
    </row>
    <row r="7229" spans="1:10" x14ac:dyDescent="0.75">
      <c r="A7229" t="s">
        <v>151</v>
      </c>
      <c r="B7229">
        <v>550</v>
      </c>
      <c r="C7229" t="s">
        <v>166</v>
      </c>
      <c r="D7229">
        <v>4782</v>
      </c>
      <c r="E7229" t="s">
        <v>414</v>
      </c>
      <c r="F7229" s="4">
        <v>0</v>
      </c>
      <c r="G7229" s="4">
        <v>270</v>
      </c>
      <c r="H7229" s="4">
        <v>83</v>
      </c>
      <c r="I7229" s="4">
        <v>187</v>
      </c>
      <c r="J7229" s="4">
        <v>270</v>
      </c>
    </row>
    <row r="7230" spans="1:10" x14ac:dyDescent="0.75">
      <c r="A7230" t="s">
        <v>151</v>
      </c>
      <c r="B7230">
        <v>550</v>
      </c>
      <c r="C7230" t="s">
        <v>166</v>
      </c>
      <c r="D7230">
        <v>6781</v>
      </c>
      <c r="E7230" t="s">
        <v>479</v>
      </c>
      <c r="F7230" s="4">
        <v>0</v>
      </c>
      <c r="G7230" s="4">
        <v>256</v>
      </c>
      <c r="H7230" s="4">
        <v>0</v>
      </c>
      <c r="I7230" s="4">
        <v>256</v>
      </c>
      <c r="J7230" s="4">
        <v>256</v>
      </c>
    </row>
    <row r="7231" spans="1:10" x14ac:dyDescent="0.75">
      <c r="A7231" t="s">
        <v>151</v>
      </c>
      <c r="B7231">
        <v>550</v>
      </c>
      <c r="C7231" t="s">
        <v>166</v>
      </c>
      <c r="D7231">
        <v>4225</v>
      </c>
      <c r="E7231" t="s">
        <v>380</v>
      </c>
      <c r="F7231" s="4">
        <v>0</v>
      </c>
      <c r="G7231" s="4">
        <v>239</v>
      </c>
      <c r="H7231" s="4">
        <v>2</v>
      </c>
      <c r="I7231" s="4">
        <v>237</v>
      </c>
      <c r="J7231" s="4">
        <v>239</v>
      </c>
    </row>
    <row r="7232" spans="1:10" x14ac:dyDescent="0.75">
      <c r="A7232" t="s">
        <v>151</v>
      </c>
      <c r="B7232">
        <v>550</v>
      </c>
      <c r="C7232" t="s">
        <v>166</v>
      </c>
      <c r="D7232">
        <v>5240</v>
      </c>
      <c r="E7232" t="s">
        <v>464</v>
      </c>
      <c r="F7232" s="4">
        <v>0</v>
      </c>
      <c r="G7232" s="4">
        <v>223</v>
      </c>
      <c r="H7232" s="4">
        <v>108</v>
      </c>
      <c r="I7232" s="4">
        <v>115</v>
      </c>
      <c r="J7232" s="4">
        <v>223</v>
      </c>
    </row>
    <row r="7233" spans="1:10" x14ac:dyDescent="0.75">
      <c r="A7233" t="s">
        <v>151</v>
      </c>
      <c r="B7233">
        <v>550</v>
      </c>
      <c r="C7233" t="s">
        <v>166</v>
      </c>
      <c r="D7233">
        <v>3110</v>
      </c>
      <c r="E7233" t="s">
        <v>405</v>
      </c>
      <c r="F7233" s="4">
        <v>0</v>
      </c>
      <c r="G7233" s="4">
        <v>220</v>
      </c>
      <c r="H7233" s="4">
        <v>0</v>
      </c>
      <c r="I7233" s="4">
        <v>220</v>
      </c>
      <c r="J7233" s="4">
        <v>220</v>
      </c>
    </row>
    <row r="7234" spans="1:10" x14ac:dyDescent="0.75">
      <c r="A7234" t="s">
        <v>151</v>
      </c>
      <c r="B7234">
        <v>550</v>
      </c>
      <c r="C7234" t="s">
        <v>166</v>
      </c>
      <c r="D7234">
        <v>6134</v>
      </c>
      <c r="E7234" t="s">
        <v>470</v>
      </c>
      <c r="F7234" s="4">
        <v>0</v>
      </c>
      <c r="G7234" s="4">
        <v>215</v>
      </c>
      <c r="H7234" s="4">
        <v>207</v>
      </c>
      <c r="I7234" s="4">
        <v>8</v>
      </c>
      <c r="J7234" s="4">
        <v>215</v>
      </c>
    </row>
    <row r="7235" spans="1:10" x14ac:dyDescent="0.75">
      <c r="A7235" t="s">
        <v>151</v>
      </c>
      <c r="B7235">
        <v>550</v>
      </c>
      <c r="C7235" t="s">
        <v>166</v>
      </c>
      <c r="D7235">
        <v>3291</v>
      </c>
      <c r="E7235" t="s">
        <v>444</v>
      </c>
      <c r="F7235" s="4">
        <v>0</v>
      </c>
      <c r="G7235" s="4">
        <v>188</v>
      </c>
      <c r="H7235" s="4">
        <v>21</v>
      </c>
      <c r="I7235" s="4">
        <v>167</v>
      </c>
      <c r="J7235" s="4">
        <v>188</v>
      </c>
    </row>
    <row r="7236" spans="1:10" x14ac:dyDescent="0.75">
      <c r="A7236" t="s">
        <v>151</v>
      </c>
      <c r="B7236">
        <v>550</v>
      </c>
      <c r="C7236" t="s">
        <v>166</v>
      </c>
      <c r="D7236">
        <v>6861</v>
      </c>
      <c r="E7236" t="s">
        <v>489</v>
      </c>
      <c r="F7236" s="4">
        <v>0</v>
      </c>
      <c r="G7236" s="4">
        <v>176</v>
      </c>
      <c r="H7236" s="4">
        <v>46</v>
      </c>
      <c r="I7236" s="4">
        <v>130</v>
      </c>
      <c r="J7236" s="4">
        <v>176</v>
      </c>
    </row>
    <row r="7237" spans="1:10" x14ac:dyDescent="0.75">
      <c r="A7237" t="s">
        <v>151</v>
      </c>
      <c r="B7237">
        <v>550</v>
      </c>
      <c r="C7237" t="s">
        <v>166</v>
      </c>
      <c r="D7237">
        <v>5110</v>
      </c>
      <c r="E7237" t="s">
        <v>460</v>
      </c>
      <c r="F7237" s="4">
        <v>0</v>
      </c>
      <c r="G7237" s="4">
        <v>174</v>
      </c>
      <c r="H7237" s="4">
        <v>0</v>
      </c>
      <c r="I7237" s="4">
        <v>174</v>
      </c>
      <c r="J7237" s="4">
        <v>174</v>
      </c>
    </row>
    <row r="7238" spans="1:10" x14ac:dyDescent="0.75">
      <c r="A7238" t="s">
        <v>151</v>
      </c>
      <c r="B7238">
        <v>550</v>
      </c>
      <c r="C7238" t="s">
        <v>166</v>
      </c>
      <c r="D7238">
        <v>6817</v>
      </c>
      <c r="E7238" t="s">
        <v>481</v>
      </c>
      <c r="F7238" s="4">
        <v>0</v>
      </c>
      <c r="G7238" s="4">
        <v>151</v>
      </c>
      <c r="H7238" s="4">
        <v>130</v>
      </c>
      <c r="I7238" s="4">
        <v>21</v>
      </c>
      <c r="J7238" s="4">
        <v>151</v>
      </c>
    </row>
    <row r="7239" spans="1:10" x14ac:dyDescent="0.75">
      <c r="A7239" t="s">
        <v>151</v>
      </c>
      <c r="B7239">
        <v>550</v>
      </c>
      <c r="C7239" t="s">
        <v>166</v>
      </c>
      <c r="D7239">
        <v>5390</v>
      </c>
      <c r="E7239" t="s">
        <v>418</v>
      </c>
      <c r="F7239" s="4">
        <v>0</v>
      </c>
      <c r="G7239" s="4">
        <v>149</v>
      </c>
      <c r="H7239" s="4">
        <v>149</v>
      </c>
      <c r="I7239" s="4">
        <v>0</v>
      </c>
      <c r="J7239" s="4">
        <v>149</v>
      </c>
    </row>
    <row r="7240" spans="1:10" x14ac:dyDescent="0.75">
      <c r="A7240" t="s">
        <v>151</v>
      </c>
      <c r="B7240">
        <v>550</v>
      </c>
      <c r="C7240" t="s">
        <v>166</v>
      </c>
      <c r="D7240">
        <v>2990</v>
      </c>
      <c r="E7240" t="s">
        <v>432</v>
      </c>
      <c r="F7240" s="4">
        <v>0</v>
      </c>
      <c r="G7240" s="4">
        <v>140</v>
      </c>
      <c r="H7240" s="4">
        <v>140</v>
      </c>
      <c r="I7240" s="4">
        <v>0</v>
      </c>
      <c r="J7240" s="4">
        <v>140</v>
      </c>
    </row>
    <row r="7241" spans="1:10" x14ac:dyDescent="0.75">
      <c r="A7241" t="s">
        <v>151</v>
      </c>
      <c r="B7241">
        <v>550</v>
      </c>
      <c r="C7241" t="s">
        <v>166</v>
      </c>
      <c r="D7241">
        <v>5312</v>
      </c>
      <c r="E7241" t="s">
        <v>416</v>
      </c>
      <c r="F7241" s="4">
        <v>0</v>
      </c>
      <c r="G7241" s="4">
        <v>132</v>
      </c>
      <c r="H7241" s="4">
        <v>12</v>
      </c>
      <c r="I7241" s="4">
        <v>120</v>
      </c>
      <c r="J7241" s="4">
        <v>132</v>
      </c>
    </row>
    <row r="7242" spans="1:10" x14ac:dyDescent="0.75">
      <c r="A7242" t="s">
        <v>151</v>
      </c>
      <c r="B7242">
        <v>550</v>
      </c>
      <c r="C7242" t="s">
        <v>166</v>
      </c>
      <c r="D7242">
        <v>6344</v>
      </c>
      <c r="E7242" t="s">
        <v>392</v>
      </c>
      <c r="F7242" s="4">
        <v>0</v>
      </c>
      <c r="G7242" s="4">
        <v>127</v>
      </c>
      <c r="H7242" s="4">
        <v>84</v>
      </c>
      <c r="I7242" s="4">
        <v>43</v>
      </c>
      <c r="J7242" s="4">
        <v>127</v>
      </c>
    </row>
    <row r="7243" spans="1:10" x14ac:dyDescent="0.75">
      <c r="A7243" t="s">
        <v>151</v>
      </c>
      <c r="B7243">
        <v>550</v>
      </c>
      <c r="C7243" t="s">
        <v>166</v>
      </c>
      <c r="D7243">
        <v>5421</v>
      </c>
      <c r="E7243" t="s">
        <v>467</v>
      </c>
      <c r="F7243" s="4">
        <v>0</v>
      </c>
      <c r="G7243" s="4">
        <v>116</v>
      </c>
      <c r="H7243" s="4">
        <v>55</v>
      </c>
      <c r="I7243" s="4">
        <v>61</v>
      </c>
      <c r="J7243" s="4">
        <v>116</v>
      </c>
    </row>
    <row r="7244" spans="1:10" x14ac:dyDescent="0.75">
      <c r="A7244" t="s">
        <v>151</v>
      </c>
      <c r="B7244">
        <v>550</v>
      </c>
      <c r="C7244" t="s">
        <v>166</v>
      </c>
      <c r="D7244">
        <v>4110</v>
      </c>
      <c r="E7244" t="s">
        <v>449</v>
      </c>
      <c r="F7244" s="4">
        <v>0</v>
      </c>
      <c r="G7244" s="4">
        <v>103</v>
      </c>
      <c r="H7244" s="4">
        <v>103</v>
      </c>
      <c r="I7244" s="4">
        <v>0</v>
      </c>
      <c r="J7244" s="4">
        <v>103</v>
      </c>
    </row>
    <row r="7245" spans="1:10" x14ac:dyDescent="0.75">
      <c r="A7245" t="s">
        <v>151</v>
      </c>
      <c r="B7245">
        <v>550</v>
      </c>
      <c r="C7245" t="s">
        <v>166</v>
      </c>
      <c r="D7245">
        <v>7300</v>
      </c>
      <c r="E7245" t="s">
        <v>501</v>
      </c>
      <c r="F7245" s="4">
        <v>0</v>
      </c>
      <c r="G7245" s="4">
        <v>80</v>
      </c>
      <c r="H7245" s="4">
        <v>0</v>
      </c>
      <c r="I7245" s="4">
        <v>80</v>
      </c>
      <c r="J7245" s="4">
        <v>80</v>
      </c>
    </row>
    <row r="7246" spans="1:10" x14ac:dyDescent="0.75">
      <c r="A7246" t="s">
        <v>151</v>
      </c>
      <c r="B7246">
        <v>550</v>
      </c>
      <c r="C7246" t="s">
        <v>166</v>
      </c>
      <c r="D7246">
        <v>3190</v>
      </c>
      <c r="E7246" t="s">
        <v>408</v>
      </c>
      <c r="F7246" s="4">
        <v>0</v>
      </c>
      <c r="G7246" s="4">
        <v>73</v>
      </c>
      <c r="H7246" s="4">
        <v>26</v>
      </c>
      <c r="I7246" s="4">
        <v>47</v>
      </c>
      <c r="J7246" s="4">
        <v>73</v>
      </c>
    </row>
    <row r="7247" spans="1:10" x14ac:dyDescent="0.75">
      <c r="A7247" t="s">
        <v>151</v>
      </c>
      <c r="B7247">
        <v>550</v>
      </c>
      <c r="C7247" t="s">
        <v>166</v>
      </c>
      <c r="D7247">
        <v>4650</v>
      </c>
      <c r="E7247" t="s">
        <v>457</v>
      </c>
      <c r="F7247" s="4">
        <v>0</v>
      </c>
      <c r="G7247" s="4">
        <v>67</v>
      </c>
      <c r="H7247" s="4">
        <v>40</v>
      </c>
      <c r="I7247" s="4">
        <v>27</v>
      </c>
      <c r="J7247" s="4">
        <v>67</v>
      </c>
    </row>
    <row r="7248" spans="1:10" x14ac:dyDescent="0.75">
      <c r="A7248" t="s">
        <v>151</v>
      </c>
      <c r="B7248">
        <v>550</v>
      </c>
      <c r="C7248" t="s">
        <v>166</v>
      </c>
      <c r="D7248">
        <v>7220</v>
      </c>
      <c r="E7248" t="s">
        <v>500</v>
      </c>
      <c r="F7248" s="4">
        <v>0</v>
      </c>
      <c r="G7248" s="4">
        <v>62</v>
      </c>
      <c r="H7248" s="4">
        <v>0</v>
      </c>
      <c r="I7248" s="4">
        <v>62</v>
      </c>
      <c r="J7248" s="4">
        <v>62</v>
      </c>
    </row>
    <row r="7249" spans="1:10" x14ac:dyDescent="0.75">
      <c r="A7249" t="s">
        <v>151</v>
      </c>
      <c r="B7249">
        <v>550</v>
      </c>
      <c r="C7249" t="s">
        <v>166</v>
      </c>
      <c r="D7249">
        <v>5315</v>
      </c>
      <c r="E7249" t="s">
        <v>417</v>
      </c>
      <c r="F7249" s="4">
        <v>0</v>
      </c>
      <c r="G7249" s="4">
        <v>61</v>
      </c>
      <c r="H7249" s="4">
        <v>0</v>
      </c>
      <c r="I7249" s="4">
        <v>61</v>
      </c>
      <c r="J7249" s="4">
        <v>61</v>
      </c>
    </row>
    <row r="7250" spans="1:10" x14ac:dyDescent="0.75">
      <c r="A7250" t="s">
        <v>151</v>
      </c>
      <c r="B7250">
        <v>550</v>
      </c>
      <c r="C7250" t="s">
        <v>166</v>
      </c>
      <c r="D7250">
        <v>3283</v>
      </c>
      <c r="E7250" t="s">
        <v>441</v>
      </c>
      <c r="F7250" s="4">
        <v>0</v>
      </c>
      <c r="G7250" s="4">
        <v>54</v>
      </c>
      <c r="H7250" s="4">
        <v>54</v>
      </c>
      <c r="I7250" s="4">
        <v>0</v>
      </c>
      <c r="J7250" s="4">
        <v>54</v>
      </c>
    </row>
    <row r="7251" spans="1:10" x14ac:dyDescent="0.75">
      <c r="A7251" t="s">
        <v>151</v>
      </c>
      <c r="B7251">
        <v>550</v>
      </c>
      <c r="C7251" t="s">
        <v>166</v>
      </c>
      <c r="D7251">
        <v>4190</v>
      </c>
      <c r="E7251" t="s">
        <v>452</v>
      </c>
      <c r="F7251" s="4">
        <v>0</v>
      </c>
      <c r="G7251" s="4">
        <v>52</v>
      </c>
      <c r="H7251" s="4">
        <v>38</v>
      </c>
      <c r="I7251" s="4">
        <v>14</v>
      </c>
      <c r="J7251" s="4">
        <v>52</v>
      </c>
    </row>
    <row r="7252" spans="1:10" x14ac:dyDescent="0.75">
      <c r="A7252" t="s">
        <v>151</v>
      </c>
      <c r="B7252">
        <v>550</v>
      </c>
      <c r="C7252" t="s">
        <v>166</v>
      </c>
      <c r="D7252">
        <v>4322</v>
      </c>
      <c r="E7252" t="s">
        <v>398</v>
      </c>
      <c r="F7252" s="4">
        <v>0</v>
      </c>
      <c r="G7252" s="4">
        <v>42</v>
      </c>
      <c r="H7252" s="4">
        <v>0</v>
      </c>
      <c r="I7252" s="4">
        <v>42</v>
      </c>
      <c r="J7252" s="4">
        <v>42</v>
      </c>
    </row>
    <row r="7253" spans="1:10" x14ac:dyDescent="0.75">
      <c r="A7253" t="s">
        <v>151</v>
      </c>
      <c r="B7253">
        <v>550</v>
      </c>
      <c r="C7253" t="s">
        <v>166</v>
      </c>
      <c r="D7253">
        <v>4331</v>
      </c>
      <c r="E7253" t="s">
        <v>390</v>
      </c>
      <c r="F7253" s="4">
        <v>0</v>
      </c>
      <c r="G7253" s="4">
        <v>41</v>
      </c>
      <c r="H7253" s="4">
        <v>2</v>
      </c>
      <c r="I7253" s="4">
        <v>39</v>
      </c>
      <c r="J7253" s="4">
        <v>41</v>
      </c>
    </row>
    <row r="7254" spans="1:10" x14ac:dyDescent="0.75">
      <c r="A7254" t="s">
        <v>151</v>
      </c>
      <c r="B7254">
        <v>550</v>
      </c>
      <c r="C7254" t="s">
        <v>166</v>
      </c>
      <c r="D7254">
        <v>4680</v>
      </c>
      <c r="E7254" t="s">
        <v>459</v>
      </c>
      <c r="F7254" s="4">
        <v>0</v>
      </c>
      <c r="G7254" s="4">
        <v>41</v>
      </c>
      <c r="H7254" s="4">
        <v>41</v>
      </c>
      <c r="I7254" s="4">
        <v>0</v>
      </c>
      <c r="J7254" s="4">
        <v>41</v>
      </c>
    </row>
    <row r="7255" spans="1:10" x14ac:dyDescent="0.75">
      <c r="A7255" t="s">
        <v>151</v>
      </c>
      <c r="B7255">
        <v>550</v>
      </c>
      <c r="C7255" t="s">
        <v>166</v>
      </c>
      <c r="D7255">
        <v>3293</v>
      </c>
      <c r="E7255" t="s">
        <v>445</v>
      </c>
      <c r="F7255" s="4">
        <v>4</v>
      </c>
      <c r="G7255" s="4">
        <v>28</v>
      </c>
      <c r="H7255" s="4">
        <v>28</v>
      </c>
      <c r="I7255" s="4">
        <v>0</v>
      </c>
      <c r="J7255" s="4">
        <v>32</v>
      </c>
    </row>
    <row r="7256" spans="1:10" x14ac:dyDescent="0.75">
      <c r="A7256" t="s">
        <v>151</v>
      </c>
      <c r="B7256">
        <v>550</v>
      </c>
      <c r="C7256" t="s">
        <v>166</v>
      </c>
      <c r="D7256">
        <v>4150</v>
      </c>
      <c r="E7256" t="s">
        <v>450</v>
      </c>
      <c r="F7256" s="4">
        <v>0</v>
      </c>
      <c r="G7256" s="4">
        <v>21</v>
      </c>
      <c r="H7256" s="4">
        <v>21</v>
      </c>
      <c r="I7256" s="4">
        <v>0</v>
      </c>
      <c r="J7256" s="4">
        <v>21</v>
      </c>
    </row>
    <row r="7257" spans="1:10" x14ac:dyDescent="0.75">
      <c r="A7257" t="s">
        <v>151</v>
      </c>
      <c r="B7257">
        <v>550</v>
      </c>
      <c r="C7257" t="s">
        <v>166</v>
      </c>
      <c r="D7257">
        <v>2410</v>
      </c>
      <c r="E7257" t="s">
        <v>430</v>
      </c>
      <c r="F7257" s="4">
        <v>0</v>
      </c>
      <c r="G7257" s="4">
        <v>20</v>
      </c>
      <c r="H7257" s="4">
        <v>0</v>
      </c>
      <c r="I7257" s="4">
        <v>20</v>
      </c>
      <c r="J7257" s="4">
        <v>20</v>
      </c>
    </row>
    <row r="7258" spans="1:10" x14ac:dyDescent="0.75">
      <c r="A7258" t="s">
        <v>151</v>
      </c>
      <c r="B7258">
        <v>550</v>
      </c>
      <c r="C7258" t="s">
        <v>166</v>
      </c>
      <c r="D7258">
        <v>6442</v>
      </c>
      <c r="E7258" t="s">
        <v>472</v>
      </c>
      <c r="F7258" s="4">
        <v>0</v>
      </c>
      <c r="G7258" s="4">
        <v>20</v>
      </c>
      <c r="H7258" s="4">
        <v>20</v>
      </c>
      <c r="I7258" s="4">
        <v>0</v>
      </c>
      <c r="J7258" s="4">
        <v>20</v>
      </c>
    </row>
    <row r="7259" spans="1:10" x14ac:dyDescent="0.75">
      <c r="A7259" t="s">
        <v>151</v>
      </c>
      <c r="B7259">
        <v>550</v>
      </c>
      <c r="C7259" t="s">
        <v>166</v>
      </c>
      <c r="D7259">
        <v>3298</v>
      </c>
      <c r="E7259" t="s">
        <v>447</v>
      </c>
      <c r="F7259" s="4">
        <v>0</v>
      </c>
      <c r="G7259" s="4">
        <v>19</v>
      </c>
      <c r="H7259" s="4">
        <v>0</v>
      </c>
      <c r="I7259" s="4">
        <v>19</v>
      </c>
      <c r="J7259" s="4">
        <v>19</v>
      </c>
    </row>
    <row r="7260" spans="1:10" x14ac:dyDescent="0.75">
      <c r="A7260" t="s">
        <v>151</v>
      </c>
      <c r="B7260">
        <v>550</v>
      </c>
      <c r="C7260" t="s">
        <v>166</v>
      </c>
      <c r="D7260">
        <v>3272</v>
      </c>
      <c r="E7260" t="s">
        <v>504</v>
      </c>
      <c r="F7260" s="4">
        <v>0</v>
      </c>
      <c r="G7260" s="4">
        <v>15</v>
      </c>
      <c r="H7260" s="4">
        <v>0</v>
      </c>
      <c r="I7260" s="4">
        <v>15</v>
      </c>
      <c r="J7260" s="4">
        <v>15</v>
      </c>
    </row>
    <row r="7261" spans="1:10" x14ac:dyDescent="0.75">
      <c r="A7261" t="s">
        <v>151</v>
      </c>
      <c r="B7261">
        <v>550</v>
      </c>
      <c r="C7261" t="s">
        <v>166</v>
      </c>
      <c r="D7261">
        <v>4161</v>
      </c>
      <c r="E7261" t="s">
        <v>421</v>
      </c>
      <c r="F7261" s="4">
        <v>0</v>
      </c>
      <c r="G7261" s="4">
        <v>10</v>
      </c>
      <c r="H7261" s="4">
        <v>0</v>
      </c>
      <c r="I7261" s="4">
        <v>10</v>
      </c>
      <c r="J7261" s="4">
        <v>10</v>
      </c>
    </row>
    <row r="7262" spans="1:10" x14ac:dyDescent="0.75">
      <c r="A7262" t="s">
        <v>151</v>
      </c>
      <c r="B7262">
        <v>550</v>
      </c>
      <c r="C7262" t="s">
        <v>166</v>
      </c>
      <c r="D7262">
        <v>6839</v>
      </c>
      <c r="E7262" t="s">
        <v>485</v>
      </c>
      <c r="F7262" s="4">
        <v>0</v>
      </c>
      <c r="G7262" s="4">
        <v>9</v>
      </c>
      <c r="H7262" s="4">
        <v>0</v>
      </c>
      <c r="I7262" s="4">
        <v>9</v>
      </c>
      <c r="J7262" s="4">
        <v>9</v>
      </c>
    </row>
    <row r="7263" spans="1:10" x14ac:dyDescent="0.75">
      <c r="A7263" t="s">
        <v>151</v>
      </c>
      <c r="B7263">
        <v>550</v>
      </c>
      <c r="C7263" t="s">
        <v>166</v>
      </c>
      <c r="D7263">
        <v>6893</v>
      </c>
      <c r="E7263" t="s">
        <v>496</v>
      </c>
      <c r="F7263" s="4">
        <v>0</v>
      </c>
      <c r="G7263" s="4">
        <v>6</v>
      </c>
      <c r="H7263" s="4">
        <v>6</v>
      </c>
      <c r="I7263" s="4">
        <v>0</v>
      </c>
      <c r="J7263" s="4">
        <v>6</v>
      </c>
    </row>
    <row r="7264" spans="1:10" x14ac:dyDescent="0.75">
      <c r="A7264" t="s">
        <v>151</v>
      </c>
      <c r="B7264">
        <v>550</v>
      </c>
      <c r="C7264" t="s">
        <v>166</v>
      </c>
      <c r="D7264">
        <v>3212</v>
      </c>
      <c r="E7264" t="s">
        <v>409</v>
      </c>
      <c r="F7264" s="4">
        <v>0</v>
      </c>
      <c r="G7264" s="4">
        <v>5</v>
      </c>
      <c r="H7264" s="4">
        <v>5</v>
      </c>
      <c r="I7264" s="4">
        <v>0</v>
      </c>
      <c r="J7264" s="4">
        <v>5</v>
      </c>
    </row>
    <row r="7265" spans="1:10" x14ac:dyDescent="0.75">
      <c r="A7265" t="s">
        <v>151</v>
      </c>
      <c r="B7265">
        <v>550</v>
      </c>
      <c r="C7265" t="s">
        <v>166</v>
      </c>
      <c r="D7265">
        <v>7230</v>
      </c>
      <c r="E7265" t="s">
        <v>387</v>
      </c>
      <c r="F7265" s="4">
        <v>0</v>
      </c>
      <c r="G7265" s="4">
        <v>4</v>
      </c>
      <c r="H7265" s="4">
        <v>0</v>
      </c>
      <c r="I7265" s="4">
        <v>4</v>
      </c>
      <c r="J7265" s="4">
        <v>4</v>
      </c>
    </row>
    <row r="7266" spans="1:10" x14ac:dyDescent="0.75">
      <c r="A7266" t="s">
        <v>151</v>
      </c>
      <c r="B7266">
        <v>550</v>
      </c>
      <c r="C7266" t="s">
        <v>166</v>
      </c>
      <c r="D7266">
        <v>7800</v>
      </c>
      <c r="E7266" t="s">
        <v>507</v>
      </c>
      <c r="F7266" s="4">
        <v>4</v>
      </c>
      <c r="G7266" s="4">
        <v>0</v>
      </c>
      <c r="H7266" s="4">
        <v>0</v>
      </c>
      <c r="I7266" s="4">
        <v>0</v>
      </c>
      <c r="J7266" s="4">
        <v>4</v>
      </c>
    </row>
    <row r="7267" spans="1:10" x14ac:dyDescent="0.75">
      <c r="A7267" t="s">
        <v>151</v>
      </c>
      <c r="B7267">
        <v>2253</v>
      </c>
      <c r="C7267" t="s">
        <v>153</v>
      </c>
      <c r="D7267">
        <v>6344</v>
      </c>
      <c r="E7267" t="s">
        <v>392</v>
      </c>
      <c r="F7267" s="4">
        <v>28036424</v>
      </c>
      <c r="G7267" s="4">
        <v>29029715</v>
      </c>
      <c r="H7267" s="4">
        <v>0</v>
      </c>
      <c r="I7267" s="4">
        <v>29029715</v>
      </c>
      <c r="J7267" s="4">
        <v>57066139</v>
      </c>
    </row>
    <row r="7268" spans="1:10" x14ac:dyDescent="0.75">
      <c r="A7268" t="s">
        <v>151</v>
      </c>
      <c r="B7268">
        <v>2253</v>
      </c>
      <c r="C7268" t="s">
        <v>153</v>
      </c>
      <c r="D7268">
        <v>6522</v>
      </c>
      <c r="E7268" t="s">
        <v>393</v>
      </c>
      <c r="F7268" s="4">
        <v>19075225</v>
      </c>
      <c r="G7268" s="4">
        <v>16825873</v>
      </c>
      <c r="H7268" s="4">
        <v>24718</v>
      </c>
      <c r="I7268" s="4">
        <v>16801155</v>
      </c>
      <c r="J7268" s="4">
        <v>35901098</v>
      </c>
    </row>
    <row r="7269" spans="1:10" x14ac:dyDescent="0.75">
      <c r="A7269" t="s">
        <v>151</v>
      </c>
      <c r="B7269">
        <v>2253</v>
      </c>
      <c r="C7269" t="s">
        <v>153</v>
      </c>
      <c r="D7269">
        <v>2330</v>
      </c>
      <c r="E7269" t="s">
        <v>368</v>
      </c>
      <c r="F7269" s="4">
        <v>10482568</v>
      </c>
      <c r="G7269" s="4">
        <v>12212158</v>
      </c>
      <c r="H7269" s="4">
        <v>6244840</v>
      </c>
      <c r="I7269" s="4">
        <v>5967318</v>
      </c>
      <c r="J7269" s="4">
        <v>22694726</v>
      </c>
    </row>
    <row r="7270" spans="1:10" x14ac:dyDescent="0.75">
      <c r="A7270" t="s">
        <v>151</v>
      </c>
      <c r="B7270">
        <v>2253</v>
      </c>
      <c r="C7270" t="s">
        <v>153</v>
      </c>
      <c r="D7270">
        <v>2100</v>
      </c>
      <c r="E7270" t="s">
        <v>403</v>
      </c>
      <c r="F7270" s="4">
        <v>5810712</v>
      </c>
      <c r="G7270" s="4">
        <v>5531017</v>
      </c>
      <c r="H7270" s="4">
        <v>3705514</v>
      </c>
      <c r="I7270" s="4">
        <v>1825503</v>
      </c>
      <c r="J7270" s="4">
        <v>11341729</v>
      </c>
    </row>
    <row r="7271" spans="1:10" x14ac:dyDescent="0.75">
      <c r="A7271" t="s">
        <v>151</v>
      </c>
      <c r="B7271">
        <v>2253</v>
      </c>
      <c r="C7271" t="s">
        <v>153</v>
      </c>
      <c r="D7271">
        <v>2211</v>
      </c>
      <c r="E7271" t="s">
        <v>367</v>
      </c>
      <c r="F7271" s="4">
        <v>5984252</v>
      </c>
      <c r="G7271" s="4">
        <v>2819256</v>
      </c>
      <c r="H7271" s="4">
        <v>140799</v>
      </c>
      <c r="I7271" s="4">
        <v>2678457</v>
      </c>
      <c r="J7271" s="4">
        <v>8803508</v>
      </c>
    </row>
    <row r="7272" spans="1:10" x14ac:dyDescent="0.75">
      <c r="A7272" t="s">
        <v>151</v>
      </c>
      <c r="B7272">
        <v>2253</v>
      </c>
      <c r="C7272" t="s">
        <v>153</v>
      </c>
      <c r="D7272">
        <v>1100</v>
      </c>
      <c r="E7272" t="s">
        <v>397</v>
      </c>
      <c r="F7272" s="4">
        <v>440689</v>
      </c>
      <c r="G7272" s="4">
        <v>6473877</v>
      </c>
      <c r="H7272" s="4">
        <v>12175</v>
      </c>
      <c r="I7272" s="4">
        <v>6461702</v>
      </c>
      <c r="J7272" s="4">
        <v>6914566</v>
      </c>
    </row>
    <row r="7273" spans="1:10" x14ac:dyDescent="0.75">
      <c r="A7273" t="s">
        <v>151</v>
      </c>
      <c r="B7273">
        <v>2253</v>
      </c>
      <c r="C7273" t="s">
        <v>153</v>
      </c>
      <c r="D7273">
        <v>2340</v>
      </c>
      <c r="E7273" t="s">
        <v>369</v>
      </c>
      <c r="F7273" s="4">
        <v>4604968</v>
      </c>
      <c r="G7273" s="4">
        <v>2059206</v>
      </c>
      <c r="H7273" s="4">
        <v>2037648</v>
      </c>
      <c r="I7273" s="4">
        <v>21558</v>
      </c>
      <c r="J7273" s="4">
        <v>6664174</v>
      </c>
    </row>
    <row r="7274" spans="1:10" x14ac:dyDescent="0.75">
      <c r="A7274" t="s">
        <v>151</v>
      </c>
      <c r="B7274">
        <v>2253</v>
      </c>
      <c r="C7274" t="s">
        <v>153</v>
      </c>
      <c r="D7274">
        <v>6782</v>
      </c>
      <c r="E7274" t="s">
        <v>396</v>
      </c>
      <c r="F7274" s="4">
        <v>2263711</v>
      </c>
      <c r="G7274" s="4">
        <v>4318036</v>
      </c>
      <c r="H7274" s="4">
        <v>5775</v>
      </c>
      <c r="I7274" s="4">
        <v>4312261</v>
      </c>
      <c r="J7274" s="4">
        <v>6581747</v>
      </c>
    </row>
    <row r="7275" spans="1:10" x14ac:dyDescent="0.75">
      <c r="A7275" t="s">
        <v>151</v>
      </c>
      <c r="B7275">
        <v>2253</v>
      </c>
      <c r="C7275" t="s">
        <v>153</v>
      </c>
      <c r="D7275">
        <v>4650</v>
      </c>
      <c r="E7275" t="s">
        <v>457</v>
      </c>
      <c r="F7275" s="4">
        <v>1553582</v>
      </c>
      <c r="G7275" s="4">
        <v>4325192</v>
      </c>
      <c r="H7275" s="4">
        <v>4322002</v>
      </c>
      <c r="I7275" s="4">
        <v>3190</v>
      </c>
      <c r="J7275" s="4">
        <v>5878774</v>
      </c>
    </row>
    <row r="7276" spans="1:10" x14ac:dyDescent="0.75">
      <c r="A7276" t="s">
        <v>151</v>
      </c>
      <c r="B7276">
        <v>2253</v>
      </c>
      <c r="C7276" t="s">
        <v>153</v>
      </c>
      <c r="D7276">
        <v>4410</v>
      </c>
      <c r="E7276" t="s">
        <v>399</v>
      </c>
      <c r="F7276" s="4">
        <v>395498</v>
      </c>
      <c r="G7276" s="4">
        <v>5045078</v>
      </c>
      <c r="H7276" s="4">
        <v>3440054</v>
      </c>
      <c r="I7276" s="4">
        <v>1605024</v>
      </c>
      <c r="J7276" s="4">
        <v>5440576</v>
      </c>
    </row>
    <row r="7277" spans="1:10" x14ac:dyDescent="0.75">
      <c r="A7277" t="s">
        <v>151</v>
      </c>
      <c r="B7277">
        <v>2253</v>
      </c>
      <c r="C7277" t="s">
        <v>153</v>
      </c>
      <c r="D7277">
        <v>3190</v>
      </c>
      <c r="E7277" t="s">
        <v>408</v>
      </c>
      <c r="F7277" s="4">
        <v>2870719</v>
      </c>
      <c r="G7277" s="4">
        <v>2166065</v>
      </c>
      <c r="H7277" s="4">
        <v>2166065</v>
      </c>
      <c r="I7277" s="4">
        <v>0</v>
      </c>
      <c r="J7277" s="4">
        <v>5036784</v>
      </c>
    </row>
    <row r="7278" spans="1:10" x14ac:dyDescent="0.75">
      <c r="A7278" t="s">
        <v>151</v>
      </c>
      <c r="B7278">
        <v>2253</v>
      </c>
      <c r="C7278" t="s">
        <v>153</v>
      </c>
      <c r="D7278">
        <v>3110</v>
      </c>
      <c r="E7278" t="s">
        <v>405</v>
      </c>
      <c r="F7278" s="4">
        <v>2575474</v>
      </c>
      <c r="G7278" s="4">
        <v>2109271</v>
      </c>
      <c r="H7278" s="4">
        <v>2109271</v>
      </c>
      <c r="I7278" s="4">
        <v>0</v>
      </c>
      <c r="J7278" s="4">
        <v>4684745</v>
      </c>
    </row>
    <row r="7279" spans="1:10" x14ac:dyDescent="0.75">
      <c r="A7279" t="s">
        <v>151</v>
      </c>
      <c r="B7279">
        <v>2253</v>
      </c>
      <c r="C7279" t="s">
        <v>153</v>
      </c>
      <c r="D7279">
        <v>2430</v>
      </c>
      <c r="E7279" t="s">
        <v>376</v>
      </c>
      <c r="F7279" s="4">
        <v>3167459</v>
      </c>
      <c r="G7279" s="4">
        <v>815125</v>
      </c>
      <c r="H7279" s="4">
        <v>14986</v>
      </c>
      <c r="I7279" s="4">
        <v>800139</v>
      </c>
      <c r="J7279" s="4">
        <v>3982584</v>
      </c>
    </row>
    <row r="7280" spans="1:10" x14ac:dyDescent="0.75">
      <c r="A7280" t="s">
        <v>151</v>
      </c>
      <c r="B7280">
        <v>2253</v>
      </c>
      <c r="C7280" t="s">
        <v>153</v>
      </c>
      <c r="D7280">
        <v>5312</v>
      </c>
      <c r="E7280" t="s">
        <v>416</v>
      </c>
      <c r="F7280" s="4">
        <v>2839630</v>
      </c>
      <c r="G7280" s="4">
        <v>1048963</v>
      </c>
      <c r="H7280" s="4">
        <v>996027</v>
      </c>
      <c r="I7280" s="4">
        <v>52936</v>
      </c>
      <c r="J7280" s="4">
        <v>3888593</v>
      </c>
    </row>
    <row r="7281" spans="1:10" x14ac:dyDescent="0.75">
      <c r="A7281" t="s">
        <v>151</v>
      </c>
      <c r="B7281">
        <v>2253</v>
      </c>
      <c r="C7281" t="s">
        <v>153</v>
      </c>
      <c r="D7281">
        <v>2540</v>
      </c>
      <c r="E7281" t="s">
        <v>377</v>
      </c>
      <c r="F7281" s="4">
        <v>2250018</v>
      </c>
      <c r="G7281" s="4">
        <v>1392107</v>
      </c>
      <c r="H7281" s="4">
        <v>122155</v>
      </c>
      <c r="I7281" s="4">
        <v>1269952</v>
      </c>
      <c r="J7281" s="4">
        <v>3642125</v>
      </c>
    </row>
    <row r="7282" spans="1:10" x14ac:dyDescent="0.75">
      <c r="A7282" t="s">
        <v>151</v>
      </c>
      <c r="B7282">
        <v>2253</v>
      </c>
      <c r="C7282" t="s">
        <v>153</v>
      </c>
      <c r="D7282">
        <v>6241</v>
      </c>
      <c r="E7282" t="s">
        <v>391</v>
      </c>
      <c r="F7282" s="4">
        <v>1707528</v>
      </c>
      <c r="G7282" s="4">
        <v>1562868</v>
      </c>
      <c r="H7282" s="4">
        <v>0</v>
      </c>
      <c r="I7282" s="4">
        <v>1562868</v>
      </c>
      <c r="J7282" s="4">
        <v>3270396</v>
      </c>
    </row>
    <row r="7283" spans="1:10" x14ac:dyDescent="0.75">
      <c r="A7283" t="s">
        <v>151</v>
      </c>
      <c r="B7283">
        <v>2253</v>
      </c>
      <c r="C7283" t="s">
        <v>153</v>
      </c>
      <c r="D7283">
        <v>3220</v>
      </c>
      <c r="E7283" t="s">
        <v>370</v>
      </c>
      <c r="F7283" s="4">
        <v>2172862</v>
      </c>
      <c r="G7283" s="4">
        <v>1067566</v>
      </c>
      <c r="H7283" s="4">
        <v>619935</v>
      </c>
      <c r="I7283" s="4">
        <v>447631</v>
      </c>
      <c r="J7283" s="4">
        <v>3240428</v>
      </c>
    </row>
    <row r="7284" spans="1:10" x14ac:dyDescent="0.75">
      <c r="A7284" t="s">
        <v>151</v>
      </c>
      <c r="B7284">
        <v>2253</v>
      </c>
      <c r="C7284" t="s">
        <v>153</v>
      </c>
      <c r="D7284">
        <v>3130</v>
      </c>
      <c r="E7284" t="s">
        <v>407</v>
      </c>
      <c r="F7284" s="4">
        <v>1601113</v>
      </c>
      <c r="G7284" s="4">
        <v>1452632</v>
      </c>
      <c r="H7284" s="4">
        <v>1452632</v>
      </c>
      <c r="I7284" s="4">
        <v>0</v>
      </c>
      <c r="J7284" s="4">
        <v>3053745</v>
      </c>
    </row>
    <row r="7285" spans="1:10" x14ac:dyDescent="0.75">
      <c r="A7285" t="s">
        <v>151</v>
      </c>
      <c r="B7285">
        <v>2253</v>
      </c>
      <c r="C7285" t="s">
        <v>153</v>
      </c>
      <c r="D7285">
        <v>6590</v>
      </c>
      <c r="E7285" t="s">
        <v>394</v>
      </c>
      <c r="F7285" s="4">
        <v>2897938</v>
      </c>
      <c r="G7285" s="4">
        <v>13662</v>
      </c>
      <c r="H7285" s="4">
        <v>3307</v>
      </c>
      <c r="I7285" s="4">
        <v>10355</v>
      </c>
      <c r="J7285" s="4">
        <v>2911600</v>
      </c>
    </row>
    <row r="7286" spans="1:10" x14ac:dyDescent="0.75">
      <c r="A7286" t="s">
        <v>151</v>
      </c>
      <c r="B7286">
        <v>2253</v>
      </c>
      <c r="C7286" t="s">
        <v>153</v>
      </c>
      <c r="D7286">
        <v>1200</v>
      </c>
      <c r="E7286" t="s">
        <v>402</v>
      </c>
      <c r="F7286" s="4">
        <v>2101998</v>
      </c>
      <c r="G7286" s="4">
        <v>272669</v>
      </c>
      <c r="H7286" s="4">
        <v>337</v>
      </c>
      <c r="I7286" s="4">
        <v>272332</v>
      </c>
      <c r="J7286" s="4">
        <v>2374667</v>
      </c>
    </row>
    <row r="7287" spans="1:10" x14ac:dyDescent="0.75">
      <c r="A7287" t="s">
        <v>151</v>
      </c>
      <c r="B7287">
        <v>2253</v>
      </c>
      <c r="C7287" t="s">
        <v>153</v>
      </c>
      <c r="D7287">
        <v>2429</v>
      </c>
      <c r="E7287" t="s">
        <v>375</v>
      </c>
      <c r="F7287" s="4">
        <v>1272978</v>
      </c>
      <c r="G7287" s="4">
        <v>742578</v>
      </c>
      <c r="H7287" s="4">
        <v>0</v>
      </c>
      <c r="I7287" s="4">
        <v>742578</v>
      </c>
      <c r="J7287" s="4">
        <v>2015556</v>
      </c>
    </row>
    <row r="7288" spans="1:10" x14ac:dyDescent="0.75">
      <c r="A7288" t="s">
        <v>151</v>
      </c>
      <c r="B7288">
        <v>2253</v>
      </c>
      <c r="C7288" t="s">
        <v>153</v>
      </c>
      <c r="D7288">
        <v>4327</v>
      </c>
      <c r="E7288" t="s">
        <v>454</v>
      </c>
      <c r="F7288" s="4">
        <v>5751</v>
      </c>
      <c r="G7288" s="4">
        <v>1542081</v>
      </c>
      <c r="H7288" s="4">
        <v>1542081</v>
      </c>
      <c r="I7288" s="4">
        <v>0</v>
      </c>
      <c r="J7288" s="4">
        <v>1547832</v>
      </c>
    </row>
    <row r="7289" spans="1:10" x14ac:dyDescent="0.75">
      <c r="A7289" t="s">
        <v>151</v>
      </c>
      <c r="B7289">
        <v>2253</v>
      </c>
      <c r="C7289" t="s">
        <v>153</v>
      </c>
      <c r="D7289">
        <v>4783</v>
      </c>
      <c r="E7289" t="s">
        <v>382</v>
      </c>
      <c r="F7289" s="4">
        <v>548271</v>
      </c>
      <c r="G7289" s="4">
        <v>999323</v>
      </c>
      <c r="H7289" s="4">
        <v>999323</v>
      </c>
      <c r="I7289" s="4">
        <v>0</v>
      </c>
      <c r="J7289" s="4">
        <v>1547594</v>
      </c>
    </row>
    <row r="7290" spans="1:10" x14ac:dyDescent="0.75">
      <c r="A7290" t="s">
        <v>151</v>
      </c>
      <c r="B7290">
        <v>2253</v>
      </c>
      <c r="C7290" t="s">
        <v>153</v>
      </c>
      <c r="D7290">
        <v>3274</v>
      </c>
      <c r="E7290" t="s">
        <v>438</v>
      </c>
      <c r="F7290" s="4">
        <v>1372542</v>
      </c>
      <c r="G7290" s="4">
        <v>14346</v>
      </c>
      <c r="H7290" s="4">
        <v>0</v>
      </c>
      <c r="I7290" s="4">
        <v>14346</v>
      </c>
      <c r="J7290" s="4">
        <v>1386888</v>
      </c>
    </row>
    <row r="7291" spans="1:10" x14ac:dyDescent="0.75">
      <c r="A7291" t="s">
        <v>151</v>
      </c>
      <c r="B7291">
        <v>2253</v>
      </c>
      <c r="C7291" t="s">
        <v>153</v>
      </c>
      <c r="D7291">
        <v>3212</v>
      </c>
      <c r="E7291" t="s">
        <v>409</v>
      </c>
      <c r="F7291" s="4">
        <v>1061830</v>
      </c>
      <c r="G7291" s="4">
        <v>212637</v>
      </c>
      <c r="H7291" s="4">
        <v>212637</v>
      </c>
      <c r="I7291" s="4">
        <v>0</v>
      </c>
      <c r="J7291" s="4">
        <v>1274467</v>
      </c>
    </row>
    <row r="7292" spans="1:10" x14ac:dyDescent="0.75">
      <c r="A7292" t="s">
        <v>151</v>
      </c>
      <c r="B7292">
        <v>2253</v>
      </c>
      <c r="C7292" t="s">
        <v>153</v>
      </c>
      <c r="D7292">
        <v>3275</v>
      </c>
      <c r="E7292" t="s">
        <v>412</v>
      </c>
      <c r="F7292" s="4">
        <v>928418</v>
      </c>
      <c r="G7292" s="4">
        <v>246797</v>
      </c>
      <c r="H7292" s="4">
        <v>166297</v>
      </c>
      <c r="I7292" s="4">
        <v>80500</v>
      </c>
      <c r="J7292" s="4">
        <v>1175215</v>
      </c>
    </row>
    <row r="7293" spans="1:10" x14ac:dyDescent="0.75">
      <c r="A7293" t="s">
        <v>151</v>
      </c>
      <c r="B7293">
        <v>2253</v>
      </c>
      <c r="C7293" t="s">
        <v>153</v>
      </c>
      <c r="D7293">
        <v>5220</v>
      </c>
      <c r="E7293" t="s">
        <v>401</v>
      </c>
      <c r="F7293" s="4">
        <v>643433</v>
      </c>
      <c r="G7293" s="4">
        <v>450196</v>
      </c>
      <c r="H7293" s="4">
        <v>450196</v>
      </c>
      <c r="I7293" s="4">
        <v>0</v>
      </c>
      <c r="J7293" s="4">
        <v>1093629</v>
      </c>
    </row>
    <row r="7294" spans="1:10" x14ac:dyDescent="0.75">
      <c r="A7294" t="s">
        <v>151</v>
      </c>
      <c r="B7294">
        <v>2253</v>
      </c>
      <c r="C7294" t="s">
        <v>153</v>
      </c>
      <c r="D7294">
        <v>4420</v>
      </c>
      <c r="E7294" t="s">
        <v>381</v>
      </c>
      <c r="F7294" s="4">
        <v>577238</v>
      </c>
      <c r="G7294" s="4">
        <v>434224</v>
      </c>
      <c r="H7294" s="4">
        <v>311185</v>
      </c>
      <c r="I7294" s="4">
        <v>123039</v>
      </c>
      <c r="J7294" s="4">
        <v>1011462</v>
      </c>
    </row>
    <row r="7295" spans="1:10" x14ac:dyDescent="0.75">
      <c r="A7295" t="s">
        <v>151</v>
      </c>
      <c r="B7295">
        <v>2253</v>
      </c>
      <c r="C7295" t="s">
        <v>153</v>
      </c>
      <c r="D7295">
        <v>6653</v>
      </c>
      <c r="E7295" t="s">
        <v>395</v>
      </c>
      <c r="F7295" s="4">
        <v>454897</v>
      </c>
      <c r="G7295" s="4">
        <v>424597</v>
      </c>
      <c r="H7295" s="4">
        <v>58091</v>
      </c>
      <c r="I7295" s="4">
        <v>366506</v>
      </c>
      <c r="J7295" s="4">
        <v>879494</v>
      </c>
    </row>
    <row r="7296" spans="1:10" x14ac:dyDescent="0.75">
      <c r="A7296" t="s">
        <v>151</v>
      </c>
      <c r="B7296">
        <v>2253</v>
      </c>
      <c r="C7296" t="s">
        <v>153</v>
      </c>
      <c r="D7296">
        <v>3276</v>
      </c>
      <c r="E7296" t="s">
        <v>379</v>
      </c>
      <c r="F7296" s="4">
        <v>425837</v>
      </c>
      <c r="G7296" s="4">
        <v>371533</v>
      </c>
      <c r="H7296" s="4">
        <v>371533</v>
      </c>
      <c r="I7296" s="4">
        <v>0</v>
      </c>
      <c r="J7296" s="4">
        <v>797370</v>
      </c>
    </row>
    <row r="7297" spans="1:10" x14ac:dyDescent="0.75">
      <c r="A7297" t="s">
        <v>151</v>
      </c>
      <c r="B7297">
        <v>2253</v>
      </c>
      <c r="C7297" t="s">
        <v>153</v>
      </c>
      <c r="D7297">
        <v>4900</v>
      </c>
      <c r="E7297" t="s">
        <v>383</v>
      </c>
      <c r="F7297" s="4">
        <v>376599</v>
      </c>
      <c r="G7297" s="4">
        <v>417853</v>
      </c>
      <c r="H7297" s="4">
        <v>281618</v>
      </c>
      <c r="I7297" s="4">
        <v>136235</v>
      </c>
      <c r="J7297" s="4">
        <v>794452</v>
      </c>
    </row>
    <row r="7298" spans="1:10" x14ac:dyDescent="0.75">
      <c r="A7298" t="s">
        <v>151</v>
      </c>
      <c r="B7298">
        <v>2253</v>
      </c>
      <c r="C7298" t="s">
        <v>153</v>
      </c>
      <c r="D7298">
        <v>3219</v>
      </c>
      <c r="E7298" t="s">
        <v>378</v>
      </c>
      <c r="F7298" s="4">
        <v>584188</v>
      </c>
      <c r="G7298" s="4">
        <v>162985</v>
      </c>
      <c r="H7298" s="4">
        <v>0</v>
      </c>
      <c r="I7298" s="4">
        <v>162985</v>
      </c>
      <c r="J7298" s="4">
        <v>747173</v>
      </c>
    </row>
    <row r="7299" spans="1:10" x14ac:dyDescent="0.75">
      <c r="A7299" t="s">
        <v>151</v>
      </c>
      <c r="B7299">
        <v>2253</v>
      </c>
      <c r="C7299" t="s">
        <v>153</v>
      </c>
      <c r="D7299">
        <v>6442</v>
      </c>
      <c r="E7299" t="s">
        <v>472</v>
      </c>
      <c r="F7299" s="4">
        <v>324803</v>
      </c>
      <c r="G7299" s="4">
        <v>353804</v>
      </c>
      <c r="H7299" s="4">
        <v>0</v>
      </c>
      <c r="I7299" s="4">
        <v>353804</v>
      </c>
      <c r="J7299" s="4">
        <v>678607</v>
      </c>
    </row>
    <row r="7300" spans="1:10" x14ac:dyDescent="0.75">
      <c r="A7300" t="s">
        <v>151</v>
      </c>
      <c r="B7300">
        <v>2253</v>
      </c>
      <c r="C7300" t="s">
        <v>153</v>
      </c>
      <c r="D7300">
        <v>3120</v>
      </c>
      <c r="E7300" t="s">
        <v>406</v>
      </c>
      <c r="F7300" s="4">
        <v>644963</v>
      </c>
      <c r="G7300" s="4">
        <v>0</v>
      </c>
      <c r="H7300" s="4">
        <v>0</v>
      </c>
      <c r="I7300" s="4">
        <v>0</v>
      </c>
      <c r="J7300" s="4">
        <v>644963</v>
      </c>
    </row>
    <row r="7301" spans="1:10" x14ac:dyDescent="0.75">
      <c r="A7301" t="s">
        <v>151</v>
      </c>
      <c r="B7301">
        <v>2253</v>
      </c>
      <c r="C7301" t="s">
        <v>153</v>
      </c>
      <c r="D7301">
        <v>4782</v>
      </c>
      <c r="E7301" t="s">
        <v>414</v>
      </c>
      <c r="F7301" s="4">
        <v>275933</v>
      </c>
      <c r="G7301" s="4">
        <v>368183</v>
      </c>
      <c r="H7301" s="4">
        <v>368183</v>
      </c>
      <c r="I7301" s="4">
        <v>0</v>
      </c>
      <c r="J7301" s="4">
        <v>644116</v>
      </c>
    </row>
    <row r="7302" spans="1:10" x14ac:dyDescent="0.75">
      <c r="A7302" t="s">
        <v>151</v>
      </c>
      <c r="B7302">
        <v>2253</v>
      </c>
      <c r="C7302" t="s">
        <v>153</v>
      </c>
      <c r="D7302">
        <v>4331</v>
      </c>
      <c r="E7302" t="s">
        <v>390</v>
      </c>
      <c r="F7302" s="4">
        <v>626943</v>
      </c>
      <c r="G7302" s="4">
        <v>10277</v>
      </c>
      <c r="H7302" s="4">
        <v>10277</v>
      </c>
      <c r="I7302" s="4">
        <v>0</v>
      </c>
      <c r="J7302" s="4">
        <v>637220</v>
      </c>
    </row>
    <row r="7303" spans="1:10" x14ac:dyDescent="0.75">
      <c r="A7303" t="s">
        <v>151</v>
      </c>
      <c r="B7303">
        <v>2253</v>
      </c>
      <c r="C7303" t="s">
        <v>153</v>
      </c>
      <c r="D7303">
        <v>3211</v>
      </c>
      <c r="E7303" t="s">
        <v>433</v>
      </c>
      <c r="F7303" s="4">
        <v>559621</v>
      </c>
      <c r="G7303" s="4">
        <v>56871</v>
      </c>
      <c r="H7303" s="4">
        <v>7464</v>
      </c>
      <c r="I7303" s="4">
        <v>49407</v>
      </c>
      <c r="J7303" s="4">
        <v>616492</v>
      </c>
    </row>
    <row r="7304" spans="1:10" x14ac:dyDescent="0.75">
      <c r="A7304" t="s">
        <v>151</v>
      </c>
      <c r="B7304">
        <v>2253</v>
      </c>
      <c r="C7304" t="s">
        <v>153</v>
      </c>
      <c r="D7304">
        <v>3273</v>
      </c>
      <c r="E7304" t="s">
        <v>411</v>
      </c>
      <c r="F7304" s="4">
        <v>250498</v>
      </c>
      <c r="G7304" s="4">
        <v>304687</v>
      </c>
      <c r="H7304" s="4">
        <v>304687</v>
      </c>
      <c r="I7304" s="4">
        <v>0</v>
      </c>
      <c r="J7304" s="4">
        <v>555185</v>
      </c>
    </row>
    <row r="7305" spans="1:10" x14ac:dyDescent="0.75">
      <c r="A7305" t="s">
        <v>151</v>
      </c>
      <c r="B7305">
        <v>2253</v>
      </c>
      <c r="C7305" t="s">
        <v>153</v>
      </c>
      <c r="D7305">
        <v>4322</v>
      </c>
      <c r="E7305" t="s">
        <v>398</v>
      </c>
      <c r="F7305" s="4">
        <v>260031</v>
      </c>
      <c r="G7305" s="4">
        <v>172454</v>
      </c>
      <c r="H7305" s="4">
        <v>172454</v>
      </c>
      <c r="I7305" s="4">
        <v>0</v>
      </c>
      <c r="J7305" s="4">
        <v>432485</v>
      </c>
    </row>
    <row r="7306" spans="1:10" x14ac:dyDescent="0.75">
      <c r="A7306" t="s">
        <v>151</v>
      </c>
      <c r="B7306">
        <v>2253</v>
      </c>
      <c r="C7306" t="s">
        <v>153</v>
      </c>
      <c r="D7306">
        <v>3299</v>
      </c>
      <c r="E7306" t="s">
        <v>448</v>
      </c>
      <c r="F7306" s="4">
        <v>250023</v>
      </c>
      <c r="G7306" s="4">
        <v>40031</v>
      </c>
      <c r="H7306" s="4">
        <v>38894</v>
      </c>
      <c r="I7306" s="4">
        <v>1137</v>
      </c>
      <c r="J7306" s="4">
        <v>290054</v>
      </c>
    </row>
    <row r="7307" spans="1:10" x14ac:dyDescent="0.75">
      <c r="A7307" t="s">
        <v>151</v>
      </c>
      <c r="B7307">
        <v>2253</v>
      </c>
      <c r="C7307" t="s">
        <v>153</v>
      </c>
      <c r="D7307">
        <v>3272</v>
      </c>
      <c r="E7307" t="s">
        <v>504</v>
      </c>
      <c r="F7307" s="4">
        <v>241757</v>
      </c>
      <c r="G7307" s="4">
        <v>0</v>
      </c>
      <c r="H7307" s="4">
        <v>0</v>
      </c>
      <c r="I7307" s="4">
        <v>0</v>
      </c>
      <c r="J7307" s="4">
        <v>241757</v>
      </c>
    </row>
    <row r="7308" spans="1:10" x14ac:dyDescent="0.75">
      <c r="A7308" t="s">
        <v>151</v>
      </c>
      <c r="B7308">
        <v>2253</v>
      </c>
      <c r="C7308" t="s">
        <v>153</v>
      </c>
      <c r="D7308">
        <v>6443</v>
      </c>
      <c r="E7308" t="s">
        <v>473</v>
      </c>
      <c r="F7308" s="4">
        <v>110241</v>
      </c>
      <c r="G7308" s="4">
        <v>121254</v>
      </c>
      <c r="H7308" s="4">
        <v>121254</v>
      </c>
      <c r="I7308" s="4">
        <v>0</v>
      </c>
      <c r="J7308" s="4">
        <v>231495</v>
      </c>
    </row>
    <row r="7309" spans="1:10" x14ac:dyDescent="0.75">
      <c r="A7309" t="s">
        <v>151</v>
      </c>
      <c r="B7309">
        <v>2253</v>
      </c>
      <c r="C7309" t="s">
        <v>153</v>
      </c>
      <c r="D7309">
        <v>2350</v>
      </c>
      <c r="E7309" t="s">
        <v>404</v>
      </c>
      <c r="F7309" s="4">
        <v>22733</v>
      </c>
      <c r="G7309" s="4">
        <v>172869</v>
      </c>
      <c r="H7309" s="4">
        <v>16196</v>
      </c>
      <c r="I7309" s="4">
        <v>156673</v>
      </c>
      <c r="J7309" s="4">
        <v>195602</v>
      </c>
    </row>
    <row r="7310" spans="1:10" x14ac:dyDescent="0.75">
      <c r="A7310" t="s">
        <v>151</v>
      </c>
      <c r="B7310">
        <v>2253</v>
      </c>
      <c r="C7310" t="s">
        <v>153</v>
      </c>
      <c r="D7310">
        <v>6865</v>
      </c>
      <c r="E7310" t="s">
        <v>490</v>
      </c>
      <c r="F7310" s="4">
        <v>175262</v>
      </c>
      <c r="G7310" s="4">
        <v>0</v>
      </c>
      <c r="H7310" s="4">
        <v>0</v>
      </c>
      <c r="I7310" s="4">
        <v>0</v>
      </c>
      <c r="J7310" s="4">
        <v>175262</v>
      </c>
    </row>
    <row r="7311" spans="1:10" x14ac:dyDescent="0.75">
      <c r="A7311" t="s">
        <v>151</v>
      </c>
      <c r="B7311">
        <v>2253</v>
      </c>
      <c r="C7311" t="s">
        <v>153</v>
      </c>
      <c r="D7311">
        <v>2221</v>
      </c>
      <c r="E7311" t="s">
        <v>374</v>
      </c>
      <c r="F7311" s="4">
        <v>117695</v>
      </c>
      <c r="G7311" s="4">
        <v>51755</v>
      </c>
      <c r="H7311" s="4">
        <v>0</v>
      </c>
      <c r="I7311" s="4">
        <v>51755</v>
      </c>
      <c r="J7311" s="4">
        <v>169450</v>
      </c>
    </row>
    <row r="7312" spans="1:10" x14ac:dyDescent="0.75">
      <c r="A7312" t="s">
        <v>151</v>
      </c>
      <c r="B7312">
        <v>2253</v>
      </c>
      <c r="C7312" t="s">
        <v>153</v>
      </c>
      <c r="D7312">
        <v>6447</v>
      </c>
      <c r="E7312" t="s">
        <v>475</v>
      </c>
      <c r="F7312" s="4">
        <v>107151</v>
      </c>
      <c r="G7312" s="4">
        <v>35506</v>
      </c>
      <c r="H7312" s="4">
        <v>0</v>
      </c>
      <c r="I7312" s="4">
        <v>35506</v>
      </c>
      <c r="J7312" s="4">
        <v>142657</v>
      </c>
    </row>
    <row r="7313" spans="1:10" x14ac:dyDescent="0.75">
      <c r="A7313" t="s">
        <v>151</v>
      </c>
      <c r="B7313">
        <v>2253</v>
      </c>
      <c r="C7313" t="s">
        <v>153</v>
      </c>
      <c r="D7313">
        <v>2640</v>
      </c>
      <c r="E7313" t="s">
        <v>431</v>
      </c>
      <c r="F7313" s="4">
        <v>122582</v>
      </c>
      <c r="G7313" s="4">
        <v>17938</v>
      </c>
      <c r="H7313" s="4">
        <v>0</v>
      </c>
      <c r="I7313" s="4">
        <v>17938</v>
      </c>
      <c r="J7313" s="4">
        <v>140520</v>
      </c>
    </row>
    <row r="7314" spans="1:10" x14ac:dyDescent="0.75">
      <c r="A7314" t="s">
        <v>151</v>
      </c>
      <c r="B7314">
        <v>2253</v>
      </c>
      <c r="C7314" t="s">
        <v>153</v>
      </c>
      <c r="D7314">
        <v>3240</v>
      </c>
      <c r="E7314" t="s">
        <v>410</v>
      </c>
      <c r="F7314" s="4">
        <v>1523</v>
      </c>
      <c r="G7314" s="4">
        <v>116709</v>
      </c>
      <c r="H7314" s="4">
        <v>79661</v>
      </c>
      <c r="I7314" s="4">
        <v>37048</v>
      </c>
      <c r="J7314" s="4">
        <v>118232</v>
      </c>
    </row>
    <row r="7315" spans="1:10" x14ac:dyDescent="0.75">
      <c r="A7315" t="s">
        <v>151</v>
      </c>
      <c r="B7315">
        <v>2253</v>
      </c>
      <c r="C7315" t="s">
        <v>153</v>
      </c>
      <c r="D7315">
        <v>4860</v>
      </c>
      <c r="E7315" t="s">
        <v>400</v>
      </c>
      <c r="F7315" s="4">
        <v>49137</v>
      </c>
      <c r="G7315" s="4">
        <v>60847</v>
      </c>
      <c r="H7315" s="4">
        <v>60847</v>
      </c>
      <c r="I7315" s="4">
        <v>0</v>
      </c>
      <c r="J7315" s="4">
        <v>109984</v>
      </c>
    </row>
    <row r="7316" spans="1:10" x14ac:dyDescent="0.75">
      <c r="A7316" t="s">
        <v>151</v>
      </c>
      <c r="B7316">
        <v>2253</v>
      </c>
      <c r="C7316" t="s">
        <v>153</v>
      </c>
      <c r="D7316">
        <v>3279</v>
      </c>
      <c r="E7316" t="s">
        <v>422</v>
      </c>
      <c r="F7316" s="4">
        <v>9222</v>
      </c>
      <c r="G7316" s="4">
        <v>85112</v>
      </c>
      <c r="H7316" s="4">
        <v>85112</v>
      </c>
      <c r="I7316" s="4">
        <v>0</v>
      </c>
      <c r="J7316" s="4">
        <v>94334</v>
      </c>
    </row>
    <row r="7317" spans="1:10" x14ac:dyDescent="0.75">
      <c r="A7317" t="s">
        <v>151</v>
      </c>
      <c r="B7317">
        <v>2253</v>
      </c>
      <c r="C7317" t="s">
        <v>153</v>
      </c>
      <c r="D7317">
        <v>5290</v>
      </c>
      <c r="E7317" t="s">
        <v>415</v>
      </c>
      <c r="F7317" s="4">
        <v>17503</v>
      </c>
      <c r="G7317" s="4">
        <v>73611</v>
      </c>
      <c r="H7317" s="4">
        <v>4721</v>
      </c>
      <c r="I7317" s="4">
        <v>68890</v>
      </c>
      <c r="J7317" s="4">
        <v>91114</v>
      </c>
    </row>
    <row r="7318" spans="1:10" x14ac:dyDescent="0.75">
      <c r="A7318" t="s">
        <v>151</v>
      </c>
      <c r="B7318">
        <v>2253</v>
      </c>
      <c r="C7318" t="s">
        <v>153</v>
      </c>
      <c r="D7318">
        <v>4690</v>
      </c>
      <c r="E7318" t="s">
        <v>428</v>
      </c>
      <c r="F7318" s="4">
        <v>70175</v>
      </c>
      <c r="G7318" s="4">
        <v>17702</v>
      </c>
      <c r="H7318" s="4">
        <v>17702</v>
      </c>
      <c r="I7318" s="4">
        <v>0</v>
      </c>
      <c r="J7318" s="4">
        <v>87877</v>
      </c>
    </row>
    <row r="7319" spans="1:10" x14ac:dyDescent="0.75">
      <c r="A7319" t="s">
        <v>151</v>
      </c>
      <c r="B7319">
        <v>2253</v>
      </c>
      <c r="C7319" t="s">
        <v>153</v>
      </c>
      <c r="D7319">
        <v>5315</v>
      </c>
      <c r="E7319" t="s">
        <v>417</v>
      </c>
      <c r="F7319" s="4">
        <v>37710</v>
      </c>
      <c r="G7319" s="4">
        <v>35898</v>
      </c>
      <c r="H7319" s="4">
        <v>35898</v>
      </c>
      <c r="I7319" s="4">
        <v>0</v>
      </c>
      <c r="J7319" s="4">
        <v>73608</v>
      </c>
    </row>
    <row r="7320" spans="1:10" x14ac:dyDescent="0.75">
      <c r="A7320" t="s">
        <v>151</v>
      </c>
      <c r="B7320">
        <v>2253</v>
      </c>
      <c r="C7320" t="s">
        <v>153</v>
      </c>
      <c r="D7320">
        <v>6654</v>
      </c>
      <c r="E7320" t="s">
        <v>419</v>
      </c>
      <c r="F7320" s="4">
        <v>63227</v>
      </c>
      <c r="G7320" s="4">
        <v>6650</v>
      </c>
      <c r="H7320" s="4">
        <v>36</v>
      </c>
      <c r="I7320" s="4">
        <v>6614</v>
      </c>
      <c r="J7320" s="4">
        <v>69877</v>
      </c>
    </row>
    <row r="7321" spans="1:10" x14ac:dyDescent="0.75">
      <c r="A7321" t="s">
        <v>151</v>
      </c>
      <c r="B7321">
        <v>2253</v>
      </c>
      <c r="C7321" t="s">
        <v>153</v>
      </c>
      <c r="D7321">
        <v>5330</v>
      </c>
      <c r="E7321" t="s">
        <v>385</v>
      </c>
      <c r="F7321" s="4">
        <v>41856</v>
      </c>
      <c r="G7321" s="4">
        <v>25147</v>
      </c>
      <c r="H7321" s="4">
        <v>25147</v>
      </c>
      <c r="I7321" s="4">
        <v>0</v>
      </c>
      <c r="J7321" s="4">
        <v>67003</v>
      </c>
    </row>
    <row r="7322" spans="1:10" x14ac:dyDescent="0.75">
      <c r="A7322" t="s">
        <v>151</v>
      </c>
      <c r="B7322">
        <v>2253</v>
      </c>
      <c r="C7322" t="s">
        <v>153</v>
      </c>
      <c r="D7322">
        <v>3230</v>
      </c>
      <c r="E7322" t="s">
        <v>434</v>
      </c>
      <c r="F7322" s="4">
        <v>56452</v>
      </c>
      <c r="G7322" s="4">
        <v>10307</v>
      </c>
      <c r="H7322" s="4">
        <v>2870</v>
      </c>
      <c r="I7322" s="4">
        <v>7437</v>
      </c>
      <c r="J7322" s="4">
        <v>66759</v>
      </c>
    </row>
    <row r="7323" spans="1:10" x14ac:dyDescent="0.75">
      <c r="A7323" t="s">
        <v>151</v>
      </c>
      <c r="B7323">
        <v>2253</v>
      </c>
      <c r="C7323" t="s">
        <v>153</v>
      </c>
      <c r="D7323">
        <v>6747</v>
      </c>
      <c r="E7323" t="s">
        <v>478</v>
      </c>
      <c r="F7323" s="4">
        <v>62578</v>
      </c>
      <c r="G7323" s="4">
        <v>0</v>
      </c>
      <c r="H7323" s="4">
        <v>0</v>
      </c>
      <c r="I7323" s="4">
        <v>0</v>
      </c>
      <c r="J7323" s="4">
        <v>62578</v>
      </c>
    </row>
    <row r="7324" spans="1:10" x14ac:dyDescent="0.75">
      <c r="A7324" t="s">
        <v>151</v>
      </c>
      <c r="B7324">
        <v>2253</v>
      </c>
      <c r="C7324" t="s">
        <v>153</v>
      </c>
      <c r="D7324">
        <v>9900</v>
      </c>
      <c r="E7324" t="s">
        <v>389</v>
      </c>
      <c r="F7324" s="4">
        <v>0</v>
      </c>
      <c r="G7324" s="4">
        <v>60319</v>
      </c>
      <c r="H7324" s="4">
        <v>57772</v>
      </c>
      <c r="I7324" s="4">
        <v>2547</v>
      </c>
      <c r="J7324" s="4">
        <v>60319</v>
      </c>
    </row>
    <row r="7325" spans="1:10" x14ac:dyDescent="0.75">
      <c r="A7325" t="s">
        <v>151</v>
      </c>
      <c r="B7325">
        <v>2253</v>
      </c>
      <c r="C7325" t="s">
        <v>153</v>
      </c>
      <c r="D7325">
        <v>5480</v>
      </c>
      <c r="E7325" t="s">
        <v>386</v>
      </c>
      <c r="F7325" s="4">
        <v>0</v>
      </c>
      <c r="G7325" s="4">
        <v>58936</v>
      </c>
      <c r="H7325" s="4">
        <v>58909</v>
      </c>
      <c r="I7325" s="4">
        <v>27</v>
      </c>
      <c r="J7325" s="4">
        <v>58936</v>
      </c>
    </row>
    <row r="7326" spans="1:10" x14ac:dyDescent="0.75">
      <c r="A7326" t="s">
        <v>151</v>
      </c>
      <c r="B7326">
        <v>2253</v>
      </c>
      <c r="C7326" t="s">
        <v>153</v>
      </c>
      <c r="D7326">
        <v>3286</v>
      </c>
      <c r="E7326" t="s">
        <v>423</v>
      </c>
      <c r="F7326" s="4">
        <v>0</v>
      </c>
      <c r="G7326" s="4">
        <v>39799</v>
      </c>
      <c r="H7326" s="4">
        <v>12163</v>
      </c>
      <c r="I7326" s="4">
        <v>27636</v>
      </c>
      <c r="J7326" s="4">
        <v>39799</v>
      </c>
    </row>
    <row r="7327" spans="1:10" x14ac:dyDescent="0.75">
      <c r="A7327" t="s">
        <v>151</v>
      </c>
      <c r="B7327">
        <v>2253</v>
      </c>
      <c r="C7327" t="s">
        <v>153</v>
      </c>
      <c r="D7327">
        <v>3292</v>
      </c>
      <c r="E7327" t="s">
        <v>413</v>
      </c>
      <c r="F7327" s="4">
        <v>0</v>
      </c>
      <c r="G7327" s="4">
        <v>30423</v>
      </c>
      <c r="H7327" s="4">
        <v>110</v>
      </c>
      <c r="I7327" s="4">
        <v>30313</v>
      </c>
      <c r="J7327" s="4">
        <v>30423</v>
      </c>
    </row>
    <row r="7328" spans="1:10" x14ac:dyDescent="0.75">
      <c r="A7328" t="s">
        <v>151</v>
      </c>
      <c r="B7328">
        <v>2253</v>
      </c>
      <c r="C7328" t="s">
        <v>153</v>
      </c>
      <c r="D7328">
        <v>2990</v>
      </c>
      <c r="E7328" t="s">
        <v>432</v>
      </c>
      <c r="F7328" s="4">
        <v>22955</v>
      </c>
      <c r="G7328" s="4">
        <v>5842</v>
      </c>
      <c r="H7328" s="4">
        <v>2979</v>
      </c>
      <c r="I7328" s="4">
        <v>2863</v>
      </c>
      <c r="J7328" s="4">
        <v>28797</v>
      </c>
    </row>
    <row r="7329" spans="1:10" x14ac:dyDescent="0.75">
      <c r="A7329" t="s">
        <v>151</v>
      </c>
      <c r="B7329">
        <v>2253</v>
      </c>
      <c r="C7329" t="s">
        <v>153</v>
      </c>
      <c r="D7329">
        <v>3271</v>
      </c>
      <c r="E7329" t="s">
        <v>437</v>
      </c>
      <c r="F7329" s="4">
        <v>20944</v>
      </c>
      <c r="G7329" s="4">
        <v>0</v>
      </c>
      <c r="H7329" s="4">
        <v>0</v>
      </c>
      <c r="I7329" s="4">
        <v>0</v>
      </c>
      <c r="J7329" s="4">
        <v>20944</v>
      </c>
    </row>
    <row r="7330" spans="1:10" x14ac:dyDescent="0.75">
      <c r="A7330" t="s">
        <v>151</v>
      </c>
      <c r="B7330">
        <v>2253</v>
      </c>
      <c r="C7330" t="s">
        <v>153</v>
      </c>
      <c r="D7330">
        <v>4335</v>
      </c>
      <c r="E7330" t="s">
        <v>372</v>
      </c>
      <c r="F7330" s="4">
        <v>20120</v>
      </c>
      <c r="G7330" s="4">
        <v>0</v>
      </c>
      <c r="H7330" s="4">
        <v>0</v>
      </c>
      <c r="I7330" s="4">
        <v>0</v>
      </c>
      <c r="J7330" s="4">
        <v>20120</v>
      </c>
    </row>
    <row r="7331" spans="1:10" x14ac:dyDescent="0.75">
      <c r="A7331" t="s">
        <v>151</v>
      </c>
      <c r="B7331">
        <v>2253</v>
      </c>
      <c r="C7331" t="s">
        <v>153</v>
      </c>
      <c r="D7331">
        <v>4741</v>
      </c>
      <c r="E7331" t="s">
        <v>425</v>
      </c>
      <c r="F7331" s="4">
        <v>0</v>
      </c>
      <c r="G7331" s="4">
        <v>18739</v>
      </c>
      <c r="H7331" s="4">
        <v>0</v>
      </c>
      <c r="I7331" s="4">
        <v>18739</v>
      </c>
      <c r="J7331" s="4">
        <v>18739</v>
      </c>
    </row>
    <row r="7332" spans="1:10" x14ac:dyDescent="0.75">
      <c r="A7332" t="s">
        <v>151</v>
      </c>
      <c r="B7332">
        <v>2253</v>
      </c>
      <c r="C7332" t="s">
        <v>153</v>
      </c>
      <c r="D7332">
        <v>7120</v>
      </c>
      <c r="E7332" t="s">
        <v>499</v>
      </c>
      <c r="F7332" s="4">
        <v>0</v>
      </c>
      <c r="G7332" s="4">
        <v>13756</v>
      </c>
      <c r="H7332" s="4">
        <v>13752</v>
      </c>
      <c r="I7332" s="4">
        <v>4</v>
      </c>
      <c r="J7332" s="4">
        <v>13756</v>
      </c>
    </row>
    <row r="7333" spans="1:10" x14ac:dyDescent="0.75">
      <c r="A7333" t="s">
        <v>151</v>
      </c>
      <c r="B7333">
        <v>2253</v>
      </c>
      <c r="C7333" t="s">
        <v>153</v>
      </c>
      <c r="D7333">
        <v>4680</v>
      </c>
      <c r="E7333" t="s">
        <v>459</v>
      </c>
      <c r="F7333" s="4">
        <v>13009</v>
      </c>
      <c r="G7333" s="4">
        <v>0</v>
      </c>
      <c r="H7333" s="4">
        <v>0</v>
      </c>
      <c r="I7333" s="4">
        <v>0</v>
      </c>
      <c r="J7333" s="4">
        <v>13009</v>
      </c>
    </row>
    <row r="7334" spans="1:10" x14ac:dyDescent="0.75">
      <c r="A7334" t="s">
        <v>151</v>
      </c>
      <c r="B7334">
        <v>2253</v>
      </c>
      <c r="C7334" t="s">
        <v>153</v>
      </c>
      <c r="D7334">
        <v>6861</v>
      </c>
      <c r="E7334" t="s">
        <v>489</v>
      </c>
      <c r="F7334" s="4">
        <v>12784</v>
      </c>
      <c r="G7334" s="4">
        <v>0</v>
      </c>
      <c r="H7334" s="4">
        <v>0</v>
      </c>
      <c r="I7334" s="4">
        <v>0</v>
      </c>
      <c r="J7334" s="4">
        <v>12784</v>
      </c>
    </row>
    <row r="7335" spans="1:10" x14ac:dyDescent="0.75">
      <c r="A7335" t="s">
        <v>151</v>
      </c>
      <c r="B7335">
        <v>2253</v>
      </c>
      <c r="C7335" t="s">
        <v>153</v>
      </c>
      <c r="D7335">
        <v>6838</v>
      </c>
      <c r="E7335" t="s">
        <v>484</v>
      </c>
      <c r="F7335" s="4">
        <v>0</v>
      </c>
      <c r="G7335" s="4">
        <v>12548</v>
      </c>
      <c r="H7335" s="4">
        <v>5236</v>
      </c>
      <c r="I7335" s="4">
        <v>7312</v>
      </c>
      <c r="J7335" s="4">
        <v>12548</v>
      </c>
    </row>
    <row r="7336" spans="1:10" x14ac:dyDescent="0.75">
      <c r="A7336" t="s">
        <v>151</v>
      </c>
      <c r="B7336">
        <v>2253</v>
      </c>
      <c r="C7336" t="s">
        <v>153</v>
      </c>
      <c r="D7336">
        <v>5429</v>
      </c>
      <c r="E7336" t="s">
        <v>429</v>
      </c>
      <c r="F7336" s="4">
        <v>3121</v>
      </c>
      <c r="G7336" s="4">
        <v>8460</v>
      </c>
      <c r="H7336" s="4">
        <v>8460</v>
      </c>
      <c r="I7336" s="4">
        <v>0</v>
      </c>
      <c r="J7336" s="4">
        <v>11581</v>
      </c>
    </row>
    <row r="7337" spans="1:10" x14ac:dyDescent="0.75">
      <c r="A7337" t="s">
        <v>151</v>
      </c>
      <c r="B7337">
        <v>2253</v>
      </c>
      <c r="C7337" t="s">
        <v>153</v>
      </c>
      <c r="D7337">
        <v>7600</v>
      </c>
      <c r="E7337" t="s">
        <v>503</v>
      </c>
      <c r="F7337" s="4">
        <v>1546</v>
      </c>
      <c r="G7337" s="4">
        <v>8729</v>
      </c>
      <c r="H7337" s="4">
        <v>1444</v>
      </c>
      <c r="I7337" s="4">
        <v>7285</v>
      </c>
      <c r="J7337" s="4">
        <v>10275</v>
      </c>
    </row>
    <row r="7338" spans="1:10" x14ac:dyDescent="0.75">
      <c r="A7338" t="s">
        <v>151</v>
      </c>
      <c r="B7338">
        <v>2253</v>
      </c>
      <c r="C7338" t="s">
        <v>153</v>
      </c>
      <c r="D7338">
        <v>5360</v>
      </c>
      <c r="E7338" t="s">
        <v>465</v>
      </c>
      <c r="F7338" s="4">
        <v>9033</v>
      </c>
      <c r="G7338" s="4">
        <v>15</v>
      </c>
      <c r="H7338" s="4">
        <v>0</v>
      </c>
      <c r="I7338" s="4">
        <v>15</v>
      </c>
      <c r="J7338" s="4">
        <v>9048</v>
      </c>
    </row>
    <row r="7339" spans="1:10" x14ac:dyDescent="0.75">
      <c r="A7339" t="s">
        <v>151</v>
      </c>
      <c r="B7339">
        <v>2253</v>
      </c>
      <c r="C7339" t="s">
        <v>153</v>
      </c>
      <c r="D7339">
        <v>4323</v>
      </c>
      <c r="E7339" t="s">
        <v>373</v>
      </c>
      <c r="F7339" s="4">
        <v>1538</v>
      </c>
      <c r="G7339" s="4">
        <v>4643</v>
      </c>
      <c r="H7339" s="4">
        <v>4643</v>
      </c>
      <c r="I7339" s="4">
        <v>0</v>
      </c>
      <c r="J7339" s="4">
        <v>6181</v>
      </c>
    </row>
    <row r="7340" spans="1:10" x14ac:dyDescent="0.75">
      <c r="A7340" t="s">
        <v>151</v>
      </c>
      <c r="B7340">
        <v>2253</v>
      </c>
      <c r="C7340" t="s">
        <v>153</v>
      </c>
      <c r="D7340">
        <v>4670</v>
      </c>
      <c r="E7340" t="s">
        <v>458</v>
      </c>
      <c r="F7340" s="4">
        <v>6168</v>
      </c>
      <c r="G7340" s="4">
        <v>0</v>
      </c>
      <c r="H7340" s="4">
        <v>0</v>
      </c>
      <c r="I7340" s="4">
        <v>0</v>
      </c>
      <c r="J7340" s="4">
        <v>6168</v>
      </c>
    </row>
    <row r="7341" spans="1:10" x14ac:dyDescent="0.75">
      <c r="A7341" t="s">
        <v>151</v>
      </c>
      <c r="B7341">
        <v>2253</v>
      </c>
      <c r="C7341" t="s">
        <v>153</v>
      </c>
      <c r="D7341">
        <v>3260</v>
      </c>
      <c r="E7341" t="s">
        <v>436</v>
      </c>
      <c r="F7341" s="4">
        <v>0</v>
      </c>
      <c r="G7341" s="4">
        <v>4743</v>
      </c>
      <c r="H7341" s="4">
        <v>596</v>
      </c>
      <c r="I7341" s="4">
        <v>4147</v>
      </c>
      <c r="J7341" s="4">
        <v>4743</v>
      </c>
    </row>
    <row r="7342" spans="1:10" x14ac:dyDescent="0.75">
      <c r="A7342" t="s">
        <v>151</v>
      </c>
      <c r="B7342">
        <v>2253</v>
      </c>
      <c r="C7342" t="s">
        <v>153</v>
      </c>
      <c r="D7342">
        <v>7900</v>
      </c>
      <c r="E7342" t="s">
        <v>388</v>
      </c>
      <c r="F7342" s="4">
        <v>0</v>
      </c>
      <c r="G7342" s="4">
        <v>4594</v>
      </c>
      <c r="H7342" s="4">
        <v>4497</v>
      </c>
      <c r="I7342" s="4">
        <v>97</v>
      </c>
      <c r="J7342" s="4">
        <v>4594</v>
      </c>
    </row>
    <row r="7343" spans="1:10" x14ac:dyDescent="0.75">
      <c r="A7343" t="s">
        <v>151</v>
      </c>
      <c r="B7343">
        <v>2253</v>
      </c>
      <c r="C7343" t="s">
        <v>153</v>
      </c>
      <c r="D7343">
        <v>6889</v>
      </c>
      <c r="E7343" t="s">
        <v>420</v>
      </c>
      <c r="F7343" s="4">
        <v>0</v>
      </c>
      <c r="G7343" s="4">
        <v>4497</v>
      </c>
      <c r="H7343" s="4">
        <v>4497</v>
      </c>
      <c r="I7343" s="4">
        <v>0</v>
      </c>
      <c r="J7343" s="4">
        <v>4497</v>
      </c>
    </row>
    <row r="7344" spans="1:10" x14ac:dyDescent="0.75">
      <c r="A7344" t="s">
        <v>151</v>
      </c>
      <c r="B7344">
        <v>2253</v>
      </c>
      <c r="C7344" t="s">
        <v>153</v>
      </c>
      <c r="D7344">
        <v>4630</v>
      </c>
      <c r="E7344" t="s">
        <v>456</v>
      </c>
      <c r="F7344" s="4">
        <v>3975</v>
      </c>
      <c r="G7344" s="4">
        <v>0</v>
      </c>
      <c r="H7344" s="4">
        <v>0</v>
      </c>
      <c r="I7344" s="4">
        <v>0</v>
      </c>
      <c r="J7344" s="4">
        <v>3975</v>
      </c>
    </row>
    <row r="7345" spans="1:10" x14ac:dyDescent="0.75">
      <c r="A7345" t="s">
        <v>151</v>
      </c>
      <c r="B7345">
        <v>2253</v>
      </c>
      <c r="C7345" t="s">
        <v>153</v>
      </c>
      <c r="D7345">
        <v>5422</v>
      </c>
      <c r="E7345" t="s">
        <v>468</v>
      </c>
      <c r="F7345" s="4">
        <v>3561</v>
      </c>
      <c r="G7345" s="4">
        <v>4</v>
      </c>
      <c r="H7345" s="4">
        <v>0</v>
      </c>
      <c r="I7345" s="4">
        <v>4</v>
      </c>
      <c r="J7345" s="4">
        <v>3565</v>
      </c>
    </row>
    <row r="7346" spans="1:10" x14ac:dyDescent="0.75">
      <c r="A7346" t="s">
        <v>151</v>
      </c>
      <c r="B7346">
        <v>2253</v>
      </c>
      <c r="C7346" t="s">
        <v>153</v>
      </c>
      <c r="D7346">
        <v>3298</v>
      </c>
      <c r="E7346" t="s">
        <v>447</v>
      </c>
      <c r="F7346" s="4">
        <v>0</v>
      </c>
      <c r="G7346" s="4">
        <v>3320</v>
      </c>
      <c r="H7346" s="4">
        <v>0</v>
      </c>
      <c r="I7346" s="4">
        <v>3320</v>
      </c>
      <c r="J7346" s="4">
        <v>3320</v>
      </c>
    </row>
    <row r="7347" spans="1:10" x14ac:dyDescent="0.75">
      <c r="A7347" t="s">
        <v>151</v>
      </c>
      <c r="B7347">
        <v>2253</v>
      </c>
      <c r="C7347" t="s">
        <v>153</v>
      </c>
      <c r="D7347">
        <v>5240</v>
      </c>
      <c r="E7347" t="s">
        <v>464</v>
      </c>
      <c r="F7347" s="4">
        <v>0</v>
      </c>
      <c r="G7347" s="4">
        <v>3307</v>
      </c>
      <c r="H7347" s="4">
        <v>3307</v>
      </c>
      <c r="I7347" s="4">
        <v>0</v>
      </c>
      <c r="J7347" s="4">
        <v>3307</v>
      </c>
    </row>
    <row r="7348" spans="1:10" x14ac:dyDescent="0.75">
      <c r="A7348" t="s">
        <v>151</v>
      </c>
      <c r="B7348">
        <v>2253</v>
      </c>
      <c r="C7348" t="s">
        <v>153</v>
      </c>
      <c r="D7348">
        <v>7500</v>
      </c>
      <c r="E7348" t="s">
        <v>427</v>
      </c>
      <c r="F7348" s="4">
        <v>0</v>
      </c>
      <c r="G7348" s="4">
        <v>3234</v>
      </c>
      <c r="H7348" s="4">
        <v>2864</v>
      </c>
      <c r="I7348" s="4">
        <v>370</v>
      </c>
      <c r="J7348" s="4">
        <v>3234</v>
      </c>
    </row>
    <row r="7349" spans="1:10" x14ac:dyDescent="0.75">
      <c r="A7349" t="s">
        <v>151</v>
      </c>
      <c r="B7349">
        <v>2253</v>
      </c>
      <c r="C7349" t="s">
        <v>153</v>
      </c>
      <c r="D7349">
        <v>5190</v>
      </c>
      <c r="E7349" t="s">
        <v>462</v>
      </c>
      <c r="F7349" s="4">
        <v>0</v>
      </c>
      <c r="G7349" s="4">
        <v>2766</v>
      </c>
      <c r="H7349" s="4">
        <v>2766</v>
      </c>
      <c r="I7349" s="4">
        <v>0</v>
      </c>
      <c r="J7349" s="4">
        <v>2766</v>
      </c>
    </row>
    <row r="7350" spans="1:10" x14ac:dyDescent="0.75">
      <c r="A7350" t="s">
        <v>151</v>
      </c>
      <c r="B7350">
        <v>2253</v>
      </c>
      <c r="C7350" t="s">
        <v>153</v>
      </c>
      <c r="D7350">
        <v>3297</v>
      </c>
      <c r="E7350" t="s">
        <v>446</v>
      </c>
      <c r="F7350" s="4">
        <v>0</v>
      </c>
      <c r="G7350" s="4">
        <v>1937</v>
      </c>
      <c r="H7350" s="4">
        <v>607</v>
      </c>
      <c r="I7350" s="4">
        <v>1330</v>
      </c>
      <c r="J7350" s="4">
        <v>1937</v>
      </c>
    </row>
    <row r="7351" spans="1:10" x14ac:dyDescent="0.75">
      <c r="A7351" t="s">
        <v>151</v>
      </c>
      <c r="B7351">
        <v>2253</v>
      </c>
      <c r="C7351" t="s">
        <v>153</v>
      </c>
      <c r="D7351">
        <v>6857</v>
      </c>
      <c r="E7351" t="s">
        <v>487</v>
      </c>
      <c r="F7351" s="4">
        <v>1500</v>
      </c>
      <c r="G7351" s="4">
        <v>0</v>
      </c>
      <c r="H7351" s="4">
        <v>0</v>
      </c>
      <c r="I7351" s="4">
        <v>0</v>
      </c>
      <c r="J7351" s="4">
        <v>1500</v>
      </c>
    </row>
    <row r="7352" spans="1:10" x14ac:dyDescent="0.75">
      <c r="A7352" t="s">
        <v>151</v>
      </c>
      <c r="B7352">
        <v>2253</v>
      </c>
      <c r="C7352" t="s">
        <v>153</v>
      </c>
      <c r="D7352">
        <v>5390</v>
      </c>
      <c r="E7352" t="s">
        <v>418</v>
      </c>
      <c r="F7352" s="4">
        <v>1448</v>
      </c>
      <c r="G7352" s="4">
        <v>0</v>
      </c>
      <c r="H7352" s="4">
        <v>0</v>
      </c>
      <c r="I7352" s="4">
        <v>0</v>
      </c>
      <c r="J7352" s="4">
        <v>1448</v>
      </c>
    </row>
    <row r="7353" spans="1:10" x14ac:dyDescent="0.75">
      <c r="A7353" t="s">
        <v>151</v>
      </c>
      <c r="B7353">
        <v>2253</v>
      </c>
      <c r="C7353" t="s">
        <v>153</v>
      </c>
      <c r="D7353">
        <v>7110</v>
      </c>
      <c r="E7353" t="s">
        <v>371</v>
      </c>
      <c r="F7353" s="4">
        <v>750</v>
      </c>
      <c r="G7353" s="4">
        <v>62</v>
      </c>
      <c r="H7353" s="4">
        <v>55</v>
      </c>
      <c r="I7353" s="4">
        <v>7</v>
      </c>
      <c r="J7353" s="4">
        <v>812</v>
      </c>
    </row>
    <row r="7354" spans="1:10" x14ac:dyDescent="0.75">
      <c r="A7354" t="s">
        <v>151</v>
      </c>
      <c r="B7354">
        <v>2253</v>
      </c>
      <c r="C7354" t="s">
        <v>153</v>
      </c>
      <c r="D7354">
        <v>3250</v>
      </c>
      <c r="E7354" t="s">
        <v>435</v>
      </c>
      <c r="F7354" s="4">
        <v>0</v>
      </c>
      <c r="G7354" s="4">
        <v>630</v>
      </c>
      <c r="H7354" s="4">
        <v>588</v>
      </c>
      <c r="I7354" s="4">
        <v>42</v>
      </c>
      <c r="J7354" s="4">
        <v>630</v>
      </c>
    </row>
    <row r="7355" spans="1:10" x14ac:dyDescent="0.75">
      <c r="A7355" t="s">
        <v>151</v>
      </c>
      <c r="B7355">
        <v>2253</v>
      </c>
      <c r="C7355" t="s">
        <v>153</v>
      </c>
      <c r="D7355">
        <v>6885</v>
      </c>
      <c r="E7355" t="s">
        <v>493</v>
      </c>
      <c r="F7355" s="4">
        <v>0</v>
      </c>
      <c r="G7355" s="4">
        <v>393</v>
      </c>
      <c r="H7355" s="4">
        <v>0</v>
      </c>
      <c r="I7355" s="4">
        <v>393</v>
      </c>
      <c r="J7355" s="4">
        <v>393</v>
      </c>
    </row>
    <row r="7356" spans="1:10" x14ac:dyDescent="0.75">
      <c r="A7356" t="s">
        <v>151</v>
      </c>
      <c r="B7356">
        <v>2253</v>
      </c>
      <c r="C7356" t="s">
        <v>153</v>
      </c>
      <c r="D7356">
        <v>3282</v>
      </c>
      <c r="E7356" t="s">
        <v>440</v>
      </c>
      <c r="F7356" s="4">
        <v>0</v>
      </c>
      <c r="G7356" s="4">
        <v>221</v>
      </c>
      <c r="H7356" s="4">
        <v>221</v>
      </c>
      <c r="I7356" s="4">
        <v>0</v>
      </c>
      <c r="J7356" s="4">
        <v>221</v>
      </c>
    </row>
    <row r="7357" spans="1:10" x14ac:dyDescent="0.75">
      <c r="A7357" t="s">
        <v>151</v>
      </c>
      <c r="B7357">
        <v>2253</v>
      </c>
      <c r="C7357" t="s">
        <v>153</v>
      </c>
      <c r="D7357">
        <v>3283</v>
      </c>
      <c r="E7357" t="s">
        <v>441</v>
      </c>
      <c r="F7357" s="4">
        <v>0</v>
      </c>
      <c r="G7357" s="4">
        <v>126</v>
      </c>
      <c r="H7357" s="4">
        <v>126</v>
      </c>
      <c r="I7357" s="4">
        <v>0</v>
      </c>
      <c r="J7357" s="4">
        <v>126</v>
      </c>
    </row>
    <row r="7358" spans="1:10" x14ac:dyDescent="0.75">
      <c r="A7358" t="s">
        <v>151</v>
      </c>
      <c r="B7358">
        <v>2253</v>
      </c>
      <c r="C7358" t="s">
        <v>153</v>
      </c>
      <c r="D7358">
        <v>3291</v>
      </c>
      <c r="E7358" t="s">
        <v>444</v>
      </c>
      <c r="F7358" s="4">
        <v>0</v>
      </c>
      <c r="G7358" s="4">
        <v>94</v>
      </c>
      <c r="H7358" s="4">
        <v>0</v>
      </c>
      <c r="I7358" s="4">
        <v>94</v>
      </c>
      <c r="J7358" s="4">
        <v>94</v>
      </c>
    </row>
    <row r="7359" spans="1:10" x14ac:dyDescent="0.75">
      <c r="A7359" t="s">
        <v>151</v>
      </c>
      <c r="B7359">
        <v>2253</v>
      </c>
      <c r="C7359" t="s">
        <v>153</v>
      </c>
      <c r="D7359">
        <v>7210</v>
      </c>
      <c r="E7359" t="s">
        <v>426</v>
      </c>
      <c r="F7359" s="4">
        <v>0</v>
      </c>
      <c r="G7359" s="4">
        <v>23</v>
      </c>
      <c r="H7359" s="4">
        <v>2</v>
      </c>
      <c r="I7359" s="4">
        <v>21</v>
      </c>
      <c r="J7359" s="4">
        <v>23</v>
      </c>
    </row>
    <row r="7360" spans="1:10" x14ac:dyDescent="0.75">
      <c r="A7360" t="s">
        <v>151</v>
      </c>
      <c r="B7360">
        <v>2253</v>
      </c>
      <c r="C7360" t="s">
        <v>153</v>
      </c>
      <c r="D7360">
        <v>7230</v>
      </c>
      <c r="E7360" t="s">
        <v>387</v>
      </c>
      <c r="F7360" s="4">
        <v>0</v>
      </c>
      <c r="G7360" s="4">
        <v>22</v>
      </c>
      <c r="H7360" s="4">
        <v>22</v>
      </c>
      <c r="I7360" s="4">
        <v>0</v>
      </c>
      <c r="J7360" s="4">
        <v>22</v>
      </c>
    </row>
    <row r="7361" spans="1:10" x14ac:dyDescent="0.75">
      <c r="A7361" t="s">
        <v>151</v>
      </c>
      <c r="B7361">
        <v>2253</v>
      </c>
      <c r="C7361" t="s">
        <v>153</v>
      </c>
      <c r="D7361">
        <v>5421</v>
      </c>
      <c r="E7361" t="s">
        <v>467</v>
      </c>
      <c r="F7361" s="4">
        <v>0</v>
      </c>
      <c r="G7361" s="4">
        <v>17</v>
      </c>
      <c r="H7361" s="4">
        <v>0</v>
      </c>
      <c r="I7361" s="4">
        <v>17</v>
      </c>
      <c r="J7361" s="4">
        <v>17</v>
      </c>
    </row>
    <row r="7362" spans="1:10" x14ac:dyDescent="0.75">
      <c r="A7362" t="s">
        <v>151</v>
      </c>
      <c r="B7362">
        <v>2253</v>
      </c>
      <c r="C7362" t="s">
        <v>153</v>
      </c>
      <c r="D7362">
        <v>5120</v>
      </c>
      <c r="E7362" t="s">
        <v>461</v>
      </c>
      <c r="F7362" s="4">
        <v>0</v>
      </c>
      <c r="G7362" s="4">
        <v>12</v>
      </c>
      <c r="H7362" s="4">
        <v>0</v>
      </c>
      <c r="I7362" s="4">
        <v>12</v>
      </c>
      <c r="J7362" s="4">
        <v>12</v>
      </c>
    </row>
    <row r="7363" spans="1:10" x14ac:dyDescent="0.75">
      <c r="A7363" t="s">
        <v>151</v>
      </c>
      <c r="B7363">
        <v>2253</v>
      </c>
      <c r="C7363" t="s">
        <v>153</v>
      </c>
      <c r="D7363">
        <v>5540</v>
      </c>
      <c r="E7363" t="s">
        <v>469</v>
      </c>
      <c r="F7363" s="4">
        <v>0</v>
      </c>
      <c r="G7363" s="4">
        <v>11</v>
      </c>
      <c r="H7363" s="4">
        <v>0</v>
      </c>
      <c r="I7363" s="4">
        <v>11</v>
      </c>
      <c r="J7363" s="4">
        <v>11</v>
      </c>
    </row>
    <row r="7364" spans="1:10" x14ac:dyDescent="0.75">
      <c r="A7364" t="s">
        <v>163</v>
      </c>
      <c r="B7364">
        <v>2368</v>
      </c>
      <c r="C7364" t="s">
        <v>196</v>
      </c>
      <c r="D7364">
        <v>4331</v>
      </c>
      <c r="E7364" t="s">
        <v>390</v>
      </c>
      <c r="F7364" s="4">
        <v>2745092</v>
      </c>
      <c r="G7364" s="4">
        <v>0</v>
      </c>
      <c r="H7364" s="4">
        <v>0</v>
      </c>
      <c r="I7364" s="4">
        <v>0</v>
      </c>
      <c r="J7364" s="4">
        <v>2745092</v>
      </c>
    </row>
    <row r="7365" spans="1:10" x14ac:dyDescent="0.75">
      <c r="A7365" t="s">
        <v>163</v>
      </c>
      <c r="B7365">
        <v>2368</v>
      </c>
      <c r="C7365" t="s">
        <v>196</v>
      </c>
      <c r="D7365">
        <v>5220</v>
      </c>
      <c r="E7365" t="s">
        <v>401</v>
      </c>
      <c r="F7365" s="4">
        <v>631100</v>
      </c>
      <c r="G7365" s="4">
        <v>0</v>
      </c>
      <c r="H7365" s="4">
        <v>0</v>
      </c>
      <c r="I7365" s="4">
        <v>0</v>
      </c>
      <c r="J7365" s="4">
        <v>631100</v>
      </c>
    </row>
    <row r="7366" spans="1:10" x14ac:dyDescent="0.75">
      <c r="A7366" t="s">
        <v>163</v>
      </c>
      <c r="B7366">
        <v>2368</v>
      </c>
      <c r="C7366" t="s">
        <v>196</v>
      </c>
      <c r="D7366">
        <v>6344</v>
      </c>
      <c r="E7366" t="s">
        <v>392</v>
      </c>
      <c r="F7366" s="4">
        <v>403150</v>
      </c>
      <c r="G7366" s="4">
        <v>0</v>
      </c>
      <c r="H7366" s="4">
        <v>0</v>
      </c>
      <c r="I7366" s="4">
        <v>0</v>
      </c>
      <c r="J7366" s="4">
        <v>403150</v>
      </c>
    </row>
    <row r="7367" spans="1:10" x14ac:dyDescent="0.75">
      <c r="A7367" t="s">
        <v>163</v>
      </c>
      <c r="B7367">
        <v>2368</v>
      </c>
      <c r="C7367" t="s">
        <v>196</v>
      </c>
      <c r="D7367">
        <v>6522</v>
      </c>
      <c r="E7367" t="s">
        <v>393</v>
      </c>
      <c r="F7367" s="4">
        <v>327725</v>
      </c>
      <c r="G7367" s="4">
        <v>0</v>
      </c>
      <c r="H7367" s="4">
        <v>0</v>
      </c>
      <c r="I7367" s="4">
        <v>0</v>
      </c>
      <c r="J7367" s="4">
        <v>327725</v>
      </c>
    </row>
    <row r="7368" spans="1:10" x14ac:dyDescent="0.75">
      <c r="A7368" t="s">
        <v>163</v>
      </c>
      <c r="B7368">
        <v>2368</v>
      </c>
      <c r="C7368" t="s">
        <v>196</v>
      </c>
      <c r="D7368">
        <v>4690</v>
      </c>
      <c r="E7368" t="s">
        <v>428</v>
      </c>
      <c r="F7368" s="4">
        <v>182320</v>
      </c>
      <c r="G7368" s="4">
        <v>0</v>
      </c>
      <c r="H7368" s="4">
        <v>0</v>
      </c>
      <c r="I7368" s="4">
        <v>0</v>
      </c>
      <c r="J7368" s="4">
        <v>182320</v>
      </c>
    </row>
    <row r="7369" spans="1:10" x14ac:dyDescent="0.75">
      <c r="A7369" t="s">
        <v>163</v>
      </c>
      <c r="B7369">
        <v>2368</v>
      </c>
      <c r="C7369" t="s">
        <v>196</v>
      </c>
      <c r="D7369">
        <v>2211</v>
      </c>
      <c r="E7369" t="s">
        <v>367</v>
      </c>
      <c r="F7369" s="4">
        <v>132053</v>
      </c>
      <c r="G7369" s="4">
        <v>0</v>
      </c>
      <c r="H7369" s="4">
        <v>0</v>
      </c>
      <c r="I7369" s="4">
        <v>0</v>
      </c>
      <c r="J7369" s="4">
        <v>132053</v>
      </c>
    </row>
    <row r="7370" spans="1:10" x14ac:dyDescent="0.75">
      <c r="A7370" t="s">
        <v>163</v>
      </c>
      <c r="B7370">
        <v>2368</v>
      </c>
      <c r="C7370" t="s">
        <v>196</v>
      </c>
      <c r="D7370">
        <v>4161</v>
      </c>
      <c r="E7370" t="s">
        <v>421</v>
      </c>
      <c r="F7370" s="4">
        <v>123873</v>
      </c>
      <c r="G7370" s="4">
        <v>0</v>
      </c>
      <c r="H7370" s="4">
        <v>0</v>
      </c>
      <c r="I7370" s="4">
        <v>0</v>
      </c>
      <c r="J7370" s="4">
        <v>123873</v>
      </c>
    </row>
    <row r="7371" spans="1:10" x14ac:dyDescent="0.75">
      <c r="A7371" t="s">
        <v>163</v>
      </c>
      <c r="B7371">
        <v>2368</v>
      </c>
      <c r="C7371" t="s">
        <v>196</v>
      </c>
      <c r="D7371">
        <v>6241</v>
      </c>
      <c r="E7371" t="s">
        <v>391</v>
      </c>
      <c r="F7371" s="4">
        <v>98230</v>
      </c>
      <c r="G7371" s="4">
        <v>0</v>
      </c>
      <c r="H7371" s="4">
        <v>0</v>
      </c>
      <c r="I7371" s="4">
        <v>0</v>
      </c>
      <c r="J7371" s="4">
        <v>98230</v>
      </c>
    </row>
    <row r="7372" spans="1:10" x14ac:dyDescent="0.75">
      <c r="A7372" t="s">
        <v>163</v>
      </c>
      <c r="B7372">
        <v>2368</v>
      </c>
      <c r="C7372" t="s">
        <v>196</v>
      </c>
      <c r="D7372">
        <v>4322</v>
      </c>
      <c r="E7372" t="s">
        <v>398</v>
      </c>
      <c r="F7372" s="4">
        <v>73154</v>
      </c>
      <c r="G7372" s="4">
        <v>0</v>
      </c>
      <c r="H7372" s="4">
        <v>0</v>
      </c>
      <c r="I7372" s="4">
        <v>0</v>
      </c>
      <c r="J7372" s="4">
        <v>73154</v>
      </c>
    </row>
    <row r="7373" spans="1:10" x14ac:dyDescent="0.75">
      <c r="A7373" t="s">
        <v>163</v>
      </c>
      <c r="B7373">
        <v>2368</v>
      </c>
      <c r="C7373" t="s">
        <v>196</v>
      </c>
      <c r="D7373">
        <v>4335</v>
      </c>
      <c r="E7373" t="s">
        <v>372</v>
      </c>
      <c r="F7373" s="4">
        <v>66661</v>
      </c>
      <c r="G7373" s="4">
        <v>0</v>
      </c>
      <c r="H7373" s="4">
        <v>0</v>
      </c>
      <c r="I7373" s="4">
        <v>0</v>
      </c>
      <c r="J7373" s="4">
        <v>66661</v>
      </c>
    </row>
    <row r="7374" spans="1:10" x14ac:dyDescent="0.75">
      <c r="A7374" t="s">
        <v>163</v>
      </c>
      <c r="B7374">
        <v>2368</v>
      </c>
      <c r="C7374" t="s">
        <v>196</v>
      </c>
      <c r="D7374">
        <v>3110</v>
      </c>
      <c r="E7374" t="s">
        <v>405</v>
      </c>
      <c r="F7374" s="4">
        <v>59042</v>
      </c>
      <c r="G7374" s="4">
        <v>0</v>
      </c>
      <c r="H7374" s="4">
        <v>0</v>
      </c>
      <c r="I7374" s="4">
        <v>0</v>
      </c>
      <c r="J7374" s="4">
        <v>59042</v>
      </c>
    </row>
    <row r="7375" spans="1:10" x14ac:dyDescent="0.75">
      <c r="A7375" t="s">
        <v>163</v>
      </c>
      <c r="B7375">
        <v>2368</v>
      </c>
      <c r="C7375" t="s">
        <v>196</v>
      </c>
      <c r="D7375">
        <v>4860</v>
      </c>
      <c r="E7375" t="s">
        <v>400</v>
      </c>
      <c r="F7375" s="4">
        <v>47891</v>
      </c>
      <c r="G7375" s="4">
        <v>0</v>
      </c>
      <c r="H7375" s="4">
        <v>0</v>
      </c>
      <c r="I7375" s="4">
        <v>0</v>
      </c>
      <c r="J7375" s="4">
        <v>47891</v>
      </c>
    </row>
    <row r="7376" spans="1:10" x14ac:dyDescent="0.75">
      <c r="A7376" t="s">
        <v>163</v>
      </c>
      <c r="B7376">
        <v>2368</v>
      </c>
      <c r="C7376" t="s">
        <v>196</v>
      </c>
      <c r="D7376">
        <v>3130</v>
      </c>
      <c r="E7376" t="s">
        <v>407</v>
      </c>
      <c r="F7376" s="4">
        <v>32637</v>
      </c>
      <c r="G7376" s="4">
        <v>0</v>
      </c>
      <c r="H7376" s="4">
        <v>0</v>
      </c>
      <c r="I7376" s="4">
        <v>0</v>
      </c>
      <c r="J7376" s="4">
        <v>32637</v>
      </c>
    </row>
    <row r="7377" spans="1:10" x14ac:dyDescent="0.75">
      <c r="A7377" t="s">
        <v>163</v>
      </c>
      <c r="B7377">
        <v>2368</v>
      </c>
      <c r="C7377" t="s">
        <v>196</v>
      </c>
      <c r="D7377">
        <v>5390</v>
      </c>
      <c r="E7377" t="s">
        <v>418</v>
      </c>
      <c r="F7377" s="4">
        <v>28444</v>
      </c>
      <c r="G7377" s="4">
        <v>0</v>
      </c>
      <c r="H7377" s="4">
        <v>0</v>
      </c>
      <c r="I7377" s="4">
        <v>0</v>
      </c>
      <c r="J7377" s="4">
        <v>28444</v>
      </c>
    </row>
    <row r="7378" spans="1:10" x14ac:dyDescent="0.75">
      <c r="A7378" t="s">
        <v>163</v>
      </c>
      <c r="B7378">
        <v>2368</v>
      </c>
      <c r="C7378" t="s">
        <v>196</v>
      </c>
      <c r="D7378">
        <v>5315</v>
      </c>
      <c r="E7378" t="s">
        <v>417</v>
      </c>
      <c r="F7378" s="4">
        <v>19337</v>
      </c>
      <c r="G7378" s="4">
        <v>0</v>
      </c>
      <c r="H7378" s="4">
        <v>0</v>
      </c>
      <c r="I7378" s="4">
        <v>0</v>
      </c>
      <c r="J7378" s="4">
        <v>19337</v>
      </c>
    </row>
    <row r="7379" spans="1:10" x14ac:dyDescent="0.75">
      <c r="A7379" t="s">
        <v>163</v>
      </c>
      <c r="B7379">
        <v>2368</v>
      </c>
      <c r="C7379" t="s">
        <v>196</v>
      </c>
      <c r="D7379">
        <v>3190</v>
      </c>
      <c r="E7379" t="s">
        <v>408</v>
      </c>
      <c r="F7379" s="4">
        <v>19305</v>
      </c>
      <c r="G7379" s="4">
        <v>0</v>
      </c>
      <c r="H7379" s="4">
        <v>0</v>
      </c>
      <c r="I7379" s="4">
        <v>0</v>
      </c>
      <c r="J7379" s="4">
        <v>19305</v>
      </c>
    </row>
    <row r="7380" spans="1:10" x14ac:dyDescent="0.75">
      <c r="A7380" t="s">
        <v>163</v>
      </c>
      <c r="B7380">
        <v>2368</v>
      </c>
      <c r="C7380" t="s">
        <v>196</v>
      </c>
      <c r="D7380">
        <v>3276</v>
      </c>
      <c r="E7380" t="s">
        <v>379</v>
      </c>
      <c r="F7380" s="4">
        <v>18195</v>
      </c>
      <c r="G7380" s="4">
        <v>0</v>
      </c>
      <c r="H7380" s="4">
        <v>0</v>
      </c>
      <c r="I7380" s="4">
        <v>0</v>
      </c>
      <c r="J7380" s="4">
        <v>18195</v>
      </c>
    </row>
    <row r="7381" spans="1:10" x14ac:dyDescent="0.75">
      <c r="A7381" t="s">
        <v>163</v>
      </c>
      <c r="B7381">
        <v>2368</v>
      </c>
      <c r="C7381" t="s">
        <v>196</v>
      </c>
      <c r="D7381">
        <v>6442</v>
      </c>
      <c r="E7381" t="s">
        <v>472</v>
      </c>
      <c r="F7381" s="4">
        <v>16157</v>
      </c>
      <c r="G7381" s="4">
        <v>0</v>
      </c>
      <c r="H7381" s="4">
        <v>0</v>
      </c>
      <c r="I7381" s="4">
        <v>0</v>
      </c>
      <c r="J7381" s="4">
        <v>16157</v>
      </c>
    </row>
    <row r="7382" spans="1:10" x14ac:dyDescent="0.75">
      <c r="A7382" t="s">
        <v>163</v>
      </c>
      <c r="B7382">
        <v>2368</v>
      </c>
      <c r="C7382" t="s">
        <v>196</v>
      </c>
      <c r="D7382">
        <v>5360</v>
      </c>
      <c r="E7382" t="s">
        <v>465</v>
      </c>
      <c r="F7382" s="4">
        <v>15824</v>
      </c>
      <c r="G7382" s="4">
        <v>0</v>
      </c>
      <c r="H7382" s="4">
        <v>0</v>
      </c>
      <c r="I7382" s="4">
        <v>0</v>
      </c>
      <c r="J7382" s="4">
        <v>15824</v>
      </c>
    </row>
    <row r="7383" spans="1:10" x14ac:dyDescent="0.75">
      <c r="A7383" t="s">
        <v>163</v>
      </c>
      <c r="B7383">
        <v>2368</v>
      </c>
      <c r="C7383" t="s">
        <v>196</v>
      </c>
      <c r="D7383">
        <v>2330</v>
      </c>
      <c r="E7383" t="s">
        <v>368</v>
      </c>
      <c r="F7383" s="4">
        <v>11551</v>
      </c>
      <c r="G7383" s="4">
        <v>0</v>
      </c>
      <c r="H7383" s="4">
        <v>0</v>
      </c>
      <c r="I7383" s="4">
        <v>0</v>
      </c>
      <c r="J7383" s="4">
        <v>11551</v>
      </c>
    </row>
    <row r="7384" spans="1:10" x14ac:dyDescent="0.75">
      <c r="A7384" t="s">
        <v>163</v>
      </c>
      <c r="B7384">
        <v>2368</v>
      </c>
      <c r="C7384" t="s">
        <v>196</v>
      </c>
      <c r="D7384">
        <v>5290</v>
      </c>
      <c r="E7384" t="s">
        <v>415</v>
      </c>
      <c r="F7384" s="4">
        <v>7015</v>
      </c>
      <c r="G7384" s="4">
        <v>0</v>
      </c>
      <c r="H7384" s="4">
        <v>0</v>
      </c>
      <c r="I7384" s="4">
        <v>0</v>
      </c>
      <c r="J7384" s="4">
        <v>7015</v>
      </c>
    </row>
    <row r="7385" spans="1:10" x14ac:dyDescent="0.75">
      <c r="A7385" t="s">
        <v>163</v>
      </c>
      <c r="B7385">
        <v>2368</v>
      </c>
      <c r="C7385" t="s">
        <v>196</v>
      </c>
      <c r="D7385">
        <v>4670</v>
      </c>
      <c r="E7385" t="s">
        <v>458</v>
      </c>
      <c r="F7385" s="4">
        <v>6093</v>
      </c>
      <c r="G7385" s="4">
        <v>0</v>
      </c>
      <c r="H7385" s="4">
        <v>0</v>
      </c>
      <c r="I7385" s="4">
        <v>0</v>
      </c>
      <c r="J7385" s="4">
        <v>6093</v>
      </c>
    </row>
    <row r="7386" spans="1:10" x14ac:dyDescent="0.75">
      <c r="A7386" t="s">
        <v>163</v>
      </c>
      <c r="B7386">
        <v>2368</v>
      </c>
      <c r="C7386" t="s">
        <v>196</v>
      </c>
      <c r="D7386">
        <v>3120</v>
      </c>
      <c r="E7386" t="s">
        <v>406</v>
      </c>
      <c r="F7386" s="4">
        <v>4350</v>
      </c>
      <c r="G7386" s="4">
        <v>0</v>
      </c>
      <c r="H7386" s="4">
        <v>0</v>
      </c>
      <c r="I7386" s="4">
        <v>0</v>
      </c>
      <c r="J7386" s="4">
        <v>4350</v>
      </c>
    </row>
    <row r="7387" spans="1:10" x14ac:dyDescent="0.75">
      <c r="A7387" t="s">
        <v>163</v>
      </c>
      <c r="B7387">
        <v>2368</v>
      </c>
      <c r="C7387" t="s">
        <v>196</v>
      </c>
      <c r="D7387">
        <v>4783</v>
      </c>
      <c r="E7387" t="s">
        <v>382</v>
      </c>
      <c r="F7387" s="4">
        <v>2535</v>
      </c>
      <c r="G7387" s="4">
        <v>0</v>
      </c>
      <c r="H7387" s="4">
        <v>0</v>
      </c>
      <c r="I7387" s="4">
        <v>0</v>
      </c>
      <c r="J7387" s="4">
        <v>2535</v>
      </c>
    </row>
    <row r="7388" spans="1:10" x14ac:dyDescent="0.75">
      <c r="A7388" t="s">
        <v>163</v>
      </c>
      <c r="B7388">
        <v>2368</v>
      </c>
      <c r="C7388" t="s">
        <v>196</v>
      </c>
      <c r="D7388">
        <v>6654</v>
      </c>
      <c r="E7388" t="s">
        <v>419</v>
      </c>
      <c r="F7388" s="4">
        <v>1851</v>
      </c>
      <c r="G7388" s="4">
        <v>0</v>
      </c>
      <c r="H7388" s="4">
        <v>0</v>
      </c>
      <c r="I7388" s="4">
        <v>0</v>
      </c>
      <c r="J7388" s="4">
        <v>1851</v>
      </c>
    </row>
    <row r="7389" spans="1:10" x14ac:dyDescent="0.75">
      <c r="A7389" t="s">
        <v>163</v>
      </c>
      <c r="B7389">
        <v>2368</v>
      </c>
      <c r="C7389" t="s">
        <v>196</v>
      </c>
      <c r="D7389">
        <v>1100</v>
      </c>
      <c r="E7389" t="s">
        <v>397</v>
      </c>
      <c r="F7389" s="4">
        <v>1750</v>
      </c>
      <c r="G7389" s="4">
        <v>0</v>
      </c>
      <c r="H7389" s="4">
        <v>0</v>
      </c>
      <c r="I7389" s="4">
        <v>0</v>
      </c>
      <c r="J7389" s="4">
        <v>1750</v>
      </c>
    </row>
    <row r="7390" spans="1:10" x14ac:dyDescent="0.75">
      <c r="A7390" t="s">
        <v>163</v>
      </c>
      <c r="B7390">
        <v>2368</v>
      </c>
      <c r="C7390" t="s">
        <v>196</v>
      </c>
      <c r="D7390">
        <v>4782</v>
      </c>
      <c r="E7390" t="s">
        <v>414</v>
      </c>
      <c r="F7390" s="4">
        <v>1662</v>
      </c>
      <c r="G7390" s="4">
        <v>0</v>
      </c>
      <c r="H7390" s="4">
        <v>0</v>
      </c>
      <c r="I7390" s="4">
        <v>0</v>
      </c>
      <c r="J7390" s="4">
        <v>1662</v>
      </c>
    </row>
    <row r="7391" spans="1:10" x14ac:dyDescent="0.75">
      <c r="A7391" t="s">
        <v>163</v>
      </c>
      <c r="B7391">
        <v>2368</v>
      </c>
      <c r="C7391" t="s">
        <v>196</v>
      </c>
      <c r="D7391">
        <v>5330</v>
      </c>
      <c r="E7391" t="s">
        <v>385</v>
      </c>
      <c r="F7391" s="4">
        <v>1510</v>
      </c>
      <c r="G7391" s="4">
        <v>0</v>
      </c>
      <c r="H7391" s="4">
        <v>0</v>
      </c>
      <c r="I7391" s="4">
        <v>0</v>
      </c>
      <c r="J7391" s="4">
        <v>1510</v>
      </c>
    </row>
    <row r="7392" spans="1:10" x14ac:dyDescent="0.75">
      <c r="A7392" t="s">
        <v>163</v>
      </c>
      <c r="B7392">
        <v>2368</v>
      </c>
      <c r="C7392" t="s">
        <v>196</v>
      </c>
      <c r="D7392">
        <v>6782</v>
      </c>
      <c r="E7392" t="s">
        <v>396</v>
      </c>
      <c r="F7392" s="4">
        <v>1400</v>
      </c>
      <c r="G7392" s="4">
        <v>0</v>
      </c>
      <c r="H7392" s="4">
        <v>0</v>
      </c>
      <c r="I7392" s="4">
        <v>0</v>
      </c>
      <c r="J7392" s="4">
        <v>1400</v>
      </c>
    </row>
    <row r="7393" spans="1:10" x14ac:dyDescent="0.75">
      <c r="A7393" t="s">
        <v>163</v>
      </c>
      <c r="B7393">
        <v>2368</v>
      </c>
      <c r="C7393" t="s">
        <v>196</v>
      </c>
      <c r="D7393">
        <v>5429</v>
      </c>
      <c r="E7393" t="s">
        <v>429</v>
      </c>
      <c r="F7393" s="4">
        <v>1127</v>
      </c>
      <c r="G7393" s="4">
        <v>0</v>
      </c>
      <c r="H7393" s="4">
        <v>0</v>
      </c>
      <c r="I7393" s="4">
        <v>0</v>
      </c>
      <c r="J7393" s="4">
        <v>1127</v>
      </c>
    </row>
    <row r="7394" spans="1:10" x14ac:dyDescent="0.75">
      <c r="A7394" t="s">
        <v>163</v>
      </c>
      <c r="B7394">
        <v>2363</v>
      </c>
      <c r="C7394" t="s">
        <v>164</v>
      </c>
      <c r="D7394">
        <v>4322</v>
      </c>
      <c r="E7394" t="s">
        <v>398</v>
      </c>
      <c r="F7394" s="4">
        <v>5385216</v>
      </c>
      <c r="G7394" s="4">
        <v>0</v>
      </c>
      <c r="H7394" s="4">
        <v>0</v>
      </c>
      <c r="I7394" s="4">
        <v>0</v>
      </c>
      <c r="J7394" s="4">
        <v>5385216</v>
      </c>
    </row>
    <row r="7395" spans="1:10" x14ac:dyDescent="0.75">
      <c r="A7395" t="s">
        <v>163</v>
      </c>
      <c r="B7395">
        <v>2363</v>
      </c>
      <c r="C7395" t="s">
        <v>164</v>
      </c>
      <c r="D7395">
        <v>1100</v>
      </c>
      <c r="E7395" t="s">
        <v>397</v>
      </c>
      <c r="F7395" s="4">
        <v>5164261</v>
      </c>
      <c r="G7395" s="4">
        <v>0</v>
      </c>
      <c r="H7395" s="4">
        <v>0</v>
      </c>
      <c r="I7395" s="4">
        <v>0</v>
      </c>
      <c r="J7395" s="4">
        <v>5164261</v>
      </c>
    </row>
    <row r="7396" spans="1:10" x14ac:dyDescent="0.75">
      <c r="A7396" t="s">
        <v>163</v>
      </c>
      <c r="B7396">
        <v>2363</v>
      </c>
      <c r="C7396" t="s">
        <v>164</v>
      </c>
      <c r="D7396">
        <v>6344</v>
      </c>
      <c r="E7396" t="s">
        <v>392</v>
      </c>
      <c r="F7396" s="4">
        <v>2817214</v>
      </c>
      <c r="G7396" s="4">
        <v>0</v>
      </c>
      <c r="H7396" s="4">
        <v>0</v>
      </c>
      <c r="I7396" s="4">
        <v>0</v>
      </c>
      <c r="J7396" s="4">
        <v>2817214</v>
      </c>
    </row>
    <row r="7397" spans="1:10" x14ac:dyDescent="0.75">
      <c r="A7397" t="s">
        <v>163</v>
      </c>
      <c r="B7397">
        <v>2363</v>
      </c>
      <c r="C7397" t="s">
        <v>164</v>
      </c>
      <c r="D7397">
        <v>4331</v>
      </c>
      <c r="E7397" t="s">
        <v>390</v>
      </c>
      <c r="F7397" s="4">
        <v>1776190</v>
      </c>
      <c r="G7397" s="4">
        <v>0</v>
      </c>
      <c r="H7397" s="4">
        <v>0</v>
      </c>
      <c r="I7397" s="4">
        <v>0</v>
      </c>
      <c r="J7397" s="4">
        <v>1776190</v>
      </c>
    </row>
    <row r="7398" spans="1:10" x14ac:dyDescent="0.75">
      <c r="A7398" t="s">
        <v>163</v>
      </c>
      <c r="B7398">
        <v>2363</v>
      </c>
      <c r="C7398" t="s">
        <v>164</v>
      </c>
      <c r="D7398">
        <v>2211</v>
      </c>
      <c r="E7398" t="s">
        <v>367</v>
      </c>
      <c r="F7398" s="4">
        <v>1592327</v>
      </c>
      <c r="G7398" s="4">
        <v>0</v>
      </c>
      <c r="H7398" s="4">
        <v>0</v>
      </c>
      <c r="I7398" s="4">
        <v>0</v>
      </c>
      <c r="J7398" s="4">
        <v>1592327</v>
      </c>
    </row>
    <row r="7399" spans="1:10" x14ac:dyDescent="0.75">
      <c r="A7399" t="s">
        <v>163</v>
      </c>
      <c r="B7399">
        <v>2363</v>
      </c>
      <c r="C7399" t="s">
        <v>164</v>
      </c>
      <c r="D7399">
        <v>6522</v>
      </c>
      <c r="E7399" t="s">
        <v>393</v>
      </c>
      <c r="F7399" s="4">
        <v>1480047</v>
      </c>
      <c r="G7399" s="4">
        <v>0</v>
      </c>
      <c r="H7399" s="4">
        <v>0</v>
      </c>
      <c r="I7399" s="4">
        <v>0</v>
      </c>
      <c r="J7399" s="4">
        <v>1480047</v>
      </c>
    </row>
    <row r="7400" spans="1:10" x14ac:dyDescent="0.75">
      <c r="A7400" t="s">
        <v>163</v>
      </c>
      <c r="B7400">
        <v>2363</v>
      </c>
      <c r="C7400" t="s">
        <v>164</v>
      </c>
      <c r="D7400">
        <v>2330</v>
      </c>
      <c r="E7400" t="s">
        <v>368</v>
      </c>
      <c r="F7400" s="4">
        <v>1332682</v>
      </c>
      <c r="G7400" s="4">
        <v>0</v>
      </c>
      <c r="H7400" s="4">
        <v>0</v>
      </c>
      <c r="I7400" s="4">
        <v>0</v>
      </c>
      <c r="J7400" s="4">
        <v>1332682</v>
      </c>
    </row>
    <row r="7401" spans="1:10" x14ac:dyDescent="0.75">
      <c r="A7401" t="s">
        <v>163</v>
      </c>
      <c r="B7401">
        <v>2363</v>
      </c>
      <c r="C7401" t="s">
        <v>164</v>
      </c>
      <c r="D7401">
        <v>6590</v>
      </c>
      <c r="E7401" t="s">
        <v>394</v>
      </c>
      <c r="F7401" s="4">
        <v>660637</v>
      </c>
      <c r="G7401" s="4">
        <v>0</v>
      </c>
      <c r="H7401" s="4">
        <v>0</v>
      </c>
      <c r="I7401" s="4">
        <v>0</v>
      </c>
      <c r="J7401" s="4">
        <v>660637</v>
      </c>
    </row>
    <row r="7402" spans="1:10" x14ac:dyDescent="0.75">
      <c r="A7402" t="s">
        <v>163</v>
      </c>
      <c r="B7402">
        <v>2363</v>
      </c>
      <c r="C7402" t="s">
        <v>164</v>
      </c>
      <c r="D7402">
        <v>6782</v>
      </c>
      <c r="E7402" t="s">
        <v>396</v>
      </c>
      <c r="F7402" s="4">
        <v>448786</v>
      </c>
      <c r="G7402" s="4">
        <v>0</v>
      </c>
      <c r="H7402" s="4">
        <v>0</v>
      </c>
      <c r="I7402" s="4">
        <v>0</v>
      </c>
      <c r="J7402" s="4">
        <v>448786</v>
      </c>
    </row>
    <row r="7403" spans="1:10" x14ac:dyDescent="0.75">
      <c r="A7403" t="s">
        <v>163</v>
      </c>
      <c r="B7403">
        <v>2363</v>
      </c>
      <c r="C7403" t="s">
        <v>164</v>
      </c>
      <c r="D7403">
        <v>3220</v>
      </c>
      <c r="E7403" t="s">
        <v>370</v>
      </c>
      <c r="F7403" s="4">
        <v>403967</v>
      </c>
      <c r="G7403" s="4">
        <v>0</v>
      </c>
      <c r="H7403" s="4">
        <v>0</v>
      </c>
      <c r="I7403" s="4">
        <v>0</v>
      </c>
      <c r="J7403" s="4">
        <v>403967</v>
      </c>
    </row>
    <row r="7404" spans="1:10" x14ac:dyDescent="0.75">
      <c r="A7404" t="s">
        <v>163</v>
      </c>
      <c r="B7404">
        <v>2363</v>
      </c>
      <c r="C7404" t="s">
        <v>164</v>
      </c>
      <c r="D7404">
        <v>3110</v>
      </c>
      <c r="E7404" t="s">
        <v>405</v>
      </c>
      <c r="F7404" s="4">
        <v>370306</v>
      </c>
      <c r="G7404" s="4">
        <v>0</v>
      </c>
      <c r="H7404" s="4">
        <v>0</v>
      </c>
      <c r="I7404" s="4">
        <v>0</v>
      </c>
      <c r="J7404" s="4">
        <v>370306</v>
      </c>
    </row>
    <row r="7405" spans="1:10" x14ac:dyDescent="0.75">
      <c r="A7405" t="s">
        <v>163</v>
      </c>
      <c r="B7405">
        <v>2363</v>
      </c>
      <c r="C7405" t="s">
        <v>164</v>
      </c>
      <c r="D7405">
        <v>3219</v>
      </c>
      <c r="E7405" t="s">
        <v>378</v>
      </c>
      <c r="F7405" s="4">
        <v>355858</v>
      </c>
      <c r="G7405" s="4">
        <v>0</v>
      </c>
      <c r="H7405" s="4">
        <v>0</v>
      </c>
      <c r="I7405" s="4">
        <v>0</v>
      </c>
      <c r="J7405" s="4">
        <v>355858</v>
      </c>
    </row>
    <row r="7406" spans="1:10" x14ac:dyDescent="0.75">
      <c r="A7406" t="s">
        <v>163</v>
      </c>
      <c r="B7406">
        <v>2363</v>
      </c>
      <c r="C7406" t="s">
        <v>164</v>
      </c>
      <c r="D7406">
        <v>3130</v>
      </c>
      <c r="E7406" t="s">
        <v>407</v>
      </c>
      <c r="F7406" s="4">
        <v>312783</v>
      </c>
      <c r="G7406" s="4">
        <v>0</v>
      </c>
      <c r="H7406" s="4">
        <v>0</v>
      </c>
      <c r="I7406" s="4">
        <v>0</v>
      </c>
      <c r="J7406" s="4">
        <v>312783</v>
      </c>
    </row>
    <row r="7407" spans="1:10" x14ac:dyDescent="0.75">
      <c r="A7407" t="s">
        <v>163</v>
      </c>
      <c r="B7407">
        <v>2363</v>
      </c>
      <c r="C7407" t="s">
        <v>164</v>
      </c>
      <c r="D7407">
        <v>4650</v>
      </c>
      <c r="E7407" t="s">
        <v>457</v>
      </c>
      <c r="F7407" s="4">
        <v>303101</v>
      </c>
      <c r="G7407" s="4">
        <v>0</v>
      </c>
      <c r="H7407" s="4">
        <v>0</v>
      </c>
      <c r="I7407" s="4">
        <v>0</v>
      </c>
      <c r="J7407" s="4">
        <v>303101</v>
      </c>
    </row>
    <row r="7408" spans="1:10" x14ac:dyDescent="0.75">
      <c r="A7408" t="s">
        <v>163</v>
      </c>
      <c r="B7408">
        <v>2363</v>
      </c>
      <c r="C7408" t="s">
        <v>164</v>
      </c>
      <c r="D7408">
        <v>4783</v>
      </c>
      <c r="E7408" t="s">
        <v>382</v>
      </c>
      <c r="F7408" s="4">
        <v>273107</v>
      </c>
      <c r="G7408" s="4">
        <v>0</v>
      </c>
      <c r="H7408" s="4">
        <v>0</v>
      </c>
      <c r="I7408" s="4">
        <v>0</v>
      </c>
      <c r="J7408" s="4">
        <v>273107</v>
      </c>
    </row>
    <row r="7409" spans="1:10" x14ac:dyDescent="0.75">
      <c r="A7409" t="s">
        <v>163</v>
      </c>
      <c r="B7409">
        <v>2363</v>
      </c>
      <c r="C7409" t="s">
        <v>164</v>
      </c>
      <c r="D7409">
        <v>4323</v>
      </c>
      <c r="E7409" t="s">
        <v>373</v>
      </c>
      <c r="F7409" s="4">
        <v>148460</v>
      </c>
      <c r="G7409" s="4">
        <v>0</v>
      </c>
      <c r="H7409" s="4">
        <v>0</v>
      </c>
      <c r="I7409" s="4">
        <v>0</v>
      </c>
      <c r="J7409" s="4">
        <v>148460</v>
      </c>
    </row>
    <row r="7410" spans="1:10" x14ac:dyDescent="0.75">
      <c r="A7410" t="s">
        <v>163</v>
      </c>
      <c r="B7410">
        <v>2363</v>
      </c>
      <c r="C7410" t="s">
        <v>164</v>
      </c>
      <c r="D7410">
        <v>6653</v>
      </c>
      <c r="E7410" t="s">
        <v>395</v>
      </c>
      <c r="F7410" s="4">
        <v>143752</v>
      </c>
      <c r="G7410" s="4">
        <v>0</v>
      </c>
      <c r="H7410" s="4">
        <v>0</v>
      </c>
      <c r="I7410" s="4">
        <v>0</v>
      </c>
      <c r="J7410" s="4">
        <v>143752</v>
      </c>
    </row>
    <row r="7411" spans="1:10" x14ac:dyDescent="0.75">
      <c r="A7411" t="s">
        <v>163</v>
      </c>
      <c r="B7411">
        <v>2363</v>
      </c>
      <c r="C7411" t="s">
        <v>164</v>
      </c>
      <c r="D7411">
        <v>5330</v>
      </c>
      <c r="E7411" t="s">
        <v>385</v>
      </c>
      <c r="F7411" s="4">
        <v>130912</v>
      </c>
      <c r="G7411" s="4">
        <v>0</v>
      </c>
      <c r="H7411" s="4">
        <v>0</v>
      </c>
      <c r="I7411" s="4">
        <v>0</v>
      </c>
      <c r="J7411" s="4">
        <v>130912</v>
      </c>
    </row>
    <row r="7412" spans="1:10" x14ac:dyDescent="0.75">
      <c r="A7412" t="s">
        <v>163</v>
      </c>
      <c r="B7412">
        <v>2363</v>
      </c>
      <c r="C7412" t="s">
        <v>164</v>
      </c>
      <c r="D7412">
        <v>2430</v>
      </c>
      <c r="E7412" t="s">
        <v>376</v>
      </c>
      <c r="F7412" s="4">
        <v>109632</v>
      </c>
      <c r="G7412" s="4">
        <v>0</v>
      </c>
      <c r="H7412" s="4">
        <v>0</v>
      </c>
      <c r="I7412" s="4">
        <v>0</v>
      </c>
      <c r="J7412" s="4">
        <v>109632</v>
      </c>
    </row>
    <row r="7413" spans="1:10" x14ac:dyDescent="0.75">
      <c r="A7413" t="s">
        <v>163</v>
      </c>
      <c r="B7413">
        <v>2363</v>
      </c>
      <c r="C7413" t="s">
        <v>164</v>
      </c>
      <c r="D7413">
        <v>6443</v>
      </c>
      <c r="E7413" t="s">
        <v>473</v>
      </c>
      <c r="F7413" s="4">
        <v>103997</v>
      </c>
      <c r="G7413" s="4">
        <v>0</v>
      </c>
      <c r="H7413" s="4">
        <v>0</v>
      </c>
      <c r="I7413" s="4">
        <v>0</v>
      </c>
      <c r="J7413" s="4">
        <v>103997</v>
      </c>
    </row>
    <row r="7414" spans="1:10" x14ac:dyDescent="0.75">
      <c r="A7414" t="s">
        <v>163</v>
      </c>
      <c r="B7414">
        <v>2363</v>
      </c>
      <c r="C7414" t="s">
        <v>164</v>
      </c>
      <c r="D7414">
        <v>3190</v>
      </c>
      <c r="E7414" t="s">
        <v>408</v>
      </c>
      <c r="F7414" s="4">
        <v>91381</v>
      </c>
      <c r="G7414" s="4">
        <v>0</v>
      </c>
      <c r="H7414" s="4">
        <v>0</v>
      </c>
      <c r="I7414" s="4">
        <v>0</v>
      </c>
      <c r="J7414" s="4">
        <v>91381</v>
      </c>
    </row>
    <row r="7415" spans="1:10" x14ac:dyDescent="0.75">
      <c r="A7415" t="s">
        <v>163</v>
      </c>
      <c r="B7415">
        <v>2363</v>
      </c>
      <c r="C7415" t="s">
        <v>164</v>
      </c>
      <c r="D7415">
        <v>5312</v>
      </c>
      <c r="E7415" t="s">
        <v>416</v>
      </c>
      <c r="F7415" s="4">
        <v>86588</v>
      </c>
      <c r="G7415" s="4">
        <v>0</v>
      </c>
      <c r="H7415" s="4">
        <v>0</v>
      </c>
      <c r="I7415" s="4">
        <v>0</v>
      </c>
      <c r="J7415" s="4">
        <v>86588</v>
      </c>
    </row>
    <row r="7416" spans="1:10" x14ac:dyDescent="0.75">
      <c r="A7416" t="s">
        <v>163</v>
      </c>
      <c r="B7416">
        <v>2363</v>
      </c>
      <c r="C7416" t="s">
        <v>164</v>
      </c>
      <c r="D7416">
        <v>4900</v>
      </c>
      <c r="E7416" t="s">
        <v>383</v>
      </c>
      <c r="F7416" s="4">
        <v>85989</v>
      </c>
      <c r="G7416" s="4">
        <v>0</v>
      </c>
      <c r="H7416" s="4">
        <v>0</v>
      </c>
      <c r="I7416" s="4">
        <v>0</v>
      </c>
      <c r="J7416" s="4">
        <v>85989</v>
      </c>
    </row>
    <row r="7417" spans="1:10" x14ac:dyDescent="0.75">
      <c r="A7417" t="s">
        <v>163</v>
      </c>
      <c r="B7417">
        <v>2363</v>
      </c>
      <c r="C7417" t="s">
        <v>164</v>
      </c>
      <c r="D7417">
        <v>5220</v>
      </c>
      <c r="E7417" t="s">
        <v>401</v>
      </c>
      <c r="F7417" s="4">
        <v>63284</v>
      </c>
      <c r="G7417" s="4">
        <v>0</v>
      </c>
      <c r="H7417" s="4">
        <v>0</v>
      </c>
      <c r="I7417" s="4">
        <v>0</v>
      </c>
      <c r="J7417" s="4">
        <v>63284</v>
      </c>
    </row>
    <row r="7418" spans="1:10" x14ac:dyDescent="0.75">
      <c r="A7418" t="s">
        <v>163</v>
      </c>
      <c r="B7418">
        <v>2363</v>
      </c>
      <c r="C7418" t="s">
        <v>164</v>
      </c>
      <c r="D7418">
        <v>2540</v>
      </c>
      <c r="E7418" t="s">
        <v>377</v>
      </c>
      <c r="F7418" s="4">
        <v>62460</v>
      </c>
      <c r="G7418" s="4">
        <v>0</v>
      </c>
      <c r="H7418" s="4">
        <v>0</v>
      </c>
      <c r="I7418" s="4">
        <v>0</v>
      </c>
      <c r="J7418" s="4">
        <v>62460</v>
      </c>
    </row>
    <row r="7419" spans="1:10" x14ac:dyDescent="0.75">
      <c r="A7419" t="s">
        <v>163</v>
      </c>
      <c r="B7419">
        <v>2363</v>
      </c>
      <c r="C7419" t="s">
        <v>164</v>
      </c>
      <c r="D7419">
        <v>3260</v>
      </c>
      <c r="E7419" t="s">
        <v>436</v>
      </c>
      <c r="F7419" s="4">
        <v>56119</v>
      </c>
      <c r="G7419" s="4">
        <v>0</v>
      </c>
      <c r="H7419" s="4">
        <v>0</v>
      </c>
      <c r="I7419" s="4">
        <v>0</v>
      </c>
      <c r="J7419" s="4">
        <v>56119</v>
      </c>
    </row>
    <row r="7420" spans="1:10" x14ac:dyDescent="0.75">
      <c r="A7420" t="s">
        <v>163</v>
      </c>
      <c r="B7420">
        <v>2363</v>
      </c>
      <c r="C7420" t="s">
        <v>164</v>
      </c>
      <c r="D7420">
        <v>6241</v>
      </c>
      <c r="E7420" t="s">
        <v>391</v>
      </c>
      <c r="F7420" s="4">
        <v>50655</v>
      </c>
      <c r="G7420" s="4">
        <v>0</v>
      </c>
      <c r="H7420" s="4">
        <v>0</v>
      </c>
      <c r="I7420" s="4">
        <v>0</v>
      </c>
      <c r="J7420" s="4">
        <v>50655</v>
      </c>
    </row>
    <row r="7421" spans="1:10" x14ac:dyDescent="0.75">
      <c r="A7421" t="s">
        <v>163</v>
      </c>
      <c r="B7421">
        <v>2363</v>
      </c>
      <c r="C7421" t="s">
        <v>164</v>
      </c>
      <c r="D7421">
        <v>4410</v>
      </c>
      <c r="E7421" t="s">
        <v>399</v>
      </c>
      <c r="F7421" s="4">
        <v>50422</v>
      </c>
      <c r="G7421" s="4">
        <v>0</v>
      </c>
      <c r="H7421" s="4">
        <v>0</v>
      </c>
      <c r="I7421" s="4">
        <v>0</v>
      </c>
      <c r="J7421" s="4">
        <v>50422</v>
      </c>
    </row>
    <row r="7422" spans="1:10" x14ac:dyDescent="0.75">
      <c r="A7422" t="s">
        <v>163</v>
      </c>
      <c r="B7422">
        <v>2363</v>
      </c>
      <c r="C7422" t="s">
        <v>164</v>
      </c>
      <c r="D7422">
        <v>3273</v>
      </c>
      <c r="E7422" t="s">
        <v>411</v>
      </c>
      <c r="F7422" s="4">
        <v>45000</v>
      </c>
      <c r="G7422" s="4">
        <v>0</v>
      </c>
      <c r="H7422" s="4">
        <v>0</v>
      </c>
      <c r="I7422" s="4">
        <v>0</v>
      </c>
      <c r="J7422" s="4">
        <v>45000</v>
      </c>
    </row>
    <row r="7423" spans="1:10" x14ac:dyDescent="0.75">
      <c r="A7423" t="s">
        <v>163</v>
      </c>
      <c r="B7423">
        <v>2363</v>
      </c>
      <c r="C7423" t="s">
        <v>164</v>
      </c>
      <c r="D7423">
        <v>2340</v>
      </c>
      <c r="E7423" t="s">
        <v>369</v>
      </c>
      <c r="F7423" s="4">
        <v>34334</v>
      </c>
      <c r="G7423" s="4">
        <v>0</v>
      </c>
      <c r="H7423" s="4">
        <v>0</v>
      </c>
      <c r="I7423" s="4">
        <v>0</v>
      </c>
      <c r="J7423" s="4">
        <v>34334</v>
      </c>
    </row>
    <row r="7424" spans="1:10" x14ac:dyDescent="0.75">
      <c r="A7424" t="s">
        <v>163</v>
      </c>
      <c r="B7424">
        <v>2363</v>
      </c>
      <c r="C7424" t="s">
        <v>164</v>
      </c>
      <c r="D7424">
        <v>5480</v>
      </c>
      <c r="E7424" t="s">
        <v>386</v>
      </c>
      <c r="F7424" s="4">
        <v>32984</v>
      </c>
      <c r="G7424" s="4">
        <v>0</v>
      </c>
      <c r="H7424" s="4">
        <v>0</v>
      </c>
      <c r="I7424" s="4">
        <v>0</v>
      </c>
      <c r="J7424" s="4">
        <v>32984</v>
      </c>
    </row>
    <row r="7425" spans="1:10" x14ac:dyDescent="0.75">
      <c r="A7425" t="s">
        <v>163</v>
      </c>
      <c r="B7425">
        <v>2363</v>
      </c>
      <c r="C7425" t="s">
        <v>164</v>
      </c>
      <c r="D7425">
        <v>3120</v>
      </c>
      <c r="E7425" t="s">
        <v>406</v>
      </c>
      <c r="F7425" s="4">
        <v>32241</v>
      </c>
      <c r="G7425" s="4">
        <v>0</v>
      </c>
      <c r="H7425" s="4">
        <v>0</v>
      </c>
      <c r="I7425" s="4">
        <v>0</v>
      </c>
      <c r="J7425" s="4">
        <v>32241</v>
      </c>
    </row>
    <row r="7426" spans="1:10" x14ac:dyDescent="0.75">
      <c r="A7426" t="s">
        <v>163</v>
      </c>
      <c r="B7426">
        <v>2363</v>
      </c>
      <c r="C7426" t="s">
        <v>164</v>
      </c>
      <c r="D7426">
        <v>2221</v>
      </c>
      <c r="E7426" t="s">
        <v>374</v>
      </c>
      <c r="F7426" s="4">
        <v>31886</v>
      </c>
      <c r="G7426" s="4">
        <v>0</v>
      </c>
      <c r="H7426" s="4">
        <v>0</v>
      </c>
      <c r="I7426" s="4">
        <v>0</v>
      </c>
      <c r="J7426" s="4">
        <v>31886</v>
      </c>
    </row>
    <row r="7427" spans="1:10" x14ac:dyDescent="0.75">
      <c r="A7427" t="s">
        <v>163</v>
      </c>
      <c r="B7427">
        <v>2363</v>
      </c>
      <c r="C7427" t="s">
        <v>164</v>
      </c>
      <c r="D7427">
        <v>4420</v>
      </c>
      <c r="E7427" t="s">
        <v>381</v>
      </c>
      <c r="F7427" s="4">
        <v>31232</v>
      </c>
      <c r="G7427" s="4">
        <v>0</v>
      </c>
      <c r="H7427" s="4">
        <v>0</v>
      </c>
      <c r="I7427" s="4">
        <v>0</v>
      </c>
      <c r="J7427" s="4">
        <v>31232</v>
      </c>
    </row>
    <row r="7428" spans="1:10" x14ac:dyDescent="0.75">
      <c r="A7428" t="s">
        <v>163</v>
      </c>
      <c r="B7428">
        <v>2363</v>
      </c>
      <c r="C7428" t="s">
        <v>164</v>
      </c>
      <c r="D7428">
        <v>5360</v>
      </c>
      <c r="E7428" t="s">
        <v>465</v>
      </c>
      <c r="F7428" s="4">
        <v>21136</v>
      </c>
      <c r="G7428" s="4">
        <v>0</v>
      </c>
      <c r="H7428" s="4">
        <v>0</v>
      </c>
      <c r="I7428" s="4">
        <v>0</v>
      </c>
      <c r="J7428" s="4">
        <v>21136</v>
      </c>
    </row>
    <row r="7429" spans="1:10" x14ac:dyDescent="0.75">
      <c r="A7429" t="s">
        <v>163</v>
      </c>
      <c r="B7429">
        <v>2363</v>
      </c>
      <c r="C7429" t="s">
        <v>164</v>
      </c>
      <c r="D7429">
        <v>4335</v>
      </c>
      <c r="E7429" t="s">
        <v>372</v>
      </c>
      <c r="F7429" s="4">
        <v>19574</v>
      </c>
      <c r="G7429" s="4">
        <v>0</v>
      </c>
      <c r="H7429" s="4">
        <v>0</v>
      </c>
      <c r="I7429" s="4">
        <v>0</v>
      </c>
      <c r="J7429" s="4">
        <v>19574</v>
      </c>
    </row>
    <row r="7430" spans="1:10" x14ac:dyDescent="0.75">
      <c r="A7430" t="s">
        <v>163</v>
      </c>
      <c r="B7430">
        <v>2363</v>
      </c>
      <c r="C7430" t="s">
        <v>164</v>
      </c>
      <c r="D7430">
        <v>5390</v>
      </c>
      <c r="E7430" t="s">
        <v>418</v>
      </c>
      <c r="F7430" s="4">
        <v>17903</v>
      </c>
      <c r="G7430" s="4">
        <v>0</v>
      </c>
      <c r="H7430" s="4">
        <v>0</v>
      </c>
      <c r="I7430" s="4">
        <v>0</v>
      </c>
      <c r="J7430" s="4">
        <v>17903</v>
      </c>
    </row>
    <row r="7431" spans="1:10" x14ac:dyDescent="0.75">
      <c r="A7431" t="s">
        <v>163</v>
      </c>
      <c r="B7431">
        <v>2363</v>
      </c>
      <c r="C7431" t="s">
        <v>164</v>
      </c>
      <c r="D7431">
        <v>3276</v>
      </c>
      <c r="E7431" t="s">
        <v>379</v>
      </c>
      <c r="F7431" s="4">
        <v>14941</v>
      </c>
      <c r="G7431" s="4">
        <v>0</v>
      </c>
      <c r="H7431" s="4">
        <v>0</v>
      </c>
      <c r="I7431" s="4">
        <v>0</v>
      </c>
      <c r="J7431" s="4">
        <v>14941</v>
      </c>
    </row>
    <row r="7432" spans="1:10" x14ac:dyDescent="0.75">
      <c r="A7432" t="s">
        <v>163</v>
      </c>
      <c r="B7432">
        <v>2363</v>
      </c>
      <c r="C7432" t="s">
        <v>164</v>
      </c>
      <c r="D7432">
        <v>1200</v>
      </c>
      <c r="E7432" t="s">
        <v>402</v>
      </c>
      <c r="F7432" s="4">
        <v>14137</v>
      </c>
      <c r="G7432" s="4">
        <v>0</v>
      </c>
      <c r="H7432" s="4">
        <v>0</v>
      </c>
      <c r="I7432" s="4">
        <v>0</v>
      </c>
      <c r="J7432" s="4">
        <v>14137</v>
      </c>
    </row>
    <row r="7433" spans="1:10" x14ac:dyDescent="0.75">
      <c r="A7433" t="s">
        <v>163</v>
      </c>
      <c r="B7433">
        <v>2363</v>
      </c>
      <c r="C7433" t="s">
        <v>164</v>
      </c>
      <c r="D7433">
        <v>2429</v>
      </c>
      <c r="E7433" t="s">
        <v>375</v>
      </c>
      <c r="F7433" s="4">
        <v>8351</v>
      </c>
      <c r="G7433" s="4">
        <v>0</v>
      </c>
      <c r="H7433" s="4">
        <v>0</v>
      </c>
      <c r="I7433" s="4">
        <v>0</v>
      </c>
      <c r="J7433" s="4">
        <v>8351</v>
      </c>
    </row>
    <row r="7434" spans="1:10" x14ac:dyDescent="0.75">
      <c r="A7434" t="s">
        <v>163</v>
      </c>
      <c r="B7434">
        <v>2363</v>
      </c>
      <c r="C7434" t="s">
        <v>164</v>
      </c>
      <c r="D7434">
        <v>7110</v>
      </c>
      <c r="E7434" t="s">
        <v>371</v>
      </c>
      <c r="F7434" s="4">
        <v>6700</v>
      </c>
      <c r="G7434" s="4">
        <v>0</v>
      </c>
      <c r="H7434" s="4">
        <v>0</v>
      </c>
      <c r="I7434" s="4">
        <v>0</v>
      </c>
      <c r="J7434" s="4">
        <v>6700</v>
      </c>
    </row>
    <row r="7435" spans="1:10" x14ac:dyDescent="0.75">
      <c r="A7435" t="s">
        <v>163</v>
      </c>
      <c r="B7435">
        <v>2363</v>
      </c>
      <c r="C7435" t="s">
        <v>164</v>
      </c>
      <c r="D7435">
        <v>5422</v>
      </c>
      <c r="E7435" t="s">
        <v>468</v>
      </c>
      <c r="F7435" s="4">
        <v>4301</v>
      </c>
      <c r="G7435" s="4">
        <v>0</v>
      </c>
      <c r="H7435" s="4">
        <v>0</v>
      </c>
      <c r="I7435" s="4">
        <v>0</v>
      </c>
      <c r="J7435" s="4">
        <v>4301</v>
      </c>
    </row>
    <row r="7436" spans="1:10" x14ac:dyDescent="0.75">
      <c r="A7436" t="s">
        <v>163</v>
      </c>
      <c r="B7436">
        <v>2363</v>
      </c>
      <c r="C7436" t="s">
        <v>164</v>
      </c>
      <c r="D7436">
        <v>5315</v>
      </c>
      <c r="E7436" t="s">
        <v>417</v>
      </c>
      <c r="F7436" s="4">
        <v>2975</v>
      </c>
      <c r="G7436" s="4">
        <v>0</v>
      </c>
      <c r="H7436" s="4">
        <v>0</v>
      </c>
      <c r="I7436" s="4">
        <v>0</v>
      </c>
      <c r="J7436" s="4">
        <v>2975</v>
      </c>
    </row>
    <row r="7437" spans="1:10" x14ac:dyDescent="0.75">
      <c r="A7437" t="s">
        <v>163</v>
      </c>
      <c r="B7437">
        <v>2363</v>
      </c>
      <c r="C7437" t="s">
        <v>164</v>
      </c>
      <c r="D7437">
        <v>4782</v>
      </c>
      <c r="E7437" t="s">
        <v>414</v>
      </c>
      <c r="F7437" s="4">
        <v>1662</v>
      </c>
      <c r="G7437" s="4">
        <v>0</v>
      </c>
      <c r="H7437" s="4">
        <v>0</v>
      </c>
      <c r="I7437" s="4">
        <v>0</v>
      </c>
      <c r="J7437" s="4">
        <v>1662</v>
      </c>
    </row>
    <row r="7438" spans="1:10" x14ac:dyDescent="0.75">
      <c r="A7438" t="s">
        <v>151</v>
      </c>
      <c r="B7438">
        <v>539</v>
      </c>
      <c r="C7438" t="s">
        <v>343</v>
      </c>
      <c r="D7438">
        <v>2340</v>
      </c>
      <c r="E7438" t="s">
        <v>369</v>
      </c>
      <c r="F7438" s="4">
        <v>1656</v>
      </c>
      <c r="G7438" s="4">
        <v>0</v>
      </c>
      <c r="H7438" s="4">
        <v>0</v>
      </c>
      <c r="I7438" s="4">
        <v>0</v>
      </c>
      <c r="J7438" s="4">
        <v>1656</v>
      </c>
    </row>
    <row r="7439" spans="1:10" x14ac:dyDescent="0.75">
      <c r="A7439" t="s">
        <v>151</v>
      </c>
      <c r="B7439">
        <v>539</v>
      </c>
      <c r="C7439" t="s">
        <v>343</v>
      </c>
      <c r="D7439">
        <v>2330</v>
      </c>
      <c r="E7439" t="s">
        <v>368</v>
      </c>
      <c r="F7439" s="4">
        <v>1471</v>
      </c>
      <c r="G7439" s="4">
        <v>0</v>
      </c>
      <c r="H7439" s="4">
        <v>0</v>
      </c>
      <c r="I7439" s="4">
        <v>0</v>
      </c>
      <c r="J7439" s="4">
        <v>1471</v>
      </c>
    </row>
    <row r="7440" spans="1:10" x14ac:dyDescent="0.75">
      <c r="A7440" t="s">
        <v>163</v>
      </c>
      <c r="B7440">
        <v>2319</v>
      </c>
      <c r="C7440" t="s">
        <v>179</v>
      </c>
      <c r="D7440">
        <v>6344</v>
      </c>
      <c r="E7440" t="s">
        <v>392</v>
      </c>
      <c r="F7440" s="4">
        <v>3748611</v>
      </c>
      <c r="G7440" s="4">
        <v>0</v>
      </c>
      <c r="H7440" s="4">
        <v>0</v>
      </c>
      <c r="I7440" s="4">
        <v>0</v>
      </c>
      <c r="J7440" s="4">
        <v>3748611</v>
      </c>
    </row>
    <row r="7441" spans="1:10" x14ac:dyDescent="0.75">
      <c r="A7441" t="s">
        <v>163</v>
      </c>
      <c r="B7441">
        <v>2319</v>
      </c>
      <c r="C7441" t="s">
        <v>179</v>
      </c>
      <c r="D7441">
        <v>6522</v>
      </c>
      <c r="E7441" t="s">
        <v>393</v>
      </c>
      <c r="F7441" s="4">
        <v>1844214</v>
      </c>
      <c r="G7441" s="4">
        <v>0</v>
      </c>
      <c r="H7441" s="4">
        <v>0</v>
      </c>
      <c r="I7441" s="4">
        <v>0</v>
      </c>
      <c r="J7441" s="4">
        <v>1844214</v>
      </c>
    </row>
    <row r="7442" spans="1:10" x14ac:dyDescent="0.75">
      <c r="A7442" t="s">
        <v>163</v>
      </c>
      <c r="B7442">
        <v>2319</v>
      </c>
      <c r="C7442" t="s">
        <v>179</v>
      </c>
      <c r="D7442">
        <v>1100</v>
      </c>
      <c r="E7442" t="s">
        <v>397</v>
      </c>
      <c r="F7442" s="4">
        <v>952429</v>
      </c>
      <c r="G7442" s="4">
        <v>0</v>
      </c>
      <c r="H7442" s="4">
        <v>0</v>
      </c>
      <c r="I7442" s="4">
        <v>0</v>
      </c>
      <c r="J7442" s="4">
        <v>952429</v>
      </c>
    </row>
    <row r="7443" spans="1:10" x14ac:dyDescent="0.75">
      <c r="A7443" t="s">
        <v>163</v>
      </c>
      <c r="B7443">
        <v>2319</v>
      </c>
      <c r="C7443" t="s">
        <v>179</v>
      </c>
      <c r="D7443">
        <v>3220</v>
      </c>
      <c r="E7443" t="s">
        <v>370</v>
      </c>
      <c r="F7443" s="4">
        <v>649605</v>
      </c>
      <c r="G7443" s="4">
        <v>0</v>
      </c>
      <c r="H7443" s="4">
        <v>0</v>
      </c>
      <c r="I7443" s="4">
        <v>0</v>
      </c>
      <c r="J7443" s="4">
        <v>649605</v>
      </c>
    </row>
    <row r="7444" spans="1:10" x14ac:dyDescent="0.75">
      <c r="A7444" t="s">
        <v>163</v>
      </c>
      <c r="B7444">
        <v>2319</v>
      </c>
      <c r="C7444" t="s">
        <v>179</v>
      </c>
      <c r="D7444">
        <v>6590</v>
      </c>
      <c r="E7444" t="s">
        <v>394</v>
      </c>
      <c r="F7444" s="4">
        <v>636198</v>
      </c>
      <c r="G7444" s="4">
        <v>0</v>
      </c>
      <c r="H7444" s="4">
        <v>0</v>
      </c>
      <c r="I7444" s="4">
        <v>0</v>
      </c>
      <c r="J7444" s="4">
        <v>636198</v>
      </c>
    </row>
    <row r="7445" spans="1:10" x14ac:dyDescent="0.75">
      <c r="A7445" t="s">
        <v>163</v>
      </c>
      <c r="B7445">
        <v>2319</v>
      </c>
      <c r="C7445" t="s">
        <v>179</v>
      </c>
      <c r="D7445">
        <v>6782</v>
      </c>
      <c r="E7445" t="s">
        <v>396</v>
      </c>
      <c r="F7445" s="4">
        <v>342675</v>
      </c>
      <c r="G7445" s="4">
        <v>0</v>
      </c>
      <c r="H7445" s="4">
        <v>0</v>
      </c>
      <c r="I7445" s="4">
        <v>0</v>
      </c>
      <c r="J7445" s="4">
        <v>342675</v>
      </c>
    </row>
    <row r="7446" spans="1:10" x14ac:dyDescent="0.75">
      <c r="A7446" t="s">
        <v>163</v>
      </c>
      <c r="B7446">
        <v>2319</v>
      </c>
      <c r="C7446" t="s">
        <v>179</v>
      </c>
      <c r="D7446">
        <v>3110</v>
      </c>
      <c r="E7446" t="s">
        <v>405</v>
      </c>
      <c r="F7446" s="4">
        <v>167160</v>
      </c>
      <c r="G7446" s="4">
        <v>0</v>
      </c>
      <c r="H7446" s="4">
        <v>0</v>
      </c>
      <c r="I7446" s="4">
        <v>0</v>
      </c>
      <c r="J7446" s="4">
        <v>167160</v>
      </c>
    </row>
    <row r="7447" spans="1:10" x14ac:dyDescent="0.75">
      <c r="A7447" t="s">
        <v>163</v>
      </c>
      <c r="B7447">
        <v>2319</v>
      </c>
      <c r="C7447" t="s">
        <v>179</v>
      </c>
      <c r="D7447">
        <v>3274</v>
      </c>
      <c r="E7447" t="s">
        <v>438</v>
      </c>
      <c r="F7447" s="4">
        <v>163156</v>
      </c>
      <c r="G7447" s="4">
        <v>0</v>
      </c>
      <c r="H7447" s="4">
        <v>0</v>
      </c>
      <c r="I7447" s="4">
        <v>0</v>
      </c>
      <c r="J7447" s="4">
        <v>163156</v>
      </c>
    </row>
    <row r="7448" spans="1:10" x14ac:dyDescent="0.75">
      <c r="A7448" t="s">
        <v>163</v>
      </c>
      <c r="B7448">
        <v>2319</v>
      </c>
      <c r="C7448" t="s">
        <v>179</v>
      </c>
      <c r="D7448">
        <v>6241</v>
      </c>
      <c r="E7448" t="s">
        <v>391</v>
      </c>
      <c r="F7448" s="4">
        <v>125380</v>
      </c>
      <c r="G7448" s="4">
        <v>0</v>
      </c>
      <c r="H7448" s="4">
        <v>0</v>
      </c>
      <c r="I7448" s="4">
        <v>0</v>
      </c>
      <c r="J7448" s="4">
        <v>125380</v>
      </c>
    </row>
    <row r="7449" spans="1:10" x14ac:dyDescent="0.75">
      <c r="A7449" t="s">
        <v>163</v>
      </c>
      <c r="B7449">
        <v>2319</v>
      </c>
      <c r="C7449" t="s">
        <v>179</v>
      </c>
      <c r="D7449">
        <v>2429</v>
      </c>
      <c r="E7449" t="s">
        <v>375</v>
      </c>
      <c r="F7449" s="4">
        <v>66597</v>
      </c>
      <c r="G7449" s="4">
        <v>0</v>
      </c>
      <c r="H7449" s="4">
        <v>0</v>
      </c>
      <c r="I7449" s="4">
        <v>0</v>
      </c>
      <c r="J7449" s="4">
        <v>66597</v>
      </c>
    </row>
    <row r="7450" spans="1:10" x14ac:dyDescent="0.75">
      <c r="A7450" t="s">
        <v>163</v>
      </c>
      <c r="B7450">
        <v>2319</v>
      </c>
      <c r="C7450" t="s">
        <v>179</v>
      </c>
      <c r="D7450">
        <v>3190</v>
      </c>
      <c r="E7450" t="s">
        <v>408</v>
      </c>
      <c r="F7450" s="4">
        <v>57006</v>
      </c>
      <c r="G7450" s="4">
        <v>0</v>
      </c>
      <c r="H7450" s="4">
        <v>0</v>
      </c>
      <c r="I7450" s="4">
        <v>0</v>
      </c>
      <c r="J7450" s="4">
        <v>57006</v>
      </c>
    </row>
    <row r="7451" spans="1:10" x14ac:dyDescent="0.75">
      <c r="A7451" t="s">
        <v>163</v>
      </c>
      <c r="B7451">
        <v>2319</v>
      </c>
      <c r="C7451" t="s">
        <v>179</v>
      </c>
      <c r="D7451">
        <v>3130</v>
      </c>
      <c r="E7451" t="s">
        <v>407</v>
      </c>
      <c r="F7451" s="4">
        <v>47333</v>
      </c>
      <c r="G7451" s="4">
        <v>0</v>
      </c>
      <c r="H7451" s="4">
        <v>0</v>
      </c>
      <c r="I7451" s="4">
        <v>0</v>
      </c>
      <c r="J7451" s="4">
        <v>47333</v>
      </c>
    </row>
    <row r="7452" spans="1:10" x14ac:dyDescent="0.75">
      <c r="A7452" t="s">
        <v>163</v>
      </c>
      <c r="B7452">
        <v>2319</v>
      </c>
      <c r="C7452" t="s">
        <v>179</v>
      </c>
      <c r="D7452">
        <v>1200</v>
      </c>
      <c r="E7452" t="s">
        <v>402</v>
      </c>
      <c r="F7452" s="4">
        <v>35560</v>
      </c>
      <c r="G7452" s="4">
        <v>0</v>
      </c>
      <c r="H7452" s="4">
        <v>0</v>
      </c>
      <c r="I7452" s="4">
        <v>0</v>
      </c>
      <c r="J7452" s="4">
        <v>35560</v>
      </c>
    </row>
    <row r="7453" spans="1:10" x14ac:dyDescent="0.75">
      <c r="A7453" t="s">
        <v>163</v>
      </c>
      <c r="B7453">
        <v>2319</v>
      </c>
      <c r="C7453" t="s">
        <v>179</v>
      </c>
      <c r="D7453">
        <v>2330</v>
      </c>
      <c r="E7453" t="s">
        <v>368</v>
      </c>
      <c r="F7453" s="4">
        <v>25792</v>
      </c>
      <c r="G7453" s="4">
        <v>0</v>
      </c>
      <c r="H7453" s="4">
        <v>0</v>
      </c>
      <c r="I7453" s="4">
        <v>0</v>
      </c>
      <c r="J7453" s="4">
        <v>25792</v>
      </c>
    </row>
    <row r="7454" spans="1:10" x14ac:dyDescent="0.75">
      <c r="A7454" t="s">
        <v>163</v>
      </c>
      <c r="B7454">
        <v>2319</v>
      </c>
      <c r="C7454" t="s">
        <v>179</v>
      </c>
      <c r="D7454">
        <v>3120</v>
      </c>
      <c r="E7454" t="s">
        <v>406</v>
      </c>
      <c r="F7454" s="4">
        <v>15046</v>
      </c>
      <c r="G7454" s="4">
        <v>0</v>
      </c>
      <c r="H7454" s="4">
        <v>0</v>
      </c>
      <c r="I7454" s="4">
        <v>0</v>
      </c>
      <c r="J7454" s="4">
        <v>15046</v>
      </c>
    </row>
    <row r="7455" spans="1:10" x14ac:dyDescent="0.75">
      <c r="A7455" t="s">
        <v>163</v>
      </c>
      <c r="B7455">
        <v>2319</v>
      </c>
      <c r="C7455" t="s">
        <v>179</v>
      </c>
      <c r="D7455">
        <v>4420</v>
      </c>
      <c r="E7455" t="s">
        <v>381</v>
      </c>
      <c r="F7455" s="4">
        <v>10262</v>
      </c>
      <c r="G7455" s="4">
        <v>0</v>
      </c>
      <c r="H7455" s="4">
        <v>0</v>
      </c>
      <c r="I7455" s="4">
        <v>0</v>
      </c>
      <c r="J7455" s="4">
        <v>10262</v>
      </c>
    </row>
    <row r="7456" spans="1:10" x14ac:dyDescent="0.75">
      <c r="A7456" t="s">
        <v>163</v>
      </c>
      <c r="B7456">
        <v>2319</v>
      </c>
      <c r="C7456" t="s">
        <v>179</v>
      </c>
      <c r="D7456">
        <v>2211</v>
      </c>
      <c r="E7456" t="s">
        <v>367</v>
      </c>
      <c r="F7456" s="4">
        <v>7620</v>
      </c>
      <c r="G7456" s="4">
        <v>0</v>
      </c>
      <c r="H7456" s="4">
        <v>0</v>
      </c>
      <c r="I7456" s="4">
        <v>0</v>
      </c>
      <c r="J7456" s="4">
        <v>7620</v>
      </c>
    </row>
    <row r="7457" spans="1:10" x14ac:dyDescent="0.75">
      <c r="A7457" t="s">
        <v>163</v>
      </c>
      <c r="B7457">
        <v>2319</v>
      </c>
      <c r="C7457" t="s">
        <v>179</v>
      </c>
      <c r="D7457">
        <v>6654</v>
      </c>
      <c r="E7457" t="s">
        <v>419</v>
      </c>
      <c r="F7457" s="4">
        <v>7354</v>
      </c>
      <c r="G7457" s="4">
        <v>0</v>
      </c>
      <c r="H7457" s="4">
        <v>0</v>
      </c>
      <c r="I7457" s="4">
        <v>0</v>
      </c>
      <c r="J7457" s="4">
        <v>7354</v>
      </c>
    </row>
    <row r="7458" spans="1:10" x14ac:dyDescent="0.75">
      <c r="A7458" t="s">
        <v>163</v>
      </c>
      <c r="B7458">
        <v>2319</v>
      </c>
      <c r="C7458" t="s">
        <v>179</v>
      </c>
      <c r="D7458">
        <v>3276</v>
      </c>
      <c r="E7458" t="s">
        <v>379</v>
      </c>
      <c r="F7458" s="4">
        <v>6083</v>
      </c>
      <c r="G7458" s="4">
        <v>0</v>
      </c>
      <c r="H7458" s="4">
        <v>0</v>
      </c>
      <c r="I7458" s="4">
        <v>0</v>
      </c>
      <c r="J7458" s="4">
        <v>6083</v>
      </c>
    </row>
    <row r="7459" spans="1:10" x14ac:dyDescent="0.75">
      <c r="A7459" t="s">
        <v>163</v>
      </c>
      <c r="B7459">
        <v>2319</v>
      </c>
      <c r="C7459" t="s">
        <v>179</v>
      </c>
      <c r="D7459">
        <v>2540</v>
      </c>
      <c r="E7459" t="s">
        <v>377</v>
      </c>
      <c r="F7459" s="4">
        <v>4302</v>
      </c>
      <c r="G7459" s="4">
        <v>0</v>
      </c>
      <c r="H7459" s="4">
        <v>0</v>
      </c>
      <c r="I7459" s="4">
        <v>0</v>
      </c>
      <c r="J7459" s="4">
        <v>4302</v>
      </c>
    </row>
    <row r="7460" spans="1:10" x14ac:dyDescent="0.75">
      <c r="A7460" t="s">
        <v>163</v>
      </c>
      <c r="B7460">
        <v>2319</v>
      </c>
      <c r="C7460" t="s">
        <v>179</v>
      </c>
      <c r="D7460">
        <v>4650</v>
      </c>
      <c r="E7460" t="s">
        <v>457</v>
      </c>
      <c r="F7460" s="4">
        <v>3315</v>
      </c>
      <c r="G7460" s="4">
        <v>0</v>
      </c>
      <c r="H7460" s="4">
        <v>0</v>
      </c>
      <c r="I7460" s="4">
        <v>0</v>
      </c>
      <c r="J7460" s="4">
        <v>3315</v>
      </c>
    </row>
    <row r="7461" spans="1:10" x14ac:dyDescent="0.75">
      <c r="A7461" t="s">
        <v>163</v>
      </c>
      <c r="B7461">
        <v>2319</v>
      </c>
      <c r="C7461" t="s">
        <v>179</v>
      </c>
      <c r="D7461">
        <v>4331</v>
      </c>
      <c r="E7461" t="s">
        <v>390</v>
      </c>
      <c r="F7461" s="4">
        <v>1600</v>
      </c>
      <c r="G7461" s="4">
        <v>0</v>
      </c>
      <c r="H7461" s="4">
        <v>0</v>
      </c>
      <c r="I7461" s="4">
        <v>0</v>
      </c>
      <c r="J7461" s="4">
        <v>1600</v>
      </c>
    </row>
    <row r="7462" spans="1:10" x14ac:dyDescent="0.75">
      <c r="A7462" t="s">
        <v>163</v>
      </c>
      <c r="B7462">
        <v>2319</v>
      </c>
      <c r="C7462" t="s">
        <v>179</v>
      </c>
      <c r="D7462">
        <v>6747</v>
      </c>
      <c r="E7462" t="s">
        <v>478</v>
      </c>
      <c r="F7462" s="4">
        <v>1584</v>
      </c>
      <c r="G7462" s="4">
        <v>0</v>
      </c>
      <c r="H7462" s="4">
        <v>0</v>
      </c>
      <c r="I7462" s="4">
        <v>0</v>
      </c>
      <c r="J7462" s="4">
        <v>1584</v>
      </c>
    </row>
    <row r="7463" spans="1:10" x14ac:dyDescent="0.75">
      <c r="A7463" t="s">
        <v>163</v>
      </c>
      <c r="B7463">
        <v>2319</v>
      </c>
      <c r="C7463" t="s">
        <v>179</v>
      </c>
      <c r="D7463">
        <v>5312</v>
      </c>
      <c r="E7463" t="s">
        <v>416</v>
      </c>
      <c r="F7463" s="4">
        <v>1570</v>
      </c>
      <c r="G7463" s="4">
        <v>0</v>
      </c>
      <c r="H7463" s="4">
        <v>0</v>
      </c>
      <c r="I7463" s="4">
        <v>0</v>
      </c>
      <c r="J7463" s="4">
        <v>1570</v>
      </c>
    </row>
    <row r="7464" spans="1:10" x14ac:dyDescent="0.75">
      <c r="A7464" t="s">
        <v>163</v>
      </c>
      <c r="B7464">
        <v>2319</v>
      </c>
      <c r="C7464" t="s">
        <v>179</v>
      </c>
      <c r="D7464">
        <v>5330</v>
      </c>
      <c r="E7464" t="s">
        <v>385</v>
      </c>
      <c r="F7464" s="4">
        <v>1098</v>
      </c>
      <c r="G7464" s="4">
        <v>0</v>
      </c>
      <c r="H7464" s="4">
        <v>0</v>
      </c>
      <c r="I7464" s="4">
        <v>0</v>
      </c>
      <c r="J7464" s="4">
        <v>1098</v>
      </c>
    </row>
    <row r="7465" spans="1:10" x14ac:dyDescent="0.75">
      <c r="A7465" t="s">
        <v>163</v>
      </c>
      <c r="B7465">
        <v>2343</v>
      </c>
      <c r="C7465" t="s">
        <v>265</v>
      </c>
      <c r="D7465">
        <v>4331</v>
      </c>
      <c r="E7465" t="s">
        <v>390</v>
      </c>
      <c r="F7465" s="4">
        <v>740776</v>
      </c>
      <c r="G7465" s="4">
        <v>0</v>
      </c>
      <c r="H7465" s="4">
        <v>0</v>
      </c>
      <c r="I7465" s="4">
        <v>0</v>
      </c>
      <c r="J7465" s="4">
        <v>740776</v>
      </c>
    </row>
    <row r="7466" spans="1:10" x14ac:dyDescent="0.75">
      <c r="A7466" t="s">
        <v>163</v>
      </c>
      <c r="B7466">
        <v>2343</v>
      </c>
      <c r="C7466" t="s">
        <v>265</v>
      </c>
      <c r="D7466">
        <v>1100</v>
      </c>
      <c r="E7466" t="s">
        <v>397</v>
      </c>
      <c r="F7466" s="4">
        <v>86641</v>
      </c>
      <c r="G7466" s="4">
        <v>0</v>
      </c>
      <c r="H7466" s="4">
        <v>0</v>
      </c>
      <c r="I7466" s="4">
        <v>0</v>
      </c>
      <c r="J7466" s="4">
        <v>86641</v>
      </c>
    </row>
    <row r="7467" spans="1:10" x14ac:dyDescent="0.75">
      <c r="A7467" t="s">
        <v>160</v>
      </c>
      <c r="B7467">
        <v>3623</v>
      </c>
      <c r="C7467" t="s">
        <v>331</v>
      </c>
      <c r="D7467">
        <v>7900</v>
      </c>
      <c r="E7467" t="s">
        <v>388</v>
      </c>
      <c r="F7467" s="4">
        <v>25261</v>
      </c>
      <c r="G7467" s="4">
        <v>0</v>
      </c>
      <c r="H7467" s="4">
        <v>0</v>
      </c>
      <c r="I7467" s="4">
        <v>0</v>
      </c>
      <c r="J7467" s="4">
        <v>25261</v>
      </c>
    </row>
    <row r="7468" spans="1:10" x14ac:dyDescent="0.75">
      <c r="A7468" t="s">
        <v>160</v>
      </c>
      <c r="B7468">
        <v>3745</v>
      </c>
      <c r="C7468" t="s">
        <v>332</v>
      </c>
      <c r="D7468">
        <v>7900</v>
      </c>
      <c r="E7468" t="s">
        <v>388</v>
      </c>
      <c r="F7468" s="4">
        <v>14214</v>
      </c>
      <c r="G7468" s="4">
        <v>0</v>
      </c>
      <c r="H7468" s="4">
        <v>0</v>
      </c>
      <c r="I7468" s="4">
        <v>0</v>
      </c>
      <c r="J7468" s="4">
        <v>14214</v>
      </c>
    </row>
    <row r="7469" spans="1:10" x14ac:dyDescent="0.75">
      <c r="A7469" t="s">
        <v>160</v>
      </c>
      <c r="B7469">
        <v>3745</v>
      </c>
      <c r="C7469" t="s">
        <v>332</v>
      </c>
      <c r="D7469">
        <v>2211</v>
      </c>
      <c r="E7469" t="s">
        <v>367</v>
      </c>
      <c r="F7469" s="4">
        <v>1017</v>
      </c>
      <c r="G7469" s="4">
        <v>0</v>
      </c>
      <c r="H7469" s="4">
        <v>0</v>
      </c>
      <c r="I7469" s="4">
        <v>0</v>
      </c>
      <c r="J7469" s="4">
        <v>1017</v>
      </c>
    </row>
    <row r="7470" spans="1:10" x14ac:dyDescent="0.75">
      <c r="A7470" t="s">
        <v>160</v>
      </c>
      <c r="B7470">
        <v>3745</v>
      </c>
      <c r="C7470" t="s">
        <v>332</v>
      </c>
      <c r="D7470">
        <v>2330</v>
      </c>
      <c r="E7470" t="s">
        <v>368</v>
      </c>
      <c r="F7470" s="4">
        <v>115</v>
      </c>
      <c r="G7470" s="4">
        <v>0</v>
      </c>
      <c r="H7470" s="4">
        <v>0</v>
      </c>
      <c r="I7470" s="4">
        <v>0</v>
      </c>
      <c r="J7470" s="4">
        <v>115</v>
      </c>
    </row>
    <row r="7471" spans="1:10" x14ac:dyDescent="0.75">
      <c r="A7471" t="s">
        <v>160</v>
      </c>
      <c r="B7471">
        <v>3745</v>
      </c>
      <c r="C7471" t="s">
        <v>332</v>
      </c>
      <c r="D7471">
        <v>5290</v>
      </c>
      <c r="E7471" t="s">
        <v>415</v>
      </c>
      <c r="F7471" s="4">
        <v>25</v>
      </c>
      <c r="G7471" s="4">
        <v>0</v>
      </c>
      <c r="H7471" s="4">
        <v>0</v>
      </c>
      <c r="I7471" s="4">
        <v>0</v>
      </c>
      <c r="J7471" s="4">
        <v>25</v>
      </c>
    </row>
    <row r="7472" spans="1:10" x14ac:dyDescent="0.75">
      <c r="A7472" t="s">
        <v>160</v>
      </c>
      <c r="B7472">
        <v>3745</v>
      </c>
      <c r="C7472" t="s">
        <v>332</v>
      </c>
      <c r="D7472">
        <v>7110</v>
      </c>
      <c r="E7472" t="s">
        <v>371</v>
      </c>
      <c r="F7472" s="4">
        <v>2</v>
      </c>
      <c r="G7472" s="4">
        <v>0</v>
      </c>
      <c r="H7472" s="4">
        <v>0</v>
      </c>
      <c r="I7472" s="4">
        <v>0</v>
      </c>
      <c r="J7472" s="4">
        <v>2</v>
      </c>
    </row>
    <row r="7473" spans="1:10" x14ac:dyDescent="0.75">
      <c r="A7473" t="s">
        <v>160</v>
      </c>
      <c r="B7473">
        <v>3733</v>
      </c>
      <c r="C7473" t="s">
        <v>287</v>
      </c>
      <c r="D7473">
        <v>4322</v>
      </c>
      <c r="E7473" t="s">
        <v>398</v>
      </c>
      <c r="F7473" s="4">
        <v>168552</v>
      </c>
      <c r="G7473" s="4">
        <v>0</v>
      </c>
      <c r="H7473" s="4">
        <v>0</v>
      </c>
      <c r="I7473" s="4">
        <v>0</v>
      </c>
      <c r="J7473" s="4">
        <v>168552</v>
      </c>
    </row>
    <row r="7474" spans="1:10" x14ac:dyDescent="0.75">
      <c r="A7474" t="s">
        <v>160</v>
      </c>
      <c r="B7474">
        <v>3733</v>
      </c>
      <c r="C7474" t="s">
        <v>287</v>
      </c>
      <c r="D7474">
        <v>5220</v>
      </c>
      <c r="E7474" t="s">
        <v>401</v>
      </c>
      <c r="F7474" s="4">
        <v>146597</v>
      </c>
      <c r="G7474" s="4">
        <v>0</v>
      </c>
      <c r="H7474" s="4">
        <v>0</v>
      </c>
      <c r="I7474" s="4">
        <v>0</v>
      </c>
      <c r="J7474" s="4">
        <v>146597</v>
      </c>
    </row>
    <row r="7475" spans="1:10" x14ac:dyDescent="0.75">
      <c r="A7475" t="s">
        <v>160</v>
      </c>
      <c r="B7475">
        <v>3733</v>
      </c>
      <c r="C7475" t="s">
        <v>287</v>
      </c>
      <c r="D7475">
        <v>4331</v>
      </c>
      <c r="E7475" t="s">
        <v>390</v>
      </c>
      <c r="F7475" s="4">
        <v>0</v>
      </c>
      <c r="G7475" s="4">
        <v>45746</v>
      </c>
      <c r="H7475" s="4">
        <v>45746</v>
      </c>
      <c r="I7475" s="4">
        <v>0</v>
      </c>
      <c r="J7475" s="4">
        <v>45746</v>
      </c>
    </row>
    <row r="7476" spans="1:10" x14ac:dyDescent="0.75">
      <c r="A7476" t="s">
        <v>160</v>
      </c>
      <c r="B7476">
        <v>3733</v>
      </c>
      <c r="C7476" t="s">
        <v>287</v>
      </c>
      <c r="D7476">
        <v>4860</v>
      </c>
      <c r="E7476" t="s">
        <v>400</v>
      </c>
      <c r="F7476" s="4">
        <v>3284</v>
      </c>
      <c r="G7476" s="4">
        <v>0</v>
      </c>
      <c r="H7476" s="4">
        <v>0</v>
      </c>
      <c r="I7476" s="4">
        <v>0</v>
      </c>
      <c r="J7476" s="4">
        <v>3284</v>
      </c>
    </row>
    <row r="7477" spans="1:10" x14ac:dyDescent="0.75">
      <c r="A7477" t="s">
        <v>163</v>
      </c>
      <c r="B7477">
        <v>2341</v>
      </c>
      <c r="C7477" t="s">
        <v>184</v>
      </c>
      <c r="D7477">
        <v>6344</v>
      </c>
      <c r="E7477" t="s">
        <v>392</v>
      </c>
      <c r="F7477" s="4">
        <v>2354718</v>
      </c>
      <c r="G7477" s="4">
        <v>0</v>
      </c>
      <c r="H7477" s="4">
        <v>0</v>
      </c>
      <c r="I7477" s="4">
        <v>0</v>
      </c>
      <c r="J7477" s="4">
        <v>2354718</v>
      </c>
    </row>
    <row r="7478" spans="1:10" x14ac:dyDescent="0.75">
      <c r="A7478" t="s">
        <v>163</v>
      </c>
      <c r="B7478">
        <v>2341</v>
      </c>
      <c r="C7478" t="s">
        <v>184</v>
      </c>
      <c r="D7478">
        <v>6522</v>
      </c>
      <c r="E7478" t="s">
        <v>393</v>
      </c>
      <c r="F7478" s="4">
        <v>1151881</v>
      </c>
      <c r="G7478" s="4">
        <v>0</v>
      </c>
      <c r="H7478" s="4">
        <v>0</v>
      </c>
      <c r="I7478" s="4">
        <v>0</v>
      </c>
      <c r="J7478" s="4">
        <v>1151881</v>
      </c>
    </row>
    <row r="7479" spans="1:10" x14ac:dyDescent="0.75">
      <c r="A7479" t="s">
        <v>163</v>
      </c>
      <c r="B7479">
        <v>2341</v>
      </c>
      <c r="C7479" t="s">
        <v>184</v>
      </c>
      <c r="D7479">
        <v>3110</v>
      </c>
      <c r="E7479" t="s">
        <v>405</v>
      </c>
      <c r="F7479" s="4">
        <v>679895</v>
      </c>
      <c r="G7479" s="4">
        <v>0</v>
      </c>
      <c r="H7479" s="4">
        <v>0</v>
      </c>
      <c r="I7479" s="4">
        <v>0</v>
      </c>
      <c r="J7479" s="4">
        <v>679895</v>
      </c>
    </row>
    <row r="7480" spans="1:10" x14ac:dyDescent="0.75">
      <c r="A7480" t="s">
        <v>163</v>
      </c>
      <c r="B7480">
        <v>2341</v>
      </c>
      <c r="C7480" t="s">
        <v>184</v>
      </c>
      <c r="D7480">
        <v>5220</v>
      </c>
      <c r="E7480" t="s">
        <v>401</v>
      </c>
      <c r="F7480" s="4">
        <v>592638</v>
      </c>
      <c r="G7480" s="4">
        <v>0</v>
      </c>
      <c r="H7480" s="4">
        <v>0</v>
      </c>
      <c r="I7480" s="4">
        <v>0</v>
      </c>
      <c r="J7480" s="4">
        <v>592638</v>
      </c>
    </row>
    <row r="7481" spans="1:10" x14ac:dyDescent="0.75">
      <c r="A7481" t="s">
        <v>163</v>
      </c>
      <c r="B7481">
        <v>2341</v>
      </c>
      <c r="C7481" t="s">
        <v>184</v>
      </c>
      <c r="D7481">
        <v>3190</v>
      </c>
      <c r="E7481" t="s">
        <v>408</v>
      </c>
      <c r="F7481" s="4">
        <v>574325</v>
      </c>
      <c r="G7481" s="4">
        <v>0</v>
      </c>
      <c r="H7481" s="4">
        <v>0</v>
      </c>
      <c r="I7481" s="4">
        <v>0</v>
      </c>
      <c r="J7481" s="4">
        <v>574325</v>
      </c>
    </row>
    <row r="7482" spans="1:10" x14ac:dyDescent="0.75">
      <c r="A7482" t="s">
        <v>163</v>
      </c>
      <c r="B7482">
        <v>2341</v>
      </c>
      <c r="C7482" t="s">
        <v>184</v>
      </c>
      <c r="D7482">
        <v>6241</v>
      </c>
      <c r="E7482" t="s">
        <v>391</v>
      </c>
      <c r="F7482" s="4">
        <v>441695</v>
      </c>
      <c r="G7482" s="4">
        <v>0</v>
      </c>
      <c r="H7482" s="4">
        <v>0</v>
      </c>
      <c r="I7482" s="4">
        <v>0</v>
      </c>
      <c r="J7482" s="4">
        <v>441695</v>
      </c>
    </row>
    <row r="7483" spans="1:10" x14ac:dyDescent="0.75">
      <c r="A7483" t="s">
        <v>163</v>
      </c>
      <c r="B7483">
        <v>2341</v>
      </c>
      <c r="C7483" t="s">
        <v>184</v>
      </c>
      <c r="D7483">
        <v>4420</v>
      </c>
      <c r="E7483" t="s">
        <v>381</v>
      </c>
      <c r="F7483" s="4">
        <v>237469</v>
      </c>
      <c r="G7483" s="4">
        <v>0</v>
      </c>
      <c r="H7483" s="4">
        <v>0</v>
      </c>
      <c r="I7483" s="4">
        <v>0</v>
      </c>
      <c r="J7483" s="4">
        <v>237469</v>
      </c>
    </row>
    <row r="7484" spans="1:10" x14ac:dyDescent="0.75">
      <c r="A7484" t="s">
        <v>163</v>
      </c>
      <c r="B7484">
        <v>2341</v>
      </c>
      <c r="C7484" t="s">
        <v>184</v>
      </c>
      <c r="D7484">
        <v>2430</v>
      </c>
      <c r="E7484" t="s">
        <v>376</v>
      </c>
      <c r="F7484" s="4">
        <v>232321</v>
      </c>
      <c r="G7484" s="4">
        <v>0</v>
      </c>
      <c r="H7484" s="4">
        <v>0</v>
      </c>
      <c r="I7484" s="4">
        <v>0</v>
      </c>
      <c r="J7484" s="4">
        <v>232321</v>
      </c>
    </row>
    <row r="7485" spans="1:10" x14ac:dyDescent="0.75">
      <c r="A7485" t="s">
        <v>163</v>
      </c>
      <c r="B7485">
        <v>2341</v>
      </c>
      <c r="C7485" t="s">
        <v>184</v>
      </c>
      <c r="D7485">
        <v>1100</v>
      </c>
      <c r="E7485" t="s">
        <v>397</v>
      </c>
      <c r="F7485" s="4">
        <v>212617</v>
      </c>
      <c r="G7485" s="4">
        <v>0</v>
      </c>
      <c r="H7485" s="4">
        <v>0</v>
      </c>
      <c r="I7485" s="4">
        <v>0</v>
      </c>
      <c r="J7485" s="4">
        <v>212617</v>
      </c>
    </row>
    <row r="7486" spans="1:10" x14ac:dyDescent="0.75">
      <c r="A7486" t="s">
        <v>163</v>
      </c>
      <c r="B7486">
        <v>2341</v>
      </c>
      <c r="C7486" t="s">
        <v>184</v>
      </c>
      <c r="D7486">
        <v>6782</v>
      </c>
      <c r="E7486" t="s">
        <v>396</v>
      </c>
      <c r="F7486" s="4">
        <v>175699</v>
      </c>
      <c r="G7486" s="4">
        <v>0</v>
      </c>
      <c r="H7486" s="4">
        <v>0</v>
      </c>
      <c r="I7486" s="4">
        <v>0</v>
      </c>
      <c r="J7486" s="4">
        <v>175699</v>
      </c>
    </row>
    <row r="7487" spans="1:10" x14ac:dyDescent="0.75">
      <c r="A7487" t="s">
        <v>163</v>
      </c>
      <c r="B7487">
        <v>2341</v>
      </c>
      <c r="C7487" t="s">
        <v>184</v>
      </c>
      <c r="D7487">
        <v>3274</v>
      </c>
      <c r="E7487" t="s">
        <v>438</v>
      </c>
      <c r="F7487" s="4">
        <v>173474</v>
      </c>
      <c r="G7487" s="4">
        <v>0</v>
      </c>
      <c r="H7487" s="4">
        <v>0</v>
      </c>
      <c r="I7487" s="4">
        <v>0</v>
      </c>
      <c r="J7487" s="4">
        <v>173474</v>
      </c>
    </row>
    <row r="7488" spans="1:10" x14ac:dyDescent="0.75">
      <c r="A7488" t="s">
        <v>163</v>
      </c>
      <c r="B7488">
        <v>2341</v>
      </c>
      <c r="C7488" t="s">
        <v>184</v>
      </c>
      <c r="D7488">
        <v>4783</v>
      </c>
      <c r="E7488" t="s">
        <v>382</v>
      </c>
      <c r="F7488" s="4">
        <v>150548</v>
      </c>
      <c r="G7488" s="4">
        <v>0</v>
      </c>
      <c r="H7488" s="4">
        <v>0</v>
      </c>
      <c r="I7488" s="4">
        <v>0</v>
      </c>
      <c r="J7488" s="4">
        <v>150548</v>
      </c>
    </row>
    <row r="7489" spans="1:10" x14ac:dyDescent="0.75">
      <c r="A7489" t="s">
        <v>163</v>
      </c>
      <c r="B7489">
        <v>2341</v>
      </c>
      <c r="C7489" t="s">
        <v>184</v>
      </c>
      <c r="D7489">
        <v>3130</v>
      </c>
      <c r="E7489" t="s">
        <v>407</v>
      </c>
      <c r="F7489" s="4">
        <v>144898</v>
      </c>
      <c r="G7489" s="4">
        <v>0</v>
      </c>
      <c r="H7489" s="4">
        <v>0</v>
      </c>
      <c r="I7489" s="4">
        <v>0</v>
      </c>
      <c r="J7489" s="4">
        <v>144898</v>
      </c>
    </row>
    <row r="7490" spans="1:10" x14ac:dyDescent="0.75">
      <c r="A7490" t="s">
        <v>163</v>
      </c>
      <c r="B7490">
        <v>2341</v>
      </c>
      <c r="C7490" t="s">
        <v>184</v>
      </c>
      <c r="D7490">
        <v>2330</v>
      </c>
      <c r="E7490" t="s">
        <v>368</v>
      </c>
      <c r="F7490" s="4">
        <v>120920</v>
      </c>
      <c r="G7490" s="4">
        <v>0</v>
      </c>
      <c r="H7490" s="4">
        <v>0</v>
      </c>
      <c r="I7490" s="4">
        <v>0</v>
      </c>
      <c r="J7490" s="4">
        <v>120920</v>
      </c>
    </row>
    <row r="7491" spans="1:10" x14ac:dyDescent="0.75">
      <c r="A7491" t="s">
        <v>163</v>
      </c>
      <c r="B7491">
        <v>2341</v>
      </c>
      <c r="C7491" t="s">
        <v>184</v>
      </c>
      <c r="D7491">
        <v>6590</v>
      </c>
      <c r="E7491" t="s">
        <v>394</v>
      </c>
      <c r="F7491" s="4">
        <v>105902</v>
      </c>
      <c r="G7491" s="4">
        <v>0</v>
      </c>
      <c r="H7491" s="4">
        <v>0</v>
      </c>
      <c r="I7491" s="4">
        <v>0</v>
      </c>
      <c r="J7491" s="4">
        <v>105902</v>
      </c>
    </row>
    <row r="7492" spans="1:10" x14ac:dyDescent="0.75">
      <c r="A7492" t="s">
        <v>163</v>
      </c>
      <c r="B7492">
        <v>2341</v>
      </c>
      <c r="C7492" t="s">
        <v>184</v>
      </c>
      <c r="D7492">
        <v>5330</v>
      </c>
      <c r="E7492" t="s">
        <v>385</v>
      </c>
      <c r="F7492" s="4">
        <v>82557</v>
      </c>
      <c r="G7492" s="4">
        <v>0</v>
      </c>
      <c r="H7492" s="4">
        <v>0</v>
      </c>
      <c r="I7492" s="4">
        <v>0</v>
      </c>
      <c r="J7492" s="4">
        <v>82557</v>
      </c>
    </row>
    <row r="7493" spans="1:10" x14ac:dyDescent="0.75">
      <c r="A7493" t="s">
        <v>163</v>
      </c>
      <c r="B7493">
        <v>2341</v>
      </c>
      <c r="C7493" t="s">
        <v>184</v>
      </c>
      <c r="D7493">
        <v>3120</v>
      </c>
      <c r="E7493" t="s">
        <v>406</v>
      </c>
      <c r="F7493" s="4">
        <v>66133</v>
      </c>
      <c r="G7493" s="4">
        <v>0</v>
      </c>
      <c r="H7493" s="4">
        <v>0</v>
      </c>
      <c r="I7493" s="4">
        <v>0</v>
      </c>
      <c r="J7493" s="4">
        <v>66133</v>
      </c>
    </row>
    <row r="7494" spans="1:10" x14ac:dyDescent="0.75">
      <c r="A7494" t="s">
        <v>163</v>
      </c>
      <c r="B7494">
        <v>2341</v>
      </c>
      <c r="C7494" t="s">
        <v>184</v>
      </c>
      <c r="D7494">
        <v>3220</v>
      </c>
      <c r="E7494" t="s">
        <v>370</v>
      </c>
      <c r="F7494" s="4">
        <v>63212</v>
      </c>
      <c r="G7494" s="4">
        <v>0</v>
      </c>
      <c r="H7494" s="4">
        <v>0</v>
      </c>
      <c r="I7494" s="4">
        <v>0</v>
      </c>
      <c r="J7494" s="4">
        <v>63212</v>
      </c>
    </row>
    <row r="7495" spans="1:10" x14ac:dyDescent="0.75">
      <c r="A7495" t="s">
        <v>163</v>
      </c>
      <c r="B7495">
        <v>2341</v>
      </c>
      <c r="C7495" t="s">
        <v>184</v>
      </c>
      <c r="D7495">
        <v>5390</v>
      </c>
      <c r="E7495" t="s">
        <v>418</v>
      </c>
      <c r="F7495" s="4">
        <v>42725</v>
      </c>
      <c r="G7495" s="4">
        <v>0</v>
      </c>
      <c r="H7495" s="4">
        <v>0</v>
      </c>
      <c r="I7495" s="4">
        <v>0</v>
      </c>
      <c r="J7495" s="4">
        <v>42725</v>
      </c>
    </row>
    <row r="7496" spans="1:10" x14ac:dyDescent="0.75">
      <c r="A7496" t="s">
        <v>163</v>
      </c>
      <c r="B7496">
        <v>2341</v>
      </c>
      <c r="C7496" t="s">
        <v>184</v>
      </c>
      <c r="D7496">
        <v>5480</v>
      </c>
      <c r="E7496" t="s">
        <v>386</v>
      </c>
      <c r="F7496" s="4">
        <v>41665</v>
      </c>
      <c r="G7496" s="4">
        <v>0</v>
      </c>
      <c r="H7496" s="4">
        <v>0</v>
      </c>
      <c r="I7496" s="4">
        <v>0</v>
      </c>
      <c r="J7496" s="4">
        <v>41665</v>
      </c>
    </row>
    <row r="7497" spans="1:10" x14ac:dyDescent="0.75">
      <c r="A7497" t="s">
        <v>163</v>
      </c>
      <c r="B7497">
        <v>2341</v>
      </c>
      <c r="C7497" t="s">
        <v>184</v>
      </c>
      <c r="D7497">
        <v>2540</v>
      </c>
      <c r="E7497" t="s">
        <v>377</v>
      </c>
      <c r="F7497" s="4">
        <v>20537</v>
      </c>
      <c r="G7497" s="4">
        <v>0</v>
      </c>
      <c r="H7497" s="4">
        <v>0</v>
      </c>
      <c r="I7497" s="4">
        <v>0</v>
      </c>
      <c r="J7497" s="4">
        <v>20537</v>
      </c>
    </row>
    <row r="7498" spans="1:10" x14ac:dyDescent="0.75">
      <c r="A7498" t="s">
        <v>163</v>
      </c>
      <c r="B7498">
        <v>2341</v>
      </c>
      <c r="C7498" t="s">
        <v>184</v>
      </c>
      <c r="D7498">
        <v>4161</v>
      </c>
      <c r="E7498" t="s">
        <v>421</v>
      </c>
      <c r="F7498" s="4">
        <v>16751</v>
      </c>
      <c r="G7498" s="4">
        <v>0</v>
      </c>
      <c r="H7498" s="4">
        <v>0</v>
      </c>
      <c r="I7498" s="4">
        <v>0</v>
      </c>
      <c r="J7498" s="4">
        <v>16751</v>
      </c>
    </row>
    <row r="7499" spans="1:10" x14ac:dyDescent="0.75">
      <c r="A7499" t="s">
        <v>163</v>
      </c>
      <c r="B7499">
        <v>2341</v>
      </c>
      <c r="C7499" t="s">
        <v>184</v>
      </c>
      <c r="D7499">
        <v>4860</v>
      </c>
      <c r="E7499" t="s">
        <v>400</v>
      </c>
      <c r="F7499" s="4">
        <v>15482</v>
      </c>
      <c r="G7499" s="4">
        <v>0</v>
      </c>
      <c r="H7499" s="4">
        <v>0</v>
      </c>
      <c r="I7499" s="4">
        <v>0</v>
      </c>
      <c r="J7499" s="4">
        <v>15482</v>
      </c>
    </row>
    <row r="7500" spans="1:10" x14ac:dyDescent="0.75">
      <c r="A7500" t="s">
        <v>163</v>
      </c>
      <c r="B7500">
        <v>2341</v>
      </c>
      <c r="C7500" t="s">
        <v>184</v>
      </c>
      <c r="D7500">
        <v>3276</v>
      </c>
      <c r="E7500" t="s">
        <v>379</v>
      </c>
      <c r="F7500" s="4">
        <v>12584</v>
      </c>
      <c r="G7500" s="4">
        <v>0</v>
      </c>
      <c r="H7500" s="4">
        <v>0</v>
      </c>
      <c r="I7500" s="4">
        <v>0</v>
      </c>
      <c r="J7500" s="4">
        <v>12584</v>
      </c>
    </row>
    <row r="7501" spans="1:10" x14ac:dyDescent="0.75">
      <c r="A7501" t="s">
        <v>163</v>
      </c>
      <c r="B7501">
        <v>2341</v>
      </c>
      <c r="C7501" t="s">
        <v>184</v>
      </c>
      <c r="D7501">
        <v>2340</v>
      </c>
      <c r="E7501" t="s">
        <v>369</v>
      </c>
      <c r="F7501" s="4">
        <v>11661</v>
      </c>
      <c r="G7501" s="4">
        <v>0</v>
      </c>
      <c r="H7501" s="4">
        <v>0</v>
      </c>
      <c r="I7501" s="4">
        <v>0</v>
      </c>
      <c r="J7501" s="4">
        <v>11661</v>
      </c>
    </row>
    <row r="7502" spans="1:10" x14ac:dyDescent="0.75">
      <c r="A7502" t="s">
        <v>163</v>
      </c>
      <c r="B7502">
        <v>2341</v>
      </c>
      <c r="C7502" t="s">
        <v>184</v>
      </c>
      <c r="D7502">
        <v>4782</v>
      </c>
      <c r="E7502" t="s">
        <v>414</v>
      </c>
      <c r="F7502" s="4">
        <v>10010</v>
      </c>
      <c r="G7502" s="4">
        <v>0</v>
      </c>
      <c r="H7502" s="4">
        <v>0</v>
      </c>
      <c r="I7502" s="4">
        <v>0</v>
      </c>
      <c r="J7502" s="4">
        <v>10010</v>
      </c>
    </row>
    <row r="7503" spans="1:10" x14ac:dyDescent="0.75">
      <c r="A7503" t="s">
        <v>163</v>
      </c>
      <c r="B7503">
        <v>2341</v>
      </c>
      <c r="C7503" t="s">
        <v>184</v>
      </c>
      <c r="D7503">
        <v>3260</v>
      </c>
      <c r="E7503" t="s">
        <v>436</v>
      </c>
      <c r="F7503" s="4">
        <v>9746</v>
      </c>
      <c r="G7503" s="4">
        <v>0</v>
      </c>
      <c r="H7503" s="4">
        <v>0</v>
      </c>
      <c r="I7503" s="4">
        <v>0</v>
      </c>
      <c r="J7503" s="4">
        <v>9746</v>
      </c>
    </row>
    <row r="7504" spans="1:10" x14ac:dyDescent="0.75">
      <c r="A7504" t="s">
        <v>163</v>
      </c>
      <c r="B7504">
        <v>2341</v>
      </c>
      <c r="C7504" t="s">
        <v>184</v>
      </c>
      <c r="D7504">
        <v>4410</v>
      </c>
      <c r="E7504" t="s">
        <v>399</v>
      </c>
      <c r="F7504" s="4">
        <v>6230</v>
      </c>
      <c r="G7504" s="4">
        <v>0</v>
      </c>
      <c r="H7504" s="4">
        <v>0</v>
      </c>
      <c r="I7504" s="4">
        <v>0</v>
      </c>
      <c r="J7504" s="4">
        <v>6230</v>
      </c>
    </row>
    <row r="7505" spans="1:10" x14ac:dyDescent="0.75">
      <c r="A7505" t="s">
        <v>163</v>
      </c>
      <c r="B7505">
        <v>2341</v>
      </c>
      <c r="C7505" t="s">
        <v>184</v>
      </c>
      <c r="D7505">
        <v>4331</v>
      </c>
      <c r="E7505" t="s">
        <v>390</v>
      </c>
      <c r="F7505" s="4">
        <v>6009</v>
      </c>
      <c r="G7505" s="4">
        <v>0</v>
      </c>
      <c r="H7505" s="4">
        <v>0</v>
      </c>
      <c r="I7505" s="4">
        <v>0</v>
      </c>
      <c r="J7505" s="4">
        <v>6009</v>
      </c>
    </row>
    <row r="7506" spans="1:10" x14ac:dyDescent="0.75">
      <c r="A7506" t="s">
        <v>163</v>
      </c>
      <c r="B7506">
        <v>2341</v>
      </c>
      <c r="C7506" t="s">
        <v>184</v>
      </c>
      <c r="D7506">
        <v>1200</v>
      </c>
      <c r="E7506" t="s">
        <v>402</v>
      </c>
      <c r="F7506" s="4">
        <v>4567</v>
      </c>
      <c r="G7506" s="4">
        <v>0</v>
      </c>
      <c r="H7506" s="4">
        <v>0</v>
      </c>
      <c r="I7506" s="4">
        <v>0</v>
      </c>
      <c r="J7506" s="4">
        <v>4567</v>
      </c>
    </row>
    <row r="7507" spans="1:10" x14ac:dyDescent="0.75">
      <c r="A7507" t="s">
        <v>163</v>
      </c>
      <c r="B7507">
        <v>2341</v>
      </c>
      <c r="C7507" t="s">
        <v>184</v>
      </c>
      <c r="D7507">
        <v>5360</v>
      </c>
      <c r="E7507" t="s">
        <v>465</v>
      </c>
      <c r="F7507" s="4">
        <v>4222</v>
      </c>
      <c r="G7507" s="4">
        <v>0</v>
      </c>
      <c r="H7507" s="4">
        <v>0</v>
      </c>
      <c r="I7507" s="4">
        <v>0</v>
      </c>
      <c r="J7507" s="4">
        <v>4222</v>
      </c>
    </row>
    <row r="7508" spans="1:10" x14ac:dyDescent="0.75">
      <c r="A7508" t="s">
        <v>163</v>
      </c>
      <c r="B7508">
        <v>2341</v>
      </c>
      <c r="C7508" t="s">
        <v>184</v>
      </c>
      <c r="D7508">
        <v>4322</v>
      </c>
      <c r="E7508" t="s">
        <v>398</v>
      </c>
      <c r="F7508" s="4">
        <v>3000</v>
      </c>
      <c r="G7508" s="4">
        <v>0</v>
      </c>
      <c r="H7508" s="4">
        <v>0</v>
      </c>
      <c r="I7508" s="4">
        <v>0</v>
      </c>
      <c r="J7508" s="4">
        <v>3000</v>
      </c>
    </row>
    <row r="7509" spans="1:10" x14ac:dyDescent="0.75">
      <c r="A7509" t="s">
        <v>163</v>
      </c>
      <c r="B7509">
        <v>2341</v>
      </c>
      <c r="C7509" t="s">
        <v>184</v>
      </c>
      <c r="D7509">
        <v>6654</v>
      </c>
      <c r="E7509" t="s">
        <v>419</v>
      </c>
      <c r="F7509" s="4">
        <v>1960</v>
      </c>
      <c r="G7509" s="4">
        <v>0</v>
      </c>
      <c r="H7509" s="4">
        <v>0</v>
      </c>
      <c r="I7509" s="4">
        <v>0</v>
      </c>
      <c r="J7509" s="4">
        <v>1960</v>
      </c>
    </row>
    <row r="7510" spans="1:10" x14ac:dyDescent="0.75">
      <c r="A7510" t="s">
        <v>163</v>
      </c>
      <c r="B7510">
        <v>2341</v>
      </c>
      <c r="C7510" t="s">
        <v>184</v>
      </c>
      <c r="D7510">
        <v>7120</v>
      </c>
      <c r="E7510" t="s">
        <v>499</v>
      </c>
      <c r="F7510" s="4">
        <v>1569</v>
      </c>
      <c r="G7510" s="4">
        <v>0</v>
      </c>
      <c r="H7510" s="4">
        <v>0</v>
      </c>
      <c r="I7510" s="4">
        <v>0</v>
      </c>
      <c r="J7510" s="4">
        <v>1569</v>
      </c>
    </row>
    <row r="7511" spans="1:10" x14ac:dyDescent="0.75">
      <c r="A7511" t="s">
        <v>163</v>
      </c>
      <c r="B7511">
        <v>2341</v>
      </c>
      <c r="C7511" t="s">
        <v>184</v>
      </c>
      <c r="D7511">
        <v>3240</v>
      </c>
      <c r="E7511" t="s">
        <v>410</v>
      </c>
      <c r="F7511" s="4">
        <v>1323</v>
      </c>
      <c r="G7511" s="4">
        <v>0</v>
      </c>
      <c r="H7511" s="4">
        <v>0</v>
      </c>
      <c r="I7511" s="4">
        <v>0</v>
      </c>
      <c r="J7511" s="4">
        <v>1323</v>
      </c>
    </row>
    <row r="7512" spans="1:10" x14ac:dyDescent="0.75">
      <c r="A7512" t="s">
        <v>163</v>
      </c>
      <c r="B7512">
        <v>2341</v>
      </c>
      <c r="C7512" t="s">
        <v>184</v>
      </c>
      <c r="D7512">
        <v>4323</v>
      </c>
      <c r="E7512" t="s">
        <v>373</v>
      </c>
      <c r="F7512" s="4">
        <v>505</v>
      </c>
      <c r="G7512" s="4">
        <v>0</v>
      </c>
      <c r="H7512" s="4">
        <v>0</v>
      </c>
      <c r="I7512" s="4">
        <v>0</v>
      </c>
      <c r="J7512" s="4">
        <v>505</v>
      </c>
    </row>
    <row r="7513" spans="1:10" x14ac:dyDescent="0.75">
      <c r="A7513" t="s">
        <v>163</v>
      </c>
      <c r="B7513">
        <v>2342</v>
      </c>
      <c r="C7513" t="s">
        <v>242</v>
      </c>
      <c r="D7513">
        <v>4331</v>
      </c>
      <c r="E7513" t="s">
        <v>390</v>
      </c>
      <c r="F7513" s="4">
        <v>1209939</v>
      </c>
      <c r="G7513" s="4">
        <v>0</v>
      </c>
      <c r="H7513" s="4">
        <v>0</v>
      </c>
      <c r="I7513" s="4">
        <v>0</v>
      </c>
      <c r="J7513" s="4">
        <v>1209939</v>
      </c>
    </row>
    <row r="7514" spans="1:10" x14ac:dyDescent="0.75">
      <c r="A7514" t="s">
        <v>163</v>
      </c>
      <c r="B7514">
        <v>2342</v>
      </c>
      <c r="C7514" t="s">
        <v>242</v>
      </c>
      <c r="D7514">
        <v>3130</v>
      </c>
      <c r="E7514" t="s">
        <v>407</v>
      </c>
      <c r="F7514" s="4">
        <v>59718</v>
      </c>
      <c r="G7514" s="4">
        <v>0</v>
      </c>
      <c r="H7514" s="4">
        <v>0</v>
      </c>
      <c r="I7514" s="4">
        <v>0</v>
      </c>
      <c r="J7514" s="4">
        <v>59718</v>
      </c>
    </row>
    <row r="7515" spans="1:10" x14ac:dyDescent="0.75">
      <c r="A7515" t="s">
        <v>163</v>
      </c>
      <c r="B7515">
        <v>2342</v>
      </c>
      <c r="C7515" t="s">
        <v>242</v>
      </c>
      <c r="D7515">
        <v>3220</v>
      </c>
      <c r="E7515" t="s">
        <v>370</v>
      </c>
      <c r="F7515" s="4">
        <v>35054</v>
      </c>
      <c r="G7515" s="4">
        <v>0</v>
      </c>
      <c r="H7515" s="4">
        <v>0</v>
      </c>
      <c r="I7515" s="4">
        <v>0</v>
      </c>
      <c r="J7515" s="4">
        <v>35054</v>
      </c>
    </row>
    <row r="7516" spans="1:10" x14ac:dyDescent="0.75">
      <c r="A7516" t="s">
        <v>163</v>
      </c>
      <c r="B7516">
        <v>2342</v>
      </c>
      <c r="C7516" t="s">
        <v>242</v>
      </c>
      <c r="D7516">
        <v>3120</v>
      </c>
      <c r="E7516" t="s">
        <v>406</v>
      </c>
      <c r="F7516" s="4">
        <v>34257</v>
      </c>
      <c r="G7516" s="4">
        <v>0</v>
      </c>
      <c r="H7516" s="4">
        <v>0</v>
      </c>
      <c r="I7516" s="4">
        <v>0</v>
      </c>
      <c r="J7516" s="4">
        <v>34257</v>
      </c>
    </row>
    <row r="7517" spans="1:10" x14ac:dyDescent="0.75">
      <c r="A7517" t="s">
        <v>163</v>
      </c>
      <c r="B7517">
        <v>2342</v>
      </c>
      <c r="C7517" t="s">
        <v>242</v>
      </c>
      <c r="D7517">
        <v>3190</v>
      </c>
      <c r="E7517" t="s">
        <v>408</v>
      </c>
      <c r="F7517" s="4">
        <v>33833</v>
      </c>
      <c r="G7517" s="4">
        <v>0</v>
      </c>
      <c r="H7517" s="4">
        <v>0</v>
      </c>
      <c r="I7517" s="4">
        <v>0</v>
      </c>
      <c r="J7517" s="4">
        <v>33833</v>
      </c>
    </row>
    <row r="7518" spans="1:10" x14ac:dyDescent="0.75">
      <c r="A7518" t="s">
        <v>163</v>
      </c>
      <c r="B7518">
        <v>2342</v>
      </c>
      <c r="C7518" t="s">
        <v>242</v>
      </c>
      <c r="D7518">
        <v>4630</v>
      </c>
      <c r="E7518" t="s">
        <v>456</v>
      </c>
      <c r="F7518" s="4">
        <v>31424</v>
      </c>
      <c r="G7518" s="4">
        <v>0</v>
      </c>
      <c r="H7518" s="4">
        <v>0</v>
      </c>
      <c r="I7518" s="4">
        <v>0</v>
      </c>
      <c r="J7518" s="4">
        <v>31424</v>
      </c>
    </row>
    <row r="7519" spans="1:10" x14ac:dyDescent="0.75">
      <c r="A7519" t="s">
        <v>163</v>
      </c>
      <c r="B7519">
        <v>2342</v>
      </c>
      <c r="C7519" t="s">
        <v>242</v>
      </c>
      <c r="D7519">
        <v>3110</v>
      </c>
      <c r="E7519" t="s">
        <v>405</v>
      </c>
      <c r="F7519" s="4">
        <v>29222</v>
      </c>
      <c r="G7519" s="4">
        <v>0</v>
      </c>
      <c r="H7519" s="4">
        <v>0</v>
      </c>
      <c r="I7519" s="4">
        <v>0</v>
      </c>
      <c r="J7519" s="4">
        <v>29222</v>
      </c>
    </row>
    <row r="7520" spans="1:10" x14ac:dyDescent="0.75">
      <c r="A7520" t="s">
        <v>163</v>
      </c>
      <c r="B7520">
        <v>2342</v>
      </c>
      <c r="C7520" t="s">
        <v>242</v>
      </c>
      <c r="D7520">
        <v>5360</v>
      </c>
      <c r="E7520" t="s">
        <v>465</v>
      </c>
      <c r="F7520" s="4">
        <v>27544</v>
      </c>
      <c r="G7520" s="4">
        <v>0</v>
      </c>
      <c r="H7520" s="4">
        <v>0</v>
      </c>
      <c r="I7520" s="4">
        <v>0</v>
      </c>
      <c r="J7520" s="4">
        <v>27544</v>
      </c>
    </row>
    <row r="7521" spans="1:10" x14ac:dyDescent="0.75">
      <c r="A7521" t="s">
        <v>163</v>
      </c>
      <c r="B7521">
        <v>2342</v>
      </c>
      <c r="C7521" t="s">
        <v>242</v>
      </c>
      <c r="D7521">
        <v>4690</v>
      </c>
      <c r="E7521" t="s">
        <v>428</v>
      </c>
      <c r="F7521" s="4">
        <v>25096</v>
      </c>
      <c r="G7521" s="4">
        <v>0</v>
      </c>
      <c r="H7521" s="4">
        <v>0</v>
      </c>
      <c r="I7521" s="4">
        <v>0</v>
      </c>
      <c r="J7521" s="4">
        <v>25096</v>
      </c>
    </row>
    <row r="7522" spans="1:10" x14ac:dyDescent="0.75">
      <c r="A7522" t="s">
        <v>163</v>
      </c>
      <c r="B7522">
        <v>2342</v>
      </c>
      <c r="C7522" t="s">
        <v>242</v>
      </c>
      <c r="D7522">
        <v>3276</v>
      </c>
      <c r="E7522" t="s">
        <v>379</v>
      </c>
      <c r="F7522" s="4">
        <v>14011</v>
      </c>
      <c r="G7522" s="4">
        <v>0</v>
      </c>
      <c r="H7522" s="4">
        <v>0</v>
      </c>
      <c r="I7522" s="4">
        <v>0</v>
      </c>
      <c r="J7522" s="4">
        <v>14011</v>
      </c>
    </row>
    <row r="7523" spans="1:10" x14ac:dyDescent="0.75">
      <c r="A7523" t="s">
        <v>163</v>
      </c>
      <c r="B7523">
        <v>2342</v>
      </c>
      <c r="C7523" t="s">
        <v>242</v>
      </c>
      <c r="D7523">
        <v>4783</v>
      </c>
      <c r="E7523" t="s">
        <v>382</v>
      </c>
      <c r="F7523" s="4">
        <v>13952</v>
      </c>
      <c r="G7523" s="4">
        <v>0</v>
      </c>
      <c r="H7523" s="4">
        <v>0</v>
      </c>
      <c r="I7523" s="4">
        <v>0</v>
      </c>
      <c r="J7523" s="4">
        <v>13952</v>
      </c>
    </row>
    <row r="7524" spans="1:10" x14ac:dyDescent="0.75">
      <c r="A7524" t="s">
        <v>163</v>
      </c>
      <c r="B7524">
        <v>2342</v>
      </c>
      <c r="C7524" t="s">
        <v>242</v>
      </c>
      <c r="D7524">
        <v>2211</v>
      </c>
      <c r="E7524" t="s">
        <v>367</v>
      </c>
      <c r="F7524" s="4">
        <v>7513</v>
      </c>
      <c r="G7524" s="4">
        <v>0</v>
      </c>
      <c r="H7524" s="4">
        <v>0</v>
      </c>
      <c r="I7524" s="4">
        <v>0</v>
      </c>
      <c r="J7524" s="4">
        <v>7513</v>
      </c>
    </row>
    <row r="7525" spans="1:10" x14ac:dyDescent="0.75">
      <c r="A7525" t="s">
        <v>163</v>
      </c>
      <c r="B7525">
        <v>2342</v>
      </c>
      <c r="C7525" t="s">
        <v>242</v>
      </c>
      <c r="D7525">
        <v>2330</v>
      </c>
      <c r="E7525" t="s">
        <v>368</v>
      </c>
      <c r="F7525" s="4">
        <v>7348</v>
      </c>
      <c r="G7525" s="4">
        <v>0</v>
      </c>
      <c r="H7525" s="4">
        <v>0</v>
      </c>
      <c r="I7525" s="4">
        <v>0</v>
      </c>
      <c r="J7525" s="4">
        <v>7348</v>
      </c>
    </row>
    <row r="7526" spans="1:10" x14ac:dyDescent="0.75">
      <c r="A7526" t="s">
        <v>163</v>
      </c>
      <c r="B7526">
        <v>2342</v>
      </c>
      <c r="C7526" t="s">
        <v>242</v>
      </c>
      <c r="D7526">
        <v>4110</v>
      </c>
      <c r="E7526" t="s">
        <v>449</v>
      </c>
      <c r="F7526" s="4">
        <v>3538</v>
      </c>
      <c r="G7526" s="4">
        <v>0</v>
      </c>
      <c r="H7526" s="4">
        <v>0</v>
      </c>
      <c r="I7526" s="4">
        <v>0</v>
      </c>
      <c r="J7526" s="4">
        <v>3538</v>
      </c>
    </row>
    <row r="7527" spans="1:10" x14ac:dyDescent="0.75">
      <c r="A7527" t="s">
        <v>163</v>
      </c>
      <c r="B7527">
        <v>2342</v>
      </c>
      <c r="C7527" t="s">
        <v>242</v>
      </c>
      <c r="D7527">
        <v>2540</v>
      </c>
      <c r="E7527" t="s">
        <v>377</v>
      </c>
      <c r="F7527" s="4">
        <v>3097</v>
      </c>
      <c r="G7527" s="4">
        <v>0</v>
      </c>
      <c r="H7527" s="4">
        <v>0</v>
      </c>
      <c r="I7527" s="4">
        <v>0</v>
      </c>
      <c r="J7527" s="4">
        <v>3097</v>
      </c>
    </row>
    <row r="7528" spans="1:10" x14ac:dyDescent="0.75">
      <c r="A7528" t="s">
        <v>163</v>
      </c>
      <c r="B7528">
        <v>2342</v>
      </c>
      <c r="C7528" t="s">
        <v>242</v>
      </c>
      <c r="D7528">
        <v>4322</v>
      </c>
      <c r="E7528" t="s">
        <v>398</v>
      </c>
      <c r="F7528" s="4">
        <v>1652</v>
      </c>
      <c r="G7528" s="4">
        <v>0</v>
      </c>
      <c r="H7528" s="4">
        <v>0</v>
      </c>
      <c r="I7528" s="4">
        <v>0</v>
      </c>
      <c r="J7528" s="4">
        <v>1652</v>
      </c>
    </row>
    <row r="7529" spans="1:10" x14ac:dyDescent="0.75">
      <c r="A7529" t="s">
        <v>163</v>
      </c>
      <c r="B7529">
        <v>2342</v>
      </c>
      <c r="C7529" t="s">
        <v>242</v>
      </c>
      <c r="D7529">
        <v>5220</v>
      </c>
      <c r="E7529" t="s">
        <v>401</v>
      </c>
      <c r="F7529" s="4">
        <v>1598</v>
      </c>
      <c r="G7529" s="4">
        <v>0</v>
      </c>
      <c r="H7529" s="4">
        <v>0</v>
      </c>
      <c r="I7529" s="4">
        <v>0</v>
      </c>
      <c r="J7529" s="4">
        <v>1598</v>
      </c>
    </row>
    <row r="7530" spans="1:10" x14ac:dyDescent="0.75">
      <c r="A7530" t="s">
        <v>163</v>
      </c>
      <c r="B7530">
        <v>2342</v>
      </c>
      <c r="C7530" t="s">
        <v>242</v>
      </c>
      <c r="D7530">
        <v>6782</v>
      </c>
      <c r="E7530" t="s">
        <v>396</v>
      </c>
      <c r="F7530" s="4">
        <v>1476</v>
      </c>
      <c r="G7530" s="4">
        <v>0</v>
      </c>
      <c r="H7530" s="4">
        <v>0</v>
      </c>
      <c r="I7530" s="4">
        <v>0</v>
      </c>
      <c r="J7530" s="4">
        <v>1476</v>
      </c>
    </row>
    <row r="7531" spans="1:10" x14ac:dyDescent="0.75">
      <c r="A7531" t="s">
        <v>163</v>
      </c>
      <c r="B7531">
        <v>2342</v>
      </c>
      <c r="C7531" t="s">
        <v>242</v>
      </c>
      <c r="D7531">
        <v>4161</v>
      </c>
      <c r="E7531" t="s">
        <v>421</v>
      </c>
      <c r="F7531" s="4">
        <v>889</v>
      </c>
      <c r="G7531" s="4">
        <v>0</v>
      </c>
      <c r="H7531" s="4">
        <v>0</v>
      </c>
      <c r="I7531" s="4">
        <v>0</v>
      </c>
      <c r="J7531" s="4">
        <v>889</v>
      </c>
    </row>
    <row r="7532" spans="1:10" x14ac:dyDescent="0.75">
      <c r="A7532" t="s">
        <v>163</v>
      </c>
      <c r="B7532">
        <v>2320</v>
      </c>
      <c r="C7532" t="s">
        <v>198</v>
      </c>
      <c r="D7532">
        <v>4331</v>
      </c>
      <c r="E7532" t="s">
        <v>390</v>
      </c>
      <c r="F7532" s="4">
        <v>1130530</v>
      </c>
      <c r="G7532" s="4">
        <v>0</v>
      </c>
      <c r="H7532" s="4">
        <v>0</v>
      </c>
      <c r="I7532" s="4">
        <v>0</v>
      </c>
      <c r="J7532" s="4">
        <v>1130530</v>
      </c>
    </row>
    <row r="7533" spans="1:10" x14ac:dyDescent="0.75">
      <c r="A7533" t="s">
        <v>163</v>
      </c>
      <c r="B7533">
        <v>2320</v>
      </c>
      <c r="C7533" t="s">
        <v>198</v>
      </c>
      <c r="D7533">
        <v>6344</v>
      </c>
      <c r="E7533" t="s">
        <v>392</v>
      </c>
      <c r="F7533" s="4">
        <v>944898</v>
      </c>
      <c r="G7533" s="4">
        <v>0</v>
      </c>
      <c r="H7533" s="4">
        <v>0</v>
      </c>
      <c r="I7533" s="4">
        <v>0</v>
      </c>
      <c r="J7533" s="4">
        <v>944898</v>
      </c>
    </row>
    <row r="7534" spans="1:10" x14ac:dyDescent="0.75">
      <c r="A7534" t="s">
        <v>163</v>
      </c>
      <c r="B7534">
        <v>2320</v>
      </c>
      <c r="C7534" t="s">
        <v>198</v>
      </c>
      <c r="D7534">
        <v>5220</v>
      </c>
      <c r="E7534" t="s">
        <v>401</v>
      </c>
      <c r="F7534" s="4">
        <v>552407</v>
      </c>
      <c r="G7534" s="4">
        <v>0</v>
      </c>
      <c r="H7534" s="4">
        <v>0</v>
      </c>
      <c r="I7534" s="4">
        <v>0</v>
      </c>
      <c r="J7534" s="4">
        <v>552407</v>
      </c>
    </row>
    <row r="7535" spans="1:10" x14ac:dyDescent="0.75">
      <c r="A7535" t="s">
        <v>163</v>
      </c>
      <c r="B7535">
        <v>2320</v>
      </c>
      <c r="C7535" t="s">
        <v>198</v>
      </c>
      <c r="D7535">
        <v>3110</v>
      </c>
      <c r="E7535" t="s">
        <v>405</v>
      </c>
      <c r="F7535" s="4">
        <v>487736</v>
      </c>
      <c r="G7535" s="4">
        <v>0</v>
      </c>
      <c r="H7535" s="4">
        <v>0</v>
      </c>
      <c r="I7535" s="4">
        <v>0</v>
      </c>
      <c r="J7535" s="4">
        <v>487736</v>
      </c>
    </row>
    <row r="7536" spans="1:10" x14ac:dyDescent="0.75">
      <c r="A7536" t="s">
        <v>163</v>
      </c>
      <c r="B7536">
        <v>2320</v>
      </c>
      <c r="C7536" t="s">
        <v>198</v>
      </c>
      <c r="D7536">
        <v>3190</v>
      </c>
      <c r="E7536" t="s">
        <v>408</v>
      </c>
      <c r="F7536" s="4">
        <v>314447</v>
      </c>
      <c r="G7536" s="4">
        <v>0</v>
      </c>
      <c r="H7536" s="4">
        <v>0</v>
      </c>
      <c r="I7536" s="4">
        <v>0</v>
      </c>
      <c r="J7536" s="4">
        <v>314447</v>
      </c>
    </row>
    <row r="7537" spans="1:10" x14ac:dyDescent="0.75">
      <c r="A7537" t="s">
        <v>163</v>
      </c>
      <c r="B7537">
        <v>2320</v>
      </c>
      <c r="C7537" t="s">
        <v>198</v>
      </c>
      <c r="D7537">
        <v>6522</v>
      </c>
      <c r="E7537" t="s">
        <v>393</v>
      </c>
      <c r="F7537" s="4">
        <v>309059</v>
      </c>
      <c r="G7537" s="4">
        <v>0</v>
      </c>
      <c r="H7537" s="4">
        <v>0</v>
      </c>
      <c r="I7537" s="4">
        <v>0</v>
      </c>
      <c r="J7537" s="4">
        <v>309059</v>
      </c>
    </row>
    <row r="7538" spans="1:10" x14ac:dyDescent="0.75">
      <c r="A7538" t="s">
        <v>163</v>
      </c>
      <c r="B7538">
        <v>2320</v>
      </c>
      <c r="C7538" t="s">
        <v>198</v>
      </c>
      <c r="D7538">
        <v>3130</v>
      </c>
      <c r="E7538" t="s">
        <v>407</v>
      </c>
      <c r="F7538" s="4">
        <v>273318</v>
      </c>
      <c r="G7538" s="4">
        <v>0</v>
      </c>
      <c r="H7538" s="4">
        <v>0</v>
      </c>
      <c r="I7538" s="4">
        <v>0</v>
      </c>
      <c r="J7538" s="4">
        <v>273318</v>
      </c>
    </row>
    <row r="7539" spans="1:10" x14ac:dyDescent="0.75">
      <c r="A7539" t="s">
        <v>163</v>
      </c>
      <c r="B7539">
        <v>2320</v>
      </c>
      <c r="C7539" t="s">
        <v>198</v>
      </c>
      <c r="D7539">
        <v>4420</v>
      </c>
      <c r="E7539" t="s">
        <v>381</v>
      </c>
      <c r="F7539" s="4">
        <v>191980</v>
      </c>
      <c r="G7539" s="4">
        <v>0</v>
      </c>
      <c r="H7539" s="4">
        <v>0</v>
      </c>
      <c r="I7539" s="4">
        <v>0</v>
      </c>
      <c r="J7539" s="4">
        <v>191980</v>
      </c>
    </row>
    <row r="7540" spans="1:10" x14ac:dyDescent="0.75">
      <c r="A7540" t="s">
        <v>163</v>
      </c>
      <c r="B7540">
        <v>2320</v>
      </c>
      <c r="C7540" t="s">
        <v>198</v>
      </c>
      <c r="D7540">
        <v>3274</v>
      </c>
      <c r="E7540" t="s">
        <v>438</v>
      </c>
      <c r="F7540" s="4">
        <v>55542</v>
      </c>
      <c r="G7540" s="4">
        <v>0</v>
      </c>
      <c r="H7540" s="4">
        <v>0</v>
      </c>
      <c r="I7540" s="4">
        <v>0</v>
      </c>
      <c r="J7540" s="4">
        <v>55542</v>
      </c>
    </row>
    <row r="7541" spans="1:10" x14ac:dyDescent="0.75">
      <c r="A7541" t="s">
        <v>163</v>
      </c>
      <c r="B7541">
        <v>2320</v>
      </c>
      <c r="C7541" t="s">
        <v>198</v>
      </c>
      <c r="D7541">
        <v>6241</v>
      </c>
      <c r="E7541" t="s">
        <v>391</v>
      </c>
      <c r="F7541" s="4">
        <v>43090</v>
      </c>
      <c r="G7541" s="4">
        <v>0</v>
      </c>
      <c r="H7541" s="4">
        <v>0</v>
      </c>
      <c r="I7541" s="4">
        <v>0</v>
      </c>
      <c r="J7541" s="4">
        <v>43090</v>
      </c>
    </row>
    <row r="7542" spans="1:10" x14ac:dyDescent="0.75">
      <c r="A7542" t="s">
        <v>163</v>
      </c>
      <c r="B7542">
        <v>2320</v>
      </c>
      <c r="C7542" t="s">
        <v>198</v>
      </c>
      <c r="D7542">
        <v>6782</v>
      </c>
      <c r="E7542" t="s">
        <v>396</v>
      </c>
      <c r="F7542" s="4">
        <v>28457</v>
      </c>
      <c r="G7542" s="4">
        <v>0</v>
      </c>
      <c r="H7542" s="4">
        <v>0</v>
      </c>
      <c r="I7542" s="4">
        <v>0</v>
      </c>
      <c r="J7542" s="4">
        <v>28457</v>
      </c>
    </row>
    <row r="7543" spans="1:10" x14ac:dyDescent="0.75">
      <c r="A7543" t="s">
        <v>163</v>
      </c>
      <c r="B7543">
        <v>2320</v>
      </c>
      <c r="C7543" t="s">
        <v>198</v>
      </c>
      <c r="D7543">
        <v>4783</v>
      </c>
      <c r="E7543" t="s">
        <v>382</v>
      </c>
      <c r="F7543" s="4">
        <v>28424</v>
      </c>
      <c r="G7543" s="4">
        <v>0</v>
      </c>
      <c r="H7543" s="4">
        <v>0</v>
      </c>
      <c r="I7543" s="4">
        <v>0</v>
      </c>
      <c r="J7543" s="4">
        <v>28424</v>
      </c>
    </row>
    <row r="7544" spans="1:10" x14ac:dyDescent="0.75">
      <c r="A7544" t="s">
        <v>163</v>
      </c>
      <c r="B7544">
        <v>2320</v>
      </c>
      <c r="C7544" t="s">
        <v>198</v>
      </c>
      <c r="D7544">
        <v>3120</v>
      </c>
      <c r="E7544" t="s">
        <v>406</v>
      </c>
      <c r="F7544" s="4">
        <v>28210</v>
      </c>
      <c r="G7544" s="4">
        <v>0</v>
      </c>
      <c r="H7544" s="4">
        <v>0</v>
      </c>
      <c r="I7544" s="4">
        <v>0</v>
      </c>
      <c r="J7544" s="4">
        <v>28210</v>
      </c>
    </row>
    <row r="7545" spans="1:10" x14ac:dyDescent="0.75">
      <c r="A7545" t="s">
        <v>163</v>
      </c>
      <c r="B7545">
        <v>2320</v>
      </c>
      <c r="C7545" t="s">
        <v>198</v>
      </c>
      <c r="D7545">
        <v>2340</v>
      </c>
      <c r="E7545" t="s">
        <v>369</v>
      </c>
      <c r="F7545" s="4">
        <v>27200</v>
      </c>
      <c r="G7545" s="4">
        <v>0</v>
      </c>
      <c r="H7545" s="4">
        <v>0</v>
      </c>
      <c r="I7545" s="4">
        <v>0</v>
      </c>
      <c r="J7545" s="4">
        <v>27200</v>
      </c>
    </row>
    <row r="7546" spans="1:10" x14ac:dyDescent="0.75">
      <c r="A7546" t="s">
        <v>163</v>
      </c>
      <c r="B7546">
        <v>2320</v>
      </c>
      <c r="C7546" t="s">
        <v>198</v>
      </c>
      <c r="D7546">
        <v>5312</v>
      </c>
      <c r="E7546" t="s">
        <v>416</v>
      </c>
      <c r="F7546" s="4">
        <v>25017</v>
      </c>
      <c r="G7546" s="4">
        <v>0</v>
      </c>
      <c r="H7546" s="4">
        <v>0</v>
      </c>
      <c r="I7546" s="4">
        <v>0</v>
      </c>
      <c r="J7546" s="4">
        <v>25017</v>
      </c>
    </row>
    <row r="7547" spans="1:10" x14ac:dyDescent="0.75">
      <c r="A7547" t="s">
        <v>163</v>
      </c>
      <c r="B7547">
        <v>2320</v>
      </c>
      <c r="C7547" t="s">
        <v>198</v>
      </c>
      <c r="D7547">
        <v>3275</v>
      </c>
      <c r="E7547" t="s">
        <v>412</v>
      </c>
      <c r="F7547" s="4">
        <v>9589</v>
      </c>
      <c r="G7547" s="4">
        <v>0</v>
      </c>
      <c r="H7547" s="4">
        <v>0</v>
      </c>
      <c r="I7547" s="4">
        <v>0</v>
      </c>
      <c r="J7547" s="4">
        <v>9589</v>
      </c>
    </row>
    <row r="7548" spans="1:10" x14ac:dyDescent="0.75">
      <c r="A7548" t="s">
        <v>163</v>
      </c>
      <c r="B7548">
        <v>2320</v>
      </c>
      <c r="C7548" t="s">
        <v>198</v>
      </c>
      <c r="D7548">
        <v>4782</v>
      </c>
      <c r="E7548" t="s">
        <v>414</v>
      </c>
      <c r="F7548" s="4">
        <v>4729</v>
      </c>
      <c r="G7548" s="4">
        <v>0</v>
      </c>
      <c r="H7548" s="4">
        <v>0</v>
      </c>
      <c r="I7548" s="4">
        <v>0</v>
      </c>
      <c r="J7548" s="4">
        <v>4729</v>
      </c>
    </row>
    <row r="7549" spans="1:10" x14ac:dyDescent="0.75">
      <c r="A7549" t="s">
        <v>163</v>
      </c>
      <c r="B7549">
        <v>2320</v>
      </c>
      <c r="C7549" t="s">
        <v>198</v>
      </c>
      <c r="D7549">
        <v>2540</v>
      </c>
      <c r="E7549" t="s">
        <v>377</v>
      </c>
      <c r="F7549" s="4">
        <v>3906</v>
      </c>
      <c r="G7549" s="4">
        <v>0</v>
      </c>
      <c r="H7549" s="4">
        <v>0</v>
      </c>
      <c r="I7549" s="4">
        <v>0</v>
      </c>
      <c r="J7549" s="4">
        <v>3906</v>
      </c>
    </row>
    <row r="7550" spans="1:10" x14ac:dyDescent="0.75">
      <c r="A7550" t="s">
        <v>163</v>
      </c>
      <c r="B7550">
        <v>2320</v>
      </c>
      <c r="C7550" t="s">
        <v>198</v>
      </c>
      <c r="D7550">
        <v>4322</v>
      </c>
      <c r="E7550" t="s">
        <v>398</v>
      </c>
      <c r="F7550" s="4">
        <v>1615</v>
      </c>
      <c r="G7550" s="4">
        <v>0</v>
      </c>
      <c r="H7550" s="4">
        <v>0</v>
      </c>
      <c r="I7550" s="4">
        <v>0</v>
      </c>
      <c r="J7550" s="4">
        <v>1615</v>
      </c>
    </row>
    <row r="7551" spans="1:10" x14ac:dyDescent="0.75">
      <c r="A7551" t="s">
        <v>163</v>
      </c>
      <c r="B7551">
        <v>2320</v>
      </c>
      <c r="C7551" t="s">
        <v>198</v>
      </c>
      <c r="D7551">
        <v>5360</v>
      </c>
      <c r="E7551" t="s">
        <v>465</v>
      </c>
      <c r="F7551" s="4">
        <v>1567</v>
      </c>
      <c r="G7551" s="4">
        <v>0</v>
      </c>
      <c r="H7551" s="4">
        <v>0</v>
      </c>
      <c r="I7551" s="4">
        <v>0</v>
      </c>
      <c r="J7551" s="4">
        <v>1567</v>
      </c>
    </row>
    <row r="7552" spans="1:10" x14ac:dyDescent="0.75">
      <c r="A7552" t="s">
        <v>163</v>
      </c>
      <c r="B7552">
        <v>2320</v>
      </c>
      <c r="C7552" t="s">
        <v>198</v>
      </c>
      <c r="D7552">
        <v>7600</v>
      </c>
      <c r="E7552" t="s">
        <v>503</v>
      </c>
      <c r="F7552" s="4">
        <v>1411</v>
      </c>
      <c r="G7552" s="4">
        <v>0</v>
      </c>
      <c r="H7552" s="4">
        <v>0</v>
      </c>
      <c r="I7552" s="4">
        <v>0</v>
      </c>
      <c r="J7552" s="4">
        <v>1411</v>
      </c>
    </row>
    <row r="7553" spans="1:10" x14ac:dyDescent="0.75">
      <c r="A7553" t="s">
        <v>151</v>
      </c>
      <c r="B7553">
        <v>2502</v>
      </c>
      <c r="C7553" t="s">
        <v>352</v>
      </c>
      <c r="D7553">
        <v>7110</v>
      </c>
      <c r="E7553" t="s">
        <v>371</v>
      </c>
      <c r="F7553" s="4">
        <v>398</v>
      </c>
      <c r="G7553" s="4">
        <v>0</v>
      </c>
      <c r="H7553" s="4">
        <v>0</v>
      </c>
      <c r="I7553" s="4">
        <v>0</v>
      </c>
      <c r="J7553" s="4">
        <v>398</v>
      </c>
    </row>
    <row r="7554" spans="1:10" x14ac:dyDescent="0.75">
      <c r="A7554" t="s">
        <v>151</v>
      </c>
      <c r="B7554">
        <v>2502</v>
      </c>
      <c r="C7554" t="s">
        <v>352</v>
      </c>
      <c r="D7554">
        <v>5290</v>
      </c>
      <c r="E7554" t="s">
        <v>415</v>
      </c>
      <c r="F7554" s="4">
        <v>240</v>
      </c>
      <c r="G7554" s="4">
        <v>0</v>
      </c>
      <c r="H7554" s="4">
        <v>0</v>
      </c>
      <c r="I7554" s="4">
        <v>0</v>
      </c>
      <c r="J7554" s="4">
        <v>240</v>
      </c>
    </row>
    <row r="7555" spans="1:10" x14ac:dyDescent="0.75">
      <c r="A7555" t="s">
        <v>151</v>
      </c>
      <c r="B7555">
        <v>2502</v>
      </c>
      <c r="C7555" t="s">
        <v>352</v>
      </c>
      <c r="D7555">
        <v>2340</v>
      </c>
      <c r="E7555" t="s">
        <v>369</v>
      </c>
      <c r="F7555" s="4">
        <v>135</v>
      </c>
      <c r="G7555" s="4">
        <v>0</v>
      </c>
      <c r="H7555" s="4">
        <v>0</v>
      </c>
      <c r="I7555" s="4">
        <v>0</v>
      </c>
      <c r="J7555" s="4">
        <v>135</v>
      </c>
    </row>
    <row r="7556" spans="1:10" x14ac:dyDescent="0.75">
      <c r="A7556" t="s">
        <v>151</v>
      </c>
      <c r="B7556">
        <v>231</v>
      </c>
      <c r="C7556" t="s">
        <v>297</v>
      </c>
      <c r="D7556">
        <v>4331</v>
      </c>
      <c r="E7556" t="s">
        <v>390</v>
      </c>
      <c r="F7556" s="4">
        <v>193560</v>
      </c>
      <c r="G7556" s="4">
        <v>0</v>
      </c>
      <c r="H7556" s="4">
        <v>0</v>
      </c>
      <c r="I7556" s="4">
        <v>0</v>
      </c>
      <c r="J7556" s="4">
        <v>193560</v>
      </c>
    </row>
    <row r="7557" spans="1:10" x14ac:dyDescent="0.75">
      <c r="A7557" t="s">
        <v>151</v>
      </c>
      <c r="B7557">
        <v>231</v>
      </c>
      <c r="C7557" t="s">
        <v>297</v>
      </c>
      <c r="D7557">
        <v>2330</v>
      </c>
      <c r="E7557" t="s">
        <v>368</v>
      </c>
      <c r="F7557" s="4">
        <v>41606</v>
      </c>
      <c r="G7557" s="4">
        <v>0</v>
      </c>
      <c r="H7557" s="4">
        <v>0</v>
      </c>
      <c r="I7557" s="4">
        <v>0</v>
      </c>
      <c r="J7557" s="4">
        <v>41606</v>
      </c>
    </row>
    <row r="7558" spans="1:10" x14ac:dyDescent="0.75">
      <c r="A7558" t="s">
        <v>151</v>
      </c>
      <c r="B7558">
        <v>231</v>
      </c>
      <c r="C7558" t="s">
        <v>297</v>
      </c>
      <c r="D7558">
        <v>4420</v>
      </c>
      <c r="E7558" t="s">
        <v>381</v>
      </c>
      <c r="F7558" s="4">
        <v>19864</v>
      </c>
      <c r="G7558" s="4">
        <v>0</v>
      </c>
      <c r="H7558" s="4">
        <v>0</v>
      </c>
      <c r="I7558" s="4">
        <v>0</v>
      </c>
      <c r="J7558" s="4">
        <v>19864</v>
      </c>
    </row>
    <row r="7559" spans="1:10" x14ac:dyDescent="0.75">
      <c r="A7559" t="s">
        <v>151</v>
      </c>
      <c r="B7559">
        <v>4270</v>
      </c>
      <c r="C7559" t="s">
        <v>194</v>
      </c>
      <c r="D7559">
        <v>5220</v>
      </c>
      <c r="E7559" t="s">
        <v>401</v>
      </c>
      <c r="F7559" s="4">
        <v>0</v>
      </c>
      <c r="G7559" s="4">
        <v>1378310</v>
      </c>
      <c r="H7559" s="4">
        <v>1378310</v>
      </c>
      <c r="I7559" s="4">
        <v>0</v>
      </c>
      <c r="J7559" s="4">
        <v>1378310</v>
      </c>
    </row>
    <row r="7560" spans="1:10" x14ac:dyDescent="0.75">
      <c r="A7560" t="s">
        <v>151</v>
      </c>
      <c r="B7560">
        <v>4270</v>
      </c>
      <c r="C7560" t="s">
        <v>194</v>
      </c>
      <c r="D7560">
        <v>1100</v>
      </c>
      <c r="E7560" t="s">
        <v>397</v>
      </c>
      <c r="F7560" s="4">
        <v>0</v>
      </c>
      <c r="G7560" s="4">
        <v>1351367</v>
      </c>
      <c r="H7560" s="4">
        <v>0</v>
      </c>
      <c r="I7560" s="4">
        <v>1351367</v>
      </c>
      <c r="J7560" s="4">
        <v>1351367</v>
      </c>
    </row>
    <row r="7561" spans="1:10" x14ac:dyDescent="0.75">
      <c r="A7561" t="s">
        <v>151</v>
      </c>
      <c r="B7561">
        <v>4270</v>
      </c>
      <c r="C7561" t="s">
        <v>194</v>
      </c>
      <c r="D7561">
        <v>3110</v>
      </c>
      <c r="E7561" t="s">
        <v>405</v>
      </c>
      <c r="F7561" s="4">
        <v>0</v>
      </c>
      <c r="G7561" s="4">
        <v>767618</v>
      </c>
      <c r="H7561" s="4">
        <v>767618</v>
      </c>
      <c r="I7561" s="4">
        <v>0</v>
      </c>
      <c r="J7561" s="4">
        <v>767618</v>
      </c>
    </row>
    <row r="7562" spans="1:10" x14ac:dyDescent="0.75">
      <c r="A7562" t="s">
        <v>151</v>
      </c>
      <c r="B7562">
        <v>4270</v>
      </c>
      <c r="C7562" t="s">
        <v>194</v>
      </c>
      <c r="D7562">
        <v>6782</v>
      </c>
      <c r="E7562" t="s">
        <v>396</v>
      </c>
      <c r="F7562" s="4">
        <v>0</v>
      </c>
      <c r="G7562" s="4">
        <v>279035</v>
      </c>
      <c r="H7562" s="4">
        <v>117436</v>
      </c>
      <c r="I7562" s="4">
        <v>161599</v>
      </c>
      <c r="J7562" s="4">
        <v>279035</v>
      </c>
    </row>
    <row r="7563" spans="1:10" x14ac:dyDescent="0.75">
      <c r="A7563" t="s">
        <v>151</v>
      </c>
      <c r="B7563">
        <v>4270</v>
      </c>
      <c r="C7563" t="s">
        <v>194</v>
      </c>
      <c r="D7563">
        <v>6865</v>
      </c>
      <c r="E7563" t="s">
        <v>490</v>
      </c>
      <c r="F7563" s="4">
        <v>0</v>
      </c>
      <c r="G7563" s="4">
        <v>244746</v>
      </c>
      <c r="H7563" s="4">
        <v>244746</v>
      </c>
      <c r="I7563" s="4">
        <v>0</v>
      </c>
      <c r="J7563" s="4">
        <v>244746</v>
      </c>
    </row>
    <row r="7564" spans="1:10" x14ac:dyDescent="0.75">
      <c r="A7564" t="s">
        <v>151</v>
      </c>
      <c r="B7564">
        <v>4270</v>
      </c>
      <c r="C7564" t="s">
        <v>194</v>
      </c>
      <c r="D7564">
        <v>6653</v>
      </c>
      <c r="E7564" t="s">
        <v>395</v>
      </c>
      <c r="F7564" s="4">
        <v>0</v>
      </c>
      <c r="G7564" s="4">
        <v>199453</v>
      </c>
      <c r="H7564" s="4">
        <v>199453</v>
      </c>
      <c r="I7564" s="4">
        <v>0</v>
      </c>
      <c r="J7564" s="4">
        <v>199453</v>
      </c>
    </row>
    <row r="7565" spans="1:10" x14ac:dyDescent="0.75">
      <c r="A7565" t="s">
        <v>151</v>
      </c>
      <c r="B7565">
        <v>4270</v>
      </c>
      <c r="C7565" t="s">
        <v>194</v>
      </c>
      <c r="D7565">
        <v>6442</v>
      </c>
      <c r="E7565" t="s">
        <v>472</v>
      </c>
      <c r="F7565" s="4">
        <v>0</v>
      </c>
      <c r="G7565" s="4">
        <v>168138</v>
      </c>
      <c r="H7565" s="4">
        <v>36122</v>
      </c>
      <c r="I7565" s="4">
        <v>132016</v>
      </c>
      <c r="J7565" s="4">
        <v>168138</v>
      </c>
    </row>
    <row r="7566" spans="1:10" x14ac:dyDescent="0.75">
      <c r="A7566" t="s">
        <v>151</v>
      </c>
      <c r="B7566">
        <v>4270</v>
      </c>
      <c r="C7566" t="s">
        <v>194</v>
      </c>
      <c r="D7566">
        <v>3272</v>
      </c>
      <c r="E7566" t="s">
        <v>504</v>
      </c>
      <c r="F7566" s="4">
        <v>0</v>
      </c>
      <c r="G7566" s="4">
        <v>144000</v>
      </c>
      <c r="H7566" s="4">
        <v>144000</v>
      </c>
      <c r="I7566" s="4">
        <v>0</v>
      </c>
      <c r="J7566" s="4">
        <v>144000</v>
      </c>
    </row>
    <row r="7567" spans="1:10" x14ac:dyDescent="0.75">
      <c r="A7567" t="s">
        <v>151</v>
      </c>
      <c r="B7567">
        <v>4270</v>
      </c>
      <c r="C7567" t="s">
        <v>194</v>
      </c>
      <c r="D7567">
        <v>3273</v>
      </c>
      <c r="E7567" t="s">
        <v>411</v>
      </c>
      <c r="F7567" s="4">
        <v>0</v>
      </c>
      <c r="G7567" s="4">
        <v>142209</v>
      </c>
      <c r="H7567" s="4">
        <v>142209</v>
      </c>
      <c r="I7567" s="4">
        <v>0</v>
      </c>
      <c r="J7567" s="4">
        <v>142209</v>
      </c>
    </row>
    <row r="7568" spans="1:10" x14ac:dyDescent="0.75">
      <c r="A7568" t="s">
        <v>151</v>
      </c>
      <c r="B7568">
        <v>4270</v>
      </c>
      <c r="C7568" t="s">
        <v>194</v>
      </c>
      <c r="D7568">
        <v>4741</v>
      </c>
      <c r="E7568" t="s">
        <v>425</v>
      </c>
      <c r="F7568" s="4">
        <v>0</v>
      </c>
      <c r="G7568" s="4">
        <v>142084</v>
      </c>
      <c r="H7568" s="4">
        <v>0</v>
      </c>
      <c r="I7568" s="4">
        <v>142084</v>
      </c>
      <c r="J7568" s="4">
        <v>142084</v>
      </c>
    </row>
    <row r="7569" spans="1:10" x14ac:dyDescent="0.75">
      <c r="A7569" t="s">
        <v>151</v>
      </c>
      <c r="B7569">
        <v>4270</v>
      </c>
      <c r="C7569" t="s">
        <v>194</v>
      </c>
      <c r="D7569">
        <v>4860</v>
      </c>
      <c r="E7569" t="s">
        <v>400</v>
      </c>
      <c r="F7569" s="4">
        <v>0</v>
      </c>
      <c r="G7569" s="4">
        <v>126777</v>
      </c>
      <c r="H7569" s="4">
        <v>126777</v>
      </c>
      <c r="I7569" s="4">
        <v>0</v>
      </c>
      <c r="J7569" s="4">
        <v>126777</v>
      </c>
    </row>
    <row r="7570" spans="1:10" x14ac:dyDescent="0.75">
      <c r="A7570" t="s">
        <v>151</v>
      </c>
      <c r="B7570">
        <v>4270</v>
      </c>
      <c r="C7570" t="s">
        <v>194</v>
      </c>
      <c r="D7570">
        <v>3190</v>
      </c>
      <c r="E7570" t="s">
        <v>408</v>
      </c>
      <c r="F7570" s="4">
        <v>0</v>
      </c>
      <c r="G7570" s="4">
        <v>74310</v>
      </c>
      <c r="H7570" s="4">
        <v>74310</v>
      </c>
      <c r="I7570" s="4">
        <v>0</v>
      </c>
      <c r="J7570" s="4">
        <v>74310</v>
      </c>
    </row>
    <row r="7571" spans="1:10" x14ac:dyDescent="0.75">
      <c r="A7571" t="s">
        <v>151</v>
      </c>
      <c r="B7571">
        <v>4270</v>
      </c>
      <c r="C7571" t="s">
        <v>194</v>
      </c>
      <c r="D7571">
        <v>6889</v>
      </c>
      <c r="E7571" t="s">
        <v>420</v>
      </c>
      <c r="F7571" s="4">
        <v>0</v>
      </c>
      <c r="G7571" s="4">
        <v>73504</v>
      </c>
      <c r="H7571" s="4">
        <v>73504</v>
      </c>
      <c r="I7571" s="4">
        <v>0</v>
      </c>
      <c r="J7571" s="4">
        <v>73504</v>
      </c>
    </row>
    <row r="7572" spans="1:10" x14ac:dyDescent="0.75">
      <c r="A7572" t="s">
        <v>151</v>
      </c>
      <c r="B7572">
        <v>4270</v>
      </c>
      <c r="C7572" t="s">
        <v>194</v>
      </c>
      <c r="D7572">
        <v>3130</v>
      </c>
      <c r="E7572" t="s">
        <v>407</v>
      </c>
      <c r="F7572" s="4">
        <v>0</v>
      </c>
      <c r="G7572" s="4">
        <v>71813</v>
      </c>
      <c r="H7572" s="4">
        <v>71813</v>
      </c>
      <c r="I7572" s="4">
        <v>0</v>
      </c>
      <c r="J7572" s="4">
        <v>71813</v>
      </c>
    </row>
    <row r="7573" spans="1:10" x14ac:dyDescent="0.75">
      <c r="A7573" t="s">
        <v>151</v>
      </c>
      <c r="B7573">
        <v>4270</v>
      </c>
      <c r="C7573" t="s">
        <v>194</v>
      </c>
      <c r="D7573">
        <v>5330</v>
      </c>
      <c r="E7573" t="s">
        <v>385</v>
      </c>
      <c r="F7573" s="4">
        <v>0</v>
      </c>
      <c r="G7573" s="4">
        <v>56193</v>
      </c>
      <c r="H7573" s="4">
        <v>56193</v>
      </c>
      <c r="I7573" s="4">
        <v>0</v>
      </c>
      <c r="J7573" s="4">
        <v>56193</v>
      </c>
    </row>
    <row r="7574" spans="1:10" x14ac:dyDescent="0.75">
      <c r="A7574" t="s">
        <v>151</v>
      </c>
      <c r="B7574">
        <v>4270</v>
      </c>
      <c r="C7574" t="s">
        <v>194</v>
      </c>
      <c r="D7574">
        <v>4690</v>
      </c>
      <c r="E7574" t="s">
        <v>428</v>
      </c>
      <c r="F7574" s="4">
        <v>0</v>
      </c>
      <c r="G7574" s="4">
        <v>50706</v>
      </c>
      <c r="H7574" s="4">
        <v>0</v>
      </c>
      <c r="I7574" s="4">
        <v>50706</v>
      </c>
      <c r="J7574" s="4">
        <v>50706</v>
      </c>
    </row>
    <row r="7575" spans="1:10" x14ac:dyDescent="0.75">
      <c r="A7575" t="s">
        <v>151</v>
      </c>
      <c r="B7575">
        <v>4270</v>
      </c>
      <c r="C7575" t="s">
        <v>194</v>
      </c>
      <c r="D7575">
        <v>2540</v>
      </c>
      <c r="E7575" t="s">
        <v>377</v>
      </c>
      <c r="F7575" s="4">
        <v>0</v>
      </c>
      <c r="G7575" s="4">
        <v>40400</v>
      </c>
      <c r="H7575" s="4">
        <v>0</v>
      </c>
      <c r="I7575" s="4">
        <v>40400</v>
      </c>
      <c r="J7575" s="4">
        <v>40400</v>
      </c>
    </row>
    <row r="7576" spans="1:10" x14ac:dyDescent="0.75">
      <c r="A7576" t="s">
        <v>151</v>
      </c>
      <c r="B7576">
        <v>4270</v>
      </c>
      <c r="C7576" t="s">
        <v>194</v>
      </c>
      <c r="D7576">
        <v>3271</v>
      </c>
      <c r="E7576" t="s">
        <v>437</v>
      </c>
      <c r="F7576" s="4">
        <v>0</v>
      </c>
      <c r="G7576" s="4">
        <v>38779</v>
      </c>
      <c r="H7576" s="4">
        <v>0</v>
      </c>
      <c r="I7576" s="4">
        <v>38779</v>
      </c>
      <c r="J7576" s="4">
        <v>38779</v>
      </c>
    </row>
    <row r="7577" spans="1:10" x14ac:dyDescent="0.75">
      <c r="A7577" t="s">
        <v>151</v>
      </c>
      <c r="B7577">
        <v>4270</v>
      </c>
      <c r="C7577" t="s">
        <v>194</v>
      </c>
      <c r="D7577">
        <v>6654</v>
      </c>
      <c r="E7577" t="s">
        <v>419</v>
      </c>
      <c r="F7577" s="4">
        <v>0</v>
      </c>
      <c r="G7577" s="4">
        <v>34675</v>
      </c>
      <c r="H7577" s="4">
        <v>34675</v>
      </c>
      <c r="I7577" s="4">
        <v>0</v>
      </c>
      <c r="J7577" s="4">
        <v>34675</v>
      </c>
    </row>
    <row r="7578" spans="1:10" x14ac:dyDescent="0.75">
      <c r="A7578" t="s">
        <v>151</v>
      </c>
      <c r="B7578">
        <v>4270</v>
      </c>
      <c r="C7578" t="s">
        <v>194</v>
      </c>
      <c r="D7578">
        <v>5370</v>
      </c>
      <c r="E7578" t="s">
        <v>466</v>
      </c>
      <c r="F7578" s="4">
        <v>0</v>
      </c>
      <c r="G7578" s="4">
        <v>32289</v>
      </c>
      <c r="H7578" s="4">
        <v>32289</v>
      </c>
      <c r="I7578" s="4">
        <v>0</v>
      </c>
      <c r="J7578" s="4">
        <v>32289</v>
      </c>
    </row>
    <row r="7579" spans="1:10" x14ac:dyDescent="0.75">
      <c r="A7579" t="s">
        <v>151</v>
      </c>
      <c r="B7579">
        <v>4270</v>
      </c>
      <c r="C7579" t="s">
        <v>194</v>
      </c>
      <c r="D7579">
        <v>2330</v>
      </c>
      <c r="E7579" t="s">
        <v>368</v>
      </c>
      <c r="F7579" s="4">
        <v>9345</v>
      </c>
      <c r="G7579" s="4">
        <v>20680</v>
      </c>
      <c r="H7579" s="4">
        <v>20680</v>
      </c>
      <c r="I7579" s="4">
        <v>0</v>
      </c>
      <c r="J7579" s="4">
        <v>30025</v>
      </c>
    </row>
    <row r="7580" spans="1:10" x14ac:dyDescent="0.75">
      <c r="A7580" t="s">
        <v>151</v>
      </c>
      <c r="B7580">
        <v>4270</v>
      </c>
      <c r="C7580" t="s">
        <v>194</v>
      </c>
      <c r="D7580">
        <v>3276</v>
      </c>
      <c r="E7580" t="s">
        <v>379</v>
      </c>
      <c r="F7580" s="4">
        <v>0</v>
      </c>
      <c r="G7580" s="4">
        <v>25633</v>
      </c>
      <c r="H7580" s="4">
        <v>25633</v>
      </c>
      <c r="I7580" s="4">
        <v>0</v>
      </c>
      <c r="J7580" s="4">
        <v>25633</v>
      </c>
    </row>
    <row r="7581" spans="1:10" x14ac:dyDescent="0.75">
      <c r="A7581" t="s">
        <v>151</v>
      </c>
      <c r="B7581">
        <v>4270</v>
      </c>
      <c r="C7581" t="s">
        <v>194</v>
      </c>
      <c r="D7581">
        <v>6590</v>
      </c>
      <c r="E7581" t="s">
        <v>394</v>
      </c>
      <c r="F7581" s="4">
        <v>0</v>
      </c>
      <c r="G7581" s="4">
        <v>24900</v>
      </c>
      <c r="H7581" s="4">
        <v>24900</v>
      </c>
      <c r="I7581" s="4">
        <v>0</v>
      </c>
      <c r="J7581" s="4">
        <v>24900</v>
      </c>
    </row>
    <row r="7582" spans="1:10" x14ac:dyDescent="0.75">
      <c r="A7582" t="s">
        <v>151</v>
      </c>
      <c r="B7582">
        <v>4270</v>
      </c>
      <c r="C7582" t="s">
        <v>194</v>
      </c>
      <c r="D7582">
        <v>6747</v>
      </c>
      <c r="E7582" t="s">
        <v>478</v>
      </c>
      <c r="F7582" s="4">
        <v>0</v>
      </c>
      <c r="G7582" s="4">
        <v>24141</v>
      </c>
      <c r="H7582" s="4">
        <v>24141</v>
      </c>
      <c r="I7582" s="4">
        <v>0</v>
      </c>
      <c r="J7582" s="4">
        <v>24141</v>
      </c>
    </row>
    <row r="7583" spans="1:10" x14ac:dyDescent="0.75">
      <c r="A7583" t="s">
        <v>151</v>
      </c>
      <c r="B7583">
        <v>4270</v>
      </c>
      <c r="C7583" t="s">
        <v>194</v>
      </c>
      <c r="D7583">
        <v>7600</v>
      </c>
      <c r="E7583" t="s">
        <v>503</v>
      </c>
      <c r="F7583" s="4">
        <v>0</v>
      </c>
      <c r="G7583" s="4">
        <v>17293</v>
      </c>
      <c r="H7583" s="4">
        <v>37</v>
      </c>
      <c r="I7583" s="4">
        <v>17256</v>
      </c>
      <c r="J7583" s="4">
        <v>17293</v>
      </c>
    </row>
    <row r="7584" spans="1:10" x14ac:dyDescent="0.75">
      <c r="A7584" t="s">
        <v>151</v>
      </c>
      <c r="B7584">
        <v>4270</v>
      </c>
      <c r="C7584" t="s">
        <v>194</v>
      </c>
      <c r="D7584">
        <v>5480</v>
      </c>
      <c r="E7584" t="s">
        <v>386</v>
      </c>
      <c r="F7584" s="4">
        <v>0</v>
      </c>
      <c r="G7584" s="4">
        <v>16727</v>
      </c>
      <c r="H7584" s="4">
        <v>16727</v>
      </c>
      <c r="I7584" s="4">
        <v>0</v>
      </c>
      <c r="J7584" s="4">
        <v>16727</v>
      </c>
    </row>
    <row r="7585" spans="1:10" x14ac:dyDescent="0.75">
      <c r="A7585" t="s">
        <v>151</v>
      </c>
      <c r="B7585">
        <v>4270</v>
      </c>
      <c r="C7585" t="s">
        <v>194</v>
      </c>
      <c r="D7585">
        <v>6522</v>
      </c>
      <c r="E7585" t="s">
        <v>393</v>
      </c>
      <c r="F7585" s="4">
        <v>0</v>
      </c>
      <c r="G7585" s="4">
        <v>12553</v>
      </c>
      <c r="H7585" s="4">
        <v>12553</v>
      </c>
      <c r="I7585" s="4">
        <v>0</v>
      </c>
      <c r="J7585" s="4">
        <v>12553</v>
      </c>
    </row>
    <row r="7586" spans="1:10" x14ac:dyDescent="0.75">
      <c r="A7586" t="s">
        <v>151</v>
      </c>
      <c r="B7586">
        <v>4270</v>
      </c>
      <c r="C7586" t="s">
        <v>194</v>
      </c>
      <c r="D7586">
        <v>6861</v>
      </c>
      <c r="E7586" t="s">
        <v>489</v>
      </c>
      <c r="F7586" s="4">
        <v>0</v>
      </c>
      <c r="G7586" s="4">
        <v>12068</v>
      </c>
      <c r="H7586" s="4">
        <v>12068</v>
      </c>
      <c r="I7586" s="4">
        <v>0</v>
      </c>
      <c r="J7586" s="4">
        <v>12068</v>
      </c>
    </row>
    <row r="7587" spans="1:10" x14ac:dyDescent="0.75">
      <c r="A7587" t="s">
        <v>151</v>
      </c>
      <c r="B7587">
        <v>4270</v>
      </c>
      <c r="C7587" t="s">
        <v>194</v>
      </c>
      <c r="D7587">
        <v>3292</v>
      </c>
      <c r="E7587" t="s">
        <v>413</v>
      </c>
      <c r="F7587" s="4">
        <v>0</v>
      </c>
      <c r="G7587" s="4">
        <v>8883</v>
      </c>
      <c r="H7587" s="4">
        <v>8883</v>
      </c>
      <c r="I7587" s="4">
        <v>0</v>
      </c>
      <c r="J7587" s="4">
        <v>8883</v>
      </c>
    </row>
    <row r="7588" spans="1:10" x14ac:dyDescent="0.75">
      <c r="A7588" t="s">
        <v>151</v>
      </c>
      <c r="B7588">
        <v>4270</v>
      </c>
      <c r="C7588" t="s">
        <v>194</v>
      </c>
      <c r="D7588">
        <v>3274</v>
      </c>
      <c r="E7588" t="s">
        <v>438</v>
      </c>
      <c r="F7588" s="4">
        <v>0</v>
      </c>
      <c r="G7588" s="4">
        <v>8356</v>
      </c>
      <c r="H7588" s="4">
        <v>8356</v>
      </c>
      <c r="I7588" s="4">
        <v>0</v>
      </c>
      <c r="J7588" s="4">
        <v>8356</v>
      </c>
    </row>
    <row r="7589" spans="1:10" x14ac:dyDescent="0.75">
      <c r="A7589" t="s">
        <v>151</v>
      </c>
      <c r="B7589">
        <v>4270</v>
      </c>
      <c r="C7589" t="s">
        <v>194</v>
      </c>
      <c r="D7589">
        <v>7210</v>
      </c>
      <c r="E7589" t="s">
        <v>426</v>
      </c>
      <c r="F7589" s="4">
        <v>0</v>
      </c>
      <c r="G7589" s="4">
        <v>7956</v>
      </c>
      <c r="H7589" s="4">
        <v>7956</v>
      </c>
      <c r="I7589" s="4">
        <v>0</v>
      </c>
      <c r="J7589" s="4">
        <v>7956</v>
      </c>
    </row>
    <row r="7590" spans="1:10" x14ac:dyDescent="0.75">
      <c r="A7590" t="s">
        <v>151</v>
      </c>
      <c r="B7590">
        <v>4270</v>
      </c>
      <c r="C7590" t="s">
        <v>194</v>
      </c>
      <c r="D7590">
        <v>4630</v>
      </c>
      <c r="E7590" t="s">
        <v>456</v>
      </c>
      <c r="F7590" s="4">
        <v>0</v>
      </c>
      <c r="G7590" s="4">
        <v>6120</v>
      </c>
      <c r="H7590" s="4">
        <v>6120</v>
      </c>
      <c r="I7590" s="4">
        <v>0</v>
      </c>
      <c r="J7590" s="4">
        <v>6120</v>
      </c>
    </row>
    <row r="7591" spans="1:10" x14ac:dyDescent="0.75">
      <c r="A7591" t="s">
        <v>151</v>
      </c>
      <c r="B7591">
        <v>4270</v>
      </c>
      <c r="C7591" t="s">
        <v>194</v>
      </c>
      <c r="D7591">
        <v>6344</v>
      </c>
      <c r="E7591" t="s">
        <v>392</v>
      </c>
      <c r="F7591" s="4">
        <v>0</v>
      </c>
      <c r="G7591" s="4">
        <v>6063</v>
      </c>
      <c r="H7591" s="4">
        <v>6063</v>
      </c>
      <c r="I7591" s="4">
        <v>0</v>
      </c>
      <c r="J7591" s="4">
        <v>6063</v>
      </c>
    </row>
    <row r="7592" spans="1:10" x14ac:dyDescent="0.75">
      <c r="A7592" t="s">
        <v>151</v>
      </c>
      <c r="B7592">
        <v>4270</v>
      </c>
      <c r="C7592" t="s">
        <v>194</v>
      </c>
      <c r="D7592">
        <v>5360</v>
      </c>
      <c r="E7592" t="s">
        <v>465</v>
      </c>
      <c r="F7592" s="4">
        <v>0</v>
      </c>
      <c r="G7592" s="4">
        <v>5522</v>
      </c>
      <c r="H7592" s="4">
        <v>5522</v>
      </c>
      <c r="I7592" s="4">
        <v>0</v>
      </c>
      <c r="J7592" s="4">
        <v>5522</v>
      </c>
    </row>
    <row r="7593" spans="1:10" x14ac:dyDescent="0.75">
      <c r="A7593" t="s">
        <v>151</v>
      </c>
      <c r="B7593">
        <v>4270</v>
      </c>
      <c r="C7593" t="s">
        <v>194</v>
      </c>
      <c r="D7593">
        <v>3220</v>
      </c>
      <c r="E7593" t="s">
        <v>370</v>
      </c>
      <c r="F7593" s="4">
        <v>0</v>
      </c>
      <c r="G7593" s="4">
        <v>5241</v>
      </c>
      <c r="H7593" s="4">
        <v>5241</v>
      </c>
      <c r="I7593" s="4">
        <v>0</v>
      </c>
      <c r="J7593" s="4">
        <v>5241</v>
      </c>
    </row>
    <row r="7594" spans="1:10" x14ac:dyDescent="0.75">
      <c r="A7594" t="s">
        <v>151</v>
      </c>
      <c r="B7594">
        <v>4270</v>
      </c>
      <c r="C7594" t="s">
        <v>194</v>
      </c>
      <c r="D7594">
        <v>4782</v>
      </c>
      <c r="E7594" t="s">
        <v>414</v>
      </c>
      <c r="F7594" s="4">
        <v>0</v>
      </c>
      <c r="G7594" s="4">
        <v>3395</v>
      </c>
      <c r="H7594" s="4">
        <v>3395</v>
      </c>
      <c r="I7594" s="4">
        <v>0</v>
      </c>
      <c r="J7594" s="4">
        <v>3395</v>
      </c>
    </row>
    <row r="7595" spans="1:10" x14ac:dyDescent="0.75">
      <c r="A7595" t="s">
        <v>151</v>
      </c>
      <c r="B7595">
        <v>4270</v>
      </c>
      <c r="C7595" t="s">
        <v>194</v>
      </c>
      <c r="D7595">
        <v>6871</v>
      </c>
      <c r="E7595" t="s">
        <v>491</v>
      </c>
      <c r="F7595" s="4">
        <v>0</v>
      </c>
      <c r="G7595" s="4">
        <v>3197</v>
      </c>
      <c r="H7595" s="4">
        <v>3197</v>
      </c>
      <c r="I7595" s="4">
        <v>0</v>
      </c>
      <c r="J7595" s="4">
        <v>3197</v>
      </c>
    </row>
    <row r="7596" spans="1:10" x14ac:dyDescent="0.75">
      <c r="A7596" t="s">
        <v>151</v>
      </c>
      <c r="B7596">
        <v>4270</v>
      </c>
      <c r="C7596" t="s">
        <v>194</v>
      </c>
      <c r="D7596">
        <v>7110</v>
      </c>
      <c r="E7596" t="s">
        <v>371</v>
      </c>
      <c r="F7596" s="4">
        <v>0</v>
      </c>
      <c r="G7596" s="4">
        <v>3113</v>
      </c>
      <c r="H7596" s="4">
        <v>3113</v>
      </c>
      <c r="I7596" s="4">
        <v>0</v>
      </c>
      <c r="J7596" s="4">
        <v>3113</v>
      </c>
    </row>
    <row r="7597" spans="1:10" x14ac:dyDescent="0.75">
      <c r="A7597" t="s">
        <v>151</v>
      </c>
      <c r="B7597">
        <v>4270</v>
      </c>
      <c r="C7597" t="s">
        <v>194</v>
      </c>
      <c r="D7597">
        <v>3286</v>
      </c>
      <c r="E7597" t="s">
        <v>423</v>
      </c>
      <c r="F7597" s="4">
        <v>0</v>
      </c>
      <c r="G7597" s="4">
        <v>2648</v>
      </c>
      <c r="H7597" s="4">
        <v>2648</v>
      </c>
      <c r="I7597" s="4">
        <v>0</v>
      </c>
      <c r="J7597" s="4">
        <v>2648</v>
      </c>
    </row>
    <row r="7598" spans="1:10" x14ac:dyDescent="0.75">
      <c r="A7598" t="s">
        <v>151</v>
      </c>
      <c r="B7598">
        <v>4270</v>
      </c>
      <c r="C7598" t="s">
        <v>194</v>
      </c>
      <c r="D7598">
        <v>7120</v>
      </c>
      <c r="E7598" t="s">
        <v>499</v>
      </c>
      <c r="F7598" s="4">
        <v>0</v>
      </c>
      <c r="G7598" s="4">
        <v>2098</v>
      </c>
      <c r="H7598" s="4">
        <v>2098</v>
      </c>
      <c r="I7598" s="4">
        <v>0</v>
      </c>
      <c r="J7598" s="4">
        <v>2098</v>
      </c>
    </row>
    <row r="7599" spans="1:10" x14ac:dyDescent="0.75">
      <c r="A7599" t="s">
        <v>151</v>
      </c>
      <c r="B7599">
        <v>4270</v>
      </c>
      <c r="C7599" t="s">
        <v>194</v>
      </c>
      <c r="D7599">
        <v>9900</v>
      </c>
      <c r="E7599" t="s">
        <v>389</v>
      </c>
      <c r="F7599" s="4">
        <v>0</v>
      </c>
      <c r="G7599" s="4">
        <v>1715</v>
      </c>
      <c r="H7599" s="4">
        <v>1715</v>
      </c>
      <c r="I7599" s="4">
        <v>0</v>
      </c>
      <c r="J7599" s="4">
        <v>1715</v>
      </c>
    </row>
    <row r="7600" spans="1:10" x14ac:dyDescent="0.75">
      <c r="A7600" t="s">
        <v>151</v>
      </c>
      <c r="B7600">
        <v>4270</v>
      </c>
      <c r="C7600" t="s">
        <v>194</v>
      </c>
      <c r="D7600">
        <v>5240</v>
      </c>
      <c r="E7600" t="s">
        <v>464</v>
      </c>
      <c r="F7600" s="4">
        <v>0</v>
      </c>
      <c r="G7600" s="4">
        <v>606</v>
      </c>
      <c r="H7600" s="4">
        <v>606</v>
      </c>
      <c r="I7600" s="4">
        <v>0</v>
      </c>
      <c r="J7600" s="4">
        <v>606</v>
      </c>
    </row>
    <row r="7601" spans="1:10" x14ac:dyDescent="0.75">
      <c r="A7601" t="s">
        <v>151</v>
      </c>
      <c r="B7601">
        <v>4270</v>
      </c>
      <c r="C7601" t="s">
        <v>194</v>
      </c>
      <c r="D7601">
        <v>3240</v>
      </c>
      <c r="E7601" t="s">
        <v>410</v>
      </c>
      <c r="F7601" s="4">
        <v>0</v>
      </c>
      <c r="G7601" s="4">
        <v>554</v>
      </c>
      <c r="H7601" s="4">
        <v>554</v>
      </c>
      <c r="I7601" s="4">
        <v>0</v>
      </c>
      <c r="J7601" s="4">
        <v>554</v>
      </c>
    </row>
    <row r="7602" spans="1:10" x14ac:dyDescent="0.75">
      <c r="A7602" t="s">
        <v>151</v>
      </c>
      <c r="B7602">
        <v>4270</v>
      </c>
      <c r="C7602" t="s">
        <v>194</v>
      </c>
      <c r="D7602">
        <v>3275</v>
      </c>
      <c r="E7602" t="s">
        <v>412</v>
      </c>
      <c r="F7602" s="4">
        <v>0</v>
      </c>
      <c r="G7602" s="4">
        <v>331</v>
      </c>
      <c r="H7602" s="4">
        <v>331</v>
      </c>
      <c r="I7602" s="4">
        <v>0</v>
      </c>
      <c r="J7602" s="4">
        <v>331</v>
      </c>
    </row>
    <row r="7603" spans="1:10" x14ac:dyDescent="0.75">
      <c r="A7603" t="s">
        <v>151</v>
      </c>
      <c r="B7603">
        <v>4270</v>
      </c>
      <c r="C7603" t="s">
        <v>194</v>
      </c>
      <c r="D7603">
        <v>5312</v>
      </c>
      <c r="E7603" t="s">
        <v>416</v>
      </c>
      <c r="F7603" s="4">
        <v>0</v>
      </c>
      <c r="G7603" s="4">
        <v>179</v>
      </c>
      <c r="H7603" s="4">
        <v>179</v>
      </c>
      <c r="I7603" s="4">
        <v>0</v>
      </c>
      <c r="J7603" s="4">
        <v>179</v>
      </c>
    </row>
    <row r="7604" spans="1:10" x14ac:dyDescent="0.75">
      <c r="A7604" t="s">
        <v>151</v>
      </c>
      <c r="B7604">
        <v>4270</v>
      </c>
      <c r="C7604" t="s">
        <v>194</v>
      </c>
      <c r="D7604">
        <v>5290</v>
      </c>
      <c r="E7604" t="s">
        <v>415</v>
      </c>
      <c r="F7604" s="4">
        <v>0</v>
      </c>
      <c r="G7604" s="4">
        <v>102</v>
      </c>
      <c r="H7604" s="4">
        <v>102</v>
      </c>
      <c r="I7604" s="4">
        <v>0</v>
      </c>
      <c r="J7604" s="4">
        <v>102</v>
      </c>
    </row>
    <row r="7605" spans="1:10" x14ac:dyDescent="0.75">
      <c r="A7605" t="s">
        <v>151</v>
      </c>
      <c r="B7605">
        <v>4270</v>
      </c>
      <c r="C7605" t="s">
        <v>194</v>
      </c>
      <c r="D7605">
        <v>7500</v>
      </c>
      <c r="E7605" t="s">
        <v>427</v>
      </c>
      <c r="F7605" s="4">
        <v>0</v>
      </c>
      <c r="G7605" s="4">
        <v>34</v>
      </c>
      <c r="H7605" s="4">
        <v>34</v>
      </c>
      <c r="I7605" s="4">
        <v>0</v>
      </c>
      <c r="J7605" s="4">
        <v>34</v>
      </c>
    </row>
    <row r="7606" spans="1:10" x14ac:dyDescent="0.75">
      <c r="A7606" t="s">
        <v>151</v>
      </c>
      <c r="B7606">
        <v>4270</v>
      </c>
      <c r="C7606" t="s">
        <v>194</v>
      </c>
      <c r="D7606">
        <v>7230</v>
      </c>
      <c r="E7606" t="s">
        <v>387</v>
      </c>
      <c r="F7606" s="4">
        <v>0</v>
      </c>
      <c r="G7606" s="4">
        <v>28</v>
      </c>
      <c r="H7606" s="4">
        <v>28</v>
      </c>
      <c r="I7606" s="4">
        <v>0</v>
      </c>
      <c r="J7606" s="4">
        <v>28</v>
      </c>
    </row>
    <row r="7607" spans="1:10" x14ac:dyDescent="0.75">
      <c r="A7607" t="s">
        <v>151</v>
      </c>
      <c r="B7607">
        <v>4270</v>
      </c>
      <c r="C7607" t="s">
        <v>194</v>
      </c>
      <c r="D7607">
        <v>7900</v>
      </c>
      <c r="E7607" t="s">
        <v>388</v>
      </c>
      <c r="F7607" s="4">
        <v>0</v>
      </c>
      <c r="G7607" s="4">
        <v>17</v>
      </c>
      <c r="H7607" s="4">
        <v>17</v>
      </c>
      <c r="I7607" s="4">
        <v>0</v>
      </c>
      <c r="J7607" s="4">
        <v>17</v>
      </c>
    </row>
    <row r="7608" spans="1:10" x14ac:dyDescent="0.75">
      <c r="A7608" t="s">
        <v>151</v>
      </c>
      <c r="B7608">
        <v>4270</v>
      </c>
      <c r="C7608" t="s">
        <v>194</v>
      </c>
      <c r="D7608">
        <v>2211</v>
      </c>
      <c r="E7608" t="s">
        <v>367</v>
      </c>
      <c r="F7608" s="4">
        <v>0</v>
      </c>
      <c r="G7608" s="4">
        <v>2</v>
      </c>
      <c r="H7608" s="4">
        <v>2</v>
      </c>
      <c r="I7608" s="4">
        <v>0</v>
      </c>
      <c r="J7608" s="4">
        <v>2</v>
      </c>
    </row>
    <row r="7609" spans="1:10" x14ac:dyDescent="0.75">
      <c r="A7609" t="s">
        <v>151</v>
      </c>
      <c r="B7609">
        <v>92</v>
      </c>
      <c r="C7609" t="s">
        <v>337</v>
      </c>
      <c r="D7609">
        <v>7900</v>
      </c>
      <c r="E7609" t="s">
        <v>388</v>
      </c>
      <c r="F7609" s="4">
        <v>8437</v>
      </c>
      <c r="G7609" s="4">
        <v>0</v>
      </c>
      <c r="H7609" s="4">
        <v>0</v>
      </c>
      <c r="I7609" s="4">
        <v>0</v>
      </c>
      <c r="J7609" s="4">
        <v>8437</v>
      </c>
    </row>
    <row r="7610" spans="1:10" x14ac:dyDescent="0.75">
      <c r="A7610" t="s">
        <v>160</v>
      </c>
      <c r="B7610">
        <v>3767</v>
      </c>
      <c r="C7610" t="s">
        <v>354</v>
      </c>
      <c r="D7610">
        <v>5422</v>
      </c>
      <c r="E7610" t="s">
        <v>468</v>
      </c>
      <c r="F7610" s="4">
        <v>510</v>
      </c>
      <c r="G7610" s="4">
        <v>0</v>
      </c>
      <c r="H7610" s="4">
        <v>0</v>
      </c>
      <c r="I7610" s="4">
        <v>0</v>
      </c>
      <c r="J7610" s="4">
        <v>510</v>
      </c>
    </row>
    <row r="7611" spans="1:10" x14ac:dyDescent="0.75">
      <c r="A7611" t="s">
        <v>160</v>
      </c>
      <c r="B7611">
        <v>3767</v>
      </c>
      <c r="C7611" t="s">
        <v>354</v>
      </c>
      <c r="D7611">
        <v>5370</v>
      </c>
      <c r="E7611" t="s">
        <v>466</v>
      </c>
      <c r="F7611" s="4">
        <v>160</v>
      </c>
      <c r="G7611" s="4">
        <v>0</v>
      </c>
      <c r="H7611" s="4">
        <v>0</v>
      </c>
      <c r="I7611" s="4">
        <v>0</v>
      </c>
      <c r="J7611" s="4">
        <v>160</v>
      </c>
    </row>
    <row r="7612" spans="1:10" x14ac:dyDescent="0.75">
      <c r="A7612" t="s">
        <v>160</v>
      </c>
      <c r="B7612">
        <v>3767</v>
      </c>
      <c r="C7612" t="s">
        <v>354</v>
      </c>
      <c r="D7612">
        <v>7900</v>
      </c>
      <c r="E7612" t="s">
        <v>388</v>
      </c>
      <c r="F7612" s="4">
        <v>10</v>
      </c>
      <c r="G7612" s="4">
        <v>0</v>
      </c>
      <c r="H7612" s="4">
        <v>0</v>
      </c>
      <c r="I7612" s="4">
        <v>0</v>
      </c>
      <c r="J7612" s="4">
        <v>10</v>
      </c>
    </row>
    <row r="7613" spans="1:10" x14ac:dyDescent="0.75">
      <c r="A7613" t="s">
        <v>151</v>
      </c>
      <c r="B7613">
        <v>4719</v>
      </c>
      <c r="C7613" t="s">
        <v>14</v>
      </c>
      <c r="D7613">
        <v>6344</v>
      </c>
      <c r="E7613" t="s">
        <v>392</v>
      </c>
      <c r="F7613" s="4">
        <v>0</v>
      </c>
      <c r="G7613" s="4">
        <v>3735630</v>
      </c>
      <c r="H7613" s="4">
        <v>554</v>
      </c>
      <c r="I7613" s="4">
        <v>3735076</v>
      </c>
      <c r="J7613" s="4">
        <v>3735630</v>
      </c>
    </row>
    <row r="7614" spans="1:10" x14ac:dyDescent="0.75">
      <c r="A7614" t="s">
        <v>151</v>
      </c>
      <c r="B7614">
        <v>4719</v>
      </c>
      <c r="C7614" t="s">
        <v>14</v>
      </c>
      <c r="D7614">
        <v>7900</v>
      </c>
      <c r="E7614" t="s">
        <v>388</v>
      </c>
      <c r="F7614" s="4">
        <v>751897</v>
      </c>
      <c r="G7614" s="4">
        <v>1675770</v>
      </c>
      <c r="H7614" s="4">
        <v>1390985</v>
      </c>
      <c r="I7614" s="4">
        <v>284785</v>
      </c>
      <c r="J7614" s="4">
        <v>2427667</v>
      </c>
    </row>
    <row r="7615" spans="1:10" x14ac:dyDescent="0.75">
      <c r="A7615" t="s">
        <v>151</v>
      </c>
      <c r="B7615">
        <v>4719</v>
      </c>
      <c r="C7615" t="s">
        <v>14</v>
      </c>
      <c r="D7615">
        <v>6522</v>
      </c>
      <c r="E7615" t="s">
        <v>393</v>
      </c>
      <c r="F7615" s="4">
        <v>0</v>
      </c>
      <c r="G7615" s="4">
        <v>2227871</v>
      </c>
      <c r="H7615" s="4">
        <v>209</v>
      </c>
      <c r="I7615" s="4">
        <v>2227662</v>
      </c>
      <c r="J7615" s="4">
        <v>2227871</v>
      </c>
    </row>
    <row r="7616" spans="1:10" x14ac:dyDescent="0.75">
      <c r="A7616" t="s">
        <v>151</v>
      </c>
      <c r="B7616">
        <v>4719</v>
      </c>
      <c r="C7616" t="s">
        <v>14</v>
      </c>
      <c r="D7616">
        <v>4331</v>
      </c>
      <c r="E7616" t="s">
        <v>390</v>
      </c>
      <c r="F7616" s="4">
        <v>2039322</v>
      </c>
      <c r="G7616" s="4">
        <v>25781</v>
      </c>
      <c r="H7616" s="4">
        <v>17102</v>
      </c>
      <c r="I7616" s="4">
        <v>8679</v>
      </c>
      <c r="J7616" s="4">
        <v>2065103</v>
      </c>
    </row>
    <row r="7617" spans="1:10" x14ac:dyDescent="0.75">
      <c r="A7617" t="s">
        <v>151</v>
      </c>
      <c r="B7617">
        <v>4719</v>
      </c>
      <c r="C7617" t="s">
        <v>14</v>
      </c>
      <c r="D7617">
        <v>6781</v>
      </c>
      <c r="E7617" t="s">
        <v>479</v>
      </c>
      <c r="F7617" s="4">
        <v>5116</v>
      </c>
      <c r="G7617" s="4">
        <v>1365098</v>
      </c>
      <c r="H7617" s="4">
        <v>1175</v>
      </c>
      <c r="I7617" s="4">
        <v>1363923</v>
      </c>
      <c r="J7617" s="4">
        <v>1370214</v>
      </c>
    </row>
    <row r="7618" spans="1:10" x14ac:dyDescent="0.75">
      <c r="A7618" t="s">
        <v>151</v>
      </c>
      <c r="B7618">
        <v>4719</v>
      </c>
      <c r="C7618" t="s">
        <v>14</v>
      </c>
      <c r="D7618">
        <v>4420</v>
      </c>
      <c r="E7618" t="s">
        <v>381</v>
      </c>
      <c r="F7618" s="4">
        <v>21561</v>
      </c>
      <c r="G7618" s="4">
        <v>1045196</v>
      </c>
      <c r="H7618" s="4">
        <v>415714</v>
      </c>
      <c r="I7618" s="4">
        <v>629482</v>
      </c>
      <c r="J7618" s="4">
        <v>1066757</v>
      </c>
    </row>
    <row r="7619" spans="1:10" x14ac:dyDescent="0.75">
      <c r="A7619" t="s">
        <v>151</v>
      </c>
      <c r="B7619">
        <v>4719</v>
      </c>
      <c r="C7619" t="s">
        <v>14</v>
      </c>
      <c r="D7619">
        <v>7210</v>
      </c>
      <c r="E7619" t="s">
        <v>426</v>
      </c>
      <c r="F7619" s="4">
        <v>86171</v>
      </c>
      <c r="G7619" s="4">
        <v>784018</v>
      </c>
      <c r="H7619" s="4">
        <v>751043</v>
      </c>
      <c r="I7619" s="4">
        <v>32975</v>
      </c>
      <c r="J7619" s="4">
        <v>870189</v>
      </c>
    </row>
    <row r="7620" spans="1:10" x14ac:dyDescent="0.75">
      <c r="A7620" t="s">
        <v>151</v>
      </c>
      <c r="B7620">
        <v>4719</v>
      </c>
      <c r="C7620" t="s">
        <v>14</v>
      </c>
      <c r="D7620">
        <v>6782</v>
      </c>
      <c r="E7620" t="s">
        <v>396</v>
      </c>
      <c r="F7620" s="4">
        <v>25620</v>
      </c>
      <c r="G7620" s="4">
        <v>700745</v>
      </c>
      <c r="H7620" s="4">
        <v>42685</v>
      </c>
      <c r="I7620" s="4">
        <v>658060</v>
      </c>
      <c r="J7620" s="4">
        <v>726365</v>
      </c>
    </row>
    <row r="7621" spans="1:10" x14ac:dyDescent="0.75">
      <c r="A7621" t="s">
        <v>151</v>
      </c>
      <c r="B7621">
        <v>4719</v>
      </c>
      <c r="C7621" t="s">
        <v>14</v>
      </c>
      <c r="D7621">
        <v>7110</v>
      </c>
      <c r="E7621" t="s">
        <v>371</v>
      </c>
      <c r="F7621" s="4">
        <v>52620</v>
      </c>
      <c r="G7621" s="4">
        <v>628391</v>
      </c>
      <c r="H7621" s="4">
        <v>587305</v>
      </c>
      <c r="I7621" s="4">
        <v>41086</v>
      </c>
      <c r="J7621" s="4">
        <v>681011</v>
      </c>
    </row>
    <row r="7622" spans="1:10" x14ac:dyDescent="0.75">
      <c r="A7622" t="s">
        <v>151</v>
      </c>
      <c r="B7622">
        <v>4719</v>
      </c>
      <c r="C7622" t="s">
        <v>14</v>
      </c>
      <c r="D7622">
        <v>6654</v>
      </c>
      <c r="E7622" t="s">
        <v>419</v>
      </c>
      <c r="F7622" s="4">
        <v>31974</v>
      </c>
      <c r="G7622" s="4">
        <v>599079</v>
      </c>
      <c r="H7622" s="4">
        <v>43888</v>
      </c>
      <c r="I7622" s="4">
        <v>555191</v>
      </c>
      <c r="J7622" s="4">
        <v>631053</v>
      </c>
    </row>
    <row r="7623" spans="1:10" x14ac:dyDescent="0.75">
      <c r="A7623" t="s">
        <v>151</v>
      </c>
      <c r="B7623">
        <v>4719</v>
      </c>
      <c r="C7623" t="s">
        <v>14</v>
      </c>
      <c r="D7623">
        <v>5480</v>
      </c>
      <c r="E7623" t="s">
        <v>386</v>
      </c>
      <c r="F7623" s="4">
        <v>139</v>
      </c>
      <c r="G7623" s="4">
        <v>576192</v>
      </c>
      <c r="H7623" s="4">
        <v>566619</v>
      </c>
      <c r="I7623" s="4">
        <v>9573</v>
      </c>
      <c r="J7623" s="4">
        <v>576331</v>
      </c>
    </row>
    <row r="7624" spans="1:10" x14ac:dyDescent="0.75">
      <c r="A7624" t="s">
        <v>151</v>
      </c>
      <c r="B7624">
        <v>4719</v>
      </c>
      <c r="C7624" t="s">
        <v>14</v>
      </c>
      <c r="D7624">
        <v>7600</v>
      </c>
      <c r="E7624" t="s">
        <v>503</v>
      </c>
      <c r="F7624" s="4">
        <v>5204</v>
      </c>
      <c r="G7624" s="4">
        <v>537090</v>
      </c>
      <c r="H7624" s="4">
        <v>510832</v>
      </c>
      <c r="I7624" s="4">
        <v>26258</v>
      </c>
      <c r="J7624" s="4">
        <v>542294</v>
      </c>
    </row>
    <row r="7625" spans="1:10" x14ac:dyDescent="0.75">
      <c r="A7625" t="s">
        <v>151</v>
      </c>
      <c r="B7625">
        <v>4719</v>
      </c>
      <c r="C7625" t="s">
        <v>14</v>
      </c>
      <c r="D7625">
        <v>7120</v>
      </c>
      <c r="E7625" t="s">
        <v>499</v>
      </c>
      <c r="F7625" s="4">
        <v>7095</v>
      </c>
      <c r="G7625" s="4">
        <v>506939</v>
      </c>
      <c r="H7625" s="4">
        <v>496723</v>
      </c>
      <c r="I7625" s="4">
        <v>10216</v>
      </c>
      <c r="J7625" s="4">
        <v>514034</v>
      </c>
    </row>
    <row r="7626" spans="1:10" x14ac:dyDescent="0.75">
      <c r="A7626" t="s">
        <v>151</v>
      </c>
      <c r="B7626">
        <v>4719</v>
      </c>
      <c r="C7626" t="s">
        <v>14</v>
      </c>
      <c r="D7626">
        <v>4225</v>
      </c>
      <c r="E7626" t="s">
        <v>380</v>
      </c>
      <c r="F7626" s="4">
        <v>707</v>
      </c>
      <c r="G7626" s="4">
        <v>382838</v>
      </c>
      <c r="H7626" s="4">
        <v>3609</v>
      </c>
      <c r="I7626" s="4">
        <v>379229</v>
      </c>
      <c r="J7626" s="4">
        <v>383545</v>
      </c>
    </row>
    <row r="7627" spans="1:10" x14ac:dyDescent="0.75">
      <c r="A7627" t="s">
        <v>151</v>
      </c>
      <c r="B7627">
        <v>4719</v>
      </c>
      <c r="C7627" t="s">
        <v>14</v>
      </c>
      <c r="D7627">
        <v>7500</v>
      </c>
      <c r="E7627" t="s">
        <v>427</v>
      </c>
      <c r="F7627" s="4">
        <v>298</v>
      </c>
      <c r="G7627" s="4">
        <v>376552</v>
      </c>
      <c r="H7627" s="4">
        <v>351631</v>
      </c>
      <c r="I7627" s="4">
        <v>24921</v>
      </c>
      <c r="J7627" s="4">
        <v>376850</v>
      </c>
    </row>
    <row r="7628" spans="1:10" x14ac:dyDescent="0.75">
      <c r="A7628" t="s">
        <v>151</v>
      </c>
      <c r="B7628">
        <v>4719</v>
      </c>
      <c r="C7628" t="s">
        <v>14</v>
      </c>
      <c r="D7628">
        <v>4323</v>
      </c>
      <c r="E7628" t="s">
        <v>373</v>
      </c>
      <c r="F7628" s="4">
        <v>0</v>
      </c>
      <c r="G7628" s="4">
        <v>365925</v>
      </c>
      <c r="H7628" s="4">
        <v>357563</v>
      </c>
      <c r="I7628" s="4">
        <v>8362</v>
      </c>
      <c r="J7628" s="4">
        <v>365925</v>
      </c>
    </row>
    <row r="7629" spans="1:10" x14ac:dyDescent="0.75">
      <c r="A7629" t="s">
        <v>151</v>
      </c>
      <c r="B7629">
        <v>4719</v>
      </c>
      <c r="C7629" t="s">
        <v>14</v>
      </c>
      <c r="D7629">
        <v>5120</v>
      </c>
      <c r="E7629" t="s">
        <v>461</v>
      </c>
      <c r="F7629" s="4">
        <v>0</v>
      </c>
      <c r="G7629" s="4">
        <v>347853</v>
      </c>
      <c r="H7629" s="4">
        <v>26648</v>
      </c>
      <c r="I7629" s="4">
        <v>321205</v>
      </c>
      <c r="J7629" s="4">
        <v>347853</v>
      </c>
    </row>
    <row r="7630" spans="1:10" x14ac:dyDescent="0.75">
      <c r="A7630" t="s">
        <v>151</v>
      </c>
      <c r="B7630">
        <v>4719</v>
      </c>
      <c r="C7630" t="s">
        <v>14</v>
      </c>
      <c r="D7630">
        <v>6889</v>
      </c>
      <c r="E7630" t="s">
        <v>420</v>
      </c>
      <c r="F7630" s="4">
        <v>229571</v>
      </c>
      <c r="G7630" s="4">
        <v>86956</v>
      </c>
      <c r="H7630" s="4">
        <v>49744</v>
      </c>
      <c r="I7630" s="4">
        <v>37212</v>
      </c>
      <c r="J7630" s="4">
        <v>316527</v>
      </c>
    </row>
    <row r="7631" spans="1:10" x14ac:dyDescent="0.75">
      <c r="A7631" t="s">
        <v>151</v>
      </c>
      <c r="B7631">
        <v>4719</v>
      </c>
      <c r="C7631" t="s">
        <v>14</v>
      </c>
      <c r="D7631">
        <v>4170</v>
      </c>
      <c r="E7631" t="s">
        <v>424</v>
      </c>
      <c r="F7631" s="4">
        <v>68075</v>
      </c>
      <c r="G7631" s="4">
        <v>220375</v>
      </c>
      <c r="H7631" s="4">
        <v>15164</v>
      </c>
      <c r="I7631" s="4">
        <v>205211</v>
      </c>
      <c r="J7631" s="4">
        <v>288450</v>
      </c>
    </row>
    <row r="7632" spans="1:10" x14ac:dyDescent="0.75">
      <c r="A7632" t="s">
        <v>151</v>
      </c>
      <c r="B7632">
        <v>4719</v>
      </c>
      <c r="C7632" t="s">
        <v>14</v>
      </c>
      <c r="D7632">
        <v>2330</v>
      </c>
      <c r="E7632" t="s">
        <v>368</v>
      </c>
      <c r="F7632" s="4">
        <v>193774</v>
      </c>
      <c r="G7632" s="4">
        <v>89100</v>
      </c>
      <c r="H7632" s="4">
        <v>83277</v>
      </c>
      <c r="I7632" s="4">
        <v>5823</v>
      </c>
      <c r="J7632" s="4">
        <v>282874</v>
      </c>
    </row>
    <row r="7633" spans="1:10" x14ac:dyDescent="0.75">
      <c r="A7633" t="s">
        <v>151</v>
      </c>
      <c r="B7633">
        <v>4719</v>
      </c>
      <c r="C7633" t="s">
        <v>14</v>
      </c>
      <c r="D7633">
        <v>3220</v>
      </c>
      <c r="E7633" t="s">
        <v>370</v>
      </c>
      <c r="F7633" s="4">
        <v>84809</v>
      </c>
      <c r="G7633" s="4">
        <v>190880</v>
      </c>
      <c r="H7633" s="4">
        <v>9624</v>
      </c>
      <c r="I7633" s="4">
        <v>181256</v>
      </c>
      <c r="J7633" s="4">
        <v>275689</v>
      </c>
    </row>
    <row r="7634" spans="1:10" x14ac:dyDescent="0.75">
      <c r="A7634" t="s">
        <v>151</v>
      </c>
      <c r="B7634">
        <v>4719</v>
      </c>
      <c r="C7634" t="s">
        <v>14</v>
      </c>
      <c r="D7634">
        <v>2211</v>
      </c>
      <c r="E7634" t="s">
        <v>367</v>
      </c>
      <c r="F7634" s="4">
        <v>198886</v>
      </c>
      <c r="G7634" s="4">
        <v>46469</v>
      </c>
      <c r="H7634" s="4">
        <v>46437</v>
      </c>
      <c r="I7634" s="4">
        <v>32</v>
      </c>
      <c r="J7634" s="4">
        <v>245355</v>
      </c>
    </row>
    <row r="7635" spans="1:10" x14ac:dyDescent="0.75">
      <c r="A7635" t="s">
        <v>151</v>
      </c>
      <c r="B7635">
        <v>4719</v>
      </c>
      <c r="C7635" t="s">
        <v>14</v>
      </c>
      <c r="D7635">
        <v>2340</v>
      </c>
      <c r="E7635" t="s">
        <v>369</v>
      </c>
      <c r="F7635" s="4">
        <v>215977</v>
      </c>
      <c r="G7635" s="4">
        <v>27169</v>
      </c>
      <c r="H7635" s="4">
        <v>27169</v>
      </c>
      <c r="I7635" s="4">
        <v>0</v>
      </c>
      <c r="J7635" s="4">
        <v>243146</v>
      </c>
    </row>
    <row r="7636" spans="1:10" x14ac:dyDescent="0.75">
      <c r="A7636" t="s">
        <v>151</v>
      </c>
      <c r="B7636">
        <v>4719</v>
      </c>
      <c r="C7636" t="s">
        <v>14</v>
      </c>
      <c r="D7636">
        <v>3286</v>
      </c>
      <c r="E7636" t="s">
        <v>423</v>
      </c>
      <c r="F7636" s="4">
        <v>119</v>
      </c>
      <c r="G7636" s="4">
        <v>221397</v>
      </c>
      <c r="H7636" s="4">
        <v>202007</v>
      </c>
      <c r="I7636" s="4">
        <v>19390</v>
      </c>
      <c r="J7636" s="4">
        <v>221516</v>
      </c>
    </row>
    <row r="7637" spans="1:10" x14ac:dyDescent="0.75">
      <c r="A7637" t="s">
        <v>151</v>
      </c>
      <c r="B7637">
        <v>4719</v>
      </c>
      <c r="C7637" t="s">
        <v>14</v>
      </c>
      <c r="D7637">
        <v>4189</v>
      </c>
      <c r="E7637" t="s">
        <v>451</v>
      </c>
      <c r="F7637" s="4">
        <v>49884</v>
      </c>
      <c r="G7637" s="4">
        <v>113790</v>
      </c>
      <c r="H7637" s="4">
        <v>15598</v>
      </c>
      <c r="I7637" s="4">
        <v>98192</v>
      </c>
      <c r="J7637" s="4">
        <v>163674</v>
      </c>
    </row>
    <row r="7638" spans="1:10" x14ac:dyDescent="0.75">
      <c r="A7638" t="s">
        <v>151</v>
      </c>
      <c r="B7638">
        <v>4719</v>
      </c>
      <c r="C7638" t="s">
        <v>14</v>
      </c>
      <c r="D7638">
        <v>6857</v>
      </c>
      <c r="E7638" t="s">
        <v>487</v>
      </c>
      <c r="F7638" s="4">
        <v>570</v>
      </c>
      <c r="G7638" s="4">
        <v>145664</v>
      </c>
      <c r="H7638" s="4">
        <v>9627</v>
      </c>
      <c r="I7638" s="4">
        <v>136037</v>
      </c>
      <c r="J7638" s="4">
        <v>146234</v>
      </c>
    </row>
    <row r="7639" spans="1:10" x14ac:dyDescent="0.75">
      <c r="A7639" t="s">
        <v>151</v>
      </c>
      <c r="B7639">
        <v>4719</v>
      </c>
      <c r="C7639" t="s">
        <v>14</v>
      </c>
      <c r="D7639">
        <v>7400</v>
      </c>
      <c r="E7639" t="s">
        <v>502</v>
      </c>
      <c r="F7639" s="4">
        <v>73489</v>
      </c>
      <c r="G7639" s="4">
        <v>71745</v>
      </c>
      <c r="H7639" s="4">
        <v>69806</v>
      </c>
      <c r="I7639" s="4">
        <v>1939</v>
      </c>
      <c r="J7639" s="4">
        <v>145234</v>
      </c>
    </row>
    <row r="7640" spans="1:10" x14ac:dyDescent="0.75">
      <c r="A7640" t="s">
        <v>151</v>
      </c>
      <c r="B7640">
        <v>4719</v>
      </c>
      <c r="C7640" t="s">
        <v>14</v>
      </c>
      <c r="D7640">
        <v>6822</v>
      </c>
      <c r="E7640" t="s">
        <v>482</v>
      </c>
      <c r="F7640" s="4">
        <v>5027</v>
      </c>
      <c r="G7640" s="4">
        <v>129653</v>
      </c>
      <c r="H7640" s="4">
        <v>3253</v>
      </c>
      <c r="I7640" s="4">
        <v>126400</v>
      </c>
      <c r="J7640" s="4">
        <v>134680</v>
      </c>
    </row>
    <row r="7641" spans="1:10" x14ac:dyDescent="0.75">
      <c r="A7641" t="s">
        <v>151</v>
      </c>
      <c r="B7641">
        <v>4719</v>
      </c>
      <c r="C7641" t="s">
        <v>14</v>
      </c>
      <c r="D7641">
        <v>4680</v>
      </c>
      <c r="E7641" t="s">
        <v>459</v>
      </c>
      <c r="F7641" s="4">
        <v>0</v>
      </c>
      <c r="G7641" s="4">
        <v>114699</v>
      </c>
      <c r="H7641" s="4">
        <v>35235</v>
      </c>
      <c r="I7641" s="4">
        <v>79464</v>
      </c>
      <c r="J7641" s="4">
        <v>114699</v>
      </c>
    </row>
    <row r="7642" spans="1:10" x14ac:dyDescent="0.75">
      <c r="A7642" t="s">
        <v>151</v>
      </c>
      <c r="B7642">
        <v>4719</v>
      </c>
      <c r="C7642" t="s">
        <v>14</v>
      </c>
      <c r="D7642">
        <v>5290</v>
      </c>
      <c r="E7642" t="s">
        <v>415</v>
      </c>
      <c r="F7642" s="4">
        <v>257</v>
      </c>
      <c r="G7642" s="4">
        <v>111232</v>
      </c>
      <c r="H7642" s="4">
        <v>105228</v>
      </c>
      <c r="I7642" s="4">
        <v>6004</v>
      </c>
      <c r="J7642" s="4">
        <v>111489</v>
      </c>
    </row>
    <row r="7643" spans="1:10" x14ac:dyDescent="0.75">
      <c r="A7643" t="s">
        <v>151</v>
      </c>
      <c r="B7643">
        <v>4719</v>
      </c>
      <c r="C7643" t="s">
        <v>14</v>
      </c>
      <c r="D7643">
        <v>6811</v>
      </c>
      <c r="E7643" t="s">
        <v>480</v>
      </c>
      <c r="F7643" s="4">
        <v>4442</v>
      </c>
      <c r="G7643" s="4">
        <v>96379</v>
      </c>
      <c r="H7643" s="4">
        <v>1324</v>
      </c>
      <c r="I7643" s="4">
        <v>95055</v>
      </c>
      <c r="J7643" s="4">
        <v>100821</v>
      </c>
    </row>
    <row r="7644" spans="1:10" x14ac:dyDescent="0.75">
      <c r="A7644" t="s">
        <v>151</v>
      </c>
      <c r="B7644">
        <v>4719</v>
      </c>
      <c r="C7644" t="s">
        <v>14</v>
      </c>
      <c r="D7644">
        <v>5240</v>
      </c>
      <c r="E7644" t="s">
        <v>464</v>
      </c>
      <c r="F7644" s="4">
        <v>408</v>
      </c>
      <c r="G7644" s="4">
        <v>97357</v>
      </c>
      <c r="H7644" s="4">
        <v>83990</v>
      </c>
      <c r="I7644" s="4">
        <v>13367</v>
      </c>
      <c r="J7644" s="4">
        <v>97765</v>
      </c>
    </row>
    <row r="7645" spans="1:10" x14ac:dyDescent="0.75">
      <c r="A7645" t="s">
        <v>151</v>
      </c>
      <c r="B7645">
        <v>4719</v>
      </c>
      <c r="C7645" t="s">
        <v>14</v>
      </c>
      <c r="D7645">
        <v>9900</v>
      </c>
      <c r="E7645" t="s">
        <v>389</v>
      </c>
      <c r="F7645" s="4">
        <v>0</v>
      </c>
      <c r="G7645" s="4">
        <v>82958</v>
      </c>
      <c r="H7645" s="4">
        <v>47833</v>
      </c>
      <c r="I7645" s="4">
        <v>35125</v>
      </c>
      <c r="J7645" s="4">
        <v>82958</v>
      </c>
    </row>
    <row r="7646" spans="1:10" x14ac:dyDescent="0.75">
      <c r="A7646" t="s">
        <v>151</v>
      </c>
      <c r="B7646">
        <v>4719</v>
      </c>
      <c r="C7646" t="s">
        <v>14</v>
      </c>
      <c r="D7646">
        <v>2100</v>
      </c>
      <c r="E7646" t="s">
        <v>403</v>
      </c>
      <c r="F7646" s="4">
        <v>82793</v>
      </c>
      <c r="G7646" s="4">
        <v>3</v>
      </c>
      <c r="H7646" s="4">
        <v>3</v>
      </c>
      <c r="I7646" s="4">
        <v>0</v>
      </c>
      <c r="J7646" s="4">
        <v>82796</v>
      </c>
    </row>
    <row r="7647" spans="1:10" x14ac:dyDescent="0.75">
      <c r="A7647" t="s">
        <v>151</v>
      </c>
      <c r="B7647">
        <v>4719</v>
      </c>
      <c r="C7647" t="s">
        <v>14</v>
      </c>
      <c r="D7647">
        <v>5190</v>
      </c>
      <c r="E7647" t="s">
        <v>462</v>
      </c>
      <c r="F7647" s="4">
        <v>24818</v>
      </c>
      <c r="G7647" s="4">
        <v>53285</v>
      </c>
      <c r="H7647" s="4">
        <v>49188</v>
      </c>
      <c r="I7647" s="4">
        <v>4097</v>
      </c>
      <c r="J7647" s="4">
        <v>78103</v>
      </c>
    </row>
    <row r="7648" spans="1:10" x14ac:dyDescent="0.75">
      <c r="A7648" t="s">
        <v>151</v>
      </c>
      <c r="B7648">
        <v>4719</v>
      </c>
      <c r="C7648" t="s">
        <v>14</v>
      </c>
      <c r="D7648">
        <v>6858</v>
      </c>
      <c r="E7648" t="s">
        <v>488</v>
      </c>
      <c r="F7648" s="4">
        <v>0</v>
      </c>
      <c r="G7648" s="4">
        <v>74756</v>
      </c>
      <c r="H7648" s="4">
        <v>50226</v>
      </c>
      <c r="I7648" s="4">
        <v>24530</v>
      </c>
      <c r="J7648" s="4">
        <v>74756</v>
      </c>
    </row>
    <row r="7649" spans="1:10" x14ac:dyDescent="0.75">
      <c r="A7649" t="s">
        <v>151</v>
      </c>
      <c r="B7649">
        <v>4719</v>
      </c>
      <c r="C7649" t="s">
        <v>14</v>
      </c>
      <c r="D7649">
        <v>5422</v>
      </c>
      <c r="E7649" t="s">
        <v>468</v>
      </c>
      <c r="F7649" s="4">
        <v>0</v>
      </c>
      <c r="G7649" s="4">
        <v>67562</v>
      </c>
      <c r="H7649" s="4">
        <v>62566</v>
      </c>
      <c r="I7649" s="4">
        <v>4996</v>
      </c>
      <c r="J7649" s="4">
        <v>67562</v>
      </c>
    </row>
    <row r="7650" spans="1:10" x14ac:dyDescent="0.75">
      <c r="A7650" t="s">
        <v>151</v>
      </c>
      <c r="B7650">
        <v>4719</v>
      </c>
      <c r="C7650" t="s">
        <v>14</v>
      </c>
      <c r="D7650">
        <v>6887</v>
      </c>
      <c r="E7650" t="s">
        <v>505</v>
      </c>
      <c r="F7650" s="4">
        <v>65526</v>
      </c>
      <c r="G7650" s="4">
        <v>0</v>
      </c>
      <c r="H7650" s="4">
        <v>0</v>
      </c>
      <c r="I7650" s="4">
        <v>0</v>
      </c>
      <c r="J7650" s="4">
        <v>65526</v>
      </c>
    </row>
    <row r="7651" spans="1:10" x14ac:dyDescent="0.75">
      <c r="A7651" t="s">
        <v>151</v>
      </c>
      <c r="B7651">
        <v>4719</v>
      </c>
      <c r="C7651" t="s">
        <v>14</v>
      </c>
      <c r="D7651">
        <v>4322</v>
      </c>
      <c r="E7651" t="s">
        <v>398</v>
      </c>
      <c r="F7651" s="4">
        <v>0</v>
      </c>
      <c r="G7651" s="4">
        <v>65003</v>
      </c>
      <c r="H7651" s="4">
        <v>65003</v>
      </c>
      <c r="I7651" s="4">
        <v>0</v>
      </c>
      <c r="J7651" s="4">
        <v>65003</v>
      </c>
    </row>
    <row r="7652" spans="1:10" x14ac:dyDescent="0.75">
      <c r="A7652" t="s">
        <v>151</v>
      </c>
      <c r="B7652">
        <v>4719</v>
      </c>
      <c r="C7652" t="s">
        <v>14</v>
      </c>
      <c r="D7652">
        <v>4782</v>
      </c>
      <c r="E7652" t="s">
        <v>414</v>
      </c>
      <c r="F7652" s="4">
        <v>0</v>
      </c>
      <c r="G7652" s="4">
        <v>63476</v>
      </c>
      <c r="H7652" s="4">
        <v>1260</v>
      </c>
      <c r="I7652" s="4">
        <v>62216</v>
      </c>
      <c r="J7652" s="4">
        <v>63476</v>
      </c>
    </row>
    <row r="7653" spans="1:10" x14ac:dyDescent="0.75">
      <c r="A7653" t="s">
        <v>151</v>
      </c>
      <c r="B7653">
        <v>4719</v>
      </c>
      <c r="C7653" t="s">
        <v>14</v>
      </c>
      <c r="D7653">
        <v>6885</v>
      </c>
      <c r="E7653" t="s">
        <v>493</v>
      </c>
      <c r="F7653" s="4">
        <v>45361</v>
      </c>
      <c r="G7653" s="4">
        <v>12015</v>
      </c>
      <c r="H7653" s="4">
        <v>6422</v>
      </c>
      <c r="I7653" s="4">
        <v>5593</v>
      </c>
      <c r="J7653" s="4">
        <v>57376</v>
      </c>
    </row>
    <row r="7654" spans="1:10" x14ac:dyDescent="0.75">
      <c r="A7654" t="s">
        <v>151</v>
      </c>
      <c r="B7654">
        <v>4719</v>
      </c>
      <c r="C7654" t="s">
        <v>14</v>
      </c>
      <c r="D7654">
        <v>5540</v>
      </c>
      <c r="E7654" t="s">
        <v>469</v>
      </c>
      <c r="F7654" s="4">
        <v>1266</v>
      </c>
      <c r="G7654" s="4">
        <v>53742</v>
      </c>
      <c r="H7654" s="4">
        <v>52354</v>
      </c>
      <c r="I7654" s="4">
        <v>1388</v>
      </c>
      <c r="J7654" s="4">
        <v>55008</v>
      </c>
    </row>
    <row r="7655" spans="1:10" x14ac:dyDescent="0.75">
      <c r="A7655" t="s">
        <v>151</v>
      </c>
      <c r="B7655">
        <v>4719</v>
      </c>
      <c r="C7655" t="s">
        <v>14</v>
      </c>
      <c r="D7655">
        <v>6134</v>
      </c>
      <c r="E7655" t="s">
        <v>470</v>
      </c>
      <c r="F7655" s="4">
        <v>26024</v>
      </c>
      <c r="G7655" s="4">
        <v>20984</v>
      </c>
      <c r="H7655" s="4">
        <v>10723</v>
      </c>
      <c r="I7655" s="4">
        <v>10261</v>
      </c>
      <c r="J7655" s="4">
        <v>47008</v>
      </c>
    </row>
    <row r="7656" spans="1:10" x14ac:dyDescent="0.75">
      <c r="A7656" t="s">
        <v>151</v>
      </c>
      <c r="B7656">
        <v>4719</v>
      </c>
      <c r="C7656" t="s">
        <v>14</v>
      </c>
      <c r="D7656">
        <v>3299</v>
      </c>
      <c r="E7656" t="s">
        <v>448</v>
      </c>
      <c r="F7656" s="4">
        <v>16454</v>
      </c>
      <c r="G7656" s="4">
        <v>30406</v>
      </c>
      <c r="H7656" s="4">
        <v>23277</v>
      </c>
      <c r="I7656" s="4">
        <v>7129</v>
      </c>
      <c r="J7656" s="4">
        <v>46860</v>
      </c>
    </row>
    <row r="7657" spans="1:10" x14ac:dyDescent="0.75">
      <c r="A7657" t="s">
        <v>151</v>
      </c>
      <c r="B7657">
        <v>4719</v>
      </c>
      <c r="C7657" t="s">
        <v>14</v>
      </c>
      <c r="D7657">
        <v>3275</v>
      </c>
      <c r="E7657" t="s">
        <v>412</v>
      </c>
      <c r="F7657" s="4">
        <v>0</v>
      </c>
      <c r="G7657" s="4">
        <v>42530</v>
      </c>
      <c r="H7657" s="4">
        <v>32175</v>
      </c>
      <c r="I7657" s="4">
        <v>10355</v>
      </c>
      <c r="J7657" s="4">
        <v>42530</v>
      </c>
    </row>
    <row r="7658" spans="1:10" x14ac:dyDescent="0.75">
      <c r="A7658" t="s">
        <v>151</v>
      </c>
      <c r="B7658">
        <v>4719</v>
      </c>
      <c r="C7658" t="s">
        <v>14</v>
      </c>
      <c r="D7658">
        <v>5370</v>
      </c>
      <c r="E7658" t="s">
        <v>466</v>
      </c>
      <c r="F7658" s="4">
        <v>4666</v>
      </c>
      <c r="G7658" s="4">
        <v>37802</v>
      </c>
      <c r="H7658" s="4">
        <v>37198</v>
      </c>
      <c r="I7658" s="4">
        <v>604</v>
      </c>
      <c r="J7658" s="4">
        <v>42468</v>
      </c>
    </row>
    <row r="7659" spans="1:10" x14ac:dyDescent="0.75">
      <c r="A7659" t="s">
        <v>151</v>
      </c>
      <c r="B7659">
        <v>4719</v>
      </c>
      <c r="C7659" t="s">
        <v>14</v>
      </c>
      <c r="D7659">
        <v>3285</v>
      </c>
      <c r="E7659" t="s">
        <v>443</v>
      </c>
      <c r="F7659" s="4">
        <v>2</v>
      </c>
      <c r="G7659" s="4">
        <v>41469</v>
      </c>
      <c r="H7659" s="4">
        <v>32687</v>
      </c>
      <c r="I7659" s="4">
        <v>8782</v>
      </c>
      <c r="J7659" s="4">
        <v>41471</v>
      </c>
    </row>
    <row r="7660" spans="1:10" x14ac:dyDescent="0.75">
      <c r="A7660" t="s">
        <v>151</v>
      </c>
      <c r="B7660">
        <v>4719</v>
      </c>
      <c r="C7660" t="s">
        <v>14</v>
      </c>
      <c r="D7660">
        <v>6839</v>
      </c>
      <c r="E7660" t="s">
        <v>485</v>
      </c>
      <c r="F7660" s="4">
        <v>993</v>
      </c>
      <c r="G7660" s="4">
        <v>40073</v>
      </c>
      <c r="H7660" s="4">
        <v>3257</v>
      </c>
      <c r="I7660" s="4">
        <v>36816</v>
      </c>
      <c r="J7660" s="4">
        <v>41066</v>
      </c>
    </row>
    <row r="7661" spans="1:10" x14ac:dyDescent="0.75">
      <c r="A7661" t="s">
        <v>151</v>
      </c>
      <c r="B7661">
        <v>4719</v>
      </c>
      <c r="C7661" t="s">
        <v>14</v>
      </c>
      <c r="D7661">
        <v>6899</v>
      </c>
      <c r="E7661" t="s">
        <v>498</v>
      </c>
      <c r="F7661" s="4">
        <v>5243</v>
      </c>
      <c r="G7661" s="4">
        <v>33871</v>
      </c>
      <c r="H7661" s="4">
        <v>3586</v>
      </c>
      <c r="I7661" s="4">
        <v>30285</v>
      </c>
      <c r="J7661" s="4">
        <v>39114</v>
      </c>
    </row>
    <row r="7662" spans="1:10" x14ac:dyDescent="0.75">
      <c r="A7662" t="s">
        <v>151</v>
      </c>
      <c r="B7662">
        <v>4719</v>
      </c>
      <c r="C7662" t="s">
        <v>14</v>
      </c>
      <c r="D7662">
        <v>3230</v>
      </c>
      <c r="E7662" t="s">
        <v>434</v>
      </c>
      <c r="F7662" s="4">
        <v>0</v>
      </c>
      <c r="G7662" s="4">
        <v>38139</v>
      </c>
      <c r="H7662" s="4">
        <v>33735</v>
      </c>
      <c r="I7662" s="4">
        <v>4404</v>
      </c>
      <c r="J7662" s="4">
        <v>38139</v>
      </c>
    </row>
    <row r="7663" spans="1:10" x14ac:dyDescent="0.75">
      <c r="A7663" t="s">
        <v>151</v>
      </c>
      <c r="B7663">
        <v>4719</v>
      </c>
      <c r="C7663" t="s">
        <v>14</v>
      </c>
      <c r="D7663">
        <v>3276</v>
      </c>
      <c r="E7663" t="s">
        <v>379</v>
      </c>
      <c r="F7663" s="4">
        <v>2499</v>
      </c>
      <c r="G7663" s="4">
        <v>34649</v>
      </c>
      <c r="H7663" s="4">
        <v>21731</v>
      </c>
      <c r="I7663" s="4">
        <v>12918</v>
      </c>
      <c r="J7663" s="4">
        <v>37148</v>
      </c>
    </row>
    <row r="7664" spans="1:10" x14ac:dyDescent="0.75">
      <c r="A7664" t="s">
        <v>151</v>
      </c>
      <c r="B7664">
        <v>4719</v>
      </c>
      <c r="C7664" t="s">
        <v>14</v>
      </c>
      <c r="D7664">
        <v>6747</v>
      </c>
      <c r="E7664" t="s">
        <v>478</v>
      </c>
      <c r="F7664" s="4">
        <v>646</v>
      </c>
      <c r="G7664" s="4">
        <v>34494</v>
      </c>
      <c r="H7664" s="4">
        <v>4369</v>
      </c>
      <c r="I7664" s="4">
        <v>30125</v>
      </c>
      <c r="J7664" s="4">
        <v>35140</v>
      </c>
    </row>
    <row r="7665" spans="1:10" x14ac:dyDescent="0.75">
      <c r="A7665" t="s">
        <v>151</v>
      </c>
      <c r="B7665">
        <v>4719</v>
      </c>
      <c r="C7665" t="s">
        <v>14</v>
      </c>
      <c r="D7665">
        <v>3292</v>
      </c>
      <c r="E7665" t="s">
        <v>413</v>
      </c>
      <c r="F7665" s="4">
        <v>0</v>
      </c>
      <c r="G7665" s="4">
        <v>28944</v>
      </c>
      <c r="H7665" s="4">
        <v>24725</v>
      </c>
      <c r="I7665" s="4">
        <v>4219</v>
      </c>
      <c r="J7665" s="4">
        <v>28944</v>
      </c>
    </row>
    <row r="7666" spans="1:10" x14ac:dyDescent="0.75">
      <c r="A7666" t="s">
        <v>151</v>
      </c>
      <c r="B7666">
        <v>4719</v>
      </c>
      <c r="C7666" t="s">
        <v>14</v>
      </c>
      <c r="D7666">
        <v>6817</v>
      </c>
      <c r="E7666" t="s">
        <v>481</v>
      </c>
      <c r="F7666" s="4">
        <v>0</v>
      </c>
      <c r="G7666" s="4">
        <v>21678</v>
      </c>
      <c r="H7666" s="4">
        <v>200</v>
      </c>
      <c r="I7666" s="4">
        <v>21478</v>
      </c>
      <c r="J7666" s="4">
        <v>21678</v>
      </c>
    </row>
    <row r="7667" spans="1:10" x14ac:dyDescent="0.75">
      <c r="A7667" t="s">
        <v>151</v>
      </c>
      <c r="B7667">
        <v>4719</v>
      </c>
      <c r="C7667" t="s">
        <v>14</v>
      </c>
      <c r="D7667">
        <v>2221</v>
      </c>
      <c r="E7667" t="s">
        <v>374</v>
      </c>
      <c r="F7667" s="4">
        <v>19729</v>
      </c>
      <c r="G7667" s="4">
        <v>36</v>
      </c>
      <c r="H7667" s="4">
        <v>0</v>
      </c>
      <c r="I7667" s="4">
        <v>36</v>
      </c>
      <c r="J7667" s="4">
        <v>19765</v>
      </c>
    </row>
    <row r="7668" spans="1:10" x14ac:dyDescent="0.75">
      <c r="A7668" t="s">
        <v>151</v>
      </c>
      <c r="B7668">
        <v>4719</v>
      </c>
      <c r="C7668" t="s">
        <v>14</v>
      </c>
      <c r="D7668">
        <v>5360</v>
      </c>
      <c r="E7668" t="s">
        <v>465</v>
      </c>
      <c r="F7668" s="4">
        <v>9585</v>
      </c>
      <c r="G7668" s="4">
        <v>7629</v>
      </c>
      <c r="H7668" s="4">
        <v>7493</v>
      </c>
      <c r="I7668" s="4">
        <v>136</v>
      </c>
      <c r="J7668" s="4">
        <v>17214</v>
      </c>
    </row>
    <row r="7669" spans="1:10" x14ac:dyDescent="0.75">
      <c r="A7669" t="s">
        <v>151</v>
      </c>
      <c r="B7669">
        <v>4719</v>
      </c>
      <c r="C7669" t="s">
        <v>14</v>
      </c>
      <c r="D7669">
        <v>4690</v>
      </c>
      <c r="E7669" t="s">
        <v>428</v>
      </c>
      <c r="F7669" s="4">
        <v>0</v>
      </c>
      <c r="G7669" s="4">
        <v>17187</v>
      </c>
      <c r="H7669" s="4">
        <v>14873</v>
      </c>
      <c r="I7669" s="4">
        <v>2314</v>
      </c>
      <c r="J7669" s="4">
        <v>17187</v>
      </c>
    </row>
    <row r="7670" spans="1:10" x14ac:dyDescent="0.75">
      <c r="A7670" t="s">
        <v>151</v>
      </c>
      <c r="B7670">
        <v>4719</v>
      </c>
      <c r="C7670" t="s">
        <v>14</v>
      </c>
      <c r="D7670">
        <v>4161</v>
      </c>
      <c r="E7670" t="s">
        <v>421</v>
      </c>
      <c r="F7670" s="4">
        <v>0</v>
      </c>
      <c r="G7670" s="4">
        <v>17085</v>
      </c>
      <c r="H7670" s="4">
        <v>130</v>
      </c>
      <c r="I7670" s="4">
        <v>16955</v>
      </c>
      <c r="J7670" s="4">
        <v>17085</v>
      </c>
    </row>
    <row r="7671" spans="1:10" x14ac:dyDescent="0.75">
      <c r="A7671" t="s">
        <v>151</v>
      </c>
      <c r="B7671">
        <v>4719</v>
      </c>
      <c r="C7671" t="s">
        <v>14</v>
      </c>
      <c r="D7671">
        <v>6888</v>
      </c>
      <c r="E7671" t="s">
        <v>494</v>
      </c>
      <c r="F7671" s="4">
        <v>0</v>
      </c>
      <c r="G7671" s="4">
        <v>16953</v>
      </c>
      <c r="H7671" s="4">
        <v>283</v>
      </c>
      <c r="I7671" s="4">
        <v>16670</v>
      </c>
      <c r="J7671" s="4">
        <v>16953</v>
      </c>
    </row>
    <row r="7672" spans="1:10" x14ac:dyDescent="0.75">
      <c r="A7672" t="s">
        <v>151</v>
      </c>
      <c r="B7672">
        <v>4719</v>
      </c>
      <c r="C7672" t="s">
        <v>14</v>
      </c>
      <c r="D7672">
        <v>4900</v>
      </c>
      <c r="E7672" t="s">
        <v>383</v>
      </c>
      <c r="F7672" s="4">
        <v>0</v>
      </c>
      <c r="G7672" s="4">
        <v>16866</v>
      </c>
      <c r="H7672" s="4">
        <v>786</v>
      </c>
      <c r="I7672" s="4">
        <v>16080</v>
      </c>
      <c r="J7672" s="4">
        <v>16866</v>
      </c>
    </row>
    <row r="7673" spans="1:10" x14ac:dyDescent="0.75">
      <c r="A7673" t="s">
        <v>151</v>
      </c>
      <c r="B7673">
        <v>4719</v>
      </c>
      <c r="C7673" t="s">
        <v>14</v>
      </c>
      <c r="D7673">
        <v>3240</v>
      </c>
      <c r="E7673" t="s">
        <v>410</v>
      </c>
      <c r="F7673" s="4">
        <v>0</v>
      </c>
      <c r="G7673" s="4">
        <v>15367</v>
      </c>
      <c r="H7673" s="4">
        <v>10458</v>
      </c>
      <c r="I7673" s="4">
        <v>4909</v>
      </c>
      <c r="J7673" s="4">
        <v>15367</v>
      </c>
    </row>
    <row r="7674" spans="1:10" x14ac:dyDescent="0.75">
      <c r="A7674" t="s">
        <v>151</v>
      </c>
      <c r="B7674">
        <v>4719</v>
      </c>
      <c r="C7674" t="s">
        <v>14</v>
      </c>
      <c r="D7674">
        <v>3250</v>
      </c>
      <c r="E7674" t="s">
        <v>435</v>
      </c>
      <c r="F7674" s="4">
        <v>0</v>
      </c>
      <c r="G7674" s="4">
        <v>14667</v>
      </c>
      <c r="H7674" s="4">
        <v>13964</v>
      </c>
      <c r="I7674" s="4">
        <v>703</v>
      </c>
      <c r="J7674" s="4">
        <v>14667</v>
      </c>
    </row>
    <row r="7675" spans="1:10" x14ac:dyDescent="0.75">
      <c r="A7675" t="s">
        <v>151</v>
      </c>
      <c r="B7675">
        <v>4719</v>
      </c>
      <c r="C7675" t="s">
        <v>14</v>
      </c>
      <c r="D7675">
        <v>3190</v>
      </c>
      <c r="E7675" t="s">
        <v>408</v>
      </c>
      <c r="F7675" s="4">
        <v>12994</v>
      </c>
      <c r="G7675" s="4">
        <v>1635</v>
      </c>
      <c r="H7675" s="4">
        <v>590</v>
      </c>
      <c r="I7675" s="4">
        <v>1045</v>
      </c>
      <c r="J7675" s="4">
        <v>14629</v>
      </c>
    </row>
    <row r="7676" spans="1:10" x14ac:dyDescent="0.75">
      <c r="A7676" t="s">
        <v>151</v>
      </c>
      <c r="B7676">
        <v>4719</v>
      </c>
      <c r="C7676" t="s">
        <v>14</v>
      </c>
      <c r="D7676">
        <v>3279</v>
      </c>
      <c r="E7676" t="s">
        <v>422</v>
      </c>
      <c r="F7676" s="4">
        <v>0</v>
      </c>
      <c r="G7676" s="4">
        <v>14290</v>
      </c>
      <c r="H7676" s="4">
        <v>5859</v>
      </c>
      <c r="I7676" s="4">
        <v>8431</v>
      </c>
      <c r="J7676" s="4">
        <v>14290</v>
      </c>
    </row>
    <row r="7677" spans="1:10" x14ac:dyDescent="0.75">
      <c r="A7677" t="s">
        <v>151</v>
      </c>
      <c r="B7677">
        <v>4719</v>
      </c>
      <c r="C7677" t="s">
        <v>14</v>
      </c>
      <c r="D7677">
        <v>3284</v>
      </c>
      <c r="E7677" t="s">
        <v>442</v>
      </c>
      <c r="F7677" s="4">
        <v>0</v>
      </c>
      <c r="G7677" s="4">
        <v>12968</v>
      </c>
      <c r="H7677" s="4">
        <v>9849</v>
      </c>
      <c r="I7677" s="4">
        <v>3119</v>
      </c>
      <c r="J7677" s="4">
        <v>12968</v>
      </c>
    </row>
    <row r="7678" spans="1:10" x14ac:dyDescent="0.75">
      <c r="A7678" t="s">
        <v>151</v>
      </c>
      <c r="B7678">
        <v>4719</v>
      </c>
      <c r="C7678" t="s">
        <v>14</v>
      </c>
      <c r="D7678">
        <v>5330</v>
      </c>
      <c r="E7678" t="s">
        <v>385</v>
      </c>
      <c r="F7678" s="4">
        <v>0</v>
      </c>
      <c r="G7678" s="4">
        <v>11613</v>
      </c>
      <c r="H7678" s="4">
        <v>11208</v>
      </c>
      <c r="I7678" s="4">
        <v>405</v>
      </c>
      <c r="J7678" s="4">
        <v>11613</v>
      </c>
    </row>
    <row r="7679" spans="1:10" x14ac:dyDescent="0.75">
      <c r="A7679" t="s">
        <v>151</v>
      </c>
      <c r="B7679">
        <v>4719</v>
      </c>
      <c r="C7679" t="s">
        <v>14</v>
      </c>
      <c r="D7679">
        <v>6442</v>
      </c>
      <c r="E7679" t="s">
        <v>472</v>
      </c>
      <c r="F7679" s="4">
        <v>0</v>
      </c>
      <c r="G7679" s="4">
        <v>11606</v>
      </c>
      <c r="H7679" s="4">
        <v>11172</v>
      </c>
      <c r="I7679" s="4">
        <v>434</v>
      </c>
      <c r="J7679" s="4">
        <v>11606</v>
      </c>
    </row>
    <row r="7680" spans="1:10" x14ac:dyDescent="0.75">
      <c r="A7680" t="s">
        <v>151</v>
      </c>
      <c r="B7680">
        <v>4719</v>
      </c>
      <c r="C7680" t="s">
        <v>14</v>
      </c>
      <c r="D7680">
        <v>6856</v>
      </c>
      <c r="E7680" t="s">
        <v>486</v>
      </c>
      <c r="F7680" s="4">
        <v>8545</v>
      </c>
      <c r="G7680" s="4">
        <v>2316</v>
      </c>
      <c r="H7680" s="4">
        <v>2316</v>
      </c>
      <c r="I7680" s="4">
        <v>0</v>
      </c>
      <c r="J7680" s="4">
        <v>10861</v>
      </c>
    </row>
    <row r="7681" spans="1:10" x14ac:dyDescent="0.75">
      <c r="A7681" t="s">
        <v>151</v>
      </c>
      <c r="B7681">
        <v>4719</v>
      </c>
      <c r="C7681" t="s">
        <v>14</v>
      </c>
      <c r="D7681">
        <v>6241</v>
      </c>
      <c r="E7681" t="s">
        <v>391</v>
      </c>
      <c r="F7681" s="4">
        <v>0</v>
      </c>
      <c r="G7681" s="4">
        <v>10303</v>
      </c>
      <c r="H7681" s="4">
        <v>1</v>
      </c>
      <c r="I7681" s="4">
        <v>10302</v>
      </c>
      <c r="J7681" s="4">
        <v>10303</v>
      </c>
    </row>
    <row r="7682" spans="1:10" x14ac:dyDescent="0.75">
      <c r="A7682" t="s">
        <v>151</v>
      </c>
      <c r="B7682">
        <v>4719</v>
      </c>
      <c r="C7682" t="s">
        <v>14</v>
      </c>
      <c r="D7682">
        <v>6653</v>
      </c>
      <c r="E7682" t="s">
        <v>395</v>
      </c>
      <c r="F7682" s="4">
        <v>0</v>
      </c>
      <c r="G7682" s="4">
        <v>10297</v>
      </c>
      <c r="H7682" s="4">
        <v>10087</v>
      </c>
      <c r="I7682" s="4">
        <v>210</v>
      </c>
      <c r="J7682" s="4">
        <v>10297</v>
      </c>
    </row>
    <row r="7683" spans="1:10" x14ac:dyDescent="0.75">
      <c r="A7683" t="s">
        <v>151</v>
      </c>
      <c r="B7683">
        <v>4719</v>
      </c>
      <c r="C7683" t="s">
        <v>14</v>
      </c>
      <c r="D7683">
        <v>3260</v>
      </c>
      <c r="E7683" t="s">
        <v>436</v>
      </c>
      <c r="F7683" s="4">
        <v>0</v>
      </c>
      <c r="G7683" s="4">
        <v>9998</v>
      </c>
      <c r="H7683" s="4">
        <v>8357</v>
      </c>
      <c r="I7683" s="4">
        <v>1641</v>
      </c>
      <c r="J7683" s="4">
        <v>9998</v>
      </c>
    </row>
    <row r="7684" spans="1:10" x14ac:dyDescent="0.75">
      <c r="A7684" t="s">
        <v>151</v>
      </c>
      <c r="B7684">
        <v>4719</v>
      </c>
      <c r="C7684" t="s">
        <v>14</v>
      </c>
      <c r="D7684">
        <v>6136</v>
      </c>
      <c r="E7684" t="s">
        <v>471</v>
      </c>
      <c r="F7684" s="4">
        <v>0</v>
      </c>
      <c r="G7684" s="4">
        <v>9542</v>
      </c>
      <c r="H7684" s="4">
        <v>7049</v>
      </c>
      <c r="I7684" s="4">
        <v>2493</v>
      </c>
      <c r="J7684" s="4">
        <v>9542</v>
      </c>
    </row>
    <row r="7685" spans="1:10" x14ac:dyDescent="0.75">
      <c r="A7685" t="s">
        <v>151</v>
      </c>
      <c r="B7685">
        <v>4719</v>
      </c>
      <c r="C7685" t="s">
        <v>14</v>
      </c>
      <c r="D7685">
        <v>6871</v>
      </c>
      <c r="E7685" t="s">
        <v>491</v>
      </c>
      <c r="F7685" s="4">
        <v>113</v>
      </c>
      <c r="G7685" s="4">
        <v>9234</v>
      </c>
      <c r="H7685" s="4">
        <v>6135</v>
      </c>
      <c r="I7685" s="4">
        <v>3099</v>
      </c>
      <c r="J7685" s="4">
        <v>9347</v>
      </c>
    </row>
    <row r="7686" spans="1:10" x14ac:dyDescent="0.75">
      <c r="A7686" t="s">
        <v>151</v>
      </c>
      <c r="B7686">
        <v>4719</v>
      </c>
      <c r="C7686" t="s">
        <v>14</v>
      </c>
      <c r="D7686">
        <v>6894</v>
      </c>
      <c r="E7686" t="s">
        <v>497</v>
      </c>
      <c r="F7686" s="4">
        <v>0</v>
      </c>
      <c r="G7686" s="4">
        <v>8316</v>
      </c>
      <c r="H7686" s="4">
        <v>8277</v>
      </c>
      <c r="I7686" s="4">
        <v>39</v>
      </c>
      <c r="J7686" s="4">
        <v>8316</v>
      </c>
    </row>
    <row r="7687" spans="1:10" x14ac:dyDescent="0.75">
      <c r="A7687" t="s">
        <v>151</v>
      </c>
      <c r="B7687">
        <v>4719</v>
      </c>
      <c r="C7687" t="s">
        <v>14</v>
      </c>
      <c r="D7687">
        <v>5390</v>
      </c>
      <c r="E7687" t="s">
        <v>418</v>
      </c>
      <c r="F7687" s="4">
        <v>0</v>
      </c>
      <c r="G7687" s="4">
        <v>8297</v>
      </c>
      <c r="H7687" s="4">
        <v>8083</v>
      </c>
      <c r="I7687" s="4">
        <v>214</v>
      </c>
      <c r="J7687" s="4">
        <v>8297</v>
      </c>
    </row>
    <row r="7688" spans="1:10" x14ac:dyDescent="0.75">
      <c r="A7688" t="s">
        <v>151</v>
      </c>
      <c r="B7688">
        <v>4719</v>
      </c>
      <c r="C7688" t="s">
        <v>14</v>
      </c>
      <c r="D7688">
        <v>3282</v>
      </c>
      <c r="E7688" t="s">
        <v>440</v>
      </c>
      <c r="F7688" s="4">
        <v>142</v>
      </c>
      <c r="G7688" s="4">
        <v>7842</v>
      </c>
      <c r="H7688" s="4">
        <v>6526</v>
      </c>
      <c r="I7688" s="4">
        <v>1316</v>
      </c>
      <c r="J7688" s="4">
        <v>7984</v>
      </c>
    </row>
    <row r="7689" spans="1:10" x14ac:dyDescent="0.75">
      <c r="A7689" t="s">
        <v>151</v>
      </c>
      <c r="B7689">
        <v>4719</v>
      </c>
      <c r="C7689" t="s">
        <v>14</v>
      </c>
      <c r="D7689">
        <v>7230</v>
      </c>
      <c r="E7689" t="s">
        <v>387</v>
      </c>
      <c r="F7689" s="4">
        <v>5019</v>
      </c>
      <c r="G7689" s="4">
        <v>2811</v>
      </c>
      <c r="H7689" s="4">
        <v>2673</v>
      </c>
      <c r="I7689" s="4">
        <v>138</v>
      </c>
      <c r="J7689" s="4">
        <v>7830</v>
      </c>
    </row>
    <row r="7690" spans="1:10" x14ac:dyDescent="0.75">
      <c r="A7690" t="s">
        <v>151</v>
      </c>
      <c r="B7690">
        <v>4719</v>
      </c>
      <c r="C7690" t="s">
        <v>14</v>
      </c>
      <c r="D7690">
        <v>5315</v>
      </c>
      <c r="E7690" t="s">
        <v>417</v>
      </c>
      <c r="F7690" s="4">
        <v>0</v>
      </c>
      <c r="G7690" s="4">
        <v>7808</v>
      </c>
      <c r="H7690" s="4">
        <v>7808</v>
      </c>
      <c r="I7690" s="4">
        <v>0</v>
      </c>
      <c r="J7690" s="4">
        <v>7808</v>
      </c>
    </row>
    <row r="7691" spans="1:10" x14ac:dyDescent="0.75">
      <c r="A7691" t="s">
        <v>151</v>
      </c>
      <c r="B7691">
        <v>4719</v>
      </c>
      <c r="C7691" t="s">
        <v>14</v>
      </c>
      <c r="D7691">
        <v>5421</v>
      </c>
      <c r="E7691" t="s">
        <v>467</v>
      </c>
      <c r="F7691" s="4">
        <v>0</v>
      </c>
      <c r="G7691" s="4">
        <v>7701</v>
      </c>
      <c r="H7691" s="4">
        <v>7164</v>
      </c>
      <c r="I7691" s="4">
        <v>537</v>
      </c>
      <c r="J7691" s="4">
        <v>7701</v>
      </c>
    </row>
    <row r="7692" spans="1:10" x14ac:dyDescent="0.75">
      <c r="A7692" t="s">
        <v>151</v>
      </c>
      <c r="B7692">
        <v>4719</v>
      </c>
      <c r="C7692" t="s">
        <v>14</v>
      </c>
      <c r="D7692">
        <v>3219</v>
      </c>
      <c r="E7692" t="s">
        <v>378</v>
      </c>
      <c r="F7692" s="4">
        <v>0</v>
      </c>
      <c r="G7692" s="4">
        <v>6667</v>
      </c>
      <c r="H7692" s="4">
        <v>2193</v>
      </c>
      <c r="I7692" s="4">
        <v>4474</v>
      </c>
      <c r="J7692" s="4">
        <v>6667</v>
      </c>
    </row>
    <row r="7693" spans="1:10" x14ac:dyDescent="0.75">
      <c r="A7693" t="s">
        <v>151</v>
      </c>
      <c r="B7693">
        <v>4719</v>
      </c>
      <c r="C7693" t="s">
        <v>14</v>
      </c>
      <c r="D7693">
        <v>6835</v>
      </c>
      <c r="E7693" t="s">
        <v>483</v>
      </c>
      <c r="F7693" s="4">
        <v>0</v>
      </c>
      <c r="G7693" s="4">
        <v>6627</v>
      </c>
      <c r="H7693" s="4">
        <v>6223</v>
      </c>
      <c r="I7693" s="4">
        <v>404</v>
      </c>
      <c r="J7693" s="4">
        <v>6627</v>
      </c>
    </row>
    <row r="7694" spans="1:10" x14ac:dyDescent="0.75">
      <c r="A7694" t="s">
        <v>151</v>
      </c>
      <c r="B7694">
        <v>4719</v>
      </c>
      <c r="C7694" t="s">
        <v>14</v>
      </c>
      <c r="D7694">
        <v>2990</v>
      </c>
      <c r="E7694" t="s">
        <v>432</v>
      </c>
      <c r="F7694" s="4">
        <v>1911</v>
      </c>
      <c r="G7694" s="4">
        <v>4248</v>
      </c>
      <c r="H7694" s="4">
        <v>4248</v>
      </c>
      <c r="I7694" s="4">
        <v>0</v>
      </c>
      <c r="J7694" s="4">
        <v>6159</v>
      </c>
    </row>
    <row r="7695" spans="1:10" x14ac:dyDescent="0.75">
      <c r="A7695" t="s">
        <v>151</v>
      </c>
      <c r="B7695">
        <v>4719</v>
      </c>
      <c r="C7695" t="s">
        <v>14</v>
      </c>
      <c r="D7695">
        <v>3291</v>
      </c>
      <c r="E7695" t="s">
        <v>444</v>
      </c>
      <c r="F7695" s="4">
        <v>0</v>
      </c>
      <c r="G7695" s="4">
        <v>5902</v>
      </c>
      <c r="H7695" s="4">
        <v>5400</v>
      </c>
      <c r="I7695" s="4">
        <v>502</v>
      </c>
      <c r="J7695" s="4">
        <v>5902</v>
      </c>
    </row>
    <row r="7696" spans="1:10" x14ac:dyDescent="0.75">
      <c r="A7696" t="s">
        <v>151</v>
      </c>
      <c r="B7696">
        <v>4719</v>
      </c>
      <c r="C7696" t="s">
        <v>14</v>
      </c>
      <c r="D7696">
        <v>6893</v>
      </c>
      <c r="E7696" t="s">
        <v>496</v>
      </c>
      <c r="F7696" s="4">
        <v>0</v>
      </c>
      <c r="G7696" s="4">
        <v>5026</v>
      </c>
      <c r="H7696" s="4">
        <v>3494</v>
      </c>
      <c r="I7696" s="4">
        <v>1532</v>
      </c>
      <c r="J7696" s="4">
        <v>5026</v>
      </c>
    </row>
    <row r="7697" spans="1:10" x14ac:dyDescent="0.75">
      <c r="A7697" t="s">
        <v>151</v>
      </c>
      <c r="B7697">
        <v>4719</v>
      </c>
      <c r="C7697" t="s">
        <v>14</v>
      </c>
      <c r="D7697">
        <v>3283</v>
      </c>
      <c r="E7697" t="s">
        <v>441</v>
      </c>
      <c r="F7697" s="4">
        <v>0</v>
      </c>
      <c r="G7697" s="4">
        <v>4870</v>
      </c>
      <c r="H7697" s="4">
        <v>4551</v>
      </c>
      <c r="I7697" s="4">
        <v>319</v>
      </c>
      <c r="J7697" s="4">
        <v>4870</v>
      </c>
    </row>
    <row r="7698" spans="1:10" x14ac:dyDescent="0.75">
      <c r="A7698" t="s">
        <v>151</v>
      </c>
      <c r="B7698">
        <v>4719</v>
      </c>
      <c r="C7698" t="s">
        <v>14</v>
      </c>
      <c r="D7698">
        <v>6590</v>
      </c>
      <c r="E7698" t="s">
        <v>394</v>
      </c>
      <c r="F7698" s="4">
        <v>0</v>
      </c>
      <c r="G7698" s="4">
        <v>4352</v>
      </c>
      <c r="H7698" s="4">
        <v>590</v>
      </c>
      <c r="I7698" s="4">
        <v>3762</v>
      </c>
      <c r="J7698" s="4">
        <v>4352</v>
      </c>
    </row>
    <row r="7699" spans="1:10" x14ac:dyDescent="0.75">
      <c r="A7699" t="s">
        <v>151</v>
      </c>
      <c r="B7699">
        <v>4719</v>
      </c>
      <c r="C7699" t="s">
        <v>14</v>
      </c>
      <c r="D7699">
        <v>5110</v>
      </c>
      <c r="E7699" t="s">
        <v>460</v>
      </c>
      <c r="F7699" s="4">
        <v>1182</v>
      </c>
      <c r="G7699" s="4">
        <v>3073</v>
      </c>
      <c r="H7699" s="4">
        <v>22</v>
      </c>
      <c r="I7699" s="4">
        <v>3051</v>
      </c>
      <c r="J7699" s="4">
        <v>4255</v>
      </c>
    </row>
    <row r="7700" spans="1:10" x14ac:dyDescent="0.75">
      <c r="A7700" t="s">
        <v>151</v>
      </c>
      <c r="B7700">
        <v>4719</v>
      </c>
      <c r="C7700" t="s">
        <v>14</v>
      </c>
      <c r="D7700">
        <v>2429</v>
      </c>
      <c r="E7700" t="s">
        <v>375</v>
      </c>
      <c r="F7700" s="4">
        <v>4100</v>
      </c>
      <c r="G7700" s="4">
        <v>125</v>
      </c>
      <c r="H7700" s="4">
        <v>6</v>
      </c>
      <c r="I7700" s="4">
        <v>119</v>
      </c>
      <c r="J7700" s="4">
        <v>4225</v>
      </c>
    </row>
    <row r="7701" spans="1:10" x14ac:dyDescent="0.75">
      <c r="A7701" t="s">
        <v>151</v>
      </c>
      <c r="B7701">
        <v>4719</v>
      </c>
      <c r="C7701" t="s">
        <v>14</v>
      </c>
      <c r="D7701">
        <v>3272</v>
      </c>
      <c r="E7701" t="s">
        <v>504</v>
      </c>
      <c r="F7701" s="4">
        <v>0</v>
      </c>
      <c r="G7701" s="4">
        <v>4216</v>
      </c>
      <c r="H7701" s="4">
        <v>4201</v>
      </c>
      <c r="I7701" s="4">
        <v>15</v>
      </c>
      <c r="J7701" s="4">
        <v>4216</v>
      </c>
    </row>
    <row r="7702" spans="1:10" x14ac:dyDescent="0.75">
      <c r="A7702" t="s">
        <v>151</v>
      </c>
      <c r="B7702">
        <v>4719</v>
      </c>
      <c r="C7702" t="s">
        <v>14</v>
      </c>
      <c r="D7702">
        <v>5429</v>
      </c>
      <c r="E7702" t="s">
        <v>429</v>
      </c>
      <c r="F7702" s="4">
        <v>0</v>
      </c>
      <c r="G7702" s="4">
        <v>4204</v>
      </c>
      <c r="H7702" s="4">
        <v>3792</v>
      </c>
      <c r="I7702" s="4">
        <v>412</v>
      </c>
      <c r="J7702" s="4">
        <v>4204</v>
      </c>
    </row>
    <row r="7703" spans="1:10" x14ac:dyDescent="0.75">
      <c r="A7703" t="s">
        <v>151</v>
      </c>
      <c r="B7703">
        <v>4719</v>
      </c>
      <c r="C7703" t="s">
        <v>14</v>
      </c>
      <c r="D7703">
        <v>4190</v>
      </c>
      <c r="E7703" t="s">
        <v>452</v>
      </c>
      <c r="F7703" s="4">
        <v>0</v>
      </c>
      <c r="G7703" s="4">
        <v>4190</v>
      </c>
      <c r="H7703" s="4">
        <v>3602</v>
      </c>
      <c r="I7703" s="4">
        <v>588</v>
      </c>
      <c r="J7703" s="4">
        <v>4190</v>
      </c>
    </row>
    <row r="7704" spans="1:10" x14ac:dyDescent="0.75">
      <c r="A7704" t="s">
        <v>151</v>
      </c>
      <c r="B7704">
        <v>4719</v>
      </c>
      <c r="C7704" t="s">
        <v>14</v>
      </c>
      <c r="D7704">
        <v>6443</v>
      </c>
      <c r="E7704" t="s">
        <v>473</v>
      </c>
      <c r="F7704" s="4">
        <v>0</v>
      </c>
      <c r="G7704" s="4">
        <v>4100</v>
      </c>
      <c r="H7704" s="4">
        <v>0</v>
      </c>
      <c r="I7704" s="4">
        <v>4100</v>
      </c>
      <c r="J7704" s="4">
        <v>4100</v>
      </c>
    </row>
    <row r="7705" spans="1:10" x14ac:dyDescent="0.75">
      <c r="A7705" t="s">
        <v>151</v>
      </c>
      <c r="B7705">
        <v>4719</v>
      </c>
      <c r="C7705" t="s">
        <v>14</v>
      </c>
      <c r="D7705">
        <v>2350</v>
      </c>
      <c r="E7705" t="s">
        <v>404</v>
      </c>
      <c r="F7705" s="4">
        <v>3373</v>
      </c>
      <c r="G7705" s="4">
        <v>423</v>
      </c>
      <c r="H7705" s="4">
        <v>16</v>
      </c>
      <c r="I7705" s="4">
        <v>407</v>
      </c>
      <c r="J7705" s="4">
        <v>3796</v>
      </c>
    </row>
    <row r="7706" spans="1:10" x14ac:dyDescent="0.75">
      <c r="A7706" t="s">
        <v>151</v>
      </c>
      <c r="B7706">
        <v>4719</v>
      </c>
      <c r="C7706" t="s">
        <v>14</v>
      </c>
      <c r="D7706">
        <v>3297</v>
      </c>
      <c r="E7706" t="s">
        <v>446</v>
      </c>
      <c r="F7706" s="4">
        <v>0</v>
      </c>
      <c r="G7706" s="4">
        <v>3794</v>
      </c>
      <c r="H7706" s="4">
        <v>2673</v>
      </c>
      <c r="I7706" s="4">
        <v>1121</v>
      </c>
      <c r="J7706" s="4">
        <v>3794</v>
      </c>
    </row>
    <row r="7707" spans="1:10" x14ac:dyDescent="0.75">
      <c r="A7707" t="s">
        <v>151</v>
      </c>
      <c r="B7707">
        <v>4719</v>
      </c>
      <c r="C7707" t="s">
        <v>14</v>
      </c>
      <c r="D7707">
        <v>5312</v>
      </c>
      <c r="E7707" t="s">
        <v>416</v>
      </c>
      <c r="F7707" s="4">
        <v>0</v>
      </c>
      <c r="G7707" s="4">
        <v>3392</v>
      </c>
      <c r="H7707" s="4">
        <v>3291</v>
      </c>
      <c r="I7707" s="4">
        <v>101</v>
      </c>
      <c r="J7707" s="4">
        <v>3392</v>
      </c>
    </row>
    <row r="7708" spans="1:10" x14ac:dyDescent="0.75">
      <c r="A7708" t="s">
        <v>151</v>
      </c>
      <c r="B7708">
        <v>4719</v>
      </c>
      <c r="C7708" t="s">
        <v>14</v>
      </c>
      <c r="D7708">
        <v>4150</v>
      </c>
      <c r="E7708" t="s">
        <v>450</v>
      </c>
      <c r="F7708" s="4">
        <v>0</v>
      </c>
      <c r="G7708" s="4">
        <v>2535</v>
      </c>
      <c r="H7708" s="4">
        <v>323</v>
      </c>
      <c r="I7708" s="4">
        <v>2212</v>
      </c>
      <c r="J7708" s="4">
        <v>2535</v>
      </c>
    </row>
    <row r="7709" spans="1:10" x14ac:dyDescent="0.75">
      <c r="A7709" t="s">
        <v>151</v>
      </c>
      <c r="B7709">
        <v>4719</v>
      </c>
      <c r="C7709" t="s">
        <v>14</v>
      </c>
      <c r="D7709">
        <v>4783</v>
      </c>
      <c r="E7709" t="s">
        <v>382</v>
      </c>
      <c r="F7709" s="4">
        <v>0</v>
      </c>
      <c r="G7709" s="4">
        <v>2414</v>
      </c>
      <c r="H7709" s="4">
        <v>2169</v>
      </c>
      <c r="I7709" s="4">
        <v>245</v>
      </c>
      <c r="J7709" s="4">
        <v>2414</v>
      </c>
    </row>
    <row r="7710" spans="1:10" x14ac:dyDescent="0.75">
      <c r="A7710" t="s">
        <v>151</v>
      </c>
      <c r="B7710">
        <v>4719</v>
      </c>
      <c r="C7710" t="s">
        <v>14</v>
      </c>
      <c r="D7710">
        <v>7220</v>
      </c>
      <c r="E7710" t="s">
        <v>500</v>
      </c>
      <c r="F7710" s="4">
        <v>119</v>
      </c>
      <c r="G7710" s="4">
        <v>2128</v>
      </c>
      <c r="H7710" s="4">
        <v>1543</v>
      </c>
      <c r="I7710" s="4">
        <v>585</v>
      </c>
      <c r="J7710" s="4">
        <v>2247</v>
      </c>
    </row>
    <row r="7711" spans="1:10" x14ac:dyDescent="0.75">
      <c r="A7711" t="s">
        <v>151</v>
      </c>
      <c r="B7711">
        <v>4719</v>
      </c>
      <c r="C7711" t="s">
        <v>14</v>
      </c>
      <c r="D7711">
        <v>4650</v>
      </c>
      <c r="E7711" t="s">
        <v>457</v>
      </c>
      <c r="F7711" s="4">
        <v>0</v>
      </c>
      <c r="G7711" s="4">
        <v>2046</v>
      </c>
      <c r="H7711" s="4">
        <v>758</v>
      </c>
      <c r="I7711" s="4">
        <v>1288</v>
      </c>
      <c r="J7711" s="4">
        <v>2046</v>
      </c>
    </row>
    <row r="7712" spans="1:10" x14ac:dyDescent="0.75">
      <c r="A7712" t="s">
        <v>151</v>
      </c>
      <c r="B7712">
        <v>4719</v>
      </c>
      <c r="C7712" t="s">
        <v>14</v>
      </c>
      <c r="D7712">
        <v>6891</v>
      </c>
      <c r="E7712" t="s">
        <v>495</v>
      </c>
      <c r="F7712" s="4">
        <v>0</v>
      </c>
      <c r="G7712" s="4">
        <v>1854</v>
      </c>
      <c r="H7712" s="4">
        <v>1725</v>
      </c>
      <c r="I7712" s="4">
        <v>129</v>
      </c>
      <c r="J7712" s="4">
        <v>1854</v>
      </c>
    </row>
    <row r="7713" spans="1:10" x14ac:dyDescent="0.75">
      <c r="A7713" t="s">
        <v>151</v>
      </c>
      <c r="B7713">
        <v>4719</v>
      </c>
      <c r="C7713" t="s">
        <v>14</v>
      </c>
      <c r="D7713">
        <v>3293</v>
      </c>
      <c r="E7713" t="s">
        <v>445</v>
      </c>
      <c r="F7713" s="4">
        <v>0</v>
      </c>
      <c r="G7713" s="4">
        <v>1459</v>
      </c>
      <c r="H7713" s="4">
        <v>1459</v>
      </c>
      <c r="I7713" s="4">
        <v>0</v>
      </c>
      <c r="J7713" s="4">
        <v>1459</v>
      </c>
    </row>
    <row r="7714" spans="1:10" x14ac:dyDescent="0.75">
      <c r="A7714" t="s">
        <v>151</v>
      </c>
      <c r="B7714">
        <v>4719</v>
      </c>
      <c r="C7714" t="s">
        <v>14</v>
      </c>
      <c r="D7714">
        <v>4310</v>
      </c>
      <c r="E7714" t="s">
        <v>453</v>
      </c>
      <c r="F7714" s="4">
        <v>0</v>
      </c>
      <c r="G7714" s="4">
        <v>1348</v>
      </c>
      <c r="H7714" s="4">
        <v>1309</v>
      </c>
      <c r="I7714" s="4">
        <v>39</v>
      </c>
      <c r="J7714" s="4">
        <v>1348</v>
      </c>
    </row>
    <row r="7715" spans="1:10" x14ac:dyDescent="0.75">
      <c r="A7715" t="s">
        <v>151</v>
      </c>
      <c r="B7715">
        <v>4719</v>
      </c>
      <c r="C7715" t="s">
        <v>14</v>
      </c>
      <c r="D7715">
        <v>7300</v>
      </c>
      <c r="E7715" t="s">
        <v>501</v>
      </c>
      <c r="F7715" s="4">
        <v>0</v>
      </c>
      <c r="G7715" s="4">
        <v>1281</v>
      </c>
      <c r="H7715" s="4">
        <v>1205</v>
      </c>
      <c r="I7715" s="4">
        <v>76</v>
      </c>
      <c r="J7715" s="4">
        <v>1281</v>
      </c>
    </row>
    <row r="7716" spans="1:10" x14ac:dyDescent="0.75">
      <c r="A7716" t="s">
        <v>151</v>
      </c>
      <c r="B7716">
        <v>4719</v>
      </c>
      <c r="C7716" t="s">
        <v>14</v>
      </c>
      <c r="D7716">
        <v>6872</v>
      </c>
      <c r="E7716" t="s">
        <v>492</v>
      </c>
      <c r="F7716" s="4">
        <v>0</v>
      </c>
      <c r="G7716" s="4">
        <v>1266</v>
      </c>
      <c r="H7716" s="4">
        <v>1233</v>
      </c>
      <c r="I7716" s="4">
        <v>33</v>
      </c>
      <c r="J7716" s="4">
        <v>1266</v>
      </c>
    </row>
    <row r="7717" spans="1:10" x14ac:dyDescent="0.75">
      <c r="A7717" t="s">
        <v>151</v>
      </c>
      <c r="B7717">
        <v>4719</v>
      </c>
      <c r="C7717" t="s">
        <v>14</v>
      </c>
      <c r="D7717">
        <v>6861</v>
      </c>
      <c r="E7717" t="s">
        <v>489</v>
      </c>
      <c r="F7717" s="4">
        <v>0</v>
      </c>
      <c r="G7717" s="4">
        <v>1085</v>
      </c>
      <c r="H7717" s="4">
        <v>802</v>
      </c>
      <c r="I7717" s="4">
        <v>283</v>
      </c>
      <c r="J7717" s="4">
        <v>1085</v>
      </c>
    </row>
    <row r="7718" spans="1:10" x14ac:dyDescent="0.75">
      <c r="A7718" t="s">
        <v>151</v>
      </c>
      <c r="B7718">
        <v>4719</v>
      </c>
      <c r="C7718" t="s">
        <v>14</v>
      </c>
      <c r="D7718">
        <v>6746</v>
      </c>
      <c r="E7718" t="s">
        <v>477</v>
      </c>
      <c r="F7718" s="4">
        <v>115</v>
      </c>
      <c r="G7718" s="4">
        <v>911</v>
      </c>
      <c r="H7718" s="4">
        <v>519</v>
      </c>
      <c r="I7718" s="4">
        <v>392</v>
      </c>
      <c r="J7718" s="4">
        <v>1026</v>
      </c>
    </row>
    <row r="7719" spans="1:10" x14ac:dyDescent="0.75">
      <c r="A7719" t="s">
        <v>151</v>
      </c>
      <c r="B7719">
        <v>4719</v>
      </c>
      <c r="C7719" t="s">
        <v>14</v>
      </c>
      <c r="D7719">
        <v>3274</v>
      </c>
      <c r="E7719" t="s">
        <v>438</v>
      </c>
      <c r="F7719" s="4">
        <v>0</v>
      </c>
      <c r="G7719" s="4">
        <v>857</v>
      </c>
      <c r="H7719" s="4">
        <v>556</v>
      </c>
      <c r="I7719" s="4">
        <v>301</v>
      </c>
      <c r="J7719" s="4">
        <v>857</v>
      </c>
    </row>
    <row r="7720" spans="1:10" x14ac:dyDescent="0.75">
      <c r="A7720" t="s">
        <v>151</v>
      </c>
      <c r="B7720">
        <v>4719</v>
      </c>
      <c r="C7720" t="s">
        <v>14</v>
      </c>
      <c r="D7720">
        <v>6445</v>
      </c>
      <c r="E7720" t="s">
        <v>474</v>
      </c>
      <c r="F7720" s="4">
        <v>0</v>
      </c>
      <c r="G7720" s="4">
        <v>790</v>
      </c>
      <c r="H7720" s="4">
        <v>29</v>
      </c>
      <c r="I7720" s="4">
        <v>761</v>
      </c>
      <c r="J7720" s="4">
        <v>790</v>
      </c>
    </row>
    <row r="7721" spans="1:10" x14ac:dyDescent="0.75">
      <c r="A7721" t="s">
        <v>151</v>
      </c>
      <c r="B7721">
        <v>4719</v>
      </c>
      <c r="C7721" t="s">
        <v>14</v>
      </c>
      <c r="D7721">
        <v>5220</v>
      </c>
      <c r="E7721" t="s">
        <v>401</v>
      </c>
      <c r="F7721" s="4">
        <v>69</v>
      </c>
      <c r="G7721" s="4">
        <v>594</v>
      </c>
      <c r="H7721" s="4">
        <v>300</v>
      </c>
      <c r="I7721" s="4">
        <v>294</v>
      </c>
      <c r="J7721" s="4">
        <v>663</v>
      </c>
    </row>
    <row r="7722" spans="1:10" x14ac:dyDescent="0.75">
      <c r="A7722" t="s">
        <v>151</v>
      </c>
      <c r="B7722">
        <v>4719</v>
      </c>
      <c r="C7722" t="s">
        <v>14</v>
      </c>
      <c r="D7722">
        <v>3273</v>
      </c>
      <c r="E7722" t="s">
        <v>411</v>
      </c>
      <c r="F7722" s="4">
        <v>0</v>
      </c>
      <c r="G7722" s="4">
        <v>618</v>
      </c>
      <c r="H7722" s="4">
        <v>225</v>
      </c>
      <c r="I7722" s="4">
        <v>393</v>
      </c>
      <c r="J7722" s="4">
        <v>618</v>
      </c>
    </row>
    <row r="7723" spans="1:10" x14ac:dyDescent="0.75">
      <c r="A7723" t="s">
        <v>151</v>
      </c>
      <c r="B7723">
        <v>4719</v>
      </c>
      <c r="C7723" t="s">
        <v>14</v>
      </c>
      <c r="D7723">
        <v>2640</v>
      </c>
      <c r="E7723" t="s">
        <v>431</v>
      </c>
      <c r="F7723" s="4">
        <v>209</v>
      </c>
      <c r="G7723" s="4">
        <v>316</v>
      </c>
      <c r="H7723" s="4">
        <v>301</v>
      </c>
      <c r="I7723" s="4">
        <v>15</v>
      </c>
      <c r="J7723" s="4">
        <v>525</v>
      </c>
    </row>
    <row r="7724" spans="1:10" x14ac:dyDescent="0.75">
      <c r="A7724" t="s">
        <v>151</v>
      </c>
      <c r="B7724">
        <v>4719</v>
      </c>
      <c r="C7724" t="s">
        <v>14</v>
      </c>
      <c r="D7724">
        <v>1100</v>
      </c>
      <c r="E7724" t="s">
        <v>397</v>
      </c>
      <c r="F7724" s="4">
        <v>0</v>
      </c>
      <c r="G7724" s="4">
        <v>509</v>
      </c>
      <c r="H7724" s="4">
        <v>360</v>
      </c>
      <c r="I7724" s="4">
        <v>149</v>
      </c>
      <c r="J7724" s="4">
        <v>509</v>
      </c>
    </row>
    <row r="7725" spans="1:10" x14ac:dyDescent="0.75">
      <c r="A7725" t="s">
        <v>151</v>
      </c>
      <c r="B7725">
        <v>4719</v>
      </c>
      <c r="C7725" t="s">
        <v>14</v>
      </c>
      <c r="D7725">
        <v>4338</v>
      </c>
      <c r="E7725" t="s">
        <v>509</v>
      </c>
      <c r="F7725" s="4">
        <v>416</v>
      </c>
      <c r="G7725" s="4">
        <v>0</v>
      </c>
      <c r="H7725" s="4">
        <v>0</v>
      </c>
      <c r="I7725" s="4">
        <v>0</v>
      </c>
      <c r="J7725" s="4">
        <v>416</v>
      </c>
    </row>
    <row r="7726" spans="1:10" x14ac:dyDescent="0.75">
      <c r="A7726" t="s">
        <v>151</v>
      </c>
      <c r="B7726">
        <v>4719</v>
      </c>
      <c r="C7726" t="s">
        <v>14</v>
      </c>
      <c r="D7726">
        <v>3298</v>
      </c>
      <c r="E7726" t="s">
        <v>447</v>
      </c>
      <c r="F7726" s="4">
        <v>0</v>
      </c>
      <c r="G7726" s="4">
        <v>411</v>
      </c>
      <c r="H7726" s="4">
        <v>3</v>
      </c>
      <c r="I7726" s="4">
        <v>408</v>
      </c>
      <c r="J7726" s="4">
        <v>411</v>
      </c>
    </row>
    <row r="7727" spans="1:10" x14ac:dyDescent="0.75">
      <c r="A7727" t="s">
        <v>151</v>
      </c>
      <c r="B7727">
        <v>4719</v>
      </c>
      <c r="C7727" t="s">
        <v>14</v>
      </c>
      <c r="D7727">
        <v>3211</v>
      </c>
      <c r="E7727" t="s">
        <v>433</v>
      </c>
      <c r="F7727" s="4">
        <v>0</v>
      </c>
      <c r="G7727" s="4">
        <v>408</v>
      </c>
      <c r="H7727" s="4">
        <v>365</v>
      </c>
      <c r="I7727" s="4">
        <v>43</v>
      </c>
      <c r="J7727" s="4">
        <v>408</v>
      </c>
    </row>
    <row r="7728" spans="1:10" x14ac:dyDescent="0.75">
      <c r="A7728" t="s">
        <v>151</v>
      </c>
      <c r="B7728">
        <v>4719</v>
      </c>
      <c r="C7728" t="s">
        <v>14</v>
      </c>
      <c r="D7728">
        <v>3281</v>
      </c>
      <c r="E7728" t="s">
        <v>439</v>
      </c>
      <c r="F7728" s="4">
        <v>0</v>
      </c>
      <c r="G7728" s="4">
        <v>393</v>
      </c>
      <c r="H7728" s="4">
        <v>357</v>
      </c>
      <c r="I7728" s="4">
        <v>36</v>
      </c>
      <c r="J7728" s="4">
        <v>393</v>
      </c>
    </row>
    <row r="7729" spans="1:10" x14ac:dyDescent="0.75">
      <c r="A7729" t="s">
        <v>151</v>
      </c>
      <c r="B7729">
        <v>4719</v>
      </c>
      <c r="C7729" t="s">
        <v>14</v>
      </c>
      <c r="D7729">
        <v>4110</v>
      </c>
      <c r="E7729" t="s">
        <v>449</v>
      </c>
      <c r="F7729" s="4">
        <v>0</v>
      </c>
      <c r="G7729" s="4">
        <v>366</v>
      </c>
      <c r="H7729" s="4">
        <v>366</v>
      </c>
      <c r="I7729" s="4">
        <v>0</v>
      </c>
      <c r="J7729" s="4">
        <v>366</v>
      </c>
    </row>
    <row r="7730" spans="1:10" x14ac:dyDescent="0.75">
      <c r="A7730" t="s">
        <v>151</v>
      </c>
      <c r="B7730">
        <v>4719</v>
      </c>
      <c r="C7730" t="s">
        <v>14</v>
      </c>
      <c r="D7730">
        <v>2540</v>
      </c>
      <c r="E7730" t="s">
        <v>377</v>
      </c>
      <c r="F7730" s="4">
        <v>0</v>
      </c>
      <c r="G7730" s="4">
        <v>336</v>
      </c>
      <c r="H7730" s="4">
        <v>28</v>
      </c>
      <c r="I7730" s="4">
        <v>308</v>
      </c>
      <c r="J7730" s="4">
        <v>336</v>
      </c>
    </row>
    <row r="7731" spans="1:10" x14ac:dyDescent="0.75">
      <c r="A7731" t="s">
        <v>151</v>
      </c>
      <c r="B7731">
        <v>4719</v>
      </c>
      <c r="C7731" t="s">
        <v>14</v>
      </c>
      <c r="D7731">
        <v>6521</v>
      </c>
      <c r="E7731" t="s">
        <v>476</v>
      </c>
      <c r="F7731" s="4">
        <v>0</v>
      </c>
      <c r="G7731" s="4">
        <v>309</v>
      </c>
      <c r="H7731" s="4">
        <v>198</v>
      </c>
      <c r="I7731" s="4">
        <v>111</v>
      </c>
      <c r="J7731" s="4">
        <v>309</v>
      </c>
    </row>
    <row r="7732" spans="1:10" x14ac:dyDescent="0.75">
      <c r="A7732" t="s">
        <v>151</v>
      </c>
      <c r="B7732">
        <v>4719</v>
      </c>
      <c r="C7732" t="s">
        <v>14</v>
      </c>
      <c r="D7732">
        <v>4860</v>
      </c>
      <c r="E7732" t="s">
        <v>400</v>
      </c>
      <c r="F7732" s="4">
        <v>0</v>
      </c>
      <c r="G7732" s="4">
        <v>288</v>
      </c>
      <c r="H7732" s="4">
        <v>266</v>
      </c>
      <c r="I7732" s="4">
        <v>22</v>
      </c>
      <c r="J7732" s="4">
        <v>288</v>
      </c>
    </row>
    <row r="7733" spans="1:10" x14ac:dyDescent="0.75">
      <c r="A7733" t="s">
        <v>151</v>
      </c>
      <c r="B7733">
        <v>4719</v>
      </c>
      <c r="C7733" t="s">
        <v>14</v>
      </c>
      <c r="D7733">
        <v>5320</v>
      </c>
      <c r="E7733" t="s">
        <v>384</v>
      </c>
      <c r="F7733" s="4">
        <v>0</v>
      </c>
      <c r="G7733" s="4">
        <v>215</v>
      </c>
      <c r="H7733" s="4">
        <v>167</v>
      </c>
      <c r="I7733" s="4">
        <v>48</v>
      </c>
      <c r="J7733" s="4">
        <v>215</v>
      </c>
    </row>
    <row r="7734" spans="1:10" x14ac:dyDescent="0.75">
      <c r="A7734" t="s">
        <v>151</v>
      </c>
      <c r="B7734">
        <v>4719</v>
      </c>
      <c r="C7734" t="s">
        <v>14</v>
      </c>
      <c r="D7734">
        <v>2410</v>
      </c>
      <c r="E7734" t="s">
        <v>430</v>
      </c>
      <c r="F7734" s="4">
        <v>0</v>
      </c>
      <c r="G7734" s="4">
        <v>206</v>
      </c>
      <c r="H7734" s="4">
        <v>185</v>
      </c>
      <c r="I7734" s="4">
        <v>21</v>
      </c>
      <c r="J7734" s="4">
        <v>206</v>
      </c>
    </row>
    <row r="7735" spans="1:10" x14ac:dyDescent="0.75">
      <c r="A7735" t="s">
        <v>151</v>
      </c>
      <c r="B7735">
        <v>4719</v>
      </c>
      <c r="C7735" t="s">
        <v>14</v>
      </c>
      <c r="D7735">
        <v>6838</v>
      </c>
      <c r="E7735" t="s">
        <v>484</v>
      </c>
      <c r="F7735" s="4">
        <v>0</v>
      </c>
      <c r="G7735" s="4">
        <v>193</v>
      </c>
      <c r="H7735" s="4">
        <v>166</v>
      </c>
      <c r="I7735" s="4">
        <v>27</v>
      </c>
      <c r="J7735" s="4">
        <v>193</v>
      </c>
    </row>
    <row r="7736" spans="1:10" x14ac:dyDescent="0.75">
      <c r="A7736" t="s">
        <v>151</v>
      </c>
      <c r="B7736">
        <v>4719</v>
      </c>
      <c r="C7736" t="s">
        <v>14</v>
      </c>
      <c r="D7736">
        <v>8900</v>
      </c>
      <c r="E7736" t="s">
        <v>506</v>
      </c>
      <c r="F7736" s="4">
        <v>179</v>
      </c>
      <c r="G7736" s="4">
        <v>0</v>
      </c>
      <c r="H7736" s="4">
        <v>0</v>
      </c>
      <c r="I7736" s="4">
        <v>0</v>
      </c>
      <c r="J7736" s="4">
        <v>179</v>
      </c>
    </row>
    <row r="7737" spans="1:10" x14ac:dyDescent="0.75">
      <c r="A7737" t="s">
        <v>151</v>
      </c>
      <c r="B7737">
        <v>4719</v>
      </c>
      <c r="C7737" t="s">
        <v>14</v>
      </c>
      <c r="D7737">
        <v>6534</v>
      </c>
      <c r="E7737" t="s">
        <v>508</v>
      </c>
      <c r="F7737" s="4">
        <v>0</v>
      </c>
      <c r="G7737" s="4">
        <v>171</v>
      </c>
      <c r="H7737" s="4">
        <v>59</v>
      </c>
      <c r="I7737" s="4">
        <v>112</v>
      </c>
      <c r="J7737" s="4">
        <v>171</v>
      </c>
    </row>
    <row r="7738" spans="1:10" x14ac:dyDescent="0.75">
      <c r="A7738" t="s">
        <v>151</v>
      </c>
      <c r="B7738">
        <v>4719</v>
      </c>
      <c r="C7738" t="s">
        <v>14</v>
      </c>
      <c r="D7738">
        <v>3130</v>
      </c>
      <c r="E7738" t="s">
        <v>407</v>
      </c>
      <c r="F7738" s="4">
        <v>0</v>
      </c>
      <c r="G7738" s="4">
        <v>156</v>
      </c>
      <c r="H7738" s="4">
        <v>145</v>
      </c>
      <c r="I7738" s="4">
        <v>11</v>
      </c>
      <c r="J7738" s="4">
        <v>156</v>
      </c>
    </row>
    <row r="7739" spans="1:10" x14ac:dyDescent="0.75">
      <c r="A7739" t="s">
        <v>151</v>
      </c>
      <c r="B7739">
        <v>4719</v>
      </c>
      <c r="C7739" t="s">
        <v>14</v>
      </c>
      <c r="D7739">
        <v>2430</v>
      </c>
      <c r="E7739" t="s">
        <v>376</v>
      </c>
      <c r="F7739" s="4">
        <v>0</v>
      </c>
      <c r="G7739" s="4">
        <v>123</v>
      </c>
      <c r="H7739" s="4">
        <v>14</v>
      </c>
      <c r="I7739" s="4">
        <v>109</v>
      </c>
      <c r="J7739" s="4">
        <v>123</v>
      </c>
    </row>
    <row r="7740" spans="1:10" x14ac:dyDescent="0.75">
      <c r="A7740" t="s">
        <v>151</v>
      </c>
      <c r="B7740">
        <v>4719</v>
      </c>
      <c r="C7740" t="s">
        <v>14</v>
      </c>
      <c r="D7740">
        <v>6447</v>
      </c>
      <c r="E7740" t="s">
        <v>475</v>
      </c>
      <c r="F7740" s="4">
        <v>0</v>
      </c>
      <c r="G7740" s="4">
        <v>123</v>
      </c>
      <c r="H7740" s="4">
        <v>0</v>
      </c>
      <c r="I7740" s="4">
        <v>123</v>
      </c>
      <c r="J7740" s="4">
        <v>123</v>
      </c>
    </row>
    <row r="7741" spans="1:10" x14ac:dyDescent="0.75">
      <c r="A7741" t="s">
        <v>151</v>
      </c>
      <c r="B7741">
        <v>4719</v>
      </c>
      <c r="C7741" t="s">
        <v>14</v>
      </c>
      <c r="D7741">
        <v>1200</v>
      </c>
      <c r="E7741" t="s">
        <v>402</v>
      </c>
      <c r="F7741" s="4">
        <v>0</v>
      </c>
      <c r="G7741" s="4">
        <v>107</v>
      </c>
      <c r="H7741" s="4">
        <v>0</v>
      </c>
      <c r="I7741" s="4">
        <v>107</v>
      </c>
      <c r="J7741" s="4">
        <v>107</v>
      </c>
    </row>
    <row r="7742" spans="1:10" x14ac:dyDescent="0.75">
      <c r="A7742" t="s">
        <v>151</v>
      </c>
      <c r="B7742">
        <v>4719</v>
      </c>
      <c r="C7742" t="s">
        <v>14</v>
      </c>
      <c r="D7742">
        <v>5210</v>
      </c>
      <c r="E7742" t="s">
        <v>463</v>
      </c>
      <c r="F7742" s="4">
        <v>0</v>
      </c>
      <c r="G7742" s="4">
        <v>91</v>
      </c>
      <c r="H7742" s="4">
        <v>91</v>
      </c>
      <c r="I7742" s="4">
        <v>0</v>
      </c>
      <c r="J7742" s="4">
        <v>91</v>
      </c>
    </row>
    <row r="7743" spans="1:10" x14ac:dyDescent="0.75">
      <c r="A7743" t="s">
        <v>151</v>
      </c>
      <c r="B7743">
        <v>4719</v>
      </c>
      <c r="C7743" t="s">
        <v>14</v>
      </c>
      <c r="D7743">
        <v>3110</v>
      </c>
      <c r="E7743" t="s">
        <v>405</v>
      </c>
      <c r="F7743" s="4">
        <v>0</v>
      </c>
      <c r="G7743" s="4">
        <v>35</v>
      </c>
      <c r="H7743" s="4">
        <v>35</v>
      </c>
      <c r="I7743" s="4">
        <v>0</v>
      </c>
      <c r="J7743" s="4">
        <v>35</v>
      </c>
    </row>
    <row r="7744" spans="1:10" x14ac:dyDescent="0.75">
      <c r="A7744" t="s">
        <v>151</v>
      </c>
      <c r="B7744">
        <v>4719</v>
      </c>
      <c r="C7744" t="s">
        <v>14</v>
      </c>
      <c r="D7744">
        <v>4515</v>
      </c>
      <c r="E7744" t="s">
        <v>455</v>
      </c>
      <c r="F7744" s="4">
        <v>0</v>
      </c>
      <c r="G7744" s="4">
        <v>29</v>
      </c>
      <c r="H7744" s="4">
        <v>29</v>
      </c>
      <c r="I7744" s="4">
        <v>0</v>
      </c>
      <c r="J7744" s="4">
        <v>29</v>
      </c>
    </row>
    <row r="7745" spans="1:10" x14ac:dyDescent="0.75">
      <c r="A7745" t="s">
        <v>151</v>
      </c>
      <c r="B7745">
        <v>4719</v>
      </c>
      <c r="C7745" t="s">
        <v>14</v>
      </c>
      <c r="D7745">
        <v>4630</v>
      </c>
      <c r="E7745" t="s">
        <v>456</v>
      </c>
      <c r="F7745" s="4">
        <v>0</v>
      </c>
      <c r="G7745" s="4">
        <v>22</v>
      </c>
      <c r="H7745" s="4">
        <v>22</v>
      </c>
      <c r="I7745" s="4">
        <v>0</v>
      </c>
      <c r="J7745" s="4">
        <v>22</v>
      </c>
    </row>
    <row r="7746" spans="1:10" x14ac:dyDescent="0.75">
      <c r="A7746" t="s">
        <v>151</v>
      </c>
      <c r="B7746">
        <v>4719</v>
      </c>
      <c r="C7746" t="s">
        <v>14</v>
      </c>
      <c r="D7746">
        <v>4670</v>
      </c>
      <c r="E7746" t="s">
        <v>458</v>
      </c>
      <c r="F7746" s="4">
        <v>0</v>
      </c>
      <c r="G7746" s="4">
        <v>6</v>
      </c>
      <c r="H7746" s="4">
        <v>6</v>
      </c>
      <c r="I7746" s="4">
        <v>0</v>
      </c>
      <c r="J7746" s="4">
        <v>6</v>
      </c>
    </row>
    <row r="7747" spans="1:10" x14ac:dyDescent="0.75">
      <c r="A7747" t="s">
        <v>151</v>
      </c>
      <c r="B7747">
        <v>4719</v>
      </c>
      <c r="C7747" t="s">
        <v>14</v>
      </c>
      <c r="D7747">
        <v>4410</v>
      </c>
      <c r="E7747" t="s">
        <v>399</v>
      </c>
      <c r="F7747" s="4">
        <v>0</v>
      </c>
      <c r="G7747" s="4">
        <v>1</v>
      </c>
      <c r="H7747" s="4">
        <v>1</v>
      </c>
      <c r="I7747" s="4">
        <v>0</v>
      </c>
      <c r="J7747" s="4">
        <v>1</v>
      </c>
    </row>
    <row r="7748" spans="1:10" x14ac:dyDescent="0.75">
      <c r="A7748" t="s">
        <v>160</v>
      </c>
      <c r="B7748">
        <v>3929</v>
      </c>
      <c r="C7748" t="s">
        <v>290</v>
      </c>
      <c r="D7748">
        <v>4410</v>
      </c>
      <c r="E7748" t="s">
        <v>399</v>
      </c>
      <c r="F7748" s="4">
        <v>321312</v>
      </c>
      <c r="G7748" s="4">
        <v>0</v>
      </c>
      <c r="H7748" s="4">
        <v>0</v>
      </c>
      <c r="I7748" s="4">
        <v>0</v>
      </c>
      <c r="J7748" s="4">
        <v>321312</v>
      </c>
    </row>
    <row r="7749" spans="1:10" x14ac:dyDescent="0.75">
      <c r="A7749" t="s">
        <v>151</v>
      </c>
      <c r="B7749">
        <v>2021</v>
      </c>
      <c r="C7749" t="s">
        <v>49</v>
      </c>
      <c r="D7749">
        <v>2211</v>
      </c>
      <c r="E7749" t="s">
        <v>367</v>
      </c>
      <c r="F7749" s="4">
        <v>10194969</v>
      </c>
      <c r="G7749" s="4">
        <v>20392</v>
      </c>
      <c r="H7749" s="4">
        <v>20392</v>
      </c>
      <c r="I7749" s="4">
        <v>0</v>
      </c>
      <c r="J7749" s="4">
        <v>10215361</v>
      </c>
    </row>
    <row r="7750" spans="1:10" x14ac:dyDescent="0.75">
      <c r="A7750" t="s">
        <v>151</v>
      </c>
      <c r="B7750">
        <v>2021</v>
      </c>
      <c r="C7750" t="s">
        <v>49</v>
      </c>
      <c r="D7750">
        <v>2330</v>
      </c>
      <c r="E7750" t="s">
        <v>368</v>
      </c>
      <c r="F7750" s="4">
        <v>3263612</v>
      </c>
      <c r="G7750" s="4">
        <v>28626</v>
      </c>
      <c r="H7750" s="4">
        <v>18041</v>
      </c>
      <c r="I7750" s="4">
        <v>10585</v>
      </c>
      <c r="J7750" s="4">
        <v>3292238</v>
      </c>
    </row>
    <row r="7751" spans="1:10" x14ac:dyDescent="0.75">
      <c r="A7751" t="s">
        <v>151</v>
      </c>
      <c r="B7751">
        <v>2021</v>
      </c>
      <c r="C7751" t="s">
        <v>49</v>
      </c>
      <c r="D7751">
        <v>3190</v>
      </c>
      <c r="E7751" t="s">
        <v>408</v>
      </c>
      <c r="F7751" s="4">
        <v>792613</v>
      </c>
      <c r="G7751" s="4">
        <v>2221848</v>
      </c>
      <c r="H7751" s="4">
        <v>115664</v>
      </c>
      <c r="I7751" s="4">
        <v>2106184</v>
      </c>
      <c r="J7751" s="4">
        <v>3014461</v>
      </c>
    </row>
    <row r="7752" spans="1:10" x14ac:dyDescent="0.75">
      <c r="A7752" t="s">
        <v>151</v>
      </c>
      <c r="B7752">
        <v>2021</v>
      </c>
      <c r="C7752" t="s">
        <v>49</v>
      </c>
      <c r="D7752">
        <v>4322</v>
      </c>
      <c r="E7752" t="s">
        <v>398</v>
      </c>
      <c r="F7752" s="4">
        <v>19701</v>
      </c>
      <c r="G7752" s="4">
        <v>2357919</v>
      </c>
      <c r="H7752" s="4">
        <v>2357919</v>
      </c>
      <c r="I7752" s="4">
        <v>0</v>
      </c>
      <c r="J7752" s="4">
        <v>2377620</v>
      </c>
    </row>
    <row r="7753" spans="1:10" x14ac:dyDescent="0.75">
      <c r="A7753" t="s">
        <v>151</v>
      </c>
      <c r="B7753">
        <v>2021</v>
      </c>
      <c r="C7753" t="s">
        <v>49</v>
      </c>
      <c r="D7753">
        <v>2221</v>
      </c>
      <c r="E7753" t="s">
        <v>374</v>
      </c>
      <c r="F7753" s="4">
        <v>1752296</v>
      </c>
      <c r="G7753" s="4">
        <v>42827</v>
      </c>
      <c r="H7753" s="4">
        <v>42827</v>
      </c>
      <c r="I7753" s="4">
        <v>0</v>
      </c>
      <c r="J7753" s="4">
        <v>1795123</v>
      </c>
    </row>
    <row r="7754" spans="1:10" x14ac:dyDescent="0.75">
      <c r="A7754" t="s">
        <v>151</v>
      </c>
      <c r="B7754">
        <v>2021</v>
      </c>
      <c r="C7754" t="s">
        <v>49</v>
      </c>
      <c r="D7754">
        <v>5220</v>
      </c>
      <c r="E7754" t="s">
        <v>401</v>
      </c>
      <c r="F7754" s="4">
        <v>0</v>
      </c>
      <c r="G7754" s="4">
        <v>1145971</v>
      </c>
      <c r="H7754" s="4">
        <v>1145947</v>
      </c>
      <c r="I7754" s="4">
        <v>24</v>
      </c>
      <c r="J7754" s="4">
        <v>1145971</v>
      </c>
    </row>
    <row r="7755" spans="1:10" x14ac:dyDescent="0.75">
      <c r="A7755" t="s">
        <v>151</v>
      </c>
      <c r="B7755">
        <v>2021</v>
      </c>
      <c r="C7755" t="s">
        <v>49</v>
      </c>
      <c r="D7755">
        <v>4331</v>
      </c>
      <c r="E7755" t="s">
        <v>390</v>
      </c>
      <c r="F7755" s="4">
        <v>0</v>
      </c>
      <c r="G7755" s="4">
        <v>919531</v>
      </c>
      <c r="H7755" s="4">
        <v>919405</v>
      </c>
      <c r="I7755" s="4">
        <v>126</v>
      </c>
      <c r="J7755" s="4">
        <v>919531</v>
      </c>
    </row>
    <row r="7756" spans="1:10" x14ac:dyDescent="0.75">
      <c r="A7756" t="s">
        <v>151</v>
      </c>
      <c r="B7756">
        <v>2021</v>
      </c>
      <c r="C7756" t="s">
        <v>49</v>
      </c>
      <c r="D7756">
        <v>4741</v>
      </c>
      <c r="E7756" t="s">
        <v>425</v>
      </c>
      <c r="F7756" s="4">
        <v>0</v>
      </c>
      <c r="G7756" s="4">
        <v>714733</v>
      </c>
      <c r="H7756" s="4">
        <v>714733</v>
      </c>
      <c r="I7756" s="4">
        <v>0</v>
      </c>
      <c r="J7756" s="4">
        <v>714733</v>
      </c>
    </row>
    <row r="7757" spans="1:10" x14ac:dyDescent="0.75">
      <c r="A7757" t="s">
        <v>151</v>
      </c>
      <c r="B7757">
        <v>2021</v>
      </c>
      <c r="C7757" t="s">
        <v>49</v>
      </c>
      <c r="D7757">
        <v>1100</v>
      </c>
      <c r="E7757" t="s">
        <v>397</v>
      </c>
      <c r="F7757" s="4">
        <v>622430</v>
      </c>
      <c r="G7757" s="4">
        <v>0</v>
      </c>
      <c r="H7757" s="4">
        <v>0</v>
      </c>
      <c r="I7757" s="4">
        <v>0</v>
      </c>
      <c r="J7757" s="4">
        <v>622430</v>
      </c>
    </row>
    <row r="7758" spans="1:10" x14ac:dyDescent="0.75">
      <c r="A7758" t="s">
        <v>151</v>
      </c>
      <c r="B7758">
        <v>2021</v>
      </c>
      <c r="C7758" t="s">
        <v>49</v>
      </c>
      <c r="D7758">
        <v>4323</v>
      </c>
      <c r="E7758" t="s">
        <v>373</v>
      </c>
      <c r="F7758" s="4">
        <v>0</v>
      </c>
      <c r="G7758" s="4">
        <v>582905</v>
      </c>
      <c r="H7758" s="4">
        <v>581087</v>
      </c>
      <c r="I7758" s="4">
        <v>1818</v>
      </c>
      <c r="J7758" s="4">
        <v>582905</v>
      </c>
    </row>
    <row r="7759" spans="1:10" x14ac:dyDescent="0.75">
      <c r="A7759" t="s">
        <v>151</v>
      </c>
      <c r="B7759">
        <v>2021</v>
      </c>
      <c r="C7759" t="s">
        <v>49</v>
      </c>
      <c r="D7759">
        <v>3220</v>
      </c>
      <c r="E7759" t="s">
        <v>370</v>
      </c>
      <c r="F7759" s="4">
        <v>501443</v>
      </c>
      <c r="G7759" s="4">
        <v>623</v>
      </c>
      <c r="H7759" s="4">
        <v>509</v>
      </c>
      <c r="I7759" s="4">
        <v>114</v>
      </c>
      <c r="J7759" s="4">
        <v>502066</v>
      </c>
    </row>
    <row r="7760" spans="1:10" x14ac:dyDescent="0.75">
      <c r="A7760" t="s">
        <v>151</v>
      </c>
      <c r="B7760">
        <v>2021</v>
      </c>
      <c r="C7760" t="s">
        <v>49</v>
      </c>
      <c r="D7760">
        <v>4860</v>
      </c>
      <c r="E7760" t="s">
        <v>400</v>
      </c>
      <c r="F7760" s="4">
        <v>0</v>
      </c>
      <c r="G7760" s="4">
        <v>489548</v>
      </c>
      <c r="H7760" s="4">
        <v>489548</v>
      </c>
      <c r="I7760" s="4">
        <v>0</v>
      </c>
      <c r="J7760" s="4">
        <v>489548</v>
      </c>
    </row>
    <row r="7761" spans="1:10" x14ac:dyDescent="0.75">
      <c r="A7761" t="s">
        <v>151</v>
      </c>
      <c r="B7761">
        <v>2021</v>
      </c>
      <c r="C7761" t="s">
        <v>49</v>
      </c>
      <c r="D7761">
        <v>3271</v>
      </c>
      <c r="E7761" t="s">
        <v>437</v>
      </c>
      <c r="F7761" s="4">
        <v>397108</v>
      </c>
      <c r="G7761" s="4">
        <v>0</v>
      </c>
      <c r="H7761" s="4">
        <v>0</v>
      </c>
      <c r="I7761" s="4">
        <v>0</v>
      </c>
      <c r="J7761" s="4">
        <v>397108</v>
      </c>
    </row>
    <row r="7762" spans="1:10" x14ac:dyDescent="0.75">
      <c r="A7762" t="s">
        <v>151</v>
      </c>
      <c r="B7762">
        <v>2021</v>
      </c>
      <c r="C7762" t="s">
        <v>49</v>
      </c>
      <c r="D7762">
        <v>2430</v>
      </c>
      <c r="E7762" t="s">
        <v>376</v>
      </c>
      <c r="F7762" s="4">
        <v>361765</v>
      </c>
      <c r="G7762" s="4">
        <v>0</v>
      </c>
      <c r="H7762" s="4">
        <v>0</v>
      </c>
      <c r="I7762" s="4">
        <v>0</v>
      </c>
      <c r="J7762" s="4">
        <v>361765</v>
      </c>
    </row>
    <row r="7763" spans="1:10" x14ac:dyDescent="0.75">
      <c r="A7763" t="s">
        <v>151</v>
      </c>
      <c r="B7763">
        <v>2021</v>
      </c>
      <c r="C7763" t="s">
        <v>49</v>
      </c>
      <c r="D7763">
        <v>4420</v>
      </c>
      <c r="E7763" t="s">
        <v>381</v>
      </c>
      <c r="F7763" s="4">
        <v>41515</v>
      </c>
      <c r="G7763" s="4">
        <v>263648</v>
      </c>
      <c r="H7763" s="4">
        <v>61</v>
      </c>
      <c r="I7763" s="4">
        <v>263587</v>
      </c>
      <c r="J7763" s="4">
        <v>305163</v>
      </c>
    </row>
    <row r="7764" spans="1:10" x14ac:dyDescent="0.75">
      <c r="A7764" t="s">
        <v>151</v>
      </c>
      <c r="B7764">
        <v>2021</v>
      </c>
      <c r="C7764" t="s">
        <v>49</v>
      </c>
      <c r="D7764">
        <v>3273</v>
      </c>
      <c r="E7764" t="s">
        <v>411</v>
      </c>
      <c r="F7764" s="4">
        <v>0</v>
      </c>
      <c r="G7764" s="4">
        <v>283899</v>
      </c>
      <c r="H7764" s="4">
        <v>283899</v>
      </c>
      <c r="I7764" s="4">
        <v>0</v>
      </c>
      <c r="J7764" s="4">
        <v>283899</v>
      </c>
    </row>
    <row r="7765" spans="1:10" x14ac:dyDescent="0.75">
      <c r="A7765" t="s">
        <v>151</v>
      </c>
      <c r="B7765">
        <v>2021</v>
      </c>
      <c r="C7765" t="s">
        <v>49</v>
      </c>
      <c r="D7765">
        <v>3276</v>
      </c>
      <c r="E7765" t="s">
        <v>379</v>
      </c>
      <c r="F7765" s="4">
        <v>0</v>
      </c>
      <c r="G7765" s="4">
        <v>212376</v>
      </c>
      <c r="H7765" s="4">
        <v>11187</v>
      </c>
      <c r="I7765" s="4">
        <v>201189</v>
      </c>
      <c r="J7765" s="4">
        <v>212376</v>
      </c>
    </row>
    <row r="7766" spans="1:10" x14ac:dyDescent="0.75">
      <c r="A7766" t="s">
        <v>151</v>
      </c>
      <c r="B7766">
        <v>2021</v>
      </c>
      <c r="C7766" t="s">
        <v>49</v>
      </c>
      <c r="D7766">
        <v>7900</v>
      </c>
      <c r="E7766" t="s">
        <v>388</v>
      </c>
      <c r="F7766" s="4">
        <v>0</v>
      </c>
      <c r="G7766" s="4">
        <v>207097</v>
      </c>
      <c r="H7766" s="4">
        <v>162198</v>
      </c>
      <c r="I7766" s="4">
        <v>44899</v>
      </c>
      <c r="J7766" s="4">
        <v>207097</v>
      </c>
    </row>
    <row r="7767" spans="1:10" x14ac:dyDescent="0.75">
      <c r="A7767" t="s">
        <v>151</v>
      </c>
      <c r="B7767">
        <v>2021</v>
      </c>
      <c r="C7767" t="s">
        <v>49</v>
      </c>
      <c r="D7767">
        <v>3110</v>
      </c>
      <c r="E7767" t="s">
        <v>405</v>
      </c>
      <c r="F7767" s="4">
        <v>56390</v>
      </c>
      <c r="G7767" s="4">
        <v>147988</v>
      </c>
      <c r="H7767" s="4">
        <v>147988</v>
      </c>
      <c r="I7767" s="4">
        <v>0</v>
      </c>
      <c r="J7767" s="4">
        <v>204378</v>
      </c>
    </row>
    <row r="7768" spans="1:10" x14ac:dyDescent="0.75">
      <c r="A7768" t="s">
        <v>151</v>
      </c>
      <c r="B7768">
        <v>2021</v>
      </c>
      <c r="C7768" t="s">
        <v>49</v>
      </c>
      <c r="D7768">
        <v>3130</v>
      </c>
      <c r="E7768" t="s">
        <v>407</v>
      </c>
      <c r="F7768" s="4">
        <v>110661</v>
      </c>
      <c r="G7768" s="4">
        <v>67884</v>
      </c>
      <c r="H7768" s="4">
        <v>26553</v>
      </c>
      <c r="I7768" s="4">
        <v>41331</v>
      </c>
      <c r="J7768" s="4">
        <v>178545</v>
      </c>
    </row>
    <row r="7769" spans="1:10" x14ac:dyDescent="0.75">
      <c r="A7769" t="s">
        <v>151</v>
      </c>
      <c r="B7769">
        <v>2021</v>
      </c>
      <c r="C7769" t="s">
        <v>49</v>
      </c>
      <c r="D7769">
        <v>5330</v>
      </c>
      <c r="E7769" t="s">
        <v>385</v>
      </c>
      <c r="F7769" s="4">
        <v>0</v>
      </c>
      <c r="G7769" s="4">
        <v>172781</v>
      </c>
      <c r="H7769" s="4">
        <v>172781</v>
      </c>
      <c r="I7769" s="4">
        <v>0</v>
      </c>
      <c r="J7769" s="4">
        <v>172781</v>
      </c>
    </row>
    <row r="7770" spans="1:10" x14ac:dyDescent="0.75">
      <c r="A7770" t="s">
        <v>151</v>
      </c>
      <c r="B7770">
        <v>2021</v>
      </c>
      <c r="C7770" t="s">
        <v>49</v>
      </c>
      <c r="D7770">
        <v>3272</v>
      </c>
      <c r="E7770" t="s">
        <v>504</v>
      </c>
      <c r="F7770" s="4">
        <v>0</v>
      </c>
      <c r="G7770" s="4">
        <v>170039</v>
      </c>
      <c r="H7770" s="4">
        <v>158568</v>
      </c>
      <c r="I7770" s="4">
        <v>11471</v>
      </c>
      <c r="J7770" s="4">
        <v>170039</v>
      </c>
    </row>
    <row r="7771" spans="1:10" x14ac:dyDescent="0.75">
      <c r="A7771" t="s">
        <v>151</v>
      </c>
      <c r="B7771">
        <v>2021</v>
      </c>
      <c r="C7771" t="s">
        <v>49</v>
      </c>
      <c r="D7771">
        <v>6858</v>
      </c>
      <c r="E7771" t="s">
        <v>488</v>
      </c>
      <c r="F7771" s="4">
        <v>0</v>
      </c>
      <c r="G7771" s="4">
        <v>152563</v>
      </c>
      <c r="H7771" s="4">
        <v>151180</v>
      </c>
      <c r="I7771" s="4">
        <v>1383</v>
      </c>
      <c r="J7771" s="4">
        <v>152563</v>
      </c>
    </row>
    <row r="7772" spans="1:10" x14ac:dyDescent="0.75">
      <c r="A7772" t="s">
        <v>151</v>
      </c>
      <c r="B7772">
        <v>2021</v>
      </c>
      <c r="C7772" t="s">
        <v>49</v>
      </c>
      <c r="D7772">
        <v>4783</v>
      </c>
      <c r="E7772" t="s">
        <v>382</v>
      </c>
      <c r="F7772" s="4">
        <v>0</v>
      </c>
      <c r="G7772" s="4">
        <v>146633</v>
      </c>
      <c r="H7772" s="4">
        <v>146593</v>
      </c>
      <c r="I7772" s="4">
        <v>40</v>
      </c>
      <c r="J7772" s="4">
        <v>146633</v>
      </c>
    </row>
    <row r="7773" spans="1:10" x14ac:dyDescent="0.75">
      <c r="A7773" t="s">
        <v>151</v>
      </c>
      <c r="B7773">
        <v>2021</v>
      </c>
      <c r="C7773" t="s">
        <v>49</v>
      </c>
      <c r="D7773">
        <v>2340</v>
      </c>
      <c r="E7773" t="s">
        <v>369</v>
      </c>
      <c r="F7773" s="4">
        <v>117784</v>
      </c>
      <c r="G7773" s="4">
        <v>0</v>
      </c>
      <c r="H7773" s="4">
        <v>0</v>
      </c>
      <c r="I7773" s="4">
        <v>0</v>
      </c>
      <c r="J7773" s="4">
        <v>117784</v>
      </c>
    </row>
    <row r="7774" spans="1:10" x14ac:dyDescent="0.75">
      <c r="A7774" t="s">
        <v>151</v>
      </c>
      <c r="B7774">
        <v>2021</v>
      </c>
      <c r="C7774" t="s">
        <v>49</v>
      </c>
      <c r="D7774">
        <v>6241</v>
      </c>
      <c r="E7774" t="s">
        <v>391</v>
      </c>
      <c r="F7774" s="4">
        <v>115878</v>
      </c>
      <c r="G7774" s="4">
        <v>0</v>
      </c>
      <c r="H7774" s="4">
        <v>0</v>
      </c>
      <c r="I7774" s="4">
        <v>0</v>
      </c>
      <c r="J7774" s="4">
        <v>115878</v>
      </c>
    </row>
    <row r="7775" spans="1:10" x14ac:dyDescent="0.75">
      <c r="A7775" t="s">
        <v>151</v>
      </c>
      <c r="B7775">
        <v>2021</v>
      </c>
      <c r="C7775" t="s">
        <v>49</v>
      </c>
      <c r="D7775">
        <v>2350</v>
      </c>
      <c r="E7775" t="s">
        <v>404</v>
      </c>
      <c r="F7775" s="4">
        <v>81317</v>
      </c>
      <c r="G7775" s="4">
        <v>31434</v>
      </c>
      <c r="H7775" s="4">
        <v>31404</v>
      </c>
      <c r="I7775" s="4">
        <v>30</v>
      </c>
      <c r="J7775" s="4">
        <v>112751</v>
      </c>
    </row>
    <row r="7776" spans="1:10" x14ac:dyDescent="0.75">
      <c r="A7776" t="s">
        <v>151</v>
      </c>
      <c r="B7776">
        <v>2021</v>
      </c>
      <c r="C7776" t="s">
        <v>49</v>
      </c>
      <c r="D7776">
        <v>2540</v>
      </c>
      <c r="E7776" t="s">
        <v>377</v>
      </c>
      <c r="F7776" s="4">
        <v>103164</v>
      </c>
      <c r="G7776" s="4">
        <v>0</v>
      </c>
      <c r="H7776" s="4">
        <v>0</v>
      </c>
      <c r="I7776" s="4">
        <v>0</v>
      </c>
      <c r="J7776" s="4">
        <v>103164</v>
      </c>
    </row>
    <row r="7777" spans="1:10" x14ac:dyDescent="0.75">
      <c r="A7777" t="s">
        <v>151</v>
      </c>
      <c r="B7777">
        <v>2021</v>
      </c>
      <c r="C7777" t="s">
        <v>49</v>
      </c>
      <c r="D7777">
        <v>5480</v>
      </c>
      <c r="E7777" t="s">
        <v>386</v>
      </c>
      <c r="F7777" s="4">
        <v>0</v>
      </c>
      <c r="G7777" s="4">
        <v>95873</v>
      </c>
      <c r="H7777" s="4">
        <v>77743</v>
      </c>
      <c r="I7777" s="4">
        <v>18130</v>
      </c>
      <c r="J7777" s="4">
        <v>95873</v>
      </c>
    </row>
    <row r="7778" spans="1:10" x14ac:dyDescent="0.75">
      <c r="A7778" t="s">
        <v>151</v>
      </c>
      <c r="B7778">
        <v>2021</v>
      </c>
      <c r="C7778" t="s">
        <v>49</v>
      </c>
      <c r="D7778">
        <v>4189</v>
      </c>
      <c r="E7778" t="s">
        <v>451</v>
      </c>
      <c r="F7778" s="4">
        <v>1</v>
      </c>
      <c r="G7778" s="4">
        <v>70315</v>
      </c>
      <c r="H7778" s="4">
        <v>69963</v>
      </c>
      <c r="I7778" s="4">
        <v>352</v>
      </c>
      <c r="J7778" s="4">
        <v>70316</v>
      </c>
    </row>
    <row r="7779" spans="1:10" x14ac:dyDescent="0.75">
      <c r="A7779" t="s">
        <v>151</v>
      </c>
      <c r="B7779">
        <v>2021</v>
      </c>
      <c r="C7779" t="s">
        <v>49</v>
      </c>
      <c r="D7779">
        <v>5290</v>
      </c>
      <c r="E7779" t="s">
        <v>415</v>
      </c>
      <c r="F7779" s="4">
        <v>2370</v>
      </c>
      <c r="G7779" s="4">
        <v>63520</v>
      </c>
      <c r="H7779" s="4">
        <v>63228</v>
      </c>
      <c r="I7779" s="4">
        <v>292</v>
      </c>
      <c r="J7779" s="4">
        <v>65890</v>
      </c>
    </row>
    <row r="7780" spans="1:10" x14ac:dyDescent="0.75">
      <c r="A7780" t="s">
        <v>151</v>
      </c>
      <c r="B7780">
        <v>2021</v>
      </c>
      <c r="C7780" t="s">
        <v>49</v>
      </c>
      <c r="D7780">
        <v>6856</v>
      </c>
      <c r="E7780" t="s">
        <v>486</v>
      </c>
      <c r="F7780" s="4">
        <v>0</v>
      </c>
      <c r="G7780" s="4">
        <v>58148</v>
      </c>
      <c r="H7780" s="4">
        <v>57504</v>
      </c>
      <c r="I7780" s="4">
        <v>644</v>
      </c>
      <c r="J7780" s="4">
        <v>58148</v>
      </c>
    </row>
    <row r="7781" spans="1:10" x14ac:dyDescent="0.75">
      <c r="A7781" t="s">
        <v>151</v>
      </c>
      <c r="B7781">
        <v>2021</v>
      </c>
      <c r="C7781" t="s">
        <v>49</v>
      </c>
      <c r="D7781">
        <v>2100</v>
      </c>
      <c r="E7781" t="s">
        <v>403</v>
      </c>
      <c r="F7781" s="4">
        <v>57690</v>
      </c>
      <c r="G7781" s="4">
        <v>0</v>
      </c>
      <c r="H7781" s="4">
        <v>0</v>
      </c>
      <c r="I7781" s="4">
        <v>0</v>
      </c>
      <c r="J7781" s="4">
        <v>57690</v>
      </c>
    </row>
    <row r="7782" spans="1:10" x14ac:dyDescent="0.75">
      <c r="A7782" t="s">
        <v>151</v>
      </c>
      <c r="B7782">
        <v>2021</v>
      </c>
      <c r="C7782" t="s">
        <v>49</v>
      </c>
      <c r="D7782">
        <v>4327</v>
      </c>
      <c r="E7782" t="s">
        <v>454</v>
      </c>
      <c r="F7782" s="4">
        <v>0</v>
      </c>
      <c r="G7782" s="4">
        <v>53339</v>
      </c>
      <c r="H7782" s="4">
        <v>53339</v>
      </c>
      <c r="I7782" s="4">
        <v>0</v>
      </c>
      <c r="J7782" s="4">
        <v>53339</v>
      </c>
    </row>
    <row r="7783" spans="1:10" x14ac:dyDescent="0.75">
      <c r="A7783" t="s">
        <v>151</v>
      </c>
      <c r="B7783">
        <v>2021</v>
      </c>
      <c r="C7783" t="s">
        <v>49</v>
      </c>
      <c r="D7783">
        <v>7600</v>
      </c>
      <c r="E7783" t="s">
        <v>503</v>
      </c>
      <c r="F7783" s="4">
        <v>0</v>
      </c>
      <c r="G7783" s="4">
        <v>53074</v>
      </c>
      <c r="H7783" s="4">
        <v>43220</v>
      </c>
      <c r="I7783" s="4">
        <v>9854</v>
      </c>
      <c r="J7783" s="4">
        <v>53074</v>
      </c>
    </row>
    <row r="7784" spans="1:10" x14ac:dyDescent="0.75">
      <c r="A7784" t="s">
        <v>151</v>
      </c>
      <c r="B7784">
        <v>2021</v>
      </c>
      <c r="C7784" t="s">
        <v>49</v>
      </c>
      <c r="D7784">
        <v>4650</v>
      </c>
      <c r="E7784" t="s">
        <v>457</v>
      </c>
      <c r="F7784" s="4">
        <v>0</v>
      </c>
      <c r="G7784" s="4">
        <v>51238</v>
      </c>
      <c r="H7784" s="4">
        <v>51231</v>
      </c>
      <c r="I7784" s="4">
        <v>7</v>
      </c>
      <c r="J7784" s="4">
        <v>51238</v>
      </c>
    </row>
    <row r="7785" spans="1:10" x14ac:dyDescent="0.75">
      <c r="A7785" t="s">
        <v>151</v>
      </c>
      <c r="B7785">
        <v>2021</v>
      </c>
      <c r="C7785" t="s">
        <v>49</v>
      </c>
      <c r="D7785">
        <v>5360</v>
      </c>
      <c r="E7785" t="s">
        <v>465</v>
      </c>
      <c r="F7785" s="4">
        <v>3200</v>
      </c>
      <c r="G7785" s="4">
        <v>41596</v>
      </c>
      <c r="H7785" s="4">
        <v>37154</v>
      </c>
      <c r="I7785" s="4">
        <v>4442</v>
      </c>
      <c r="J7785" s="4">
        <v>44796</v>
      </c>
    </row>
    <row r="7786" spans="1:10" x14ac:dyDescent="0.75">
      <c r="A7786" t="s">
        <v>151</v>
      </c>
      <c r="B7786">
        <v>2021</v>
      </c>
      <c r="C7786" t="s">
        <v>49</v>
      </c>
      <c r="D7786">
        <v>3219</v>
      </c>
      <c r="E7786" t="s">
        <v>378</v>
      </c>
      <c r="F7786" s="4">
        <v>0</v>
      </c>
      <c r="G7786" s="4">
        <v>43395</v>
      </c>
      <c r="H7786" s="4">
        <v>43049</v>
      </c>
      <c r="I7786" s="4">
        <v>346</v>
      </c>
      <c r="J7786" s="4">
        <v>43395</v>
      </c>
    </row>
    <row r="7787" spans="1:10" x14ac:dyDescent="0.75">
      <c r="A7787" t="s">
        <v>151</v>
      </c>
      <c r="B7787">
        <v>2021</v>
      </c>
      <c r="C7787" t="s">
        <v>49</v>
      </c>
      <c r="D7787">
        <v>7120</v>
      </c>
      <c r="E7787" t="s">
        <v>499</v>
      </c>
      <c r="F7787" s="4">
        <v>0</v>
      </c>
      <c r="G7787" s="4">
        <v>40045</v>
      </c>
      <c r="H7787" s="4">
        <v>39133</v>
      </c>
      <c r="I7787" s="4">
        <v>912</v>
      </c>
      <c r="J7787" s="4">
        <v>40045</v>
      </c>
    </row>
    <row r="7788" spans="1:10" x14ac:dyDescent="0.75">
      <c r="A7788" t="s">
        <v>151</v>
      </c>
      <c r="B7788">
        <v>2021</v>
      </c>
      <c r="C7788" t="s">
        <v>49</v>
      </c>
      <c r="D7788">
        <v>4782</v>
      </c>
      <c r="E7788" t="s">
        <v>414</v>
      </c>
      <c r="F7788" s="4">
        <v>0</v>
      </c>
      <c r="G7788" s="4">
        <v>39314</v>
      </c>
      <c r="H7788" s="4">
        <v>1869</v>
      </c>
      <c r="I7788" s="4">
        <v>37445</v>
      </c>
      <c r="J7788" s="4">
        <v>39314</v>
      </c>
    </row>
    <row r="7789" spans="1:10" x14ac:dyDescent="0.75">
      <c r="A7789" t="s">
        <v>151</v>
      </c>
      <c r="B7789">
        <v>2021</v>
      </c>
      <c r="C7789" t="s">
        <v>49</v>
      </c>
      <c r="D7789">
        <v>7110</v>
      </c>
      <c r="E7789" t="s">
        <v>371</v>
      </c>
      <c r="F7789" s="4">
        <v>1933</v>
      </c>
      <c r="G7789" s="4">
        <v>33276</v>
      </c>
      <c r="H7789" s="4">
        <v>31420</v>
      </c>
      <c r="I7789" s="4">
        <v>1856</v>
      </c>
      <c r="J7789" s="4">
        <v>35209</v>
      </c>
    </row>
    <row r="7790" spans="1:10" x14ac:dyDescent="0.75">
      <c r="A7790" t="s">
        <v>151</v>
      </c>
      <c r="B7790">
        <v>2021</v>
      </c>
      <c r="C7790" t="s">
        <v>49</v>
      </c>
      <c r="D7790">
        <v>4680</v>
      </c>
      <c r="E7790" t="s">
        <v>459</v>
      </c>
      <c r="F7790" s="4">
        <v>0</v>
      </c>
      <c r="G7790" s="4">
        <v>30462</v>
      </c>
      <c r="H7790" s="4">
        <v>118</v>
      </c>
      <c r="I7790" s="4">
        <v>30344</v>
      </c>
      <c r="J7790" s="4">
        <v>30462</v>
      </c>
    </row>
    <row r="7791" spans="1:10" x14ac:dyDescent="0.75">
      <c r="A7791" t="s">
        <v>151</v>
      </c>
      <c r="B7791">
        <v>2021</v>
      </c>
      <c r="C7791" t="s">
        <v>49</v>
      </c>
      <c r="D7791">
        <v>7210</v>
      </c>
      <c r="E7791" t="s">
        <v>426</v>
      </c>
      <c r="F7791" s="4">
        <v>0</v>
      </c>
      <c r="G7791" s="4">
        <v>30158</v>
      </c>
      <c r="H7791" s="4">
        <v>24893</v>
      </c>
      <c r="I7791" s="4">
        <v>5265</v>
      </c>
      <c r="J7791" s="4">
        <v>30158</v>
      </c>
    </row>
    <row r="7792" spans="1:10" x14ac:dyDescent="0.75">
      <c r="A7792" t="s">
        <v>151</v>
      </c>
      <c r="B7792">
        <v>2021</v>
      </c>
      <c r="C7792" t="s">
        <v>49</v>
      </c>
      <c r="D7792">
        <v>5370</v>
      </c>
      <c r="E7792" t="s">
        <v>466</v>
      </c>
      <c r="F7792" s="4">
        <v>188</v>
      </c>
      <c r="G7792" s="4">
        <v>28457</v>
      </c>
      <c r="H7792" s="4">
        <v>28457</v>
      </c>
      <c r="I7792" s="4">
        <v>0</v>
      </c>
      <c r="J7792" s="4">
        <v>28645</v>
      </c>
    </row>
    <row r="7793" spans="1:10" x14ac:dyDescent="0.75">
      <c r="A7793" t="s">
        <v>151</v>
      </c>
      <c r="B7793">
        <v>2021</v>
      </c>
      <c r="C7793" t="s">
        <v>49</v>
      </c>
      <c r="D7793">
        <v>6857</v>
      </c>
      <c r="E7793" t="s">
        <v>487</v>
      </c>
      <c r="F7793" s="4">
        <v>0</v>
      </c>
      <c r="G7793" s="4">
        <v>28319</v>
      </c>
      <c r="H7793" s="4">
        <v>27878</v>
      </c>
      <c r="I7793" s="4">
        <v>441</v>
      </c>
      <c r="J7793" s="4">
        <v>28319</v>
      </c>
    </row>
    <row r="7794" spans="1:10" x14ac:dyDescent="0.75">
      <c r="A7794" t="s">
        <v>151</v>
      </c>
      <c r="B7794">
        <v>2021</v>
      </c>
      <c r="C7794" t="s">
        <v>49</v>
      </c>
      <c r="D7794">
        <v>4225</v>
      </c>
      <c r="E7794" t="s">
        <v>380</v>
      </c>
      <c r="F7794" s="4">
        <v>0</v>
      </c>
      <c r="G7794" s="4">
        <v>26191</v>
      </c>
      <c r="H7794" s="4">
        <v>485</v>
      </c>
      <c r="I7794" s="4">
        <v>25706</v>
      </c>
      <c r="J7794" s="4">
        <v>26191</v>
      </c>
    </row>
    <row r="7795" spans="1:10" x14ac:dyDescent="0.75">
      <c r="A7795" t="s">
        <v>151</v>
      </c>
      <c r="B7795">
        <v>2021</v>
      </c>
      <c r="C7795" t="s">
        <v>49</v>
      </c>
      <c r="D7795">
        <v>6781</v>
      </c>
      <c r="E7795" t="s">
        <v>479</v>
      </c>
      <c r="F7795" s="4">
        <v>0</v>
      </c>
      <c r="G7795" s="4">
        <v>24251</v>
      </c>
      <c r="H7795" s="4">
        <v>0</v>
      </c>
      <c r="I7795" s="4">
        <v>24251</v>
      </c>
      <c r="J7795" s="4">
        <v>24251</v>
      </c>
    </row>
    <row r="7796" spans="1:10" x14ac:dyDescent="0.75">
      <c r="A7796" t="s">
        <v>151</v>
      </c>
      <c r="B7796">
        <v>2021</v>
      </c>
      <c r="C7796" t="s">
        <v>49</v>
      </c>
      <c r="D7796">
        <v>6889</v>
      </c>
      <c r="E7796" t="s">
        <v>420</v>
      </c>
      <c r="F7796" s="4">
        <v>0</v>
      </c>
      <c r="G7796" s="4">
        <v>22125</v>
      </c>
      <c r="H7796" s="4">
        <v>4503</v>
      </c>
      <c r="I7796" s="4">
        <v>17622</v>
      </c>
      <c r="J7796" s="4">
        <v>22125</v>
      </c>
    </row>
    <row r="7797" spans="1:10" x14ac:dyDescent="0.75">
      <c r="A7797" t="s">
        <v>151</v>
      </c>
      <c r="B7797">
        <v>2021</v>
      </c>
      <c r="C7797" t="s">
        <v>49</v>
      </c>
      <c r="D7797">
        <v>3286</v>
      </c>
      <c r="E7797" t="s">
        <v>423</v>
      </c>
      <c r="F7797" s="4">
        <v>0</v>
      </c>
      <c r="G7797" s="4">
        <v>18596</v>
      </c>
      <c r="H7797" s="4">
        <v>13756</v>
      </c>
      <c r="I7797" s="4">
        <v>4840</v>
      </c>
      <c r="J7797" s="4">
        <v>18596</v>
      </c>
    </row>
    <row r="7798" spans="1:10" x14ac:dyDescent="0.75">
      <c r="A7798" t="s">
        <v>151</v>
      </c>
      <c r="B7798">
        <v>2021</v>
      </c>
      <c r="C7798" t="s">
        <v>49</v>
      </c>
      <c r="D7798">
        <v>5422</v>
      </c>
      <c r="E7798" t="s">
        <v>468</v>
      </c>
      <c r="F7798" s="4">
        <v>0</v>
      </c>
      <c r="G7798" s="4">
        <v>18369</v>
      </c>
      <c r="H7798" s="4">
        <v>17731</v>
      </c>
      <c r="I7798" s="4">
        <v>638</v>
      </c>
      <c r="J7798" s="4">
        <v>18369</v>
      </c>
    </row>
    <row r="7799" spans="1:10" x14ac:dyDescent="0.75">
      <c r="A7799" t="s">
        <v>151</v>
      </c>
      <c r="B7799">
        <v>2021</v>
      </c>
      <c r="C7799" t="s">
        <v>49</v>
      </c>
      <c r="D7799">
        <v>6861</v>
      </c>
      <c r="E7799" t="s">
        <v>489</v>
      </c>
      <c r="F7799" s="4">
        <v>14400</v>
      </c>
      <c r="G7799" s="4">
        <v>2235</v>
      </c>
      <c r="H7799" s="4">
        <v>2210</v>
      </c>
      <c r="I7799" s="4">
        <v>25</v>
      </c>
      <c r="J7799" s="4">
        <v>16635</v>
      </c>
    </row>
    <row r="7800" spans="1:10" x14ac:dyDescent="0.75">
      <c r="A7800" t="s">
        <v>151</v>
      </c>
      <c r="B7800">
        <v>2021</v>
      </c>
      <c r="C7800" t="s">
        <v>49</v>
      </c>
      <c r="D7800">
        <v>7500</v>
      </c>
      <c r="E7800" t="s">
        <v>427</v>
      </c>
      <c r="F7800" s="4">
        <v>0</v>
      </c>
      <c r="G7800" s="4">
        <v>14917</v>
      </c>
      <c r="H7800" s="4">
        <v>11214</v>
      </c>
      <c r="I7800" s="4">
        <v>3703</v>
      </c>
      <c r="J7800" s="4">
        <v>14917</v>
      </c>
    </row>
    <row r="7801" spans="1:10" x14ac:dyDescent="0.75">
      <c r="A7801" t="s">
        <v>151</v>
      </c>
      <c r="B7801">
        <v>2021</v>
      </c>
      <c r="C7801" t="s">
        <v>49</v>
      </c>
      <c r="D7801">
        <v>3120</v>
      </c>
      <c r="E7801" t="s">
        <v>406</v>
      </c>
      <c r="F7801" s="4">
        <v>14501</v>
      </c>
      <c r="G7801" s="4">
        <v>0</v>
      </c>
      <c r="H7801" s="4">
        <v>0</v>
      </c>
      <c r="I7801" s="4">
        <v>0</v>
      </c>
      <c r="J7801" s="4">
        <v>14501</v>
      </c>
    </row>
    <row r="7802" spans="1:10" x14ac:dyDescent="0.75">
      <c r="A7802" t="s">
        <v>151</v>
      </c>
      <c r="B7802">
        <v>2021</v>
      </c>
      <c r="C7802" t="s">
        <v>49</v>
      </c>
      <c r="D7802">
        <v>4900</v>
      </c>
      <c r="E7802" t="s">
        <v>383</v>
      </c>
      <c r="F7802" s="4">
        <v>0</v>
      </c>
      <c r="G7802" s="4">
        <v>13118</v>
      </c>
      <c r="H7802" s="4">
        <v>13118</v>
      </c>
      <c r="I7802" s="4">
        <v>0</v>
      </c>
      <c r="J7802" s="4">
        <v>13118</v>
      </c>
    </row>
    <row r="7803" spans="1:10" x14ac:dyDescent="0.75">
      <c r="A7803" t="s">
        <v>151</v>
      </c>
      <c r="B7803">
        <v>2021</v>
      </c>
      <c r="C7803" t="s">
        <v>49</v>
      </c>
      <c r="D7803">
        <v>3230</v>
      </c>
      <c r="E7803" t="s">
        <v>434</v>
      </c>
      <c r="F7803" s="4">
        <v>0</v>
      </c>
      <c r="G7803" s="4">
        <v>10312</v>
      </c>
      <c r="H7803" s="4">
        <v>344</v>
      </c>
      <c r="I7803" s="4">
        <v>9968</v>
      </c>
      <c r="J7803" s="4">
        <v>10312</v>
      </c>
    </row>
    <row r="7804" spans="1:10" x14ac:dyDescent="0.75">
      <c r="A7804" t="s">
        <v>151</v>
      </c>
      <c r="B7804">
        <v>2021</v>
      </c>
      <c r="C7804" t="s">
        <v>49</v>
      </c>
      <c r="D7804">
        <v>5240</v>
      </c>
      <c r="E7804" t="s">
        <v>464</v>
      </c>
      <c r="F7804" s="4">
        <v>0</v>
      </c>
      <c r="G7804" s="4">
        <v>10163</v>
      </c>
      <c r="H7804" s="4">
        <v>9536</v>
      </c>
      <c r="I7804" s="4">
        <v>627</v>
      </c>
      <c r="J7804" s="4">
        <v>10163</v>
      </c>
    </row>
    <row r="7805" spans="1:10" x14ac:dyDescent="0.75">
      <c r="A7805" t="s">
        <v>151</v>
      </c>
      <c r="B7805">
        <v>2021</v>
      </c>
      <c r="C7805" t="s">
        <v>49</v>
      </c>
      <c r="D7805">
        <v>3285</v>
      </c>
      <c r="E7805" t="s">
        <v>443</v>
      </c>
      <c r="F7805" s="4">
        <v>0</v>
      </c>
      <c r="G7805" s="4">
        <v>9521</v>
      </c>
      <c r="H7805" s="4">
        <v>3822</v>
      </c>
      <c r="I7805" s="4">
        <v>5699</v>
      </c>
      <c r="J7805" s="4">
        <v>9521</v>
      </c>
    </row>
    <row r="7806" spans="1:10" x14ac:dyDescent="0.75">
      <c r="A7806" t="s">
        <v>151</v>
      </c>
      <c r="B7806">
        <v>2021</v>
      </c>
      <c r="C7806" t="s">
        <v>49</v>
      </c>
      <c r="D7806">
        <v>9900</v>
      </c>
      <c r="E7806" t="s">
        <v>389</v>
      </c>
      <c r="F7806" s="4">
        <v>0</v>
      </c>
      <c r="G7806" s="4">
        <v>9321</v>
      </c>
      <c r="H7806" s="4">
        <v>5916</v>
      </c>
      <c r="I7806" s="4">
        <v>3405</v>
      </c>
      <c r="J7806" s="4">
        <v>9321</v>
      </c>
    </row>
    <row r="7807" spans="1:10" x14ac:dyDescent="0.75">
      <c r="A7807" t="s">
        <v>151</v>
      </c>
      <c r="B7807">
        <v>2021</v>
      </c>
      <c r="C7807" t="s">
        <v>49</v>
      </c>
      <c r="D7807">
        <v>6822</v>
      </c>
      <c r="E7807" t="s">
        <v>482</v>
      </c>
      <c r="F7807" s="4">
        <v>0</v>
      </c>
      <c r="G7807" s="4">
        <v>9243</v>
      </c>
      <c r="H7807" s="4">
        <v>582</v>
      </c>
      <c r="I7807" s="4">
        <v>8661</v>
      </c>
      <c r="J7807" s="4">
        <v>9243</v>
      </c>
    </row>
    <row r="7808" spans="1:10" x14ac:dyDescent="0.75">
      <c r="A7808" t="s">
        <v>151</v>
      </c>
      <c r="B7808">
        <v>2021</v>
      </c>
      <c r="C7808" t="s">
        <v>49</v>
      </c>
      <c r="D7808">
        <v>7400</v>
      </c>
      <c r="E7808" t="s">
        <v>502</v>
      </c>
      <c r="F7808" s="4">
        <v>286</v>
      </c>
      <c r="G7808" s="4">
        <v>6791</v>
      </c>
      <c r="H7808" s="4">
        <v>6763</v>
      </c>
      <c r="I7808" s="4">
        <v>28</v>
      </c>
      <c r="J7808" s="4">
        <v>7077</v>
      </c>
    </row>
    <row r="7809" spans="1:10" x14ac:dyDescent="0.75">
      <c r="A7809" t="s">
        <v>151</v>
      </c>
      <c r="B7809">
        <v>2021</v>
      </c>
      <c r="C7809" t="s">
        <v>49</v>
      </c>
      <c r="D7809">
        <v>5540</v>
      </c>
      <c r="E7809" t="s">
        <v>469</v>
      </c>
      <c r="F7809" s="4">
        <v>0</v>
      </c>
      <c r="G7809" s="4">
        <v>6891</v>
      </c>
      <c r="H7809" s="4">
        <v>6772</v>
      </c>
      <c r="I7809" s="4">
        <v>119</v>
      </c>
      <c r="J7809" s="4">
        <v>6891</v>
      </c>
    </row>
    <row r="7810" spans="1:10" x14ac:dyDescent="0.75">
      <c r="A7810" t="s">
        <v>151</v>
      </c>
      <c r="B7810">
        <v>2021</v>
      </c>
      <c r="C7810" t="s">
        <v>49</v>
      </c>
      <c r="D7810">
        <v>3274</v>
      </c>
      <c r="E7810" t="s">
        <v>438</v>
      </c>
      <c r="F7810" s="4">
        <v>6509</v>
      </c>
      <c r="G7810" s="4">
        <v>142</v>
      </c>
      <c r="H7810" s="4">
        <v>141</v>
      </c>
      <c r="I7810" s="4">
        <v>1</v>
      </c>
      <c r="J7810" s="4">
        <v>6651</v>
      </c>
    </row>
    <row r="7811" spans="1:10" x14ac:dyDescent="0.75">
      <c r="A7811" t="s">
        <v>151</v>
      </c>
      <c r="B7811">
        <v>2021</v>
      </c>
      <c r="C7811" t="s">
        <v>49</v>
      </c>
      <c r="D7811">
        <v>6654</v>
      </c>
      <c r="E7811" t="s">
        <v>419</v>
      </c>
      <c r="F7811" s="4">
        <v>0</v>
      </c>
      <c r="G7811" s="4">
        <v>5307</v>
      </c>
      <c r="H7811" s="4">
        <v>5008</v>
      </c>
      <c r="I7811" s="4">
        <v>299</v>
      </c>
      <c r="J7811" s="4">
        <v>5307</v>
      </c>
    </row>
    <row r="7812" spans="1:10" x14ac:dyDescent="0.75">
      <c r="A7812" t="s">
        <v>151</v>
      </c>
      <c r="B7812">
        <v>2021</v>
      </c>
      <c r="C7812" t="s">
        <v>49</v>
      </c>
      <c r="D7812">
        <v>3279</v>
      </c>
      <c r="E7812" t="s">
        <v>422</v>
      </c>
      <c r="F7812" s="4">
        <v>0</v>
      </c>
      <c r="G7812" s="4">
        <v>5010</v>
      </c>
      <c r="H7812" s="4">
        <v>4928</v>
      </c>
      <c r="I7812" s="4">
        <v>82</v>
      </c>
      <c r="J7812" s="4">
        <v>5010</v>
      </c>
    </row>
    <row r="7813" spans="1:10" x14ac:dyDescent="0.75">
      <c r="A7813" t="s">
        <v>151</v>
      </c>
      <c r="B7813">
        <v>2021</v>
      </c>
      <c r="C7813" t="s">
        <v>49</v>
      </c>
      <c r="D7813">
        <v>3275</v>
      </c>
      <c r="E7813" t="s">
        <v>412</v>
      </c>
      <c r="F7813" s="4">
        <v>0</v>
      </c>
      <c r="G7813" s="4">
        <v>4735</v>
      </c>
      <c r="H7813" s="4">
        <v>4691</v>
      </c>
      <c r="I7813" s="4">
        <v>44</v>
      </c>
      <c r="J7813" s="4">
        <v>4735</v>
      </c>
    </row>
    <row r="7814" spans="1:10" x14ac:dyDescent="0.75">
      <c r="A7814" t="s">
        <v>151</v>
      </c>
      <c r="B7814">
        <v>2021</v>
      </c>
      <c r="C7814" t="s">
        <v>49</v>
      </c>
      <c r="D7814">
        <v>5190</v>
      </c>
      <c r="E7814" t="s">
        <v>462</v>
      </c>
      <c r="F7814" s="4">
        <v>0</v>
      </c>
      <c r="G7814" s="4">
        <v>4516</v>
      </c>
      <c r="H7814" s="4">
        <v>2991</v>
      </c>
      <c r="I7814" s="4">
        <v>1525</v>
      </c>
      <c r="J7814" s="4">
        <v>4516</v>
      </c>
    </row>
    <row r="7815" spans="1:10" x14ac:dyDescent="0.75">
      <c r="A7815" t="s">
        <v>151</v>
      </c>
      <c r="B7815">
        <v>2021</v>
      </c>
      <c r="C7815" t="s">
        <v>49</v>
      </c>
      <c r="D7815">
        <v>4170</v>
      </c>
      <c r="E7815" t="s">
        <v>424</v>
      </c>
      <c r="F7815" s="4">
        <v>0</v>
      </c>
      <c r="G7815" s="4">
        <v>4318</v>
      </c>
      <c r="H7815" s="4">
        <v>102</v>
      </c>
      <c r="I7815" s="4">
        <v>4216</v>
      </c>
      <c r="J7815" s="4">
        <v>4318</v>
      </c>
    </row>
    <row r="7816" spans="1:10" x14ac:dyDescent="0.75">
      <c r="A7816" t="s">
        <v>151</v>
      </c>
      <c r="B7816">
        <v>2021</v>
      </c>
      <c r="C7816" t="s">
        <v>49</v>
      </c>
      <c r="D7816">
        <v>2640</v>
      </c>
      <c r="E7816" t="s">
        <v>431</v>
      </c>
      <c r="F7816" s="4">
        <v>0</v>
      </c>
      <c r="G7816" s="4">
        <v>3770</v>
      </c>
      <c r="H7816" s="4">
        <v>58</v>
      </c>
      <c r="I7816" s="4">
        <v>3712</v>
      </c>
      <c r="J7816" s="4">
        <v>3770</v>
      </c>
    </row>
    <row r="7817" spans="1:10" x14ac:dyDescent="0.75">
      <c r="A7817" t="s">
        <v>151</v>
      </c>
      <c r="B7817">
        <v>2021</v>
      </c>
      <c r="C7817" t="s">
        <v>49</v>
      </c>
      <c r="D7817">
        <v>3250</v>
      </c>
      <c r="E7817" t="s">
        <v>435</v>
      </c>
      <c r="F7817" s="4">
        <v>0</v>
      </c>
      <c r="G7817" s="4">
        <v>3547</v>
      </c>
      <c r="H7817" s="4">
        <v>502</v>
      </c>
      <c r="I7817" s="4">
        <v>3045</v>
      </c>
      <c r="J7817" s="4">
        <v>3547</v>
      </c>
    </row>
    <row r="7818" spans="1:10" x14ac:dyDescent="0.75">
      <c r="A7818" t="s">
        <v>151</v>
      </c>
      <c r="B7818">
        <v>2021</v>
      </c>
      <c r="C7818" t="s">
        <v>49</v>
      </c>
      <c r="D7818">
        <v>6782</v>
      </c>
      <c r="E7818" t="s">
        <v>396</v>
      </c>
      <c r="F7818" s="4">
        <v>0</v>
      </c>
      <c r="G7818" s="4">
        <v>2938</v>
      </c>
      <c r="H7818" s="4">
        <v>117</v>
      </c>
      <c r="I7818" s="4">
        <v>2821</v>
      </c>
      <c r="J7818" s="4">
        <v>2938</v>
      </c>
    </row>
    <row r="7819" spans="1:10" x14ac:dyDescent="0.75">
      <c r="A7819" t="s">
        <v>151</v>
      </c>
      <c r="B7819">
        <v>2021</v>
      </c>
      <c r="C7819" t="s">
        <v>49</v>
      </c>
      <c r="D7819">
        <v>6442</v>
      </c>
      <c r="E7819" t="s">
        <v>472</v>
      </c>
      <c r="F7819" s="4">
        <v>0</v>
      </c>
      <c r="G7819" s="4">
        <v>2543</v>
      </c>
      <c r="H7819" s="4">
        <v>2539</v>
      </c>
      <c r="I7819" s="4">
        <v>4</v>
      </c>
      <c r="J7819" s="4">
        <v>2543</v>
      </c>
    </row>
    <row r="7820" spans="1:10" x14ac:dyDescent="0.75">
      <c r="A7820" t="s">
        <v>151</v>
      </c>
      <c r="B7820">
        <v>2021</v>
      </c>
      <c r="C7820" t="s">
        <v>49</v>
      </c>
      <c r="D7820">
        <v>6885</v>
      </c>
      <c r="E7820" t="s">
        <v>493</v>
      </c>
      <c r="F7820" s="4">
        <v>0</v>
      </c>
      <c r="G7820" s="4">
        <v>2187</v>
      </c>
      <c r="H7820" s="4">
        <v>1628</v>
      </c>
      <c r="I7820" s="4">
        <v>559</v>
      </c>
      <c r="J7820" s="4">
        <v>2187</v>
      </c>
    </row>
    <row r="7821" spans="1:10" x14ac:dyDescent="0.75">
      <c r="A7821" t="s">
        <v>151</v>
      </c>
      <c r="B7821">
        <v>2021</v>
      </c>
      <c r="C7821" t="s">
        <v>49</v>
      </c>
      <c r="D7821">
        <v>3282</v>
      </c>
      <c r="E7821" t="s">
        <v>440</v>
      </c>
      <c r="F7821" s="4">
        <v>0</v>
      </c>
      <c r="G7821" s="4">
        <v>1794</v>
      </c>
      <c r="H7821" s="4">
        <v>412</v>
      </c>
      <c r="I7821" s="4">
        <v>1382</v>
      </c>
      <c r="J7821" s="4">
        <v>1794</v>
      </c>
    </row>
    <row r="7822" spans="1:10" x14ac:dyDescent="0.75">
      <c r="A7822" t="s">
        <v>151</v>
      </c>
      <c r="B7822">
        <v>2021</v>
      </c>
      <c r="C7822" t="s">
        <v>49</v>
      </c>
      <c r="D7822">
        <v>3299</v>
      </c>
      <c r="E7822" t="s">
        <v>448</v>
      </c>
      <c r="F7822" s="4">
        <v>0</v>
      </c>
      <c r="G7822" s="4">
        <v>1781</v>
      </c>
      <c r="H7822" s="4">
        <v>1483</v>
      </c>
      <c r="I7822" s="4">
        <v>298</v>
      </c>
      <c r="J7822" s="4">
        <v>1781</v>
      </c>
    </row>
    <row r="7823" spans="1:10" x14ac:dyDescent="0.75">
      <c r="A7823" t="s">
        <v>151</v>
      </c>
      <c r="B7823">
        <v>2021</v>
      </c>
      <c r="C7823" t="s">
        <v>49</v>
      </c>
      <c r="D7823">
        <v>5120</v>
      </c>
      <c r="E7823" t="s">
        <v>461</v>
      </c>
      <c r="F7823" s="4">
        <v>0</v>
      </c>
      <c r="G7823" s="4">
        <v>1468</v>
      </c>
      <c r="H7823" s="4">
        <v>823</v>
      </c>
      <c r="I7823" s="4">
        <v>645</v>
      </c>
      <c r="J7823" s="4">
        <v>1468</v>
      </c>
    </row>
    <row r="7824" spans="1:10" x14ac:dyDescent="0.75">
      <c r="A7824" t="s">
        <v>151</v>
      </c>
      <c r="B7824">
        <v>2021</v>
      </c>
      <c r="C7824" t="s">
        <v>49</v>
      </c>
      <c r="D7824">
        <v>4190</v>
      </c>
      <c r="E7824" t="s">
        <v>452</v>
      </c>
      <c r="F7824" s="4">
        <v>0</v>
      </c>
      <c r="G7824" s="4">
        <v>1359</v>
      </c>
      <c r="H7824" s="4">
        <v>1336</v>
      </c>
      <c r="I7824" s="4">
        <v>23</v>
      </c>
      <c r="J7824" s="4">
        <v>1359</v>
      </c>
    </row>
    <row r="7825" spans="1:10" x14ac:dyDescent="0.75">
      <c r="A7825" t="s">
        <v>151</v>
      </c>
      <c r="B7825">
        <v>2021</v>
      </c>
      <c r="C7825" t="s">
        <v>49</v>
      </c>
      <c r="D7825">
        <v>5390</v>
      </c>
      <c r="E7825" t="s">
        <v>418</v>
      </c>
      <c r="F7825" s="4">
        <v>0</v>
      </c>
      <c r="G7825" s="4">
        <v>1239</v>
      </c>
      <c r="H7825" s="4">
        <v>1239</v>
      </c>
      <c r="I7825" s="4">
        <v>0</v>
      </c>
      <c r="J7825" s="4">
        <v>1239</v>
      </c>
    </row>
    <row r="7826" spans="1:10" x14ac:dyDescent="0.75">
      <c r="A7826" t="s">
        <v>151</v>
      </c>
      <c r="B7826">
        <v>2021</v>
      </c>
      <c r="C7826" t="s">
        <v>49</v>
      </c>
      <c r="D7826">
        <v>5421</v>
      </c>
      <c r="E7826" t="s">
        <v>467</v>
      </c>
      <c r="F7826" s="4">
        <v>0</v>
      </c>
      <c r="G7826" s="4">
        <v>1224</v>
      </c>
      <c r="H7826" s="4">
        <v>440</v>
      </c>
      <c r="I7826" s="4">
        <v>784</v>
      </c>
      <c r="J7826" s="4">
        <v>1224</v>
      </c>
    </row>
    <row r="7827" spans="1:10" x14ac:dyDescent="0.75">
      <c r="A7827" t="s">
        <v>151</v>
      </c>
      <c r="B7827">
        <v>2021</v>
      </c>
      <c r="C7827" t="s">
        <v>49</v>
      </c>
      <c r="D7827">
        <v>3260</v>
      </c>
      <c r="E7827" t="s">
        <v>436</v>
      </c>
      <c r="F7827" s="4">
        <v>0</v>
      </c>
      <c r="G7827" s="4">
        <v>912</v>
      </c>
      <c r="H7827" s="4">
        <v>897</v>
      </c>
      <c r="I7827" s="4">
        <v>15</v>
      </c>
      <c r="J7827" s="4">
        <v>912</v>
      </c>
    </row>
    <row r="7828" spans="1:10" x14ac:dyDescent="0.75">
      <c r="A7828" t="s">
        <v>151</v>
      </c>
      <c r="B7828">
        <v>2021</v>
      </c>
      <c r="C7828" t="s">
        <v>49</v>
      </c>
      <c r="D7828">
        <v>6747</v>
      </c>
      <c r="E7828" t="s">
        <v>478</v>
      </c>
      <c r="F7828" s="4">
        <v>0</v>
      </c>
      <c r="G7828" s="4">
        <v>899</v>
      </c>
      <c r="H7828" s="4">
        <v>483</v>
      </c>
      <c r="I7828" s="4">
        <v>416</v>
      </c>
      <c r="J7828" s="4">
        <v>899</v>
      </c>
    </row>
    <row r="7829" spans="1:10" x14ac:dyDescent="0.75">
      <c r="A7829" t="s">
        <v>151</v>
      </c>
      <c r="B7829">
        <v>2021</v>
      </c>
      <c r="C7829" t="s">
        <v>49</v>
      </c>
      <c r="D7829">
        <v>6811</v>
      </c>
      <c r="E7829" t="s">
        <v>480</v>
      </c>
      <c r="F7829" s="4">
        <v>0</v>
      </c>
      <c r="G7829" s="4">
        <v>862</v>
      </c>
      <c r="H7829" s="4">
        <v>142</v>
      </c>
      <c r="I7829" s="4">
        <v>720</v>
      </c>
      <c r="J7829" s="4">
        <v>862</v>
      </c>
    </row>
    <row r="7830" spans="1:10" x14ac:dyDescent="0.75">
      <c r="A7830" t="s">
        <v>151</v>
      </c>
      <c r="B7830">
        <v>2021</v>
      </c>
      <c r="C7830" t="s">
        <v>49</v>
      </c>
      <c r="D7830">
        <v>6653</v>
      </c>
      <c r="E7830" t="s">
        <v>395</v>
      </c>
      <c r="F7830" s="4">
        <v>0</v>
      </c>
      <c r="G7830" s="4">
        <v>655</v>
      </c>
      <c r="H7830" s="4">
        <v>630</v>
      </c>
      <c r="I7830" s="4">
        <v>25</v>
      </c>
      <c r="J7830" s="4">
        <v>655</v>
      </c>
    </row>
    <row r="7831" spans="1:10" x14ac:dyDescent="0.75">
      <c r="A7831" t="s">
        <v>151</v>
      </c>
      <c r="B7831">
        <v>2021</v>
      </c>
      <c r="C7831" t="s">
        <v>49</v>
      </c>
      <c r="D7831">
        <v>6893</v>
      </c>
      <c r="E7831" t="s">
        <v>496</v>
      </c>
      <c r="F7831" s="4">
        <v>0</v>
      </c>
      <c r="G7831" s="4">
        <v>612</v>
      </c>
      <c r="H7831" s="4">
        <v>290</v>
      </c>
      <c r="I7831" s="4">
        <v>322</v>
      </c>
      <c r="J7831" s="4">
        <v>612</v>
      </c>
    </row>
    <row r="7832" spans="1:10" x14ac:dyDescent="0.75">
      <c r="A7832" t="s">
        <v>151</v>
      </c>
      <c r="B7832">
        <v>2021</v>
      </c>
      <c r="C7832" t="s">
        <v>49</v>
      </c>
      <c r="D7832">
        <v>3240</v>
      </c>
      <c r="E7832" t="s">
        <v>410</v>
      </c>
      <c r="F7832" s="4">
        <v>0</v>
      </c>
      <c r="G7832" s="4">
        <v>534</v>
      </c>
      <c r="H7832" s="4">
        <v>406</v>
      </c>
      <c r="I7832" s="4">
        <v>128</v>
      </c>
      <c r="J7832" s="4">
        <v>534</v>
      </c>
    </row>
    <row r="7833" spans="1:10" x14ac:dyDescent="0.75">
      <c r="A7833" t="s">
        <v>151</v>
      </c>
      <c r="B7833">
        <v>2021</v>
      </c>
      <c r="C7833" t="s">
        <v>49</v>
      </c>
      <c r="D7833">
        <v>6134</v>
      </c>
      <c r="E7833" t="s">
        <v>470</v>
      </c>
      <c r="F7833" s="4">
        <v>0</v>
      </c>
      <c r="G7833" s="4">
        <v>516</v>
      </c>
      <c r="H7833" s="4">
        <v>380</v>
      </c>
      <c r="I7833" s="4">
        <v>136</v>
      </c>
      <c r="J7833" s="4">
        <v>516</v>
      </c>
    </row>
    <row r="7834" spans="1:10" x14ac:dyDescent="0.75">
      <c r="A7834" t="s">
        <v>151</v>
      </c>
      <c r="B7834">
        <v>2021</v>
      </c>
      <c r="C7834" t="s">
        <v>49</v>
      </c>
      <c r="D7834">
        <v>3284</v>
      </c>
      <c r="E7834" t="s">
        <v>442</v>
      </c>
      <c r="F7834" s="4">
        <v>0</v>
      </c>
      <c r="G7834" s="4">
        <v>484</v>
      </c>
      <c r="H7834" s="4">
        <v>442</v>
      </c>
      <c r="I7834" s="4">
        <v>42</v>
      </c>
      <c r="J7834" s="4">
        <v>484</v>
      </c>
    </row>
    <row r="7835" spans="1:10" x14ac:dyDescent="0.75">
      <c r="A7835" t="s">
        <v>151</v>
      </c>
      <c r="B7835">
        <v>2021</v>
      </c>
      <c r="C7835" t="s">
        <v>49</v>
      </c>
      <c r="D7835">
        <v>7230</v>
      </c>
      <c r="E7835" t="s">
        <v>387</v>
      </c>
      <c r="F7835" s="4">
        <v>0</v>
      </c>
      <c r="G7835" s="4">
        <v>435</v>
      </c>
      <c r="H7835" s="4">
        <v>424</v>
      </c>
      <c r="I7835" s="4">
        <v>11</v>
      </c>
      <c r="J7835" s="4">
        <v>435</v>
      </c>
    </row>
    <row r="7836" spans="1:10" x14ac:dyDescent="0.75">
      <c r="A7836" t="s">
        <v>151</v>
      </c>
      <c r="B7836">
        <v>2021</v>
      </c>
      <c r="C7836" t="s">
        <v>49</v>
      </c>
      <c r="D7836">
        <v>6835</v>
      </c>
      <c r="E7836" t="s">
        <v>483</v>
      </c>
      <c r="F7836" s="4">
        <v>0</v>
      </c>
      <c r="G7836" s="4">
        <v>323</v>
      </c>
      <c r="H7836" s="4">
        <v>323</v>
      </c>
      <c r="I7836" s="4">
        <v>0</v>
      </c>
      <c r="J7836" s="4">
        <v>323</v>
      </c>
    </row>
    <row r="7837" spans="1:10" x14ac:dyDescent="0.75">
      <c r="A7837" t="s">
        <v>151</v>
      </c>
      <c r="B7837">
        <v>2021</v>
      </c>
      <c r="C7837" t="s">
        <v>49</v>
      </c>
      <c r="D7837">
        <v>6894</v>
      </c>
      <c r="E7837" t="s">
        <v>497</v>
      </c>
      <c r="F7837" s="4">
        <v>0</v>
      </c>
      <c r="G7837" s="4">
        <v>312</v>
      </c>
      <c r="H7837" s="4">
        <v>312</v>
      </c>
      <c r="I7837" s="4">
        <v>0</v>
      </c>
      <c r="J7837" s="4">
        <v>312</v>
      </c>
    </row>
    <row r="7838" spans="1:10" x14ac:dyDescent="0.75">
      <c r="A7838" t="s">
        <v>151</v>
      </c>
      <c r="B7838">
        <v>2021</v>
      </c>
      <c r="C7838" t="s">
        <v>49</v>
      </c>
      <c r="D7838">
        <v>5312</v>
      </c>
      <c r="E7838" t="s">
        <v>416</v>
      </c>
      <c r="F7838" s="4">
        <v>0</v>
      </c>
      <c r="G7838" s="4">
        <v>308</v>
      </c>
      <c r="H7838" s="4">
        <v>298</v>
      </c>
      <c r="I7838" s="4">
        <v>10</v>
      </c>
      <c r="J7838" s="4">
        <v>308</v>
      </c>
    </row>
    <row r="7839" spans="1:10" x14ac:dyDescent="0.75">
      <c r="A7839" t="s">
        <v>151</v>
      </c>
      <c r="B7839">
        <v>2021</v>
      </c>
      <c r="C7839" t="s">
        <v>49</v>
      </c>
      <c r="D7839">
        <v>6839</v>
      </c>
      <c r="E7839" t="s">
        <v>485</v>
      </c>
      <c r="F7839" s="4">
        <v>0</v>
      </c>
      <c r="G7839" s="4">
        <v>272</v>
      </c>
      <c r="H7839" s="4">
        <v>4</v>
      </c>
      <c r="I7839" s="4">
        <v>268</v>
      </c>
      <c r="J7839" s="4">
        <v>272</v>
      </c>
    </row>
    <row r="7840" spans="1:10" x14ac:dyDescent="0.75">
      <c r="A7840" t="s">
        <v>151</v>
      </c>
      <c r="B7840">
        <v>2021</v>
      </c>
      <c r="C7840" t="s">
        <v>49</v>
      </c>
      <c r="D7840">
        <v>5210</v>
      </c>
      <c r="E7840" t="s">
        <v>463</v>
      </c>
      <c r="F7840" s="4">
        <v>0</v>
      </c>
      <c r="G7840" s="4">
        <v>262</v>
      </c>
      <c r="H7840" s="4">
        <v>0</v>
      </c>
      <c r="I7840" s="4">
        <v>262</v>
      </c>
      <c r="J7840" s="4">
        <v>262</v>
      </c>
    </row>
    <row r="7841" spans="1:10" x14ac:dyDescent="0.75">
      <c r="A7841" t="s">
        <v>151</v>
      </c>
      <c r="B7841">
        <v>2021</v>
      </c>
      <c r="C7841" t="s">
        <v>49</v>
      </c>
      <c r="D7841">
        <v>6136</v>
      </c>
      <c r="E7841" t="s">
        <v>471</v>
      </c>
      <c r="F7841" s="4">
        <v>0</v>
      </c>
      <c r="G7841" s="4">
        <v>261</v>
      </c>
      <c r="H7841" s="4">
        <v>241</v>
      </c>
      <c r="I7841" s="4">
        <v>20</v>
      </c>
      <c r="J7841" s="4">
        <v>261</v>
      </c>
    </row>
    <row r="7842" spans="1:10" x14ac:dyDescent="0.75">
      <c r="A7842" t="s">
        <v>151</v>
      </c>
      <c r="B7842">
        <v>2021</v>
      </c>
      <c r="C7842" t="s">
        <v>49</v>
      </c>
      <c r="D7842">
        <v>6522</v>
      </c>
      <c r="E7842" t="s">
        <v>393</v>
      </c>
      <c r="F7842" s="4">
        <v>0</v>
      </c>
      <c r="G7842" s="4">
        <v>261</v>
      </c>
      <c r="H7842" s="4">
        <v>0</v>
      </c>
      <c r="I7842" s="4">
        <v>261</v>
      </c>
      <c r="J7842" s="4">
        <v>261</v>
      </c>
    </row>
    <row r="7843" spans="1:10" x14ac:dyDescent="0.75">
      <c r="A7843" t="s">
        <v>151</v>
      </c>
      <c r="B7843">
        <v>2021</v>
      </c>
      <c r="C7843" t="s">
        <v>49</v>
      </c>
      <c r="D7843">
        <v>5429</v>
      </c>
      <c r="E7843" t="s">
        <v>429</v>
      </c>
      <c r="F7843" s="4">
        <v>0</v>
      </c>
      <c r="G7843" s="4">
        <v>229</v>
      </c>
      <c r="H7843" s="4">
        <v>220</v>
      </c>
      <c r="I7843" s="4">
        <v>9</v>
      </c>
      <c r="J7843" s="4">
        <v>229</v>
      </c>
    </row>
    <row r="7844" spans="1:10" x14ac:dyDescent="0.75">
      <c r="A7844" t="s">
        <v>151</v>
      </c>
      <c r="B7844">
        <v>2021</v>
      </c>
      <c r="C7844" t="s">
        <v>49</v>
      </c>
      <c r="D7844">
        <v>3291</v>
      </c>
      <c r="E7844" t="s">
        <v>444</v>
      </c>
      <c r="F7844" s="4">
        <v>0</v>
      </c>
      <c r="G7844" s="4">
        <v>116</v>
      </c>
      <c r="H7844" s="4">
        <v>116</v>
      </c>
      <c r="I7844" s="4">
        <v>0</v>
      </c>
      <c r="J7844" s="4">
        <v>116</v>
      </c>
    </row>
    <row r="7845" spans="1:10" x14ac:dyDescent="0.75">
      <c r="A7845" t="s">
        <v>151</v>
      </c>
      <c r="B7845">
        <v>2021</v>
      </c>
      <c r="C7845" t="s">
        <v>49</v>
      </c>
      <c r="D7845">
        <v>6899</v>
      </c>
      <c r="E7845" t="s">
        <v>498</v>
      </c>
      <c r="F7845" s="4">
        <v>0</v>
      </c>
      <c r="G7845" s="4">
        <v>66</v>
      </c>
      <c r="H7845" s="4">
        <v>13</v>
      </c>
      <c r="I7845" s="4">
        <v>53</v>
      </c>
      <c r="J7845" s="4">
        <v>66</v>
      </c>
    </row>
    <row r="7846" spans="1:10" x14ac:dyDescent="0.75">
      <c r="A7846" t="s">
        <v>151</v>
      </c>
      <c r="B7846">
        <v>2021</v>
      </c>
      <c r="C7846" t="s">
        <v>49</v>
      </c>
      <c r="D7846">
        <v>5110</v>
      </c>
      <c r="E7846" t="s">
        <v>460</v>
      </c>
      <c r="F7846" s="4">
        <v>0</v>
      </c>
      <c r="G7846" s="4">
        <v>64</v>
      </c>
      <c r="H7846" s="4">
        <v>0</v>
      </c>
      <c r="I7846" s="4">
        <v>64</v>
      </c>
      <c r="J7846" s="4">
        <v>64</v>
      </c>
    </row>
    <row r="7847" spans="1:10" x14ac:dyDescent="0.75">
      <c r="A7847" t="s">
        <v>151</v>
      </c>
      <c r="B7847">
        <v>2021</v>
      </c>
      <c r="C7847" t="s">
        <v>49</v>
      </c>
      <c r="D7847">
        <v>6891</v>
      </c>
      <c r="E7847" t="s">
        <v>495</v>
      </c>
      <c r="F7847" s="4">
        <v>0</v>
      </c>
      <c r="G7847" s="4">
        <v>62</v>
      </c>
      <c r="H7847" s="4">
        <v>21</v>
      </c>
      <c r="I7847" s="4">
        <v>41</v>
      </c>
      <c r="J7847" s="4">
        <v>62</v>
      </c>
    </row>
    <row r="7848" spans="1:10" x14ac:dyDescent="0.75">
      <c r="A7848" t="s">
        <v>151</v>
      </c>
      <c r="B7848">
        <v>2021</v>
      </c>
      <c r="C7848" t="s">
        <v>49</v>
      </c>
      <c r="D7848">
        <v>6344</v>
      </c>
      <c r="E7848" t="s">
        <v>392</v>
      </c>
      <c r="F7848" s="4">
        <v>0</v>
      </c>
      <c r="G7848" s="4">
        <v>46</v>
      </c>
      <c r="H7848" s="4">
        <v>42</v>
      </c>
      <c r="I7848" s="4">
        <v>4</v>
      </c>
      <c r="J7848" s="4">
        <v>46</v>
      </c>
    </row>
    <row r="7849" spans="1:10" x14ac:dyDescent="0.75">
      <c r="A7849" t="s">
        <v>151</v>
      </c>
      <c r="B7849">
        <v>2021</v>
      </c>
      <c r="C7849" t="s">
        <v>49</v>
      </c>
      <c r="D7849">
        <v>5315</v>
      </c>
      <c r="E7849" t="s">
        <v>417</v>
      </c>
      <c r="F7849" s="4">
        <v>0</v>
      </c>
      <c r="G7849" s="4">
        <v>44</v>
      </c>
      <c r="H7849" s="4">
        <v>44</v>
      </c>
      <c r="I7849" s="4">
        <v>0</v>
      </c>
      <c r="J7849" s="4">
        <v>44</v>
      </c>
    </row>
    <row r="7850" spans="1:10" x14ac:dyDescent="0.75">
      <c r="A7850" t="s">
        <v>151</v>
      </c>
      <c r="B7850">
        <v>2021</v>
      </c>
      <c r="C7850" t="s">
        <v>49</v>
      </c>
      <c r="D7850">
        <v>3292</v>
      </c>
      <c r="E7850" t="s">
        <v>413</v>
      </c>
      <c r="F7850" s="4">
        <v>0</v>
      </c>
      <c r="G7850" s="4">
        <v>43</v>
      </c>
      <c r="H7850" s="4">
        <v>43</v>
      </c>
      <c r="I7850" s="4">
        <v>0</v>
      </c>
      <c r="J7850" s="4">
        <v>43</v>
      </c>
    </row>
    <row r="7851" spans="1:10" x14ac:dyDescent="0.75">
      <c r="A7851" t="s">
        <v>151</v>
      </c>
      <c r="B7851">
        <v>2021</v>
      </c>
      <c r="C7851" t="s">
        <v>49</v>
      </c>
      <c r="D7851">
        <v>3297</v>
      </c>
      <c r="E7851" t="s">
        <v>446</v>
      </c>
      <c r="F7851" s="4">
        <v>0</v>
      </c>
      <c r="G7851" s="4">
        <v>42</v>
      </c>
      <c r="H7851" s="4">
        <v>0</v>
      </c>
      <c r="I7851" s="4">
        <v>42</v>
      </c>
      <c r="J7851" s="4">
        <v>42</v>
      </c>
    </row>
    <row r="7852" spans="1:10" x14ac:dyDescent="0.75">
      <c r="A7852" t="s">
        <v>151</v>
      </c>
      <c r="B7852">
        <v>2021</v>
      </c>
      <c r="C7852" t="s">
        <v>49</v>
      </c>
      <c r="D7852">
        <v>3283</v>
      </c>
      <c r="E7852" t="s">
        <v>441</v>
      </c>
      <c r="F7852" s="4">
        <v>0</v>
      </c>
      <c r="G7852" s="4">
        <v>39</v>
      </c>
      <c r="H7852" s="4">
        <v>18</v>
      </c>
      <c r="I7852" s="4">
        <v>21</v>
      </c>
      <c r="J7852" s="4">
        <v>39</v>
      </c>
    </row>
    <row r="7853" spans="1:10" x14ac:dyDescent="0.75">
      <c r="A7853" t="s">
        <v>151</v>
      </c>
      <c r="B7853">
        <v>2021</v>
      </c>
      <c r="C7853" t="s">
        <v>49</v>
      </c>
      <c r="D7853">
        <v>7220</v>
      </c>
      <c r="E7853" t="s">
        <v>500</v>
      </c>
      <c r="F7853" s="4">
        <v>0</v>
      </c>
      <c r="G7853" s="4">
        <v>37</v>
      </c>
      <c r="H7853" s="4">
        <v>5</v>
      </c>
      <c r="I7853" s="4">
        <v>32</v>
      </c>
      <c r="J7853" s="4">
        <v>37</v>
      </c>
    </row>
    <row r="7854" spans="1:10" x14ac:dyDescent="0.75">
      <c r="A7854" t="s">
        <v>151</v>
      </c>
      <c r="B7854">
        <v>2021</v>
      </c>
      <c r="C7854" t="s">
        <v>49</v>
      </c>
      <c r="D7854">
        <v>4150</v>
      </c>
      <c r="E7854" t="s">
        <v>450</v>
      </c>
      <c r="F7854" s="4">
        <v>0</v>
      </c>
      <c r="G7854" s="4">
        <v>36</v>
      </c>
      <c r="H7854" s="4">
        <v>15</v>
      </c>
      <c r="I7854" s="4">
        <v>21</v>
      </c>
      <c r="J7854" s="4">
        <v>36</v>
      </c>
    </row>
    <row r="7855" spans="1:10" x14ac:dyDescent="0.75">
      <c r="A7855" t="s">
        <v>151</v>
      </c>
      <c r="B7855">
        <v>2021</v>
      </c>
      <c r="C7855" t="s">
        <v>49</v>
      </c>
      <c r="D7855">
        <v>6888</v>
      </c>
      <c r="E7855" t="s">
        <v>494</v>
      </c>
      <c r="F7855" s="4">
        <v>0</v>
      </c>
      <c r="G7855" s="4">
        <v>35</v>
      </c>
      <c r="H7855" s="4">
        <v>19</v>
      </c>
      <c r="I7855" s="4">
        <v>16</v>
      </c>
      <c r="J7855" s="4">
        <v>35</v>
      </c>
    </row>
    <row r="7856" spans="1:10" x14ac:dyDescent="0.75">
      <c r="A7856" t="s">
        <v>151</v>
      </c>
      <c r="B7856">
        <v>2021</v>
      </c>
      <c r="C7856" t="s">
        <v>49</v>
      </c>
      <c r="D7856">
        <v>4161</v>
      </c>
      <c r="E7856" t="s">
        <v>421</v>
      </c>
      <c r="F7856" s="4">
        <v>0</v>
      </c>
      <c r="G7856" s="4">
        <v>23</v>
      </c>
      <c r="H7856" s="4">
        <v>23</v>
      </c>
      <c r="I7856" s="4">
        <v>0</v>
      </c>
      <c r="J7856" s="4">
        <v>23</v>
      </c>
    </row>
    <row r="7857" spans="1:10" x14ac:dyDescent="0.75">
      <c r="A7857" t="s">
        <v>151</v>
      </c>
      <c r="B7857">
        <v>2021</v>
      </c>
      <c r="C7857" t="s">
        <v>49</v>
      </c>
      <c r="D7857">
        <v>6872</v>
      </c>
      <c r="E7857" t="s">
        <v>492</v>
      </c>
      <c r="F7857" s="4">
        <v>0</v>
      </c>
      <c r="G7857" s="4">
        <v>22</v>
      </c>
      <c r="H7857" s="4">
        <v>22</v>
      </c>
      <c r="I7857" s="4">
        <v>0</v>
      </c>
      <c r="J7857" s="4">
        <v>22</v>
      </c>
    </row>
    <row r="7858" spans="1:10" x14ac:dyDescent="0.75">
      <c r="A7858" t="s">
        <v>151</v>
      </c>
      <c r="B7858">
        <v>2021</v>
      </c>
      <c r="C7858" t="s">
        <v>49</v>
      </c>
      <c r="D7858">
        <v>4515</v>
      </c>
      <c r="E7858" t="s">
        <v>455</v>
      </c>
      <c r="F7858" s="4">
        <v>0</v>
      </c>
      <c r="G7858" s="4">
        <v>18</v>
      </c>
      <c r="H7858" s="4">
        <v>18</v>
      </c>
      <c r="I7858" s="4">
        <v>0</v>
      </c>
      <c r="J7858" s="4">
        <v>18</v>
      </c>
    </row>
    <row r="7859" spans="1:10" x14ac:dyDescent="0.75">
      <c r="A7859" t="s">
        <v>151</v>
      </c>
      <c r="B7859">
        <v>2021</v>
      </c>
      <c r="C7859" t="s">
        <v>49</v>
      </c>
      <c r="D7859">
        <v>6817</v>
      </c>
      <c r="E7859" t="s">
        <v>481</v>
      </c>
      <c r="F7859" s="4">
        <v>0</v>
      </c>
      <c r="G7859" s="4">
        <v>7</v>
      </c>
      <c r="H7859" s="4">
        <v>0</v>
      </c>
      <c r="I7859" s="4">
        <v>7</v>
      </c>
      <c r="J7859" s="4">
        <v>7</v>
      </c>
    </row>
    <row r="7860" spans="1:10" x14ac:dyDescent="0.75">
      <c r="A7860" t="s">
        <v>151</v>
      </c>
      <c r="B7860">
        <v>4972</v>
      </c>
      <c r="C7860" t="s">
        <v>355</v>
      </c>
      <c r="D7860">
        <v>2330</v>
      </c>
      <c r="E7860" t="s">
        <v>368</v>
      </c>
      <c r="F7860" s="4">
        <v>224</v>
      </c>
      <c r="G7860" s="4">
        <v>0</v>
      </c>
      <c r="H7860" s="4">
        <v>0</v>
      </c>
      <c r="I7860" s="4">
        <v>0</v>
      </c>
      <c r="J7860" s="4">
        <v>224</v>
      </c>
    </row>
    <row r="7861" spans="1:10" x14ac:dyDescent="0.75">
      <c r="A7861" t="s">
        <v>151</v>
      </c>
      <c r="B7861">
        <v>4972</v>
      </c>
      <c r="C7861" t="s">
        <v>355</v>
      </c>
      <c r="D7861">
        <v>2211</v>
      </c>
      <c r="E7861" t="s">
        <v>367</v>
      </c>
      <c r="F7861" s="4">
        <v>64</v>
      </c>
      <c r="G7861" s="4">
        <v>0</v>
      </c>
      <c r="H7861" s="4">
        <v>0</v>
      </c>
      <c r="I7861" s="4">
        <v>0</v>
      </c>
      <c r="J7861" s="4">
        <v>64</v>
      </c>
    </row>
    <row r="7862" spans="1:10" x14ac:dyDescent="0.75">
      <c r="A7862" t="s">
        <v>151</v>
      </c>
      <c r="B7862">
        <v>2224</v>
      </c>
      <c r="C7862" t="s">
        <v>233</v>
      </c>
      <c r="D7862">
        <v>2100</v>
      </c>
      <c r="E7862" t="s">
        <v>403</v>
      </c>
      <c r="F7862" s="4">
        <v>1430307</v>
      </c>
      <c r="G7862" s="4">
        <v>0</v>
      </c>
      <c r="H7862" s="4">
        <v>0</v>
      </c>
      <c r="I7862" s="4">
        <v>0</v>
      </c>
      <c r="J7862" s="4">
        <v>1430307</v>
      </c>
    </row>
    <row r="7863" spans="1:10" x14ac:dyDescent="0.75">
      <c r="A7863" t="s">
        <v>151</v>
      </c>
      <c r="B7863">
        <v>2224</v>
      </c>
      <c r="C7863" t="s">
        <v>233</v>
      </c>
      <c r="D7863">
        <v>4322</v>
      </c>
      <c r="E7863" t="s">
        <v>398</v>
      </c>
      <c r="F7863" s="4">
        <v>144955</v>
      </c>
      <c r="G7863" s="4">
        <v>0</v>
      </c>
      <c r="H7863" s="4">
        <v>0</v>
      </c>
      <c r="I7863" s="4">
        <v>0</v>
      </c>
      <c r="J7863" s="4">
        <v>144955</v>
      </c>
    </row>
    <row r="7864" spans="1:10" x14ac:dyDescent="0.75">
      <c r="A7864" t="s">
        <v>151</v>
      </c>
      <c r="B7864">
        <v>2224</v>
      </c>
      <c r="C7864" t="s">
        <v>233</v>
      </c>
      <c r="D7864">
        <v>4331</v>
      </c>
      <c r="E7864" t="s">
        <v>390</v>
      </c>
      <c r="F7864" s="4">
        <v>101599</v>
      </c>
      <c r="G7864" s="4">
        <v>0</v>
      </c>
      <c r="H7864" s="4">
        <v>0</v>
      </c>
      <c r="I7864" s="4">
        <v>0</v>
      </c>
      <c r="J7864" s="4">
        <v>101599</v>
      </c>
    </row>
    <row r="7865" spans="1:10" x14ac:dyDescent="0.75">
      <c r="A7865" t="s">
        <v>151</v>
      </c>
      <c r="B7865">
        <v>2224</v>
      </c>
      <c r="C7865" t="s">
        <v>233</v>
      </c>
      <c r="D7865">
        <v>4420</v>
      </c>
      <c r="E7865" t="s">
        <v>381</v>
      </c>
      <c r="F7865" s="4">
        <v>97646</v>
      </c>
      <c r="G7865" s="4">
        <v>0</v>
      </c>
      <c r="H7865" s="4">
        <v>0</v>
      </c>
      <c r="I7865" s="4">
        <v>0</v>
      </c>
      <c r="J7865" s="4">
        <v>97646</v>
      </c>
    </row>
    <row r="7866" spans="1:10" x14ac:dyDescent="0.75">
      <c r="A7866" t="s">
        <v>151</v>
      </c>
      <c r="B7866">
        <v>2224</v>
      </c>
      <c r="C7866" t="s">
        <v>233</v>
      </c>
      <c r="D7866">
        <v>7900</v>
      </c>
      <c r="E7866" t="s">
        <v>388</v>
      </c>
      <c r="F7866" s="4">
        <v>7576</v>
      </c>
      <c r="G7866" s="4">
        <v>0</v>
      </c>
      <c r="H7866" s="4">
        <v>0</v>
      </c>
      <c r="I7866" s="4">
        <v>0</v>
      </c>
      <c r="J7866" s="4">
        <v>7576</v>
      </c>
    </row>
    <row r="7867" spans="1:10" x14ac:dyDescent="0.75">
      <c r="A7867" t="s">
        <v>151</v>
      </c>
      <c r="B7867">
        <v>2224</v>
      </c>
      <c r="C7867" t="s">
        <v>233</v>
      </c>
      <c r="D7867">
        <v>7110</v>
      </c>
      <c r="E7867" t="s">
        <v>371</v>
      </c>
      <c r="F7867" s="4">
        <v>4695</v>
      </c>
      <c r="G7867" s="4">
        <v>0</v>
      </c>
      <c r="H7867" s="4">
        <v>0</v>
      </c>
      <c r="I7867" s="4">
        <v>0</v>
      </c>
      <c r="J7867" s="4">
        <v>4695</v>
      </c>
    </row>
    <row r="7868" spans="1:10" x14ac:dyDescent="0.75">
      <c r="A7868" t="s">
        <v>151</v>
      </c>
      <c r="B7868">
        <v>2224</v>
      </c>
      <c r="C7868" t="s">
        <v>233</v>
      </c>
      <c r="D7868">
        <v>4860</v>
      </c>
      <c r="E7868" t="s">
        <v>400</v>
      </c>
      <c r="F7868" s="4">
        <v>3193</v>
      </c>
      <c r="G7868" s="4">
        <v>0</v>
      </c>
      <c r="H7868" s="4">
        <v>0</v>
      </c>
      <c r="I7868" s="4">
        <v>0</v>
      </c>
      <c r="J7868" s="4">
        <v>3193</v>
      </c>
    </row>
    <row r="7869" spans="1:10" x14ac:dyDescent="0.75">
      <c r="A7869" t="s">
        <v>151</v>
      </c>
      <c r="B7869">
        <v>2224</v>
      </c>
      <c r="C7869" t="s">
        <v>233</v>
      </c>
      <c r="D7869">
        <v>4783</v>
      </c>
      <c r="E7869" t="s">
        <v>382</v>
      </c>
      <c r="F7869" s="4">
        <v>1832</v>
      </c>
      <c r="G7869" s="4">
        <v>0</v>
      </c>
      <c r="H7869" s="4">
        <v>0</v>
      </c>
      <c r="I7869" s="4">
        <v>0</v>
      </c>
      <c r="J7869" s="4">
        <v>1832</v>
      </c>
    </row>
    <row r="7870" spans="1:10" x14ac:dyDescent="0.75">
      <c r="A7870" t="s">
        <v>151</v>
      </c>
      <c r="B7870">
        <v>2224</v>
      </c>
      <c r="C7870" t="s">
        <v>233</v>
      </c>
      <c r="D7870">
        <v>4335</v>
      </c>
      <c r="E7870" t="s">
        <v>372</v>
      </c>
      <c r="F7870" s="4">
        <v>1705</v>
      </c>
      <c r="G7870" s="4">
        <v>0</v>
      </c>
      <c r="H7870" s="4">
        <v>0</v>
      </c>
      <c r="I7870" s="4">
        <v>0</v>
      </c>
      <c r="J7870" s="4">
        <v>1705</v>
      </c>
    </row>
    <row r="7871" spans="1:10" x14ac:dyDescent="0.75">
      <c r="A7871" t="s">
        <v>151</v>
      </c>
      <c r="B7871">
        <v>2224</v>
      </c>
      <c r="C7871" t="s">
        <v>233</v>
      </c>
      <c r="D7871">
        <v>5370</v>
      </c>
      <c r="E7871" t="s">
        <v>466</v>
      </c>
      <c r="F7871" s="4">
        <v>750</v>
      </c>
      <c r="G7871" s="4">
        <v>0</v>
      </c>
      <c r="H7871" s="4">
        <v>0</v>
      </c>
      <c r="I7871" s="4">
        <v>0</v>
      </c>
      <c r="J7871" s="4">
        <v>750</v>
      </c>
    </row>
    <row r="7872" spans="1:10" x14ac:dyDescent="0.75">
      <c r="A7872" t="s">
        <v>151</v>
      </c>
      <c r="B7872">
        <v>2224</v>
      </c>
      <c r="C7872" t="s">
        <v>233</v>
      </c>
      <c r="D7872">
        <v>2330</v>
      </c>
      <c r="E7872" t="s">
        <v>368</v>
      </c>
      <c r="F7872" s="4">
        <v>225</v>
      </c>
      <c r="G7872" s="4">
        <v>0</v>
      </c>
      <c r="H7872" s="4">
        <v>0</v>
      </c>
      <c r="I7872" s="4">
        <v>0</v>
      </c>
      <c r="J7872" s="4">
        <v>225</v>
      </c>
    </row>
    <row r="7873" spans="1:10" x14ac:dyDescent="0.75">
      <c r="A7873" t="s">
        <v>151</v>
      </c>
      <c r="B7873">
        <v>2224</v>
      </c>
      <c r="C7873" t="s">
        <v>233</v>
      </c>
      <c r="D7873">
        <v>2340</v>
      </c>
      <c r="E7873" t="s">
        <v>369</v>
      </c>
      <c r="F7873" s="4">
        <v>183</v>
      </c>
      <c r="G7873" s="4">
        <v>0</v>
      </c>
      <c r="H7873" s="4">
        <v>0</v>
      </c>
      <c r="I7873" s="4">
        <v>0</v>
      </c>
      <c r="J7873" s="4">
        <v>183</v>
      </c>
    </row>
    <row r="7874" spans="1:10" x14ac:dyDescent="0.75">
      <c r="A7874" t="s">
        <v>151</v>
      </c>
      <c r="B7874">
        <v>2428</v>
      </c>
      <c r="C7874" t="s">
        <v>94</v>
      </c>
      <c r="D7874">
        <v>2100</v>
      </c>
      <c r="E7874" t="s">
        <v>403</v>
      </c>
      <c r="F7874" s="4">
        <v>488849</v>
      </c>
      <c r="G7874" s="4">
        <v>6599709</v>
      </c>
      <c r="H7874" s="4">
        <v>6520328</v>
      </c>
      <c r="I7874" s="4">
        <v>79381</v>
      </c>
      <c r="J7874" s="4">
        <v>7088558</v>
      </c>
    </row>
    <row r="7875" spans="1:10" x14ac:dyDescent="0.75">
      <c r="A7875" t="s">
        <v>151</v>
      </c>
      <c r="B7875">
        <v>2428</v>
      </c>
      <c r="C7875" t="s">
        <v>94</v>
      </c>
      <c r="D7875">
        <v>2330</v>
      </c>
      <c r="E7875" t="s">
        <v>368</v>
      </c>
      <c r="F7875" s="4">
        <v>2529149</v>
      </c>
      <c r="G7875" s="4">
        <v>4441312</v>
      </c>
      <c r="H7875" s="4">
        <v>1434120</v>
      </c>
      <c r="I7875" s="4">
        <v>3007192</v>
      </c>
      <c r="J7875" s="4">
        <v>6970461</v>
      </c>
    </row>
    <row r="7876" spans="1:10" x14ac:dyDescent="0.75">
      <c r="A7876" t="s">
        <v>151</v>
      </c>
      <c r="B7876">
        <v>2428</v>
      </c>
      <c r="C7876" t="s">
        <v>94</v>
      </c>
      <c r="D7876">
        <v>2211</v>
      </c>
      <c r="E7876" t="s">
        <v>367</v>
      </c>
      <c r="F7876" s="4">
        <v>1679716</v>
      </c>
      <c r="G7876" s="4">
        <v>1843180</v>
      </c>
      <c r="H7876" s="4">
        <v>6757</v>
      </c>
      <c r="I7876" s="4">
        <v>1836423</v>
      </c>
      <c r="J7876" s="4">
        <v>3522896</v>
      </c>
    </row>
    <row r="7877" spans="1:10" x14ac:dyDescent="0.75">
      <c r="A7877" t="s">
        <v>151</v>
      </c>
      <c r="B7877">
        <v>2428</v>
      </c>
      <c r="C7877" t="s">
        <v>94</v>
      </c>
      <c r="D7877">
        <v>2340</v>
      </c>
      <c r="E7877" t="s">
        <v>369</v>
      </c>
      <c r="F7877" s="4">
        <v>1339192</v>
      </c>
      <c r="G7877" s="4">
        <v>466850</v>
      </c>
      <c r="H7877" s="4">
        <v>407667</v>
      </c>
      <c r="I7877" s="4">
        <v>59183</v>
      </c>
      <c r="J7877" s="4">
        <v>1806042</v>
      </c>
    </row>
    <row r="7878" spans="1:10" x14ac:dyDescent="0.75">
      <c r="A7878" t="s">
        <v>151</v>
      </c>
      <c r="B7878">
        <v>2428</v>
      </c>
      <c r="C7878" t="s">
        <v>94</v>
      </c>
      <c r="D7878">
        <v>2429</v>
      </c>
      <c r="E7878" t="s">
        <v>375</v>
      </c>
      <c r="F7878" s="4">
        <v>1527957</v>
      </c>
      <c r="G7878" s="4">
        <v>77718</v>
      </c>
      <c r="H7878" s="4">
        <v>0</v>
      </c>
      <c r="I7878" s="4">
        <v>77718</v>
      </c>
      <c r="J7878" s="4">
        <v>1605675</v>
      </c>
    </row>
    <row r="7879" spans="1:10" x14ac:dyDescent="0.75">
      <c r="A7879" t="s">
        <v>151</v>
      </c>
      <c r="B7879">
        <v>2428</v>
      </c>
      <c r="C7879" t="s">
        <v>94</v>
      </c>
      <c r="D7879">
        <v>2540</v>
      </c>
      <c r="E7879" t="s">
        <v>377</v>
      </c>
      <c r="F7879" s="4">
        <v>25645</v>
      </c>
      <c r="G7879" s="4">
        <v>1478937</v>
      </c>
      <c r="H7879" s="4">
        <v>0</v>
      </c>
      <c r="I7879" s="4">
        <v>1478937</v>
      </c>
      <c r="J7879" s="4">
        <v>1504582</v>
      </c>
    </row>
    <row r="7880" spans="1:10" x14ac:dyDescent="0.75">
      <c r="A7880" t="s">
        <v>151</v>
      </c>
      <c r="B7880">
        <v>2428</v>
      </c>
      <c r="C7880" t="s">
        <v>94</v>
      </c>
      <c r="D7880">
        <v>3220</v>
      </c>
      <c r="E7880" t="s">
        <v>370</v>
      </c>
      <c r="F7880" s="4">
        <v>688460</v>
      </c>
      <c r="G7880" s="4">
        <v>674275</v>
      </c>
      <c r="H7880" s="4">
        <v>22179</v>
      </c>
      <c r="I7880" s="4">
        <v>652096</v>
      </c>
      <c r="J7880" s="4">
        <v>1362735</v>
      </c>
    </row>
    <row r="7881" spans="1:10" x14ac:dyDescent="0.75">
      <c r="A7881" t="s">
        <v>151</v>
      </c>
      <c r="B7881">
        <v>2428</v>
      </c>
      <c r="C7881" t="s">
        <v>94</v>
      </c>
      <c r="D7881">
        <v>3219</v>
      </c>
      <c r="E7881" t="s">
        <v>378</v>
      </c>
      <c r="F7881" s="4">
        <v>1015234</v>
      </c>
      <c r="G7881" s="4">
        <v>71150</v>
      </c>
      <c r="H7881" s="4">
        <v>857</v>
      </c>
      <c r="I7881" s="4">
        <v>70293</v>
      </c>
      <c r="J7881" s="4">
        <v>1086384</v>
      </c>
    </row>
    <row r="7882" spans="1:10" x14ac:dyDescent="0.75">
      <c r="A7882" t="s">
        <v>151</v>
      </c>
      <c r="B7882">
        <v>2428</v>
      </c>
      <c r="C7882" t="s">
        <v>94</v>
      </c>
      <c r="D7882">
        <v>3212</v>
      </c>
      <c r="E7882" t="s">
        <v>409</v>
      </c>
      <c r="F7882" s="4">
        <v>581776</v>
      </c>
      <c r="G7882" s="4">
        <v>24640</v>
      </c>
      <c r="H7882" s="4">
        <v>22967</v>
      </c>
      <c r="I7882" s="4">
        <v>1673</v>
      </c>
      <c r="J7882" s="4">
        <v>606416</v>
      </c>
    </row>
    <row r="7883" spans="1:10" x14ac:dyDescent="0.75">
      <c r="A7883" t="s">
        <v>151</v>
      </c>
      <c r="B7883">
        <v>2428</v>
      </c>
      <c r="C7883" t="s">
        <v>94</v>
      </c>
      <c r="D7883">
        <v>2430</v>
      </c>
      <c r="E7883" t="s">
        <v>376</v>
      </c>
      <c r="F7883" s="4">
        <v>517066</v>
      </c>
      <c r="G7883" s="4">
        <v>5917</v>
      </c>
      <c r="H7883" s="4">
        <v>0</v>
      </c>
      <c r="I7883" s="4">
        <v>5917</v>
      </c>
      <c r="J7883" s="4">
        <v>522983</v>
      </c>
    </row>
    <row r="7884" spans="1:10" x14ac:dyDescent="0.75">
      <c r="A7884" t="s">
        <v>151</v>
      </c>
      <c r="B7884">
        <v>2428</v>
      </c>
      <c r="C7884" t="s">
        <v>94</v>
      </c>
      <c r="D7884">
        <v>3230</v>
      </c>
      <c r="E7884" t="s">
        <v>434</v>
      </c>
      <c r="F7884" s="4">
        <v>241266</v>
      </c>
      <c r="G7884" s="4">
        <v>219744</v>
      </c>
      <c r="H7884" s="4">
        <v>13078</v>
      </c>
      <c r="I7884" s="4">
        <v>206666</v>
      </c>
      <c r="J7884" s="4">
        <v>461010</v>
      </c>
    </row>
    <row r="7885" spans="1:10" x14ac:dyDescent="0.75">
      <c r="A7885" t="s">
        <v>151</v>
      </c>
      <c r="B7885">
        <v>2428</v>
      </c>
      <c r="C7885" t="s">
        <v>94</v>
      </c>
      <c r="D7885">
        <v>4331</v>
      </c>
      <c r="E7885" t="s">
        <v>390</v>
      </c>
      <c r="F7885" s="4">
        <v>402000</v>
      </c>
      <c r="G7885" s="4">
        <v>0</v>
      </c>
      <c r="H7885" s="4">
        <v>0</v>
      </c>
      <c r="I7885" s="4">
        <v>0</v>
      </c>
      <c r="J7885" s="4">
        <v>402000</v>
      </c>
    </row>
    <row r="7886" spans="1:10" x14ac:dyDescent="0.75">
      <c r="A7886" t="s">
        <v>151</v>
      </c>
      <c r="B7886">
        <v>2428</v>
      </c>
      <c r="C7886" t="s">
        <v>94</v>
      </c>
      <c r="D7886">
        <v>2990</v>
      </c>
      <c r="E7886" t="s">
        <v>432</v>
      </c>
      <c r="F7886" s="4">
        <v>261025</v>
      </c>
      <c r="G7886" s="4">
        <v>13094</v>
      </c>
      <c r="H7886" s="4">
        <v>13094</v>
      </c>
      <c r="I7886" s="4">
        <v>0</v>
      </c>
      <c r="J7886" s="4">
        <v>274119</v>
      </c>
    </row>
    <row r="7887" spans="1:10" x14ac:dyDescent="0.75">
      <c r="A7887" t="s">
        <v>151</v>
      </c>
      <c r="B7887">
        <v>2428</v>
      </c>
      <c r="C7887" t="s">
        <v>94</v>
      </c>
      <c r="D7887">
        <v>2221</v>
      </c>
      <c r="E7887" t="s">
        <v>374</v>
      </c>
      <c r="F7887" s="4">
        <v>55114</v>
      </c>
      <c r="G7887" s="4">
        <v>55949</v>
      </c>
      <c r="H7887" s="4">
        <v>0</v>
      </c>
      <c r="I7887" s="4">
        <v>55949</v>
      </c>
      <c r="J7887" s="4">
        <v>111063</v>
      </c>
    </row>
    <row r="7888" spans="1:10" x14ac:dyDescent="0.75">
      <c r="A7888" t="s">
        <v>151</v>
      </c>
      <c r="B7888">
        <v>2428</v>
      </c>
      <c r="C7888" t="s">
        <v>94</v>
      </c>
      <c r="D7888">
        <v>3260</v>
      </c>
      <c r="E7888" t="s">
        <v>436</v>
      </c>
      <c r="F7888" s="4">
        <v>18906</v>
      </c>
      <c r="G7888" s="4">
        <v>80473</v>
      </c>
      <c r="H7888" s="4">
        <v>8905</v>
      </c>
      <c r="I7888" s="4">
        <v>71568</v>
      </c>
      <c r="J7888" s="4">
        <v>99379</v>
      </c>
    </row>
    <row r="7889" spans="1:10" x14ac:dyDescent="0.75">
      <c r="A7889" t="s">
        <v>151</v>
      </c>
      <c r="B7889">
        <v>2428</v>
      </c>
      <c r="C7889" t="s">
        <v>94</v>
      </c>
      <c r="D7889">
        <v>3286</v>
      </c>
      <c r="E7889" t="s">
        <v>423</v>
      </c>
      <c r="F7889" s="4">
        <v>22446</v>
      </c>
      <c r="G7889" s="4">
        <v>61790</v>
      </c>
      <c r="H7889" s="4">
        <v>0</v>
      </c>
      <c r="I7889" s="4">
        <v>61790</v>
      </c>
      <c r="J7889" s="4">
        <v>84236</v>
      </c>
    </row>
    <row r="7890" spans="1:10" x14ac:dyDescent="0.75">
      <c r="A7890" t="s">
        <v>151</v>
      </c>
      <c r="B7890">
        <v>2428</v>
      </c>
      <c r="C7890" t="s">
        <v>94</v>
      </c>
      <c r="D7890">
        <v>2410</v>
      </c>
      <c r="E7890" t="s">
        <v>430</v>
      </c>
      <c r="F7890" s="4">
        <v>35400</v>
      </c>
      <c r="G7890" s="4">
        <v>23380</v>
      </c>
      <c r="H7890" s="4">
        <v>23380</v>
      </c>
      <c r="I7890" s="4">
        <v>0</v>
      </c>
      <c r="J7890" s="4">
        <v>58780</v>
      </c>
    </row>
    <row r="7891" spans="1:10" x14ac:dyDescent="0.75">
      <c r="A7891" t="s">
        <v>151</v>
      </c>
      <c r="B7891">
        <v>2428</v>
      </c>
      <c r="C7891" t="s">
        <v>94</v>
      </c>
      <c r="D7891">
        <v>6241</v>
      </c>
      <c r="E7891" t="s">
        <v>391</v>
      </c>
      <c r="F7891" s="4">
        <v>0</v>
      </c>
      <c r="G7891" s="4">
        <v>50168</v>
      </c>
      <c r="H7891" s="4">
        <v>0</v>
      </c>
      <c r="I7891" s="4">
        <v>50168</v>
      </c>
      <c r="J7891" s="4">
        <v>50168</v>
      </c>
    </row>
    <row r="7892" spans="1:10" x14ac:dyDescent="0.75">
      <c r="A7892" t="s">
        <v>151</v>
      </c>
      <c r="B7892">
        <v>2428</v>
      </c>
      <c r="C7892" t="s">
        <v>94</v>
      </c>
      <c r="D7892">
        <v>3240</v>
      </c>
      <c r="E7892" t="s">
        <v>410</v>
      </c>
      <c r="F7892" s="4">
        <v>28172</v>
      </c>
      <c r="G7892" s="4">
        <v>7246</v>
      </c>
      <c r="H7892" s="4">
        <v>0</v>
      </c>
      <c r="I7892" s="4">
        <v>7246</v>
      </c>
      <c r="J7892" s="4">
        <v>35418</v>
      </c>
    </row>
    <row r="7893" spans="1:10" x14ac:dyDescent="0.75">
      <c r="A7893" t="s">
        <v>151</v>
      </c>
      <c r="B7893">
        <v>2428</v>
      </c>
      <c r="C7893" t="s">
        <v>94</v>
      </c>
      <c r="D7893">
        <v>2350</v>
      </c>
      <c r="E7893" t="s">
        <v>404</v>
      </c>
      <c r="F7893" s="4">
        <v>28593</v>
      </c>
      <c r="G7893" s="4">
        <v>3484</v>
      </c>
      <c r="H7893" s="4">
        <v>56</v>
      </c>
      <c r="I7893" s="4">
        <v>3428</v>
      </c>
      <c r="J7893" s="4">
        <v>32077</v>
      </c>
    </row>
    <row r="7894" spans="1:10" x14ac:dyDescent="0.75">
      <c r="A7894" t="s">
        <v>151</v>
      </c>
      <c r="B7894">
        <v>2428</v>
      </c>
      <c r="C7894" t="s">
        <v>94</v>
      </c>
      <c r="D7894">
        <v>4420</v>
      </c>
      <c r="E7894" t="s">
        <v>381</v>
      </c>
      <c r="F7894" s="4">
        <v>28087</v>
      </c>
      <c r="G7894" s="4">
        <v>0</v>
      </c>
      <c r="H7894" s="4">
        <v>0</v>
      </c>
      <c r="I7894" s="4">
        <v>0</v>
      </c>
      <c r="J7894" s="4">
        <v>28087</v>
      </c>
    </row>
    <row r="7895" spans="1:10" x14ac:dyDescent="0.75">
      <c r="A7895" t="s">
        <v>151</v>
      </c>
      <c r="B7895">
        <v>2428</v>
      </c>
      <c r="C7895" t="s">
        <v>94</v>
      </c>
      <c r="D7895">
        <v>3250</v>
      </c>
      <c r="E7895" t="s">
        <v>435</v>
      </c>
      <c r="F7895" s="4">
        <v>25430</v>
      </c>
      <c r="G7895" s="4">
        <v>2392</v>
      </c>
      <c r="H7895" s="4">
        <v>0</v>
      </c>
      <c r="I7895" s="4">
        <v>2392</v>
      </c>
      <c r="J7895" s="4">
        <v>27822</v>
      </c>
    </row>
    <row r="7896" spans="1:10" x14ac:dyDescent="0.75">
      <c r="A7896" t="s">
        <v>151</v>
      </c>
      <c r="B7896">
        <v>2428</v>
      </c>
      <c r="C7896" t="s">
        <v>94</v>
      </c>
      <c r="D7896">
        <v>6442</v>
      </c>
      <c r="E7896" t="s">
        <v>472</v>
      </c>
      <c r="F7896" s="4">
        <v>0</v>
      </c>
      <c r="G7896" s="4">
        <v>26875</v>
      </c>
      <c r="H7896" s="4">
        <v>0</v>
      </c>
      <c r="I7896" s="4">
        <v>26875</v>
      </c>
      <c r="J7896" s="4">
        <v>26875</v>
      </c>
    </row>
    <row r="7897" spans="1:10" x14ac:dyDescent="0.75">
      <c r="A7897" t="s">
        <v>151</v>
      </c>
      <c r="B7897">
        <v>2428</v>
      </c>
      <c r="C7897" t="s">
        <v>94</v>
      </c>
      <c r="D7897">
        <v>6344</v>
      </c>
      <c r="E7897" t="s">
        <v>392</v>
      </c>
      <c r="F7897" s="4">
        <v>0</v>
      </c>
      <c r="G7897" s="4">
        <v>25821</v>
      </c>
      <c r="H7897" s="4">
        <v>0</v>
      </c>
      <c r="I7897" s="4">
        <v>25821</v>
      </c>
      <c r="J7897" s="4">
        <v>25821</v>
      </c>
    </row>
    <row r="7898" spans="1:10" x14ac:dyDescent="0.75">
      <c r="A7898" t="s">
        <v>151</v>
      </c>
      <c r="B7898">
        <v>2428</v>
      </c>
      <c r="C7898" t="s">
        <v>94</v>
      </c>
      <c r="D7898">
        <v>7900</v>
      </c>
      <c r="E7898" t="s">
        <v>388</v>
      </c>
      <c r="F7898" s="4">
        <v>0</v>
      </c>
      <c r="G7898" s="4">
        <v>24277</v>
      </c>
      <c r="H7898" s="4">
        <v>1990</v>
      </c>
      <c r="I7898" s="4">
        <v>22287</v>
      </c>
      <c r="J7898" s="4">
        <v>24277</v>
      </c>
    </row>
    <row r="7899" spans="1:10" x14ac:dyDescent="0.75">
      <c r="A7899" t="s">
        <v>151</v>
      </c>
      <c r="B7899">
        <v>2428</v>
      </c>
      <c r="C7899" t="s">
        <v>94</v>
      </c>
      <c r="D7899">
        <v>3211</v>
      </c>
      <c r="E7899" t="s">
        <v>433</v>
      </c>
      <c r="F7899" s="4">
        <v>1200</v>
      </c>
      <c r="G7899" s="4">
        <v>20711</v>
      </c>
      <c r="H7899" s="4">
        <v>4704</v>
      </c>
      <c r="I7899" s="4">
        <v>16007</v>
      </c>
      <c r="J7899" s="4">
        <v>21911</v>
      </c>
    </row>
    <row r="7900" spans="1:10" x14ac:dyDescent="0.75">
      <c r="A7900" t="s">
        <v>151</v>
      </c>
      <c r="B7900">
        <v>2428</v>
      </c>
      <c r="C7900" t="s">
        <v>94</v>
      </c>
      <c r="D7900">
        <v>3299</v>
      </c>
      <c r="E7900" t="s">
        <v>448</v>
      </c>
      <c r="F7900" s="4">
        <v>16936</v>
      </c>
      <c r="G7900" s="4">
        <v>3467</v>
      </c>
      <c r="H7900" s="4">
        <v>2315</v>
      </c>
      <c r="I7900" s="4">
        <v>1152</v>
      </c>
      <c r="J7900" s="4">
        <v>20403</v>
      </c>
    </row>
    <row r="7901" spans="1:10" x14ac:dyDescent="0.75">
      <c r="A7901" t="s">
        <v>151</v>
      </c>
      <c r="B7901">
        <v>2428</v>
      </c>
      <c r="C7901" t="s">
        <v>94</v>
      </c>
      <c r="D7901">
        <v>1200</v>
      </c>
      <c r="E7901" t="s">
        <v>402</v>
      </c>
      <c r="F7901" s="4">
        <v>10252</v>
      </c>
      <c r="G7901" s="4">
        <v>0</v>
      </c>
      <c r="H7901" s="4">
        <v>0</v>
      </c>
      <c r="I7901" s="4">
        <v>0</v>
      </c>
      <c r="J7901" s="4">
        <v>10252</v>
      </c>
    </row>
    <row r="7902" spans="1:10" x14ac:dyDescent="0.75">
      <c r="A7902" t="s">
        <v>151</v>
      </c>
      <c r="B7902">
        <v>2428</v>
      </c>
      <c r="C7902" t="s">
        <v>94</v>
      </c>
      <c r="D7902">
        <v>6782</v>
      </c>
      <c r="E7902" t="s">
        <v>396</v>
      </c>
      <c r="F7902" s="4">
        <v>0</v>
      </c>
      <c r="G7902" s="4">
        <v>8354</v>
      </c>
      <c r="H7902" s="4">
        <v>0</v>
      </c>
      <c r="I7902" s="4">
        <v>8354</v>
      </c>
      <c r="J7902" s="4">
        <v>8354</v>
      </c>
    </row>
    <row r="7903" spans="1:10" x14ac:dyDescent="0.75">
      <c r="A7903" t="s">
        <v>151</v>
      </c>
      <c r="B7903">
        <v>2428</v>
      </c>
      <c r="C7903" t="s">
        <v>94</v>
      </c>
      <c r="D7903">
        <v>3275</v>
      </c>
      <c r="E7903" t="s">
        <v>412</v>
      </c>
      <c r="F7903" s="4">
        <v>0</v>
      </c>
      <c r="G7903" s="4">
        <v>8332</v>
      </c>
      <c r="H7903" s="4">
        <v>0</v>
      </c>
      <c r="I7903" s="4">
        <v>8332</v>
      </c>
      <c r="J7903" s="4">
        <v>8332</v>
      </c>
    </row>
    <row r="7904" spans="1:10" x14ac:dyDescent="0.75">
      <c r="A7904" t="s">
        <v>151</v>
      </c>
      <c r="B7904">
        <v>2428</v>
      </c>
      <c r="C7904" t="s">
        <v>94</v>
      </c>
      <c r="D7904">
        <v>7600</v>
      </c>
      <c r="E7904" t="s">
        <v>503</v>
      </c>
      <c r="F7904" s="4">
        <v>0</v>
      </c>
      <c r="G7904" s="4">
        <v>7664</v>
      </c>
      <c r="H7904" s="4">
        <v>773</v>
      </c>
      <c r="I7904" s="4">
        <v>6891</v>
      </c>
      <c r="J7904" s="4">
        <v>7664</v>
      </c>
    </row>
    <row r="7905" spans="1:10" x14ac:dyDescent="0.75">
      <c r="A7905" t="s">
        <v>151</v>
      </c>
      <c r="B7905">
        <v>2428</v>
      </c>
      <c r="C7905" t="s">
        <v>94</v>
      </c>
      <c r="D7905">
        <v>4225</v>
      </c>
      <c r="E7905" t="s">
        <v>380</v>
      </c>
      <c r="F7905" s="4">
        <v>0</v>
      </c>
      <c r="G7905" s="4">
        <v>7169</v>
      </c>
      <c r="H7905" s="4">
        <v>0</v>
      </c>
      <c r="I7905" s="4">
        <v>7169</v>
      </c>
      <c r="J7905" s="4">
        <v>7169</v>
      </c>
    </row>
    <row r="7906" spans="1:10" x14ac:dyDescent="0.75">
      <c r="A7906" t="s">
        <v>151</v>
      </c>
      <c r="B7906">
        <v>2428</v>
      </c>
      <c r="C7906" t="s">
        <v>94</v>
      </c>
      <c r="D7906">
        <v>3274</v>
      </c>
      <c r="E7906" t="s">
        <v>438</v>
      </c>
      <c r="F7906" s="4">
        <v>6155</v>
      </c>
      <c r="G7906" s="4">
        <v>62</v>
      </c>
      <c r="H7906" s="4">
        <v>0</v>
      </c>
      <c r="I7906" s="4">
        <v>62</v>
      </c>
      <c r="J7906" s="4">
        <v>6217</v>
      </c>
    </row>
    <row r="7907" spans="1:10" x14ac:dyDescent="0.75">
      <c r="A7907" t="s">
        <v>151</v>
      </c>
      <c r="B7907">
        <v>2428</v>
      </c>
      <c r="C7907" t="s">
        <v>94</v>
      </c>
      <c r="D7907">
        <v>7120</v>
      </c>
      <c r="E7907" t="s">
        <v>499</v>
      </c>
      <c r="F7907" s="4">
        <v>0</v>
      </c>
      <c r="G7907" s="4">
        <v>6108</v>
      </c>
      <c r="H7907" s="4">
        <v>20</v>
      </c>
      <c r="I7907" s="4">
        <v>6088</v>
      </c>
      <c r="J7907" s="4">
        <v>6108</v>
      </c>
    </row>
    <row r="7908" spans="1:10" x14ac:dyDescent="0.75">
      <c r="A7908" t="s">
        <v>151</v>
      </c>
      <c r="B7908">
        <v>2428</v>
      </c>
      <c r="C7908" t="s">
        <v>94</v>
      </c>
      <c r="D7908">
        <v>6856</v>
      </c>
      <c r="E7908" t="s">
        <v>486</v>
      </c>
      <c r="F7908" s="4">
        <v>0</v>
      </c>
      <c r="G7908" s="4">
        <v>6089</v>
      </c>
      <c r="H7908" s="4">
        <v>6089</v>
      </c>
      <c r="I7908" s="4">
        <v>0</v>
      </c>
      <c r="J7908" s="4">
        <v>6089</v>
      </c>
    </row>
    <row r="7909" spans="1:10" x14ac:dyDescent="0.75">
      <c r="A7909" t="s">
        <v>151</v>
      </c>
      <c r="B7909">
        <v>2428</v>
      </c>
      <c r="C7909" t="s">
        <v>94</v>
      </c>
      <c r="D7909">
        <v>3285</v>
      </c>
      <c r="E7909" t="s">
        <v>443</v>
      </c>
      <c r="F7909" s="4">
        <v>3320</v>
      </c>
      <c r="G7909" s="4">
        <v>2532</v>
      </c>
      <c r="H7909" s="4">
        <v>0</v>
      </c>
      <c r="I7909" s="4">
        <v>2532</v>
      </c>
      <c r="J7909" s="4">
        <v>5852</v>
      </c>
    </row>
    <row r="7910" spans="1:10" x14ac:dyDescent="0.75">
      <c r="A7910" t="s">
        <v>151</v>
      </c>
      <c r="B7910">
        <v>2428</v>
      </c>
      <c r="C7910" t="s">
        <v>94</v>
      </c>
      <c r="D7910">
        <v>7110</v>
      </c>
      <c r="E7910" t="s">
        <v>371</v>
      </c>
      <c r="F7910" s="4">
        <v>0</v>
      </c>
      <c r="G7910" s="4">
        <v>4273</v>
      </c>
      <c r="H7910" s="4">
        <v>3238</v>
      </c>
      <c r="I7910" s="4">
        <v>1035</v>
      </c>
      <c r="J7910" s="4">
        <v>4273</v>
      </c>
    </row>
    <row r="7911" spans="1:10" x14ac:dyDescent="0.75">
      <c r="A7911" t="s">
        <v>151</v>
      </c>
      <c r="B7911">
        <v>2428</v>
      </c>
      <c r="C7911" t="s">
        <v>94</v>
      </c>
      <c r="D7911">
        <v>7210</v>
      </c>
      <c r="E7911" t="s">
        <v>426</v>
      </c>
      <c r="F7911" s="4">
        <v>0</v>
      </c>
      <c r="G7911" s="4">
        <v>3578</v>
      </c>
      <c r="H7911" s="4">
        <v>0</v>
      </c>
      <c r="I7911" s="4">
        <v>3578</v>
      </c>
      <c r="J7911" s="4">
        <v>3578</v>
      </c>
    </row>
    <row r="7912" spans="1:10" x14ac:dyDescent="0.75">
      <c r="A7912" t="s">
        <v>151</v>
      </c>
      <c r="B7912">
        <v>2428</v>
      </c>
      <c r="C7912" t="s">
        <v>94</v>
      </c>
      <c r="D7912">
        <v>5480</v>
      </c>
      <c r="E7912" t="s">
        <v>386</v>
      </c>
      <c r="F7912" s="4">
        <v>0</v>
      </c>
      <c r="G7912" s="4">
        <v>3428</v>
      </c>
      <c r="H7912" s="4">
        <v>1722</v>
      </c>
      <c r="I7912" s="4">
        <v>1706</v>
      </c>
      <c r="J7912" s="4">
        <v>3428</v>
      </c>
    </row>
    <row r="7913" spans="1:10" x14ac:dyDescent="0.75">
      <c r="A7913" t="s">
        <v>151</v>
      </c>
      <c r="B7913">
        <v>2428</v>
      </c>
      <c r="C7913" t="s">
        <v>94</v>
      </c>
      <c r="D7913">
        <v>9900</v>
      </c>
      <c r="E7913" t="s">
        <v>389</v>
      </c>
      <c r="F7913" s="4">
        <v>0</v>
      </c>
      <c r="G7913" s="4">
        <v>2558</v>
      </c>
      <c r="H7913" s="4">
        <v>1055</v>
      </c>
      <c r="I7913" s="4">
        <v>1503</v>
      </c>
      <c r="J7913" s="4">
        <v>2558</v>
      </c>
    </row>
    <row r="7914" spans="1:10" x14ac:dyDescent="0.75">
      <c r="A7914" t="s">
        <v>151</v>
      </c>
      <c r="B7914">
        <v>2428</v>
      </c>
      <c r="C7914" t="s">
        <v>94</v>
      </c>
      <c r="D7914">
        <v>7500</v>
      </c>
      <c r="E7914" t="s">
        <v>427</v>
      </c>
      <c r="F7914" s="4">
        <v>0</v>
      </c>
      <c r="G7914" s="4">
        <v>2090</v>
      </c>
      <c r="H7914" s="4">
        <v>68</v>
      </c>
      <c r="I7914" s="4">
        <v>2022</v>
      </c>
      <c r="J7914" s="4">
        <v>2090</v>
      </c>
    </row>
    <row r="7915" spans="1:10" x14ac:dyDescent="0.75">
      <c r="A7915" t="s">
        <v>151</v>
      </c>
      <c r="B7915">
        <v>2428</v>
      </c>
      <c r="C7915" t="s">
        <v>94</v>
      </c>
      <c r="D7915">
        <v>6857</v>
      </c>
      <c r="E7915" t="s">
        <v>487</v>
      </c>
      <c r="F7915" s="4">
        <v>0</v>
      </c>
      <c r="G7915" s="4">
        <v>1749</v>
      </c>
      <c r="H7915" s="4">
        <v>1749</v>
      </c>
      <c r="I7915" s="4">
        <v>0</v>
      </c>
      <c r="J7915" s="4">
        <v>1749</v>
      </c>
    </row>
    <row r="7916" spans="1:10" x14ac:dyDescent="0.75">
      <c r="A7916" t="s">
        <v>151</v>
      </c>
      <c r="B7916">
        <v>2428</v>
      </c>
      <c r="C7916" t="s">
        <v>94</v>
      </c>
      <c r="D7916">
        <v>6885</v>
      </c>
      <c r="E7916" t="s">
        <v>493</v>
      </c>
      <c r="F7916" s="4">
        <v>1522</v>
      </c>
      <c r="G7916" s="4">
        <v>0</v>
      </c>
      <c r="H7916" s="4">
        <v>0</v>
      </c>
      <c r="I7916" s="4">
        <v>0</v>
      </c>
      <c r="J7916" s="4">
        <v>1522</v>
      </c>
    </row>
    <row r="7917" spans="1:10" x14ac:dyDescent="0.75">
      <c r="A7917" t="s">
        <v>151</v>
      </c>
      <c r="B7917">
        <v>2428</v>
      </c>
      <c r="C7917" t="s">
        <v>94</v>
      </c>
      <c r="D7917">
        <v>5370</v>
      </c>
      <c r="E7917" t="s">
        <v>466</v>
      </c>
      <c r="F7917" s="4">
        <v>1500</v>
      </c>
      <c r="G7917" s="4">
        <v>13</v>
      </c>
      <c r="H7917" s="4">
        <v>0</v>
      </c>
      <c r="I7917" s="4">
        <v>13</v>
      </c>
      <c r="J7917" s="4">
        <v>1513</v>
      </c>
    </row>
    <row r="7918" spans="1:10" x14ac:dyDescent="0.75">
      <c r="A7918" t="s">
        <v>151</v>
      </c>
      <c r="B7918">
        <v>2428</v>
      </c>
      <c r="C7918" t="s">
        <v>94</v>
      </c>
      <c r="D7918">
        <v>2640</v>
      </c>
      <c r="E7918" t="s">
        <v>431</v>
      </c>
      <c r="F7918" s="4">
        <v>1200</v>
      </c>
      <c r="G7918" s="4">
        <v>0</v>
      </c>
      <c r="H7918" s="4">
        <v>0</v>
      </c>
      <c r="I7918" s="4">
        <v>0</v>
      </c>
      <c r="J7918" s="4">
        <v>1200</v>
      </c>
    </row>
    <row r="7919" spans="1:10" x14ac:dyDescent="0.75">
      <c r="A7919" t="s">
        <v>151</v>
      </c>
      <c r="B7919">
        <v>2428</v>
      </c>
      <c r="C7919" t="s">
        <v>94</v>
      </c>
      <c r="D7919">
        <v>5360</v>
      </c>
      <c r="E7919" t="s">
        <v>465</v>
      </c>
      <c r="F7919" s="4">
        <v>802</v>
      </c>
      <c r="G7919" s="4">
        <v>0</v>
      </c>
      <c r="H7919" s="4">
        <v>0</v>
      </c>
      <c r="I7919" s="4">
        <v>0</v>
      </c>
      <c r="J7919" s="4">
        <v>802</v>
      </c>
    </row>
    <row r="7920" spans="1:10" x14ac:dyDescent="0.75">
      <c r="A7920" t="s">
        <v>151</v>
      </c>
      <c r="B7920">
        <v>2428</v>
      </c>
      <c r="C7920" t="s">
        <v>94</v>
      </c>
      <c r="D7920">
        <v>3282</v>
      </c>
      <c r="E7920" t="s">
        <v>440</v>
      </c>
      <c r="F7920" s="4">
        <v>0</v>
      </c>
      <c r="G7920" s="4">
        <v>706</v>
      </c>
      <c r="H7920" s="4">
        <v>0</v>
      </c>
      <c r="I7920" s="4">
        <v>706</v>
      </c>
      <c r="J7920" s="4">
        <v>706</v>
      </c>
    </row>
    <row r="7921" spans="1:10" x14ac:dyDescent="0.75">
      <c r="A7921" t="s">
        <v>151</v>
      </c>
      <c r="B7921">
        <v>2428</v>
      </c>
      <c r="C7921" t="s">
        <v>94</v>
      </c>
      <c r="D7921">
        <v>6889</v>
      </c>
      <c r="E7921" t="s">
        <v>420</v>
      </c>
      <c r="F7921" s="4">
        <v>0</v>
      </c>
      <c r="G7921" s="4">
        <v>307</v>
      </c>
      <c r="H7921" s="4">
        <v>24</v>
      </c>
      <c r="I7921" s="4">
        <v>283</v>
      </c>
      <c r="J7921" s="4">
        <v>307</v>
      </c>
    </row>
    <row r="7922" spans="1:10" x14ac:dyDescent="0.75">
      <c r="A7922" t="s">
        <v>151</v>
      </c>
      <c r="B7922">
        <v>2428</v>
      </c>
      <c r="C7922" t="s">
        <v>94</v>
      </c>
      <c r="D7922">
        <v>3279</v>
      </c>
      <c r="E7922" t="s">
        <v>422</v>
      </c>
      <c r="F7922" s="4">
        <v>0</v>
      </c>
      <c r="G7922" s="4">
        <v>225</v>
      </c>
      <c r="H7922" s="4">
        <v>0</v>
      </c>
      <c r="I7922" s="4">
        <v>225</v>
      </c>
      <c r="J7922" s="4">
        <v>225</v>
      </c>
    </row>
    <row r="7923" spans="1:10" x14ac:dyDescent="0.75">
      <c r="A7923" t="s">
        <v>151</v>
      </c>
      <c r="B7923">
        <v>2428</v>
      </c>
      <c r="C7923" t="s">
        <v>94</v>
      </c>
      <c r="D7923">
        <v>3276</v>
      </c>
      <c r="E7923" t="s">
        <v>379</v>
      </c>
      <c r="F7923" s="4">
        <v>0</v>
      </c>
      <c r="G7923" s="4">
        <v>213</v>
      </c>
      <c r="H7923" s="4">
        <v>0</v>
      </c>
      <c r="I7923" s="4">
        <v>213</v>
      </c>
      <c r="J7923" s="4">
        <v>213</v>
      </c>
    </row>
    <row r="7924" spans="1:10" x14ac:dyDescent="0.75">
      <c r="A7924" t="s">
        <v>151</v>
      </c>
      <c r="B7924">
        <v>2428</v>
      </c>
      <c r="C7924" t="s">
        <v>94</v>
      </c>
      <c r="D7924">
        <v>5290</v>
      </c>
      <c r="E7924" t="s">
        <v>415</v>
      </c>
      <c r="F7924" s="4">
        <v>0</v>
      </c>
      <c r="G7924" s="4">
        <v>197</v>
      </c>
      <c r="H7924" s="4">
        <v>27</v>
      </c>
      <c r="I7924" s="4">
        <v>170</v>
      </c>
      <c r="J7924" s="4">
        <v>197</v>
      </c>
    </row>
    <row r="7925" spans="1:10" x14ac:dyDescent="0.75">
      <c r="A7925" t="s">
        <v>151</v>
      </c>
      <c r="B7925">
        <v>2428</v>
      </c>
      <c r="C7925" t="s">
        <v>94</v>
      </c>
      <c r="D7925">
        <v>5421</v>
      </c>
      <c r="E7925" t="s">
        <v>467</v>
      </c>
      <c r="F7925" s="4">
        <v>0</v>
      </c>
      <c r="G7925" s="4">
        <v>180</v>
      </c>
      <c r="H7925" s="4">
        <v>0</v>
      </c>
      <c r="I7925" s="4">
        <v>180</v>
      </c>
      <c r="J7925" s="4">
        <v>180</v>
      </c>
    </row>
    <row r="7926" spans="1:10" x14ac:dyDescent="0.75">
      <c r="A7926" t="s">
        <v>151</v>
      </c>
      <c r="B7926">
        <v>2428</v>
      </c>
      <c r="C7926" t="s">
        <v>94</v>
      </c>
      <c r="D7926">
        <v>6654</v>
      </c>
      <c r="E7926" t="s">
        <v>419</v>
      </c>
      <c r="F7926" s="4">
        <v>0</v>
      </c>
      <c r="G7926" s="4">
        <v>94</v>
      </c>
      <c r="H7926" s="4">
        <v>14</v>
      </c>
      <c r="I7926" s="4">
        <v>80</v>
      </c>
      <c r="J7926" s="4">
        <v>94</v>
      </c>
    </row>
    <row r="7927" spans="1:10" x14ac:dyDescent="0.75">
      <c r="A7927" t="s">
        <v>151</v>
      </c>
      <c r="B7927">
        <v>2428</v>
      </c>
      <c r="C7927" t="s">
        <v>94</v>
      </c>
      <c r="D7927">
        <v>6822</v>
      </c>
      <c r="E7927" t="s">
        <v>482</v>
      </c>
      <c r="F7927" s="4">
        <v>0</v>
      </c>
      <c r="G7927" s="4">
        <v>86</v>
      </c>
      <c r="H7927" s="4">
        <v>0</v>
      </c>
      <c r="I7927" s="4">
        <v>86</v>
      </c>
      <c r="J7927" s="4">
        <v>86</v>
      </c>
    </row>
    <row r="7928" spans="1:10" x14ac:dyDescent="0.75">
      <c r="A7928" t="s">
        <v>151</v>
      </c>
      <c r="B7928">
        <v>2428</v>
      </c>
      <c r="C7928" t="s">
        <v>94</v>
      </c>
      <c r="D7928">
        <v>6888</v>
      </c>
      <c r="E7928" t="s">
        <v>494</v>
      </c>
      <c r="F7928" s="4">
        <v>0</v>
      </c>
      <c r="G7928" s="4">
        <v>70</v>
      </c>
      <c r="H7928" s="4">
        <v>0</v>
      </c>
      <c r="I7928" s="4">
        <v>70</v>
      </c>
      <c r="J7928" s="4">
        <v>70</v>
      </c>
    </row>
    <row r="7929" spans="1:10" x14ac:dyDescent="0.75">
      <c r="A7929" t="s">
        <v>151</v>
      </c>
      <c r="B7929">
        <v>2428</v>
      </c>
      <c r="C7929" t="s">
        <v>94</v>
      </c>
      <c r="D7929">
        <v>4189</v>
      </c>
      <c r="E7929" t="s">
        <v>451</v>
      </c>
      <c r="F7929" s="4">
        <v>0</v>
      </c>
      <c r="G7929" s="4">
        <v>44</v>
      </c>
      <c r="H7929" s="4">
        <v>0</v>
      </c>
      <c r="I7929" s="4">
        <v>44</v>
      </c>
      <c r="J7929" s="4">
        <v>44</v>
      </c>
    </row>
    <row r="7930" spans="1:10" x14ac:dyDescent="0.75">
      <c r="A7930" t="s">
        <v>151</v>
      </c>
      <c r="B7930">
        <v>2428</v>
      </c>
      <c r="C7930" t="s">
        <v>94</v>
      </c>
      <c r="D7930">
        <v>5190</v>
      </c>
      <c r="E7930" t="s">
        <v>462</v>
      </c>
      <c r="F7930" s="4">
        <v>0</v>
      </c>
      <c r="G7930" s="4">
        <v>44</v>
      </c>
      <c r="H7930" s="4">
        <v>44</v>
      </c>
      <c r="I7930" s="4">
        <v>0</v>
      </c>
      <c r="J7930" s="4">
        <v>44</v>
      </c>
    </row>
    <row r="7931" spans="1:10" x14ac:dyDescent="0.75">
      <c r="A7931" t="s">
        <v>151</v>
      </c>
      <c r="B7931">
        <v>2428</v>
      </c>
      <c r="C7931" t="s">
        <v>94</v>
      </c>
      <c r="D7931">
        <v>3297</v>
      </c>
      <c r="E7931" t="s">
        <v>446</v>
      </c>
      <c r="F7931" s="4">
        <v>0</v>
      </c>
      <c r="G7931" s="4">
        <v>43</v>
      </c>
      <c r="H7931" s="4">
        <v>0</v>
      </c>
      <c r="I7931" s="4">
        <v>43</v>
      </c>
      <c r="J7931" s="4">
        <v>43</v>
      </c>
    </row>
    <row r="7932" spans="1:10" x14ac:dyDescent="0.75">
      <c r="A7932" t="s">
        <v>151</v>
      </c>
      <c r="B7932">
        <v>2428</v>
      </c>
      <c r="C7932" t="s">
        <v>94</v>
      </c>
      <c r="D7932">
        <v>7230</v>
      </c>
      <c r="E7932" t="s">
        <v>387</v>
      </c>
      <c r="F7932" s="4">
        <v>0</v>
      </c>
      <c r="G7932" s="4">
        <v>6</v>
      </c>
      <c r="H7932" s="4">
        <v>6</v>
      </c>
      <c r="I7932" s="4">
        <v>0</v>
      </c>
      <c r="J7932" s="4">
        <v>6</v>
      </c>
    </row>
    <row r="7933" spans="1:10" x14ac:dyDescent="0.75">
      <c r="A7933" t="s">
        <v>160</v>
      </c>
      <c r="B7933">
        <v>3204</v>
      </c>
      <c r="C7933" t="s">
        <v>172</v>
      </c>
      <c r="D7933">
        <v>4410</v>
      </c>
      <c r="E7933" t="s">
        <v>399</v>
      </c>
      <c r="F7933" s="4">
        <v>5195276</v>
      </c>
      <c r="G7933" s="4">
        <v>0</v>
      </c>
      <c r="H7933" s="4">
        <v>0</v>
      </c>
      <c r="I7933" s="4">
        <v>0</v>
      </c>
      <c r="J7933" s="4">
        <v>5195276</v>
      </c>
    </row>
    <row r="7934" spans="1:10" x14ac:dyDescent="0.75">
      <c r="A7934" t="s">
        <v>160</v>
      </c>
      <c r="B7934">
        <v>3204</v>
      </c>
      <c r="C7934" t="s">
        <v>172</v>
      </c>
      <c r="D7934">
        <v>1100</v>
      </c>
      <c r="E7934" t="s">
        <v>397</v>
      </c>
      <c r="F7934" s="4">
        <v>1276271</v>
      </c>
      <c r="G7934" s="4">
        <v>1417552</v>
      </c>
      <c r="H7934" s="4">
        <v>0</v>
      </c>
      <c r="I7934" s="4">
        <v>1417552</v>
      </c>
      <c r="J7934" s="4">
        <v>2693823</v>
      </c>
    </row>
    <row r="7935" spans="1:10" x14ac:dyDescent="0.75">
      <c r="A7935" t="s">
        <v>160</v>
      </c>
      <c r="B7935">
        <v>3204</v>
      </c>
      <c r="C7935" t="s">
        <v>172</v>
      </c>
      <c r="D7935">
        <v>6522</v>
      </c>
      <c r="E7935" t="s">
        <v>393</v>
      </c>
      <c r="F7935" s="4">
        <v>0</v>
      </c>
      <c r="G7935" s="4">
        <v>524795</v>
      </c>
      <c r="H7935" s="4">
        <v>0</v>
      </c>
      <c r="I7935" s="4">
        <v>524795</v>
      </c>
      <c r="J7935" s="4">
        <v>524795</v>
      </c>
    </row>
    <row r="7936" spans="1:10" x14ac:dyDescent="0.75">
      <c r="A7936" t="s">
        <v>160</v>
      </c>
      <c r="B7936">
        <v>3204</v>
      </c>
      <c r="C7936" t="s">
        <v>172</v>
      </c>
      <c r="D7936">
        <v>2540</v>
      </c>
      <c r="E7936" t="s">
        <v>377</v>
      </c>
      <c r="F7936" s="4">
        <v>14968</v>
      </c>
      <c r="G7936" s="4">
        <v>424405</v>
      </c>
      <c r="H7936" s="4">
        <v>0</v>
      </c>
      <c r="I7936" s="4">
        <v>424405</v>
      </c>
      <c r="J7936" s="4">
        <v>439373</v>
      </c>
    </row>
    <row r="7937" spans="1:10" x14ac:dyDescent="0.75">
      <c r="A7937" t="s">
        <v>160</v>
      </c>
      <c r="B7937">
        <v>3204</v>
      </c>
      <c r="C7937" t="s">
        <v>172</v>
      </c>
      <c r="D7937">
        <v>4331</v>
      </c>
      <c r="E7937" t="s">
        <v>390</v>
      </c>
      <c r="F7937" s="4">
        <v>132000</v>
      </c>
      <c r="G7937" s="4">
        <v>243919</v>
      </c>
      <c r="H7937" s="4">
        <v>131794</v>
      </c>
      <c r="I7937" s="4">
        <v>112125</v>
      </c>
      <c r="J7937" s="4">
        <v>375919</v>
      </c>
    </row>
    <row r="7938" spans="1:10" x14ac:dyDescent="0.75">
      <c r="A7938" t="s">
        <v>160</v>
      </c>
      <c r="B7938">
        <v>3204</v>
      </c>
      <c r="C7938" t="s">
        <v>172</v>
      </c>
      <c r="D7938">
        <v>4783</v>
      </c>
      <c r="E7938" t="s">
        <v>382</v>
      </c>
      <c r="F7938" s="4">
        <v>121570</v>
      </c>
      <c r="G7938" s="4">
        <v>250714</v>
      </c>
      <c r="H7938" s="4">
        <v>250714</v>
      </c>
      <c r="I7938" s="4">
        <v>0</v>
      </c>
      <c r="J7938" s="4">
        <v>372284</v>
      </c>
    </row>
    <row r="7939" spans="1:10" x14ac:dyDescent="0.75">
      <c r="A7939" t="s">
        <v>160</v>
      </c>
      <c r="B7939">
        <v>3204</v>
      </c>
      <c r="C7939" t="s">
        <v>172</v>
      </c>
      <c r="D7939">
        <v>4322</v>
      </c>
      <c r="E7939" t="s">
        <v>398</v>
      </c>
      <c r="F7939" s="4">
        <v>299656</v>
      </c>
      <c r="G7939" s="4">
        <v>22047</v>
      </c>
      <c r="H7939" s="4">
        <v>19842</v>
      </c>
      <c r="I7939" s="4">
        <v>2205</v>
      </c>
      <c r="J7939" s="4">
        <v>321703</v>
      </c>
    </row>
    <row r="7940" spans="1:10" x14ac:dyDescent="0.75">
      <c r="A7940" t="s">
        <v>160</v>
      </c>
      <c r="B7940">
        <v>3204</v>
      </c>
      <c r="C7940" t="s">
        <v>172</v>
      </c>
      <c r="D7940">
        <v>5422</v>
      </c>
      <c r="E7940" t="s">
        <v>468</v>
      </c>
      <c r="F7940" s="4">
        <v>0</v>
      </c>
      <c r="G7940" s="4">
        <v>310885</v>
      </c>
      <c r="H7940" s="4">
        <v>296407</v>
      </c>
      <c r="I7940" s="4">
        <v>14478</v>
      </c>
      <c r="J7940" s="4">
        <v>310885</v>
      </c>
    </row>
    <row r="7941" spans="1:10" x14ac:dyDescent="0.75">
      <c r="A7941" t="s">
        <v>160</v>
      </c>
      <c r="B7941">
        <v>3204</v>
      </c>
      <c r="C7941" t="s">
        <v>172</v>
      </c>
      <c r="D7941">
        <v>6747</v>
      </c>
      <c r="E7941" t="s">
        <v>478</v>
      </c>
      <c r="F7941" s="4">
        <v>0</v>
      </c>
      <c r="G7941" s="4">
        <v>284730</v>
      </c>
      <c r="H7941" s="4">
        <v>284730</v>
      </c>
      <c r="I7941" s="4">
        <v>0</v>
      </c>
      <c r="J7941" s="4">
        <v>284730</v>
      </c>
    </row>
    <row r="7942" spans="1:10" x14ac:dyDescent="0.75">
      <c r="A7942" t="s">
        <v>160</v>
      </c>
      <c r="B7942">
        <v>3204</v>
      </c>
      <c r="C7942" t="s">
        <v>172</v>
      </c>
      <c r="D7942">
        <v>2211</v>
      </c>
      <c r="E7942" t="s">
        <v>367</v>
      </c>
      <c r="F7942" s="4">
        <v>178673</v>
      </c>
      <c r="G7942" s="4">
        <v>28860</v>
      </c>
      <c r="H7942" s="4">
        <v>0</v>
      </c>
      <c r="I7942" s="4">
        <v>28860</v>
      </c>
      <c r="J7942" s="4">
        <v>207533</v>
      </c>
    </row>
    <row r="7943" spans="1:10" x14ac:dyDescent="0.75">
      <c r="A7943" t="s">
        <v>160</v>
      </c>
      <c r="B7943">
        <v>3204</v>
      </c>
      <c r="C7943" t="s">
        <v>172</v>
      </c>
      <c r="D7943">
        <v>5220</v>
      </c>
      <c r="E7943" t="s">
        <v>401</v>
      </c>
      <c r="F7943" s="4">
        <v>171417</v>
      </c>
      <c r="G7943" s="4">
        <v>26944</v>
      </c>
      <c r="H7943" s="4">
        <v>26944</v>
      </c>
      <c r="I7943" s="4">
        <v>0</v>
      </c>
      <c r="J7943" s="4">
        <v>198361</v>
      </c>
    </row>
    <row r="7944" spans="1:10" x14ac:dyDescent="0.75">
      <c r="A7944" t="s">
        <v>160</v>
      </c>
      <c r="B7944">
        <v>3204</v>
      </c>
      <c r="C7944" t="s">
        <v>172</v>
      </c>
      <c r="D7944">
        <v>6241</v>
      </c>
      <c r="E7944" t="s">
        <v>391</v>
      </c>
      <c r="F7944" s="4">
        <v>17546</v>
      </c>
      <c r="G7944" s="4">
        <v>121634</v>
      </c>
      <c r="H7944" s="4">
        <v>108406</v>
      </c>
      <c r="I7944" s="4">
        <v>13228</v>
      </c>
      <c r="J7944" s="4">
        <v>139180</v>
      </c>
    </row>
    <row r="7945" spans="1:10" x14ac:dyDescent="0.75">
      <c r="A7945" t="s">
        <v>160</v>
      </c>
      <c r="B7945">
        <v>3204</v>
      </c>
      <c r="C7945" t="s">
        <v>172</v>
      </c>
      <c r="D7945">
        <v>6344</v>
      </c>
      <c r="E7945" t="s">
        <v>392</v>
      </c>
      <c r="F7945" s="4">
        <v>0</v>
      </c>
      <c r="G7945" s="4">
        <v>133123</v>
      </c>
      <c r="H7945" s="4">
        <v>0</v>
      </c>
      <c r="I7945" s="4">
        <v>133123</v>
      </c>
      <c r="J7945" s="4">
        <v>133123</v>
      </c>
    </row>
    <row r="7946" spans="1:10" x14ac:dyDescent="0.75">
      <c r="A7946" t="s">
        <v>160</v>
      </c>
      <c r="B7946">
        <v>3204</v>
      </c>
      <c r="C7946" t="s">
        <v>172</v>
      </c>
      <c r="D7946">
        <v>6445</v>
      </c>
      <c r="E7946" t="s">
        <v>474</v>
      </c>
      <c r="F7946" s="4">
        <v>0</v>
      </c>
      <c r="G7946" s="4">
        <v>76831</v>
      </c>
      <c r="H7946" s="4">
        <v>76831</v>
      </c>
      <c r="I7946" s="4">
        <v>0</v>
      </c>
      <c r="J7946" s="4">
        <v>76831</v>
      </c>
    </row>
    <row r="7947" spans="1:10" x14ac:dyDescent="0.75">
      <c r="A7947" t="s">
        <v>160</v>
      </c>
      <c r="B7947">
        <v>3204</v>
      </c>
      <c r="C7947" t="s">
        <v>172</v>
      </c>
      <c r="D7947">
        <v>5312</v>
      </c>
      <c r="E7947" t="s">
        <v>416</v>
      </c>
      <c r="F7947" s="4">
        <v>0</v>
      </c>
      <c r="G7947" s="4">
        <v>76371</v>
      </c>
      <c r="H7947" s="4">
        <v>19393</v>
      </c>
      <c r="I7947" s="4">
        <v>56978</v>
      </c>
      <c r="J7947" s="4">
        <v>76371</v>
      </c>
    </row>
    <row r="7948" spans="1:10" x14ac:dyDescent="0.75">
      <c r="A7948" t="s">
        <v>160</v>
      </c>
      <c r="B7948">
        <v>3204</v>
      </c>
      <c r="C7948" t="s">
        <v>172</v>
      </c>
      <c r="D7948">
        <v>4782</v>
      </c>
      <c r="E7948" t="s">
        <v>414</v>
      </c>
      <c r="F7948" s="4">
        <v>0</v>
      </c>
      <c r="G7948" s="4">
        <v>75834</v>
      </c>
      <c r="H7948" s="4">
        <v>75834</v>
      </c>
      <c r="I7948" s="4">
        <v>0</v>
      </c>
      <c r="J7948" s="4">
        <v>75834</v>
      </c>
    </row>
    <row r="7949" spans="1:10" x14ac:dyDescent="0.75">
      <c r="A7949" t="s">
        <v>160</v>
      </c>
      <c r="B7949">
        <v>3204</v>
      </c>
      <c r="C7949" t="s">
        <v>172</v>
      </c>
      <c r="D7949">
        <v>7110</v>
      </c>
      <c r="E7949" t="s">
        <v>371</v>
      </c>
      <c r="F7949" s="4">
        <v>700</v>
      </c>
      <c r="G7949" s="4">
        <v>71839</v>
      </c>
      <c r="H7949" s="4">
        <v>71839</v>
      </c>
      <c r="I7949" s="4">
        <v>0</v>
      </c>
      <c r="J7949" s="4">
        <v>72539</v>
      </c>
    </row>
    <row r="7950" spans="1:10" x14ac:dyDescent="0.75">
      <c r="A7950" t="s">
        <v>160</v>
      </c>
      <c r="B7950">
        <v>3204</v>
      </c>
      <c r="C7950" t="s">
        <v>172</v>
      </c>
      <c r="D7950">
        <v>6782</v>
      </c>
      <c r="E7950" t="s">
        <v>396</v>
      </c>
      <c r="F7950" s="4">
        <v>0</v>
      </c>
      <c r="G7950" s="4">
        <v>69179</v>
      </c>
      <c r="H7950" s="4">
        <v>0</v>
      </c>
      <c r="I7950" s="4">
        <v>69179</v>
      </c>
      <c r="J7950" s="4">
        <v>69179</v>
      </c>
    </row>
    <row r="7951" spans="1:10" x14ac:dyDescent="0.75">
      <c r="A7951" t="s">
        <v>160</v>
      </c>
      <c r="B7951">
        <v>3204</v>
      </c>
      <c r="C7951" t="s">
        <v>172</v>
      </c>
      <c r="D7951">
        <v>5330</v>
      </c>
      <c r="E7951" t="s">
        <v>385</v>
      </c>
      <c r="F7951" s="4">
        <v>0</v>
      </c>
      <c r="G7951" s="4">
        <v>65739</v>
      </c>
      <c r="H7951" s="4">
        <v>65739</v>
      </c>
      <c r="I7951" s="4">
        <v>0</v>
      </c>
      <c r="J7951" s="4">
        <v>65739</v>
      </c>
    </row>
    <row r="7952" spans="1:10" x14ac:dyDescent="0.75">
      <c r="A7952" t="s">
        <v>160</v>
      </c>
      <c r="B7952">
        <v>3204</v>
      </c>
      <c r="C7952" t="s">
        <v>172</v>
      </c>
      <c r="D7952">
        <v>2330</v>
      </c>
      <c r="E7952" t="s">
        <v>368</v>
      </c>
      <c r="F7952" s="4">
        <v>60751</v>
      </c>
      <c r="G7952" s="4">
        <v>3110</v>
      </c>
      <c r="H7952" s="4">
        <v>0</v>
      </c>
      <c r="I7952" s="4">
        <v>3110</v>
      </c>
      <c r="J7952" s="4">
        <v>63861</v>
      </c>
    </row>
    <row r="7953" spans="1:10" x14ac:dyDescent="0.75">
      <c r="A7953" t="s">
        <v>160</v>
      </c>
      <c r="B7953">
        <v>3204</v>
      </c>
      <c r="C7953" t="s">
        <v>172</v>
      </c>
      <c r="D7953">
        <v>3130</v>
      </c>
      <c r="E7953" t="s">
        <v>407</v>
      </c>
      <c r="F7953" s="4">
        <v>0</v>
      </c>
      <c r="G7953" s="4">
        <v>49604</v>
      </c>
      <c r="H7953" s="4">
        <v>30313</v>
      </c>
      <c r="I7953" s="4">
        <v>19291</v>
      </c>
      <c r="J7953" s="4">
        <v>49604</v>
      </c>
    </row>
    <row r="7954" spans="1:10" x14ac:dyDescent="0.75">
      <c r="A7954" t="s">
        <v>160</v>
      </c>
      <c r="B7954">
        <v>3204</v>
      </c>
      <c r="C7954" t="s">
        <v>172</v>
      </c>
      <c r="D7954">
        <v>4860</v>
      </c>
      <c r="E7954" t="s">
        <v>400</v>
      </c>
      <c r="F7954" s="4">
        <v>15882</v>
      </c>
      <c r="G7954" s="4">
        <v>26455</v>
      </c>
      <c r="H7954" s="4">
        <v>26455</v>
      </c>
      <c r="I7954" s="4">
        <v>0</v>
      </c>
      <c r="J7954" s="4">
        <v>42337</v>
      </c>
    </row>
    <row r="7955" spans="1:10" x14ac:dyDescent="0.75">
      <c r="A7955" t="s">
        <v>160</v>
      </c>
      <c r="B7955">
        <v>3204</v>
      </c>
      <c r="C7955" t="s">
        <v>172</v>
      </c>
      <c r="D7955">
        <v>2430</v>
      </c>
      <c r="E7955" t="s">
        <v>376</v>
      </c>
      <c r="F7955" s="4">
        <v>35979</v>
      </c>
      <c r="G7955" s="4">
        <v>0</v>
      </c>
      <c r="H7955" s="4">
        <v>0</v>
      </c>
      <c r="I7955" s="4">
        <v>0</v>
      </c>
      <c r="J7955" s="4">
        <v>35979</v>
      </c>
    </row>
    <row r="7956" spans="1:10" x14ac:dyDescent="0.75">
      <c r="A7956" t="s">
        <v>160</v>
      </c>
      <c r="B7956">
        <v>3204</v>
      </c>
      <c r="C7956" t="s">
        <v>172</v>
      </c>
      <c r="D7956">
        <v>3110</v>
      </c>
      <c r="E7956" t="s">
        <v>405</v>
      </c>
      <c r="F7956" s="4">
        <v>0</v>
      </c>
      <c r="G7956" s="4">
        <v>34721</v>
      </c>
      <c r="H7956" s="4">
        <v>34721</v>
      </c>
      <c r="I7956" s="4">
        <v>0</v>
      </c>
      <c r="J7956" s="4">
        <v>34721</v>
      </c>
    </row>
    <row r="7957" spans="1:10" x14ac:dyDescent="0.75">
      <c r="A7957" t="s">
        <v>160</v>
      </c>
      <c r="B7957">
        <v>3204</v>
      </c>
      <c r="C7957" t="s">
        <v>172</v>
      </c>
      <c r="D7957">
        <v>4690</v>
      </c>
      <c r="E7957" t="s">
        <v>428</v>
      </c>
      <c r="F7957" s="4">
        <v>0</v>
      </c>
      <c r="G7957" s="4">
        <v>31967</v>
      </c>
      <c r="H7957" s="4">
        <v>0</v>
      </c>
      <c r="I7957" s="4">
        <v>31967</v>
      </c>
      <c r="J7957" s="4">
        <v>31967</v>
      </c>
    </row>
    <row r="7958" spans="1:10" x14ac:dyDescent="0.75">
      <c r="A7958" t="s">
        <v>160</v>
      </c>
      <c r="B7958">
        <v>3204</v>
      </c>
      <c r="C7958" t="s">
        <v>172</v>
      </c>
      <c r="D7958">
        <v>5190</v>
      </c>
      <c r="E7958" t="s">
        <v>462</v>
      </c>
      <c r="F7958" s="4">
        <v>0</v>
      </c>
      <c r="G7958" s="4">
        <v>30314</v>
      </c>
      <c r="H7958" s="4">
        <v>0</v>
      </c>
      <c r="I7958" s="4">
        <v>30314</v>
      </c>
      <c r="J7958" s="4">
        <v>30314</v>
      </c>
    </row>
    <row r="7959" spans="1:10" x14ac:dyDescent="0.75">
      <c r="A7959" t="s">
        <v>160</v>
      </c>
      <c r="B7959">
        <v>3204</v>
      </c>
      <c r="C7959" t="s">
        <v>172</v>
      </c>
      <c r="D7959">
        <v>4680</v>
      </c>
      <c r="E7959" t="s">
        <v>459</v>
      </c>
      <c r="F7959" s="4">
        <v>0</v>
      </c>
      <c r="G7959" s="4">
        <v>23039</v>
      </c>
      <c r="H7959" s="4">
        <v>23039</v>
      </c>
      <c r="I7959" s="4">
        <v>0</v>
      </c>
      <c r="J7959" s="4">
        <v>23039</v>
      </c>
    </row>
    <row r="7960" spans="1:10" x14ac:dyDescent="0.75">
      <c r="A7960" t="s">
        <v>160</v>
      </c>
      <c r="B7960">
        <v>3204</v>
      </c>
      <c r="C7960" t="s">
        <v>172</v>
      </c>
      <c r="D7960">
        <v>5480</v>
      </c>
      <c r="E7960" t="s">
        <v>386</v>
      </c>
      <c r="F7960" s="4">
        <v>0</v>
      </c>
      <c r="G7960" s="4">
        <v>6078</v>
      </c>
      <c r="H7960" s="4">
        <v>0</v>
      </c>
      <c r="I7960" s="4">
        <v>6078</v>
      </c>
      <c r="J7960" s="4">
        <v>6078</v>
      </c>
    </row>
    <row r="7961" spans="1:10" x14ac:dyDescent="0.75">
      <c r="A7961" t="s">
        <v>160</v>
      </c>
      <c r="B7961">
        <v>3204</v>
      </c>
      <c r="C7961" t="s">
        <v>172</v>
      </c>
      <c r="D7961">
        <v>6590</v>
      </c>
      <c r="E7961" t="s">
        <v>394</v>
      </c>
      <c r="F7961" s="4">
        <v>0</v>
      </c>
      <c r="G7961" s="4">
        <v>6063</v>
      </c>
      <c r="H7961" s="4">
        <v>6063</v>
      </c>
      <c r="I7961" s="4">
        <v>0</v>
      </c>
      <c r="J7961" s="4">
        <v>6063</v>
      </c>
    </row>
    <row r="7962" spans="1:10" x14ac:dyDescent="0.75">
      <c r="A7962" t="s">
        <v>160</v>
      </c>
      <c r="B7962">
        <v>3204</v>
      </c>
      <c r="C7962" t="s">
        <v>172</v>
      </c>
      <c r="D7962">
        <v>7500</v>
      </c>
      <c r="E7962" t="s">
        <v>427</v>
      </c>
      <c r="F7962" s="4">
        <v>0</v>
      </c>
      <c r="G7962" s="4">
        <v>5177</v>
      </c>
      <c r="H7962" s="4">
        <v>5177</v>
      </c>
      <c r="I7962" s="4">
        <v>0</v>
      </c>
      <c r="J7962" s="4">
        <v>5177</v>
      </c>
    </row>
    <row r="7963" spans="1:10" x14ac:dyDescent="0.75">
      <c r="A7963" t="s">
        <v>160</v>
      </c>
      <c r="B7963">
        <v>3204</v>
      </c>
      <c r="C7963" t="s">
        <v>172</v>
      </c>
      <c r="D7963">
        <v>4900</v>
      </c>
      <c r="E7963" t="s">
        <v>383</v>
      </c>
      <c r="F7963" s="4">
        <v>0</v>
      </c>
      <c r="G7963" s="4">
        <v>4750</v>
      </c>
      <c r="H7963" s="4">
        <v>4750</v>
      </c>
      <c r="I7963" s="4">
        <v>0</v>
      </c>
      <c r="J7963" s="4">
        <v>4750</v>
      </c>
    </row>
    <row r="7964" spans="1:10" x14ac:dyDescent="0.75">
      <c r="A7964" t="s">
        <v>160</v>
      </c>
      <c r="B7964">
        <v>3204</v>
      </c>
      <c r="C7964" t="s">
        <v>172</v>
      </c>
      <c r="D7964">
        <v>7120</v>
      </c>
      <c r="E7964" t="s">
        <v>499</v>
      </c>
      <c r="F7964" s="4">
        <v>0</v>
      </c>
      <c r="G7964" s="4">
        <v>3314</v>
      </c>
      <c r="H7964" s="4">
        <v>3314</v>
      </c>
      <c r="I7964" s="4">
        <v>0</v>
      </c>
      <c r="J7964" s="4">
        <v>3314</v>
      </c>
    </row>
    <row r="7965" spans="1:10" x14ac:dyDescent="0.75">
      <c r="A7965" t="s">
        <v>160</v>
      </c>
      <c r="B7965">
        <v>3204</v>
      </c>
      <c r="C7965" t="s">
        <v>172</v>
      </c>
      <c r="D7965">
        <v>4650</v>
      </c>
      <c r="E7965" t="s">
        <v>457</v>
      </c>
      <c r="F7965" s="4">
        <v>0</v>
      </c>
      <c r="G7965" s="4">
        <v>2541</v>
      </c>
      <c r="H7965" s="4">
        <v>2541</v>
      </c>
      <c r="I7965" s="4">
        <v>0</v>
      </c>
      <c r="J7965" s="4">
        <v>2541</v>
      </c>
    </row>
    <row r="7966" spans="1:10" x14ac:dyDescent="0.75">
      <c r="A7966" t="s">
        <v>160</v>
      </c>
      <c r="B7966">
        <v>3204</v>
      </c>
      <c r="C7966" t="s">
        <v>172</v>
      </c>
      <c r="D7966">
        <v>3276</v>
      </c>
      <c r="E7966" t="s">
        <v>379</v>
      </c>
      <c r="F7966" s="4">
        <v>0</v>
      </c>
      <c r="G7966" s="4">
        <v>1104</v>
      </c>
      <c r="H7966" s="4">
        <v>1104</v>
      </c>
      <c r="I7966" s="4">
        <v>0</v>
      </c>
      <c r="J7966" s="4">
        <v>1104</v>
      </c>
    </row>
    <row r="7967" spans="1:10" x14ac:dyDescent="0.75">
      <c r="A7967" t="s">
        <v>160</v>
      </c>
      <c r="B7967">
        <v>3204</v>
      </c>
      <c r="C7967" t="s">
        <v>172</v>
      </c>
      <c r="D7967">
        <v>5290</v>
      </c>
      <c r="E7967" t="s">
        <v>415</v>
      </c>
      <c r="F7967" s="4">
        <v>0</v>
      </c>
      <c r="G7967" s="4">
        <v>23</v>
      </c>
      <c r="H7967" s="4">
        <v>0</v>
      </c>
      <c r="I7967" s="4">
        <v>23</v>
      </c>
      <c r="J7967" s="4">
        <v>23</v>
      </c>
    </row>
    <row r="7968" spans="1:10" x14ac:dyDescent="0.75">
      <c r="A7968" t="s">
        <v>163</v>
      </c>
      <c r="B7968">
        <v>6109</v>
      </c>
      <c r="C7968" t="s">
        <v>199</v>
      </c>
      <c r="D7968">
        <v>6241</v>
      </c>
      <c r="E7968" t="s">
        <v>391</v>
      </c>
      <c r="F7968" s="4">
        <v>1045813</v>
      </c>
      <c r="G7968" s="4">
        <v>0</v>
      </c>
      <c r="H7968" s="4">
        <v>0</v>
      </c>
      <c r="I7968" s="4">
        <v>0</v>
      </c>
      <c r="J7968" s="4">
        <v>1045813</v>
      </c>
    </row>
    <row r="7969" spans="1:10" x14ac:dyDescent="0.75">
      <c r="A7969" t="s">
        <v>163</v>
      </c>
      <c r="B7969">
        <v>6109</v>
      </c>
      <c r="C7969" t="s">
        <v>199</v>
      </c>
      <c r="D7969">
        <v>3110</v>
      </c>
      <c r="E7969" t="s">
        <v>405</v>
      </c>
      <c r="F7969" s="4">
        <v>711904</v>
      </c>
      <c r="G7969" s="4">
        <v>0</v>
      </c>
      <c r="H7969" s="4">
        <v>0</v>
      </c>
      <c r="I7969" s="4">
        <v>0</v>
      </c>
      <c r="J7969" s="4">
        <v>711904</v>
      </c>
    </row>
    <row r="7970" spans="1:10" x14ac:dyDescent="0.75">
      <c r="A7970" t="s">
        <v>163</v>
      </c>
      <c r="B7970">
        <v>6109</v>
      </c>
      <c r="C7970" t="s">
        <v>199</v>
      </c>
      <c r="D7970">
        <v>3190</v>
      </c>
      <c r="E7970" t="s">
        <v>408</v>
      </c>
      <c r="F7970" s="4">
        <v>543933</v>
      </c>
      <c r="G7970" s="4">
        <v>0</v>
      </c>
      <c r="H7970" s="4">
        <v>0</v>
      </c>
      <c r="I7970" s="4">
        <v>0</v>
      </c>
      <c r="J7970" s="4">
        <v>543933</v>
      </c>
    </row>
    <row r="7971" spans="1:10" x14ac:dyDescent="0.75">
      <c r="A7971" t="s">
        <v>163</v>
      </c>
      <c r="B7971">
        <v>6109</v>
      </c>
      <c r="C7971" t="s">
        <v>199</v>
      </c>
      <c r="D7971">
        <v>6522</v>
      </c>
      <c r="E7971" t="s">
        <v>393</v>
      </c>
      <c r="F7971" s="4">
        <v>529156</v>
      </c>
      <c r="G7971" s="4">
        <v>0</v>
      </c>
      <c r="H7971" s="4">
        <v>0</v>
      </c>
      <c r="I7971" s="4">
        <v>0</v>
      </c>
      <c r="J7971" s="4">
        <v>529156</v>
      </c>
    </row>
    <row r="7972" spans="1:10" x14ac:dyDescent="0.75">
      <c r="A7972" t="s">
        <v>163</v>
      </c>
      <c r="B7972">
        <v>6109</v>
      </c>
      <c r="C7972" t="s">
        <v>199</v>
      </c>
      <c r="D7972">
        <v>3273</v>
      </c>
      <c r="E7972" t="s">
        <v>411</v>
      </c>
      <c r="F7972" s="4">
        <v>270009</v>
      </c>
      <c r="G7972" s="4">
        <v>0</v>
      </c>
      <c r="H7972" s="4">
        <v>0</v>
      </c>
      <c r="I7972" s="4">
        <v>0</v>
      </c>
      <c r="J7972" s="4">
        <v>270009</v>
      </c>
    </row>
    <row r="7973" spans="1:10" x14ac:dyDescent="0.75">
      <c r="A7973" t="s">
        <v>163</v>
      </c>
      <c r="B7973">
        <v>6109</v>
      </c>
      <c r="C7973" t="s">
        <v>199</v>
      </c>
      <c r="D7973">
        <v>3130</v>
      </c>
      <c r="E7973" t="s">
        <v>407</v>
      </c>
      <c r="F7973" s="4">
        <v>266613</v>
      </c>
      <c r="G7973" s="4">
        <v>0</v>
      </c>
      <c r="H7973" s="4">
        <v>0</v>
      </c>
      <c r="I7973" s="4">
        <v>0</v>
      </c>
      <c r="J7973" s="4">
        <v>266613</v>
      </c>
    </row>
    <row r="7974" spans="1:10" x14ac:dyDescent="0.75">
      <c r="A7974" t="s">
        <v>163</v>
      </c>
      <c r="B7974">
        <v>6109</v>
      </c>
      <c r="C7974" t="s">
        <v>199</v>
      </c>
      <c r="D7974">
        <v>1200</v>
      </c>
      <c r="E7974" t="s">
        <v>402</v>
      </c>
      <c r="F7974" s="4">
        <v>204890</v>
      </c>
      <c r="G7974" s="4">
        <v>0</v>
      </c>
      <c r="H7974" s="4">
        <v>0</v>
      </c>
      <c r="I7974" s="4">
        <v>0</v>
      </c>
      <c r="J7974" s="4">
        <v>204890</v>
      </c>
    </row>
    <row r="7975" spans="1:10" x14ac:dyDescent="0.75">
      <c r="A7975" t="s">
        <v>163</v>
      </c>
      <c r="B7975">
        <v>6109</v>
      </c>
      <c r="C7975" t="s">
        <v>199</v>
      </c>
      <c r="D7975">
        <v>2540</v>
      </c>
      <c r="E7975" t="s">
        <v>377</v>
      </c>
      <c r="F7975" s="4">
        <v>146932</v>
      </c>
      <c r="G7975" s="4">
        <v>0</v>
      </c>
      <c r="H7975" s="4">
        <v>0</v>
      </c>
      <c r="I7975" s="4">
        <v>0</v>
      </c>
      <c r="J7975" s="4">
        <v>146932</v>
      </c>
    </row>
    <row r="7976" spans="1:10" x14ac:dyDescent="0.75">
      <c r="A7976" t="s">
        <v>163</v>
      </c>
      <c r="B7976">
        <v>6109</v>
      </c>
      <c r="C7976" t="s">
        <v>199</v>
      </c>
      <c r="D7976">
        <v>4420</v>
      </c>
      <c r="E7976" t="s">
        <v>381</v>
      </c>
      <c r="F7976" s="4">
        <v>129907</v>
      </c>
      <c r="G7976" s="4">
        <v>0</v>
      </c>
      <c r="H7976" s="4">
        <v>0</v>
      </c>
      <c r="I7976" s="4">
        <v>0</v>
      </c>
      <c r="J7976" s="4">
        <v>129907</v>
      </c>
    </row>
    <row r="7977" spans="1:10" x14ac:dyDescent="0.75">
      <c r="A7977" t="s">
        <v>163</v>
      </c>
      <c r="B7977">
        <v>6109</v>
      </c>
      <c r="C7977" t="s">
        <v>199</v>
      </c>
      <c r="D7977">
        <v>5330</v>
      </c>
      <c r="E7977" t="s">
        <v>385</v>
      </c>
      <c r="F7977" s="4">
        <v>95241</v>
      </c>
      <c r="G7977" s="4">
        <v>0</v>
      </c>
      <c r="H7977" s="4">
        <v>0</v>
      </c>
      <c r="I7977" s="4">
        <v>0</v>
      </c>
      <c r="J7977" s="4">
        <v>95241</v>
      </c>
    </row>
    <row r="7978" spans="1:10" x14ac:dyDescent="0.75">
      <c r="A7978" t="s">
        <v>163</v>
      </c>
      <c r="B7978">
        <v>6109</v>
      </c>
      <c r="C7978" t="s">
        <v>199</v>
      </c>
      <c r="D7978">
        <v>3120</v>
      </c>
      <c r="E7978" t="s">
        <v>406</v>
      </c>
      <c r="F7978" s="4">
        <v>90787</v>
      </c>
      <c r="G7978" s="4">
        <v>0</v>
      </c>
      <c r="H7978" s="4">
        <v>0</v>
      </c>
      <c r="I7978" s="4">
        <v>0</v>
      </c>
      <c r="J7978" s="4">
        <v>90787</v>
      </c>
    </row>
    <row r="7979" spans="1:10" x14ac:dyDescent="0.75">
      <c r="A7979" t="s">
        <v>163</v>
      </c>
      <c r="B7979">
        <v>6109</v>
      </c>
      <c r="C7979" t="s">
        <v>199</v>
      </c>
      <c r="D7979">
        <v>4650</v>
      </c>
      <c r="E7979" t="s">
        <v>457</v>
      </c>
      <c r="F7979" s="4">
        <v>51173</v>
      </c>
      <c r="G7979" s="4">
        <v>0</v>
      </c>
      <c r="H7979" s="4">
        <v>0</v>
      </c>
      <c r="I7979" s="4">
        <v>0</v>
      </c>
      <c r="J7979" s="4">
        <v>51173</v>
      </c>
    </row>
    <row r="7980" spans="1:10" x14ac:dyDescent="0.75">
      <c r="A7980" t="s">
        <v>163</v>
      </c>
      <c r="B7980">
        <v>6109</v>
      </c>
      <c r="C7980" t="s">
        <v>199</v>
      </c>
      <c r="D7980">
        <v>1100</v>
      </c>
      <c r="E7980" t="s">
        <v>397</v>
      </c>
      <c r="F7980" s="4">
        <v>35849</v>
      </c>
      <c r="G7980" s="4">
        <v>0</v>
      </c>
      <c r="H7980" s="4">
        <v>0</v>
      </c>
      <c r="I7980" s="4">
        <v>0</v>
      </c>
      <c r="J7980" s="4">
        <v>35849</v>
      </c>
    </row>
    <row r="7981" spans="1:10" x14ac:dyDescent="0.75">
      <c r="A7981" t="s">
        <v>163</v>
      </c>
      <c r="B7981">
        <v>6109</v>
      </c>
      <c r="C7981" t="s">
        <v>199</v>
      </c>
      <c r="D7981">
        <v>5312</v>
      </c>
      <c r="E7981" t="s">
        <v>416</v>
      </c>
      <c r="F7981" s="4">
        <v>29508</v>
      </c>
      <c r="G7981" s="4">
        <v>0</v>
      </c>
      <c r="H7981" s="4">
        <v>0</v>
      </c>
      <c r="I7981" s="4">
        <v>0</v>
      </c>
      <c r="J7981" s="4">
        <v>29508</v>
      </c>
    </row>
    <row r="7982" spans="1:10" x14ac:dyDescent="0.75">
      <c r="A7982" t="s">
        <v>163</v>
      </c>
      <c r="B7982">
        <v>6109</v>
      </c>
      <c r="C7982" t="s">
        <v>199</v>
      </c>
      <c r="D7982">
        <v>2430</v>
      </c>
      <c r="E7982" t="s">
        <v>376</v>
      </c>
      <c r="F7982" s="4">
        <v>23491</v>
      </c>
      <c r="G7982" s="4">
        <v>0</v>
      </c>
      <c r="H7982" s="4">
        <v>0</v>
      </c>
      <c r="I7982" s="4">
        <v>0</v>
      </c>
      <c r="J7982" s="4">
        <v>23491</v>
      </c>
    </row>
    <row r="7983" spans="1:10" x14ac:dyDescent="0.75">
      <c r="A7983" t="s">
        <v>163</v>
      </c>
      <c r="B7983">
        <v>6109</v>
      </c>
      <c r="C7983" t="s">
        <v>199</v>
      </c>
      <c r="D7983">
        <v>4783</v>
      </c>
      <c r="E7983" t="s">
        <v>382</v>
      </c>
      <c r="F7983" s="4">
        <v>14248</v>
      </c>
      <c r="G7983" s="4">
        <v>0</v>
      </c>
      <c r="H7983" s="4">
        <v>0</v>
      </c>
      <c r="I7983" s="4">
        <v>0</v>
      </c>
      <c r="J7983" s="4">
        <v>14248</v>
      </c>
    </row>
    <row r="7984" spans="1:10" x14ac:dyDescent="0.75">
      <c r="A7984" t="s">
        <v>163</v>
      </c>
      <c r="B7984">
        <v>6109</v>
      </c>
      <c r="C7984" t="s">
        <v>199</v>
      </c>
      <c r="D7984">
        <v>2100</v>
      </c>
      <c r="E7984" t="s">
        <v>403</v>
      </c>
      <c r="F7984" s="4">
        <v>12632</v>
      </c>
      <c r="G7984" s="4">
        <v>0</v>
      </c>
      <c r="H7984" s="4">
        <v>0</v>
      </c>
      <c r="I7984" s="4">
        <v>0</v>
      </c>
      <c r="J7984" s="4">
        <v>12632</v>
      </c>
    </row>
    <row r="7985" spans="1:10" x14ac:dyDescent="0.75">
      <c r="A7985" t="s">
        <v>163</v>
      </c>
      <c r="B7985">
        <v>6109</v>
      </c>
      <c r="C7985" t="s">
        <v>199</v>
      </c>
      <c r="D7985">
        <v>3274</v>
      </c>
      <c r="E7985" t="s">
        <v>438</v>
      </c>
      <c r="F7985" s="4">
        <v>12584</v>
      </c>
      <c r="G7985" s="4">
        <v>0</v>
      </c>
      <c r="H7985" s="4">
        <v>0</v>
      </c>
      <c r="I7985" s="4">
        <v>0</v>
      </c>
      <c r="J7985" s="4">
        <v>12584</v>
      </c>
    </row>
    <row r="7986" spans="1:10" x14ac:dyDescent="0.75">
      <c r="A7986" t="s">
        <v>163</v>
      </c>
      <c r="B7986">
        <v>6109</v>
      </c>
      <c r="C7986" t="s">
        <v>199</v>
      </c>
      <c r="D7986">
        <v>6865</v>
      </c>
      <c r="E7986" t="s">
        <v>490</v>
      </c>
      <c r="F7986" s="4">
        <v>9561</v>
      </c>
      <c r="G7986" s="4">
        <v>0</v>
      </c>
      <c r="H7986" s="4">
        <v>0</v>
      </c>
      <c r="I7986" s="4">
        <v>0</v>
      </c>
      <c r="J7986" s="4">
        <v>9561</v>
      </c>
    </row>
    <row r="7987" spans="1:10" x14ac:dyDescent="0.75">
      <c r="A7987" t="s">
        <v>163</v>
      </c>
      <c r="B7987">
        <v>6109</v>
      </c>
      <c r="C7987" t="s">
        <v>199</v>
      </c>
      <c r="D7987">
        <v>6782</v>
      </c>
      <c r="E7987" t="s">
        <v>396</v>
      </c>
      <c r="F7987" s="4">
        <v>9362</v>
      </c>
      <c r="G7987" s="4">
        <v>0</v>
      </c>
      <c r="H7987" s="4">
        <v>0</v>
      </c>
      <c r="I7987" s="4">
        <v>0</v>
      </c>
      <c r="J7987" s="4">
        <v>9362</v>
      </c>
    </row>
    <row r="7988" spans="1:10" x14ac:dyDescent="0.75">
      <c r="A7988" t="s">
        <v>163</v>
      </c>
      <c r="B7988">
        <v>6109</v>
      </c>
      <c r="C7988" t="s">
        <v>199</v>
      </c>
      <c r="D7988">
        <v>4860</v>
      </c>
      <c r="E7988" t="s">
        <v>400</v>
      </c>
      <c r="F7988" s="4">
        <v>4839</v>
      </c>
      <c r="G7988" s="4">
        <v>0</v>
      </c>
      <c r="H7988" s="4">
        <v>0</v>
      </c>
      <c r="I7988" s="4">
        <v>0</v>
      </c>
      <c r="J7988" s="4">
        <v>4839</v>
      </c>
    </row>
    <row r="7989" spans="1:10" x14ac:dyDescent="0.75">
      <c r="A7989" t="s">
        <v>163</v>
      </c>
      <c r="B7989">
        <v>6109</v>
      </c>
      <c r="C7989" t="s">
        <v>199</v>
      </c>
      <c r="D7989">
        <v>4670</v>
      </c>
      <c r="E7989" t="s">
        <v>458</v>
      </c>
      <c r="F7989" s="4">
        <v>4632</v>
      </c>
      <c r="G7989" s="4">
        <v>0</v>
      </c>
      <c r="H7989" s="4">
        <v>0</v>
      </c>
      <c r="I7989" s="4">
        <v>0</v>
      </c>
      <c r="J7989" s="4">
        <v>4632</v>
      </c>
    </row>
    <row r="7990" spans="1:10" x14ac:dyDescent="0.75">
      <c r="A7990" t="s">
        <v>163</v>
      </c>
      <c r="B7990">
        <v>6109</v>
      </c>
      <c r="C7990" t="s">
        <v>199</v>
      </c>
      <c r="D7990">
        <v>2330</v>
      </c>
      <c r="E7990" t="s">
        <v>368</v>
      </c>
      <c r="F7990" s="4">
        <v>4461</v>
      </c>
      <c r="G7990" s="4">
        <v>0</v>
      </c>
      <c r="H7990" s="4">
        <v>0</v>
      </c>
      <c r="I7990" s="4">
        <v>0</v>
      </c>
      <c r="J7990" s="4">
        <v>4461</v>
      </c>
    </row>
    <row r="7991" spans="1:10" x14ac:dyDescent="0.75">
      <c r="A7991" t="s">
        <v>163</v>
      </c>
      <c r="B7991">
        <v>6109</v>
      </c>
      <c r="C7991" t="s">
        <v>199</v>
      </c>
      <c r="D7991">
        <v>2340</v>
      </c>
      <c r="E7991" t="s">
        <v>369</v>
      </c>
      <c r="F7991" s="4">
        <v>3126</v>
      </c>
      <c r="G7991" s="4">
        <v>0</v>
      </c>
      <c r="H7991" s="4">
        <v>0</v>
      </c>
      <c r="I7991" s="4">
        <v>0</v>
      </c>
      <c r="J7991" s="4">
        <v>3126</v>
      </c>
    </row>
    <row r="7992" spans="1:10" x14ac:dyDescent="0.75">
      <c r="A7992" t="s">
        <v>163</v>
      </c>
      <c r="B7992">
        <v>6109</v>
      </c>
      <c r="C7992" t="s">
        <v>199</v>
      </c>
      <c r="D7992">
        <v>4331</v>
      </c>
      <c r="E7992" t="s">
        <v>390</v>
      </c>
      <c r="F7992" s="4">
        <v>3069</v>
      </c>
      <c r="G7992" s="4">
        <v>0</v>
      </c>
      <c r="H7992" s="4">
        <v>0</v>
      </c>
      <c r="I7992" s="4">
        <v>0</v>
      </c>
      <c r="J7992" s="4">
        <v>3069</v>
      </c>
    </row>
    <row r="7993" spans="1:10" x14ac:dyDescent="0.75">
      <c r="A7993" t="s">
        <v>163</v>
      </c>
      <c r="B7993">
        <v>6109</v>
      </c>
      <c r="C7993" t="s">
        <v>199</v>
      </c>
      <c r="D7993">
        <v>7110</v>
      </c>
      <c r="E7993" t="s">
        <v>371</v>
      </c>
      <c r="F7993" s="4">
        <v>2801</v>
      </c>
      <c r="G7993" s="4">
        <v>0</v>
      </c>
      <c r="H7993" s="4">
        <v>0</v>
      </c>
      <c r="I7993" s="4">
        <v>0</v>
      </c>
      <c r="J7993" s="4">
        <v>2801</v>
      </c>
    </row>
    <row r="7994" spans="1:10" x14ac:dyDescent="0.75">
      <c r="A7994" t="s">
        <v>163</v>
      </c>
      <c r="B7994">
        <v>6109</v>
      </c>
      <c r="C7994" t="s">
        <v>199</v>
      </c>
      <c r="D7994">
        <v>5390</v>
      </c>
      <c r="E7994" t="s">
        <v>418</v>
      </c>
      <c r="F7994" s="4">
        <v>1534</v>
      </c>
      <c r="G7994" s="4">
        <v>0</v>
      </c>
      <c r="H7994" s="4">
        <v>0</v>
      </c>
      <c r="I7994" s="4">
        <v>0</v>
      </c>
      <c r="J7994" s="4">
        <v>1534</v>
      </c>
    </row>
    <row r="7995" spans="1:10" x14ac:dyDescent="0.75">
      <c r="A7995" t="s">
        <v>163</v>
      </c>
      <c r="B7995">
        <v>6109</v>
      </c>
      <c r="C7995" t="s">
        <v>199</v>
      </c>
      <c r="D7995">
        <v>4410</v>
      </c>
      <c r="E7995" t="s">
        <v>399</v>
      </c>
      <c r="F7995" s="4">
        <v>1421</v>
      </c>
      <c r="G7995" s="4">
        <v>0</v>
      </c>
      <c r="H7995" s="4">
        <v>0</v>
      </c>
      <c r="I7995" s="4">
        <v>0</v>
      </c>
      <c r="J7995" s="4">
        <v>1421</v>
      </c>
    </row>
    <row r="7996" spans="1:10" x14ac:dyDescent="0.75">
      <c r="A7996" t="s">
        <v>163</v>
      </c>
      <c r="B7996">
        <v>6109</v>
      </c>
      <c r="C7996" t="s">
        <v>199</v>
      </c>
      <c r="D7996">
        <v>5360</v>
      </c>
      <c r="E7996" t="s">
        <v>465</v>
      </c>
      <c r="F7996" s="4">
        <v>1406</v>
      </c>
      <c r="G7996" s="4">
        <v>0</v>
      </c>
      <c r="H7996" s="4">
        <v>0</v>
      </c>
      <c r="I7996" s="4">
        <v>0</v>
      </c>
      <c r="J7996" s="4">
        <v>1406</v>
      </c>
    </row>
    <row r="7997" spans="1:10" x14ac:dyDescent="0.75">
      <c r="A7997" t="s">
        <v>163</v>
      </c>
      <c r="B7997">
        <v>6109</v>
      </c>
      <c r="C7997" t="s">
        <v>199</v>
      </c>
      <c r="D7997">
        <v>4782</v>
      </c>
      <c r="E7997" t="s">
        <v>414</v>
      </c>
      <c r="F7997" s="4">
        <v>1186</v>
      </c>
      <c r="G7997" s="4">
        <v>0</v>
      </c>
      <c r="H7997" s="4">
        <v>0</v>
      </c>
      <c r="I7997" s="4">
        <v>0</v>
      </c>
      <c r="J7997" s="4">
        <v>1186</v>
      </c>
    </row>
    <row r="7998" spans="1:10" x14ac:dyDescent="0.75">
      <c r="A7998" t="s">
        <v>160</v>
      </c>
      <c r="B7998">
        <v>3926</v>
      </c>
      <c r="C7998" t="s">
        <v>169</v>
      </c>
      <c r="D7998">
        <v>4410</v>
      </c>
      <c r="E7998" t="s">
        <v>399</v>
      </c>
      <c r="F7998" s="4">
        <v>11490110</v>
      </c>
      <c r="G7998" s="4">
        <v>4083910</v>
      </c>
      <c r="H7998" s="4">
        <v>0</v>
      </c>
      <c r="I7998" s="4">
        <v>4083910</v>
      </c>
      <c r="J7998" s="4">
        <v>15574020</v>
      </c>
    </row>
    <row r="7999" spans="1:10" x14ac:dyDescent="0.75">
      <c r="A7999" t="s">
        <v>160</v>
      </c>
      <c r="B7999">
        <v>3926</v>
      </c>
      <c r="C7999" t="s">
        <v>169</v>
      </c>
      <c r="D7999">
        <v>3299</v>
      </c>
      <c r="E7999" t="s">
        <v>448</v>
      </c>
      <c r="F7999" s="4">
        <v>0</v>
      </c>
      <c r="G7999" s="4">
        <v>155304</v>
      </c>
      <c r="H7999" s="4">
        <v>0</v>
      </c>
      <c r="I7999" s="4">
        <v>155304</v>
      </c>
      <c r="J7999" s="4">
        <v>155304</v>
      </c>
    </row>
    <row r="8000" spans="1:10" x14ac:dyDescent="0.75">
      <c r="A8000" t="s">
        <v>160</v>
      </c>
      <c r="B8000">
        <v>3926</v>
      </c>
      <c r="C8000" t="s">
        <v>169</v>
      </c>
      <c r="D8000">
        <v>4690</v>
      </c>
      <c r="E8000" t="s">
        <v>428</v>
      </c>
      <c r="F8000" s="4">
        <v>0</v>
      </c>
      <c r="G8000" s="4">
        <v>33531</v>
      </c>
      <c r="H8000" s="4">
        <v>0</v>
      </c>
      <c r="I8000" s="4">
        <v>33531</v>
      </c>
      <c r="J8000" s="4">
        <v>33531</v>
      </c>
    </row>
    <row r="8001" spans="1:10" x14ac:dyDescent="0.75">
      <c r="A8001" t="s">
        <v>151</v>
      </c>
      <c r="B8001">
        <v>4939</v>
      </c>
      <c r="C8001" t="s">
        <v>59</v>
      </c>
      <c r="D8001">
        <v>6134</v>
      </c>
      <c r="E8001" t="s">
        <v>470</v>
      </c>
      <c r="F8001" s="4">
        <v>130096</v>
      </c>
      <c r="G8001" s="4">
        <v>503133</v>
      </c>
      <c r="H8001" s="4">
        <v>3435</v>
      </c>
      <c r="I8001" s="4">
        <v>499698</v>
      </c>
      <c r="J8001" s="4">
        <v>633229</v>
      </c>
    </row>
    <row r="8002" spans="1:10" x14ac:dyDescent="0.75">
      <c r="A8002" t="s">
        <v>151</v>
      </c>
      <c r="B8002">
        <v>4939</v>
      </c>
      <c r="C8002" t="s">
        <v>59</v>
      </c>
      <c r="D8002">
        <v>2330</v>
      </c>
      <c r="E8002" t="s">
        <v>368</v>
      </c>
      <c r="F8002" s="4">
        <v>26118</v>
      </c>
      <c r="G8002" s="4">
        <v>129875</v>
      </c>
      <c r="H8002" s="4">
        <v>129497</v>
      </c>
      <c r="I8002" s="4">
        <v>378</v>
      </c>
      <c r="J8002" s="4">
        <v>155993</v>
      </c>
    </row>
    <row r="8003" spans="1:10" x14ac:dyDescent="0.75">
      <c r="A8003" t="s">
        <v>151</v>
      </c>
      <c r="B8003">
        <v>4939</v>
      </c>
      <c r="C8003" t="s">
        <v>59</v>
      </c>
      <c r="D8003">
        <v>7900</v>
      </c>
      <c r="E8003" t="s">
        <v>388</v>
      </c>
      <c r="F8003" s="4">
        <v>65166</v>
      </c>
      <c r="G8003" s="4">
        <v>37399</v>
      </c>
      <c r="H8003" s="4">
        <v>29599</v>
      </c>
      <c r="I8003" s="4">
        <v>7800</v>
      </c>
      <c r="J8003" s="4">
        <v>102565</v>
      </c>
    </row>
    <row r="8004" spans="1:10" x14ac:dyDescent="0.75">
      <c r="A8004" t="s">
        <v>151</v>
      </c>
      <c r="B8004">
        <v>4939</v>
      </c>
      <c r="C8004" t="s">
        <v>59</v>
      </c>
      <c r="D8004">
        <v>6782</v>
      </c>
      <c r="E8004" t="s">
        <v>396</v>
      </c>
      <c r="F8004" s="4">
        <v>3201</v>
      </c>
      <c r="G8004" s="4">
        <v>58664</v>
      </c>
      <c r="H8004" s="4">
        <v>68</v>
      </c>
      <c r="I8004" s="4">
        <v>58596</v>
      </c>
      <c r="J8004" s="4">
        <v>61865</v>
      </c>
    </row>
    <row r="8005" spans="1:10" x14ac:dyDescent="0.75">
      <c r="A8005" t="s">
        <v>151</v>
      </c>
      <c r="B8005">
        <v>4939</v>
      </c>
      <c r="C8005" t="s">
        <v>59</v>
      </c>
      <c r="D8005">
        <v>2221</v>
      </c>
      <c r="E8005" t="s">
        <v>374</v>
      </c>
      <c r="F8005" s="4">
        <v>3615</v>
      </c>
      <c r="G8005" s="4">
        <v>24881</v>
      </c>
      <c r="H8005" s="4">
        <v>24881</v>
      </c>
      <c r="I8005" s="4">
        <v>0</v>
      </c>
      <c r="J8005" s="4">
        <v>28496</v>
      </c>
    </row>
    <row r="8006" spans="1:10" x14ac:dyDescent="0.75">
      <c r="A8006" t="s">
        <v>151</v>
      </c>
      <c r="B8006">
        <v>4939</v>
      </c>
      <c r="C8006" t="s">
        <v>59</v>
      </c>
      <c r="D8006">
        <v>2211</v>
      </c>
      <c r="E8006" t="s">
        <v>367</v>
      </c>
      <c r="F8006" s="4">
        <v>1042</v>
      </c>
      <c r="G8006" s="4">
        <v>20237</v>
      </c>
      <c r="H8006" s="4">
        <v>20237</v>
      </c>
      <c r="I8006" s="4">
        <v>0</v>
      </c>
      <c r="J8006" s="4">
        <v>21279</v>
      </c>
    </row>
    <row r="8007" spans="1:10" x14ac:dyDescent="0.75">
      <c r="A8007" t="s">
        <v>151</v>
      </c>
      <c r="B8007">
        <v>4939</v>
      </c>
      <c r="C8007" t="s">
        <v>59</v>
      </c>
      <c r="D8007">
        <v>7110</v>
      </c>
      <c r="E8007" t="s">
        <v>371</v>
      </c>
      <c r="F8007" s="4">
        <v>18946</v>
      </c>
      <c r="G8007" s="4">
        <v>86</v>
      </c>
      <c r="H8007" s="4">
        <v>70</v>
      </c>
      <c r="I8007" s="4">
        <v>16</v>
      </c>
      <c r="J8007" s="4">
        <v>19032</v>
      </c>
    </row>
    <row r="8008" spans="1:10" x14ac:dyDescent="0.75">
      <c r="A8008" t="s">
        <v>151</v>
      </c>
      <c r="B8008">
        <v>4939</v>
      </c>
      <c r="C8008" t="s">
        <v>59</v>
      </c>
      <c r="D8008">
        <v>7400</v>
      </c>
      <c r="E8008" t="s">
        <v>502</v>
      </c>
      <c r="F8008" s="4">
        <v>17602</v>
      </c>
      <c r="G8008" s="4">
        <v>23</v>
      </c>
      <c r="H8008" s="4">
        <v>23</v>
      </c>
      <c r="I8008" s="4">
        <v>0</v>
      </c>
      <c r="J8008" s="4">
        <v>17625</v>
      </c>
    </row>
    <row r="8009" spans="1:10" x14ac:dyDescent="0.75">
      <c r="A8009" t="s">
        <v>151</v>
      </c>
      <c r="B8009">
        <v>4939</v>
      </c>
      <c r="C8009" t="s">
        <v>59</v>
      </c>
      <c r="D8009">
        <v>5190</v>
      </c>
      <c r="E8009" t="s">
        <v>462</v>
      </c>
      <c r="F8009" s="4">
        <v>12235</v>
      </c>
      <c r="G8009" s="4">
        <v>3474</v>
      </c>
      <c r="H8009" s="4">
        <v>3474</v>
      </c>
      <c r="I8009" s="4">
        <v>0</v>
      </c>
      <c r="J8009" s="4">
        <v>15709</v>
      </c>
    </row>
    <row r="8010" spans="1:10" x14ac:dyDescent="0.75">
      <c r="A8010" t="s">
        <v>151</v>
      </c>
      <c r="B8010">
        <v>4939</v>
      </c>
      <c r="C8010" t="s">
        <v>59</v>
      </c>
      <c r="D8010">
        <v>6835</v>
      </c>
      <c r="E8010" t="s">
        <v>483</v>
      </c>
      <c r="F8010" s="4">
        <v>2362</v>
      </c>
      <c r="G8010" s="4">
        <v>11730</v>
      </c>
      <c r="H8010" s="4">
        <v>0</v>
      </c>
      <c r="I8010" s="4">
        <v>11730</v>
      </c>
      <c r="J8010" s="4">
        <v>14092</v>
      </c>
    </row>
    <row r="8011" spans="1:10" x14ac:dyDescent="0.75">
      <c r="A8011" t="s">
        <v>151</v>
      </c>
      <c r="B8011">
        <v>4939</v>
      </c>
      <c r="C8011" t="s">
        <v>59</v>
      </c>
      <c r="D8011">
        <v>9900</v>
      </c>
      <c r="E8011" t="s">
        <v>389</v>
      </c>
      <c r="F8011" s="4">
        <v>0</v>
      </c>
      <c r="G8011" s="4">
        <v>11146</v>
      </c>
      <c r="H8011" s="4">
        <v>312</v>
      </c>
      <c r="I8011" s="4">
        <v>10834</v>
      </c>
      <c r="J8011" s="4">
        <v>11146</v>
      </c>
    </row>
    <row r="8012" spans="1:10" x14ac:dyDescent="0.75">
      <c r="A8012" t="s">
        <v>151</v>
      </c>
      <c r="B8012">
        <v>4939</v>
      </c>
      <c r="C8012" t="s">
        <v>59</v>
      </c>
      <c r="D8012">
        <v>6136</v>
      </c>
      <c r="E8012" t="s">
        <v>471</v>
      </c>
      <c r="F8012" s="4">
        <v>6165</v>
      </c>
      <c r="G8012" s="4">
        <v>4590</v>
      </c>
      <c r="H8012" s="4">
        <v>693</v>
      </c>
      <c r="I8012" s="4">
        <v>3897</v>
      </c>
      <c r="J8012" s="4">
        <v>10755</v>
      </c>
    </row>
    <row r="8013" spans="1:10" x14ac:dyDescent="0.75">
      <c r="A8013" t="s">
        <v>151</v>
      </c>
      <c r="B8013">
        <v>4939</v>
      </c>
      <c r="C8013" t="s">
        <v>59</v>
      </c>
      <c r="D8013">
        <v>6889</v>
      </c>
      <c r="E8013" t="s">
        <v>420</v>
      </c>
      <c r="F8013" s="4">
        <v>7456</v>
      </c>
      <c r="G8013" s="4">
        <v>1741</v>
      </c>
      <c r="H8013" s="4">
        <v>1740</v>
      </c>
      <c r="I8013" s="4">
        <v>1</v>
      </c>
      <c r="J8013" s="4">
        <v>9197</v>
      </c>
    </row>
    <row r="8014" spans="1:10" x14ac:dyDescent="0.75">
      <c r="A8014" t="s">
        <v>151</v>
      </c>
      <c r="B8014">
        <v>4939</v>
      </c>
      <c r="C8014" t="s">
        <v>59</v>
      </c>
      <c r="D8014">
        <v>3299</v>
      </c>
      <c r="E8014" t="s">
        <v>448</v>
      </c>
      <c r="F8014" s="4">
        <v>6721</v>
      </c>
      <c r="G8014" s="4">
        <v>88</v>
      </c>
      <c r="H8014" s="4">
        <v>0</v>
      </c>
      <c r="I8014" s="4">
        <v>88</v>
      </c>
      <c r="J8014" s="4">
        <v>6809</v>
      </c>
    </row>
    <row r="8015" spans="1:10" x14ac:dyDescent="0.75">
      <c r="A8015" t="s">
        <v>151</v>
      </c>
      <c r="B8015">
        <v>4939</v>
      </c>
      <c r="C8015" t="s">
        <v>59</v>
      </c>
      <c r="D8015">
        <v>4783</v>
      </c>
      <c r="E8015" t="s">
        <v>382</v>
      </c>
      <c r="F8015" s="4">
        <v>6693</v>
      </c>
      <c r="G8015" s="4">
        <v>0</v>
      </c>
      <c r="H8015" s="4">
        <v>0</v>
      </c>
      <c r="I8015" s="4">
        <v>0</v>
      </c>
      <c r="J8015" s="4">
        <v>6693</v>
      </c>
    </row>
    <row r="8016" spans="1:10" x14ac:dyDescent="0.75">
      <c r="A8016" t="s">
        <v>151</v>
      </c>
      <c r="B8016">
        <v>4939</v>
      </c>
      <c r="C8016" t="s">
        <v>59</v>
      </c>
      <c r="D8016">
        <v>6839</v>
      </c>
      <c r="E8016" t="s">
        <v>485</v>
      </c>
      <c r="F8016" s="4">
        <v>0</v>
      </c>
      <c r="G8016" s="4">
        <v>5942</v>
      </c>
      <c r="H8016" s="4">
        <v>224</v>
      </c>
      <c r="I8016" s="4">
        <v>5718</v>
      </c>
      <c r="J8016" s="4">
        <v>5942</v>
      </c>
    </row>
    <row r="8017" spans="1:10" x14ac:dyDescent="0.75">
      <c r="A8017" t="s">
        <v>151</v>
      </c>
      <c r="B8017">
        <v>4939</v>
      </c>
      <c r="C8017" t="s">
        <v>59</v>
      </c>
      <c r="D8017">
        <v>6887</v>
      </c>
      <c r="E8017" t="s">
        <v>505</v>
      </c>
      <c r="F8017" s="4">
        <v>5719</v>
      </c>
      <c r="G8017" s="4">
        <v>0</v>
      </c>
      <c r="H8017" s="4">
        <v>0</v>
      </c>
      <c r="I8017" s="4">
        <v>0</v>
      </c>
      <c r="J8017" s="4">
        <v>5719</v>
      </c>
    </row>
    <row r="8018" spans="1:10" x14ac:dyDescent="0.75">
      <c r="A8018" t="s">
        <v>151</v>
      </c>
      <c r="B8018">
        <v>4939</v>
      </c>
      <c r="C8018" t="s">
        <v>59</v>
      </c>
      <c r="D8018">
        <v>2990</v>
      </c>
      <c r="E8018" t="s">
        <v>432</v>
      </c>
      <c r="F8018" s="4">
        <v>5541</v>
      </c>
      <c r="G8018" s="4">
        <v>0</v>
      </c>
      <c r="H8018" s="4">
        <v>0</v>
      </c>
      <c r="I8018" s="4">
        <v>0</v>
      </c>
      <c r="J8018" s="4">
        <v>5541</v>
      </c>
    </row>
    <row r="8019" spans="1:10" x14ac:dyDescent="0.75">
      <c r="A8019" t="s">
        <v>151</v>
      </c>
      <c r="B8019">
        <v>4939</v>
      </c>
      <c r="C8019" t="s">
        <v>59</v>
      </c>
      <c r="D8019">
        <v>6838</v>
      </c>
      <c r="E8019" t="s">
        <v>484</v>
      </c>
      <c r="F8019" s="4">
        <v>1821</v>
      </c>
      <c r="G8019" s="4">
        <v>2883</v>
      </c>
      <c r="H8019" s="4">
        <v>0</v>
      </c>
      <c r="I8019" s="4">
        <v>2883</v>
      </c>
      <c r="J8019" s="4">
        <v>4704</v>
      </c>
    </row>
    <row r="8020" spans="1:10" x14ac:dyDescent="0.75">
      <c r="A8020" t="s">
        <v>151</v>
      </c>
      <c r="B8020">
        <v>4939</v>
      </c>
      <c r="C8020" t="s">
        <v>59</v>
      </c>
      <c r="D8020">
        <v>5480</v>
      </c>
      <c r="E8020" t="s">
        <v>386</v>
      </c>
      <c r="F8020" s="4">
        <v>3870</v>
      </c>
      <c r="G8020" s="4">
        <v>482</v>
      </c>
      <c r="H8020" s="4">
        <v>29</v>
      </c>
      <c r="I8020" s="4">
        <v>453</v>
      </c>
      <c r="J8020" s="4">
        <v>4352</v>
      </c>
    </row>
    <row r="8021" spans="1:10" x14ac:dyDescent="0.75">
      <c r="A8021" t="s">
        <v>151</v>
      </c>
      <c r="B8021">
        <v>4939</v>
      </c>
      <c r="C8021" t="s">
        <v>59</v>
      </c>
      <c r="D8021">
        <v>7210</v>
      </c>
      <c r="E8021" t="s">
        <v>426</v>
      </c>
      <c r="F8021" s="4">
        <v>3354</v>
      </c>
      <c r="G8021" s="4">
        <v>423</v>
      </c>
      <c r="H8021" s="4">
        <v>305</v>
      </c>
      <c r="I8021" s="4">
        <v>118</v>
      </c>
      <c r="J8021" s="4">
        <v>3777</v>
      </c>
    </row>
    <row r="8022" spans="1:10" x14ac:dyDescent="0.75">
      <c r="A8022" t="s">
        <v>151</v>
      </c>
      <c r="B8022">
        <v>4939</v>
      </c>
      <c r="C8022" t="s">
        <v>59</v>
      </c>
      <c r="D8022">
        <v>5360</v>
      </c>
      <c r="E8022" t="s">
        <v>465</v>
      </c>
      <c r="F8022" s="4">
        <v>2218</v>
      </c>
      <c r="G8022" s="4">
        <v>0</v>
      </c>
      <c r="H8022" s="4">
        <v>0</v>
      </c>
      <c r="I8022" s="4">
        <v>0</v>
      </c>
      <c r="J8022" s="4">
        <v>2218</v>
      </c>
    </row>
    <row r="8023" spans="1:10" x14ac:dyDescent="0.75">
      <c r="A8023" t="s">
        <v>151</v>
      </c>
      <c r="B8023">
        <v>4939</v>
      </c>
      <c r="C8023" t="s">
        <v>59</v>
      </c>
      <c r="D8023">
        <v>6899</v>
      </c>
      <c r="E8023" t="s">
        <v>498</v>
      </c>
      <c r="F8023" s="4">
        <v>0</v>
      </c>
      <c r="G8023" s="4">
        <v>1999</v>
      </c>
      <c r="H8023" s="4">
        <v>0</v>
      </c>
      <c r="I8023" s="4">
        <v>1999</v>
      </c>
      <c r="J8023" s="4">
        <v>1999</v>
      </c>
    </row>
    <row r="8024" spans="1:10" x14ac:dyDescent="0.75">
      <c r="A8024" t="s">
        <v>151</v>
      </c>
      <c r="B8024">
        <v>4939</v>
      </c>
      <c r="C8024" t="s">
        <v>59</v>
      </c>
      <c r="D8024">
        <v>4189</v>
      </c>
      <c r="E8024" t="s">
        <v>451</v>
      </c>
      <c r="F8024" s="4">
        <v>1953</v>
      </c>
      <c r="G8024" s="4">
        <v>0</v>
      </c>
      <c r="H8024" s="4">
        <v>0</v>
      </c>
      <c r="I8024" s="4">
        <v>0</v>
      </c>
      <c r="J8024" s="4">
        <v>1953</v>
      </c>
    </row>
    <row r="8025" spans="1:10" x14ac:dyDescent="0.75">
      <c r="A8025" t="s">
        <v>151</v>
      </c>
      <c r="B8025">
        <v>4939</v>
      </c>
      <c r="C8025" t="s">
        <v>59</v>
      </c>
      <c r="D8025">
        <v>4331</v>
      </c>
      <c r="E8025" t="s">
        <v>390</v>
      </c>
      <c r="F8025" s="4">
        <v>1596</v>
      </c>
      <c r="G8025" s="4">
        <v>0</v>
      </c>
      <c r="H8025" s="4">
        <v>0</v>
      </c>
      <c r="I8025" s="4">
        <v>0</v>
      </c>
      <c r="J8025" s="4">
        <v>1596</v>
      </c>
    </row>
    <row r="8026" spans="1:10" x14ac:dyDescent="0.75">
      <c r="A8026" t="s">
        <v>151</v>
      </c>
      <c r="B8026">
        <v>4939</v>
      </c>
      <c r="C8026" t="s">
        <v>59</v>
      </c>
      <c r="D8026">
        <v>6861</v>
      </c>
      <c r="E8026" t="s">
        <v>489</v>
      </c>
      <c r="F8026" s="4">
        <v>589</v>
      </c>
      <c r="G8026" s="4">
        <v>745</v>
      </c>
      <c r="H8026" s="4">
        <v>745</v>
      </c>
      <c r="I8026" s="4">
        <v>0</v>
      </c>
      <c r="J8026" s="4">
        <v>1334</v>
      </c>
    </row>
    <row r="8027" spans="1:10" x14ac:dyDescent="0.75">
      <c r="A8027" t="s">
        <v>151</v>
      </c>
      <c r="B8027">
        <v>4939</v>
      </c>
      <c r="C8027" t="s">
        <v>59</v>
      </c>
      <c r="D8027">
        <v>3220</v>
      </c>
      <c r="E8027" t="s">
        <v>370</v>
      </c>
      <c r="F8027" s="4">
        <v>765</v>
      </c>
      <c r="G8027" s="4">
        <v>221</v>
      </c>
      <c r="H8027" s="4">
        <v>221</v>
      </c>
      <c r="I8027" s="4">
        <v>0</v>
      </c>
      <c r="J8027" s="4">
        <v>986</v>
      </c>
    </row>
    <row r="8028" spans="1:10" x14ac:dyDescent="0.75">
      <c r="A8028" t="s">
        <v>151</v>
      </c>
      <c r="B8028">
        <v>4939</v>
      </c>
      <c r="C8028" t="s">
        <v>59</v>
      </c>
      <c r="D8028">
        <v>6885</v>
      </c>
      <c r="E8028" t="s">
        <v>493</v>
      </c>
      <c r="F8028" s="4">
        <v>830</v>
      </c>
      <c r="G8028" s="4">
        <v>0</v>
      </c>
      <c r="H8028" s="4">
        <v>0</v>
      </c>
      <c r="I8028" s="4">
        <v>0</v>
      </c>
      <c r="J8028" s="4">
        <v>830</v>
      </c>
    </row>
    <row r="8029" spans="1:10" x14ac:dyDescent="0.75">
      <c r="A8029" t="s">
        <v>151</v>
      </c>
      <c r="B8029">
        <v>4939</v>
      </c>
      <c r="C8029" t="s">
        <v>59</v>
      </c>
      <c r="D8029">
        <v>4420</v>
      </c>
      <c r="E8029" t="s">
        <v>381</v>
      </c>
      <c r="F8029" s="4">
        <v>575</v>
      </c>
      <c r="G8029" s="4">
        <v>0</v>
      </c>
      <c r="H8029" s="4">
        <v>0</v>
      </c>
      <c r="I8029" s="4">
        <v>0</v>
      </c>
      <c r="J8029" s="4">
        <v>575</v>
      </c>
    </row>
    <row r="8030" spans="1:10" x14ac:dyDescent="0.75">
      <c r="A8030" t="s">
        <v>151</v>
      </c>
      <c r="B8030">
        <v>4939</v>
      </c>
      <c r="C8030" t="s">
        <v>59</v>
      </c>
      <c r="D8030">
        <v>7600</v>
      </c>
      <c r="E8030" t="s">
        <v>503</v>
      </c>
      <c r="F8030" s="4">
        <v>21</v>
      </c>
      <c r="G8030" s="4">
        <v>551</v>
      </c>
      <c r="H8030" s="4">
        <v>549</v>
      </c>
      <c r="I8030" s="4">
        <v>2</v>
      </c>
      <c r="J8030" s="4">
        <v>572</v>
      </c>
    </row>
    <row r="8031" spans="1:10" x14ac:dyDescent="0.75">
      <c r="A8031" t="s">
        <v>151</v>
      </c>
      <c r="B8031">
        <v>4939</v>
      </c>
      <c r="C8031" t="s">
        <v>59</v>
      </c>
      <c r="D8031">
        <v>7230</v>
      </c>
      <c r="E8031" t="s">
        <v>387</v>
      </c>
      <c r="F8031" s="4">
        <v>548</v>
      </c>
      <c r="G8031" s="4">
        <v>2</v>
      </c>
      <c r="H8031" s="4">
        <v>2</v>
      </c>
      <c r="I8031" s="4">
        <v>0</v>
      </c>
      <c r="J8031" s="4">
        <v>550</v>
      </c>
    </row>
    <row r="8032" spans="1:10" x14ac:dyDescent="0.75">
      <c r="A8032" t="s">
        <v>151</v>
      </c>
      <c r="B8032">
        <v>4939</v>
      </c>
      <c r="C8032" t="s">
        <v>59</v>
      </c>
      <c r="D8032">
        <v>6811</v>
      </c>
      <c r="E8032" t="s">
        <v>480</v>
      </c>
      <c r="F8032" s="4">
        <v>59</v>
      </c>
      <c r="G8032" s="4">
        <v>402</v>
      </c>
      <c r="H8032" s="4">
        <v>0</v>
      </c>
      <c r="I8032" s="4">
        <v>402</v>
      </c>
      <c r="J8032" s="4">
        <v>461</v>
      </c>
    </row>
    <row r="8033" spans="1:10" x14ac:dyDescent="0.75">
      <c r="A8033" t="s">
        <v>151</v>
      </c>
      <c r="B8033">
        <v>4939</v>
      </c>
      <c r="C8033" t="s">
        <v>59</v>
      </c>
      <c r="D8033">
        <v>7220</v>
      </c>
      <c r="E8033" t="s">
        <v>500</v>
      </c>
      <c r="F8033" s="4">
        <v>0</v>
      </c>
      <c r="G8033" s="4">
        <v>455</v>
      </c>
      <c r="H8033" s="4">
        <v>0</v>
      </c>
      <c r="I8033" s="4">
        <v>455</v>
      </c>
      <c r="J8033" s="4">
        <v>455</v>
      </c>
    </row>
    <row r="8034" spans="1:10" x14ac:dyDescent="0.75">
      <c r="A8034" t="s">
        <v>151</v>
      </c>
      <c r="B8034">
        <v>4939</v>
      </c>
      <c r="C8034" t="s">
        <v>59</v>
      </c>
      <c r="D8034">
        <v>7500</v>
      </c>
      <c r="E8034" t="s">
        <v>427</v>
      </c>
      <c r="F8034" s="4">
        <v>32</v>
      </c>
      <c r="G8034" s="4">
        <v>385</v>
      </c>
      <c r="H8034" s="4">
        <v>108</v>
      </c>
      <c r="I8034" s="4">
        <v>277</v>
      </c>
      <c r="J8034" s="4">
        <v>417</v>
      </c>
    </row>
    <row r="8035" spans="1:10" x14ac:dyDescent="0.75">
      <c r="A8035" t="s">
        <v>151</v>
      </c>
      <c r="B8035">
        <v>4939</v>
      </c>
      <c r="C8035" t="s">
        <v>59</v>
      </c>
      <c r="D8035">
        <v>3284</v>
      </c>
      <c r="E8035" t="s">
        <v>442</v>
      </c>
      <c r="F8035" s="4">
        <v>0</v>
      </c>
      <c r="G8035" s="4">
        <v>415</v>
      </c>
      <c r="H8035" s="4">
        <v>0</v>
      </c>
      <c r="I8035" s="4">
        <v>415</v>
      </c>
      <c r="J8035" s="4">
        <v>415</v>
      </c>
    </row>
    <row r="8036" spans="1:10" x14ac:dyDescent="0.75">
      <c r="A8036" t="s">
        <v>151</v>
      </c>
      <c r="B8036">
        <v>4939</v>
      </c>
      <c r="C8036" t="s">
        <v>59</v>
      </c>
      <c r="D8036">
        <v>6654</v>
      </c>
      <c r="E8036" t="s">
        <v>419</v>
      </c>
      <c r="F8036" s="4">
        <v>0</v>
      </c>
      <c r="G8036" s="4">
        <v>406</v>
      </c>
      <c r="H8036" s="4">
        <v>0</v>
      </c>
      <c r="I8036" s="4">
        <v>406</v>
      </c>
      <c r="J8036" s="4">
        <v>406</v>
      </c>
    </row>
    <row r="8037" spans="1:10" x14ac:dyDescent="0.75">
      <c r="A8037" t="s">
        <v>151</v>
      </c>
      <c r="B8037">
        <v>4939</v>
      </c>
      <c r="C8037" t="s">
        <v>59</v>
      </c>
      <c r="D8037">
        <v>5540</v>
      </c>
      <c r="E8037" t="s">
        <v>469</v>
      </c>
      <c r="F8037" s="4">
        <v>399</v>
      </c>
      <c r="G8037" s="4">
        <v>1</v>
      </c>
      <c r="H8037" s="4">
        <v>1</v>
      </c>
      <c r="I8037" s="4">
        <v>0</v>
      </c>
      <c r="J8037" s="4">
        <v>400</v>
      </c>
    </row>
    <row r="8038" spans="1:10" x14ac:dyDescent="0.75">
      <c r="A8038" t="s">
        <v>151</v>
      </c>
      <c r="B8038">
        <v>4939</v>
      </c>
      <c r="C8038" t="s">
        <v>59</v>
      </c>
      <c r="D8038">
        <v>6747</v>
      </c>
      <c r="E8038" t="s">
        <v>478</v>
      </c>
      <c r="F8038" s="4">
        <v>0</v>
      </c>
      <c r="G8038" s="4">
        <v>384</v>
      </c>
      <c r="H8038" s="4">
        <v>384</v>
      </c>
      <c r="I8038" s="4">
        <v>0</v>
      </c>
      <c r="J8038" s="4">
        <v>384</v>
      </c>
    </row>
    <row r="8039" spans="1:10" x14ac:dyDescent="0.75">
      <c r="A8039" t="s">
        <v>151</v>
      </c>
      <c r="B8039">
        <v>4939</v>
      </c>
      <c r="C8039" t="s">
        <v>59</v>
      </c>
      <c r="D8039">
        <v>3297</v>
      </c>
      <c r="E8039" t="s">
        <v>446</v>
      </c>
      <c r="F8039" s="4">
        <v>0</v>
      </c>
      <c r="G8039" s="4">
        <v>373</v>
      </c>
      <c r="H8039" s="4">
        <v>373</v>
      </c>
      <c r="I8039" s="4">
        <v>0</v>
      </c>
      <c r="J8039" s="4">
        <v>373</v>
      </c>
    </row>
    <row r="8040" spans="1:10" x14ac:dyDescent="0.75">
      <c r="A8040" t="s">
        <v>151</v>
      </c>
      <c r="B8040">
        <v>4939</v>
      </c>
      <c r="C8040" t="s">
        <v>59</v>
      </c>
      <c r="D8040">
        <v>6817</v>
      </c>
      <c r="E8040" t="s">
        <v>481</v>
      </c>
      <c r="F8040" s="4">
        <v>0</v>
      </c>
      <c r="G8040" s="4">
        <v>325</v>
      </c>
      <c r="H8040" s="4">
        <v>0</v>
      </c>
      <c r="I8040" s="4">
        <v>325</v>
      </c>
      <c r="J8040" s="4">
        <v>325</v>
      </c>
    </row>
    <row r="8041" spans="1:10" x14ac:dyDescent="0.75">
      <c r="A8041" t="s">
        <v>151</v>
      </c>
      <c r="B8041">
        <v>4939</v>
      </c>
      <c r="C8041" t="s">
        <v>59</v>
      </c>
      <c r="D8041">
        <v>3276</v>
      </c>
      <c r="E8041" t="s">
        <v>379</v>
      </c>
      <c r="F8041" s="4">
        <v>298</v>
      </c>
      <c r="G8041" s="4">
        <v>0</v>
      </c>
      <c r="H8041" s="4">
        <v>0</v>
      </c>
      <c r="I8041" s="4">
        <v>0</v>
      </c>
      <c r="J8041" s="4">
        <v>298</v>
      </c>
    </row>
    <row r="8042" spans="1:10" x14ac:dyDescent="0.75">
      <c r="A8042" t="s">
        <v>151</v>
      </c>
      <c r="B8042">
        <v>4939</v>
      </c>
      <c r="C8042" t="s">
        <v>59</v>
      </c>
      <c r="D8042">
        <v>7120</v>
      </c>
      <c r="E8042" t="s">
        <v>499</v>
      </c>
      <c r="F8042" s="4">
        <v>195</v>
      </c>
      <c r="G8042" s="4">
        <v>83</v>
      </c>
      <c r="H8042" s="4">
        <v>8</v>
      </c>
      <c r="I8042" s="4">
        <v>75</v>
      </c>
      <c r="J8042" s="4">
        <v>278</v>
      </c>
    </row>
    <row r="8043" spans="1:10" x14ac:dyDescent="0.75">
      <c r="A8043" t="s">
        <v>151</v>
      </c>
      <c r="B8043">
        <v>4939</v>
      </c>
      <c r="C8043" t="s">
        <v>59</v>
      </c>
      <c r="D8043">
        <v>3286</v>
      </c>
      <c r="E8043" t="s">
        <v>423</v>
      </c>
      <c r="F8043" s="4">
        <v>0</v>
      </c>
      <c r="G8043" s="4">
        <v>269</v>
      </c>
      <c r="H8043" s="4">
        <v>147</v>
      </c>
      <c r="I8043" s="4">
        <v>122</v>
      </c>
      <c r="J8043" s="4">
        <v>269</v>
      </c>
    </row>
    <row r="8044" spans="1:10" x14ac:dyDescent="0.75">
      <c r="A8044" t="s">
        <v>151</v>
      </c>
      <c r="B8044">
        <v>4939</v>
      </c>
      <c r="C8044" t="s">
        <v>59</v>
      </c>
      <c r="D8044">
        <v>4782</v>
      </c>
      <c r="E8044" t="s">
        <v>414</v>
      </c>
      <c r="F8044" s="4">
        <v>0</v>
      </c>
      <c r="G8044" s="4">
        <v>264</v>
      </c>
      <c r="H8044" s="4">
        <v>0</v>
      </c>
      <c r="I8044" s="4">
        <v>264</v>
      </c>
      <c r="J8044" s="4">
        <v>264</v>
      </c>
    </row>
    <row r="8045" spans="1:10" x14ac:dyDescent="0.75">
      <c r="A8045" t="s">
        <v>151</v>
      </c>
      <c r="B8045">
        <v>4939</v>
      </c>
      <c r="C8045" t="s">
        <v>59</v>
      </c>
      <c r="D8045">
        <v>6857</v>
      </c>
      <c r="E8045" t="s">
        <v>487</v>
      </c>
      <c r="F8045" s="4">
        <v>0</v>
      </c>
      <c r="G8045" s="4">
        <v>258</v>
      </c>
      <c r="H8045" s="4">
        <v>0</v>
      </c>
      <c r="I8045" s="4">
        <v>258</v>
      </c>
      <c r="J8045" s="4">
        <v>258</v>
      </c>
    </row>
    <row r="8046" spans="1:10" x14ac:dyDescent="0.75">
      <c r="A8046" t="s">
        <v>151</v>
      </c>
      <c r="B8046">
        <v>4939</v>
      </c>
      <c r="C8046" t="s">
        <v>59</v>
      </c>
      <c r="D8046">
        <v>8900</v>
      </c>
      <c r="E8046" t="s">
        <v>506</v>
      </c>
      <c r="F8046" s="4">
        <v>254</v>
      </c>
      <c r="G8046" s="4">
        <v>0</v>
      </c>
      <c r="H8046" s="4">
        <v>0</v>
      </c>
      <c r="I8046" s="4">
        <v>0</v>
      </c>
      <c r="J8046" s="4">
        <v>254</v>
      </c>
    </row>
    <row r="8047" spans="1:10" x14ac:dyDescent="0.75">
      <c r="A8047" t="s">
        <v>151</v>
      </c>
      <c r="B8047">
        <v>4939</v>
      </c>
      <c r="C8047" t="s">
        <v>59</v>
      </c>
      <c r="D8047">
        <v>3275</v>
      </c>
      <c r="E8047" t="s">
        <v>412</v>
      </c>
      <c r="F8047" s="4">
        <v>0</v>
      </c>
      <c r="G8047" s="4">
        <v>246</v>
      </c>
      <c r="H8047" s="4">
        <v>246</v>
      </c>
      <c r="I8047" s="4">
        <v>0</v>
      </c>
      <c r="J8047" s="4">
        <v>246</v>
      </c>
    </row>
    <row r="8048" spans="1:10" x14ac:dyDescent="0.75">
      <c r="A8048" t="s">
        <v>151</v>
      </c>
      <c r="B8048">
        <v>4939</v>
      </c>
      <c r="C8048" t="s">
        <v>59</v>
      </c>
      <c r="D8048">
        <v>6521</v>
      </c>
      <c r="E8048" t="s">
        <v>476</v>
      </c>
      <c r="F8048" s="4">
        <v>0</v>
      </c>
      <c r="G8048" s="4">
        <v>231</v>
      </c>
      <c r="H8048" s="4">
        <v>0</v>
      </c>
      <c r="I8048" s="4">
        <v>231</v>
      </c>
      <c r="J8048" s="4">
        <v>231</v>
      </c>
    </row>
    <row r="8049" spans="1:10" x14ac:dyDescent="0.75">
      <c r="A8049" t="s">
        <v>151</v>
      </c>
      <c r="B8049">
        <v>4939</v>
      </c>
      <c r="C8049" t="s">
        <v>59</v>
      </c>
      <c r="D8049">
        <v>5220</v>
      </c>
      <c r="E8049" t="s">
        <v>401</v>
      </c>
      <c r="F8049" s="4">
        <v>230</v>
      </c>
      <c r="G8049" s="4">
        <v>0</v>
      </c>
      <c r="H8049" s="4">
        <v>0</v>
      </c>
      <c r="I8049" s="4">
        <v>0</v>
      </c>
      <c r="J8049" s="4">
        <v>230</v>
      </c>
    </row>
    <row r="8050" spans="1:10" x14ac:dyDescent="0.75">
      <c r="A8050" t="s">
        <v>151</v>
      </c>
      <c r="B8050">
        <v>4939</v>
      </c>
      <c r="C8050" t="s">
        <v>59</v>
      </c>
      <c r="D8050">
        <v>5370</v>
      </c>
      <c r="E8050" t="s">
        <v>466</v>
      </c>
      <c r="F8050" s="4">
        <v>214</v>
      </c>
      <c r="G8050" s="4">
        <v>1</v>
      </c>
      <c r="H8050" s="4">
        <v>0</v>
      </c>
      <c r="I8050" s="4">
        <v>1</v>
      </c>
      <c r="J8050" s="4">
        <v>215</v>
      </c>
    </row>
    <row r="8051" spans="1:10" x14ac:dyDescent="0.75">
      <c r="A8051" t="s">
        <v>151</v>
      </c>
      <c r="B8051">
        <v>4939</v>
      </c>
      <c r="C8051" t="s">
        <v>59</v>
      </c>
      <c r="D8051">
        <v>3190</v>
      </c>
      <c r="E8051" t="s">
        <v>408</v>
      </c>
      <c r="F8051" s="4">
        <v>171</v>
      </c>
      <c r="G8051" s="4">
        <v>0</v>
      </c>
      <c r="H8051" s="4">
        <v>0</v>
      </c>
      <c r="I8051" s="4">
        <v>0</v>
      </c>
      <c r="J8051" s="4">
        <v>171</v>
      </c>
    </row>
    <row r="8052" spans="1:10" x14ac:dyDescent="0.75">
      <c r="A8052" t="s">
        <v>151</v>
      </c>
      <c r="B8052">
        <v>4939</v>
      </c>
      <c r="C8052" t="s">
        <v>59</v>
      </c>
      <c r="D8052">
        <v>3285</v>
      </c>
      <c r="E8052" t="s">
        <v>443</v>
      </c>
      <c r="F8052" s="4">
        <v>75</v>
      </c>
      <c r="G8052" s="4">
        <v>43</v>
      </c>
      <c r="H8052" s="4">
        <v>43</v>
      </c>
      <c r="I8052" s="4">
        <v>0</v>
      </c>
      <c r="J8052" s="4">
        <v>118</v>
      </c>
    </row>
    <row r="8053" spans="1:10" x14ac:dyDescent="0.75">
      <c r="A8053" t="s">
        <v>151</v>
      </c>
      <c r="B8053">
        <v>4939</v>
      </c>
      <c r="C8053" t="s">
        <v>59</v>
      </c>
      <c r="D8053">
        <v>5240</v>
      </c>
      <c r="E8053" t="s">
        <v>464</v>
      </c>
      <c r="F8053" s="4">
        <v>108</v>
      </c>
      <c r="G8053" s="4">
        <v>0</v>
      </c>
      <c r="H8053" s="4">
        <v>0</v>
      </c>
      <c r="I8053" s="4">
        <v>0</v>
      </c>
      <c r="J8053" s="4">
        <v>108</v>
      </c>
    </row>
    <row r="8054" spans="1:10" x14ac:dyDescent="0.75">
      <c r="A8054" t="s">
        <v>151</v>
      </c>
      <c r="B8054">
        <v>4939</v>
      </c>
      <c r="C8054" t="s">
        <v>59</v>
      </c>
      <c r="D8054">
        <v>6822</v>
      </c>
      <c r="E8054" t="s">
        <v>482</v>
      </c>
      <c r="F8054" s="4">
        <v>0</v>
      </c>
      <c r="G8054" s="4">
        <v>101</v>
      </c>
      <c r="H8054" s="4">
        <v>0</v>
      </c>
      <c r="I8054" s="4">
        <v>101</v>
      </c>
      <c r="J8054" s="4">
        <v>101</v>
      </c>
    </row>
    <row r="8055" spans="1:10" x14ac:dyDescent="0.75">
      <c r="A8055" t="s">
        <v>151</v>
      </c>
      <c r="B8055">
        <v>4939</v>
      </c>
      <c r="C8055" t="s">
        <v>59</v>
      </c>
      <c r="D8055">
        <v>3211</v>
      </c>
      <c r="E8055" t="s">
        <v>433</v>
      </c>
      <c r="F8055" s="4">
        <v>0</v>
      </c>
      <c r="G8055" s="4">
        <v>54</v>
      </c>
      <c r="H8055" s="4">
        <v>0</v>
      </c>
      <c r="I8055" s="4">
        <v>54</v>
      </c>
      <c r="J8055" s="4">
        <v>54</v>
      </c>
    </row>
    <row r="8056" spans="1:10" x14ac:dyDescent="0.75">
      <c r="A8056" t="s">
        <v>151</v>
      </c>
      <c r="B8056">
        <v>4939</v>
      </c>
      <c r="C8056" t="s">
        <v>59</v>
      </c>
      <c r="D8056">
        <v>6891</v>
      </c>
      <c r="E8056" t="s">
        <v>495</v>
      </c>
      <c r="F8056" s="4">
        <v>0</v>
      </c>
      <c r="G8056" s="4">
        <v>50</v>
      </c>
      <c r="H8056" s="4">
        <v>0</v>
      </c>
      <c r="I8056" s="4">
        <v>50</v>
      </c>
      <c r="J8056" s="4">
        <v>50</v>
      </c>
    </row>
    <row r="8057" spans="1:10" x14ac:dyDescent="0.75">
      <c r="A8057" t="s">
        <v>151</v>
      </c>
      <c r="B8057">
        <v>4939</v>
      </c>
      <c r="C8057" t="s">
        <v>59</v>
      </c>
      <c r="D8057">
        <v>3283</v>
      </c>
      <c r="E8057" t="s">
        <v>441</v>
      </c>
      <c r="F8057" s="4">
        <v>0</v>
      </c>
      <c r="G8057" s="4">
        <v>45</v>
      </c>
      <c r="H8057" s="4">
        <v>0</v>
      </c>
      <c r="I8057" s="4">
        <v>45</v>
      </c>
      <c r="J8057" s="4">
        <v>45</v>
      </c>
    </row>
    <row r="8058" spans="1:10" x14ac:dyDescent="0.75">
      <c r="A8058" t="s">
        <v>151</v>
      </c>
      <c r="B8058">
        <v>4939</v>
      </c>
      <c r="C8058" t="s">
        <v>59</v>
      </c>
      <c r="D8058">
        <v>3282</v>
      </c>
      <c r="E8058" t="s">
        <v>440</v>
      </c>
      <c r="F8058" s="4">
        <v>15</v>
      </c>
      <c r="G8058" s="4">
        <v>22</v>
      </c>
      <c r="H8058" s="4">
        <v>0</v>
      </c>
      <c r="I8058" s="4">
        <v>22</v>
      </c>
      <c r="J8058" s="4">
        <v>37</v>
      </c>
    </row>
    <row r="8059" spans="1:10" x14ac:dyDescent="0.75">
      <c r="A8059" t="s">
        <v>151</v>
      </c>
      <c r="B8059">
        <v>4939</v>
      </c>
      <c r="C8059" t="s">
        <v>59</v>
      </c>
      <c r="D8059">
        <v>2350</v>
      </c>
      <c r="E8059" t="s">
        <v>404</v>
      </c>
      <c r="F8059" s="4">
        <v>22</v>
      </c>
      <c r="G8059" s="4">
        <v>5</v>
      </c>
      <c r="H8059" s="4">
        <v>0</v>
      </c>
      <c r="I8059" s="4">
        <v>5</v>
      </c>
      <c r="J8059" s="4">
        <v>27</v>
      </c>
    </row>
    <row r="8060" spans="1:10" x14ac:dyDescent="0.75">
      <c r="A8060" t="s">
        <v>151</v>
      </c>
      <c r="B8060">
        <v>4939</v>
      </c>
      <c r="C8060" t="s">
        <v>59</v>
      </c>
      <c r="D8060">
        <v>3260</v>
      </c>
      <c r="E8060" t="s">
        <v>436</v>
      </c>
      <c r="F8060" s="4">
        <v>0</v>
      </c>
      <c r="G8060" s="4">
        <v>27</v>
      </c>
      <c r="H8060" s="4">
        <v>0</v>
      </c>
      <c r="I8060" s="4">
        <v>27</v>
      </c>
      <c r="J8060" s="4">
        <v>27</v>
      </c>
    </row>
    <row r="8061" spans="1:10" x14ac:dyDescent="0.75">
      <c r="A8061" t="s">
        <v>151</v>
      </c>
      <c r="B8061">
        <v>4939</v>
      </c>
      <c r="C8061" t="s">
        <v>59</v>
      </c>
      <c r="D8061">
        <v>5120</v>
      </c>
      <c r="E8061" t="s">
        <v>461</v>
      </c>
      <c r="F8061" s="4">
        <v>0</v>
      </c>
      <c r="G8061" s="4">
        <v>26</v>
      </c>
      <c r="H8061" s="4">
        <v>26</v>
      </c>
      <c r="I8061" s="4">
        <v>0</v>
      </c>
      <c r="J8061" s="4">
        <v>26</v>
      </c>
    </row>
    <row r="8062" spans="1:10" x14ac:dyDescent="0.75">
      <c r="A8062" t="s">
        <v>151</v>
      </c>
      <c r="B8062">
        <v>4939</v>
      </c>
      <c r="C8062" t="s">
        <v>59</v>
      </c>
      <c r="D8062">
        <v>3279</v>
      </c>
      <c r="E8062" t="s">
        <v>422</v>
      </c>
      <c r="F8062" s="4">
        <v>0</v>
      </c>
      <c r="G8062" s="4">
        <v>25</v>
      </c>
      <c r="H8062" s="4">
        <v>0</v>
      </c>
      <c r="I8062" s="4">
        <v>25</v>
      </c>
      <c r="J8062" s="4">
        <v>25</v>
      </c>
    </row>
    <row r="8063" spans="1:10" x14ac:dyDescent="0.75">
      <c r="A8063" t="s">
        <v>151</v>
      </c>
      <c r="B8063">
        <v>4939</v>
      </c>
      <c r="C8063" t="s">
        <v>59</v>
      </c>
      <c r="D8063">
        <v>2640</v>
      </c>
      <c r="E8063" t="s">
        <v>431</v>
      </c>
      <c r="F8063" s="4">
        <v>24</v>
      </c>
      <c r="G8063" s="4">
        <v>0</v>
      </c>
      <c r="H8063" s="4">
        <v>0</v>
      </c>
      <c r="I8063" s="4">
        <v>0</v>
      </c>
      <c r="J8063" s="4">
        <v>24</v>
      </c>
    </row>
    <row r="8064" spans="1:10" x14ac:dyDescent="0.75">
      <c r="A8064" t="s">
        <v>151</v>
      </c>
      <c r="B8064">
        <v>4939</v>
      </c>
      <c r="C8064" t="s">
        <v>59</v>
      </c>
      <c r="D8064">
        <v>5290</v>
      </c>
      <c r="E8064" t="s">
        <v>415</v>
      </c>
      <c r="F8064" s="4">
        <v>22</v>
      </c>
      <c r="G8064" s="4">
        <v>0</v>
      </c>
      <c r="H8064" s="4">
        <v>0</v>
      </c>
      <c r="I8064" s="4">
        <v>0</v>
      </c>
      <c r="J8064" s="4">
        <v>22</v>
      </c>
    </row>
    <row r="8065" spans="1:10" x14ac:dyDescent="0.75">
      <c r="A8065" t="s">
        <v>151</v>
      </c>
      <c r="B8065">
        <v>4939</v>
      </c>
      <c r="C8065" t="s">
        <v>59</v>
      </c>
      <c r="D8065">
        <v>3292</v>
      </c>
      <c r="E8065" t="s">
        <v>413</v>
      </c>
      <c r="F8065" s="4">
        <v>0</v>
      </c>
      <c r="G8065" s="4">
        <v>21</v>
      </c>
      <c r="H8065" s="4">
        <v>0</v>
      </c>
      <c r="I8065" s="4">
        <v>21</v>
      </c>
      <c r="J8065" s="4">
        <v>21</v>
      </c>
    </row>
    <row r="8066" spans="1:10" x14ac:dyDescent="0.75">
      <c r="A8066" t="s">
        <v>151</v>
      </c>
      <c r="B8066">
        <v>4939</v>
      </c>
      <c r="C8066" t="s">
        <v>59</v>
      </c>
      <c r="D8066">
        <v>6888</v>
      </c>
      <c r="E8066" t="s">
        <v>494</v>
      </c>
      <c r="F8066" s="4">
        <v>0</v>
      </c>
      <c r="G8066" s="4">
        <v>3</v>
      </c>
      <c r="H8066" s="4">
        <v>0</v>
      </c>
      <c r="I8066" s="4">
        <v>3</v>
      </c>
      <c r="J8066" s="4">
        <v>3</v>
      </c>
    </row>
    <row r="8067" spans="1:10" x14ac:dyDescent="0.75">
      <c r="A8067" t="s">
        <v>163</v>
      </c>
      <c r="B8067">
        <v>2336</v>
      </c>
      <c r="C8067" t="s">
        <v>289</v>
      </c>
      <c r="D8067">
        <v>6344</v>
      </c>
      <c r="E8067" t="s">
        <v>392</v>
      </c>
      <c r="F8067" s="4">
        <v>165472</v>
      </c>
      <c r="G8067" s="4">
        <v>0</v>
      </c>
      <c r="H8067" s="4">
        <v>0</v>
      </c>
      <c r="I8067" s="4">
        <v>0</v>
      </c>
      <c r="J8067" s="4">
        <v>165472</v>
      </c>
    </row>
    <row r="8068" spans="1:10" x14ac:dyDescent="0.75">
      <c r="A8068" t="s">
        <v>163</v>
      </c>
      <c r="B8068">
        <v>2336</v>
      </c>
      <c r="C8068" t="s">
        <v>289</v>
      </c>
      <c r="D8068">
        <v>6522</v>
      </c>
      <c r="E8068" t="s">
        <v>393</v>
      </c>
      <c r="F8068" s="4">
        <v>126112</v>
      </c>
      <c r="G8068" s="4">
        <v>0</v>
      </c>
      <c r="H8068" s="4">
        <v>0</v>
      </c>
      <c r="I8068" s="4">
        <v>0</v>
      </c>
      <c r="J8068" s="4">
        <v>126112</v>
      </c>
    </row>
    <row r="8069" spans="1:10" x14ac:dyDescent="0.75">
      <c r="A8069" t="s">
        <v>163</v>
      </c>
      <c r="B8069">
        <v>2336</v>
      </c>
      <c r="C8069" t="s">
        <v>289</v>
      </c>
      <c r="D8069">
        <v>3110</v>
      </c>
      <c r="E8069" t="s">
        <v>405</v>
      </c>
      <c r="F8069" s="4">
        <v>29880</v>
      </c>
      <c r="G8069" s="4">
        <v>0</v>
      </c>
      <c r="H8069" s="4">
        <v>0</v>
      </c>
      <c r="I8069" s="4">
        <v>0</v>
      </c>
      <c r="J8069" s="4">
        <v>29880</v>
      </c>
    </row>
    <row r="8070" spans="1:10" x14ac:dyDescent="0.75">
      <c r="A8070" t="s">
        <v>163</v>
      </c>
      <c r="B8070">
        <v>2336</v>
      </c>
      <c r="C8070" t="s">
        <v>289</v>
      </c>
      <c r="D8070">
        <v>3190</v>
      </c>
      <c r="E8070" t="s">
        <v>408</v>
      </c>
      <c r="F8070" s="4">
        <v>14009</v>
      </c>
      <c r="G8070" s="4">
        <v>0</v>
      </c>
      <c r="H8070" s="4">
        <v>0</v>
      </c>
      <c r="I8070" s="4">
        <v>0</v>
      </c>
      <c r="J8070" s="4">
        <v>14009</v>
      </c>
    </row>
    <row r="8071" spans="1:10" x14ac:dyDescent="0.75">
      <c r="A8071" t="s">
        <v>163</v>
      </c>
      <c r="B8071">
        <v>2336</v>
      </c>
      <c r="C8071" t="s">
        <v>289</v>
      </c>
      <c r="D8071">
        <v>3120</v>
      </c>
      <c r="E8071" t="s">
        <v>406</v>
      </c>
      <c r="F8071" s="4">
        <v>6166</v>
      </c>
      <c r="G8071" s="4">
        <v>0</v>
      </c>
      <c r="H8071" s="4">
        <v>0</v>
      </c>
      <c r="I8071" s="4">
        <v>0</v>
      </c>
      <c r="J8071" s="4">
        <v>6166</v>
      </c>
    </row>
    <row r="8072" spans="1:10" x14ac:dyDescent="0.75">
      <c r="A8072" t="s">
        <v>163</v>
      </c>
      <c r="B8072">
        <v>2336</v>
      </c>
      <c r="C8072" t="s">
        <v>289</v>
      </c>
      <c r="D8072">
        <v>6782</v>
      </c>
      <c r="E8072" t="s">
        <v>396</v>
      </c>
      <c r="F8072" s="4">
        <v>3256</v>
      </c>
      <c r="G8072" s="4">
        <v>0</v>
      </c>
      <c r="H8072" s="4">
        <v>0</v>
      </c>
      <c r="I8072" s="4">
        <v>0</v>
      </c>
      <c r="J8072" s="4">
        <v>3256</v>
      </c>
    </row>
    <row r="8073" spans="1:10" x14ac:dyDescent="0.75">
      <c r="A8073" t="s">
        <v>163</v>
      </c>
      <c r="B8073">
        <v>2336</v>
      </c>
      <c r="C8073" t="s">
        <v>289</v>
      </c>
      <c r="D8073">
        <v>4783</v>
      </c>
      <c r="E8073" t="s">
        <v>382</v>
      </c>
      <c r="F8073" s="4">
        <v>3106</v>
      </c>
      <c r="G8073" s="4">
        <v>0</v>
      </c>
      <c r="H8073" s="4">
        <v>0</v>
      </c>
      <c r="I8073" s="4">
        <v>0</v>
      </c>
      <c r="J8073" s="4">
        <v>3106</v>
      </c>
    </row>
    <row r="8074" spans="1:10" x14ac:dyDescent="0.75">
      <c r="A8074" t="s">
        <v>163</v>
      </c>
      <c r="B8074">
        <v>2336</v>
      </c>
      <c r="C8074" t="s">
        <v>289</v>
      </c>
      <c r="D8074">
        <v>3130</v>
      </c>
      <c r="E8074" t="s">
        <v>407</v>
      </c>
      <c r="F8074" s="4">
        <v>3031</v>
      </c>
      <c r="G8074" s="4">
        <v>0</v>
      </c>
      <c r="H8074" s="4">
        <v>0</v>
      </c>
      <c r="I8074" s="4">
        <v>0</v>
      </c>
      <c r="J8074" s="4">
        <v>3031</v>
      </c>
    </row>
    <row r="8075" spans="1:10" x14ac:dyDescent="0.75">
      <c r="A8075" t="s">
        <v>163</v>
      </c>
      <c r="B8075">
        <v>2336</v>
      </c>
      <c r="C8075" t="s">
        <v>289</v>
      </c>
      <c r="D8075">
        <v>4782</v>
      </c>
      <c r="E8075" t="s">
        <v>414</v>
      </c>
      <c r="F8075" s="4">
        <v>1449</v>
      </c>
      <c r="G8075" s="4">
        <v>0</v>
      </c>
      <c r="H8075" s="4">
        <v>0</v>
      </c>
      <c r="I8075" s="4">
        <v>0</v>
      </c>
      <c r="J8075" s="4">
        <v>1449</v>
      </c>
    </row>
    <row r="8076" spans="1:10" x14ac:dyDescent="0.75">
      <c r="A8076" t="s">
        <v>151</v>
      </c>
      <c r="B8076">
        <v>4988</v>
      </c>
      <c r="C8076" t="s">
        <v>84</v>
      </c>
      <c r="D8076">
        <v>2330</v>
      </c>
      <c r="E8076" t="s">
        <v>368</v>
      </c>
      <c r="F8076" s="4">
        <v>3825</v>
      </c>
      <c r="G8076" s="4">
        <v>0</v>
      </c>
      <c r="H8076" s="4">
        <v>0</v>
      </c>
      <c r="I8076" s="4">
        <v>0</v>
      </c>
      <c r="J8076" s="4">
        <v>3825</v>
      </c>
    </row>
    <row r="8077" spans="1:10" x14ac:dyDescent="0.75">
      <c r="A8077" t="s">
        <v>151</v>
      </c>
      <c r="B8077">
        <v>4988</v>
      </c>
      <c r="C8077" t="s">
        <v>84</v>
      </c>
      <c r="D8077">
        <v>7400</v>
      </c>
      <c r="E8077" t="s">
        <v>502</v>
      </c>
      <c r="F8077" s="4">
        <v>3382</v>
      </c>
      <c r="G8077" s="4">
        <v>0</v>
      </c>
      <c r="H8077" s="4">
        <v>0</v>
      </c>
      <c r="I8077" s="4">
        <v>0</v>
      </c>
      <c r="J8077" s="4">
        <v>3382</v>
      </c>
    </row>
    <row r="8078" spans="1:10" x14ac:dyDescent="0.75">
      <c r="A8078" t="s">
        <v>151</v>
      </c>
      <c r="B8078">
        <v>4988</v>
      </c>
      <c r="C8078" t="s">
        <v>84</v>
      </c>
      <c r="D8078">
        <v>2211</v>
      </c>
      <c r="E8078" t="s">
        <v>367</v>
      </c>
      <c r="F8078" s="4">
        <v>3059</v>
      </c>
      <c r="G8078" s="4">
        <v>0</v>
      </c>
      <c r="H8078" s="4">
        <v>0</v>
      </c>
      <c r="I8078" s="4">
        <v>0</v>
      </c>
      <c r="J8078" s="4">
        <v>3059</v>
      </c>
    </row>
    <row r="8079" spans="1:10" x14ac:dyDescent="0.75">
      <c r="A8079" t="s">
        <v>151</v>
      </c>
      <c r="B8079">
        <v>4988</v>
      </c>
      <c r="C8079" t="s">
        <v>84</v>
      </c>
      <c r="D8079">
        <v>2990</v>
      </c>
      <c r="E8079" t="s">
        <v>432</v>
      </c>
      <c r="F8079" s="4">
        <v>1540</v>
      </c>
      <c r="G8079" s="4">
        <v>0</v>
      </c>
      <c r="H8079" s="4">
        <v>0</v>
      </c>
      <c r="I8079" s="4">
        <v>0</v>
      </c>
      <c r="J8079" s="4">
        <v>1540</v>
      </c>
    </row>
    <row r="8080" spans="1:10" x14ac:dyDescent="0.75">
      <c r="A8080" t="s">
        <v>151</v>
      </c>
      <c r="B8080">
        <v>4988</v>
      </c>
      <c r="C8080" t="s">
        <v>84</v>
      </c>
      <c r="D8080">
        <v>3220</v>
      </c>
      <c r="E8080" t="s">
        <v>370</v>
      </c>
      <c r="F8080" s="4">
        <v>907</v>
      </c>
      <c r="G8080" s="4">
        <v>0</v>
      </c>
      <c r="H8080" s="4">
        <v>0</v>
      </c>
      <c r="I8080" s="4">
        <v>0</v>
      </c>
      <c r="J8080" s="4">
        <v>907</v>
      </c>
    </row>
    <row r="8081" spans="1:10" x14ac:dyDescent="0.75">
      <c r="A8081" t="s">
        <v>151</v>
      </c>
      <c r="B8081">
        <v>4988</v>
      </c>
      <c r="C8081" t="s">
        <v>84</v>
      </c>
      <c r="D8081">
        <v>2221</v>
      </c>
      <c r="E8081" t="s">
        <v>374</v>
      </c>
      <c r="F8081" s="4">
        <v>855</v>
      </c>
      <c r="G8081" s="4">
        <v>0</v>
      </c>
      <c r="H8081" s="4">
        <v>0</v>
      </c>
      <c r="I8081" s="4">
        <v>0</v>
      </c>
      <c r="J8081" s="4">
        <v>855</v>
      </c>
    </row>
    <row r="8082" spans="1:10" x14ac:dyDescent="0.75">
      <c r="A8082" t="s">
        <v>151</v>
      </c>
      <c r="B8082">
        <v>4988</v>
      </c>
      <c r="C8082" t="s">
        <v>84</v>
      </c>
      <c r="D8082">
        <v>7210</v>
      </c>
      <c r="E8082" t="s">
        <v>426</v>
      </c>
      <c r="F8082" s="4">
        <v>767</v>
      </c>
      <c r="G8082" s="4">
        <v>0</v>
      </c>
      <c r="H8082" s="4">
        <v>0</v>
      </c>
      <c r="I8082" s="4">
        <v>0</v>
      </c>
      <c r="J8082" s="4">
        <v>767</v>
      </c>
    </row>
    <row r="8083" spans="1:10" x14ac:dyDescent="0.75">
      <c r="A8083" t="s">
        <v>151</v>
      </c>
      <c r="B8083">
        <v>4988</v>
      </c>
      <c r="C8083" t="s">
        <v>84</v>
      </c>
      <c r="D8083">
        <v>7110</v>
      </c>
      <c r="E8083" t="s">
        <v>371</v>
      </c>
      <c r="F8083" s="4">
        <v>752</v>
      </c>
      <c r="G8083" s="4">
        <v>0</v>
      </c>
      <c r="H8083" s="4">
        <v>0</v>
      </c>
      <c r="I8083" s="4">
        <v>0</v>
      </c>
      <c r="J8083" s="4">
        <v>752</v>
      </c>
    </row>
    <row r="8084" spans="1:10" x14ac:dyDescent="0.75">
      <c r="A8084" t="s">
        <v>151</v>
      </c>
      <c r="B8084">
        <v>4988</v>
      </c>
      <c r="C8084" t="s">
        <v>84</v>
      </c>
      <c r="D8084">
        <v>7900</v>
      </c>
      <c r="E8084" t="s">
        <v>388</v>
      </c>
      <c r="F8084" s="4">
        <v>590</v>
      </c>
      <c r="G8084" s="4">
        <v>0</v>
      </c>
      <c r="H8084" s="4">
        <v>0</v>
      </c>
      <c r="I8084" s="4">
        <v>0</v>
      </c>
      <c r="J8084" s="4">
        <v>590</v>
      </c>
    </row>
    <row r="8085" spans="1:10" x14ac:dyDescent="0.75">
      <c r="A8085" t="s">
        <v>151</v>
      </c>
      <c r="B8085">
        <v>4988</v>
      </c>
      <c r="C8085" t="s">
        <v>84</v>
      </c>
      <c r="D8085">
        <v>6887</v>
      </c>
      <c r="E8085" t="s">
        <v>505</v>
      </c>
      <c r="F8085" s="4">
        <v>368</v>
      </c>
      <c r="G8085" s="4">
        <v>0</v>
      </c>
      <c r="H8085" s="4">
        <v>0</v>
      </c>
      <c r="I8085" s="4">
        <v>0</v>
      </c>
      <c r="J8085" s="4">
        <v>368</v>
      </c>
    </row>
    <row r="8086" spans="1:10" x14ac:dyDescent="0.75">
      <c r="A8086" t="s">
        <v>151</v>
      </c>
      <c r="B8086">
        <v>4988</v>
      </c>
      <c r="C8086" t="s">
        <v>84</v>
      </c>
      <c r="D8086">
        <v>8900</v>
      </c>
      <c r="E8086" t="s">
        <v>506</v>
      </c>
      <c r="F8086" s="4">
        <v>291</v>
      </c>
      <c r="G8086" s="4">
        <v>0</v>
      </c>
      <c r="H8086" s="4">
        <v>0</v>
      </c>
      <c r="I8086" s="4">
        <v>0</v>
      </c>
      <c r="J8086" s="4">
        <v>291</v>
      </c>
    </row>
    <row r="8087" spans="1:10" x14ac:dyDescent="0.75">
      <c r="A8087" t="s">
        <v>151</v>
      </c>
      <c r="B8087">
        <v>4988</v>
      </c>
      <c r="C8087" t="s">
        <v>84</v>
      </c>
      <c r="D8087">
        <v>4331</v>
      </c>
      <c r="E8087" t="s">
        <v>390</v>
      </c>
      <c r="F8087" s="4">
        <v>287</v>
      </c>
      <c r="G8087" s="4">
        <v>0</v>
      </c>
      <c r="H8087" s="4">
        <v>0</v>
      </c>
      <c r="I8087" s="4">
        <v>0</v>
      </c>
      <c r="J8087" s="4">
        <v>287</v>
      </c>
    </row>
    <row r="8088" spans="1:10" x14ac:dyDescent="0.75">
      <c r="A8088" t="s">
        <v>151</v>
      </c>
      <c r="B8088">
        <v>4988</v>
      </c>
      <c r="C8088" t="s">
        <v>84</v>
      </c>
      <c r="D8088">
        <v>3299</v>
      </c>
      <c r="E8088" t="s">
        <v>448</v>
      </c>
      <c r="F8088" s="4">
        <v>195</v>
      </c>
      <c r="G8088" s="4">
        <v>0</v>
      </c>
      <c r="H8088" s="4">
        <v>0</v>
      </c>
      <c r="I8088" s="4">
        <v>0</v>
      </c>
      <c r="J8088" s="4">
        <v>195</v>
      </c>
    </row>
    <row r="8089" spans="1:10" x14ac:dyDescent="0.75">
      <c r="A8089" t="s">
        <v>151</v>
      </c>
      <c r="B8089">
        <v>4988</v>
      </c>
      <c r="C8089" t="s">
        <v>84</v>
      </c>
      <c r="D8089">
        <v>5540</v>
      </c>
      <c r="E8089" t="s">
        <v>469</v>
      </c>
      <c r="F8089" s="4">
        <v>160</v>
      </c>
      <c r="G8089" s="4">
        <v>0</v>
      </c>
      <c r="H8089" s="4">
        <v>0</v>
      </c>
      <c r="I8089" s="4">
        <v>0</v>
      </c>
      <c r="J8089" s="4">
        <v>160</v>
      </c>
    </row>
    <row r="8090" spans="1:10" x14ac:dyDescent="0.75">
      <c r="A8090" t="s">
        <v>151</v>
      </c>
      <c r="B8090">
        <v>4988</v>
      </c>
      <c r="C8090" t="s">
        <v>84</v>
      </c>
      <c r="D8090">
        <v>5360</v>
      </c>
      <c r="E8090" t="s">
        <v>465</v>
      </c>
      <c r="F8090" s="4">
        <v>149</v>
      </c>
      <c r="G8090" s="4">
        <v>0</v>
      </c>
      <c r="H8090" s="4">
        <v>0</v>
      </c>
      <c r="I8090" s="4">
        <v>0</v>
      </c>
      <c r="J8090" s="4">
        <v>149</v>
      </c>
    </row>
    <row r="8091" spans="1:10" x14ac:dyDescent="0.75">
      <c r="A8091" t="s">
        <v>151</v>
      </c>
      <c r="B8091">
        <v>4988</v>
      </c>
      <c r="C8091" t="s">
        <v>84</v>
      </c>
      <c r="D8091">
        <v>4189</v>
      </c>
      <c r="E8091" t="s">
        <v>451</v>
      </c>
      <c r="F8091" s="4">
        <v>133</v>
      </c>
      <c r="G8091" s="4">
        <v>0</v>
      </c>
      <c r="H8091" s="4">
        <v>0</v>
      </c>
      <c r="I8091" s="4">
        <v>0</v>
      </c>
      <c r="J8091" s="4">
        <v>133</v>
      </c>
    </row>
    <row r="8092" spans="1:10" x14ac:dyDescent="0.75">
      <c r="A8092" t="s">
        <v>151</v>
      </c>
      <c r="B8092">
        <v>4988</v>
      </c>
      <c r="C8092" t="s">
        <v>84</v>
      </c>
      <c r="D8092">
        <v>5190</v>
      </c>
      <c r="E8092" t="s">
        <v>462</v>
      </c>
      <c r="F8092" s="4">
        <v>77</v>
      </c>
      <c r="G8092" s="4">
        <v>0</v>
      </c>
      <c r="H8092" s="4">
        <v>0</v>
      </c>
      <c r="I8092" s="4">
        <v>0</v>
      </c>
      <c r="J8092" s="4">
        <v>77</v>
      </c>
    </row>
    <row r="8093" spans="1:10" x14ac:dyDescent="0.75">
      <c r="A8093" t="s">
        <v>151</v>
      </c>
      <c r="B8093">
        <v>4988</v>
      </c>
      <c r="C8093" t="s">
        <v>84</v>
      </c>
      <c r="D8093">
        <v>7120</v>
      </c>
      <c r="E8093" t="s">
        <v>499</v>
      </c>
      <c r="F8093" s="4">
        <v>16</v>
      </c>
      <c r="G8093" s="4">
        <v>0</v>
      </c>
      <c r="H8093" s="4">
        <v>0</v>
      </c>
      <c r="I8093" s="4">
        <v>0</v>
      </c>
      <c r="J8093" s="4">
        <v>16</v>
      </c>
    </row>
    <row r="8094" spans="1:10" x14ac:dyDescent="0.75">
      <c r="A8094" t="s">
        <v>151</v>
      </c>
      <c r="B8094">
        <v>4988</v>
      </c>
      <c r="C8094" t="s">
        <v>84</v>
      </c>
      <c r="D8094">
        <v>5480</v>
      </c>
      <c r="E8094" t="s">
        <v>386</v>
      </c>
      <c r="F8094" s="4">
        <v>10</v>
      </c>
      <c r="G8094" s="4">
        <v>0</v>
      </c>
      <c r="H8094" s="4">
        <v>0</v>
      </c>
      <c r="I8094" s="4">
        <v>0</v>
      </c>
      <c r="J8094" s="4">
        <v>10</v>
      </c>
    </row>
    <row r="8095" spans="1:10" x14ac:dyDescent="0.75">
      <c r="A8095" t="s">
        <v>151</v>
      </c>
      <c r="B8095">
        <v>4988</v>
      </c>
      <c r="C8095" t="s">
        <v>84</v>
      </c>
      <c r="D8095">
        <v>5370</v>
      </c>
      <c r="E8095" t="s">
        <v>466</v>
      </c>
      <c r="F8095" s="4">
        <v>8</v>
      </c>
      <c r="G8095" s="4">
        <v>0</v>
      </c>
      <c r="H8095" s="4">
        <v>0</v>
      </c>
      <c r="I8095" s="4">
        <v>0</v>
      </c>
      <c r="J8095" s="4">
        <v>8</v>
      </c>
    </row>
    <row r="8096" spans="1:10" x14ac:dyDescent="0.75">
      <c r="A8096" t="s">
        <v>151</v>
      </c>
      <c r="B8096">
        <v>4988</v>
      </c>
      <c r="C8096" t="s">
        <v>84</v>
      </c>
      <c r="D8096">
        <v>5240</v>
      </c>
      <c r="E8096" t="s">
        <v>464</v>
      </c>
      <c r="F8096" s="4">
        <v>7</v>
      </c>
      <c r="G8096" s="4">
        <v>0</v>
      </c>
      <c r="H8096" s="4">
        <v>0</v>
      </c>
      <c r="I8096" s="4">
        <v>0</v>
      </c>
      <c r="J8096" s="4">
        <v>7</v>
      </c>
    </row>
    <row r="8097" spans="1:10" x14ac:dyDescent="0.75">
      <c r="A8097" t="s">
        <v>151</v>
      </c>
      <c r="B8097">
        <v>4988</v>
      </c>
      <c r="C8097" t="s">
        <v>84</v>
      </c>
      <c r="D8097">
        <v>7500</v>
      </c>
      <c r="E8097" t="s">
        <v>427</v>
      </c>
      <c r="F8097" s="4">
        <v>7</v>
      </c>
      <c r="G8097" s="4">
        <v>0</v>
      </c>
      <c r="H8097" s="4">
        <v>0</v>
      </c>
      <c r="I8097" s="4">
        <v>0</v>
      </c>
      <c r="J8097" s="4">
        <v>7</v>
      </c>
    </row>
    <row r="8098" spans="1:10" x14ac:dyDescent="0.75">
      <c r="A8098" t="s">
        <v>151</v>
      </c>
      <c r="B8098">
        <v>4988</v>
      </c>
      <c r="C8098" t="s">
        <v>84</v>
      </c>
      <c r="D8098">
        <v>7230</v>
      </c>
      <c r="E8098" t="s">
        <v>387</v>
      </c>
      <c r="F8098" s="4">
        <v>5</v>
      </c>
      <c r="G8098" s="4">
        <v>0</v>
      </c>
      <c r="H8098" s="4">
        <v>0</v>
      </c>
      <c r="I8098" s="4">
        <v>0</v>
      </c>
      <c r="J8098" s="4">
        <v>5</v>
      </c>
    </row>
    <row r="8099" spans="1:10" x14ac:dyDescent="0.75">
      <c r="A8099" t="s">
        <v>151</v>
      </c>
      <c r="B8099">
        <v>4816</v>
      </c>
      <c r="C8099" t="s">
        <v>85</v>
      </c>
      <c r="D8099">
        <v>2100</v>
      </c>
      <c r="E8099" t="s">
        <v>403</v>
      </c>
      <c r="F8099" s="4">
        <v>23504748</v>
      </c>
      <c r="G8099" s="4">
        <v>1462864</v>
      </c>
      <c r="H8099" s="4">
        <v>0</v>
      </c>
      <c r="I8099" s="4">
        <v>1462864</v>
      </c>
      <c r="J8099" s="4">
        <v>24967612</v>
      </c>
    </row>
    <row r="8100" spans="1:10" x14ac:dyDescent="0.75">
      <c r="A8100" t="s">
        <v>151</v>
      </c>
      <c r="B8100">
        <v>4816</v>
      </c>
      <c r="C8100" t="s">
        <v>85</v>
      </c>
      <c r="D8100">
        <v>2221</v>
      </c>
      <c r="E8100" t="s">
        <v>374</v>
      </c>
      <c r="F8100" s="4">
        <v>459667</v>
      </c>
      <c r="G8100" s="4">
        <v>0</v>
      </c>
      <c r="H8100" s="4">
        <v>0</v>
      </c>
      <c r="I8100" s="4">
        <v>0</v>
      </c>
      <c r="J8100" s="4">
        <v>459667</v>
      </c>
    </row>
    <row r="8101" spans="1:10" x14ac:dyDescent="0.75">
      <c r="A8101" t="s">
        <v>151</v>
      </c>
      <c r="B8101">
        <v>4816</v>
      </c>
      <c r="C8101" t="s">
        <v>85</v>
      </c>
      <c r="D8101">
        <v>2330</v>
      </c>
      <c r="E8101" t="s">
        <v>368</v>
      </c>
      <c r="F8101" s="4">
        <v>54540</v>
      </c>
      <c r="G8101" s="4">
        <v>0</v>
      </c>
      <c r="H8101" s="4">
        <v>0</v>
      </c>
      <c r="I8101" s="4">
        <v>0</v>
      </c>
      <c r="J8101" s="4">
        <v>54540</v>
      </c>
    </row>
    <row r="8102" spans="1:10" x14ac:dyDescent="0.75">
      <c r="A8102" t="s">
        <v>151</v>
      </c>
      <c r="B8102">
        <v>4816</v>
      </c>
      <c r="C8102" t="s">
        <v>85</v>
      </c>
      <c r="D8102">
        <v>6134</v>
      </c>
      <c r="E8102" t="s">
        <v>470</v>
      </c>
      <c r="F8102" s="4">
        <v>5271</v>
      </c>
      <c r="G8102" s="4">
        <v>0</v>
      </c>
      <c r="H8102" s="4">
        <v>0</v>
      </c>
      <c r="I8102" s="4">
        <v>0</v>
      </c>
      <c r="J8102" s="4">
        <v>5271</v>
      </c>
    </row>
    <row r="8103" spans="1:10" x14ac:dyDescent="0.75">
      <c r="A8103" t="s">
        <v>151</v>
      </c>
      <c r="B8103">
        <v>4816</v>
      </c>
      <c r="C8103" t="s">
        <v>85</v>
      </c>
      <c r="D8103">
        <v>6782</v>
      </c>
      <c r="E8103" t="s">
        <v>396</v>
      </c>
      <c r="F8103" s="4">
        <v>3953</v>
      </c>
      <c r="G8103" s="4">
        <v>0</v>
      </c>
      <c r="H8103" s="4">
        <v>0</v>
      </c>
      <c r="I8103" s="4">
        <v>0</v>
      </c>
      <c r="J8103" s="4">
        <v>3953</v>
      </c>
    </row>
    <row r="8104" spans="1:10" x14ac:dyDescent="0.75">
      <c r="A8104" t="s">
        <v>151</v>
      </c>
      <c r="B8104">
        <v>4816</v>
      </c>
      <c r="C8104" t="s">
        <v>85</v>
      </c>
      <c r="D8104">
        <v>2211</v>
      </c>
      <c r="E8104" t="s">
        <v>367</v>
      </c>
      <c r="F8104" s="4">
        <v>2542</v>
      </c>
      <c r="G8104" s="4">
        <v>0</v>
      </c>
      <c r="H8104" s="4">
        <v>0</v>
      </c>
      <c r="I8104" s="4">
        <v>0</v>
      </c>
      <c r="J8104" s="4">
        <v>2542</v>
      </c>
    </row>
    <row r="8105" spans="1:10" x14ac:dyDescent="0.75">
      <c r="A8105" t="s">
        <v>151</v>
      </c>
      <c r="B8105">
        <v>4816</v>
      </c>
      <c r="C8105" t="s">
        <v>85</v>
      </c>
      <c r="D8105">
        <v>8900</v>
      </c>
      <c r="E8105" t="s">
        <v>506</v>
      </c>
      <c r="F8105" s="4">
        <v>2499</v>
      </c>
      <c r="G8105" s="4">
        <v>0</v>
      </c>
      <c r="H8105" s="4">
        <v>0</v>
      </c>
      <c r="I8105" s="4">
        <v>0</v>
      </c>
      <c r="J8105" s="4">
        <v>2499</v>
      </c>
    </row>
    <row r="8106" spans="1:10" x14ac:dyDescent="0.75">
      <c r="A8106" t="s">
        <v>151</v>
      </c>
      <c r="B8106">
        <v>4816</v>
      </c>
      <c r="C8106" t="s">
        <v>85</v>
      </c>
      <c r="D8106">
        <v>7900</v>
      </c>
      <c r="E8106" t="s">
        <v>388</v>
      </c>
      <c r="F8106" s="4">
        <v>2065</v>
      </c>
      <c r="G8106" s="4">
        <v>0</v>
      </c>
      <c r="H8106" s="4">
        <v>0</v>
      </c>
      <c r="I8106" s="4">
        <v>0</v>
      </c>
      <c r="J8106" s="4">
        <v>2065</v>
      </c>
    </row>
    <row r="8107" spans="1:10" x14ac:dyDescent="0.75">
      <c r="A8107" t="s">
        <v>151</v>
      </c>
      <c r="B8107">
        <v>4816</v>
      </c>
      <c r="C8107" t="s">
        <v>85</v>
      </c>
      <c r="D8107">
        <v>7110</v>
      </c>
      <c r="E8107" t="s">
        <v>371</v>
      </c>
      <c r="F8107" s="4">
        <v>106</v>
      </c>
      <c r="G8107" s="4">
        <v>0</v>
      </c>
      <c r="H8107" s="4">
        <v>0</v>
      </c>
      <c r="I8107" s="4">
        <v>0</v>
      </c>
      <c r="J8107" s="4">
        <v>106</v>
      </c>
    </row>
    <row r="8108" spans="1:10" x14ac:dyDescent="0.75">
      <c r="A8108" t="s">
        <v>151</v>
      </c>
      <c r="B8108">
        <v>4816</v>
      </c>
      <c r="C8108" t="s">
        <v>85</v>
      </c>
      <c r="D8108">
        <v>6887</v>
      </c>
      <c r="E8108" t="s">
        <v>505</v>
      </c>
      <c r="F8108" s="4">
        <v>79</v>
      </c>
      <c r="G8108" s="4">
        <v>0</v>
      </c>
      <c r="H8108" s="4">
        <v>0</v>
      </c>
      <c r="I8108" s="4">
        <v>0</v>
      </c>
      <c r="J8108" s="4">
        <v>79</v>
      </c>
    </row>
    <row r="8109" spans="1:10" x14ac:dyDescent="0.75">
      <c r="A8109" t="s">
        <v>151</v>
      </c>
      <c r="B8109">
        <v>4816</v>
      </c>
      <c r="C8109" t="s">
        <v>85</v>
      </c>
      <c r="D8109">
        <v>7400</v>
      </c>
      <c r="E8109" t="s">
        <v>502</v>
      </c>
      <c r="F8109" s="4">
        <v>78</v>
      </c>
      <c r="G8109" s="4">
        <v>0</v>
      </c>
      <c r="H8109" s="4">
        <v>0</v>
      </c>
      <c r="I8109" s="4">
        <v>0</v>
      </c>
      <c r="J8109" s="4">
        <v>78</v>
      </c>
    </row>
    <row r="8110" spans="1:10" x14ac:dyDescent="0.75">
      <c r="A8110" t="s">
        <v>151</v>
      </c>
      <c r="B8110">
        <v>4816</v>
      </c>
      <c r="C8110" t="s">
        <v>85</v>
      </c>
      <c r="D8110">
        <v>5540</v>
      </c>
      <c r="E8110" t="s">
        <v>469</v>
      </c>
      <c r="F8110" s="4">
        <v>47</v>
      </c>
      <c r="G8110" s="4">
        <v>0</v>
      </c>
      <c r="H8110" s="4">
        <v>0</v>
      </c>
      <c r="I8110" s="4">
        <v>0</v>
      </c>
      <c r="J8110" s="4">
        <v>47</v>
      </c>
    </row>
    <row r="8111" spans="1:10" x14ac:dyDescent="0.75">
      <c r="A8111" t="s">
        <v>151</v>
      </c>
      <c r="B8111">
        <v>4816</v>
      </c>
      <c r="C8111" t="s">
        <v>85</v>
      </c>
      <c r="D8111">
        <v>7210</v>
      </c>
      <c r="E8111" t="s">
        <v>426</v>
      </c>
      <c r="F8111" s="4">
        <v>29</v>
      </c>
      <c r="G8111" s="4">
        <v>0</v>
      </c>
      <c r="H8111" s="4">
        <v>0</v>
      </c>
      <c r="I8111" s="4">
        <v>0</v>
      </c>
      <c r="J8111" s="4">
        <v>29</v>
      </c>
    </row>
    <row r="8112" spans="1:10" x14ac:dyDescent="0.75">
      <c r="A8112" t="s">
        <v>151</v>
      </c>
      <c r="B8112">
        <v>4816</v>
      </c>
      <c r="C8112" t="s">
        <v>85</v>
      </c>
      <c r="D8112">
        <v>5190</v>
      </c>
      <c r="E8112" t="s">
        <v>462</v>
      </c>
      <c r="F8112" s="4">
        <v>26</v>
      </c>
      <c r="G8112" s="4">
        <v>0</v>
      </c>
      <c r="H8112" s="4">
        <v>0</v>
      </c>
      <c r="I8112" s="4">
        <v>0</v>
      </c>
      <c r="J8112" s="4">
        <v>26</v>
      </c>
    </row>
    <row r="8113" spans="1:10" x14ac:dyDescent="0.75">
      <c r="A8113" t="s">
        <v>151</v>
      </c>
      <c r="B8113">
        <v>4816</v>
      </c>
      <c r="C8113" t="s">
        <v>85</v>
      </c>
      <c r="D8113">
        <v>5480</v>
      </c>
      <c r="E8113" t="s">
        <v>386</v>
      </c>
      <c r="F8113" s="4">
        <v>26</v>
      </c>
      <c r="G8113" s="4">
        <v>0</v>
      </c>
      <c r="H8113" s="4">
        <v>0</v>
      </c>
      <c r="I8113" s="4">
        <v>0</v>
      </c>
      <c r="J8113" s="4">
        <v>26</v>
      </c>
    </row>
    <row r="8114" spans="1:10" x14ac:dyDescent="0.75">
      <c r="A8114" t="s">
        <v>151</v>
      </c>
      <c r="B8114">
        <v>4816</v>
      </c>
      <c r="C8114" t="s">
        <v>85</v>
      </c>
      <c r="D8114">
        <v>2990</v>
      </c>
      <c r="E8114" t="s">
        <v>432</v>
      </c>
      <c r="F8114" s="4">
        <v>19</v>
      </c>
      <c r="G8114" s="4">
        <v>0</v>
      </c>
      <c r="H8114" s="4">
        <v>0</v>
      </c>
      <c r="I8114" s="4">
        <v>0</v>
      </c>
      <c r="J8114" s="4">
        <v>19</v>
      </c>
    </row>
    <row r="8115" spans="1:10" x14ac:dyDescent="0.75">
      <c r="A8115" t="s">
        <v>151</v>
      </c>
      <c r="B8115">
        <v>4816</v>
      </c>
      <c r="C8115" t="s">
        <v>85</v>
      </c>
      <c r="D8115">
        <v>5360</v>
      </c>
      <c r="E8115" t="s">
        <v>465</v>
      </c>
      <c r="F8115" s="4">
        <v>7</v>
      </c>
      <c r="G8115" s="4">
        <v>0</v>
      </c>
      <c r="H8115" s="4">
        <v>0</v>
      </c>
      <c r="I8115" s="4">
        <v>0</v>
      </c>
      <c r="J8115" s="4">
        <v>7</v>
      </c>
    </row>
    <row r="8116" spans="1:10" x14ac:dyDescent="0.75">
      <c r="A8116" t="s">
        <v>151</v>
      </c>
      <c r="B8116">
        <v>4816</v>
      </c>
      <c r="C8116" t="s">
        <v>85</v>
      </c>
      <c r="D8116">
        <v>7230</v>
      </c>
      <c r="E8116" t="s">
        <v>387</v>
      </c>
      <c r="F8116" s="4">
        <v>6</v>
      </c>
      <c r="G8116" s="4">
        <v>0</v>
      </c>
      <c r="H8116" s="4">
        <v>0</v>
      </c>
      <c r="I8116" s="4">
        <v>0</v>
      </c>
      <c r="J8116" s="4">
        <v>6</v>
      </c>
    </row>
    <row r="8117" spans="1:10" x14ac:dyDescent="0.75">
      <c r="A8117" t="s">
        <v>151</v>
      </c>
      <c r="B8117">
        <v>4816</v>
      </c>
      <c r="C8117" t="s">
        <v>85</v>
      </c>
      <c r="D8117">
        <v>7120</v>
      </c>
      <c r="E8117" t="s">
        <v>499</v>
      </c>
      <c r="F8117" s="4">
        <v>2</v>
      </c>
      <c r="G8117" s="4">
        <v>0</v>
      </c>
      <c r="H8117" s="4">
        <v>0</v>
      </c>
      <c r="I8117" s="4">
        <v>0</v>
      </c>
      <c r="J8117" s="4">
        <v>2</v>
      </c>
    </row>
    <row r="8118" spans="1:10" x14ac:dyDescent="0.75">
      <c r="A8118" t="s">
        <v>151</v>
      </c>
      <c r="B8118">
        <v>4816</v>
      </c>
      <c r="C8118" t="s">
        <v>85</v>
      </c>
      <c r="D8118">
        <v>3220</v>
      </c>
      <c r="E8118" t="s">
        <v>370</v>
      </c>
      <c r="F8118" s="4">
        <v>1</v>
      </c>
      <c r="G8118" s="4">
        <v>0</v>
      </c>
      <c r="H8118" s="4">
        <v>0</v>
      </c>
      <c r="I8118" s="4">
        <v>0</v>
      </c>
      <c r="J8118" s="4">
        <v>1</v>
      </c>
    </row>
    <row r="8119" spans="1:10" x14ac:dyDescent="0.75">
      <c r="A8119" t="s">
        <v>151</v>
      </c>
      <c r="B8119">
        <v>4816</v>
      </c>
      <c r="C8119" t="s">
        <v>85</v>
      </c>
      <c r="D8119">
        <v>4189</v>
      </c>
      <c r="E8119" t="s">
        <v>451</v>
      </c>
      <c r="F8119" s="4">
        <v>1</v>
      </c>
      <c r="G8119" s="4">
        <v>0</v>
      </c>
      <c r="H8119" s="4">
        <v>0</v>
      </c>
      <c r="I8119" s="4">
        <v>0</v>
      </c>
      <c r="J8119" s="4">
        <v>1</v>
      </c>
    </row>
    <row r="8120" spans="1:10" x14ac:dyDescent="0.75">
      <c r="A8120" t="s">
        <v>151</v>
      </c>
      <c r="B8120">
        <v>2399</v>
      </c>
      <c r="C8120" t="s">
        <v>232</v>
      </c>
      <c r="D8120">
        <v>2100</v>
      </c>
      <c r="E8120" t="s">
        <v>403</v>
      </c>
      <c r="F8120" s="4">
        <v>548875</v>
      </c>
      <c r="G8120" s="4">
        <v>0</v>
      </c>
      <c r="H8120" s="4">
        <v>0</v>
      </c>
      <c r="I8120" s="4">
        <v>0</v>
      </c>
      <c r="J8120" s="4">
        <v>548875</v>
      </c>
    </row>
    <row r="8121" spans="1:10" x14ac:dyDescent="0.75">
      <c r="A8121" t="s">
        <v>151</v>
      </c>
      <c r="B8121">
        <v>2399</v>
      </c>
      <c r="C8121" t="s">
        <v>232</v>
      </c>
      <c r="D8121">
        <v>4331</v>
      </c>
      <c r="E8121" t="s">
        <v>390</v>
      </c>
      <c r="F8121" s="4">
        <v>506494</v>
      </c>
      <c r="G8121" s="4">
        <v>0</v>
      </c>
      <c r="H8121" s="4">
        <v>0</v>
      </c>
      <c r="I8121" s="4">
        <v>0</v>
      </c>
      <c r="J8121" s="4">
        <v>506494</v>
      </c>
    </row>
    <row r="8122" spans="1:10" x14ac:dyDescent="0.75">
      <c r="A8122" t="s">
        <v>151</v>
      </c>
      <c r="B8122">
        <v>2399</v>
      </c>
      <c r="C8122" t="s">
        <v>232</v>
      </c>
      <c r="D8122">
        <v>3273</v>
      </c>
      <c r="E8122" t="s">
        <v>411</v>
      </c>
      <c r="F8122" s="4">
        <v>205287</v>
      </c>
      <c r="G8122" s="4">
        <v>0</v>
      </c>
      <c r="H8122" s="4">
        <v>0</v>
      </c>
      <c r="I8122" s="4">
        <v>0</v>
      </c>
      <c r="J8122" s="4">
        <v>205287</v>
      </c>
    </row>
    <row r="8123" spans="1:10" x14ac:dyDescent="0.75">
      <c r="A8123" t="s">
        <v>151</v>
      </c>
      <c r="B8123">
        <v>2399</v>
      </c>
      <c r="C8123" t="s">
        <v>232</v>
      </c>
      <c r="D8123">
        <v>3219</v>
      </c>
      <c r="E8123" t="s">
        <v>378</v>
      </c>
      <c r="F8123" s="4">
        <v>196200</v>
      </c>
      <c r="G8123" s="4">
        <v>0</v>
      </c>
      <c r="H8123" s="4">
        <v>0</v>
      </c>
      <c r="I8123" s="4">
        <v>0</v>
      </c>
      <c r="J8123" s="4">
        <v>196200</v>
      </c>
    </row>
    <row r="8124" spans="1:10" x14ac:dyDescent="0.75">
      <c r="A8124" t="s">
        <v>151</v>
      </c>
      <c r="B8124">
        <v>2399</v>
      </c>
      <c r="C8124" t="s">
        <v>232</v>
      </c>
      <c r="D8124">
        <v>3240</v>
      </c>
      <c r="E8124" t="s">
        <v>410</v>
      </c>
      <c r="F8124" s="4">
        <v>152400</v>
      </c>
      <c r="G8124" s="4">
        <v>0</v>
      </c>
      <c r="H8124" s="4">
        <v>0</v>
      </c>
      <c r="I8124" s="4">
        <v>0</v>
      </c>
      <c r="J8124" s="4">
        <v>152400</v>
      </c>
    </row>
    <row r="8125" spans="1:10" x14ac:dyDescent="0.75">
      <c r="A8125" t="s">
        <v>151</v>
      </c>
      <c r="B8125">
        <v>2399</v>
      </c>
      <c r="C8125" t="s">
        <v>232</v>
      </c>
      <c r="D8125">
        <v>3211</v>
      </c>
      <c r="E8125" t="s">
        <v>433</v>
      </c>
      <c r="F8125" s="4">
        <v>149818</v>
      </c>
      <c r="G8125" s="4">
        <v>0</v>
      </c>
      <c r="H8125" s="4">
        <v>0</v>
      </c>
      <c r="I8125" s="4">
        <v>0</v>
      </c>
      <c r="J8125" s="4">
        <v>149818</v>
      </c>
    </row>
    <row r="8126" spans="1:10" x14ac:dyDescent="0.75">
      <c r="A8126" t="s">
        <v>151</v>
      </c>
      <c r="B8126">
        <v>2399</v>
      </c>
      <c r="C8126" t="s">
        <v>232</v>
      </c>
      <c r="D8126">
        <v>3110</v>
      </c>
      <c r="E8126" t="s">
        <v>405</v>
      </c>
      <c r="F8126" s="4">
        <v>64387</v>
      </c>
      <c r="G8126" s="4">
        <v>0</v>
      </c>
      <c r="H8126" s="4">
        <v>0</v>
      </c>
      <c r="I8126" s="4">
        <v>0</v>
      </c>
      <c r="J8126" s="4">
        <v>64387</v>
      </c>
    </row>
    <row r="8127" spans="1:10" x14ac:dyDescent="0.75">
      <c r="A8127" t="s">
        <v>151</v>
      </c>
      <c r="B8127">
        <v>2399</v>
      </c>
      <c r="C8127" t="s">
        <v>232</v>
      </c>
      <c r="D8127">
        <v>7900</v>
      </c>
      <c r="E8127" t="s">
        <v>388</v>
      </c>
      <c r="F8127" s="4">
        <v>14144</v>
      </c>
      <c r="G8127" s="4">
        <v>0</v>
      </c>
      <c r="H8127" s="4">
        <v>0</v>
      </c>
      <c r="I8127" s="4">
        <v>0</v>
      </c>
      <c r="J8127" s="4">
        <v>14144</v>
      </c>
    </row>
    <row r="8128" spans="1:10" x14ac:dyDescent="0.75">
      <c r="A8128" t="s">
        <v>151</v>
      </c>
      <c r="B8128">
        <v>2399</v>
      </c>
      <c r="C8128" t="s">
        <v>232</v>
      </c>
      <c r="D8128">
        <v>6344</v>
      </c>
      <c r="E8128" t="s">
        <v>392</v>
      </c>
      <c r="F8128" s="4">
        <v>8029</v>
      </c>
      <c r="G8128" s="4">
        <v>0</v>
      </c>
      <c r="H8128" s="4">
        <v>0</v>
      </c>
      <c r="I8128" s="4">
        <v>0</v>
      </c>
      <c r="J8128" s="4">
        <v>8029</v>
      </c>
    </row>
    <row r="8129" spans="1:10" x14ac:dyDescent="0.75">
      <c r="A8129" t="s">
        <v>151</v>
      </c>
      <c r="B8129">
        <v>2399</v>
      </c>
      <c r="C8129" t="s">
        <v>232</v>
      </c>
      <c r="D8129">
        <v>3274</v>
      </c>
      <c r="E8129" t="s">
        <v>438</v>
      </c>
      <c r="F8129" s="4">
        <v>4500</v>
      </c>
      <c r="G8129" s="4">
        <v>0</v>
      </c>
      <c r="H8129" s="4">
        <v>0</v>
      </c>
      <c r="I8129" s="4">
        <v>0</v>
      </c>
      <c r="J8129" s="4">
        <v>4500</v>
      </c>
    </row>
    <row r="8130" spans="1:10" x14ac:dyDescent="0.75">
      <c r="A8130" t="s">
        <v>151</v>
      </c>
      <c r="B8130">
        <v>2399</v>
      </c>
      <c r="C8130" t="s">
        <v>232</v>
      </c>
      <c r="D8130">
        <v>3260</v>
      </c>
      <c r="E8130" t="s">
        <v>436</v>
      </c>
      <c r="F8130" s="4">
        <v>3600</v>
      </c>
      <c r="G8130" s="4">
        <v>0</v>
      </c>
      <c r="H8130" s="4">
        <v>0</v>
      </c>
      <c r="I8130" s="4">
        <v>0</v>
      </c>
      <c r="J8130" s="4">
        <v>3600</v>
      </c>
    </row>
    <row r="8131" spans="1:10" x14ac:dyDescent="0.75">
      <c r="A8131" t="s">
        <v>151</v>
      </c>
      <c r="B8131">
        <v>2399</v>
      </c>
      <c r="C8131" t="s">
        <v>232</v>
      </c>
      <c r="D8131">
        <v>6857</v>
      </c>
      <c r="E8131" t="s">
        <v>487</v>
      </c>
      <c r="F8131" s="4">
        <v>1500</v>
      </c>
      <c r="G8131" s="4">
        <v>0</v>
      </c>
      <c r="H8131" s="4">
        <v>0</v>
      </c>
      <c r="I8131" s="4">
        <v>0</v>
      </c>
      <c r="J8131" s="4">
        <v>1500</v>
      </c>
    </row>
    <row r="8132" spans="1:10" x14ac:dyDescent="0.75">
      <c r="A8132" t="s">
        <v>151</v>
      </c>
      <c r="B8132">
        <v>2443</v>
      </c>
      <c r="C8132" t="s">
        <v>191</v>
      </c>
      <c r="D8132">
        <v>2330</v>
      </c>
      <c r="E8132" t="s">
        <v>368</v>
      </c>
      <c r="F8132" s="4">
        <v>74465</v>
      </c>
      <c r="G8132" s="4">
        <v>2387099</v>
      </c>
      <c r="H8132" s="4">
        <v>1073946</v>
      </c>
      <c r="I8132" s="4">
        <v>1313153</v>
      </c>
      <c r="J8132" s="4">
        <v>2461564</v>
      </c>
    </row>
    <row r="8133" spans="1:10" x14ac:dyDescent="0.75">
      <c r="A8133" t="s">
        <v>151</v>
      </c>
      <c r="B8133">
        <v>2443</v>
      </c>
      <c r="C8133" t="s">
        <v>191</v>
      </c>
      <c r="D8133">
        <v>2100</v>
      </c>
      <c r="E8133" t="s">
        <v>403</v>
      </c>
      <c r="F8133" s="4">
        <v>0</v>
      </c>
      <c r="G8133" s="4">
        <v>1301435</v>
      </c>
      <c r="H8133" s="4">
        <v>271905</v>
      </c>
      <c r="I8133" s="4">
        <v>1029530</v>
      </c>
      <c r="J8133" s="4">
        <v>1301435</v>
      </c>
    </row>
    <row r="8134" spans="1:10" x14ac:dyDescent="0.75">
      <c r="A8134" t="s">
        <v>151</v>
      </c>
      <c r="B8134">
        <v>2443</v>
      </c>
      <c r="C8134" t="s">
        <v>191</v>
      </c>
      <c r="D8134">
        <v>2221</v>
      </c>
      <c r="E8134" t="s">
        <v>374</v>
      </c>
      <c r="F8134" s="4">
        <v>0</v>
      </c>
      <c r="G8134" s="4">
        <v>1281612</v>
      </c>
      <c r="H8134" s="4">
        <v>632941</v>
      </c>
      <c r="I8134" s="4">
        <v>648671</v>
      </c>
      <c r="J8134" s="4">
        <v>1281612</v>
      </c>
    </row>
    <row r="8135" spans="1:10" x14ac:dyDescent="0.75">
      <c r="A8135" t="s">
        <v>151</v>
      </c>
      <c r="B8135">
        <v>2443</v>
      </c>
      <c r="C8135" t="s">
        <v>191</v>
      </c>
      <c r="D8135">
        <v>2211</v>
      </c>
      <c r="E8135" t="s">
        <v>367</v>
      </c>
      <c r="F8135" s="4">
        <v>0</v>
      </c>
      <c r="G8135" s="4">
        <v>711225</v>
      </c>
      <c r="H8135" s="4">
        <v>0</v>
      </c>
      <c r="I8135" s="4">
        <v>711225</v>
      </c>
      <c r="J8135" s="4">
        <v>711225</v>
      </c>
    </row>
    <row r="8136" spans="1:10" x14ac:dyDescent="0.75">
      <c r="A8136" t="s">
        <v>151</v>
      </c>
      <c r="B8136">
        <v>2443</v>
      </c>
      <c r="C8136" t="s">
        <v>191</v>
      </c>
      <c r="D8136">
        <v>2340</v>
      </c>
      <c r="E8136" t="s">
        <v>369</v>
      </c>
      <c r="F8136" s="4">
        <v>0</v>
      </c>
      <c r="G8136" s="4">
        <v>138983</v>
      </c>
      <c r="H8136" s="4">
        <v>0</v>
      </c>
      <c r="I8136" s="4">
        <v>138983</v>
      </c>
      <c r="J8136" s="4">
        <v>138983</v>
      </c>
    </row>
    <row r="8137" spans="1:10" x14ac:dyDescent="0.75">
      <c r="A8137" t="s">
        <v>151</v>
      </c>
      <c r="B8137">
        <v>2443</v>
      </c>
      <c r="C8137" t="s">
        <v>191</v>
      </c>
      <c r="D8137">
        <v>2429</v>
      </c>
      <c r="E8137" t="s">
        <v>375</v>
      </c>
      <c r="F8137" s="4">
        <v>0</v>
      </c>
      <c r="G8137" s="4">
        <v>81026</v>
      </c>
      <c r="H8137" s="4">
        <v>3986</v>
      </c>
      <c r="I8137" s="4">
        <v>77040</v>
      </c>
      <c r="J8137" s="4">
        <v>81026</v>
      </c>
    </row>
    <row r="8138" spans="1:10" x14ac:dyDescent="0.75">
      <c r="A8138" t="s">
        <v>151</v>
      </c>
      <c r="B8138">
        <v>2443</v>
      </c>
      <c r="C8138" t="s">
        <v>191</v>
      </c>
      <c r="D8138">
        <v>6865</v>
      </c>
      <c r="E8138" t="s">
        <v>490</v>
      </c>
      <c r="F8138" s="4">
        <v>0</v>
      </c>
      <c r="G8138" s="4">
        <v>41997</v>
      </c>
      <c r="H8138" s="4">
        <v>41997</v>
      </c>
      <c r="I8138" s="4">
        <v>0</v>
      </c>
      <c r="J8138" s="4">
        <v>41997</v>
      </c>
    </row>
    <row r="8139" spans="1:10" x14ac:dyDescent="0.75">
      <c r="A8139" t="s">
        <v>151</v>
      </c>
      <c r="B8139">
        <v>2443</v>
      </c>
      <c r="C8139" t="s">
        <v>191</v>
      </c>
      <c r="D8139">
        <v>2640</v>
      </c>
      <c r="E8139" t="s">
        <v>431</v>
      </c>
      <c r="F8139" s="4">
        <v>0</v>
      </c>
      <c r="G8139" s="4">
        <v>11105</v>
      </c>
      <c r="H8139" s="4">
        <v>11105</v>
      </c>
      <c r="I8139" s="4">
        <v>0</v>
      </c>
      <c r="J8139" s="4">
        <v>11105</v>
      </c>
    </row>
    <row r="8140" spans="1:10" x14ac:dyDescent="0.75">
      <c r="A8140" t="s">
        <v>151</v>
      </c>
      <c r="B8140">
        <v>2443</v>
      </c>
      <c r="C8140" t="s">
        <v>191</v>
      </c>
      <c r="D8140">
        <v>6885</v>
      </c>
      <c r="E8140" t="s">
        <v>493</v>
      </c>
      <c r="F8140" s="4">
        <v>0</v>
      </c>
      <c r="G8140" s="4">
        <v>8679</v>
      </c>
      <c r="H8140" s="4">
        <v>8679</v>
      </c>
      <c r="I8140" s="4">
        <v>0</v>
      </c>
      <c r="J8140" s="4">
        <v>8679</v>
      </c>
    </row>
    <row r="8141" spans="1:10" x14ac:dyDescent="0.75">
      <c r="A8141" t="s">
        <v>151</v>
      </c>
      <c r="B8141">
        <v>2443</v>
      </c>
      <c r="C8141" t="s">
        <v>191</v>
      </c>
      <c r="D8141">
        <v>4420</v>
      </c>
      <c r="E8141" t="s">
        <v>381</v>
      </c>
      <c r="F8141" s="4">
        <v>0</v>
      </c>
      <c r="G8141" s="4">
        <v>6562</v>
      </c>
      <c r="H8141" s="4">
        <v>0</v>
      </c>
      <c r="I8141" s="4">
        <v>6562</v>
      </c>
      <c r="J8141" s="4">
        <v>6562</v>
      </c>
    </row>
    <row r="8142" spans="1:10" x14ac:dyDescent="0.75">
      <c r="A8142" t="s">
        <v>151</v>
      </c>
      <c r="B8142">
        <v>2443</v>
      </c>
      <c r="C8142" t="s">
        <v>191</v>
      </c>
      <c r="D8142">
        <v>4331</v>
      </c>
      <c r="E8142" t="s">
        <v>390</v>
      </c>
      <c r="F8142" s="4">
        <v>0</v>
      </c>
      <c r="G8142" s="4">
        <v>3850</v>
      </c>
      <c r="H8142" s="4">
        <v>3299</v>
      </c>
      <c r="I8142" s="4">
        <v>551</v>
      </c>
      <c r="J8142" s="4">
        <v>3850</v>
      </c>
    </row>
    <row r="8143" spans="1:10" x14ac:dyDescent="0.75">
      <c r="A8143" t="s">
        <v>151</v>
      </c>
      <c r="B8143">
        <v>2443</v>
      </c>
      <c r="C8143" t="s">
        <v>191</v>
      </c>
      <c r="D8143">
        <v>6889</v>
      </c>
      <c r="E8143" t="s">
        <v>420</v>
      </c>
      <c r="F8143" s="4">
        <v>0</v>
      </c>
      <c r="G8143" s="4">
        <v>686</v>
      </c>
      <c r="H8143" s="4">
        <v>686</v>
      </c>
      <c r="I8143" s="4">
        <v>0</v>
      </c>
      <c r="J8143" s="4">
        <v>686</v>
      </c>
    </row>
    <row r="8144" spans="1:10" x14ac:dyDescent="0.75">
      <c r="A8144" t="s">
        <v>151</v>
      </c>
      <c r="B8144">
        <v>2443</v>
      </c>
      <c r="C8144" t="s">
        <v>191</v>
      </c>
      <c r="D8144">
        <v>7600</v>
      </c>
      <c r="E8144" t="s">
        <v>503</v>
      </c>
      <c r="F8144" s="4">
        <v>0</v>
      </c>
      <c r="G8144" s="4">
        <v>651</v>
      </c>
      <c r="H8144" s="4">
        <v>650</v>
      </c>
      <c r="I8144" s="4">
        <v>1</v>
      </c>
      <c r="J8144" s="4">
        <v>651</v>
      </c>
    </row>
    <row r="8145" spans="1:10" x14ac:dyDescent="0.75">
      <c r="A8145" t="s">
        <v>151</v>
      </c>
      <c r="B8145">
        <v>2443</v>
      </c>
      <c r="C8145" t="s">
        <v>191</v>
      </c>
      <c r="D8145">
        <v>7900</v>
      </c>
      <c r="E8145" t="s">
        <v>388</v>
      </c>
      <c r="F8145" s="4">
        <v>0</v>
      </c>
      <c r="G8145" s="4">
        <v>347</v>
      </c>
      <c r="H8145" s="4">
        <v>316</v>
      </c>
      <c r="I8145" s="4">
        <v>31</v>
      </c>
      <c r="J8145" s="4">
        <v>347</v>
      </c>
    </row>
    <row r="8146" spans="1:10" x14ac:dyDescent="0.75">
      <c r="A8146" t="s">
        <v>151</v>
      </c>
      <c r="B8146">
        <v>2443</v>
      </c>
      <c r="C8146" t="s">
        <v>191</v>
      </c>
      <c r="D8146">
        <v>5330</v>
      </c>
      <c r="E8146" t="s">
        <v>385</v>
      </c>
      <c r="F8146" s="4">
        <v>0</v>
      </c>
      <c r="G8146" s="4">
        <v>302</v>
      </c>
      <c r="H8146" s="4">
        <v>302</v>
      </c>
      <c r="I8146" s="4">
        <v>0</v>
      </c>
      <c r="J8146" s="4">
        <v>302</v>
      </c>
    </row>
    <row r="8147" spans="1:10" x14ac:dyDescent="0.75">
      <c r="A8147" t="s">
        <v>151</v>
      </c>
      <c r="B8147">
        <v>2443</v>
      </c>
      <c r="C8147" t="s">
        <v>191</v>
      </c>
      <c r="D8147">
        <v>5480</v>
      </c>
      <c r="E8147" t="s">
        <v>386</v>
      </c>
      <c r="F8147" s="4">
        <v>0</v>
      </c>
      <c r="G8147" s="4">
        <v>176</v>
      </c>
      <c r="H8147" s="4">
        <v>147</v>
      </c>
      <c r="I8147" s="4">
        <v>29</v>
      </c>
      <c r="J8147" s="4">
        <v>176</v>
      </c>
    </row>
    <row r="8148" spans="1:10" x14ac:dyDescent="0.75">
      <c r="A8148" t="s">
        <v>151</v>
      </c>
      <c r="B8148">
        <v>2443</v>
      </c>
      <c r="C8148" t="s">
        <v>191</v>
      </c>
      <c r="D8148">
        <v>3275</v>
      </c>
      <c r="E8148" t="s">
        <v>412</v>
      </c>
      <c r="F8148" s="4">
        <v>0</v>
      </c>
      <c r="G8148" s="4">
        <v>111</v>
      </c>
      <c r="H8148" s="4">
        <v>111</v>
      </c>
      <c r="I8148" s="4">
        <v>0</v>
      </c>
      <c r="J8148" s="4">
        <v>111</v>
      </c>
    </row>
    <row r="8149" spans="1:10" x14ac:dyDescent="0.75">
      <c r="A8149" t="s">
        <v>151</v>
      </c>
      <c r="B8149">
        <v>2443</v>
      </c>
      <c r="C8149" t="s">
        <v>191</v>
      </c>
      <c r="D8149">
        <v>7210</v>
      </c>
      <c r="E8149" t="s">
        <v>426</v>
      </c>
      <c r="F8149" s="4">
        <v>0</v>
      </c>
      <c r="G8149" s="4">
        <v>75</v>
      </c>
      <c r="H8149" s="4">
        <v>32</v>
      </c>
      <c r="I8149" s="4">
        <v>43</v>
      </c>
      <c r="J8149" s="4">
        <v>75</v>
      </c>
    </row>
    <row r="8150" spans="1:10" x14ac:dyDescent="0.75">
      <c r="A8150" t="s">
        <v>151</v>
      </c>
      <c r="B8150">
        <v>2443</v>
      </c>
      <c r="C8150" t="s">
        <v>191</v>
      </c>
      <c r="D8150">
        <v>6654</v>
      </c>
      <c r="E8150" t="s">
        <v>419</v>
      </c>
      <c r="F8150" s="4">
        <v>0</v>
      </c>
      <c r="G8150" s="4">
        <v>48</v>
      </c>
      <c r="H8150" s="4">
        <v>48</v>
      </c>
      <c r="I8150" s="4">
        <v>0</v>
      </c>
      <c r="J8150" s="4">
        <v>48</v>
      </c>
    </row>
    <row r="8151" spans="1:10" x14ac:dyDescent="0.75">
      <c r="A8151" t="s">
        <v>151</v>
      </c>
      <c r="B8151">
        <v>2443</v>
      </c>
      <c r="C8151" t="s">
        <v>191</v>
      </c>
      <c r="D8151">
        <v>7110</v>
      </c>
      <c r="E8151" t="s">
        <v>371</v>
      </c>
      <c r="F8151" s="4">
        <v>0</v>
      </c>
      <c r="G8151" s="4">
        <v>38</v>
      </c>
      <c r="H8151" s="4">
        <v>38</v>
      </c>
      <c r="I8151" s="4">
        <v>0</v>
      </c>
      <c r="J8151" s="4">
        <v>38</v>
      </c>
    </row>
    <row r="8152" spans="1:10" x14ac:dyDescent="0.75">
      <c r="A8152" t="s">
        <v>151</v>
      </c>
      <c r="B8152">
        <v>2443</v>
      </c>
      <c r="C8152" t="s">
        <v>191</v>
      </c>
      <c r="D8152">
        <v>5290</v>
      </c>
      <c r="E8152" t="s">
        <v>415</v>
      </c>
      <c r="F8152" s="4">
        <v>0</v>
      </c>
      <c r="G8152" s="4">
        <v>32</v>
      </c>
      <c r="H8152" s="4">
        <v>30</v>
      </c>
      <c r="I8152" s="4">
        <v>2</v>
      </c>
      <c r="J8152" s="4">
        <v>32</v>
      </c>
    </row>
    <row r="8153" spans="1:10" x14ac:dyDescent="0.75">
      <c r="A8153" t="s">
        <v>151</v>
      </c>
      <c r="B8153">
        <v>2443</v>
      </c>
      <c r="C8153" t="s">
        <v>191</v>
      </c>
      <c r="D8153">
        <v>5190</v>
      </c>
      <c r="E8153" t="s">
        <v>462</v>
      </c>
      <c r="F8153" s="4">
        <v>0</v>
      </c>
      <c r="G8153" s="4">
        <v>22</v>
      </c>
      <c r="H8153" s="4">
        <v>22</v>
      </c>
      <c r="I8153" s="4">
        <v>0</v>
      </c>
      <c r="J8153" s="4">
        <v>22</v>
      </c>
    </row>
    <row r="8154" spans="1:10" x14ac:dyDescent="0.75">
      <c r="A8154" t="s">
        <v>151</v>
      </c>
      <c r="B8154">
        <v>2443</v>
      </c>
      <c r="C8154" t="s">
        <v>191</v>
      </c>
      <c r="D8154">
        <v>6858</v>
      </c>
      <c r="E8154" t="s">
        <v>488</v>
      </c>
      <c r="F8154" s="4">
        <v>0</v>
      </c>
      <c r="G8154" s="4">
        <v>14</v>
      </c>
      <c r="H8154" s="4">
        <v>14</v>
      </c>
      <c r="I8154" s="4">
        <v>0</v>
      </c>
      <c r="J8154" s="4">
        <v>14</v>
      </c>
    </row>
    <row r="8155" spans="1:10" x14ac:dyDescent="0.75">
      <c r="A8155" t="s">
        <v>151</v>
      </c>
      <c r="B8155">
        <v>2443</v>
      </c>
      <c r="C8155" t="s">
        <v>191</v>
      </c>
      <c r="D8155">
        <v>7500</v>
      </c>
      <c r="E8155" t="s">
        <v>427</v>
      </c>
      <c r="F8155" s="4">
        <v>0</v>
      </c>
      <c r="G8155" s="4">
        <v>13</v>
      </c>
      <c r="H8155" s="4">
        <v>13</v>
      </c>
      <c r="I8155" s="4">
        <v>0</v>
      </c>
      <c r="J8155" s="4">
        <v>13</v>
      </c>
    </row>
    <row r="8156" spans="1:10" x14ac:dyDescent="0.75">
      <c r="A8156" t="s">
        <v>151</v>
      </c>
      <c r="B8156">
        <v>2443</v>
      </c>
      <c r="C8156" t="s">
        <v>191</v>
      </c>
      <c r="D8156">
        <v>7400</v>
      </c>
      <c r="E8156" t="s">
        <v>502</v>
      </c>
      <c r="F8156" s="4">
        <v>0</v>
      </c>
      <c r="G8156" s="4">
        <v>10</v>
      </c>
      <c r="H8156" s="4">
        <v>0</v>
      </c>
      <c r="I8156" s="4">
        <v>10</v>
      </c>
      <c r="J8156" s="4">
        <v>10</v>
      </c>
    </row>
    <row r="8157" spans="1:10" x14ac:dyDescent="0.75">
      <c r="A8157" t="s">
        <v>151</v>
      </c>
      <c r="B8157">
        <v>2443</v>
      </c>
      <c r="C8157" t="s">
        <v>191</v>
      </c>
      <c r="D8157">
        <v>7230</v>
      </c>
      <c r="E8157" t="s">
        <v>387</v>
      </c>
      <c r="F8157" s="4">
        <v>0</v>
      </c>
      <c r="G8157" s="4">
        <v>7</v>
      </c>
      <c r="H8157" s="4">
        <v>0</v>
      </c>
      <c r="I8157" s="4">
        <v>7</v>
      </c>
      <c r="J8157" s="4">
        <v>7</v>
      </c>
    </row>
    <row r="8158" spans="1:10" x14ac:dyDescent="0.75">
      <c r="A8158" t="s">
        <v>151</v>
      </c>
      <c r="B8158">
        <v>2443</v>
      </c>
      <c r="C8158" t="s">
        <v>191</v>
      </c>
      <c r="D8158">
        <v>5240</v>
      </c>
      <c r="E8158" t="s">
        <v>464</v>
      </c>
      <c r="F8158" s="4">
        <v>0</v>
      </c>
      <c r="G8158" s="4">
        <v>2</v>
      </c>
      <c r="H8158" s="4">
        <v>2</v>
      </c>
      <c r="I8158" s="4">
        <v>0</v>
      </c>
      <c r="J8158" s="4">
        <v>2</v>
      </c>
    </row>
    <row r="8159" spans="1:10" x14ac:dyDescent="0.75">
      <c r="A8159" t="s">
        <v>151</v>
      </c>
      <c r="B8159">
        <v>2443</v>
      </c>
      <c r="C8159" t="s">
        <v>191</v>
      </c>
      <c r="D8159">
        <v>3282</v>
      </c>
      <c r="E8159" t="s">
        <v>440</v>
      </c>
      <c r="F8159" s="4">
        <v>0</v>
      </c>
      <c r="G8159" s="4">
        <v>1</v>
      </c>
      <c r="H8159" s="4">
        <v>1</v>
      </c>
      <c r="I8159" s="4">
        <v>0</v>
      </c>
      <c r="J8159" s="4">
        <v>1</v>
      </c>
    </row>
    <row r="8160" spans="1:10" x14ac:dyDescent="0.75">
      <c r="A8160" t="s">
        <v>151</v>
      </c>
      <c r="B8160">
        <v>2142</v>
      </c>
      <c r="C8160" t="s">
        <v>346</v>
      </c>
      <c r="D8160">
        <v>4331</v>
      </c>
      <c r="E8160" t="s">
        <v>390</v>
      </c>
      <c r="F8160" s="4">
        <v>0</v>
      </c>
      <c r="G8160" s="4">
        <v>2083</v>
      </c>
      <c r="H8160" s="4">
        <v>2083</v>
      </c>
      <c r="I8160" s="4">
        <v>0</v>
      </c>
      <c r="J8160" s="4">
        <v>2083</v>
      </c>
    </row>
    <row r="8161" spans="1:10" x14ac:dyDescent="0.75">
      <c r="A8161" t="s">
        <v>151</v>
      </c>
      <c r="B8161">
        <v>2142</v>
      </c>
      <c r="C8161" t="s">
        <v>346</v>
      </c>
      <c r="D8161">
        <v>7110</v>
      </c>
      <c r="E8161" t="s">
        <v>371</v>
      </c>
      <c r="F8161" s="4">
        <v>0</v>
      </c>
      <c r="G8161" s="4">
        <v>23</v>
      </c>
      <c r="H8161" s="4">
        <v>23</v>
      </c>
      <c r="I8161" s="4">
        <v>0</v>
      </c>
      <c r="J8161" s="4">
        <v>23</v>
      </c>
    </row>
    <row r="8162" spans="1:10" x14ac:dyDescent="0.75">
      <c r="A8162" t="s">
        <v>151</v>
      </c>
      <c r="B8162">
        <v>1989</v>
      </c>
      <c r="C8162" t="s">
        <v>312</v>
      </c>
      <c r="D8162">
        <v>2330</v>
      </c>
      <c r="E8162" t="s">
        <v>368</v>
      </c>
      <c r="F8162" s="4">
        <v>44234</v>
      </c>
      <c r="G8162" s="4">
        <v>0</v>
      </c>
      <c r="H8162" s="4">
        <v>0</v>
      </c>
      <c r="I8162" s="4">
        <v>0</v>
      </c>
      <c r="J8162" s="4">
        <v>44234</v>
      </c>
    </row>
    <row r="8163" spans="1:10" x14ac:dyDescent="0.75">
      <c r="A8163" t="s">
        <v>151</v>
      </c>
      <c r="B8163">
        <v>1989</v>
      </c>
      <c r="C8163" t="s">
        <v>312</v>
      </c>
      <c r="D8163">
        <v>4331</v>
      </c>
      <c r="E8163" t="s">
        <v>390</v>
      </c>
      <c r="F8163" s="4">
        <v>0</v>
      </c>
      <c r="G8163" s="4">
        <v>19677</v>
      </c>
      <c r="H8163" s="4">
        <v>19677</v>
      </c>
      <c r="I8163" s="4">
        <v>0</v>
      </c>
      <c r="J8163" s="4">
        <v>19677</v>
      </c>
    </row>
    <row r="8164" spans="1:10" x14ac:dyDescent="0.75">
      <c r="A8164" t="s">
        <v>151</v>
      </c>
      <c r="B8164">
        <v>1989</v>
      </c>
      <c r="C8164" t="s">
        <v>312</v>
      </c>
      <c r="D8164">
        <v>6885</v>
      </c>
      <c r="E8164" t="s">
        <v>493</v>
      </c>
      <c r="F8164" s="4">
        <v>0</v>
      </c>
      <c r="G8164" s="4">
        <v>5919</v>
      </c>
      <c r="H8164" s="4">
        <v>5601</v>
      </c>
      <c r="I8164" s="4">
        <v>318</v>
      </c>
      <c r="J8164" s="4">
        <v>5919</v>
      </c>
    </row>
    <row r="8165" spans="1:10" x14ac:dyDescent="0.75">
      <c r="A8165" t="s">
        <v>151</v>
      </c>
      <c r="B8165">
        <v>1989</v>
      </c>
      <c r="C8165" t="s">
        <v>312</v>
      </c>
      <c r="D8165">
        <v>5220</v>
      </c>
      <c r="E8165" t="s">
        <v>401</v>
      </c>
      <c r="F8165" s="4">
        <v>0</v>
      </c>
      <c r="G8165" s="4">
        <v>4866</v>
      </c>
      <c r="H8165" s="4">
        <v>4866</v>
      </c>
      <c r="I8165" s="4">
        <v>0</v>
      </c>
      <c r="J8165" s="4">
        <v>4866</v>
      </c>
    </row>
    <row r="8166" spans="1:10" x14ac:dyDescent="0.75">
      <c r="A8166" t="s">
        <v>151</v>
      </c>
      <c r="B8166">
        <v>1989</v>
      </c>
      <c r="C8166" t="s">
        <v>312</v>
      </c>
      <c r="D8166">
        <v>2350</v>
      </c>
      <c r="E8166" t="s">
        <v>404</v>
      </c>
      <c r="F8166" s="4">
        <v>0</v>
      </c>
      <c r="G8166" s="4">
        <v>1308</v>
      </c>
      <c r="H8166" s="4">
        <v>0</v>
      </c>
      <c r="I8166" s="4">
        <v>1308</v>
      </c>
      <c r="J8166" s="4">
        <v>1308</v>
      </c>
    </row>
    <row r="8167" spans="1:10" x14ac:dyDescent="0.75">
      <c r="A8167" t="s">
        <v>151</v>
      </c>
      <c r="B8167">
        <v>1989</v>
      </c>
      <c r="C8167" t="s">
        <v>312</v>
      </c>
      <c r="D8167">
        <v>7110</v>
      </c>
      <c r="E8167" t="s">
        <v>371</v>
      </c>
      <c r="F8167" s="4">
        <v>0</v>
      </c>
      <c r="G8167" s="4">
        <v>841</v>
      </c>
      <c r="H8167" s="4">
        <v>732</v>
      </c>
      <c r="I8167" s="4">
        <v>109</v>
      </c>
      <c r="J8167" s="4">
        <v>841</v>
      </c>
    </row>
    <row r="8168" spans="1:10" x14ac:dyDescent="0.75">
      <c r="A8168" t="s">
        <v>151</v>
      </c>
      <c r="B8168">
        <v>1989</v>
      </c>
      <c r="C8168" t="s">
        <v>312</v>
      </c>
      <c r="D8168">
        <v>9900</v>
      </c>
      <c r="E8168" t="s">
        <v>389</v>
      </c>
      <c r="F8168" s="4">
        <v>684</v>
      </c>
      <c r="G8168" s="4">
        <v>37</v>
      </c>
      <c r="H8168" s="4">
        <v>37</v>
      </c>
      <c r="I8168" s="4">
        <v>0</v>
      </c>
      <c r="J8168" s="4">
        <v>721</v>
      </c>
    </row>
    <row r="8169" spans="1:10" x14ac:dyDescent="0.75">
      <c r="A8169" t="s">
        <v>151</v>
      </c>
      <c r="B8169">
        <v>1989</v>
      </c>
      <c r="C8169" t="s">
        <v>312</v>
      </c>
      <c r="D8169">
        <v>6889</v>
      </c>
      <c r="E8169" t="s">
        <v>420</v>
      </c>
      <c r="F8169" s="4">
        <v>0</v>
      </c>
      <c r="G8169" s="4">
        <v>686</v>
      </c>
      <c r="H8169" s="4">
        <v>677</v>
      </c>
      <c r="I8169" s="4">
        <v>9</v>
      </c>
      <c r="J8169" s="4">
        <v>686</v>
      </c>
    </row>
    <row r="8170" spans="1:10" x14ac:dyDescent="0.75">
      <c r="A8170" t="s">
        <v>151</v>
      </c>
      <c r="B8170">
        <v>1989</v>
      </c>
      <c r="C8170" t="s">
        <v>312</v>
      </c>
      <c r="D8170">
        <v>6888</v>
      </c>
      <c r="E8170" t="s">
        <v>494</v>
      </c>
      <c r="F8170" s="4">
        <v>412</v>
      </c>
      <c r="G8170" s="4">
        <v>106</v>
      </c>
      <c r="H8170" s="4">
        <v>106</v>
      </c>
      <c r="I8170" s="4">
        <v>0</v>
      </c>
      <c r="J8170" s="4">
        <v>518</v>
      </c>
    </row>
    <row r="8171" spans="1:10" x14ac:dyDescent="0.75">
      <c r="A8171" t="s">
        <v>151</v>
      </c>
      <c r="B8171">
        <v>1989</v>
      </c>
      <c r="C8171" t="s">
        <v>312</v>
      </c>
      <c r="D8171">
        <v>5290</v>
      </c>
      <c r="E8171" t="s">
        <v>415</v>
      </c>
      <c r="F8171" s="4">
        <v>0</v>
      </c>
      <c r="G8171" s="4">
        <v>478</v>
      </c>
      <c r="H8171" s="4">
        <v>475</v>
      </c>
      <c r="I8171" s="4">
        <v>3</v>
      </c>
      <c r="J8171" s="4">
        <v>478</v>
      </c>
    </row>
    <row r="8172" spans="1:10" x14ac:dyDescent="0.75">
      <c r="A8172" t="s">
        <v>151</v>
      </c>
      <c r="B8172">
        <v>1989</v>
      </c>
      <c r="C8172" t="s">
        <v>312</v>
      </c>
      <c r="D8172">
        <v>6654</v>
      </c>
      <c r="E8172" t="s">
        <v>419</v>
      </c>
      <c r="F8172" s="4">
        <v>0</v>
      </c>
      <c r="G8172" s="4">
        <v>406</v>
      </c>
      <c r="H8172" s="4">
        <v>406</v>
      </c>
      <c r="I8172" s="4">
        <v>0</v>
      </c>
      <c r="J8172" s="4">
        <v>406</v>
      </c>
    </row>
    <row r="8173" spans="1:10" x14ac:dyDescent="0.75">
      <c r="A8173" t="s">
        <v>151</v>
      </c>
      <c r="B8173">
        <v>1989</v>
      </c>
      <c r="C8173" t="s">
        <v>312</v>
      </c>
      <c r="D8173">
        <v>7900</v>
      </c>
      <c r="E8173" t="s">
        <v>388</v>
      </c>
      <c r="F8173" s="4">
        <v>172</v>
      </c>
      <c r="G8173" s="4">
        <v>218</v>
      </c>
      <c r="H8173" s="4">
        <v>217</v>
      </c>
      <c r="I8173" s="4">
        <v>1</v>
      </c>
      <c r="J8173" s="4">
        <v>390</v>
      </c>
    </row>
    <row r="8174" spans="1:10" x14ac:dyDescent="0.75">
      <c r="A8174" t="s">
        <v>151</v>
      </c>
      <c r="B8174">
        <v>1989</v>
      </c>
      <c r="C8174" t="s">
        <v>312</v>
      </c>
      <c r="D8174">
        <v>7600</v>
      </c>
      <c r="E8174" t="s">
        <v>503</v>
      </c>
      <c r="F8174" s="4">
        <v>0</v>
      </c>
      <c r="G8174" s="4">
        <v>385</v>
      </c>
      <c r="H8174" s="4">
        <v>385</v>
      </c>
      <c r="I8174" s="4">
        <v>0</v>
      </c>
      <c r="J8174" s="4">
        <v>385</v>
      </c>
    </row>
    <row r="8175" spans="1:10" x14ac:dyDescent="0.75">
      <c r="A8175" t="s">
        <v>151</v>
      </c>
      <c r="B8175">
        <v>1989</v>
      </c>
      <c r="C8175" t="s">
        <v>312</v>
      </c>
      <c r="D8175">
        <v>7210</v>
      </c>
      <c r="E8175" t="s">
        <v>426</v>
      </c>
      <c r="F8175" s="4">
        <v>249</v>
      </c>
      <c r="G8175" s="4">
        <v>61</v>
      </c>
      <c r="H8175" s="4">
        <v>0</v>
      </c>
      <c r="I8175" s="4">
        <v>61</v>
      </c>
      <c r="J8175" s="4">
        <v>310</v>
      </c>
    </row>
    <row r="8176" spans="1:10" x14ac:dyDescent="0.75">
      <c r="A8176" t="s">
        <v>151</v>
      </c>
      <c r="B8176">
        <v>1989</v>
      </c>
      <c r="C8176" t="s">
        <v>312</v>
      </c>
      <c r="D8176">
        <v>5480</v>
      </c>
      <c r="E8176" t="s">
        <v>386</v>
      </c>
      <c r="F8176" s="4">
        <v>0</v>
      </c>
      <c r="G8176" s="4">
        <v>251</v>
      </c>
      <c r="H8176" s="4">
        <v>241</v>
      </c>
      <c r="I8176" s="4">
        <v>10</v>
      </c>
      <c r="J8176" s="4">
        <v>251</v>
      </c>
    </row>
    <row r="8177" spans="1:10" x14ac:dyDescent="0.75">
      <c r="A8177" t="s">
        <v>151</v>
      </c>
      <c r="B8177">
        <v>1989</v>
      </c>
      <c r="C8177" t="s">
        <v>312</v>
      </c>
      <c r="D8177">
        <v>6861</v>
      </c>
      <c r="E8177" t="s">
        <v>489</v>
      </c>
      <c r="F8177" s="4">
        <v>0</v>
      </c>
      <c r="G8177" s="4">
        <v>144</v>
      </c>
      <c r="H8177" s="4">
        <v>144</v>
      </c>
      <c r="I8177" s="4">
        <v>0</v>
      </c>
      <c r="J8177" s="4">
        <v>144</v>
      </c>
    </row>
    <row r="8178" spans="1:10" x14ac:dyDescent="0.75">
      <c r="A8178" t="s">
        <v>151</v>
      </c>
      <c r="B8178">
        <v>1989</v>
      </c>
      <c r="C8178" t="s">
        <v>312</v>
      </c>
      <c r="D8178">
        <v>5360</v>
      </c>
      <c r="E8178" t="s">
        <v>465</v>
      </c>
      <c r="F8178" s="4">
        <v>0</v>
      </c>
      <c r="G8178" s="4">
        <v>139</v>
      </c>
      <c r="H8178" s="4">
        <v>139</v>
      </c>
      <c r="I8178" s="4">
        <v>0</v>
      </c>
      <c r="J8178" s="4">
        <v>139</v>
      </c>
    </row>
    <row r="8179" spans="1:10" x14ac:dyDescent="0.75">
      <c r="A8179" t="s">
        <v>151</v>
      </c>
      <c r="B8179">
        <v>1989</v>
      </c>
      <c r="C8179" t="s">
        <v>312</v>
      </c>
      <c r="D8179">
        <v>7120</v>
      </c>
      <c r="E8179" t="s">
        <v>499</v>
      </c>
      <c r="F8179" s="4">
        <v>0</v>
      </c>
      <c r="G8179" s="4">
        <v>89</v>
      </c>
      <c r="H8179" s="4">
        <v>84</v>
      </c>
      <c r="I8179" s="4">
        <v>5</v>
      </c>
      <c r="J8179" s="4">
        <v>89</v>
      </c>
    </row>
    <row r="8180" spans="1:10" x14ac:dyDescent="0.75">
      <c r="A8180" t="s">
        <v>151</v>
      </c>
      <c r="B8180">
        <v>1989</v>
      </c>
      <c r="C8180" t="s">
        <v>312</v>
      </c>
      <c r="D8180">
        <v>7230</v>
      </c>
      <c r="E8180" t="s">
        <v>387</v>
      </c>
      <c r="F8180" s="4">
        <v>5</v>
      </c>
      <c r="G8180" s="4">
        <v>83</v>
      </c>
      <c r="H8180" s="4">
        <v>12</v>
      </c>
      <c r="I8180" s="4">
        <v>71</v>
      </c>
      <c r="J8180" s="4">
        <v>88</v>
      </c>
    </row>
    <row r="8181" spans="1:10" x14ac:dyDescent="0.75">
      <c r="A8181" t="s">
        <v>151</v>
      </c>
      <c r="B8181">
        <v>1989</v>
      </c>
      <c r="C8181" t="s">
        <v>312</v>
      </c>
      <c r="D8181">
        <v>3285</v>
      </c>
      <c r="E8181" t="s">
        <v>443</v>
      </c>
      <c r="F8181" s="4">
        <v>0</v>
      </c>
      <c r="G8181" s="4">
        <v>76</v>
      </c>
      <c r="H8181" s="4">
        <v>76</v>
      </c>
      <c r="I8181" s="4">
        <v>0</v>
      </c>
      <c r="J8181" s="4">
        <v>76</v>
      </c>
    </row>
    <row r="8182" spans="1:10" x14ac:dyDescent="0.75">
      <c r="A8182" t="s">
        <v>151</v>
      </c>
      <c r="B8182">
        <v>1989</v>
      </c>
      <c r="C8182" t="s">
        <v>312</v>
      </c>
      <c r="D8182">
        <v>5190</v>
      </c>
      <c r="E8182" t="s">
        <v>462</v>
      </c>
      <c r="F8182" s="4">
        <v>46</v>
      </c>
      <c r="G8182" s="4">
        <v>13</v>
      </c>
      <c r="H8182" s="4">
        <v>13</v>
      </c>
      <c r="I8182" s="4">
        <v>0</v>
      </c>
      <c r="J8182" s="4">
        <v>59</v>
      </c>
    </row>
    <row r="8183" spans="1:10" x14ac:dyDescent="0.75">
      <c r="A8183" t="s">
        <v>151</v>
      </c>
      <c r="B8183">
        <v>1989</v>
      </c>
      <c r="C8183" t="s">
        <v>312</v>
      </c>
      <c r="D8183">
        <v>4170</v>
      </c>
      <c r="E8183" t="s">
        <v>424</v>
      </c>
      <c r="F8183" s="4">
        <v>0</v>
      </c>
      <c r="G8183" s="4">
        <v>58</v>
      </c>
      <c r="H8183" s="4">
        <v>0</v>
      </c>
      <c r="I8183" s="4">
        <v>58</v>
      </c>
      <c r="J8183" s="4">
        <v>58</v>
      </c>
    </row>
    <row r="8184" spans="1:10" x14ac:dyDescent="0.75">
      <c r="A8184" t="s">
        <v>151</v>
      </c>
      <c r="B8184">
        <v>1989</v>
      </c>
      <c r="C8184" t="s">
        <v>312</v>
      </c>
      <c r="D8184">
        <v>6858</v>
      </c>
      <c r="E8184" t="s">
        <v>488</v>
      </c>
      <c r="F8184" s="4">
        <v>0</v>
      </c>
      <c r="G8184" s="4">
        <v>43</v>
      </c>
      <c r="H8184" s="4">
        <v>1</v>
      </c>
      <c r="I8184" s="4">
        <v>42</v>
      </c>
      <c r="J8184" s="4">
        <v>43</v>
      </c>
    </row>
    <row r="8185" spans="1:10" x14ac:dyDescent="0.75">
      <c r="A8185" t="s">
        <v>151</v>
      </c>
      <c r="B8185">
        <v>1989</v>
      </c>
      <c r="C8185" t="s">
        <v>312</v>
      </c>
      <c r="D8185">
        <v>6653</v>
      </c>
      <c r="E8185" t="s">
        <v>395</v>
      </c>
      <c r="F8185" s="4">
        <v>0</v>
      </c>
      <c r="G8185" s="4">
        <v>35</v>
      </c>
      <c r="H8185" s="4">
        <v>35</v>
      </c>
      <c r="I8185" s="4">
        <v>0</v>
      </c>
      <c r="J8185" s="4">
        <v>35</v>
      </c>
    </row>
    <row r="8186" spans="1:10" x14ac:dyDescent="0.75">
      <c r="A8186" t="s">
        <v>151</v>
      </c>
      <c r="B8186">
        <v>1989</v>
      </c>
      <c r="C8186" t="s">
        <v>312</v>
      </c>
      <c r="D8186">
        <v>7500</v>
      </c>
      <c r="E8186" t="s">
        <v>427</v>
      </c>
      <c r="F8186" s="4">
        <v>0</v>
      </c>
      <c r="G8186" s="4">
        <v>33</v>
      </c>
      <c r="H8186" s="4">
        <v>33</v>
      </c>
      <c r="I8186" s="4">
        <v>0</v>
      </c>
      <c r="J8186" s="4">
        <v>33</v>
      </c>
    </row>
    <row r="8187" spans="1:10" x14ac:dyDescent="0.75">
      <c r="A8187" t="s">
        <v>151</v>
      </c>
      <c r="B8187">
        <v>1989</v>
      </c>
      <c r="C8187" t="s">
        <v>312</v>
      </c>
      <c r="D8187">
        <v>1100</v>
      </c>
      <c r="E8187" t="s">
        <v>397</v>
      </c>
      <c r="F8187" s="4">
        <v>0</v>
      </c>
      <c r="G8187" s="4">
        <v>24</v>
      </c>
      <c r="H8187" s="4">
        <v>24</v>
      </c>
      <c r="I8187" s="4">
        <v>0</v>
      </c>
      <c r="J8187" s="4">
        <v>24</v>
      </c>
    </row>
    <row r="8188" spans="1:10" x14ac:dyDescent="0.75">
      <c r="A8188" t="s">
        <v>151</v>
      </c>
      <c r="B8188">
        <v>1989</v>
      </c>
      <c r="C8188" t="s">
        <v>312</v>
      </c>
      <c r="D8188">
        <v>3275</v>
      </c>
      <c r="E8188" t="s">
        <v>412</v>
      </c>
      <c r="F8188" s="4">
        <v>0</v>
      </c>
      <c r="G8188" s="4">
        <v>22</v>
      </c>
      <c r="H8188" s="4">
        <v>0</v>
      </c>
      <c r="I8188" s="4">
        <v>22</v>
      </c>
      <c r="J8188" s="4">
        <v>22</v>
      </c>
    </row>
    <row r="8189" spans="1:10" x14ac:dyDescent="0.75">
      <c r="A8189" t="s">
        <v>151</v>
      </c>
      <c r="B8189">
        <v>1989</v>
      </c>
      <c r="C8189" t="s">
        <v>312</v>
      </c>
      <c r="D8189">
        <v>5390</v>
      </c>
      <c r="E8189" t="s">
        <v>418</v>
      </c>
      <c r="F8189" s="4">
        <v>0</v>
      </c>
      <c r="G8189" s="4">
        <v>20</v>
      </c>
      <c r="H8189" s="4">
        <v>20</v>
      </c>
      <c r="I8189" s="4">
        <v>0</v>
      </c>
      <c r="J8189" s="4">
        <v>20</v>
      </c>
    </row>
    <row r="8190" spans="1:10" x14ac:dyDescent="0.75">
      <c r="A8190" t="s">
        <v>151</v>
      </c>
      <c r="B8190">
        <v>1989</v>
      </c>
      <c r="C8190" t="s">
        <v>312</v>
      </c>
      <c r="D8190">
        <v>5429</v>
      </c>
      <c r="E8190" t="s">
        <v>429</v>
      </c>
      <c r="F8190" s="4">
        <v>0</v>
      </c>
      <c r="G8190" s="4">
        <v>20</v>
      </c>
      <c r="H8190" s="4">
        <v>20</v>
      </c>
      <c r="I8190" s="4">
        <v>0</v>
      </c>
      <c r="J8190" s="4">
        <v>20</v>
      </c>
    </row>
    <row r="8191" spans="1:10" x14ac:dyDescent="0.75">
      <c r="A8191" t="s">
        <v>151</v>
      </c>
      <c r="B8191">
        <v>1989</v>
      </c>
      <c r="C8191" t="s">
        <v>312</v>
      </c>
      <c r="D8191">
        <v>6136</v>
      </c>
      <c r="E8191" t="s">
        <v>471</v>
      </c>
      <c r="F8191" s="4">
        <v>0</v>
      </c>
      <c r="G8191" s="4">
        <v>16</v>
      </c>
      <c r="H8191" s="4">
        <v>16</v>
      </c>
      <c r="I8191" s="4">
        <v>0</v>
      </c>
      <c r="J8191" s="4">
        <v>16</v>
      </c>
    </row>
    <row r="8192" spans="1:10" x14ac:dyDescent="0.75">
      <c r="A8192" t="s">
        <v>151</v>
      </c>
      <c r="B8192">
        <v>1989</v>
      </c>
      <c r="C8192" t="s">
        <v>312</v>
      </c>
      <c r="D8192">
        <v>5240</v>
      </c>
      <c r="E8192" t="s">
        <v>464</v>
      </c>
      <c r="F8192" s="4">
        <v>0</v>
      </c>
      <c r="G8192" s="4">
        <v>11</v>
      </c>
      <c r="H8192" s="4">
        <v>11</v>
      </c>
      <c r="I8192" s="4">
        <v>0</v>
      </c>
      <c r="J8192" s="4">
        <v>11</v>
      </c>
    </row>
    <row r="8193" spans="1:10" x14ac:dyDescent="0.75">
      <c r="A8193" t="s">
        <v>151</v>
      </c>
      <c r="B8193">
        <v>1989</v>
      </c>
      <c r="C8193" t="s">
        <v>312</v>
      </c>
      <c r="D8193">
        <v>5422</v>
      </c>
      <c r="E8193" t="s">
        <v>468</v>
      </c>
      <c r="F8193" s="4">
        <v>0</v>
      </c>
      <c r="G8193" s="4">
        <v>5</v>
      </c>
      <c r="H8193" s="4">
        <v>5</v>
      </c>
      <c r="I8193" s="4">
        <v>0</v>
      </c>
      <c r="J8193" s="4">
        <v>5</v>
      </c>
    </row>
    <row r="8194" spans="1:10" x14ac:dyDescent="0.75">
      <c r="A8194" t="s">
        <v>151</v>
      </c>
      <c r="B8194">
        <v>1989</v>
      </c>
      <c r="C8194" t="s">
        <v>312</v>
      </c>
      <c r="D8194">
        <v>6835</v>
      </c>
      <c r="E8194" t="s">
        <v>483</v>
      </c>
      <c r="F8194" s="4">
        <v>0</v>
      </c>
      <c r="G8194" s="4">
        <v>4</v>
      </c>
      <c r="H8194" s="4">
        <v>4</v>
      </c>
      <c r="I8194" s="4">
        <v>0</v>
      </c>
      <c r="J8194" s="4">
        <v>4</v>
      </c>
    </row>
    <row r="8195" spans="1:10" x14ac:dyDescent="0.75">
      <c r="A8195" t="s">
        <v>151</v>
      </c>
      <c r="B8195">
        <v>1989</v>
      </c>
      <c r="C8195" t="s">
        <v>312</v>
      </c>
      <c r="D8195">
        <v>7400</v>
      </c>
      <c r="E8195" t="s">
        <v>502</v>
      </c>
      <c r="F8195" s="4">
        <v>0</v>
      </c>
      <c r="G8195" s="4">
        <v>4</v>
      </c>
      <c r="H8195" s="4">
        <v>4</v>
      </c>
      <c r="I8195" s="4">
        <v>0</v>
      </c>
      <c r="J8195" s="4">
        <v>4</v>
      </c>
    </row>
    <row r="8196" spans="1:10" x14ac:dyDescent="0.75">
      <c r="A8196" t="s">
        <v>151</v>
      </c>
      <c r="B8196">
        <v>1989</v>
      </c>
      <c r="C8196" t="s">
        <v>312</v>
      </c>
      <c r="D8196">
        <v>3240</v>
      </c>
      <c r="E8196" t="s">
        <v>410</v>
      </c>
      <c r="F8196" s="4">
        <v>0</v>
      </c>
      <c r="G8196" s="4">
        <v>3</v>
      </c>
      <c r="H8196" s="4">
        <v>0</v>
      </c>
      <c r="I8196" s="4">
        <v>3</v>
      </c>
      <c r="J8196" s="4">
        <v>3</v>
      </c>
    </row>
    <row r="8197" spans="1:10" x14ac:dyDescent="0.75">
      <c r="A8197" t="s">
        <v>151</v>
      </c>
      <c r="B8197">
        <v>1989</v>
      </c>
      <c r="C8197" t="s">
        <v>312</v>
      </c>
      <c r="D8197">
        <v>3282</v>
      </c>
      <c r="E8197" t="s">
        <v>440</v>
      </c>
      <c r="F8197" s="4">
        <v>0</v>
      </c>
      <c r="G8197" s="4">
        <v>3</v>
      </c>
      <c r="H8197" s="4">
        <v>0</v>
      </c>
      <c r="I8197" s="4">
        <v>3</v>
      </c>
      <c r="J8197" s="4">
        <v>3</v>
      </c>
    </row>
    <row r="8198" spans="1:10" x14ac:dyDescent="0.75">
      <c r="A8198" t="s">
        <v>151</v>
      </c>
      <c r="B8198">
        <v>1989</v>
      </c>
      <c r="C8198" t="s">
        <v>312</v>
      </c>
      <c r="D8198">
        <v>6747</v>
      </c>
      <c r="E8198" t="s">
        <v>478</v>
      </c>
      <c r="F8198" s="4">
        <v>0</v>
      </c>
      <c r="G8198" s="4">
        <v>3</v>
      </c>
      <c r="H8198" s="4">
        <v>3</v>
      </c>
      <c r="I8198" s="4">
        <v>0</v>
      </c>
      <c r="J8198" s="4">
        <v>3</v>
      </c>
    </row>
    <row r="8199" spans="1:10" x14ac:dyDescent="0.75">
      <c r="A8199" t="s">
        <v>151</v>
      </c>
      <c r="B8199">
        <v>1989</v>
      </c>
      <c r="C8199" t="s">
        <v>312</v>
      </c>
      <c r="D8199">
        <v>6822</v>
      </c>
      <c r="E8199" t="s">
        <v>482</v>
      </c>
      <c r="F8199" s="4">
        <v>0</v>
      </c>
      <c r="G8199" s="4">
        <v>3</v>
      </c>
      <c r="H8199" s="4">
        <v>3</v>
      </c>
      <c r="I8199" s="4">
        <v>0</v>
      </c>
      <c r="J8199" s="4">
        <v>3</v>
      </c>
    </row>
    <row r="8200" spans="1:10" x14ac:dyDescent="0.75">
      <c r="A8200" t="s">
        <v>151</v>
      </c>
      <c r="B8200">
        <v>1989</v>
      </c>
      <c r="C8200" t="s">
        <v>312</v>
      </c>
      <c r="D8200">
        <v>3286</v>
      </c>
      <c r="E8200" t="s">
        <v>423</v>
      </c>
      <c r="F8200" s="4">
        <v>0</v>
      </c>
      <c r="G8200" s="4">
        <v>2</v>
      </c>
      <c r="H8200" s="4">
        <v>2</v>
      </c>
      <c r="I8200" s="4">
        <v>0</v>
      </c>
      <c r="J8200" s="4">
        <v>2</v>
      </c>
    </row>
    <row r="8201" spans="1:10" x14ac:dyDescent="0.75">
      <c r="A8201" t="s">
        <v>151</v>
      </c>
      <c r="B8201">
        <v>1989</v>
      </c>
      <c r="C8201" t="s">
        <v>312</v>
      </c>
      <c r="D8201">
        <v>3299</v>
      </c>
      <c r="E8201" t="s">
        <v>448</v>
      </c>
      <c r="F8201" s="4">
        <v>0</v>
      </c>
      <c r="G8201" s="4">
        <v>1</v>
      </c>
      <c r="H8201" s="4">
        <v>0</v>
      </c>
      <c r="I8201" s="4">
        <v>1</v>
      </c>
      <c r="J8201" s="4">
        <v>1</v>
      </c>
    </row>
    <row r="8202" spans="1:10" x14ac:dyDescent="0.75">
      <c r="A8202" t="s">
        <v>151</v>
      </c>
      <c r="B8202">
        <v>5700</v>
      </c>
      <c r="C8202" t="s">
        <v>157</v>
      </c>
      <c r="D8202">
        <v>1100</v>
      </c>
      <c r="E8202" t="s">
        <v>397</v>
      </c>
      <c r="F8202" s="4">
        <v>0</v>
      </c>
      <c r="G8202" s="4">
        <v>26653841</v>
      </c>
      <c r="H8202" s="4">
        <v>6584</v>
      </c>
      <c r="I8202" s="4">
        <v>26647257</v>
      </c>
      <c r="J8202" s="4">
        <v>26653841</v>
      </c>
    </row>
    <row r="8203" spans="1:10" x14ac:dyDescent="0.75">
      <c r="A8203" t="s">
        <v>151</v>
      </c>
      <c r="B8203">
        <v>5700</v>
      </c>
      <c r="C8203" t="s">
        <v>157</v>
      </c>
      <c r="D8203">
        <v>6522</v>
      </c>
      <c r="E8203" t="s">
        <v>393</v>
      </c>
      <c r="F8203" s="4">
        <v>224628</v>
      </c>
      <c r="G8203" s="4">
        <v>3062730</v>
      </c>
      <c r="H8203" s="4">
        <v>149559</v>
      </c>
      <c r="I8203" s="4">
        <v>2913171</v>
      </c>
      <c r="J8203" s="4">
        <v>3287358</v>
      </c>
    </row>
    <row r="8204" spans="1:10" x14ac:dyDescent="0.75">
      <c r="A8204" t="s">
        <v>151</v>
      </c>
      <c r="B8204">
        <v>5700</v>
      </c>
      <c r="C8204" t="s">
        <v>157</v>
      </c>
      <c r="D8204">
        <v>7900</v>
      </c>
      <c r="E8204" t="s">
        <v>388</v>
      </c>
      <c r="F8204" s="4">
        <v>568936</v>
      </c>
      <c r="G8204" s="4">
        <v>2367293</v>
      </c>
      <c r="H8204" s="4">
        <v>2077088</v>
      </c>
      <c r="I8204" s="4">
        <v>290205</v>
      </c>
      <c r="J8204" s="4">
        <v>2936229</v>
      </c>
    </row>
    <row r="8205" spans="1:10" x14ac:dyDescent="0.75">
      <c r="A8205" t="s">
        <v>151</v>
      </c>
      <c r="B8205">
        <v>5700</v>
      </c>
      <c r="C8205" t="s">
        <v>157</v>
      </c>
      <c r="D8205">
        <v>4331</v>
      </c>
      <c r="E8205" t="s">
        <v>390</v>
      </c>
      <c r="F8205" s="4">
        <v>2478449</v>
      </c>
      <c r="G8205" s="4">
        <v>30220</v>
      </c>
      <c r="H8205" s="4">
        <v>23769</v>
      </c>
      <c r="I8205" s="4">
        <v>6451</v>
      </c>
      <c r="J8205" s="4">
        <v>2508669</v>
      </c>
    </row>
    <row r="8206" spans="1:10" x14ac:dyDescent="0.75">
      <c r="A8206" t="s">
        <v>151</v>
      </c>
      <c r="B8206">
        <v>5700</v>
      </c>
      <c r="C8206" t="s">
        <v>157</v>
      </c>
      <c r="D8206">
        <v>7110</v>
      </c>
      <c r="E8206" t="s">
        <v>371</v>
      </c>
      <c r="F8206" s="4">
        <v>900</v>
      </c>
      <c r="G8206" s="4">
        <v>1705803</v>
      </c>
      <c r="H8206" s="4">
        <v>1297252</v>
      </c>
      <c r="I8206" s="4">
        <v>408551</v>
      </c>
      <c r="J8206" s="4">
        <v>1706703</v>
      </c>
    </row>
    <row r="8207" spans="1:10" x14ac:dyDescent="0.75">
      <c r="A8207" t="s">
        <v>151</v>
      </c>
      <c r="B8207">
        <v>5700</v>
      </c>
      <c r="C8207" t="s">
        <v>157</v>
      </c>
      <c r="D8207">
        <v>6782</v>
      </c>
      <c r="E8207" t="s">
        <v>396</v>
      </c>
      <c r="F8207" s="4">
        <v>3000</v>
      </c>
      <c r="G8207" s="4">
        <v>1391478</v>
      </c>
      <c r="H8207" s="4">
        <v>96781</v>
      </c>
      <c r="I8207" s="4">
        <v>1294697</v>
      </c>
      <c r="J8207" s="4">
        <v>1394478</v>
      </c>
    </row>
    <row r="8208" spans="1:10" x14ac:dyDescent="0.75">
      <c r="A8208" t="s">
        <v>151</v>
      </c>
      <c r="B8208">
        <v>5700</v>
      </c>
      <c r="C8208" t="s">
        <v>157</v>
      </c>
      <c r="D8208">
        <v>4225</v>
      </c>
      <c r="E8208" t="s">
        <v>380</v>
      </c>
      <c r="F8208" s="4">
        <v>0</v>
      </c>
      <c r="G8208" s="4">
        <v>1369473</v>
      </c>
      <c r="H8208" s="4">
        <v>35501</v>
      </c>
      <c r="I8208" s="4">
        <v>1333972</v>
      </c>
      <c r="J8208" s="4">
        <v>1369473</v>
      </c>
    </row>
    <row r="8209" spans="1:10" x14ac:dyDescent="0.75">
      <c r="A8209" t="s">
        <v>151</v>
      </c>
      <c r="B8209">
        <v>5700</v>
      </c>
      <c r="C8209" t="s">
        <v>157</v>
      </c>
      <c r="D8209">
        <v>4150</v>
      </c>
      <c r="E8209" t="s">
        <v>450</v>
      </c>
      <c r="F8209" s="4">
        <v>0</v>
      </c>
      <c r="G8209" s="4">
        <v>1340643</v>
      </c>
      <c r="H8209" s="4">
        <v>2002</v>
      </c>
      <c r="I8209" s="4">
        <v>1338641</v>
      </c>
      <c r="J8209" s="4">
        <v>1340643</v>
      </c>
    </row>
    <row r="8210" spans="1:10" x14ac:dyDescent="0.75">
      <c r="A8210" t="s">
        <v>151</v>
      </c>
      <c r="B8210">
        <v>5700</v>
      </c>
      <c r="C8210" t="s">
        <v>157</v>
      </c>
      <c r="D8210">
        <v>3286</v>
      </c>
      <c r="E8210" t="s">
        <v>423</v>
      </c>
      <c r="F8210" s="4">
        <v>0</v>
      </c>
      <c r="G8210" s="4">
        <v>1258936</v>
      </c>
      <c r="H8210" s="4">
        <v>681813</v>
      </c>
      <c r="I8210" s="4">
        <v>577123</v>
      </c>
      <c r="J8210" s="4">
        <v>1258936</v>
      </c>
    </row>
    <row r="8211" spans="1:10" x14ac:dyDescent="0.75">
      <c r="A8211" t="s">
        <v>151</v>
      </c>
      <c r="B8211">
        <v>5700</v>
      </c>
      <c r="C8211" t="s">
        <v>157</v>
      </c>
      <c r="D8211">
        <v>7600</v>
      </c>
      <c r="E8211" t="s">
        <v>503</v>
      </c>
      <c r="F8211" s="4">
        <v>0</v>
      </c>
      <c r="G8211" s="4">
        <v>1197286</v>
      </c>
      <c r="H8211" s="4">
        <v>1003305</v>
      </c>
      <c r="I8211" s="4">
        <v>193981</v>
      </c>
      <c r="J8211" s="4">
        <v>1197286</v>
      </c>
    </row>
    <row r="8212" spans="1:10" x14ac:dyDescent="0.75">
      <c r="A8212" t="s">
        <v>151</v>
      </c>
      <c r="B8212">
        <v>5700</v>
      </c>
      <c r="C8212" t="s">
        <v>157</v>
      </c>
      <c r="D8212">
        <v>7500</v>
      </c>
      <c r="E8212" t="s">
        <v>427</v>
      </c>
      <c r="F8212" s="4">
        <v>0</v>
      </c>
      <c r="G8212" s="4">
        <v>1081664</v>
      </c>
      <c r="H8212" s="4">
        <v>916345</v>
      </c>
      <c r="I8212" s="4">
        <v>165319</v>
      </c>
      <c r="J8212" s="4">
        <v>1081664</v>
      </c>
    </row>
    <row r="8213" spans="1:10" x14ac:dyDescent="0.75">
      <c r="A8213" t="s">
        <v>151</v>
      </c>
      <c r="B8213">
        <v>5700</v>
      </c>
      <c r="C8213" t="s">
        <v>157</v>
      </c>
      <c r="D8213">
        <v>5290</v>
      </c>
      <c r="E8213" t="s">
        <v>415</v>
      </c>
      <c r="F8213" s="4">
        <v>0</v>
      </c>
      <c r="G8213" s="4">
        <v>1010515</v>
      </c>
      <c r="H8213" s="4">
        <v>920603</v>
      </c>
      <c r="I8213" s="4">
        <v>89912</v>
      </c>
      <c r="J8213" s="4">
        <v>1010515</v>
      </c>
    </row>
    <row r="8214" spans="1:10" x14ac:dyDescent="0.75">
      <c r="A8214" t="s">
        <v>151</v>
      </c>
      <c r="B8214">
        <v>5700</v>
      </c>
      <c r="C8214" t="s">
        <v>157</v>
      </c>
      <c r="D8214">
        <v>7120</v>
      </c>
      <c r="E8214" t="s">
        <v>499</v>
      </c>
      <c r="F8214" s="4">
        <v>0</v>
      </c>
      <c r="G8214" s="4">
        <v>926692</v>
      </c>
      <c r="H8214" s="4">
        <v>808079</v>
      </c>
      <c r="I8214" s="4">
        <v>118613</v>
      </c>
      <c r="J8214" s="4">
        <v>926692</v>
      </c>
    </row>
    <row r="8215" spans="1:10" x14ac:dyDescent="0.75">
      <c r="A8215" t="s">
        <v>151</v>
      </c>
      <c r="B8215">
        <v>5700</v>
      </c>
      <c r="C8215" t="s">
        <v>157</v>
      </c>
      <c r="D8215">
        <v>7210</v>
      </c>
      <c r="E8215" t="s">
        <v>426</v>
      </c>
      <c r="F8215" s="4">
        <v>0</v>
      </c>
      <c r="G8215" s="4">
        <v>901878</v>
      </c>
      <c r="H8215" s="4">
        <v>727489</v>
      </c>
      <c r="I8215" s="4">
        <v>174389</v>
      </c>
      <c r="J8215" s="4">
        <v>901878</v>
      </c>
    </row>
    <row r="8216" spans="1:10" x14ac:dyDescent="0.75">
      <c r="A8216" t="s">
        <v>151</v>
      </c>
      <c r="B8216">
        <v>5700</v>
      </c>
      <c r="C8216" t="s">
        <v>157</v>
      </c>
      <c r="D8216">
        <v>5480</v>
      </c>
      <c r="E8216" t="s">
        <v>386</v>
      </c>
      <c r="F8216" s="4">
        <v>0</v>
      </c>
      <c r="G8216" s="4">
        <v>897385</v>
      </c>
      <c r="H8216" s="4">
        <v>788361</v>
      </c>
      <c r="I8216" s="4">
        <v>109024</v>
      </c>
      <c r="J8216" s="4">
        <v>897385</v>
      </c>
    </row>
    <row r="8217" spans="1:10" x14ac:dyDescent="0.75">
      <c r="A8217" t="s">
        <v>151</v>
      </c>
      <c r="B8217">
        <v>5700</v>
      </c>
      <c r="C8217" t="s">
        <v>157</v>
      </c>
      <c r="D8217">
        <v>3110</v>
      </c>
      <c r="E8217" t="s">
        <v>405</v>
      </c>
      <c r="F8217" s="4">
        <v>250464</v>
      </c>
      <c r="G8217" s="4">
        <v>463139</v>
      </c>
      <c r="H8217" s="4">
        <v>370761</v>
      </c>
      <c r="I8217" s="4">
        <v>92378</v>
      </c>
      <c r="J8217" s="4">
        <v>713603</v>
      </c>
    </row>
    <row r="8218" spans="1:10" x14ac:dyDescent="0.75">
      <c r="A8218" t="s">
        <v>151</v>
      </c>
      <c r="B8218">
        <v>5700</v>
      </c>
      <c r="C8218" t="s">
        <v>157</v>
      </c>
      <c r="D8218">
        <v>2221</v>
      </c>
      <c r="E8218" t="s">
        <v>374</v>
      </c>
      <c r="F8218" s="4">
        <v>712719</v>
      </c>
      <c r="G8218" s="4">
        <v>11</v>
      </c>
      <c r="H8218" s="4">
        <v>0</v>
      </c>
      <c r="I8218" s="4">
        <v>11</v>
      </c>
      <c r="J8218" s="4">
        <v>712730</v>
      </c>
    </row>
    <row r="8219" spans="1:10" x14ac:dyDescent="0.75">
      <c r="A8219" t="s">
        <v>151</v>
      </c>
      <c r="B8219">
        <v>5700</v>
      </c>
      <c r="C8219" t="s">
        <v>157</v>
      </c>
      <c r="D8219">
        <v>6889</v>
      </c>
      <c r="E8219" t="s">
        <v>420</v>
      </c>
      <c r="F8219" s="4">
        <v>0</v>
      </c>
      <c r="G8219" s="4">
        <v>635756</v>
      </c>
      <c r="H8219" s="4">
        <v>453737</v>
      </c>
      <c r="I8219" s="4">
        <v>182019</v>
      </c>
      <c r="J8219" s="4">
        <v>635756</v>
      </c>
    </row>
    <row r="8220" spans="1:10" x14ac:dyDescent="0.75">
      <c r="A8220" t="s">
        <v>151</v>
      </c>
      <c r="B8220">
        <v>5700</v>
      </c>
      <c r="C8220" t="s">
        <v>157</v>
      </c>
      <c r="D8220">
        <v>5120</v>
      </c>
      <c r="E8220" t="s">
        <v>461</v>
      </c>
      <c r="F8220" s="4">
        <v>0</v>
      </c>
      <c r="G8220" s="4">
        <v>613191</v>
      </c>
      <c r="H8220" s="4">
        <v>302613</v>
      </c>
      <c r="I8220" s="4">
        <v>310578</v>
      </c>
      <c r="J8220" s="4">
        <v>613191</v>
      </c>
    </row>
    <row r="8221" spans="1:10" x14ac:dyDescent="0.75">
      <c r="A8221" t="s">
        <v>151</v>
      </c>
      <c r="B8221">
        <v>5700</v>
      </c>
      <c r="C8221" t="s">
        <v>157</v>
      </c>
      <c r="D8221">
        <v>4189</v>
      </c>
      <c r="E8221" t="s">
        <v>451</v>
      </c>
      <c r="F8221" s="4">
        <v>0</v>
      </c>
      <c r="G8221" s="4">
        <v>610269</v>
      </c>
      <c r="H8221" s="4">
        <v>182762</v>
      </c>
      <c r="I8221" s="4">
        <v>427507</v>
      </c>
      <c r="J8221" s="4">
        <v>610269</v>
      </c>
    </row>
    <row r="8222" spans="1:10" x14ac:dyDescent="0.75">
      <c r="A8222" t="s">
        <v>151</v>
      </c>
      <c r="B8222">
        <v>5700</v>
      </c>
      <c r="C8222" t="s">
        <v>157</v>
      </c>
      <c r="D8222">
        <v>4170</v>
      </c>
      <c r="E8222" t="s">
        <v>424</v>
      </c>
      <c r="F8222" s="4">
        <v>0</v>
      </c>
      <c r="G8222" s="4">
        <v>552186</v>
      </c>
      <c r="H8222" s="4">
        <v>1275</v>
      </c>
      <c r="I8222" s="4">
        <v>550911</v>
      </c>
      <c r="J8222" s="4">
        <v>552186</v>
      </c>
    </row>
    <row r="8223" spans="1:10" x14ac:dyDescent="0.75">
      <c r="A8223" t="s">
        <v>151</v>
      </c>
      <c r="B8223">
        <v>5700</v>
      </c>
      <c r="C8223" t="s">
        <v>157</v>
      </c>
      <c r="D8223">
        <v>3276</v>
      </c>
      <c r="E8223" t="s">
        <v>379</v>
      </c>
      <c r="F8223" s="4">
        <v>0</v>
      </c>
      <c r="G8223" s="4">
        <v>524223</v>
      </c>
      <c r="H8223" s="4">
        <v>315778</v>
      </c>
      <c r="I8223" s="4">
        <v>208445</v>
      </c>
      <c r="J8223" s="4">
        <v>524223</v>
      </c>
    </row>
    <row r="8224" spans="1:10" x14ac:dyDescent="0.75">
      <c r="A8224" t="s">
        <v>151</v>
      </c>
      <c r="B8224">
        <v>5700</v>
      </c>
      <c r="C8224" t="s">
        <v>157</v>
      </c>
      <c r="D8224">
        <v>4420</v>
      </c>
      <c r="E8224" t="s">
        <v>381</v>
      </c>
      <c r="F8224" s="4">
        <v>131167</v>
      </c>
      <c r="G8224" s="4">
        <v>374925</v>
      </c>
      <c r="H8224" s="4">
        <v>16454</v>
      </c>
      <c r="I8224" s="4">
        <v>358471</v>
      </c>
      <c r="J8224" s="4">
        <v>506092</v>
      </c>
    </row>
    <row r="8225" spans="1:10" x14ac:dyDescent="0.75">
      <c r="A8225" t="s">
        <v>151</v>
      </c>
      <c r="B8225">
        <v>5700</v>
      </c>
      <c r="C8225" t="s">
        <v>157</v>
      </c>
      <c r="D8225">
        <v>6885</v>
      </c>
      <c r="E8225" t="s">
        <v>493</v>
      </c>
      <c r="F8225" s="4">
        <v>0</v>
      </c>
      <c r="G8225" s="4">
        <v>500491</v>
      </c>
      <c r="H8225" s="4">
        <v>309360</v>
      </c>
      <c r="I8225" s="4">
        <v>191131</v>
      </c>
      <c r="J8225" s="4">
        <v>500491</v>
      </c>
    </row>
    <row r="8226" spans="1:10" x14ac:dyDescent="0.75">
      <c r="A8226" t="s">
        <v>151</v>
      </c>
      <c r="B8226">
        <v>5700</v>
      </c>
      <c r="C8226" t="s">
        <v>157</v>
      </c>
      <c r="D8226">
        <v>5220</v>
      </c>
      <c r="E8226" t="s">
        <v>401</v>
      </c>
      <c r="F8226" s="4">
        <v>0</v>
      </c>
      <c r="G8226" s="4">
        <v>487952</v>
      </c>
      <c r="H8226" s="4">
        <v>487100</v>
      </c>
      <c r="I8226" s="4">
        <v>852</v>
      </c>
      <c r="J8226" s="4">
        <v>487952</v>
      </c>
    </row>
    <row r="8227" spans="1:10" x14ac:dyDescent="0.75">
      <c r="A8227" t="s">
        <v>151</v>
      </c>
      <c r="B8227">
        <v>5700</v>
      </c>
      <c r="C8227" t="s">
        <v>157</v>
      </c>
      <c r="D8227">
        <v>2540</v>
      </c>
      <c r="E8227" t="s">
        <v>377</v>
      </c>
      <c r="F8227" s="4">
        <v>6987</v>
      </c>
      <c r="G8227" s="4">
        <v>448476</v>
      </c>
      <c r="H8227" s="4">
        <v>28845</v>
      </c>
      <c r="I8227" s="4">
        <v>419631</v>
      </c>
      <c r="J8227" s="4">
        <v>455463</v>
      </c>
    </row>
    <row r="8228" spans="1:10" x14ac:dyDescent="0.75">
      <c r="A8228" t="s">
        <v>151</v>
      </c>
      <c r="B8228">
        <v>5700</v>
      </c>
      <c r="C8228" t="s">
        <v>157</v>
      </c>
      <c r="D8228">
        <v>6654</v>
      </c>
      <c r="E8228" t="s">
        <v>419</v>
      </c>
      <c r="F8228" s="4">
        <v>0</v>
      </c>
      <c r="G8228" s="4">
        <v>428950</v>
      </c>
      <c r="H8228" s="4">
        <v>214687</v>
      </c>
      <c r="I8228" s="4">
        <v>214263</v>
      </c>
      <c r="J8228" s="4">
        <v>428950</v>
      </c>
    </row>
    <row r="8229" spans="1:10" x14ac:dyDescent="0.75">
      <c r="A8229" t="s">
        <v>151</v>
      </c>
      <c r="B8229">
        <v>5700</v>
      </c>
      <c r="C8229" t="s">
        <v>157</v>
      </c>
      <c r="D8229">
        <v>6590</v>
      </c>
      <c r="E8229" t="s">
        <v>394</v>
      </c>
      <c r="F8229" s="4">
        <v>0</v>
      </c>
      <c r="G8229" s="4">
        <v>404823</v>
      </c>
      <c r="H8229" s="4">
        <v>9005</v>
      </c>
      <c r="I8229" s="4">
        <v>395818</v>
      </c>
      <c r="J8229" s="4">
        <v>404823</v>
      </c>
    </row>
    <row r="8230" spans="1:10" x14ac:dyDescent="0.75">
      <c r="A8230" t="s">
        <v>151</v>
      </c>
      <c r="B8230">
        <v>5700</v>
      </c>
      <c r="C8230" t="s">
        <v>157</v>
      </c>
      <c r="D8230">
        <v>6811</v>
      </c>
      <c r="E8230" t="s">
        <v>480</v>
      </c>
      <c r="F8230" s="4">
        <v>0</v>
      </c>
      <c r="G8230" s="4">
        <v>386641</v>
      </c>
      <c r="H8230" s="4">
        <v>40507</v>
      </c>
      <c r="I8230" s="4">
        <v>346134</v>
      </c>
      <c r="J8230" s="4">
        <v>386641</v>
      </c>
    </row>
    <row r="8231" spans="1:10" x14ac:dyDescent="0.75">
      <c r="A8231" t="s">
        <v>151</v>
      </c>
      <c r="B8231">
        <v>5700</v>
      </c>
      <c r="C8231" t="s">
        <v>157</v>
      </c>
      <c r="D8231">
        <v>4680</v>
      </c>
      <c r="E8231" t="s">
        <v>459</v>
      </c>
      <c r="F8231" s="4">
        <v>0</v>
      </c>
      <c r="G8231" s="4">
        <v>351907</v>
      </c>
      <c r="H8231" s="4">
        <v>2307</v>
      </c>
      <c r="I8231" s="4">
        <v>349600</v>
      </c>
      <c r="J8231" s="4">
        <v>351907</v>
      </c>
    </row>
    <row r="8232" spans="1:10" x14ac:dyDescent="0.75">
      <c r="A8232" t="s">
        <v>151</v>
      </c>
      <c r="B8232">
        <v>5700</v>
      </c>
      <c r="C8232" t="s">
        <v>157</v>
      </c>
      <c r="D8232">
        <v>6747</v>
      </c>
      <c r="E8232" t="s">
        <v>478</v>
      </c>
      <c r="F8232" s="4">
        <v>0</v>
      </c>
      <c r="G8232" s="4">
        <v>271191</v>
      </c>
      <c r="H8232" s="4">
        <v>93095</v>
      </c>
      <c r="I8232" s="4">
        <v>178096</v>
      </c>
      <c r="J8232" s="4">
        <v>271191</v>
      </c>
    </row>
    <row r="8233" spans="1:10" x14ac:dyDescent="0.75">
      <c r="A8233" t="s">
        <v>151</v>
      </c>
      <c r="B8233">
        <v>5700</v>
      </c>
      <c r="C8233" t="s">
        <v>157</v>
      </c>
      <c r="D8233">
        <v>6653</v>
      </c>
      <c r="E8233" t="s">
        <v>395</v>
      </c>
      <c r="F8233" s="4">
        <v>0</v>
      </c>
      <c r="G8233" s="4">
        <v>268332</v>
      </c>
      <c r="H8233" s="4">
        <v>98785</v>
      </c>
      <c r="I8233" s="4">
        <v>169547</v>
      </c>
      <c r="J8233" s="4">
        <v>268332</v>
      </c>
    </row>
    <row r="8234" spans="1:10" x14ac:dyDescent="0.75">
      <c r="A8234" t="s">
        <v>151</v>
      </c>
      <c r="B8234">
        <v>5700</v>
      </c>
      <c r="C8234" t="s">
        <v>157</v>
      </c>
      <c r="D8234">
        <v>9900</v>
      </c>
      <c r="E8234" t="s">
        <v>389</v>
      </c>
      <c r="F8234" s="4">
        <v>0</v>
      </c>
      <c r="G8234" s="4">
        <v>267780</v>
      </c>
      <c r="H8234" s="4">
        <v>166246</v>
      </c>
      <c r="I8234" s="4">
        <v>101534</v>
      </c>
      <c r="J8234" s="4">
        <v>267780</v>
      </c>
    </row>
    <row r="8235" spans="1:10" x14ac:dyDescent="0.75">
      <c r="A8235" t="s">
        <v>151</v>
      </c>
      <c r="B8235">
        <v>5700</v>
      </c>
      <c r="C8235" t="s">
        <v>157</v>
      </c>
      <c r="D8235">
        <v>3299</v>
      </c>
      <c r="E8235" t="s">
        <v>448</v>
      </c>
      <c r="F8235" s="4">
        <v>0</v>
      </c>
      <c r="G8235" s="4">
        <v>267043</v>
      </c>
      <c r="H8235" s="4">
        <v>141065</v>
      </c>
      <c r="I8235" s="4">
        <v>125978</v>
      </c>
      <c r="J8235" s="4">
        <v>267043</v>
      </c>
    </row>
    <row r="8236" spans="1:10" x14ac:dyDescent="0.75">
      <c r="A8236" t="s">
        <v>151</v>
      </c>
      <c r="B8236">
        <v>5700</v>
      </c>
      <c r="C8236" t="s">
        <v>157</v>
      </c>
      <c r="D8236">
        <v>6344</v>
      </c>
      <c r="E8236" t="s">
        <v>392</v>
      </c>
      <c r="F8236" s="4">
        <v>67106</v>
      </c>
      <c r="G8236" s="4">
        <v>199161</v>
      </c>
      <c r="H8236" s="4">
        <v>3955</v>
      </c>
      <c r="I8236" s="4">
        <v>195206</v>
      </c>
      <c r="J8236" s="4">
        <v>266267</v>
      </c>
    </row>
    <row r="8237" spans="1:10" x14ac:dyDescent="0.75">
      <c r="A8237" t="s">
        <v>151</v>
      </c>
      <c r="B8237">
        <v>5700</v>
      </c>
      <c r="C8237" t="s">
        <v>157</v>
      </c>
      <c r="D8237">
        <v>2340</v>
      </c>
      <c r="E8237" t="s">
        <v>369</v>
      </c>
      <c r="F8237" s="4">
        <v>255871</v>
      </c>
      <c r="G8237" s="4">
        <v>6</v>
      </c>
      <c r="H8237" s="4">
        <v>6</v>
      </c>
      <c r="I8237" s="4">
        <v>0</v>
      </c>
      <c r="J8237" s="4">
        <v>255877</v>
      </c>
    </row>
    <row r="8238" spans="1:10" x14ac:dyDescent="0.75">
      <c r="A8238" t="s">
        <v>151</v>
      </c>
      <c r="B8238">
        <v>5700</v>
      </c>
      <c r="C8238" t="s">
        <v>157</v>
      </c>
      <c r="D8238">
        <v>2640</v>
      </c>
      <c r="E8238" t="s">
        <v>431</v>
      </c>
      <c r="F8238" s="4">
        <v>0</v>
      </c>
      <c r="G8238" s="4">
        <v>248143</v>
      </c>
      <c r="H8238" s="4">
        <v>2069</v>
      </c>
      <c r="I8238" s="4">
        <v>246074</v>
      </c>
      <c r="J8238" s="4">
        <v>248143</v>
      </c>
    </row>
    <row r="8239" spans="1:10" x14ac:dyDescent="0.75">
      <c r="A8239" t="s">
        <v>151</v>
      </c>
      <c r="B8239">
        <v>5700</v>
      </c>
      <c r="C8239" t="s">
        <v>157</v>
      </c>
      <c r="D8239">
        <v>3275</v>
      </c>
      <c r="E8239" t="s">
        <v>412</v>
      </c>
      <c r="F8239" s="4">
        <v>0</v>
      </c>
      <c r="G8239" s="4">
        <v>244408</v>
      </c>
      <c r="H8239" s="4">
        <v>147829</v>
      </c>
      <c r="I8239" s="4">
        <v>96579</v>
      </c>
      <c r="J8239" s="4">
        <v>244408</v>
      </c>
    </row>
    <row r="8240" spans="1:10" x14ac:dyDescent="0.75">
      <c r="A8240" t="s">
        <v>151</v>
      </c>
      <c r="B8240">
        <v>5700</v>
      </c>
      <c r="C8240" t="s">
        <v>157</v>
      </c>
      <c r="D8240">
        <v>5540</v>
      </c>
      <c r="E8240" t="s">
        <v>469</v>
      </c>
      <c r="F8240" s="4">
        <v>0</v>
      </c>
      <c r="G8240" s="4">
        <v>237249</v>
      </c>
      <c r="H8240" s="4">
        <v>206260</v>
      </c>
      <c r="I8240" s="4">
        <v>30989</v>
      </c>
      <c r="J8240" s="4">
        <v>237249</v>
      </c>
    </row>
    <row r="8241" spans="1:10" x14ac:dyDescent="0.75">
      <c r="A8241" t="s">
        <v>151</v>
      </c>
      <c r="B8241">
        <v>5700</v>
      </c>
      <c r="C8241" t="s">
        <v>157</v>
      </c>
      <c r="D8241">
        <v>5240</v>
      </c>
      <c r="E8241" t="s">
        <v>464</v>
      </c>
      <c r="F8241" s="4">
        <v>0</v>
      </c>
      <c r="G8241" s="4">
        <v>236006</v>
      </c>
      <c r="H8241" s="4">
        <v>199444</v>
      </c>
      <c r="I8241" s="4">
        <v>36562</v>
      </c>
      <c r="J8241" s="4">
        <v>236006</v>
      </c>
    </row>
    <row r="8242" spans="1:10" x14ac:dyDescent="0.75">
      <c r="A8242" t="s">
        <v>151</v>
      </c>
      <c r="B8242">
        <v>5700</v>
      </c>
      <c r="C8242" t="s">
        <v>157</v>
      </c>
      <c r="D8242">
        <v>6241</v>
      </c>
      <c r="E8242" t="s">
        <v>391</v>
      </c>
      <c r="F8242" s="4">
        <v>71700</v>
      </c>
      <c r="G8242" s="4">
        <v>147367</v>
      </c>
      <c r="H8242" s="4">
        <v>61</v>
      </c>
      <c r="I8242" s="4">
        <v>147306</v>
      </c>
      <c r="J8242" s="4">
        <v>219067</v>
      </c>
    </row>
    <row r="8243" spans="1:10" x14ac:dyDescent="0.75">
      <c r="A8243" t="s">
        <v>151</v>
      </c>
      <c r="B8243">
        <v>5700</v>
      </c>
      <c r="C8243" t="s">
        <v>157</v>
      </c>
      <c r="D8243">
        <v>6891</v>
      </c>
      <c r="E8243" t="s">
        <v>495</v>
      </c>
      <c r="F8243" s="4">
        <v>0</v>
      </c>
      <c r="G8243" s="4">
        <v>215773</v>
      </c>
      <c r="H8243" s="4">
        <v>124973</v>
      </c>
      <c r="I8243" s="4">
        <v>90800</v>
      </c>
      <c r="J8243" s="4">
        <v>215773</v>
      </c>
    </row>
    <row r="8244" spans="1:10" x14ac:dyDescent="0.75">
      <c r="A8244" t="s">
        <v>151</v>
      </c>
      <c r="B8244">
        <v>5700</v>
      </c>
      <c r="C8244" t="s">
        <v>157</v>
      </c>
      <c r="D8244">
        <v>2211</v>
      </c>
      <c r="E8244" t="s">
        <v>367</v>
      </c>
      <c r="F8244" s="4">
        <v>73196</v>
      </c>
      <c r="G8244" s="4">
        <v>131944</v>
      </c>
      <c r="H8244" s="4">
        <v>131173</v>
      </c>
      <c r="I8244" s="4">
        <v>771</v>
      </c>
      <c r="J8244" s="4">
        <v>205140</v>
      </c>
    </row>
    <row r="8245" spans="1:10" x14ac:dyDescent="0.75">
      <c r="A8245" t="s">
        <v>151</v>
      </c>
      <c r="B8245">
        <v>5700</v>
      </c>
      <c r="C8245" t="s">
        <v>157</v>
      </c>
      <c r="D8245">
        <v>2430</v>
      </c>
      <c r="E8245" t="s">
        <v>376</v>
      </c>
      <c r="F8245" s="4">
        <v>196626</v>
      </c>
      <c r="G8245" s="4">
        <v>2013</v>
      </c>
      <c r="H8245" s="4">
        <v>504</v>
      </c>
      <c r="I8245" s="4">
        <v>1509</v>
      </c>
      <c r="J8245" s="4">
        <v>198639</v>
      </c>
    </row>
    <row r="8246" spans="1:10" x14ac:dyDescent="0.75">
      <c r="A8246" t="s">
        <v>151</v>
      </c>
      <c r="B8246">
        <v>5700</v>
      </c>
      <c r="C8246" t="s">
        <v>157</v>
      </c>
      <c r="D8246">
        <v>3285</v>
      </c>
      <c r="E8246" t="s">
        <v>443</v>
      </c>
      <c r="F8246" s="4">
        <v>0</v>
      </c>
      <c r="G8246" s="4">
        <v>191258</v>
      </c>
      <c r="H8246" s="4">
        <v>109622</v>
      </c>
      <c r="I8246" s="4">
        <v>81636</v>
      </c>
      <c r="J8246" s="4">
        <v>191258</v>
      </c>
    </row>
    <row r="8247" spans="1:10" x14ac:dyDescent="0.75">
      <c r="A8247" t="s">
        <v>151</v>
      </c>
      <c r="B8247">
        <v>5700</v>
      </c>
      <c r="C8247" t="s">
        <v>157</v>
      </c>
      <c r="D8247">
        <v>2330</v>
      </c>
      <c r="E8247" t="s">
        <v>368</v>
      </c>
      <c r="F8247" s="4">
        <v>107375</v>
      </c>
      <c r="G8247" s="4">
        <v>79595</v>
      </c>
      <c r="H8247" s="4">
        <v>33117</v>
      </c>
      <c r="I8247" s="4">
        <v>46478</v>
      </c>
      <c r="J8247" s="4">
        <v>186970</v>
      </c>
    </row>
    <row r="8248" spans="1:10" x14ac:dyDescent="0.75">
      <c r="A8248" t="s">
        <v>151</v>
      </c>
      <c r="B8248">
        <v>5700</v>
      </c>
      <c r="C8248" t="s">
        <v>157</v>
      </c>
      <c r="D8248">
        <v>3292</v>
      </c>
      <c r="E8248" t="s">
        <v>413</v>
      </c>
      <c r="F8248" s="4">
        <v>0</v>
      </c>
      <c r="G8248" s="4">
        <v>186040</v>
      </c>
      <c r="H8248" s="4">
        <v>142408</v>
      </c>
      <c r="I8248" s="4">
        <v>43632</v>
      </c>
      <c r="J8248" s="4">
        <v>186040</v>
      </c>
    </row>
    <row r="8249" spans="1:10" x14ac:dyDescent="0.75">
      <c r="A8249" t="s">
        <v>151</v>
      </c>
      <c r="B8249">
        <v>5700</v>
      </c>
      <c r="C8249" t="s">
        <v>157</v>
      </c>
      <c r="D8249">
        <v>5422</v>
      </c>
      <c r="E8249" t="s">
        <v>468</v>
      </c>
      <c r="F8249" s="4">
        <v>0</v>
      </c>
      <c r="G8249" s="4">
        <v>175960</v>
      </c>
      <c r="H8249" s="4">
        <v>151855</v>
      </c>
      <c r="I8249" s="4">
        <v>24105</v>
      </c>
      <c r="J8249" s="4">
        <v>175960</v>
      </c>
    </row>
    <row r="8250" spans="1:10" x14ac:dyDescent="0.75">
      <c r="A8250" t="s">
        <v>151</v>
      </c>
      <c r="B8250">
        <v>5700</v>
      </c>
      <c r="C8250" t="s">
        <v>157</v>
      </c>
      <c r="D8250">
        <v>3230</v>
      </c>
      <c r="E8250" t="s">
        <v>434</v>
      </c>
      <c r="F8250" s="4">
        <v>0</v>
      </c>
      <c r="G8250" s="4">
        <v>173265</v>
      </c>
      <c r="H8250" s="4">
        <v>155082</v>
      </c>
      <c r="I8250" s="4">
        <v>18183</v>
      </c>
      <c r="J8250" s="4">
        <v>173265</v>
      </c>
    </row>
    <row r="8251" spans="1:10" x14ac:dyDescent="0.75">
      <c r="A8251" t="s">
        <v>151</v>
      </c>
      <c r="B8251">
        <v>5700</v>
      </c>
      <c r="C8251" t="s">
        <v>157</v>
      </c>
      <c r="D8251">
        <v>5190</v>
      </c>
      <c r="E8251" t="s">
        <v>462</v>
      </c>
      <c r="F8251" s="4">
        <v>0</v>
      </c>
      <c r="G8251" s="4">
        <v>172488</v>
      </c>
      <c r="H8251" s="4">
        <v>146134</v>
      </c>
      <c r="I8251" s="4">
        <v>26354</v>
      </c>
      <c r="J8251" s="4">
        <v>172488</v>
      </c>
    </row>
    <row r="8252" spans="1:10" x14ac:dyDescent="0.75">
      <c r="A8252" t="s">
        <v>151</v>
      </c>
      <c r="B8252">
        <v>5700</v>
      </c>
      <c r="C8252" t="s">
        <v>157</v>
      </c>
      <c r="D8252">
        <v>3220</v>
      </c>
      <c r="E8252" t="s">
        <v>370</v>
      </c>
      <c r="F8252" s="4">
        <v>0</v>
      </c>
      <c r="G8252" s="4">
        <v>167911</v>
      </c>
      <c r="H8252" s="4">
        <v>116925</v>
      </c>
      <c r="I8252" s="4">
        <v>50986</v>
      </c>
      <c r="J8252" s="4">
        <v>167911</v>
      </c>
    </row>
    <row r="8253" spans="1:10" x14ac:dyDescent="0.75">
      <c r="A8253" t="s">
        <v>151</v>
      </c>
      <c r="B8253">
        <v>5700</v>
      </c>
      <c r="C8253" t="s">
        <v>157</v>
      </c>
      <c r="D8253">
        <v>7400</v>
      </c>
      <c r="E8253" t="s">
        <v>502</v>
      </c>
      <c r="F8253" s="4">
        <v>0</v>
      </c>
      <c r="G8253" s="4">
        <v>145911</v>
      </c>
      <c r="H8253" s="4">
        <v>82492</v>
      </c>
      <c r="I8253" s="4">
        <v>63419</v>
      </c>
      <c r="J8253" s="4">
        <v>145911</v>
      </c>
    </row>
    <row r="8254" spans="1:10" x14ac:dyDescent="0.75">
      <c r="A8254" t="s">
        <v>151</v>
      </c>
      <c r="B8254">
        <v>5700</v>
      </c>
      <c r="C8254" t="s">
        <v>157</v>
      </c>
      <c r="D8254">
        <v>3240</v>
      </c>
      <c r="E8254" t="s">
        <v>410</v>
      </c>
      <c r="F8254" s="4">
        <v>0</v>
      </c>
      <c r="G8254" s="4">
        <v>138700</v>
      </c>
      <c r="H8254" s="4">
        <v>87438</v>
      </c>
      <c r="I8254" s="4">
        <v>51262</v>
      </c>
      <c r="J8254" s="4">
        <v>138700</v>
      </c>
    </row>
    <row r="8255" spans="1:10" x14ac:dyDescent="0.75">
      <c r="A8255" t="s">
        <v>151</v>
      </c>
      <c r="B8255">
        <v>5700</v>
      </c>
      <c r="C8255" t="s">
        <v>157</v>
      </c>
      <c r="D8255">
        <v>4782</v>
      </c>
      <c r="E8255" t="s">
        <v>414</v>
      </c>
      <c r="F8255" s="4">
        <v>0</v>
      </c>
      <c r="G8255" s="4">
        <v>125200</v>
      </c>
      <c r="H8255" s="4">
        <v>50341</v>
      </c>
      <c r="I8255" s="4">
        <v>74859</v>
      </c>
      <c r="J8255" s="4">
        <v>125200</v>
      </c>
    </row>
    <row r="8256" spans="1:10" x14ac:dyDescent="0.75">
      <c r="A8256" t="s">
        <v>151</v>
      </c>
      <c r="B8256">
        <v>5700</v>
      </c>
      <c r="C8256" t="s">
        <v>157</v>
      </c>
      <c r="D8256">
        <v>3250</v>
      </c>
      <c r="E8256" t="s">
        <v>435</v>
      </c>
      <c r="F8256" s="4">
        <v>0</v>
      </c>
      <c r="G8256" s="4">
        <v>119689</v>
      </c>
      <c r="H8256" s="4">
        <v>67737</v>
      </c>
      <c r="I8256" s="4">
        <v>51952</v>
      </c>
      <c r="J8256" s="4">
        <v>119689</v>
      </c>
    </row>
    <row r="8257" spans="1:10" x14ac:dyDescent="0.75">
      <c r="A8257" t="s">
        <v>151</v>
      </c>
      <c r="B8257">
        <v>5700</v>
      </c>
      <c r="C8257" t="s">
        <v>157</v>
      </c>
      <c r="D8257">
        <v>4900</v>
      </c>
      <c r="E8257" t="s">
        <v>383</v>
      </c>
      <c r="F8257" s="4">
        <v>0</v>
      </c>
      <c r="G8257" s="4">
        <v>114347</v>
      </c>
      <c r="H8257" s="4">
        <v>106581</v>
      </c>
      <c r="I8257" s="4">
        <v>7766</v>
      </c>
      <c r="J8257" s="4">
        <v>114347</v>
      </c>
    </row>
    <row r="8258" spans="1:10" x14ac:dyDescent="0.75">
      <c r="A8258" t="s">
        <v>151</v>
      </c>
      <c r="B8258">
        <v>5700</v>
      </c>
      <c r="C8258" t="s">
        <v>157</v>
      </c>
      <c r="D8258">
        <v>6858</v>
      </c>
      <c r="E8258" t="s">
        <v>488</v>
      </c>
      <c r="F8258" s="4">
        <v>0</v>
      </c>
      <c r="G8258" s="4">
        <v>113276</v>
      </c>
      <c r="H8258" s="4">
        <v>82464</v>
      </c>
      <c r="I8258" s="4">
        <v>30812</v>
      </c>
      <c r="J8258" s="4">
        <v>113276</v>
      </c>
    </row>
    <row r="8259" spans="1:10" x14ac:dyDescent="0.75">
      <c r="A8259" t="s">
        <v>151</v>
      </c>
      <c r="B8259">
        <v>5700</v>
      </c>
      <c r="C8259" t="s">
        <v>157</v>
      </c>
      <c r="D8259">
        <v>3284</v>
      </c>
      <c r="E8259" t="s">
        <v>442</v>
      </c>
      <c r="F8259" s="4">
        <v>0</v>
      </c>
      <c r="G8259" s="4">
        <v>110291</v>
      </c>
      <c r="H8259" s="4">
        <v>76605</v>
      </c>
      <c r="I8259" s="4">
        <v>33686</v>
      </c>
      <c r="J8259" s="4">
        <v>110291</v>
      </c>
    </row>
    <row r="8260" spans="1:10" x14ac:dyDescent="0.75">
      <c r="A8260" t="s">
        <v>151</v>
      </c>
      <c r="B8260">
        <v>5700</v>
      </c>
      <c r="C8260" t="s">
        <v>157</v>
      </c>
      <c r="D8260">
        <v>4110</v>
      </c>
      <c r="E8260" t="s">
        <v>449</v>
      </c>
      <c r="F8260" s="4">
        <v>0</v>
      </c>
      <c r="G8260" s="4">
        <v>107002</v>
      </c>
      <c r="H8260" s="4">
        <v>106617</v>
      </c>
      <c r="I8260" s="4">
        <v>385</v>
      </c>
      <c r="J8260" s="4">
        <v>107002</v>
      </c>
    </row>
    <row r="8261" spans="1:10" x14ac:dyDescent="0.75">
      <c r="A8261" t="s">
        <v>151</v>
      </c>
      <c r="B8261">
        <v>5700</v>
      </c>
      <c r="C8261" t="s">
        <v>157</v>
      </c>
      <c r="D8261">
        <v>5370</v>
      </c>
      <c r="E8261" t="s">
        <v>466</v>
      </c>
      <c r="F8261" s="4">
        <v>0</v>
      </c>
      <c r="G8261" s="4">
        <v>104395</v>
      </c>
      <c r="H8261" s="4">
        <v>99215</v>
      </c>
      <c r="I8261" s="4">
        <v>5180</v>
      </c>
      <c r="J8261" s="4">
        <v>104395</v>
      </c>
    </row>
    <row r="8262" spans="1:10" x14ac:dyDescent="0.75">
      <c r="A8262" t="s">
        <v>151</v>
      </c>
      <c r="B8262">
        <v>5700</v>
      </c>
      <c r="C8262" t="s">
        <v>157</v>
      </c>
      <c r="D8262">
        <v>3282</v>
      </c>
      <c r="E8262" t="s">
        <v>440</v>
      </c>
      <c r="F8262" s="4">
        <v>0</v>
      </c>
      <c r="G8262" s="4">
        <v>103085</v>
      </c>
      <c r="H8262" s="4">
        <v>67076</v>
      </c>
      <c r="I8262" s="4">
        <v>36009</v>
      </c>
      <c r="J8262" s="4">
        <v>103085</v>
      </c>
    </row>
    <row r="8263" spans="1:10" x14ac:dyDescent="0.75">
      <c r="A8263" t="s">
        <v>151</v>
      </c>
      <c r="B8263">
        <v>5700</v>
      </c>
      <c r="C8263" t="s">
        <v>157</v>
      </c>
      <c r="D8263">
        <v>4860</v>
      </c>
      <c r="E8263" t="s">
        <v>400</v>
      </c>
      <c r="F8263" s="4">
        <v>40609</v>
      </c>
      <c r="G8263" s="4">
        <v>62172</v>
      </c>
      <c r="H8263" s="4">
        <v>43048</v>
      </c>
      <c r="I8263" s="4">
        <v>19124</v>
      </c>
      <c r="J8263" s="4">
        <v>102781</v>
      </c>
    </row>
    <row r="8264" spans="1:10" x14ac:dyDescent="0.75">
      <c r="A8264" t="s">
        <v>151</v>
      </c>
      <c r="B8264">
        <v>5700</v>
      </c>
      <c r="C8264" t="s">
        <v>157</v>
      </c>
      <c r="D8264">
        <v>6857</v>
      </c>
      <c r="E8264" t="s">
        <v>487</v>
      </c>
      <c r="F8264" s="4">
        <v>0</v>
      </c>
      <c r="G8264" s="4">
        <v>98548</v>
      </c>
      <c r="H8264" s="4">
        <v>88281</v>
      </c>
      <c r="I8264" s="4">
        <v>10267</v>
      </c>
      <c r="J8264" s="4">
        <v>98548</v>
      </c>
    </row>
    <row r="8265" spans="1:10" x14ac:dyDescent="0.75">
      <c r="A8265" t="s">
        <v>151</v>
      </c>
      <c r="B8265">
        <v>5700</v>
      </c>
      <c r="C8265" t="s">
        <v>157</v>
      </c>
      <c r="D8265">
        <v>6888</v>
      </c>
      <c r="E8265" t="s">
        <v>494</v>
      </c>
      <c r="F8265" s="4">
        <v>0</v>
      </c>
      <c r="G8265" s="4">
        <v>97362</v>
      </c>
      <c r="H8265" s="4">
        <v>95155</v>
      </c>
      <c r="I8265" s="4">
        <v>2207</v>
      </c>
      <c r="J8265" s="4">
        <v>97362</v>
      </c>
    </row>
    <row r="8266" spans="1:10" x14ac:dyDescent="0.75">
      <c r="A8266" t="s">
        <v>151</v>
      </c>
      <c r="B8266">
        <v>5700</v>
      </c>
      <c r="C8266" t="s">
        <v>157</v>
      </c>
      <c r="D8266">
        <v>5360</v>
      </c>
      <c r="E8266" t="s">
        <v>465</v>
      </c>
      <c r="F8266" s="4">
        <v>10915</v>
      </c>
      <c r="G8266" s="4">
        <v>86407</v>
      </c>
      <c r="H8266" s="4">
        <v>77049</v>
      </c>
      <c r="I8266" s="4">
        <v>9358</v>
      </c>
      <c r="J8266" s="4">
        <v>97322</v>
      </c>
    </row>
    <row r="8267" spans="1:10" x14ac:dyDescent="0.75">
      <c r="A8267" t="s">
        <v>151</v>
      </c>
      <c r="B8267">
        <v>5700</v>
      </c>
      <c r="C8267" t="s">
        <v>157</v>
      </c>
      <c r="D8267">
        <v>4783</v>
      </c>
      <c r="E8267" t="s">
        <v>382</v>
      </c>
      <c r="F8267" s="4">
        <v>0</v>
      </c>
      <c r="G8267" s="4">
        <v>86361</v>
      </c>
      <c r="H8267" s="4">
        <v>79337</v>
      </c>
      <c r="I8267" s="4">
        <v>7024</v>
      </c>
      <c r="J8267" s="4">
        <v>86361</v>
      </c>
    </row>
    <row r="8268" spans="1:10" x14ac:dyDescent="0.75">
      <c r="A8268" t="s">
        <v>151</v>
      </c>
      <c r="B8268">
        <v>5700</v>
      </c>
      <c r="C8268" t="s">
        <v>157</v>
      </c>
      <c r="D8268">
        <v>3297</v>
      </c>
      <c r="E8268" t="s">
        <v>446</v>
      </c>
      <c r="F8268" s="4">
        <v>0</v>
      </c>
      <c r="G8268" s="4">
        <v>83465</v>
      </c>
      <c r="H8268" s="4">
        <v>9266</v>
      </c>
      <c r="I8268" s="4">
        <v>74199</v>
      </c>
      <c r="J8268" s="4">
        <v>83465</v>
      </c>
    </row>
    <row r="8269" spans="1:10" x14ac:dyDescent="0.75">
      <c r="A8269" t="s">
        <v>151</v>
      </c>
      <c r="B8269">
        <v>5700</v>
      </c>
      <c r="C8269" t="s">
        <v>157</v>
      </c>
      <c r="D8269">
        <v>6134</v>
      </c>
      <c r="E8269" t="s">
        <v>470</v>
      </c>
      <c r="F8269" s="4">
        <v>0</v>
      </c>
      <c r="G8269" s="4">
        <v>80202</v>
      </c>
      <c r="H8269" s="4">
        <v>76393</v>
      </c>
      <c r="I8269" s="4">
        <v>3809</v>
      </c>
      <c r="J8269" s="4">
        <v>80202</v>
      </c>
    </row>
    <row r="8270" spans="1:10" x14ac:dyDescent="0.75">
      <c r="A8270" t="s">
        <v>151</v>
      </c>
      <c r="B8270">
        <v>5700</v>
      </c>
      <c r="C8270" t="s">
        <v>157</v>
      </c>
      <c r="D8270">
        <v>4161</v>
      </c>
      <c r="E8270" t="s">
        <v>421</v>
      </c>
      <c r="F8270" s="4">
        <v>0</v>
      </c>
      <c r="G8270" s="4">
        <v>78374</v>
      </c>
      <c r="H8270" s="4">
        <v>1987</v>
      </c>
      <c r="I8270" s="4">
        <v>76387</v>
      </c>
      <c r="J8270" s="4">
        <v>78374</v>
      </c>
    </row>
    <row r="8271" spans="1:10" x14ac:dyDescent="0.75">
      <c r="A8271" t="s">
        <v>151</v>
      </c>
      <c r="B8271">
        <v>5700</v>
      </c>
      <c r="C8271" t="s">
        <v>157</v>
      </c>
      <c r="D8271">
        <v>3260</v>
      </c>
      <c r="E8271" t="s">
        <v>436</v>
      </c>
      <c r="F8271" s="4">
        <v>0</v>
      </c>
      <c r="G8271" s="4">
        <v>78257</v>
      </c>
      <c r="H8271" s="4">
        <v>32874</v>
      </c>
      <c r="I8271" s="4">
        <v>45383</v>
      </c>
      <c r="J8271" s="4">
        <v>78257</v>
      </c>
    </row>
    <row r="8272" spans="1:10" x14ac:dyDescent="0.75">
      <c r="A8272" t="s">
        <v>151</v>
      </c>
      <c r="B8272">
        <v>5700</v>
      </c>
      <c r="C8272" t="s">
        <v>157</v>
      </c>
      <c r="D8272">
        <v>5330</v>
      </c>
      <c r="E8272" t="s">
        <v>385</v>
      </c>
      <c r="F8272" s="4">
        <v>0</v>
      </c>
      <c r="G8272" s="4">
        <v>76614</v>
      </c>
      <c r="H8272" s="4">
        <v>43039</v>
      </c>
      <c r="I8272" s="4">
        <v>33575</v>
      </c>
      <c r="J8272" s="4">
        <v>76614</v>
      </c>
    </row>
    <row r="8273" spans="1:10" x14ac:dyDescent="0.75">
      <c r="A8273" t="s">
        <v>151</v>
      </c>
      <c r="B8273">
        <v>5700</v>
      </c>
      <c r="C8273" t="s">
        <v>157</v>
      </c>
      <c r="D8273">
        <v>8900</v>
      </c>
      <c r="E8273" t="s">
        <v>506</v>
      </c>
      <c r="F8273" s="4">
        <v>74360</v>
      </c>
      <c r="G8273" s="4">
        <v>0</v>
      </c>
      <c r="H8273" s="4">
        <v>0</v>
      </c>
      <c r="I8273" s="4">
        <v>0</v>
      </c>
      <c r="J8273" s="4">
        <v>74360</v>
      </c>
    </row>
    <row r="8274" spans="1:10" x14ac:dyDescent="0.75">
      <c r="A8274" t="s">
        <v>151</v>
      </c>
      <c r="B8274">
        <v>5700</v>
      </c>
      <c r="C8274" t="s">
        <v>157</v>
      </c>
      <c r="D8274">
        <v>6893</v>
      </c>
      <c r="E8274" t="s">
        <v>496</v>
      </c>
      <c r="F8274" s="4">
        <v>0</v>
      </c>
      <c r="G8274" s="4">
        <v>74141</v>
      </c>
      <c r="H8274" s="4">
        <v>13198</v>
      </c>
      <c r="I8274" s="4">
        <v>60943</v>
      </c>
      <c r="J8274" s="4">
        <v>74141</v>
      </c>
    </row>
    <row r="8275" spans="1:10" x14ac:dyDescent="0.75">
      <c r="A8275" t="s">
        <v>151</v>
      </c>
      <c r="B8275">
        <v>5700</v>
      </c>
      <c r="C8275" t="s">
        <v>157</v>
      </c>
      <c r="D8275">
        <v>3130</v>
      </c>
      <c r="E8275" t="s">
        <v>407</v>
      </c>
      <c r="F8275" s="4">
        <v>0</v>
      </c>
      <c r="G8275" s="4">
        <v>71240</v>
      </c>
      <c r="H8275" s="4">
        <v>70748</v>
      </c>
      <c r="I8275" s="4">
        <v>492</v>
      </c>
      <c r="J8275" s="4">
        <v>71240</v>
      </c>
    </row>
    <row r="8276" spans="1:10" x14ac:dyDescent="0.75">
      <c r="A8276" t="s">
        <v>151</v>
      </c>
      <c r="B8276">
        <v>5700</v>
      </c>
      <c r="C8276" t="s">
        <v>157</v>
      </c>
      <c r="D8276">
        <v>5421</v>
      </c>
      <c r="E8276" t="s">
        <v>467</v>
      </c>
      <c r="F8276" s="4">
        <v>0</v>
      </c>
      <c r="G8276" s="4">
        <v>70979</v>
      </c>
      <c r="H8276" s="4">
        <v>58156</v>
      </c>
      <c r="I8276" s="4">
        <v>12823</v>
      </c>
      <c r="J8276" s="4">
        <v>70979</v>
      </c>
    </row>
    <row r="8277" spans="1:10" x14ac:dyDescent="0.75">
      <c r="A8277" t="s">
        <v>151</v>
      </c>
      <c r="B8277">
        <v>5700</v>
      </c>
      <c r="C8277" t="s">
        <v>157</v>
      </c>
      <c r="D8277">
        <v>6871</v>
      </c>
      <c r="E8277" t="s">
        <v>491</v>
      </c>
      <c r="F8277" s="4">
        <v>0</v>
      </c>
      <c r="G8277" s="4">
        <v>70344</v>
      </c>
      <c r="H8277" s="4">
        <v>67218</v>
      </c>
      <c r="I8277" s="4">
        <v>3126</v>
      </c>
      <c r="J8277" s="4">
        <v>70344</v>
      </c>
    </row>
    <row r="8278" spans="1:10" x14ac:dyDescent="0.75">
      <c r="A8278" t="s">
        <v>151</v>
      </c>
      <c r="B8278">
        <v>5700</v>
      </c>
      <c r="C8278" t="s">
        <v>157</v>
      </c>
      <c r="D8278">
        <v>6136</v>
      </c>
      <c r="E8278" t="s">
        <v>471</v>
      </c>
      <c r="F8278" s="4">
        <v>0</v>
      </c>
      <c r="G8278" s="4">
        <v>66714</v>
      </c>
      <c r="H8278" s="4">
        <v>64468</v>
      </c>
      <c r="I8278" s="4">
        <v>2246</v>
      </c>
      <c r="J8278" s="4">
        <v>66714</v>
      </c>
    </row>
    <row r="8279" spans="1:10" x14ac:dyDescent="0.75">
      <c r="A8279" t="s">
        <v>151</v>
      </c>
      <c r="B8279">
        <v>5700</v>
      </c>
      <c r="C8279" t="s">
        <v>157</v>
      </c>
      <c r="D8279">
        <v>6822</v>
      </c>
      <c r="E8279" t="s">
        <v>482</v>
      </c>
      <c r="F8279" s="4">
        <v>0</v>
      </c>
      <c r="G8279" s="4">
        <v>65360</v>
      </c>
      <c r="H8279" s="4">
        <v>15140</v>
      </c>
      <c r="I8279" s="4">
        <v>50220</v>
      </c>
      <c r="J8279" s="4">
        <v>65360</v>
      </c>
    </row>
    <row r="8280" spans="1:10" x14ac:dyDescent="0.75">
      <c r="A8280" t="s">
        <v>151</v>
      </c>
      <c r="B8280">
        <v>5700</v>
      </c>
      <c r="C8280" t="s">
        <v>157</v>
      </c>
      <c r="D8280">
        <v>6839</v>
      </c>
      <c r="E8280" t="s">
        <v>485</v>
      </c>
      <c r="F8280" s="4">
        <v>0</v>
      </c>
      <c r="G8280" s="4">
        <v>60498</v>
      </c>
      <c r="H8280" s="4">
        <v>11146</v>
      </c>
      <c r="I8280" s="4">
        <v>49352</v>
      </c>
      <c r="J8280" s="4">
        <v>60498</v>
      </c>
    </row>
    <row r="8281" spans="1:10" x14ac:dyDescent="0.75">
      <c r="A8281" t="s">
        <v>151</v>
      </c>
      <c r="B8281">
        <v>5700</v>
      </c>
      <c r="C8281" t="s">
        <v>157</v>
      </c>
      <c r="D8281">
        <v>4310</v>
      </c>
      <c r="E8281" t="s">
        <v>453</v>
      </c>
      <c r="F8281" s="4">
        <v>0</v>
      </c>
      <c r="G8281" s="4">
        <v>55568</v>
      </c>
      <c r="H8281" s="4">
        <v>49349</v>
      </c>
      <c r="I8281" s="4">
        <v>6219</v>
      </c>
      <c r="J8281" s="4">
        <v>55568</v>
      </c>
    </row>
    <row r="8282" spans="1:10" x14ac:dyDescent="0.75">
      <c r="A8282" t="s">
        <v>151</v>
      </c>
      <c r="B8282">
        <v>5700</v>
      </c>
      <c r="C8282" t="s">
        <v>157</v>
      </c>
      <c r="D8282">
        <v>5390</v>
      </c>
      <c r="E8282" t="s">
        <v>418</v>
      </c>
      <c r="F8282" s="4">
        <v>0</v>
      </c>
      <c r="G8282" s="4">
        <v>49453</v>
      </c>
      <c r="H8282" s="4">
        <v>48119</v>
      </c>
      <c r="I8282" s="4">
        <v>1334</v>
      </c>
      <c r="J8282" s="4">
        <v>49453</v>
      </c>
    </row>
    <row r="8283" spans="1:10" x14ac:dyDescent="0.75">
      <c r="A8283" t="s">
        <v>151</v>
      </c>
      <c r="B8283">
        <v>5700</v>
      </c>
      <c r="C8283" t="s">
        <v>157</v>
      </c>
      <c r="D8283">
        <v>4650</v>
      </c>
      <c r="E8283" t="s">
        <v>457</v>
      </c>
      <c r="F8283" s="4">
        <v>0</v>
      </c>
      <c r="G8283" s="4">
        <v>48321</v>
      </c>
      <c r="H8283" s="4">
        <v>33473</v>
      </c>
      <c r="I8283" s="4">
        <v>14848</v>
      </c>
      <c r="J8283" s="4">
        <v>48321</v>
      </c>
    </row>
    <row r="8284" spans="1:10" x14ac:dyDescent="0.75">
      <c r="A8284" t="s">
        <v>151</v>
      </c>
      <c r="B8284">
        <v>5700</v>
      </c>
      <c r="C8284" t="s">
        <v>157</v>
      </c>
      <c r="D8284">
        <v>4322</v>
      </c>
      <c r="E8284" t="s">
        <v>398</v>
      </c>
      <c r="F8284" s="4">
        <v>0</v>
      </c>
      <c r="G8284" s="4">
        <v>46993</v>
      </c>
      <c r="H8284" s="4">
        <v>46653</v>
      </c>
      <c r="I8284" s="4">
        <v>340</v>
      </c>
      <c r="J8284" s="4">
        <v>46993</v>
      </c>
    </row>
    <row r="8285" spans="1:10" x14ac:dyDescent="0.75">
      <c r="A8285" t="s">
        <v>151</v>
      </c>
      <c r="B8285">
        <v>5700</v>
      </c>
      <c r="C8285" t="s">
        <v>157</v>
      </c>
      <c r="D8285">
        <v>3219</v>
      </c>
      <c r="E8285" t="s">
        <v>378</v>
      </c>
      <c r="F8285" s="4">
        <v>0</v>
      </c>
      <c r="G8285" s="4">
        <v>46256</v>
      </c>
      <c r="H8285" s="4">
        <v>31251</v>
      </c>
      <c r="I8285" s="4">
        <v>15005</v>
      </c>
      <c r="J8285" s="4">
        <v>46256</v>
      </c>
    </row>
    <row r="8286" spans="1:10" x14ac:dyDescent="0.75">
      <c r="A8286" t="s">
        <v>151</v>
      </c>
      <c r="B8286">
        <v>5700</v>
      </c>
      <c r="C8286" t="s">
        <v>157</v>
      </c>
      <c r="D8286">
        <v>3190</v>
      </c>
      <c r="E8286" t="s">
        <v>408</v>
      </c>
      <c r="F8286" s="4">
        <v>0</v>
      </c>
      <c r="G8286" s="4">
        <v>44768</v>
      </c>
      <c r="H8286" s="4">
        <v>30454</v>
      </c>
      <c r="I8286" s="4">
        <v>14314</v>
      </c>
      <c r="J8286" s="4">
        <v>44768</v>
      </c>
    </row>
    <row r="8287" spans="1:10" x14ac:dyDescent="0.75">
      <c r="A8287" t="s">
        <v>151</v>
      </c>
      <c r="B8287">
        <v>5700</v>
      </c>
      <c r="C8287" t="s">
        <v>157</v>
      </c>
      <c r="D8287">
        <v>3291</v>
      </c>
      <c r="E8287" t="s">
        <v>444</v>
      </c>
      <c r="F8287" s="4">
        <v>0</v>
      </c>
      <c r="G8287" s="4">
        <v>41305</v>
      </c>
      <c r="H8287" s="4">
        <v>26341</v>
      </c>
      <c r="I8287" s="4">
        <v>14964</v>
      </c>
      <c r="J8287" s="4">
        <v>41305</v>
      </c>
    </row>
    <row r="8288" spans="1:10" x14ac:dyDescent="0.75">
      <c r="A8288" t="s">
        <v>151</v>
      </c>
      <c r="B8288">
        <v>5700</v>
      </c>
      <c r="C8288" t="s">
        <v>157</v>
      </c>
      <c r="D8288">
        <v>6894</v>
      </c>
      <c r="E8288" t="s">
        <v>497</v>
      </c>
      <c r="F8288" s="4">
        <v>0</v>
      </c>
      <c r="G8288" s="4">
        <v>41021</v>
      </c>
      <c r="H8288" s="4">
        <v>40854</v>
      </c>
      <c r="I8288" s="4">
        <v>167</v>
      </c>
      <c r="J8288" s="4">
        <v>41021</v>
      </c>
    </row>
    <row r="8289" spans="1:10" x14ac:dyDescent="0.75">
      <c r="A8289" t="s">
        <v>151</v>
      </c>
      <c r="B8289">
        <v>5700</v>
      </c>
      <c r="C8289" t="s">
        <v>157</v>
      </c>
      <c r="D8289">
        <v>6442</v>
      </c>
      <c r="E8289" t="s">
        <v>472</v>
      </c>
      <c r="F8289" s="4">
        <v>0</v>
      </c>
      <c r="G8289" s="4">
        <v>38121</v>
      </c>
      <c r="H8289" s="4">
        <v>34602</v>
      </c>
      <c r="I8289" s="4">
        <v>3519</v>
      </c>
      <c r="J8289" s="4">
        <v>38121</v>
      </c>
    </row>
    <row r="8290" spans="1:10" x14ac:dyDescent="0.75">
      <c r="A8290" t="s">
        <v>151</v>
      </c>
      <c r="B8290">
        <v>5700</v>
      </c>
      <c r="C8290" t="s">
        <v>157</v>
      </c>
      <c r="D8290">
        <v>5315</v>
      </c>
      <c r="E8290" t="s">
        <v>417</v>
      </c>
      <c r="F8290" s="4">
        <v>0</v>
      </c>
      <c r="G8290" s="4">
        <v>37365</v>
      </c>
      <c r="H8290" s="4">
        <v>35999</v>
      </c>
      <c r="I8290" s="4">
        <v>1366</v>
      </c>
      <c r="J8290" s="4">
        <v>37365</v>
      </c>
    </row>
    <row r="8291" spans="1:10" x14ac:dyDescent="0.75">
      <c r="A8291" t="s">
        <v>151</v>
      </c>
      <c r="B8291">
        <v>5700</v>
      </c>
      <c r="C8291" t="s">
        <v>157</v>
      </c>
      <c r="D8291">
        <v>3283</v>
      </c>
      <c r="E8291" t="s">
        <v>441</v>
      </c>
      <c r="F8291" s="4">
        <v>0</v>
      </c>
      <c r="G8291" s="4">
        <v>36831</v>
      </c>
      <c r="H8291" s="4">
        <v>23922</v>
      </c>
      <c r="I8291" s="4">
        <v>12909</v>
      </c>
      <c r="J8291" s="4">
        <v>36831</v>
      </c>
    </row>
    <row r="8292" spans="1:10" x14ac:dyDescent="0.75">
      <c r="A8292" t="s">
        <v>151</v>
      </c>
      <c r="B8292">
        <v>5700</v>
      </c>
      <c r="C8292" t="s">
        <v>157</v>
      </c>
      <c r="D8292">
        <v>3274</v>
      </c>
      <c r="E8292" t="s">
        <v>438</v>
      </c>
      <c r="F8292" s="4">
        <v>31521</v>
      </c>
      <c r="G8292" s="4">
        <v>4637</v>
      </c>
      <c r="H8292" s="4">
        <v>2078</v>
      </c>
      <c r="I8292" s="4">
        <v>2559</v>
      </c>
      <c r="J8292" s="4">
        <v>36158</v>
      </c>
    </row>
    <row r="8293" spans="1:10" x14ac:dyDescent="0.75">
      <c r="A8293" t="s">
        <v>151</v>
      </c>
      <c r="B8293">
        <v>5700</v>
      </c>
      <c r="C8293" t="s">
        <v>157</v>
      </c>
      <c r="D8293">
        <v>6835</v>
      </c>
      <c r="E8293" t="s">
        <v>483</v>
      </c>
      <c r="F8293" s="4">
        <v>0</v>
      </c>
      <c r="G8293" s="4">
        <v>31995</v>
      </c>
      <c r="H8293" s="4">
        <v>31593</v>
      </c>
      <c r="I8293" s="4">
        <v>402</v>
      </c>
      <c r="J8293" s="4">
        <v>31995</v>
      </c>
    </row>
    <row r="8294" spans="1:10" x14ac:dyDescent="0.75">
      <c r="A8294" t="s">
        <v>151</v>
      </c>
      <c r="B8294">
        <v>5700</v>
      </c>
      <c r="C8294" t="s">
        <v>157</v>
      </c>
      <c r="D8294">
        <v>5429</v>
      </c>
      <c r="E8294" t="s">
        <v>429</v>
      </c>
      <c r="F8294" s="4">
        <v>0</v>
      </c>
      <c r="G8294" s="4">
        <v>29901</v>
      </c>
      <c r="H8294" s="4">
        <v>22046</v>
      </c>
      <c r="I8294" s="4">
        <v>7855</v>
      </c>
      <c r="J8294" s="4">
        <v>29901</v>
      </c>
    </row>
    <row r="8295" spans="1:10" x14ac:dyDescent="0.75">
      <c r="A8295" t="s">
        <v>151</v>
      </c>
      <c r="B8295">
        <v>5700</v>
      </c>
      <c r="C8295" t="s">
        <v>157</v>
      </c>
      <c r="D8295">
        <v>6521</v>
      </c>
      <c r="E8295" t="s">
        <v>476</v>
      </c>
      <c r="F8295" s="4">
        <v>0</v>
      </c>
      <c r="G8295" s="4">
        <v>27367</v>
      </c>
      <c r="H8295" s="4">
        <v>7450</v>
      </c>
      <c r="I8295" s="4">
        <v>19917</v>
      </c>
      <c r="J8295" s="4">
        <v>27367</v>
      </c>
    </row>
    <row r="8296" spans="1:10" x14ac:dyDescent="0.75">
      <c r="A8296" t="s">
        <v>151</v>
      </c>
      <c r="B8296">
        <v>5700</v>
      </c>
      <c r="C8296" t="s">
        <v>157</v>
      </c>
      <c r="D8296">
        <v>4190</v>
      </c>
      <c r="E8296" t="s">
        <v>452</v>
      </c>
      <c r="F8296" s="4">
        <v>0</v>
      </c>
      <c r="G8296" s="4">
        <v>27331</v>
      </c>
      <c r="H8296" s="4">
        <v>25509</v>
      </c>
      <c r="I8296" s="4">
        <v>1822</v>
      </c>
      <c r="J8296" s="4">
        <v>27331</v>
      </c>
    </row>
    <row r="8297" spans="1:10" x14ac:dyDescent="0.75">
      <c r="A8297" t="s">
        <v>151</v>
      </c>
      <c r="B8297">
        <v>5700</v>
      </c>
      <c r="C8297" t="s">
        <v>157</v>
      </c>
      <c r="D8297">
        <v>6872</v>
      </c>
      <c r="E8297" t="s">
        <v>492</v>
      </c>
      <c r="F8297" s="4">
        <v>0</v>
      </c>
      <c r="G8297" s="4">
        <v>23873</v>
      </c>
      <c r="H8297" s="4">
        <v>23190</v>
      </c>
      <c r="I8297" s="4">
        <v>683</v>
      </c>
      <c r="J8297" s="4">
        <v>23873</v>
      </c>
    </row>
    <row r="8298" spans="1:10" x14ac:dyDescent="0.75">
      <c r="A8298" t="s">
        <v>151</v>
      </c>
      <c r="B8298">
        <v>5700</v>
      </c>
      <c r="C8298" t="s">
        <v>157</v>
      </c>
      <c r="D8298">
        <v>3298</v>
      </c>
      <c r="E8298" t="s">
        <v>447</v>
      </c>
      <c r="F8298" s="4">
        <v>0</v>
      </c>
      <c r="G8298" s="4">
        <v>22839</v>
      </c>
      <c r="H8298" s="4">
        <v>6567</v>
      </c>
      <c r="I8298" s="4">
        <v>16272</v>
      </c>
      <c r="J8298" s="4">
        <v>22839</v>
      </c>
    </row>
    <row r="8299" spans="1:10" x14ac:dyDescent="0.75">
      <c r="A8299" t="s">
        <v>151</v>
      </c>
      <c r="B8299">
        <v>5700</v>
      </c>
      <c r="C8299" t="s">
        <v>157</v>
      </c>
      <c r="D8299">
        <v>6899</v>
      </c>
      <c r="E8299" t="s">
        <v>498</v>
      </c>
      <c r="F8299" s="4">
        <v>0</v>
      </c>
      <c r="G8299" s="4">
        <v>18652</v>
      </c>
      <c r="H8299" s="4">
        <v>10219</v>
      </c>
      <c r="I8299" s="4">
        <v>8433</v>
      </c>
      <c r="J8299" s="4">
        <v>18652</v>
      </c>
    </row>
    <row r="8300" spans="1:10" x14ac:dyDescent="0.75">
      <c r="A8300" t="s">
        <v>151</v>
      </c>
      <c r="B8300">
        <v>5700</v>
      </c>
      <c r="C8300" t="s">
        <v>157</v>
      </c>
      <c r="D8300">
        <v>4690</v>
      </c>
      <c r="E8300" t="s">
        <v>428</v>
      </c>
      <c r="F8300" s="4">
        <v>0</v>
      </c>
      <c r="G8300" s="4">
        <v>17756</v>
      </c>
      <c r="H8300" s="4">
        <v>5224</v>
      </c>
      <c r="I8300" s="4">
        <v>12532</v>
      </c>
      <c r="J8300" s="4">
        <v>17756</v>
      </c>
    </row>
    <row r="8301" spans="1:10" x14ac:dyDescent="0.75">
      <c r="A8301" t="s">
        <v>151</v>
      </c>
      <c r="B8301">
        <v>5700</v>
      </c>
      <c r="C8301" t="s">
        <v>157</v>
      </c>
      <c r="D8301">
        <v>6856</v>
      </c>
      <c r="E8301" t="s">
        <v>486</v>
      </c>
      <c r="F8301" s="4">
        <v>0</v>
      </c>
      <c r="G8301" s="4">
        <v>17443</v>
      </c>
      <c r="H8301" s="4">
        <v>17411</v>
      </c>
      <c r="I8301" s="4">
        <v>32</v>
      </c>
      <c r="J8301" s="4">
        <v>17443</v>
      </c>
    </row>
    <row r="8302" spans="1:10" x14ac:dyDescent="0.75">
      <c r="A8302" t="s">
        <v>151</v>
      </c>
      <c r="B8302">
        <v>5700</v>
      </c>
      <c r="C8302" t="s">
        <v>157</v>
      </c>
      <c r="D8302">
        <v>3279</v>
      </c>
      <c r="E8302" t="s">
        <v>422</v>
      </c>
      <c r="F8302" s="4">
        <v>0</v>
      </c>
      <c r="G8302" s="4">
        <v>16500</v>
      </c>
      <c r="H8302" s="4">
        <v>6908</v>
      </c>
      <c r="I8302" s="4">
        <v>9592</v>
      </c>
      <c r="J8302" s="4">
        <v>16500</v>
      </c>
    </row>
    <row r="8303" spans="1:10" x14ac:dyDescent="0.75">
      <c r="A8303" t="s">
        <v>151</v>
      </c>
      <c r="B8303">
        <v>5700</v>
      </c>
      <c r="C8303" t="s">
        <v>157</v>
      </c>
      <c r="D8303">
        <v>5312</v>
      </c>
      <c r="E8303" t="s">
        <v>416</v>
      </c>
      <c r="F8303" s="4">
        <v>0</v>
      </c>
      <c r="G8303" s="4">
        <v>16432</v>
      </c>
      <c r="H8303" s="4">
        <v>15823</v>
      </c>
      <c r="I8303" s="4">
        <v>609</v>
      </c>
      <c r="J8303" s="4">
        <v>16432</v>
      </c>
    </row>
    <row r="8304" spans="1:10" x14ac:dyDescent="0.75">
      <c r="A8304" t="s">
        <v>151</v>
      </c>
      <c r="B8304">
        <v>5700</v>
      </c>
      <c r="C8304" t="s">
        <v>157</v>
      </c>
      <c r="D8304">
        <v>7300</v>
      </c>
      <c r="E8304" t="s">
        <v>501</v>
      </c>
      <c r="F8304" s="4">
        <v>0</v>
      </c>
      <c r="G8304" s="4">
        <v>13271</v>
      </c>
      <c r="H8304" s="4">
        <v>12808</v>
      </c>
      <c r="I8304" s="4">
        <v>463</v>
      </c>
      <c r="J8304" s="4">
        <v>13271</v>
      </c>
    </row>
    <row r="8305" spans="1:10" x14ac:dyDescent="0.75">
      <c r="A8305" t="s">
        <v>151</v>
      </c>
      <c r="B8305">
        <v>5700</v>
      </c>
      <c r="C8305" t="s">
        <v>157</v>
      </c>
      <c r="D8305">
        <v>2410</v>
      </c>
      <c r="E8305" t="s">
        <v>430</v>
      </c>
      <c r="F8305" s="4">
        <v>0</v>
      </c>
      <c r="G8305" s="4">
        <v>12120</v>
      </c>
      <c r="H8305" s="4">
        <v>4858</v>
      </c>
      <c r="I8305" s="4">
        <v>7262</v>
      </c>
      <c r="J8305" s="4">
        <v>12120</v>
      </c>
    </row>
    <row r="8306" spans="1:10" x14ac:dyDescent="0.75">
      <c r="A8306" t="s">
        <v>151</v>
      </c>
      <c r="B8306">
        <v>5700</v>
      </c>
      <c r="C8306" t="s">
        <v>157</v>
      </c>
      <c r="D8306">
        <v>4335</v>
      </c>
      <c r="E8306" t="s">
        <v>372</v>
      </c>
      <c r="F8306" s="4">
        <v>11521</v>
      </c>
      <c r="G8306" s="4">
        <v>0</v>
      </c>
      <c r="H8306" s="4">
        <v>0</v>
      </c>
      <c r="I8306" s="4">
        <v>0</v>
      </c>
      <c r="J8306" s="4">
        <v>11521</v>
      </c>
    </row>
    <row r="8307" spans="1:10" x14ac:dyDescent="0.75">
      <c r="A8307" t="s">
        <v>151</v>
      </c>
      <c r="B8307">
        <v>5700</v>
      </c>
      <c r="C8307" t="s">
        <v>157</v>
      </c>
      <c r="D8307">
        <v>6838</v>
      </c>
      <c r="E8307" t="s">
        <v>484</v>
      </c>
      <c r="F8307" s="4">
        <v>0</v>
      </c>
      <c r="G8307" s="4">
        <v>8959</v>
      </c>
      <c r="H8307" s="4">
        <v>3453</v>
      </c>
      <c r="I8307" s="4">
        <v>5506</v>
      </c>
      <c r="J8307" s="4">
        <v>8959</v>
      </c>
    </row>
    <row r="8308" spans="1:10" x14ac:dyDescent="0.75">
      <c r="A8308" t="s">
        <v>151</v>
      </c>
      <c r="B8308">
        <v>5700</v>
      </c>
      <c r="C8308" t="s">
        <v>157</v>
      </c>
      <c r="D8308">
        <v>6817</v>
      </c>
      <c r="E8308" t="s">
        <v>481</v>
      </c>
      <c r="F8308" s="4">
        <v>0</v>
      </c>
      <c r="G8308" s="4">
        <v>8927</v>
      </c>
      <c r="H8308" s="4">
        <v>3218</v>
      </c>
      <c r="I8308" s="4">
        <v>5709</v>
      </c>
      <c r="J8308" s="4">
        <v>8927</v>
      </c>
    </row>
    <row r="8309" spans="1:10" x14ac:dyDescent="0.75">
      <c r="A8309" t="s">
        <v>151</v>
      </c>
      <c r="B8309">
        <v>5700</v>
      </c>
      <c r="C8309" t="s">
        <v>157</v>
      </c>
      <c r="D8309">
        <v>6861</v>
      </c>
      <c r="E8309" t="s">
        <v>489</v>
      </c>
      <c r="F8309" s="4">
        <v>0</v>
      </c>
      <c r="G8309" s="4">
        <v>8723</v>
      </c>
      <c r="H8309" s="4">
        <v>8181</v>
      </c>
      <c r="I8309" s="4">
        <v>542</v>
      </c>
      <c r="J8309" s="4">
        <v>8723</v>
      </c>
    </row>
    <row r="8310" spans="1:10" x14ac:dyDescent="0.75">
      <c r="A8310" t="s">
        <v>151</v>
      </c>
      <c r="B8310">
        <v>5700</v>
      </c>
      <c r="C8310" t="s">
        <v>157</v>
      </c>
      <c r="D8310">
        <v>5320</v>
      </c>
      <c r="E8310" t="s">
        <v>384</v>
      </c>
      <c r="F8310" s="4">
        <v>0</v>
      </c>
      <c r="G8310" s="4">
        <v>8682</v>
      </c>
      <c r="H8310" s="4">
        <v>2392</v>
      </c>
      <c r="I8310" s="4">
        <v>6290</v>
      </c>
      <c r="J8310" s="4">
        <v>8682</v>
      </c>
    </row>
    <row r="8311" spans="1:10" x14ac:dyDescent="0.75">
      <c r="A8311" t="s">
        <v>151</v>
      </c>
      <c r="B8311">
        <v>5700</v>
      </c>
      <c r="C8311" t="s">
        <v>157</v>
      </c>
      <c r="D8311">
        <v>7220</v>
      </c>
      <c r="E8311" t="s">
        <v>500</v>
      </c>
      <c r="F8311" s="4">
        <v>0</v>
      </c>
      <c r="G8311" s="4">
        <v>7128</v>
      </c>
      <c r="H8311" s="4">
        <v>3376</v>
      </c>
      <c r="I8311" s="4">
        <v>3752</v>
      </c>
      <c r="J8311" s="4">
        <v>7128</v>
      </c>
    </row>
    <row r="8312" spans="1:10" x14ac:dyDescent="0.75">
      <c r="A8312" t="s">
        <v>151</v>
      </c>
      <c r="B8312">
        <v>5700</v>
      </c>
      <c r="C8312" t="s">
        <v>157</v>
      </c>
      <c r="D8312">
        <v>4323</v>
      </c>
      <c r="E8312" t="s">
        <v>373</v>
      </c>
      <c r="F8312" s="4">
        <v>2705</v>
      </c>
      <c r="G8312" s="4">
        <v>2855</v>
      </c>
      <c r="H8312" s="4">
        <v>577</v>
      </c>
      <c r="I8312" s="4">
        <v>2278</v>
      </c>
      <c r="J8312" s="4">
        <v>5560</v>
      </c>
    </row>
    <row r="8313" spans="1:10" x14ac:dyDescent="0.75">
      <c r="A8313" t="s">
        <v>151</v>
      </c>
      <c r="B8313">
        <v>5700</v>
      </c>
      <c r="C8313" t="s">
        <v>157</v>
      </c>
      <c r="D8313">
        <v>6781</v>
      </c>
      <c r="E8313" t="s">
        <v>479</v>
      </c>
      <c r="F8313" s="4">
        <v>0</v>
      </c>
      <c r="G8313" s="4">
        <v>4503</v>
      </c>
      <c r="H8313" s="4">
        <v>2154</v>
      </c>
      <c r="I8313" s="4">
        <v>2349</v>
      </c>
      <c r="J8313" s="4">
        <v>4503</v>
      </c>
    </row>
    <row r="8314" spans="1:10" x14ac:dyDescent="0.75">
      <c r="A8314" t="s">
        <v>151</v>
      </c>
      <c r="B8314">
        <v>5700</v>
      </c>
      <c r="C8314" t="s">
        <v>157</v>
      </c>
      <c r="D8314">
        <v>7230</v>
      </c>
      <c r="E8314" t="s">
        <v>387</v>
      </c>
      <c r="F8314" s="4">
        <v>0</v>
      </c>
      <c r="G8314" s="4">
        <v>4314</v>
      </c>
      <c r="H8314" s="4">
        <v>3025</v>
      </c>
      <c r="I8314" s="4">
        <v>1289</v>
      </c>
      <c r="J8314" s="4">
        <v>4314</v>
      </c>
    </row>
    <row r="8315" spans="1:10" x14ac:dyDescent="0.75">
      <c r="A8315" t="s">
        <v>151</v>
      </c>
      <c r="B8315">
        <v>5700</v>
      </c>
      <c r="C8315" t="s">
        <v>157</v>
      </c>
      <c r="D8315">
        <v>6746</v>
      </c>
      <c r="E8315" t="s">
        <v>477</v>
      </c>
      <c r="F8315" s="4">
        <v>0</v>
      </c>
      <c r="G8315" s="4">
        <v>4184</v>
      </c>
      <c r="H8315" s="4">
        <v>3900</v>
      </c>
      <c r="I8315" s="4">
        <v>284</v>
      </c>
      <c r="J8315" s="4">
        <v>4184</v>
      </c>
    </row>
    <row r="8316" spans="1:10" x14ac:dyDescent="0.75">
      <c r="A8316" t="s">
        <v>151</v>
      </c>
      <c r="B8316">
        <v>5700</v>
      </c>
      <c r="C8316" t="s">
        <v>157</v>
      </c>
      <c r="D8316">
        <v>3211</v>
      </c>
      <c r="E8316" t="s">
        <v>433</v>
      </c>
      <c r="F8316" s="4">
        <v>0</v>
      </c>
      <c r="G8316" s="4">
        <v>3530</v>
      </c>
      <c r="H8316" s="4">
        <v>1439</v>
      </c>
      <c r="I8316" s="4">
        <v>2091</v>
      </c>
      <c r="J8316" s="4">
        <v>3530</v>
      </c>
    </row>
    <row r="8317" spans="1:10" x14ac:dyDescent="0.75">
      <c r="A8317" t="s">
        <v>151</v>
      </c>
      <c r="B8317">
        <v>5700</v>
      </c>
      <c r="C8317" t="s">
        <v>157</v>
      </c>
      <c r="D8317">
        <v>5110</v>
      </c>
      <c r="E8317" t="s">
        <v>460</v>
      </c>
      <c r="F8317" s="4">
        <v>0</v>
      </c>
      <c r="G8317" s="4">
        <v>3054</v>
      </c>
      <c r="H8317" s="4">
        <v>2861</v>
      </c>
      <c r="I8317" s="4">
        <v>193</v>
      </c>
      <c r="J8317" s="4">
        <v>3054</v>
      </c>
    </row>
    <row r="8318" spans="1:10" x14ac:dyDescent="0.75">
      <c r="A8318" t="s">
        <v>151</v>
      </c>
      <c r="B8318">
        <v>5700</v>
      </c>
      <c r="C8318" t="s">
        <v>157</v>
      </c>
      <c r="D8318">
        <v>2350</v>
      </c>
      <c r="E8318" t="s">
        <v>404</v>
      </c>
      <c r="F8318" s="4">
        <v>2291</v>
      </c>
      <c r="G8318" s="4">
        <v>620</v>
      </c>
      <c r="H8318" s="4">
        <v>97</v>
      </c>
      <c r="I8318" s="4">
        <v>523</v>
      </c>
      <c r="J8318" s="4">
        <v>2911</v>
      </c>
    </row>
    <row r="8319" spans="1:10" x14ac:dyDescent="0.75">
      <c r="A8319" t="s">
        <v>151</v>
      </c>
      <c r="B8319">
        <v>5700</v>
      </c>
      <c r="C8319" t="s">
        <v>157</v>
      </c>
      <c r="D8319">
        <v>3293</v>
      </c>
      <c r="E8319" t="s">
        <v>445</v>
      </c>
      <c r="F8319" s="4">
        <v>0</v>
      </c>
      <c r="G8319" s="4">
        <v>2479</v>
      </c>
      <c r="H8319" s="4">
        <v>2165</v>
      </c>
      <c r="I8319" s="4">
        <v>314</v>
      </c>
      <c r="J8319" s="4">
        <v>2479</v>
      </c>
    </row>
    <row r="8320" spans="1:10" x14ac:dyDescent="0.75">
      <c r="A8320" t="s">
        <v>151</v>
      </c>
      <c r="B8320">
        <v>5700</v>
      </c>
      <c r="C8320" t="s">
        <v>157</v>
      </c>
      <c r="D8320">
        <v>6447</v>
      </c>
      <c r="E8320" t="s">
        <v>475</v>
      </c>
      <c r="F8320" s="4">
        <v>0</v>
      </c>
      <c r="G8320" s="4">
        <v>1866</v>
      </c>
      <c r="H8320" s="4">
        <v>20</v>
      </c>
      <c r="I8320" s="4">
        <v>1846</v>
      </c>
      <c r="J8320" s="4">
        <v>1866</v>
      </c>
    </row>
    <row r="8321" spans="1:10" x14ac:dyDescent="0.75">
      <c r="A8321" t="s">
        <v>151</v>
      </c>
      <c r="B8321">
        <v>5700</v>
      </c>
      <c r="C8321" t="s">
        <v>157</v>
      </c>
      <c r="D8321">
        <v>4630</v>
      </c>
      <c r="E8321" t="s">
        <v>456</v>
      </c>
      <c r="F8321" s="4">
        <v>0</v>
      </c>
      <c r="G8321" s="4">
        <v>1410</v>
      </c>
      <c r="H8321" s="4">
        <v>1400</v>
      </c>
      <c r="I8321" s="4">
        <v>10</v>
      </c>
      <c r="J8321" s="4">
        <v>1410</v>
      </c>
    </row>
    <row r="8322" spans="1:10" x14ac:dyDescent="0.75">
      <c r="A8322" t="s">
        <v>151</v>
      </c>
      <c r="B8322">
        <v>5700</v>
      </c>
      <c r="C8322" t="s">
        <v>157</v>
      </c>
      <c r="D8322">
        <v>3212</v>
      </c>
      <c r="E8322" t="s">
        <v>409</v>
      </c>
      <c r="F8322" s="4">
        <v>0</v>
      </c>
      <c r="G8322" s="4">
        <v>1374</v>
      </c>
      <c r="H8322" s="4">
        <v>24</v>
      </c>
      <c r="I8322" s="4">
        <v>1350</v>
      </c>
      <c r="J8322" s="4">
        <v>1374</v>
      </c>
    </row>
    <row r="8323" spans="1:10" x14ac:dyDescent="0.75">
      <c r="A8323" t="s">
        <v>151</v>
      </c>
      <c r="B8323">
        <v>5700</v>
      </c>
      <c r="C8323" t="s">
        <v>157</v>
      </c>
      <c r="D8323">
        <v>4670</v>
      </c>
      <c r="E8323" t="s">
        <v>458</v>
      </c>
      <c r="F8323" s="4">
        <v>0</v>
      </c>
      <c r="G8323" s="4">
        <v>924</v>
      </c>
      <c r="H8323" s="4">
        <v>854</v>
      </c>
      <c r="I8323" s="4">
        <v>70</v>
      </c>
      <c r="J8323" s="4">
        <v>924</v>
      </c>
    </row>
    <row r="8324" spans="1:10" x14ac:dyDescent="0.75">
      <c r="A8324" t="s">
        <v>151</v>
      </c>
      <c r="B8324">
        <v>5700</v>
      </c>
      <c r="C8324" t="s">
        <v>157</v>
      </c>
      <c r="D8324">
        <v>6865</v>
      </c>
      <c r="E8324" t="s">
        <v>490</v>
      </c>
      <c r="F8324" s="4">
        <v>0</v>
      </c>
      <c r="G8324" s="4">
        <v>823</v>
      </c>
      <c r="H8324" s="4">
        <v>241</v>
      </c>
      <c r="I8324" s="4">
        <v>582</v>
      </c>
      <c r="J8324" s="4">
        <v>823</v>
      </c>
    </row>
    <row r="8325" spans="1:10" x14ac:dyDescent="0.75">
      <c r="A8325" t="s">
        <v>151</v>
      </c>
      <c r="B8325">
        <v>5700</v>
      </c>
      <c r="C8325" t="s">
        <v>157</v>
      </c>
      <c r="D8325">
        <v>3272</v>
      </c>
      <c r="E8325" t="s">
        <v>504</v>
      </c>
      <c r="F8325" s="4">
        <v>0</v>
      </c>
      <c r="G8325" s="4">
        <v>694</v>
      </c>
      <c r="H8325" s="4">
        <v>138</v>
      </c>
      <c r="I8325" s="4">
        <v>556</v>
      </c>
      <c r="J8325" s="4">
        <v>694</v>
      </c>
    </row>
    <row r="8326" spans="1:10" x14ac:dyDescent="0.75">
      <c r="A8326" t="s">
        <v>151</v>
      </c>
      <c r="B8326">
        <v>5700</v>
      </c>
      <c r="C8326" t="s">
        <v>157</v>
      </c>
      <c r="D8326">
        <v>5210</v>
      </c>
      <c r="E8326" t="s">
        <v>463</v>
      </c>
      <c r="F8326" s="4">
        <v>0</v>
      </c>
      <c r="G8326" s="4">
        <v>556</v>
      </c>
      <c r="H8326" s="4">
        <v>175</v>
      </c>
      <c r="I8326" s="4">
        <v>381</v>
      </c>
      <c r="J8326" s="4">
        <v>556</v>
      </c>
    </row>
    <row r="8327" spans="1:10" x14ac:dyDescent="0.75">
      <c r="A8327" t="s">
        <v>151</v>
      </c>
      <c r="B8327">
        <v>5700</v>
      </c>
      <c r="C8327" t="s">
        <v>157</v>
      </c>
      <c r="D8327">
        <v>4515</v>
      </c>
      <c r="E8327" t="s">
        <v>455</v>
      </c>
      <c r="F8327" s="4">
        <v>0</v>
      </c>
      <c r="G8327" s="4">
        <v>459</v>
      </c>
      <c r="H8327" s="4">
        <v>427</v>
      </c>
      <c r="I8327" s="4">
        <v>32</v>
      </c>
      <c r="J8327" s="4">
        <v>459</v>
      </c>
    </row>
    <row r="8328" spans="1:10" x14ac:dyDescent="0.75">
      <c r="A8328" t="s">
        <v>151</v>
      </c>
      <c r="B8328">
        <v>5700</v>
      </c>
      <c r="C8328" t="s">
        <v>157</v>
      </c>
      <c r="D8328">
        <v>3273</v>
      </c>
      <c r="E8328" t="s">
        <v>411</v>
      </c>
      <c r="F8328" s="4">
        <v>0</v>
      </c>
      <c r="G8328" s="4">
        <v>431</v>
      </c>
      <c r="H8328" s="4">
        <v>15</v>
      </c>
      <c r="I8328" s="4">
        <v>416</v>
      </c>
      <c r="J8328" s="4">
        <v>431</v>
      </c>
    </row>
    <row r="8329" spans="1:10" x14ac:dyDescent="0.75">
      <c r="A8329" t="s">
        <v>151</v>
      </c>
      <c r="B8329">
        <v>5700</v>
      </c>
      <c r="C8329" t="s">
        <v>157</v>
      </c>
      <c r="D8329">
        <v>3281</v>
      </c>
      <c r="E8329" t="s">
        <v>439</v>
      </c>
      <c r="F8329" s="4">
        <v>0</v>
      </c>
      <c r="G8329" s="4">
        <v>375</v>
      </c>
      <c r="H8329" s="4">
        <v>184</v>
      </c>
      <c r="I8329" s="4">
        <v>191</v>
      </c>
      <c r="J8329" s="4">
        <v>375</v>
      </c>
    </row>
    <row r="8330" spans="1:10" x14ac:dyDescent="0.75">
      <c r="A8330" t="s">
        <v>151</v>
      </c>
      <c r="B8330">
        <v>5700</v>
      </c>
      <c r="C8330" t="s">
        <v>157</v>
      </c>
      <c r="D8330">
        <v>6445</v>
      </c>
      <c r="E8330" t="s">
        <v>474</v>
      </c>
      <c r="F8330" s="4">
        <v>0</v>
      </c>
      <c r="G8330" s="4">
        <v>299</v>
      </c>
      <c r="H8330" s="4">
        <v>269</v>
      </c>
      <c r="I8330" s="4">
        <v>30</v>
      </c>
      <c r="J8330" s="4">
        <v>299</v>
      </c>
    </row>
    <row r="8331" spans="1:10" x14ac:dyDescent="0.75">
      <c r="A8331" t="s">
        <v>151</v>
      </c>
      <c r="B8331">
        <v>5700</v>
      </c>
      <c r="C8331" t="s">
        <v>157</v>
      </c>
      <c r="D8331">
        <v>1200</v>
      </c>
      <c r="E8331" t="s">
        <v>402</v>
      </c>
      <c r="F8331" s="4">
        <v>0</v>
      </c>
      <c r="G8331" s="4">
        <v>283</v>
      </c>
      <c r="H8331" s="4">
        <v>168</v>
      </c>
      <c r="I8331" s="4">
        <v>115</v>
      </c>
      <c r="J8331" s="4">
        <v>283</v>
      </c>
    </row>
    <row r="8332" spans="1:10" x14ac:dyDescent="0.75">
      <c r="A8332" t="s">
        <v>151</v>
      </c>
      <c r="B8332">
        <v>5700</v>
      </c>
      <c r="C8332" t="s">
        <v>157</v>
      </c>
      <c r="D8332">
        <v>2429</v>
      </c>
      <c r="E8332" t="s">
        <v>375</v>
      </c>
      <c r="F8332" s="4">
        <v>0</v>
      </c>
      <c r="G8332" s="4">
        <v>237</v>
      </c>
      <c r="H8332" s="4">
        <v>10</v>
      </c>
      <c r="I8332" s="4">
        <v>227</v>
      </c>
      <c r="J8332" s="4">
        <v>237</v>
      </c>
    </row>
    <row r="8333" spans="1:10" x14ac:dyDescent="0.75">
      <c r="A8333" t="s">
        <v>151</v>
      </c>
      <c r="B8333">
        <v>5700</v>
      </c>
      <c r="C8333" t="s">
        <v>157</v>
      </c>
      <c r="D8333">
        <v>6534</v>
      </c>
      <c r="E8333" t="s">
        <v>508</v>
      </c>
      <c r="F8333" s="4">
        <v>0</v>
      </c>
      <c r="G8333" s="4">
        <v>185</v>
      </c>
      <c r="H8333" s="4">
        <v>41</v>
      </c>
      <c r="I8333" s="4">
        <v>144</v>
      </c>
      <c r="J8333" s="4">
        <v>185</v>
      </c>
    </row>
    <row r="8334" spans="1:10" x14ac:dyDescent="0.75">
      <c r="A8334" t="s">
        <v>151</v>
      </c>
      <c r="B8334">
        <v>5700</v>
      </c>
      <c r="C8334" t="s">
        <v>157</v>
      </c>
      <c r="D8334">
        <v>6443</v>
      </c>
      <c r="E8334" t="s">
        <v>473</v>
      </c>
      <c r="F8334" s="4">
        <v>0</v>
      </c>
      <c r="G8334" s="4">
        <v>180</v>
      </c>
      <c r="H8334" s="4">
        <v>180</v>
      </c>
      <c r="I8334" s="4">
        <v>0</v>
      </c>
      <c r="J8334" s="4">
        <v>180</v>
      </c>
    </row>
    <row r="8335" spans="1:10" x14ac:dyDescent="0.75">
      <c r="A8335" t="s">
        <v>151</v>
      </c>
      <c r="B8335">
        <v>5700</v>
      </c>
      <c r="C8335" t="s">
        <v>157</v>
      </c>
      <c r="D8335">
        <v>4410</v>
      </c>
      <c r="E8335" t="s">
        <v>399</v>
      </c>
      <c r="F8335" s="4">
        <v>0</v>
      </c>
      <c r="G8335" s="4">
        <v>78</v>
      </c>
      <c r="H8335" s="4">
        <v>60</v>
      </c>
      <c r="I8335" s="4">
        <v>18</v>
      </c>
      <c r="J8335" s="4">
        <v>78</v>
      </c>
    </row>
    <row r="8336" spans="1:10" x14ac:dyDescent="0.75">
      <c r="A8336" t="s">
        <v>151</v>
      </c>
      <c r="B8336">
        <v>5700</v>
      </c>
      <c r="C8336" t="s">
        <v>157</v>
      </c>
      <c r="D8336">
        <v>3120</v>
      </c>
      <c r="E8336" t="s">
        <v>406</v>
      </c>
      <c r="F8336" s="4">
        <v>0</v>
      </c>
      <c r="G8336" s="4">
        <v>41</v>
      </c>
      <c r="H8336" s="4">
        <v>0</v>
      </c>
      <c r="I8336" s="4">
        <v>41</v>
      </c>
      <c r="J8336" s="4">
        <v>41</v>
      </c>
    </row>
    <row r="8337" spans="1:10" x14ac:dyDescent="0.75">
      <c r="A8337" t="s">
        <v>151</v>
      </c>
      <c r="B8337">
        <v>5700</v>
      </c>
      <c r="C8337" t="s">
        <v>157</v>
      </c>
      <c r="D8337">
        <v>3271</v>
      </c>
      <c r="E8337" t="s">
        <v>437</v>
      </c>
      <c r="F8337" s="4">
        <v>0</v>
      </c>
      <c r="G8337" s="4">
        <v>36</v>
      </c>
      <c r="H8337" s="4">
        <v>36</v>
      </c>
      <c r="I8337" s="4">
        <v>0</v>
      </c>
      <c r="J8337" s="4">
        <v>36</v>
      </c>
    </row>
    <row r="8338" spans="1:10" x14ac:dyDescent="0.75">
      <c r="A8338" t="s">
        <v>151</v>
      </c>
      <c r="B8338">
        <v>5700</v>
      </c>
      <c r="C8338" t="s">
        <v>157</v>
      </c>
      <c r="D8338">
        <v>4741</v>
      </c>
      <c r="E8338" t="s">
        <v>425</v>
      </c>
      <c r="F8338" s="4">
        <v>0</v>
      </c>
      <c r="G8338" s="4">
        <v>20</v>
      </c>
      <c r="H8338" s="4">
        <v>20</v>
      </c>
      <c r="I8338" s="4">
        <v>0</v>
      </c>
      <c r="J8338" s="4">
        <v>20</v>
      </c>
    </row>
    <row r="8339" spans="1:10" x14ac:dyDescent="0.75">
      <c r="A8339" t="s">
        <v>151</v>
      </c>
      <c r="B8339">
        <v>5700</v>
      </c>
      <c r="C8339" t="s">
        <v>157</v>
      </c>
      <c r="D8339">
        <v>2990</v>
      </c>
      <c r="E8339" t="s">
        <v>432</v>
      </c>
      <c r="F8339" s="4">
        <v>0</v>
      </c>
      <c r="G8339" s="4">
        <v>7</v>
      </c>
      <c r="H8339" s="4">
        <v>1</v>
      </c>
      <c r="I8339" s="4">
        <v>6</v>
      </c>
      <c r="J8339" s="4">
        <v>7</v>
      </c>
    </row>
    <row r="8340" spans="1:10" x14ac:dyDescent="0.75">
      <c r="A8340" t="s">
        <v>151</v>
      </c>
      <c r="B8340">
        <v>4986</v>
      </c>
      <c r="C8340" t="s">
        <v>97</v>
      </c>
      <c r="D8340">
        <v>7400</v>
      </c>
      <c r="E8340" t="s">
        <v>502</v>
      </c>
      <c r="F8340" s="4">
        <v>636</v>
      </c>
      <c r="G8340" s="4">
        <v>0</v>
      </c>
      <c r="H8340" s="4">
        <v>0</v>
      </c>
      <c r="I8340" s="4">
        <v>0</v>
      </c>
      <c r="J8340" s="4">
        <v>636</v>
      </c>
    </row>
    <row r="8341" spans="1:10" x14ac:dyDescent="0.75">
      <c r="A8341" t="s">
        <v>151</v>
      </c>
      <c r="B8341">
        <v>4986</v>
      </c>
      <c r="C8341" t="s">
        <v>97</v>
      </c>
      <c r="D8341">
        <v>7210</v>
      </c>
      <c r="E8341" t="s">
        <v>426</v>
      </c>
      <c r="F8341" s="4">
        <v>493</v>
      </c>
      <c r="G8341" s="4">
        <v>0</v>
      </c>
      <c r="H8341" s="4">
        <v>0</v>
      </c>
      <c r="I8341" s="4">
        <v>0</v>
      </c>
      <c r="J8341" s="4">
        <v>493</v>
      </c>
    </row>
    <row r="8342" spans="1:10" x14ac:dyDescent="0.75">
      <c r="A8342" t="s">
        <v>151</v>
      </c>
      <c r="B8342">
        <v>4986</v>
      </c>
      <c r="C8342" t="s">
        <v>97</v>
      </c>
      <c r="D8342">
        <v>2990</v>
      </c>
      <c r="E8342" t="s">
        <v>432</v>
      </c>
      <c r="F8342" s="4">
        <v>398</v>
      </c>
      <c r="G8342" s="4">
        <v>0</v>
      </c>
      <c r="H8342" s="4">
        <v>0</v>
      </c>
      <c r="I8342" s="4">
        <v>0</v>
      </c>
      <c r="J8342" s="4">
        <v>398</v>
      </c>
    </row>
    <row r="8343" spans="1:10" x14ac:dyDescent="0.75">
      <c r="A8343" t="s">
        <v>151</v>
      </c>
      <c r="B8343">
        <v>4986</v>
      </c>
      <c r="C8343" t="s">
        <v>97</v>
      </c>
      <c r="D8343">
        <v>2330</v>
      </c>
      <c r="E8343" t="s">
        <v>368</v>
      </c>
      <c r="F8343" s="4">
        <v>278</v>
      </c>
      <c r="G8343" s="4">
        <v>0</v>
      </c>
      <c r="H8343" s="4">
        <v>0</v>
      </c>
      <c r="I8343" s="4">
        <v>0</v>
      </c>
      <c r="J8343" s="4">
        <v>278</v>
      </c>
    </row>
    <row r="8344" spans="1:10" x14ac:dyDescent="0.75">
      <c r="A8344" t="s">
        <v>151</v>
      </c>
      <c r="B8344">
        <v>4986</v>
      </c>
      <c r="C8344" t="s">
        <v>97</v>
      </c>
      <c r="D8344">
        <v>7900</v>
      </c>
      <c r="E8344" t="s">
        <v>388</v>
      </c>
      <c r="F8344" s="4">
        <v>173</v>
      </c>
      <c r="G8344" s="4">
        <v>0</v>
      </c>
      <c r="H8344" s="4">
        <v>0</v>
      </c>
      <c r="I8344" s="4">
        <v>0</v>
      </c>
      <c r="J8344" s="4">
        <v>173</v>
      </c>
    </row>
    <row r="8345" spans="1:10" x14ac:dyDescent="0.75">
      <c r="A8345" t="s">
        <v>151</v>
      </c>
      <c r="B8345">
        <v>4986</v>
      </c>
      <c r="C8345" t="s">
        <v>97</v>
      </c>
      <c r="D8345">
        <v>7110</v>
      </c>
      <c r="E8345" t="s">
        <v>371</v>
      </c>
      <c r="F8345" s="4">
        <v>154</v>
      </c>
      <c r="G8345" s="4">
        <v>0</v>
      </c>
      <c r="H8345" s="4">
        <v>0</v>
      </c>
      <c r="I8345" s="4">
        <v>0</v>
      </c>
      <c r="J8345" s="4">
        <v>154</v>
      </c>
    </row>
    <row r="8346" spans="1:10" x14ac:dyDescent="0.75">
      <c r="A8346" t="s">
        <v>151</v>
      </c>
      <c r="B8346">
        <v>4986</v>
      </c>
      <c r="C8346" t="s">
        <v>97</v>
      </c>
      <c r="D8346">
        <v>3220</v>
      </c>
      <c r="E8346" t="s">
        <v>370</v>
      </c>
      <c r="F8346" s="4">
        <v>130</v>
      </c>
      <c r="G8346" s="4">
        <v>0</v>
      </c>
      <c r="H8346" s="4">
        <v>0</v>
      </c>
      <c r="I8346" s="4">
        <v>0</v>
      </c>
      <c r="J8346" s="4">
        <v>130</v>
      </c>
    </row>
    <row r="8347" spans="1:10" x14ac:dyDescent="0.75">
      <c r="A8347" t="s">
        <v>151</v>
      </c>
      <c r="B8347">
        <v>4986</v>
      </c>
      <c r="C8347" t="s">
        <v>97</v>
      </c>
      <c r="D8347">
        <v>6887</v>
      </c>
      <c r="E8347" t="s">
        <v>505</v>
      </c>
      <c r="F8347" s="4">
        <v>117</v>
      </c>
      <c r="G8347" s="4">
        <v>0</v>
      </c>
      <c r="H8347" s="4">
        <v>0</v>
      </c>
      <c r="I8347" s="4">
        <v>0</v>
      </c>
      <c r="J8347" s="4">
        <v>117</v>
      </c>
    </row>
    <row r="8348" spans="1:10" x14ac:dyDescent="0.75">
      <c r="A8348" t="s">
        <v>151</v>
      </c>
      <c r="B8348">
        <v>4986</v>
      </c>
      <c r="C8348" t="s">
        <v>97</v>
      </c>
      <c r="D8348">
        <v>5540</v>
      </c>
      <c r="E8348" t="s">
        <v>469</v>
      </c>
      <c r="F8348" s="4">
        <v>90</v>
      </c>
      <c r="G8348" s="4">
        <v>0</v>
      </c>
      <c r="H8348" s="4">
        <v>0</v>
      </c>
      <c r="I8348" s="4">
        <v>0</v>
      </c>
      <c r="J8348" s="4">
        <v>90</v>
      </c>
    </row>
    <row r="8349" spans="1:10" x14ac:dyDescent="0.75">
      <c r="A8349" t="s">
        <v>151</v>
      </c>
      <c r="B8349">
        <v>4986</v>
      </c>
      <c r="C8349" t="s">
        <v>97</v>
      </c>
      <c r="D8349">
        <v>3299</v>
      </c>
      <c r="E8349" t="s">
        <v>448</v>
      </c>
      <c r="F8349" s="4">
        <v>53</v>
      </c>
      <c r="G8349" s="4">
        <v>0</v>
      </c>
      <c r="H8349" s="4">
        <v>0</v>
      </c>
      <c r="I8349" s="4">
        <v>0</v>
      </c>
      <c r="J8349" s="4">
        <v>53</v>
      </c>
    </row>
    <row r="8350" spans="1:10" x14ac:dyDescent="0.75">
      <c r="A8350" t="s">
        <v>151</v>
      </c>
      <c r="B8350">
        <v>4986</v>
      </c>
      <c r="C8350" t="s">
        <v>97</v>
      </c>
      <c r="D8350">
        <v>4331</v>
      </c>
      <c r="E8350" t="s">
        <v>390</v>
      </c>
      <c r="F8350" s="4">
        <v>41</v>
      </c>
      <c r="G8350" s="4">
        <v>0</v>
      </c>
      <c r="H8350" s="4">
        <v>0</v>
      </c>
      <c r="I8350" s="4">
        <v>0</v>
      </c>
      <c r="J8350" s="4">
        <v>41</v>
      </c>
    </row>
    <row r="8351" spans="1:10" x14ac:dyDescent="0.75">
      <c r="A8351" t="s">
        <v>151</v>
      </c>
      <c r="B8351">
        <v>4986</v>
      </c>
      <c r="C8351" t="s">
        <v>97</v>
      </c>
      <c r="D8351">
        <v>2211</v>
      </c>
      <c r="E8351" t="s">
        <v>367</v>
      </c>
      <c r="F8351" s="4">
        <v>38</v>
      </c>
      <c r="G8351" s="4">
        <v>0</v>
      </c>
      <c r="H8351" s="4">
        <v>0</v>
      </c>
      <c r="I8351" s="4">
        <v>0</v>
      </c>
      <c r="J8351" s="4">
        <v>38</v>
      </c>
    </row>
    <row r="8352" spans="1:10" x14ac:dyDescent="0.75">
      <c r="A8352" t="s">
        <v>151</v>
      </c>
      <c r="B8352">
        <v>4986</v>
      </c>
      <c r="C8352" t="s">
        <v>97</v>
      </c>
      <c r="D8352">
        <v>4189</v>
      </c>
      <c r="E8352" t="s">
        <v>451</v>
      </c>
      <c r="F8352" s="4">
        <v>29</v>
      </c>
      <c r="G8352" s="4">
        <v>0</v>
      </c>
      <c r="H8352" s="4">
        <v>0</v>
      </c>
      <c r="I8352" s="4">
        <v>0</v>
      </c>
      <c r="J8352" s="4">
        <v>29</v>
      </c>
    </row>
    <row r="8353" spans="1:10" x14ac:dyDescent="0.75">
      <c r="A8353" t="s">
        <v>151</v>
      </c>
      <c r="B8353">
        <v>4986</v>
      </c>
      <c r="C8353" t="s">
        <v>97</v>
      </c>
      <c r="D8353">
        <v>5360</v>
      </c>
      <c r="E8353" t="s">
        <v>465</v>
      </c>
      <c r="F8353" s="4">
        <v>25</v>
      </c>
      <c r="G8353" s="4">
        <v>0</v>
      </c>
      <c r="H8353" s="4">
        <v>0</v>
      </c>
      <c r="I8353" s="4">
        <v>0</v>
      </c>
      <c r="J8353" s="4">
        <v>25</v>
      </c>
    </row>
    <row r="8354" spans="1:10" x14ac:dyDescent="0.75">
      <c r="A8354" t="s">
        <v>151</v>
      </c>
      <c r="B8354">
        <v>4986</v>
      </c>
      <c r="C8354" t="s">
        <v>97</v>
      </c>
      <c r="D8354">
        <v>7120</v>
      </c>
      <c r="E8354" t="s">
        <v>499</v>
      </c>
      <c r="F8354" s="4">
        <v>20</v>
      </c>
      <c r="G8354" s="4">
        <v>0</v>
      </c>
      <c r="H8354" s="4">
        <v>0</v>
      </c>
      <c r="I8354" s="4">
        <v>0</v>
      </c>
      <c r="J8354" s="4">
        <v>20</v>
      </c>
    </row>
    <row r="8355" spans="1:10" x14ac:dyDescent="0.75">
      <c r="A8355" t="s">
        <v>151</v>
      </c>
      <c r="B8355">
        <v>4986</v>
      </c>
      <c r="C8355" t="s">
        <v>97</v>
      </c>
      <c r="D8355">
        <v>5190</v>
      </c>
      <c r="E8355" t="s">
        <v>462</v>
      </c>
      <c r="F8355" s="4">
        <v>11</v>
      </c>
      <c r="G8355" s="4">
        <v>0</v>
      </c>
      <c r="H8355" s="4">
        <v>0</v>
      </c>
      <c r="I8355" s="4">
        <v>0</v>
      </c>
      <c r="J8355" s="4">
        <v>11</v>
      </c>
    </row>
    <row r="8356" spans="1:10" x14ac:dyDescent="0.75">
      <c r="A8356" t="s">
        <v>151</v>
      </c>
      <c r="B8356">
        <v>4986</v>
      </c>
      <c r="C8356" t="s">
        <v>97</v>
      </c>
      <c r="D8356">
        <v>5370</v>
      </c>
      <c r="E8356" t="s">
        <v>466</v>
      </c>
      <c r="F8356" s="4">
        <v>2</v>
      </c>
      <c r="G8356" s="4">
        <v>0</v>
      </c>
      <c r="H8356" s="4">
        <v>0</v>
      </c>
      <c r="I8356" s="4">
        <v>0</v>
      </c>
      <c r="J8356" s="4">
        <v>2</v>
      </c>
    </row>
    <row r="8357" spans="1:10" x14ac:dyDescent="0.75">
      <c r="A8357" t="s">
        <v>151</v>
      </c>
      <c r="B8357">
        <v>4986</v>
      </c>
      <c r="C8357" t="s">
        <v>97</v>
      </c>
      <c r="D8357">
        <v>5480</v>
      </c>
      <c r="E8357" t="s">
        <v>386</v>
      </c>
      <c r="F8357" s="4">
        <v>2</v>
      </c>
      <c r="G8357" s="4">
        <v>0</v>
      </c>
      <c r="H8357" s="4">
        <v>0</v>
      </c>
      <c r="I8357" s="4">
        <v>0</v>
      </c>
      <c r="J8357" s="4">
        <v>2</v>
      </c>
    </row>
    <row r="8358" spans="1:10" x14ac:dyDescent="0.75">
      <c r="A8358" t="s">
        <v>151</v>
      </c>
      <c r="B8358">
        <v>4986</v>
      </c>
      <c r="C8358" t="s">
        <v>97</v>
      </c>
      <c r="D8358">
        <v>5240</v>
      </c>
      <c r="E8358" t="s">
        <v>464</v>
      </c>
      <c r="F8358" s="4">
        <v>1</v>
      </c>
      <c r="G8358" s="4">
        <v>0</v>
      </c>
      <c r="H8358" s="4">
        <v>0</v>
      </c>
      <c r="I8358" s="4">
        <v>0</v>
      </c>
      <c r="J8358" s="4">
        <v>1</v>
      </c>
    </row>
    <row r="8359" spans="1:10" x14ac:dyDescent="0.75">
      <c r="A8359" t="s">
        <v>151</v>
      </c>
      <c r="B8359">
        <v>4986</v>
      </c>
      <c r="C8359" t="s">
        <v>97</v>
      </c>
      <c r="D8359">
        <v>7230</v>
      </c>
      <c r="E8359" t="s">
        <v>387</v>
      </c>
      <c r="F8359" s="4">
        <v>1</v>
      </c>
      <c r="G8359" s="4">
        <v>0</v>
      </c>
      <c r="H8359" s="4">
        <v>0</v>
      </c>
      <c r="I8359" s="4">
        <v>0</v>
      </c>
      <c r="J8359" s="4">
        <v>1</v>
      </c>
    </row>
    <row r="8360" spans="1:10" x14ac:dyDescent="0.75">
      <c r="A8360" t="s">
        <v>151</v>
      </c>
      <c r="B8360">
        <v>4986</v>
      </c>
      <c r="C8360" t="s">
        <v>97</v>
      </c>
      <c r="D8360">
        <v>7500</v>
      </c>
      <c r="E8360" t="s">
        <v>427</v>
      </c>
      <c r="F8360" s="4">
        <v>1</v>
      </c>
      <c r="G8360" s="4">
        <v>0</v>
      </c>
      <c r="H8360" s="4">
        <v>0</v>
      </c>
      <c r="I8360" s="4">
        <v>0</v>
      </c>
      <c r="J8360" s="4">
        <v>1</v>
      </c>
    </row>
    <row r="8361" spans="1:10" x14ac:dyDescent="0.75">
      <c r="A8361" t="s">
        <v>151</v>
      </c>
      <c r="B8361">
        <v>717</v>
      </c>
      <c r="C8361" t="s">
        <v>316</v>
      </c>
      <c r="D8361">
        <v>2221</v>
      </c>
      <c r="E8361" t="s">
        <v>374</v>
      </c>
      <c r="F8361" s="4">
        <v>69858</v>
      </c>
      <c r="G8361" s="4">
        <v>0</v>
      </c>
      <c r="H8361" s="4">
        <v>0</v>
      </c>
      <c r="I8361" s="4">
        <v>0</v>
      </c>
      <c r="J8361" s="4">
        <v>69858</v>
      </c>
    </row>
    <row r="8362" spans="1:10" x14ac:dyDescent="0.75">
      <c r="A8362" t="s">
        <v>160</v>
      </c>
      <c r="B8362">
        <v>3788</v>
      </c>
      <c r="C8362" t="s">
        <v>299</v>
      </c>
      <c r="D8362">
        <v>4323</v>
      </c>
      <c r="E8362" t="s">
        <v>373</v>
      </c>
      <c r="F8362" s="4">
        <v>161411</v>
      </c>
      <c r="G8362" s="4">
        <v>0</v>
      </c>
      <c r="H8362" s="4">
        <v>0</v>
      </c>
      <c r="I8362" s="4">
        <v>0</v>
      </c>
      <c r="J8362" s="4">
        <v>161411</v>
      </c>
    </row>
    <row r="8363" spans="1:10" x14ac:dyDescent="0.75">
      <c r="A8363" t="s">
        <v>160</v>
      </c>
      <c r="B8363">
        <v>3788</v>
      </c>
      <c r="C8363" t="s">
        <v>299</v>
      </c>
      <c r="D8363">
        <v>4335</v>
      </c>
      <c r="E8363" t="s">
        <v>372</v>
      </c>
      <c r="F8363" s="4">
        <v>48568</v>
      </c>
      <c r="G8363" s="4">
        <v>0</v>
      </c>
      <c r="H8363" s="4">
        <v>0</v>
      </c>
      <c r="I8363" s="4">
        <v>0</v>
      </c>
      <c r="J8363" s="4">
        <v>48568</v>
      </c>
    </row>
    <row r="8364" spans="1:10" x14ac:dyDescent="0.75">
      <c r="A8364" t="s">
        <v>160</v>
      </c>
      <c r="B8364">
        <v>3788</v>
      </c>
      <c r="C8364" t="s">
        <v>299</v>
      </c>
      <c r="D8364">
        <v>5220</v>
      </c>
      <c r="E8364" t="s">
        <v>401</v>
      </c>
      <c r="F8364" s="4">
        <v>9845</v>
      </c>
      <c r="G8364" s="4">
        <v>0</v>
      </c>
      <c r="H8364" s="4">
        <v>0</v>
      </c>
      <c r="I8364" s="4">
        <v>0</v>
      </c>
      <c r="J8364" s="4">
        <v>9845</v>
      </c>
    </row>
    <row r="8365" spans="1:10" x14ac:dyDescent="0.75">
      <c r="A8365" t="s">
        <v>160</v>
      </c>
      <c r="B8365">
        <v>3788</v>
      </c>
      <c r="C8365" t="s">
        <v>299</v>
      </c>
      <c r="D8365">
        <v>4331</v>
      </c>
      <c r="E8365" t="s">
        <v>390</v>
      </c>
      <c r="F8365" s="4">
        <v>2377</v>
      </c>
      <c r="G8365" s="4">
        <v>0</v>
      </c>
      <c r="H8365" s="4">
        <v>0</v>
      </c>
      <c r="I8365" s="4">
        <v>0</v>
      </c>
      <c r="J8365" s="4">
        <v>2377</v>
      </c>
    </row>
    <row r="8366" spans="1:10" x14ac:dyDescent="0.75">
      <c r="A8366" t="s">
        <v>160</v>
      </c>
      <c r="B8366">
        <v>3788</v>
      </c>
      <c r="C8366" t="s">
        <v>299</v>
      </c>
      <c r="D8366">
        <v>7110</v>
      </c>
      <c r="E8366" t="s">
        <v>371</v>
      </c>
      <c r="F8366" s="4">
        <v>420</v>
      </c>
      <c r="G8366" s="4">
        <v>0</v>
      </c>
      <c r="H8366" s="4">
        <v>0</v>
      </c>
      <c r="I8366" s="4">
        <v>0</v>
      </c>
      <c r="J8366" s="4">
        <v>420</v>
      </c>
    </row>
    <row r="8367" spans="1:10" x14ac:dyDescent="0.75">
      <c r="A8367" t="s">
        <v>160</v>
      </c>
      <c r="B8367">
        <v>3788</v>
      </c>
      <c r="C8367" t="s">
        <v>299</v>
      </c>
      <c r="D8367">
        <v>7230</v>
      </c>
      <c r="E8367" t="s">
        <v>387</v>
      </c>
      <c r="F8367" s="4">
        <v>1</v>
      </c>
      <c r="G8367" s="4">
        <v>0</v>
      </c>
      <c r="H8367" s="4">
        <v>0</v>
      </c>
      <c r="I8367" s="4">
        <v>0</v>
      </c>
      <c r="J8367" s="4">
        <v>1</v>
      </c>
    </row>
    <row r="8368" spans="1:10" x14ac:dyDescent="0.75">
      <c r="A8368" t="s">
        <v>151</v>
      </c>
      <c r="B8368">
        <v>2383</v>
      </c>
      <c r="C8368" t="s">
        <v>206</v>
      </c>
      <c r="D8368">
        <v>4783</v>
      </c>
      <c r="E8368" t="s">
        <v>382</v>
      </c>
      <c r="F8368" s="4">
        <v>2027340</v>
      </c>
      <c r="G8368" s="4">
        <v>0</v>
      </c>
      <c r="H8368" s="4">
        <v>0</v>
      </c>
      <c r="I8368" s="4">
        <v>0</v>
      </c>
      <c r="J8368" s="4">
        <v>2027340</v>
      </c>
    </row>
    <row r="8369" spans="1:10" x14ac:dyDescent="0.75">
      <c r="A8369" t="s">
        <v>151</v>
      </c>
      <c r="B8369">
        <v>2383</v>
      </c>
      <c r="C8369" t="s">
        <v>206</v>
      </c>
      <c r="D8369">
        <v>2100</v>
      </c>
      <c r="E8369" t="s">
        <v>403</v>
      </c>
      <c r="F8369" s="4">
        <v>938206</v>
      </c>
      <c r="G8369" s="4">
        <v>0</v>
      </c>
      <c r="H8369" s="4">
        <v>0</v>
      </c>
      <c r="I8369" s="4">
        <v>0</v>
      </c>
      <c r="J8369" s="4">
        <v>938206</v>
      </c>
    </row>
    <row r="8370" spans="1:10" x14ac:dyDescent="0.75">
      <c r="A8370" t="s">
        <v>151</v>
      </c>
      <c r="B8370">
        <v>2383</v>
      </c>
      <c r="C8370" t="s">
        <v>206</v>
      </c>
      <c r="D8370">
        <v>2340</v>
      </c>
      <c r="E8370" t="s">
        <v>369</v>
      </c>
      <c r="F8370" s="4">
        <v>556461</v>
      </c>
      <c r="G8370" s="4">
        <v>0</v>
      </c>
      <c r="H8370" s="4">
        <v>0</v>
      </c>
      <c r="I8370" s="4">
        <v>0</v>
      </c>
      <c r="J8370" s="4">
        <v>556461</v>
      </c>
    </row>
    <row r="8371" spans="1:10" x14ac:dyDescent="0.75">
      <c r="A8371" t="s">
        <v>151</v>
      </c>
      <c r="B8371">
        <v>2383</v>
      </c>
      <c r="C8371" t="s">
        <v>206</v>
      </c>
      <c r="D8371">
        <v>6861</v>
      </c>
      <c r="E8371" t="s">
        <v>489</v>
      </c>
      <c r="F8371" s="4">
        <v>135040</v>
      </c>
      <c r="G8371" s="4">
        <v>0</v>
      </c>
      <c r="H8371" s="4">
        <v>0</v>
      </c>
      <c r="I8371" s="4">
        <v>0</v>
      </c>
      <c r="J8371" s="4">
        <v>135040</v>
      </c>
    </row>
    <row r="8372" spans="1:10" x14ac:dyDescent="0.75">
      <c r="A8372" t="s">
        <v>151</v>
      </c>
      <c r="B8372">
        <v>2383</v>
      </c>
      <c r="C8372" t="s">
        <v>206</v>
      </c>
      <c r="D8372">
        <v>2330</v>
      </c>
      <c r="E8372" t="s">
        <v>368</v>
      </c>
      <c r="F8372" s="4">
        <v>52617</v>
      </c>
      <c r="G8372" s="4">
        <v>0</v>
      </c>
      <c r="H8372" s="4">
        <v>0</v>
      </c>
      <c r="I8372" s="4">
        <v>0</v>
      </c>
      <c r="J8372" s="4">
        <v>52617</v>
      </c>
    </row>
    <row r="8373" spans="1:10" x14ac:dyDescent="0.75">
      <c r="A8373" t="s">
        <v>151</v>
      </c>
      <c r="B8373">
        <v>2383</v>
      </c>
      <c r="C8373" t="s">
        <v>206</v>
      </c>
      <c r="D8373">
        <v>6865</v>
      </c>
      <c r="E8373" t="s">
        <v>490</v>
      </c>
      <c r="F8373" s="4">
        <v>33731</v>
      </c>
      <c r="G8373" s="4">
        <v>0</v>
      </c>
      <c r="H8373" s="4">
        <v>0</v>
      </c>
      <c r="I8373" s="4">
        <v>0</v>
      </c>
      <c r="J8373" s="4">
        <v>33731</v>
      </c>
    </row>
    <row r="8374" spans="1:10" x14ac:dyDescent="0.75">
      <c r="A8374" t="s">
        <v>151</v>
      </c>
      <c r="B8374">
        <v>2383</v>
      </c>
      <c r="C8374" t="s">
        <v>206</v>
      </c>
      <c r="D8374">
        <v>3276</v>
      </c>
      <c r="E8374" t="s">
        <v>379</v>
      </c>
      <c r="F8374" s="4">
        <v>6302</v>
      </c>
      <c r="G8374" s="4">
        <v>0</v>
      </c>
      <c r="H8374" s="4">
        <v>0</v>
      </c>
      <c r="I8374" s="4">
        <v>0</v>
      </c>
      <c r="J8374" s="4">
        <v>6302</v>
      </c>
    </row>
    <row r="8375" spans="1:10" x14ac:dyDescent="0.75">
      <c r="A8375" t="s">
        <v>151</v>
      </c>
      <c r="B8375">
        <v>2383</v>
      </c>
      <c r="C8375" t="s">
        <v>206</v>
      </c>
      <c r="D8375">
        <v>7900</v>
      </c>
      <c r="E8375" t="s">
        <v>388</v>
      </c>
      <c r="F8375" s="4">
        <v>5585</v>
      </c>
      <c r="G8375" s="4">
        <v>0</v>
      </c>
      <c r="H8375" s="4">
        <v>0</v>
      </c>
      <c r="I8375" s="4">
        <v>0</v>
      </c>
      <c r="J8375" s="4">
        <v>5585</v>
      </c>
    </row>
    <row r="8376" spans="1:10" x14ac:dyDescent="0.75">
      <c r="A8376" t="s">
        <v>151</v>
      </c>
      <c r="B8376">
        <v>2383</v>
      </c>
      <c r="C8376" t="s">
        <v>206</v>
      </c>
      <c r="D8376">
        <v>4331</v>
      </c>
      <c r="E8376" t="s">
        <v>390</v>
      </c>
      <c r="F8376" s="4">
        <v>3980</v>
      </c>
      <c r="G8376" s="4">
        <v>0</v>
      </c>
      <c r="H8376" s="4">
        <v>0</v>
      </c>
      <c r="I8376" s="4">
        <v>0</v>
      </c>
      <c r="J8376" s="4">
        <v>3980</v>
      </c>
    </row>
    <row r="8377" spans="1:10" x14ac:dyDescent="0.75">
      <c r="A8377" t="s">
        <v>151</v>
      </c>
      <c r="B8377">
        <v>2383</v>
      </c>
      <c r="C8377" t="s">
        <v>206</v>
      </c>
      <c r="D8377">
        <v>6782</v>
      </c>
      <c r="E8377" t="s">
        <v>396</v>
      </c>
      <c r="F8377" s="4">
        <v>1565</v>
      </c>
      <c r="G8377" s="4">
        <v>0</v>
      </c>
      <c r="H8377" s="4">
        <v>0</v>
      </c>
      <c r="I8377" s="4">
        <v>0</v>
      </c>
      <c r="J8377" s="4">
        <v>1565</v>
      </c>
    </row>
    <row r="8378" spans="1:10" x14ac:dyDescent="0.75">
      <c r="A8378" t="s">
        <v>151</v>
      </c>
      <c r="B8378">
        <v>2383</v>
      </c>
      <c r="C8378" t="s">
        <v>206</v>
      </c>
      <c r="D8378">
        <v>2350</v>
      </c>
      <c r="E8378" t="s">
        <v>404</v>
      </c>
      <c r="F8378" s="4">
        <v>961</v>
      </c>
      <c r="G8378" s="4">
        <v>0</v>
      </c>
      <c r="H8378" s="4">
        <v>0</v>
      </c>
      <c r="I8378" s="4">
        <v>0</v>
      </c>
      <c r="J8378" s="4">
        <v>961</v>
      </c>
    </row>
    <row r="8379" spans="1:10" x14ac:dyDescent="0.75">
      <c r="A8379" t="s">
        <v>151</v>
      </c>
      <c r="B8379">
        <v>2383</v>
      </c>
      <c r="C8379" t="s">
        <v>206</v>
      </c>
      <c r="D8379">
        <v>7110</v>
      </c>
      <c r="E8379" t="s">
        <v>371</v>
      </c>
      <c r="F8379" s="4">
        <v>742</v>
      </c>
      <c r="G8379" s="4">
        <v>0</v>
      </c>
      <c r="H8379" s="4">
        <v>0</v>
      </c>
      <c r="I8379" s="4">
        <v>0</v>
      </c>
      <c r="J8379" s="4">
        <v>742</v>
      </c>
    </row>
    <row r="8380" spans="1:10" x14ac:dyDescent="0.75">
      <c r="A8380" t="s">
        <v>151</v>
      </c>
      <c r="B8380">
        <v>2383</v>
      </c>
      <c r="C8380" t="s">
        <v>206</v>
      </c>
      <c r="D8380">
        <v>4782</v>
      </c>
      <c r="E8380" t="s">
        <v>414</v>
      </c>
      <c r="F8380" s="4">
        <v>180</v>
      </c>
      <c r="G8380" s="4">
        <v>0</v>
      </c>
      <c r="H8380" s="4">
        <v>0</v>
      </c>
      <c r="I8380" s="4">
        <v>0</v>
      </c>
      <c r="J8380" s="4">
        <v>180</v>
      </c>
    </row>
    <row r="8381" spans="1:10" x14ac:dyDescent="0.75">
      <c r="A8381" t="s">
        <v>151</v>
      </c>
      <c r="B8381">
        <v>2383</v>
      </c>
      <c r="C8381" t="s">
        <v>206</v>
      </c>
      <c r="D8381">
        <v>4420</v>
      </c>
      <c r="E8381" t="s">
        <v>381</v>
      </c>
      <c r="F8381" s="4">
        <v>50</v>
      </c>
      <c r="G8381" s="4">
        <v>0</v>
      </c>
      <c r="H8381" s="4">
        <v>0</v>
      </c>
      <c r="I8381" s="4">
        <v>0</v>
      </c>
      <c r="J8381" s="4">
        <v>50</v>
      </c>
    </row>
    <row r="8382" spans="1:10" x14ac:dyDescent="0.75">
      <c r="A8382" t="s">
        <v>151</v>
      </c>
      <c r="B8382">
        <v>4824</v>
      </c>
      <c r="C8382" t="s">
        <v>63</v>
      </c>
      <c r="D8382">
        <v>7900</v>
      </c>
      <c r="E8382" t="s">
        <v>388</v>
      </c>
      <c r="F8382" s="4">
        <v>312614</v>
      </c>
      <c r="G8382" s="4">
        <v>33</v>
      </c>
      <c r="H8382" s="4">
        <v>33</v>
      </c>
      <c r="I8382" s="4">
        <v>0</v>
      </c>
      <c r="J8382" s="4">
        <v>312647</v>
      </c>
    </row>
    <row r="8383" spans="1:10" x14ac:dyDescent="0.75">
      <c r="A8383" t="s">
        <v>151</v>
      </c>
      <c r="B8383">
        <v>4824</v>
      </c>
      <c r="C8383" t="s">
        <v>63</v>
      </c>
      <c r="D8383">
        <v>6889</v>
      </c>
      <c r="E8383" t="s">
        <v>420</v>
      </c>
      <c r="F8383" s="4">
        <v>41057</v>
      </c>
      <c r="G8383" s="4">
        <v>0</v>
      </c>
      <c r="H8383" s="4">
        <v>0</v>
      </c>
      <c r="I8383" s="4">
        <v>0</v>
      </c>
      <c r="J8383" s="4">
        <v>41057</v>
      </c>
    </row>
    <row r="8384" spans="1:10" x14ac:dyDescent="0.75">
      <c r="A8384" t="s">
        <v>151</v>
      </c>
      <c r="B8384">
        <v>4824</v>
      </c>
      <c r="C8384" t="s">
        <v>63</v>
      </c>
      <c r="D8384">
        <v>6134</v>
      </c>
      <c r="E8384" t="s">
        <v>470</v>
      </c>
      <c r="F8384" s="4">
        <v>38979</v>
      </c>
      <c r="G8384" s="4">
        <v>0</v>
      </c>
      <c r="H8384" s="4">
        <v>0</v>
      </c>
      <c r="I8384" s="4">
        <v>0</v>
      </c>
      <c r="J8384" s="4">
        <v>38979</v>
      </c>
    </row>
    <row r="8385" spans="1:10" x14ac:dyDescent="0.75">
      <c r="A8385" t="s">
        <v>151</v>
      </c>
      <c r="B8385">
        <v>4824</v>
      </c>
      <c r="C8385" t="s">
        <v>63</v>
      </c>
      <c r="D8385">
        <v>6782</v>
      </c>
      <c r="E8385" t="s">
        <v>396</v>
      </c>
      <c r="F8385" s="4">
        <v>15465</v>
      </c>
      <c r="G8385" s="4">
        <v>10</v>
      </c>
      <c r="H8385" s="4">
        <v>10</v>
      </c>
      <c r="I8385" s="4">
        <v>0</v>
      </c>
      <c r="J8385" s="4">
        <v>15475</v>
      </c>
    </row>
    <row r="8386" spans="1:10" x14ac:dyDescent="0.75">
      <c r="A8386" t="s">
        <v>151</v>
      </c>
      <c r="B8386">
        <v>4824</v>
      </c>
      <c r="C8386" t="s">
        <v>63</v>
      </c>
      <c r="D8386">
        <v>7400</v>
      </c>
      <c r="E8386" t="s">
        <v>502</v>
      </c>
      <c r="F8386" s="4">
        <v>14534</v>
      </c>
      <c r="G8386" s="4">
        <v>0</v>
      </c>
      <c r="H8386" s="4">
        <v>0</v>
      </c>
      <c r="I8386" s="4">
        <v>0</v>
      </c>
      <c r="J8386" s="4">
        <v>14534</v>
      </c>
    </row>
    <row r="8387" spans="1:10" x14ac:dyDescent="0.75">
      <c r="A8387" t="s">
        <v>151</v>
      </c>
      <c r="B8387">
        <v>4824</v>
      </c>
      <c r="C8387" t="s">
        <v>63</v>
      </c>
      <c r="D8387">
        <v>5540</v>
      </c>
      <c r="E8387" t="s">
        <v>469</v>
      </c>
      <c r="F8387" s="4">
        <v>13593</v>
      </c>
      <c r="G8387" s="4">
        <v>18</v>
      </c>
      <c r="H8387" s="4">
        <v>18</v>
      </c>
      <c r="I8387" s="4">
        <v>0</v>
      </c>
      <c r="J8387" s="4">
        <v>13611</v>
      </c>
    </row>
    <row r="8388" spans="1:10" x14ac:dyDescent="0.75">
      <c r="A8388" t="s">
        <v>151</v>
      </c>
      <c r="B8388">
        <v>4824</v>
      </c>
      <c r="C8388" t="s">
        <v>63</v>
      </c>
      <c r="D8388">
        <v>4189</v>
      </c>
      <c r="E8388" t="s">
        <v>451</v>
      </c>
      <c r="F8388" s="4">
        <v>10910</v>
      </c>
      <c r="G8388" s="4">
        <v>9</v>
      </c>
      <c r="H8388" s="4">
        <v>9</v>
      </c>
      <c r="I8388" s="4">
        <v>0</v>
      </c>
      <c r="J8388" s="4">
        <v>10919</v>
      </c>
    </row>
    <row r="8389" spans="1:10" x14ac:dyDescent="0.75">
      <c r="A8389" t="s">
        <v>151</v>
      </c>
      <c r="B8389">
        <v>4824</v>
      </c>
      <c r="C8389" t="s">
        <v>63</v>
      </c>
      <c r="D8389">
        <v>5190</v>
      </c>
      <c r="E8389" t="s">
        <v>462</v>
      </c>
      <c r="F8389" s="4">
        <v>10804</v>
      </c>
      <c r="G8389" s="4">
        <v>0</v>
      </c>
      <c r="H8389" s="4">
        <v>0</v>
      </c>
      <c r="I8389" s="4">
        <v>0</v>
      </c>
      <c r="J8389" s="4">
        <v>10804</v>
      </c>
    </row>
    <row r="8390" spans="1:10" x14ac:dyDescent="0.75">
      <c r="A8390" t="s">
        <v>151</v>
      </c>
      <c r="B8390">
        <v>4824</v>
      </c>
      <c r="C8390" t="s">
        <v>63</v>
      </c>
      <c r="D8390">
        <v>7110</v>
      </c>
      <c r="E8390" t="s">
        <v>371</v>
      </c>
      <c r="F8390" s="4">
        <v>8083</v>
      </c>
      <c r="G8390" s="4">
        <v>0</v>
      </c>
      <c r="H8390" s="4">
        <v>0</v>
      </c>
      <c r="I8390" s="4">
        <v>0</v>
      </c>
      <c r="J8390" s="4">
        <v>8083</v>
      </c>
    </row>
    <row r="8391" spans="1:10" x14ac:dyDescent="0.75">
      <c r="A8391" t="s">
        <v>151</v>
      </c>
      <c r="B8391">
        <v>4824</v>
      </c>
      <c r="C8391" t="s">
        <v>63</v>
      </c>
      <c r="D8391">
        <v>6885</v>
      </c>
      <c r="E8391" t="s">
        <v>493</v>
      </c>
      <c r="F8391" s="4">
        <v>7657</v>
      </c>
      <c r="G8391" s="4">
        <v>80</v>
      </c>
      <c r="H8391" s="4">
        <v>80</v>
      </c>
      <c r="I8391" s="4">
        <v>0</v>
      </c>
      <c r="J8391" s="4">
        <v>7737</v>
      </c>
    </row>
    <row r="8392" spans="1:10" x14ac:dyDescent="0.75">
      <c r="A8392" t="s">
        <v>151</v>
      </c>
      <c r="B8392">
        <v>4824</v>
      </c>
      <c r="C8392" t="s">
        <v>63</v>
      </c>
      <c r="D8392">
        <v>7210</v>
      </c>
      <c r="E8392" t="s">
        <v>426</v>
      </c>
      <c r="F8392" s="4">
        <v>6566</v>
      </c>
      <c r="G8392" s="4">
        <v>0</v>
      </c>
      <c r="H8392" s="4">
        <v>0</v>
      </c>
      <c r="I8392" s="4">
        <v>0</v>
      </c>
      <c r="J8392" s="4">
        <v>6566</v>
      </c>
    </row>
    <row r="8393" spans="1:10" x14ac:dyDescent="0.75">
      <c r="A8393" t="s">
        <v>151</v>
      </c>
      <c r="B8393">
        <v>4824</v>
      </c>
      <c r="C8393" t="s">
        <v>63</v>
      </c>
      <c r="D8393">
        <v>5480</v>
      </c>
      <c r="E8393" t="s">
        <v>386</v>
      </c>
      <c r="F8393" s="4">
        <v>5885</v>
      </c>
      <c r="G8393" s="4">
        <v>0</v>
      </c>
      <c r="H8393" s="4">
        <v>0</v>
      </c>
      <c r="I8393" s="4">
        <v>0</v>
      </c>
      <c r="J8393" s="4">
        <v>5885</v>
      </c>
    </row>
    <row r="8394" spans="1:10" x14ac:dyDescent="0.75">
      <c r="A8394" t="s">
        <v>151</v>
      </c>
      <c r="B8394">
        <v>4824</v>
      </c>
      <c r="C8394" t="s">
        <v>63</v>
      </c>
      <c r="D8394">
        <v>4783</v>
      </c>
      <c r="E8394" t="s">
        <v>382</v>
      </c>
      <c r="F8394" s="4">
        <v>5697</v>
      </c>
      <c r="G8394" s="4">
        <v>0</v>
      </c>
      <c r="H8394" s="4">
        <v>0</v>
      </c>
      <c r="I8394" s="4">
        <v>0</v>
      </c>
      <c r="J8394" s="4">
        <v>5697</v>
      </c>
    </row>
    <row r="8395" spans="1:10" x14ac:dyDescent="0.75">
      <c r="A8395" t="s">
        <v>151</v>
      </c>
      <c r="B8395">
        <v>4824</v>
      </c>
      <c r="C8395" t="s">
        <v>63</v>
      </c>
      <c r="D8395">
        <v>6887</v>
      </c>
      <c r="E8395" t="s">
        <v>505</v>
      </c>
      <c r="F8395" s="4">
        <v>4841</v>
      </c>
      <c r="G8395" s="4">
        <v>0</v>
      </c>
      <c r="H8395" s="4">
        <v>0</v>
      </c>
      <c r="I8395" s="4">
        <v>0</v>
      </c>
      <c r="J8395" s="4">
        <v>4841</v>
      </c>
    </row>
    <row r="8396" spans="1:10" x14ac:dyDescent="0.75">
      <c r="A8396" t="s">
        <v>151</v>
      </c>
      <c r="B8396">
        <v>4824</v>
      </c>
      <c r="C8396" t="s">
        <v>63</v>
      </c>
      <c r="D8396">
        <v>5360</v>
      </c>
      <c r="E8396" t="s">
        <v>465</v>
      </c>
      <c r="F8396" s="4">
        <v>4287</v>
      </c>
      <c r="G8396" s="4">
        <v>0</v>
      </c>
      <c r="H8396" s="4">
        <v>0</v>
      </c>
      <c r="I8396" s="4">
        <v>0</v>
      </c>
      <c r="J8396" s="4">
        <v>4287</v>
      </c>
    </row>
    <row r="8397" spans="1:10" x14ac:dyDescent="0.75">
      <c r="A8397" t="s">
        <v>151</v>
      </c>
      <c r="B8397">
        <v>4824</v>
      </c>
      <c r="C8397" t="s">
        <v>63</v>
      </c>
      <c r="D8397">
        <v>6136</v>
      </c>
      <c r="E8397" t="s">
        <v>471</v>
      </c>
      <c r="F8397" s="4">
        <v>3581</v>
      </c>
      <c r="G8397" s="4">
        <v>0</v>
      </c>
      <c r="H8397" s="4">
        <v>0</v>
      </c>
      <c r="I8397" s="4">
        <v>0</v>
      </c>
      <c r="J8397" s="4">
        <v>3581</v>
      </c>
    </row>
    <row r="8398" spans="1:10" x14ac:dyDescent="0.75">
      <c r="A8398" t="s">
        <v>151</v>
      </c>
      <c r="B8398">
        <v>4824</v>
      </c>
      <c r="C8398" t="s">
        <v>63</v>
      </c>
      <c r="D8398">
        <v>8900</v>
      </c>
      <c r="E8398" t="s">
        <v>506</v>
      </c>
      <c r="F8398" s="4">
        <v>3559</v>
      </c>
      <c r="G8398" s="4">
        <v>0</v>
      </c>
      <c r="H8398" s="4">
        <v>0</v>
      </c>
      <c r="I8398" s="4">
        <v>0</v>
      </c>
      <c r="J8398" s="4">
        <v>3559</v>
      </c>
    </row>
    <row r="8399" spans="1:10" x14ac:dyDescent="0.75">
      <c r="A8399" t="s">
        <v>151</v>
      </c>
      <c r="B8399">
        <v>4824</v>
      </c>
      <c r="C8399" t="s">
        <v>63</v>
      </c>
      <c r="D8399">
        <v>5240</v>
      </c>
      <c r="E8399" t="s">
        <v>464</v>
      </c>
      <c r="F8399" s="4">
        <v>2148</v>
      </c>
      <c r="G8399" s="4">
        <v>0</v>
      </c>
      <c r="H8399" s="4">
        <v>0</v>
      </c>
      <c r="I8399" s="4">
        <v>0</v>
      </c>
      <c r="J8399" s="4">
        <v>2148</v>
      </c>
    </row>
    <row r="8400" spans="1:10" x14ac:dyDescent="0.75">
      <c r="A8400" t="s">
        <v>151</v>
      </c>
      <c r="B8400">
        <v>4824</v>
      </c>
      <c r="C8400" t="s">
        <v>63</v>
      </c>
      <c r="D8400">
        <v>4331</v>
      </c>
      <c r="E8400" t="s">
        <v>390</v>
      </c>
      <c r="F8400" s="4">
        <v>1949</v>
      </c>
      <c r="G8400" s="4">
        <v>0</v>
      </c>
      <c r="H8400" s="4">
        <v>0</v>
      </c>
      <c r="I8400" s="4">
        <v>0</v>
      </c>
      <c r="J8400" s="4">
        <v>1949</v>
      </c>
    </row>
    <row r="8401" spans="1:10" x14ac:dyDescent="0.75">
      <c r="A8401" t="s">
        <v>151</v>
      </c>
      <c r="B8401">
        <v>4824</v>
      </c>
      <c r="C8401" t="s">
        <v>63</v>
      </c>
      <c r="D8401">
        <v>3299</v>
      </c>
      <c r="E8401" t="s">
        <v>448</v>
      </c>
      <c r="F8401" s="4">
        <v>1647</v>
      </c>
      <c r="G8401" s="4">
        <v>0</v>
      </c>
      <c r="H8401" s="4">
        <v>0</v>
      </c>
      <c r="I8401" s="4">
        <v>0</v>
      </c>
      <c r="J8401" s="4">
        <v>1647</v>
      </c>
    </row>
    <row r="8402" spans="1:10" x14ac:dyDescent="0.75">
      <c r="A8402" t="s">
        <v>151</v>
      </c>
      <c r="B8402">
        <v>4824</v>
      </c>
      <c r="C8402" t="s">
        <v>63</v>
      </c>
      <c r="D8402">
        <v>5370</v>
      </c>
      <c r="E8402" t="s">
        <v>466</v>
      </c>
      <c r="F8402" s="4">
        <v>1165</v>
      </c>
      <c r="G8402" s="4">
        <v>0</v>
      </c>
      <c r="H8402" s="4">
        <v>0</v>
      </c>
      <c r="I8402" s="4">
        <v>0</v>
      </c>
      <c r="J8402" s="4">
        <v>1165</v>
      </c>
    </row>
    <row r="8403" spans="1:10" x14ac:dyDescent="0.75">
      <c r="A8403" t="s">
        <v>151</v>
      </c>
      <c r="B8403">
        <v>4824</v>
      </c>
      <c r="C8403" t="s">
        <v>63</v>
      </c>
      <c r="D8403">
        <v>2990</v>
      </c>
      <c r="E8403" t="s">
        <v>432</v>
      </c>
      <c r="F8403" s="4">
        <v>719</v>
      </c>
      <c r="G8403" s="4">
        <v>0</v>
      </c>
      <c r="H8403" s="4">
        <v>0</v>
      </c>
      <c r="I8403" s="4">
        <v>0</v>
      </c>
      <c r="J8403" s="4">
        <v>719</v>
      </c>
    </row>
    <row r="8404" spans="1:10" x14ac:dyDescent="0.75">
      <c r="A8404" t="s">
        <v>151</v>
      </c>
      <c r="B8404">
        <v>4824</v>
      </c>
      <c r="C8404" t="s">
        <v>63</v>
      </c>
      <c r="D8404">
        <v>7500</v>
      </c>
      <c r="E8404" t="s">
        <v>427</v>
      </c>
      <c r="F8404" s="4">
        <v>662</v>
      </c>
      <c r="G8404" s="4">
        <v>0</v>
      </c>
      <c r="H8404" s="4">
        <v>0</v>
      </c>
      <c r="I8404" s="4">
        <v>0</v>
      </c>
      <c r="J8404" s="4">
        <v>662</v>
      </c>
    </row>
    <row r="8405" spans="1:10" x14ac:dyDescent="0.75">
      <c r="A8405" t="s">
        <v>151</v>
      </c>
      <c r="B8405">
        <v>4824</v>
      </c>
      <c r="C8405" t="s">
        <v>63</v>
      </c>
      <c r="D8405">
        <v>5290</v>
      </c>
      <c r="E8405" t="s">
        <v>415</v>
      </c>
      <c r="F8405" s="4">
        <v>661</v>
      </c>
      <c r="G8405" s="4">
        <v>0</v>
      </c>
      <c r="H8405" s="4">
        <v>0</v>
      </c>
      <c r="I8405" s="4">
        <v>0</v>
      </c>
      <c r="J8405" s="4">
        <v>661</v>
      </c>
    </row>
    <row r="8406" spans="1:10" x14ac:dyDescent="0.75">
      <c r="A8406" t="s">
        <v>151</v>
      </c>
      <c r="B8406">
        <v>4824</v>
      </c>
      <c r="C8406" t="s">
        <v>63</v>
      </c>
      <c r="D8406">
        <v>6838</v>
      </c>
      <c r="E8406" t="s">
        <v>484</v>
      </c>
      <c r="F8406" s="4">
        <v>623</v>
      </c>
      <c r="G8406" s="4">
        <v>0</v>
      </c>
      <c r="H8406" s="4">
        <v>0</v>
      </c>
      <c r="I8406" s="4">
        <v>0</v>
      </c>
      <c r="J8406" s="4">
        <v>623</v>
      </c>
    </row>
    <row r="8407" spans="1:10" x14ac:dyDescent="0.75">
      <c r="A8407" t="s">
        <v>151</v>
      </c>
      <c r="B8407">
        <v>4824</v>
      </c>
      <c r="C8407" t="s">
        <v>63</v>
      </c>
      <c r="D8407">
        <v>7230</v>
      </c>
      <c r="E8407" t="s">
        <v>387</v>
      </c>
      <c r="F8407" s="4">
        <v>557</v>
      </c>
      <c r="G8407" s="4">
        <v>0</v>
      </c>
      <c r="H8407" s="4">
        <v>0</v>
      </c>
      <c r="I8407" s="4">
        <v>0</v>
      </c>
      <c r="J8407" s="4">
        <v>557</v>
      </c>
    </row>
    <row r="8408" spans="1:10" x14ac:dyDescent="0.75">
      <c r="A8408" t="s">
        <v>151</v>
      </c>
      <c r="B8408">
        <v>4824</v>
      </c>
      <c r="C8408" t="s">
        <v>63</v>
      </c>
      <c r="D8408">
        <v>7120</v>
      </c>
      <c r="E8408" t="s">
        <v>499</v>
      </c>
      <c r="F8408" s="4">
        <v>541</v>
      </c>
      <c r="G8408" s="4">
        <v>0</v>
      </c>
      <c r="H8408" s="4">
        <v>0</v>
      </c>
      <c r="I8408" s="4">
        <v>0</v>
      </c>
      <c r="J8408" s="4">
        <v>541</v>
      </c>
    </row>
    <row r="8409" spans="1:10" x14ac:dyDescent="0.75">
      <c r="A8409" t="s">
        <v>151</v>
      </c>
      <c r="B8409">
        <v>4824</v>
      </c>
      <c r="C8409" t="s">
        <v>63</v>
      </c>
      <c r="D8409">
        <v>2640</v>
      </c>
      <c r="E8409" t="s">
        <v>431</v>
      </c>
      <c r="F8409" s="4">
        <v>246</v>
      </c>
      <c r="G8409" s="4">
        <v>0</v>
      </c>
      <c r="H8409" s="4">
        <v>0</v>
      </c>
      <c r="I8409" s="4">
        <v>0</v>
      </c>
      <c r="J8409" s="4">
        <v>246</v>
      </c>
    </row>
    <row r="8410" spans="1:10" x14ac:dyDescent="0.75">
      <c r="A8410" t="s">
        <v>151</v>
      </c>
      <c r="B8410">
        <v>4824</v>
      </c>
      <c r="C8410" t="s">
        <v>63</v>
      </c>
      <c r="D8410">
        <v>7600</v>
      </c>
      <c r="E8410" t="s">
        <v>503</v>
      </c>
      <c r="F8410" s="4">
        <v>174</v>
      </c>
      <c r="G8410" s="4">
        <v>0</v>
      </c>
      <c r="H8410" s="4">
        <v>0</v>
      </c>
      <c r="I8410" s="4">
        <v>0</v>
      </c>
      <c r="J8410" s="4">
        <v>174</v>
      </c>
    </row>
    <row r="8411" spans="1:10" x14ac:dyDescent="0.75">
      <c r="A8411" t="s">
        <v>151</v>
      </c>
      <c r="B8411">
        <v>4824</v>
      </c>
      <c r="C8411" t="s">
        <v>63</v>
      </c>
      <c r="D8411">
        <v>3220</v>
      </c>
      <c r="E8411" t="s">
        <v>370</v>
      </c>
      <c r="F8411" s="4">
        <v>134</v>
      </c>
      <c r="G8411" s="4">
        <v>37</v>
      </c>
      <c r="H8411" s="4">
        <v>37</v>
      </c>
      <c r="I8411" s="4">
        <v>0</v>
      </c>
      <c r="J8411" s="4">
        <v>171</v>
      </c>
    </row>
    <row r="8412" spans="1:10" x14ac:dyDescent="0.75">
      <c r="A8412" t="s">
        <v>151</v>
      </c>
      <c r="B8412">
        <v>4824</v>
      </c>
      <c r="C8412" t="s">
        <v>63</v>
      </c>
      <c r="D8412">
        <v>4420</v>
      </c>
      <c r="E8412" t="s">
        <v>381</v>
      </c>
      <c r="F8412" s="4">
        <v>94</v>
      </c>
      <c r="G8412" s="4">
        <v>0</v>
      </c>
      <c r="H8412" s="4">
        <v>0</v>
      </c>
      <c r="I8412" s="4">
        <v>0</v>
      </c>
      <c r="J8412" s="4">
        <v>94</v>
      </c>
    </row>
    <row r="8413" spans="1:10" x14ac:dyDescent="0.75">
      <c r="A8413" t="s">
        <v>151</v>
      </c>
      <c r="B8413">
        <v>4824</v>
      </c>
      <c r="C8413" t="s">
        <v>63</v>
      </c>
      <c r="D8413">
        <v>2340</v>
      </c>
      <c r="E8413" t="s">
        <v>369</v>
      </c>
      <c r="F8413" s="4">
        <v>50</v>
      </c>
      <c r="G8413" s="4">
        <v>0</v>
      </c>
      <c r="H8413" s="4">
        <v>0</v>
      </c>
      <c r="I8413" s="4">
        <v>0</v>
      </c>
      <c r="J8413" s="4">
        <v>50</v>
      </c>
    </row>
    <row r="8414" spans="1:10" x14ac:dyDescent="0.75">
      <c r="A8414" t="s">
        <v>151</v>
      </c>
      <c r="B8414">
        <v>4824</v>
      </c>
      <c r="C8414" t="s">
        <v>63</v>
      </c>
      <c r="D8414">
        <v>3110</v>
      </c>
      <c r="E8414" t="s">
        <v>405</v>
      </c>
      <c r="F8414" s="4">
        <v>0</v>
      </c>
      <c r="G8414" s="4">
        <v>49</v>
      </c>
      <c r="H8414" s="4">
        <v>49</v>
      </c>
      <c r="I8414" s="4">
        <v>0</v>
      </c>
      <c r="J8414" s="4">
        <v>49</v>
      </c>
    </row>
    <row r="8415" spans="1:10" x14ac:dyDescent="0.75">
      <c r="A8415" t="s">
        <v>151</v>
      </c>
      <c r="B8415">
        <v>4824</v>
      </c>
      <c r="C8415" t="s">
        <v>63</v>
      </c>
      <c r="D8415">
        <v>3130</v>
      </c>
      <c r="E8415" t="s">
        <v>407</v>
      </c>
      <c r="F8415" s="4">
        <v>0</v>
      </c>
      <c r="G8415" s="4">
        <v>41</v>
      </c>
      <c r="H8415" s="4">
        <v>41</v>
      </c>
      <c r="I8415" s="4">
        <v>0</v>
      </c>
      <c r="J8415" s="4">
        <v>41</v>
      </c>
    </row>
    <row r="8416" spans="1:10" x14ac:dyDescent="0.75">
      <c r="A8416" t="s">
        <v>151</v>
      </c>
      <c r="B8416">
        <v>4824</v>
      </c>
      <c r="C8416" t="s">
        <v>63</v>
      </c>
      <c r="D8416">
        <v>2211</v>
      </c>
      <c r="E8416" t="s">
        <v>367</v>
      </c>
      <c r="F8416" s="4">
        <v>35</v>
      </c>
      <c r="G8416" s="4">
        <v>0</v>
      </c>
      <c r="H8416" s="4">
        <v>0</v>
      </c>
      <c r="I8416" s="4">
        <v>0</v>
      </c>
      <c r="J8416" s="4">
        <v>35</v>
      </c>
    </row>
    <row r="8417" spans="1:10" x14ac:dyDescent="0.75">
      <c r="A8417" t="s">
        <v>151</v>
      </c>
      <c r="B8417">
        <v>4824</v>
      </c>
      <c r="C8417" t="s">
        <v>63</v>
      </c>
      <c r="D8417">
        <v>4225</v>
      </c>
      <c r="E8417" t="s">
        <v>380</v>
      </c>
      <c r="F8417" s="4">
        <v>17</v>
      </c>
      <c r="G8417" s="4">
        <v>0</v>
      </c>
      <c r="H8417" s="4">
        <v>0</v>
      </c>
      <c r="I8417" s="4">
        <v>0</v>
      </c>
      <c r="J8417" s="4">
        <v>17</v>
      </c>
    </row>
    <row r="8418" spans="1:10" x14ac:dyDescent="0.75">
      <c r="A8418" t="s">
        <v>151</v>
      </c>
      <c r="B8418">
        <v>4824</v>
      </c>
      <c r="C8418" t="s">
        <v>63</v>
      </c>
      <c r="D8418">
        <v>3282</v>
      </c>
      <c r="E8418" t="s">
        <v>440</v>
      </c>
      <c r="F8418" s="4">
        <v>6</v>
      </c>
      <c r="G8418" s="4">
        <v>0</v>
      </c>
      <c r="H8418" s="4">
        <v>0</v>
      </c>
      <c r="I8418" s="4">
        <v>0</v>
      </c>
      <c r="J8418" s="4">
        <v>6</v>
      </c>
    </row>
    <row r="8419" spans="1:10" x14ac:dyDescent="0.75">
      <c r="A8419" t="s">
        <v>160</v>
      </c>
      <c r="B8419">
        <v>3750</v>
      </c>
      <c r="C8419" t="s">
        <v>342</v>
      </c>
      <c r="D8419">
        <v>4335</v>
      </c>
      <c r="E8419" t="s">
        <v>372</v>
      </c>
      <c r="F8419" s="4">
        <v>2432</v>
      </c>
      <c r="G8419" s="4">
        <v>0</v>
      </c>
      <c r="H8419" s="4">
        <v>0</v>
      </c>
      <c r="I8419" s="4">
        <v>0</v>
      </c>
      <c r="J8419" s="4">
        <v>2432</v>
      </c>
    </row>
    <row r="8420" spans="1:10" x14ac:dyDescent="0.75">
      <c r="A8420" t="s">
        <v>160</v>
      </c>
      <c r="B8420">
        <v>3750</v>
      </c>
      <c r="C8420" t="s">
        <v>342</v>
      </c>
      <c r="D8420">
        <v>4331</v>
      </c>
      <c r="E8420" t="s">
        <v>390</v>
      </c>
      <c r="F8420" s="4">
        <v>1800</v>
      </c>
      <c r="G8420" s="4">
        <v>0</v>
      </c>
      <c r="H8420" s="4">
        <v>0</v>
      </c>
      <c r="I8420" s="4">
        <v>0</v>
      </c>
      <c r="J8420" s="4">
        <v>1800</v>
      </c>
    </row>
    <row r="8421" spans="1:10" x14ac:dyDescent="0.75">
      <c r="A8421" t="s">
        <v>151</v>
      </c>
      <c r="B8421">
        <v>555</v>
      </c>
      <c r="C8421" t="s">
        <v>37</v>
      </c>
      <c r="D8421">
        <v>6856</v>
      </c>
      <c r="E8421" t="s">
        <v>486</v>
      </c>
      <c r="F8421" s="4">
        <v>0</v>
      </c>
      <c r="G8421" s="4">
        <v>1496756</v>
      </c>
      <c r="H8421" s="4">
        <v>1496229</v>
      </c>
      <c r="I8421" s="4">
        <v>527</v>
      </c>
      <c r="J8421" s="4">
        <v>1496756</v>
      </c>
    </row>
    <row r="8422" spans="1:10" x14ac:dyDescent="0.75">
      <c r="A8422" t="s">
        <v>151</v>
      </c>
      <c r="B8422">
        <v>555</v>
      </c>
      <c r="C8422" t="s">
        <v>37</v>
      </c>
      <c r="D8422">
        <v>2100</v>
      </c>
      <c r="E8422" t="s">
        <v>403</v>
      </c>
      <c r="F8422" s="4">
        <v>0</v>
      </c>
      <c r="G8422" s="4">
        <v>1019665</v>
      </c>
      <c r="H8422" s="4">
        <v>1019665</v>
      </c>
      <c r="I8422" s="4">
        <v>0</v>
      </c>
      <c r="J8422" s="4">
        <v>1019665</v>
      </c>
    </row>
    <row r="8423" spans="1:10" x14ac:dyDescent="0.75">
      <c r="A8423" t="s">
        <v>151</v>
      </c>
      <c r="B8423">
        <v>555</v>
      </c>
      <c r="C8423" t="s">
        <v>37</v>
      </c>
      <c r="D8423">
        <v>2330</v>
      </c>
      <c r="E8423" t="s">
        <v>368</v>
      </c>
      <c r="F8423" s="4">
        <v>42891</v>
      </c>
      <c r="G8423" s="4">
        <v>609963</v>
      </c>
      <c r="H8423" s="4">
        <v>563767</v>
      </c>
      <c r="I8423" s="4">
        <v>46196</v>
      </c>
      <c r="J8423" s="4">
        <v>652854</v>
      </c>
    </row>
    <row r="8424" spans="1:10" x14ac:dyDescent="0.75">
      <c r="A8424" t="s">
        <v>151</v>
      </c>
      <c r="B8424">
        <v>555</v>
      </c>
      <c r="C8424" t="s">
        <v>37</v>
      </c>
      <c r="D8424">
        <v>2340</v>
      </c>
      <c r="E8424" t="s">
        <v>369</v>
      </c>
      <c r="F8424" s="4">
        <v>252330</v>
      </c>
      <c r="G8424" s="4">
        <v>293693</v>
      </c>
      <c r="H8424" s="4">
        <v>293693</v>
      </c>
      <c r="I8424" s="4">
        <v>0</v>
      </c>
      <c r="J8424" s="4">
        <v>546023</v>
      </c>
    </row>
    <row r="8425" spans="1:10" x14ac:dyDescent="0.75">
      <c r="A8425" t="s">
        <v>151</v>
      </c>
      <c r="B8425">
        <v>555</v>
      </c>
      <c r="C8425" t="s">
        <v>37</v>
      </c>
      <c r="D8425">
        <v>4783</v>
      </c>
      <c r="E8425" t="s">
        <v>382</v>
      </c>
      <c r="F8425" s="4">
        <v>0</v>
      </c>
      <c r="G8425" s="4">
        <v>478193</v>
      </c>
      <c r="H8425" s="4">
        <v>477962</v>
      </c>
      <c r="I8425" s="4">
        <v>231</v>
      </c>
      <c r="J8425" s="4">
        <v>478193</v>
      </c>
    </row>
    <row r="8426" spans="1:10" x14ac:dyDescent="0.75">
      <c r="A8426" t="s">
        <v>151</v>
      </c>
      <c r="B8426">
        <v>555</v>
      </c>
      <c r="C8426" t="s">
        <v>37</v>
      </c>
      <c r="D8426">
        <v>6857</v>
      </c>
      <c r="E8426" t="s">
        <v>487</v>
      </c>
      <c r="F8426" s="4">
        <v>0</v>
      </c>
      <c r="G8426" s="4">
        <v>450860</v>
      </c>
      <c r="H8426" s="4">
        <v>450324</v>
      </c>
      <c r="I8426" s="4">
        <v>536</v>
      </c>
      <c r="J8426" s="4">
        <v>450860</v>
      </c>
    </row>
    <row r="8427" spans="1:10" x14ac:dyDescent="0.75">
      <c r="A8427" t="s">
        <v>151</v>
      </c>
      <c r="B8427">
        <v>555</v>
      </c>
      <c r="C8427" t="s">
        <v>37</v>
      </c>
      <c r="D8427">
        <v>2540</v>
      </c>
      <c r="E8427" t="s">
        <v>377</v>
      </c>
      <c r="F8427" s="4">
        <v>0</v>
      </c>
      <c r="G8427" s="4">
        <v>386878</v>
      </c>
      <c r="H8427" s="4">
        <v>0</v>
      </c>
      <c r="I8427" s="4">
        <v>386878</v>
      </c>
      <c r="J8427" s="4">
        <v>386878</v>
      </c>
    </row>
    <row r="8428" spans="1:10" x14ac:dyDescent="0.75">
      <c r="A8428" t="s">
        <v>151</v>
      </c>
      <c r="B8428">
        <v>555</v>
      </c>
      <c r="C8428" t="s">
        <v>37</v>
      </c>
      <c r="D8428">
        <v>2211</v>
      </c>
      <c r="E8428" t="s">
        <v>367</v>
      </c>
      <c r="F8428" s="4">
        <v>252703</v>
      </c>
      <c r="G8428" s="4">
        <v>0</v>
      </c>
      <c r="H8428" s="4">
        <v>0</v>
      </c>
      <c r="I8428" s="4">
        <v>0</v>
      </c>
      <c r="J8428" s="4">
        <v>252703</v>
      </c>
    </row>
    <row r="8429" spans="1:10" x14ac:dyDescent="0.75">
      <c r="A8429" t="s">
        <v>151</v>
      </c>
      <c r="B8429">
        <v>555</v>
      </c>
      <c r="C8429" t="s">
        <v>37</v>
      </c>
      <c r="D8429">
        <v>6858</v>
      </c>
      <c r="E8429" t="s">
        <v>488</v>
      </c>
      <c r="F8429" s="4">
        <v>0</v>
      </c>
      <c r="G8429" s="4">
        <v>199226</v>
      </c>
      <c r="H8429" s="4">
        <v>198659</v>
      </c>
      <c r="I8429" s="4">
        <v>567</v>
      </c>
      <c r="J8429" s="4">
        <v>199226</v>
      </c>
    </row>
    <row r="8430" spans="1:10" x14ac:dyDescent="0.75">
      <c r="A8430" t="s">
        <v>151</v>
      </c>
      <c r="B8430">
        <v>555</v>
      </c>
      <c r="C8430" t="s">
        <v>37</v>
      </c>
      <c r="D8430">
        <v>7210</v>
      </c>
      <c r="E8430" t="s">
        <v>426</v>
      </c>
      <c r="F8430" s="4">
        <v>0</v>
      </c>
      <c r="G8430" s="4">
        <v>91505</v>
      </c>
      <c r="H8430" s="4">
        <v>30992</v>
      </c>
      <c r="I8430" s="4">
        <v>60513</v>
      </c>
      <c r="J8430" s="4">
        <v>91505</v>
      </c>
    </row>
    <row r="8431" spans="1:10" x14ac:dyDescent="0.75">
      <c r="A8431" t="s">
        <v>151</v>
      </c>
      <c r="B8431">
        <v>555</v>
      </c>
      <c r="C8431" t="s">
        <v>37</v>
      </c>
      <c r="D8431">
        <v>4189</v>
      </c>
      <c r="E8431" t="s">
        <v>451</v>
      </c>
      <c r="F8431" s="4">
        <v>0</v>
      </c>
      <c r="G8431" s="4">
        <v>73477</v>
      </c>
      <c r="H8431" s="4">
        <v>73477</v>
      </c>
      <c r="I8431" s="4">
        <v>0</v>
      </c>
      <c r="J8431" s="4">
        <v>73477</v>
      </c>
    </row>
    <row r="8432" spans="1:10" x14ac:dyDescent="0.75">
      <c r="A8432" t="s">
        <v>151</v>
      </c>
      <c r="B8432">
        <v>555</v>
      </c>
      <c r="C8432" t="s">
        <v>37</v>
      </c>
      <c r="D8432">
        <v>6747</v>
      </c>
      <c r="E8432" t="s">
        <v>478</v>
      </c>
      <c r="F8432" s="4">
        <v>0</v>
      </c>
      <c r="G8432" s="4">
        <v>70718</v>
      </c>
      <c r="H8432" s="4">
        <v>70400</v>
      </c>
      <c r="I8432" s="4">
        <v>318</v>
      </c>
      <c r="J8432" s="4">
        <v>70718</v>
      </c>
    </row>
    <row r="8433" spans="1:10" x14ac:dyDescent="0.75">
      <c r="A8433" t="s">
        <v>151</v>
      </c>
      <c r="B8433">
        <v>555</v>
      </c>
      <c r="C8433" t="s">
        <v>37</v>
      </c>
      <c r="D8433">
        <v>3276</v>
      </c>
      <c r="E8433" t="s">
        <v>379</v>
      </c>
      <c r="F8433" s="4">
        <v>0</v>
      </c>
      <c r="G8433" s="4">
        <v>69293</v>
      </c>
      <c r="H8433" s="4">
        <v>68072</v>
      </c>
      <c r="I8433" s="4">
        <v>1221</v>
      </c>
      <c r="J8433" s="4">
        <v>69293</v>
      </c>
    </row>
    <row r="8434" spans="1:10" x14ac:dyDescent="0.75">
      <c r="A8434" t="s">
        <v>151</v>
      </c>
      <c r="B8434">
        <v>555</v>
      </c>
      <c r="C8434" t="s">
        <v>37</v>
      </c>
      <c r="D8434">
        <v>6654</v>
      </c>
      <c r="E8434" t="s">
        <v>419</v>
      </c>
      <c r="F8434" s="4">
        <v>0</v>
      </c>
      <c r="G8434" s="4">
        <v>64825</v>
      </c>
      <c r="H8434" s="4">
        <v>58583</v>
      </c>
      <c r="I8434" s="4">
        <v>6242</v>
      </c>
      <c r="J8434" s="4">
        <v>64825</v>
      </c>
    </row>
    <row r="8435" spans="1:10" x14ac:dyDescent="0.75">
      <c r="A8435" t="s">
        <v>151</v>
      </c>
      <c r="B8435">
        <v>555</v>
      </c>
      <c r="C8435" t="s">
        <v>37</v>
      </c>
      <c r="D8435">
        <v>5120</v>
      </c>
      <c r="E8435" t="s">
        <v>461</v>
      </c>
      <c r="F8435" s="4">
        <v>0</v>
      </c>
      <c r="G8435" s="4">
        <v>63344</v>
      </c>
      <c r="H8435" s="4">
        <v>3</v>
      </c>
      <c r="I8435" s="4">
        <v>63341</v>
      </c>
      <c r="J8435" s="4">
        <v>63344</v>
      </c>
    </row>
    <row r="8436" spans="1:10" x14ac:dyDescent="0.75">
      <c r="A8436" t="s">
        <v>151</v>
      </c>
      <c r="B8436">
        <v>555</v>
      </c>
      <c r="C8436" t="s">
        <v>37</v>
      </c>
      <c r="D8436">
        <v>3220</v>
      </c>
      <c r="E8436" t="s">
        <v>370</v>
      </c>
      <c r="F8436" s="4">
        <v>46322</v>
      </c>
      <c r="G8436" s="4">
        <v>109</v>
      </c>
      <c r="H8436" s="4">
        <v>109</v>
      </c>
      <c r="I8436" s="4">
        <v>0</v>
      </c>
      <c r="J8436" s="4">
        <v>46431</v>
      </c>
    </row>
    <row r="8437" spans="1:10" x14ac:dyDescent="0.75">
      <c r="A8437" t="s">
        <v>151</v>
      </c>
      <c r="B8437">
        <v>555</v>
      </c>
      <c r="C8437" t="s">
        <v>37</v>
      </c>
      <c r="D8437">
        <v>4860</v>
      </c>
      <c r="E8437" t="s">
        <v>400</v>
      </c>
      <c r="F8437" s="4">
        <v>0</v>
      </c>
      <c r="G8437" s="4">
        <v>44203</v>
      </c>
      <c r="H8437" s="4">
        <v>44203</v>
      </c>
      <c r="I8437" s="4">
        <v>0</v>
      </c>
      <c r="J8437" s="4">
        <v>44203</v>
      </c>
    </row>
    <row r="8438" spans="1:10" x14ac:dyDescent="0.75">
      <c r="A8438" t="s">
        <v>151</v>
      </c>
      <c r="B8438">
        <v>555</v>
      </c>
      <c r="C8438" t="s">
        <v>37</v>
      </c>
      <c r="D8438">
        <v>2350</v>
      </c>
      <c r="E8438" t="s">
        <v>404</v>
      </c>
      <c r="F8438" s="4">
        <v>0</v>
      </c>
      <c r="G8438" s="4">
        <v>41736</v>
      </c>
      <c r="H8438" s="4">
        <v>41736</v>
      </c>
      <c r="I8438" s="4">
        <v>0</v>
      </c>
      <c r="J8438" s="4">
        <v>41736</v>
      </c>
    </row>
    <row r="8439" spans="1:10" x14ac:dyDescent="0.75">
      <c r="A8439" t="s">
        <v>151</v>
      </c>
      <c r="B8439">
        <v>555</v>
      </c>
      <c r="C8439" t="s">
        <v>37</v>
      </c>
      <c r="D8439">
        <v>7900</v>
      </c>
      <c r="E8439" t="s">
        <v>388</v>
      </c>
      <c r="F8439" s="4">
        <v>0</v>
      </c>
      <c r="G8439" s="4">
        <v>25941</v>
      </c>
      <c r="H8439" s="4">
        <v>8156</v>
      </c>
      <c r="I8439" s="4">
        <v>17785</v>
      </c>
      <c r="J8439" s="4">
        <v>25941</v>
      </c>
    </row>
    <row r="8440" spans="1:10" x14ac:dyDescent="0.75">
      <c r="A8440" t="s">
        <v>151</v>
      </c>
      <c r="B8440">
        <v>555</v>
      </c>
      <c r="C8440" t="s">
        <v>37</v>
      </c>
      <c r="D8440">
        <v>3275</v>
      </c>
      <c r="E8440" t="s">
        <v>412</v>
      </c>
      <c r="F8440" s="4">
        <v>0</v>
      </c>
      <c r="G8440" s="4">
        <v>15423</v>
      </c>
      <c r="H8440" s="4">
        <v>15247</v>
      </c>
      <c r="I8440" s="4">
        <v>176</v>
      </c>
      <c r="J8440" s="4">
        <v>15423</v>
      </c>
    </row>
    <row r="8441" spans="1:10" x14ac:dyDescent="0.75">
      <c r="A8441" t="s">
        <v>151</v>
      </c>
      <c r="B8441">
        <v>555</v>
      </c>
      <c r="C8441" t="s">
        <v>37</v>
      </c>
      <c r="D8441">
        <v>3299</v>
      </c>
      <c r="E8441" t="s">
        <v>448</v>
      </c>
      <c r="F8441" s="4">
        <v>0</v>
      </c>
      <c r="G8441" s="4">
        <v>14024</v>
      </c>
      <c r="H8441" s="4">
        <v>13962</v>
      </c>
      <c r="I8441" s="4">
        <v>62</v>
      </c>
      <c r="J8441" s="4">
        <v>14024</v>
      </c>
    </row>
    <row r="8442" spans="1:10" x14ac:dyDescent="0.75">
      <c r="A8442" t="s">
        <v>151</v>
      </c>
      <c r="B8442">
        <v>555</v>
      </c>
      <c r="C8442" t="s">
        <v>37</v>
      </c>
      <c r="D8442">
        <v>6782</v>
      </c>
      <c r="E8442" t="s">
        <v>396</v>
      </c>
      <c r="F8442" s="4">
        <v>0</v>
      </c>
      <c r="G8442" s="4">
        <v>13431</v>
      </c>
      <c r="H8442" s="4">
        <v>13339</v>
      </c>
      <c r="I8442" s="4">
        <v>92</v>
      </c>
      <c r="J8442" s="4">
        <v>13431</v>
      </c>
    </row>
    <row r="8443" spans="1:10" x14ac:dyDescent="0.75">
      <c r="A8443" t="s">
        <v>151</v>
      </c>
      <c r="B8443">
        <v>555</v>
      </c>
      <c r="C8443" t="s">
        <v>37</v>
      </c>
      <c r="D8443">
        <v>2640</v>
      </c>
      <c r="E8443" t="s">
        <v>431</v>
      </c>
      <c r="F8443" s="4">
        <v>0</v>
      </c>
      <c r="G8443" s="4">
        <v>13223</v>
      </c>
      <c r="H8443" s="4">
        <v>0</v>
      </c>
      <c r="I8443" s="4">
        <v>13223</v>
      </c>
      <c r="J8443" s="4">
        <v>13223</v>
      </c>
    </row>
    <row r="8444" spans="1:10" x14ac:dyDescent="0.75">
      <c r="A8444" t="s">
        <v>151</v>
      </c>
      <c r="B8444">
        <v>555</v>
      </c>
      <c r="C8444" t="s">
        <v>37</v>
      </c>
      <c r="D8444">
        <v>6442</v>
      </c>
      <c r="E8444" t="s">
        <v>472</v>
      </c>
      <c r="F8444" s="4">
        <v>0</v>
      </c>
      <c r="G8444" s="4">
        <v>12462</v>
      </c>
      <c r="H8444" s="4">
        <v>12462</v>
      </c>
      <c r="I8444" s="4">
        <v>0</v>
      </c>
      <c r="J8444" s="4">
        <v>12462</v>
      </c>
    </row>
    <row r="8445" spans="1:10" x14ac:dyDescent="0.75">
      <c r="A8445" t="s">
        <v>151</v>
      </c>
      <c r="B8445">
        <v>555</v>
      </c>
      <c r="C8445" t="s">
        <v>37</v>
      </c>
      <c r="D8445">
        <v>4900</v>
      </c>
      <c r="E8445" t="s">
        <v>383</v>
      </c>
      <c r="F8445" s="4">
        <v>0</v>
      </c>
      <c r="G8445" s="4">
        <v>11696</v>
      </c>
      <c r="H8445" s="4">
        <v>10962</v>
      </c>
      <c r="I8445" s="4">
        <v>734</v>
      </c>
      <c r="J8445" s="4">
        <v>11696</v>
      </c>
    </row>
    <row r="8446" spans="1:10" x14ac:dyDescent="0.75">
      <c r="A8446" t="s">
        <v>151</v>
      </c>
      <c r="B8446">
        <v>555</v>
      </c>
      <c r="C8446" t="s">
        <v>37</v>
      </c>
      <c r="D8446">
        <v>6889</v>
      </c>
      <c r="E8446" t="s">
        <v>420</v>
      </c>
      <c r="F8446" s="4">
        <v>0</v>
      </c>
      <c r="G8446" s="4">
        <v>10668</v>
      </c>
      <c r="H8446" s="4">
        <v>9936</v>
      </c>
      <c r="I8446" s="4">
        <v>732</v>
      </c>
      <c r="J8446" s="4">
        <v>10668</v>
      </c>
    </row>
    <row r="8447" spans="1:10" x14ac:dyDescent="0.75">
      <c r="A8447" t="s">
        <v>151</v>
      </c>
      <c r="B8447">
        <v>555</v>
      </c>
      <c r="C8447" t="s">
        <v>37</v>
      </c>
      <c r="D8447">
        <v>3219</v>
      </c>
      <c r="E8447" t="s">
        <v>378</v>
      </c>
      <c r="F8447" s="4">
        <v>0</v>
      </c>
      <c r="G8447" s="4">
        <v>10436</v>
      </c>
      <c r="H8447" s="4">
        <v>0</v>
      </c>
      <c r="I8447" s="4">
        <v>10436</v>
      </c>
      <c r="J8447" s="4">
        <v>10436</v>
      </c>
    </row>
    <row r="8448" spans="1:10" x14ac:dyDescent="0.75">
      <c r="A8448" t="s">
        <v>151</v>
      </c>
      <c r="B8448">
        <v>555</v>
      </c>
      <c r="C8448" t="s">
        <v>37</v>
      </c>
      <c r="D8448">
        <v>6653</v>
      </c>
      <c r="E8448" t="s">
        <v>395</v>
      </c>
      <c r="F8448" s="4">
        <v>0</v>
      </c>
      <c r="G8448" s="4">
        <v>7342</v>
      </c>
      <c r="H8448" s="4">
        <v>6967</v>
      </c>
      <c r="I8448" s="4">
        <v>375</v>
      </c>
      <c r="J8448" s="4">
        <v>7342</v>
      </c>
    </row>
    <row r="8449" spans="1:10" x14ac:dyDescent="0.75">
      <c r="A8449" t="s">
        <v>151</v>
      </c>
      <c r="B8449">
        <v>555</v>
      </c>
      <c r="C8449" t="s">
        <v>37</v>
      </c>
      <c r="D8449">
        <v>3110</v>
      </c>
      <c r="E8449" t="s">
        <v>405</v>
      </c>
      <c r="F8449" s="4">
        <v>0</v>
      </c>
      <c r="G8449" s="4">
        <v>6716</v>
      </c>
      <c r="H8449" s="4">
        <v>6695</v>
      </c>
      <c r="I8449" s="4">
        <v>21</v>
      </c>
      <c r="J8449" s="4">
        <v>6716</v>
      </c>
    </row>
    <row r="8450" spans="1:10" x14ac:dyDescent="0.75">
      <c r="A8450" t="s">
        <v>151</v>
      </c>
      <c r="B8450">
        <v>555</v>
      </c>
      <c r="C8450" t="s">
        <v>37</v>
      </c>
      <c r="D8450">
        <v>6885</v>
      </c>
      <c r="E8450" t="s">
        <v>493</v>
      </c>
      <c r="F8450" s="4">
        <v>0</v>
      </c>
      <c r="G8450" s="4">
        <v>5703</v>
      </c>
      <c r="H8450" s="4">
        <v>2112</v>
      </c>
      <c r="I8450" s="4">
        <v>3591</v>
      </c>
      <c r="J8450" s="4">
        <v>5703</v>
      </c>
    </row>
    <row r="8451" spans="1:10" x14ac:dyDescent="0.75">
      <c r="A8451" t="s">
        <v>151</v>
      </c>
      <c r="B8451">
        <v>555</v>
      </c>
      <c r="C8451" t="s">
        <v>37</v>
      </c>
      <c r="D8451">
        <v>6522</v>
      </c>
      <c r="E8451" t="s">
        <v>393</v>
      </c>
      <c r="F8451" s="4">
        <v>0</v>
      </c>
      <c r="G8451" s="4">
        <v>5454</v>
      </c>
      <c r="H8451" s="4">
        <v>5454</v>
      </c>
      <c r="I8451" s="4">
        <v>0</v>
      </c>
      <c r="J8451" s="4">
        <v>5454</v>
      </c>
    </row>
    <row r="8452" spans="1:10" x14ac:dyDescent="0.75">
      <c r="A8452" t="s">
        <v>151</v>
      </c>
      <c r="B8452">
        <v>555</v>
      </c>
      <c r="C8452" t="s">
        <v>37</v>
      </c>
      <c r="D8452">
        <v>4225</v>
      </c>
      <c r="E8452" t="s">
        <v>380</v>
      </c>
      <c r="F8452" s="4">
        <v>0</v>
      </c>
      <c r="G8452" s="4">
        <v>5382</v>
      </c>
      <c r="H8452" s="4">
        <v>1094</v>
      </c>
      <c r="I8452" s="4">
        <v>4288</v>
      </c>
      <c r="J8452" s="4">
        <v>5382</v>
      </c>
    </row>
    <row r="8453" spans="1:10" x14ac:dyDescent="0.75">
      <c r="A8453" t="s">
        <v>151</v>
      </c>
      <c r="B8453">
        <v>555</v>
      </c>
      <c r="C8453" t="s">
        <v>37</v>
      </c>
      <c r="D8453">
        <v>9900</v>
      </c>
      <c r="E8453" t="s">
        <v>389</v>
      </c>
      <c r="F8453" s="4">
        <v>0</v>
      </c>
      <c r="G8453" s="4">
        <v>4510</v>
      </c>
      <c r="H8453" s="4">
        <v>3641</v>
      </c>
      <c r="I8453" s="4">
        <v>869</v>
      </c>
      <c r="J8453" s="4">
        <v>4510</v>
      </c>
    </row>
    <row r="8454" spans="1:10" x14ac:dyDescent="0.75">
      <c r="A8454" t="s">
        <v>151</v>
      </c>
      <c r="B8454">
        <v>555</v>
      </c>
      <c r="C8454" t="s">
        <v>37</v>
      </c>
      <c r="D8454">
        <v>4680</v>
      </c>
      <c r="E8454" t="s">
        <v>459</v>
      </c>
      <c r="F8454" s="4">
        <v>0</v>
      </c>
      <c r="G8454" s="4">
        <v>3225</v>
      </c>
      <c r="H8454" s="4">
        <v>0</v>
      </c>
      <c r="I8454" s="4">
        <v>3225</v>
      </c>
      <c r="J8454" s="4">
        <v>3225</v>
      </c>
    </row>
    <row r="8455" spans="1:10" x14ac:dyDescent="0.75">
      <c r="A8455" t="s">
        <v>151</v>
      </c>
      <c r="B8455">
        <v>555</v>
      </c>
      <c r="C8455" t="s">
        <v>37</v>
      </c>
      <c r="D8455">
        <v>7500</v>
      </c>
      <c r="E8455" t="s">
        <v>427</v>
      </c>
      <c r="F8455" s="4">
        <v>0</v>
      </c>
      <c r="G8455" s="4">
        <v>3079</v>
      </c>
      <c r="H8455" s="4">
        <v>1276</v>
      </c>
      <c r="I8455" s="4">
        <v>1803</v>
      </c>
      <c r="J8455" s="4">
        <v>3079</v>
      </c>
    </row>
    <row r="8456" spans="1:10" x14ac:dyDescent="0.75">
      <c r="A8456" t="s">
        <v>151</v>
      </c>
      <c r="B8456">
        <v>555</v>
      </c>
      <c r="C8456" t="s">
        <v>37</v>
      </c>
      <c r="D8456">
        <v>6822</v>
      </c>
      <c r="E8456" t="s">
        <v>482</v>
      </c>
      <c r="F8456" s="4">
        <v>0</v>
      </c>
      <c r="G8456" s="4">
        <v>2756</v>
      </c>
      <c r="H8456" s="4">
        <v>2406</v>
      </c>
      <c r="I8456" s="4">
        <v>350</v>
      </c>
      <c r="J8456" s="4">
        <v>2756</v>
      </c>
    </row>
    <row r="8457" spans="1:10" x14ac:dyDescent="0.75">
      <c r="A8457" t="s">
        <v>151</v>
      </c>
      <c r="B8457">
        <v>555</v>
      </c>
      <c r="C8457" t="s">
        <v>37</v>
      </c>
      <c r="D8457">
        <v>5370</v>
      </c>
      <c r="E8457" t="s">
        <v>466</v>
      </c>
      <c r="F8457" s="4">
        <v>0</v>
      </c>
      <c r="G8457" s="4">
        <v>2411</v>
      </c>
      <c r="H8457" s="4">
        <v>2407</v>
      </c>
      <c r="I8457" s="4">
        <v>4</v>
      </c>
      <c r="J8457" s="4">
        <v>2411</v>
      </c>
    </row>
    <row r="8458" spans="1:10" x14ac:dyDescent="0.75">
      <c r="A8458" t="s">
        <v>151</v>
      </c>
      <c r="B8458">
        <v>555</v>
      </c>
      <c r="C8458" t="s">
        <v>37</v>
      </c>
      <c r="D8458">
        <v>5540</v>
      </c>
      <c r="E8458" t="s">
        <v>469</v>
      </c>
      <c r="F8458" s="4">
        <v>0</v>
      </c>
      <c r="G8458" s="4">
        <v>2170</v>
      </c>
      <c r="H8458" s="4">
        <v>2071</v>
      </c>
      <c r="I8458" s="4">
        <v>99</v>
      </c>
      <c r="J8458" s="4">
        <v>2170</v>
      </c>
    </row>
    <row r="8459" spans="1:10" x14ac:dyDescent="0.75">
      <c r="A8459" t="s">
        <v>151</v>
      </c>
      <c r="B8459">
        <v>555</v>
      </c>
      <c r="C8459" t="s">
        <v>37</v>
      </c>
      <c r="D8459">
        <v>6811</v>
      </c>
      <c r="E8459" t="s">
        <v>480</v>
      </c>
      <c r="F8459" s="4">
        <v>0</v>
      </c>
      <c r="G8459" s="4">
        <v>1978</v>
      </c>
      <c r="H8459" s="4">
        <v>360</v>
      </c>
      <c r="I8459" s="4">
        <v>1618</v>
      </c>
      <c r="J8459" s="4">
        <v>1978</v>
      </c>
    </row>
    <row r="8460" spans="1:10" x14ac:dyDescent="0.75">
      <c r="A8460" t="s">
        <v>151</v>
      </c>
      <c r="B8460">
        <v>555</v>
      </c>
      <c r="C8460" t="s">
        <v>37</v>
      </c>
      <c r="D8460">
        <v>5480</v>
      </c>
      <c r="E8460" t="s">
        <v>386</v>
      </c>
      <c r="F8460" s="4">
        <v>0</v>
      </c>
      <c r="G8460" s="4">
        <v>1971</v>
      </c>
      <c r="H8460" s="4">
        <v>755</v>
      </c>
      <c r="I8460" s="4">
        <v>1216</v>
      </c>
      <c r="J8460" s="4">
        <v>1971</v>
      </c>
    </row>
    <row r="8461" spans="1:10" x14ac:dyDescent="0.75">
      <c r="A8461" t="s">
        <v>151</v>
      </c>
      <c r="B8461">
        <v>555</v>
      </c>
      <c r="C8461" t="s">
        <v>37</v>
      </c>
      <c r="D8461">
        <v>7110</v>
      </c>
      <c r="E8461" t="s">
        <v>371</v>
      </c>
      <c r="F8461" s="4">
        <v>0</v>
      </c>
      <c r="G8461" s="4">
        <v>1658</v>
      </c>
      <c r="H8461" s="4">
        <v>491</v>
      </c>
      <c r="I8461" s="4">
        <v>1167</v>
      </c>
      <c r="J8461" s="4">
        <v>1658</v>
      </c>
    </row>
    <row r="8462" spans="1:10" x14ac:dyDescent="0.75">
      <c r="A8462" t="s">
        <v>151</v>
      </c>
      <c r="B8462">
        <v>555</v>
      </c>
      <c r="C8462" t="s">
        <v>37</v>
      </c>
      <c r="D8462">
        <v>3190</v>
      </c>
      <c r="E8462" t="s">
        <v>408</v>
      </c>
      <c r="F8462" s="4">
        <v>0</v>
      </c>
      <c r="G8462" s="4">
        <v>1502</v>
      </c>
      <c r="H8462" s="4">
        <v>1376</v>
      </c>
      <c r="I8462" s="4">
        <v>126</v>
      </c>
      <c r="J8462" s="4">
        <v>1502</v>
      </c>
    </row>
    <row r="8463" spans="1:10" x14ac:dyDescent="0.75">
      <c r="A8463" t="s">
        <v>151</v>
      </c>
      <c r="B8463">
        <v>555</v>
      </c>
      <c r="C8463" t="s">
        <v>37</v>
      </c>
      <c r="D8463">
        <v>7600</v>
      </c>
      <c r="E8463" t="s">
        <v>503</v>
      </c>
      <c r="F8463" s="4">
        <v>0</v>
      </c>
      <c r="G8463" s="4">
        <v>1342</v>
      </c>
      <c r="H8463" s="4">
        <v>858</v>
      </c>
      <c r="I8463" s="4">
        <v>484</v>
      </c>
      <c r="J8463" s="4">
        <v>1342</v>
      </c>
    </row>
    <row r="8464" spans="1:10" x14ac:dyDescent="0.75">
      <c r="A8464" t="s">
        <v>151</v>
      </c>
      <c r="B8464">
        <v>555</v>
      </c>
      <c r="C8464" t="s">
        <v>37</v>
      </c>
      <c r="D8464">
        <v>7400</v>
      </c>
      <c r="E8464" t="s">
        <v>502</v>
      </c>
      <c r="F8464" s="4">
        <v>0</v>
      </c>
      <c r="G8464" s="4">
        <v>1311</v>
      </c>
      <c r="H8464" s="4">
        <v>969</v>
      </c>
      <c r="I8464" s="4">
        <v>342</v>
      </c>
      <c r="J8464" s="4">
        <v>1311</v>
      </c>
    </row>
    <row r="8465" spans="1:10" x14ac:dyDescent="0.75">
      <c r="A8465" t="s">
        <v>151</v>
      </c>
      <c r="B8465">
        <v>555</v>
      </c>
      <c r="C8465" t="s">
        <v>37</v>
      </c>
      <c r="D8465">
        <v>7120</v>
      </c>
      <c r="E8465" t="s">
        <v>499</v>
      </c>
      <c r="F8465" s="4">
        <v>0</v>
      </c>
      <c r="G8465" s="4">
        <v>1250</v>
      </c>
      <c r="H8465" s="4">
        <v>436</v>
      </c>
      <c r="I8465" s="4">
        <v>814</v>
      </c>
      <c r="J8465" s="4">
        <v>1250</v>
      </c>
    </row>
    <row r="8466" spans="1:10" x14ac:dyDescent="0.75">
      <c r="A8466" t="s">
        <v>151</v>
      </c>
      <c r="B8466">
        <v>555</v>
      </c>
      <c r="C8466" t="s">
        <v>37</v>
      </c>
      <c r="D8466">
        <v>3282</v>
      </c>
      <c r="E8466" t="s">
        <v>440</v>
      </c>
      <c r="F8466" s="4">
        <v>0</v>
      </c>
      <c r="G8466" s="4">
        <v>1075</v>
      </c>
      <c r="H8466" s="4">
        <v>57</v>
      </c>
      <c r="I8466" s="4">
        <v>1018</v>
      </c>
      <c r="J8466" s="4">
        <v>1075</v>
      </c>
    </row>
    <row r="8467" spans="1:10" x14ac:dyDescent="0.75">
      <c r="A8467" t="s">
        <v>151</v>
      </c>
      <c r="B8467">
        <v>555</v>
      </c>
      <c r="C8467" t="s">
        <v>37</v>
      </c>
      <c r="D8467">
        <v>3240</v>
      </c>
      <c r="E8467" t="s">
        <v>410</v>
      </c>
      <c r="F8467" s="4">
        <v>0</v>
      </c>
      <c r="G8467" s="4">
        <v>1053</v>
      </c>
      <c r="H8467" s="4">
        <v>1053</v>
      </c>
      <c r="I8467" s="4">
        <v>0</v>
      </c>
      <c r="J8467" s="4">
        <v>1053</v>
      </c>
    </row>
    <row r="8468" spans="1:10" x14ac:dyDescent="0.75">
      <c r="A8468" t="s">
        <v>151</v>
      </c>
      <c r="B8468">
        <v>555</v>
      </c>
      <c r="C8468" t="s">
        <v>37</v>
      </c>
      <c r="D8468">
        <v>5290</v>
      </c>
      <c r="E8468" t="s">
        <v>415</v>
      </c>
      <c r="F8468" s="4">
        <v>0</v>
      </c>
      <c r="G8468" s="4">
        <v>1004</v>
      </c>
      <c r="H8468" s="4">
        <v>0</v>
      </c>
      <c r="I8468" s="4">
        <v>1004</v>
      </c>
      <c r="J8468" s="4">
        <v>1004</v>
      </c>
    </row>
    <row r="8469" spans="1:10" x14ac:dyDescent="0.75">
      <c r="A8469" t="s">
        <v>151</v>
      </c>
      <c r="B8469">
        <v>555</v>
      </c>
      <c r="C8469" t="s">
        <v>37</v>
      </c>
      <c r="D8469">
        <v>6871</v>
      </c>
      <c r="E8469" t="s">
        <v>491</v>
      </c>
      <c r="F8469" s="4">
        <v>0</v>
      </c>
      <c r="G8469" s="4">
        <v>930</v>
      </c>
      <c r="H8469" s="4">
        <v>930</v>
      </c>
      <c r="I8469" s="4">
        <v>0</v>
      </c>
      <c r="J8469" s="4">
        <v>930</v>
      </c>
    </row>
    <row r="8470" spans="1:10" x14ac:dyDescent="0.75">
      <c r="A8470" t="s">
        <v>151</v>
      </c>
      <c r="B8470">
        <v>555</v>
      </c>
      <c r="C8470" t="s">
        <v>37</v>
      </c>
      <c r="D8470">
        <v>3292</v>
      </c>
      <c r="E8470" t="s">
        <v>413</v>
      </c>
      <c r="F8470" s="4">
        <v>0</v>
      </c>
      <c r="G8470" s="4">
        <v>837</v>
      </c>
      <c r="H8470" s="4">
        <v>837</v>
      </c>
      <c r="I8470" s="4">
        <v>0</v>
      </c>
      <c r="J8470" s="4">
        <v>837</v>
      </c>
    </row>
    <row r="8471" spans="1:10" x14ac:dyDescent="0.75">
      <c r="A8471" t="s">
        <v>151</v>
      </c>
      <c r="B8471">
        <v>555</v>
      </c>
      <c r="C8471" t="s">
        <v>37</v>
      </c>
      <c r="D8471">
        <v>3285</v>
      </c>
      <c r="E8471" t="s">
        <v>443</v>
      </c>
      <c r="F8471" s="4">
        <v>0</v>
      </c>
      <c r="G8471" s="4">
        <v>698</v>
      </c>
      <c r="H8471" s="4">
        <v>568</v>
      </c>
      <c r="I8471" s="4">
        <v>130</v>
      </c>
      <c r="J8471" s="4">
        <v>698</v>
      </c>
    </row>
    <row r="8472" spans="1:10" x14ac:dyDescent="0.75">
      <c r="A8472" t="s">
        <v>151</v>
      </c>
      <c r="B8472">
        <v>555</v>
      </c>
      <c r="C8472" t="s">
        <v>37</v>
      </c>
      <c r="D8472">
        <v>3286</v>
      </c>
      <c r="E8472" t="s">
        <v>423</v>
      </c>
      <c r="F8472" s="4">
        <v>0</v>
      </c>
      <c r="G8472" s="4">
        <v>655</v>
      </c>
      <c r="H8472" s="4">
        <v>326</v>
      </c>
      <c r="I8472" s="4">
        <v>329</v>
      </c>
      <c r="J8472" s="4">
        <v>655</v>
      </c>
    </row>
    <row r="8473" spans="1:10" x14ac:dyDescent="0.75">
      <c r="A8473" t="s">
        <v>151</v>
      </c>
      <c r="B8473">
        <v>555</v>
      </c>
      <c r="C8473" t="s">
        <v>37</v>
      </c>
      <c r="D8473">
        <v>5190</v>
      </c>
      <c r="E8473" t="s">
        <v>462</v>
      </c>
      <c r="F8473" s="4">
        <v>0</v>
      </c>
      <c r="G8473" s="4">
        <v>532</v>
      </c>
      <c r="H8473" s="4">
        <v>460</v>
      </c>
      <c r="I8473" s="4">
        <v>72</v>
      </c>
      <c r="J8473" s="4">
        <v>532</v>
      </c>
    </row>
    <row r="8474" spans="1:10" x14ac:dyDescent="0.75">
      <c r="A8474" t="s">
        <v>151</v>
      </c>
      <c r="B8474">
        <v>555</v>
      </c>
      <c r="C8474" t="s">
        <v>37</v>
      </c>
      <c r="D8474">
        <v>6899</v>
      </c>
      <c r="E8474" t="s">
        <v>498</v>
      </c>
      <c r="F8474" s="4">
        <v>0</v>
      </c>
      <c r="G8474" s="4">
        <v>507</v>
      </c>
      <c r="H8474" s="4">
        <v>507</v>
      </c>
      <c r="I8474" s="4">
        <v>0</v>
      </c>
      <c r="J8474" s="4">
        <v>507</v>
      </c>
    </row>
    <row r="8475" spans="1:10" x14ac:dyDescent="0.75">
      <c r="A8475" t="s">
        <v>151</v>
      </c>
      <c r="B8475">
        <v>555</v>
      </c>
      <c r="C8475" t="s">
        <v>37</v>
      </c>
      <c r="D8475">
        <v>6136</v>
      </c>
      <c r="E8475" t="s">
        <v>471</v>
      </c>
      <c r="F8475" s="4">
        <v>0</v>
      </c>
      <c r="G8475" s="4">
        <v>473</v>
      </c>
      <c r="H8475" s="4">
        <v>453</v>
      </c>
      <c r="I8475" s="4">
        <v>20</v>
      </c>
      <c r="J8475" s="4">
        <v>473</v>
      </c>
    </row>
    <row r="8476" spans="1:10" x14ac:dyDescent="0.75">
      <c r="A8476" t="s">
        <v>151</v>
      </c>
      <c r="B8476">
        <v>555</v>
      </c>
      <c r="C8476" t="s">
        <v>37</v>
      </c>
      <c r="D8476">
        <v>3211</v>
      </c>
      <c r="E8476" t="s">
        <v>433</v>
      </c>
      <c r="F8476" s="4">
        <v>0</v>
      </c>
      <c r="G8476" s="4">
        <v>340</v>
      </c>
      <c r="H8476" s="4">
        <v>0</v>
      </c>
      <c r="I8476" s="4">
        <v>340</v>
      </c>
      <c r="J8476" s="4">
        <v>340</v>
      </c>
    </row>
    <row r="8477" spans="1:10" x14ac:dyDescent="0.75">
      <c r="A8477" t="s">
        <v>151</v>
      </c>
      <c r="B8477">
        <v>555</v>
      </c>
      <c r="C8477" t="s">
        <v>37</v>
      </c>
      <c r="D8477">
        <v>6344</v>
      </c>
      <c r="E8477" t="s">
        <v>392</v>
      </c>
      <c r="F8477" s="4">
        <v>0</v>
      </c>
      <c r="G8477" s="4">
        <v>237</v>
      </c>
      <c r="H8477" s="4">
        <v>79</v>
      </c>
      <c r="I8477" s="4">
        <v>158</v>
      </c>
      <c r="J8477" s="4">
        <v>237</v>
      </c>
    </row>
    <row r="8478" spans="1:10" x14ac:dyDescent="0.75">
      <c r="A8478" t="s">
        <v>151</v>
      </c>
      <c r="B8478">
        <v>555</v>
      </c>
      <c r="C8478" t="s">
        <v>37</v>
      </c>
      <c r="D8478">
        <v>4150</v>
      </c>
      <c r="E8478" t="s">
        <v>450</v>
      </c>
      <c r="F8478" s="4">
        <v>0</v>
      </c>
      <c r="G8478" s="4">
        <v>154</v>
      </c>
      <c r="H8478" s="4">
        <v>154</v>
      </c>
      <c r="I8478" s="4">
        <v>0</v>
      </c>
      <c r="J8478" s="4">
        <v>154</v>
      </c>
    </row>
    <row r="8479" spans="1:10" x14ac:dyDescent="0.75">
      <c r="A8479" t="s">
        <v>151</v>
      </c>
      <c r="B8479">
        <v>555</v>
      </c>
      <c r="C8479" t="s">
        <v>37</v>
      </c>
      <c r="D8479">
        <v>6746</v>
      </c>
      <c r="E8479" t="s">
        <v>477</v>
      </c>
      <c r="F8479" s="4">
        <v>0</v>
      </c>
      <c r="G8479" s="4">
        <v>144</v>
      </c>
      <c r="H8479" s="4">
        <v>144</v>
      </c>
      <c r="I8479" s="4">
        <v>0</v>
      </c>
      <c r="J8479" s="4">
        <v>144</v>
      </c>
    </row>
    <row r="8480" spans="1:10" x14ac:dyDescent="0.75">
      <c r="A8480" t="s">
        <v>151</v>
      </c>
      <c r="B8480">
        <v>555</v>
      </c>
      <c r="C8480" t="s">
        <v>37</v>
      </c>
      <c r="D8480">
        <v>5422</v>
      </c>
      <c r="E8480" t="s">
        <v>468</v>
      </c>
      <c r="F8480" s="4">
        <v>0</v>
      </c>
      <c r="G8480" s="4">
        <v>134</v>
      </c>
      <c r="H8480" s="4">
        <v>0</v>
      </c>
      <c r="I8480" s="4">
        <v>134</v>
      </c>
      <c r="J8480" s="4">
        <v>134</v>
      </c>
    </row>
    <row r="8481" spans="1:10" x14ac:dyDescent="0.75">
      <c r="A8481" t="s">
        <v>151</v>
      </c>
      <c r="B8481">
        <v>555</v>
      </c>
      <c r="C8481" t="s">
        <v>37</v>
      </c>
      <c r="D8481">
        <v>2990</v>
      </c>
      <c r="E8481" t="s">
        <v>432</v>
      </c>
      <c r="F8481" s="4">
        <v>0</v>
      </c>
      <c r="G8481" s="4">
        <v>120</v>
      </c>
      <c r="H8481" s="4">
        <v>120</v>
      </c>
      <c r="I8481" s="4">
        <v>0</v>
      </c>
      <c r="J8481" s="4">
        <v>120</v>
      </c>
    </row>
    <row r="8482" spans="1:10" x14ac:dyDescent="0.75">
      <c r="A8482" t="s">
        <v>151</v>
      </c>
      <c r="B8482">
        <v>555</v>
      </c>
      <c r="C8482" t="s">
        <v>37</v>
      </c>
      <c r="D8482">
        <v>3298</v>
      </c>
      <c r="E8482" t="s">
        <v>447</v>
      </c>
      <c r="F8482" s="4">
        <v>0</v>
      </c>
      <c r="G8482" s="4">
        <v>110</v>
      </c>
      <c r="H8482" s="4">
        <v>110</v>
      </c>
      <c r="I8482" s="4">
        <v>0</v>
      </c>
      <c r="J8482" s="4">
        <v>110</v>
      </c>
    </row>
    <row r="8483" spans="1:10" x14ac:dyDescent="0.75">
      <c r="A8483" t="s">
        <v>151</v>
      </c>
      <c r="B8483">
        <v>555</v>
      </c>
      <c r="C8483" t="s">
        <v>37</v>
      </c>
      <c r="D8483">
        <v>4161</v>
      </c>
      <c r="E8483" t="s">
        <v>421</v>
      </c>
      <c r="F8483" s="4">
        <v>0</v>
      </c>
      <c r="G8483" s="4">
        <v>110</v>
      </c>
      <c r="H8483" s="4">
        <v>110</v>
      </c>
      <c r="I8483" s="4">
        <v>0</v>
      </c>
      <c r="J8483" s="4">
        <v>110</v>
      </c>
    </row>
    <row r="8484" spans="1:10" x14ac:dyDescent="0.75">
      <c r="A8484" t="s">
        <v>151</v>
      </c>
      <c r="B8484">
        <v>555</v>
      </c>
      <c r="C8484" t="s">
        <v>37</v>
      </c>
      <c r="D8484">
        <v>3230</v>
      </c>
      <c r="E8484" t="s">
        <v>434</v>
      </c>
      <c r="F8484" s="4">
        <v>0</v>
      </c>
      <c r="G8484" s="4">
        <v>102</v>
      </c>
      <c r="H8484" s="4">
        <v>7</v>
      </c>
      <c r="I8484" s="4">
        <v>95</v>
      </c>
      <c r="J8484" s="4">
        <v>102</v>
      </c>
    </row>
    <row r="8485" spans="1:10" x14ac:dyDescent="0.75">
      <c r="A8485" t="s">
        <v>151</v>
      </c>
      <c r="B8485">
        <v>555</v>
      </c>
      <c r="C8485" t="s">
        <v>37</v>
      </c>
      <c r="D8485">
        <v>6835</v>
      </c>
      <c r="E8485" t="s">
        <v>483</v>
      </c>
      <c r="F8485" s="4">
        <v>0</v>
      </c>
      <c r="G8485" s="4">
        <v>89</v>
      </c>
      <c r="H8485" s="4">
        <v>5</v>
      </c>
      <c r="I8485" s="4">
        <v>84</v>
      </c>
      <c r="J8485" s="4">
        <v>89</v>
      </c>
    </row>
    <row r="8486" spans="1:10" x14ac:dyDescent="0.75">
      <c r="A8486" t="s">
        <v>151</v>
      </c>
      <c r="B8486">
        <v>555</v>
      </c>
      <c r="C8486" t="s">
        <v>37</v>
      </c>
      <c r="D8486">
        <v>6891</v>
      </c>
      <c r="E8486" t="s">
        <v>495</v>
      </c>
      <c r="F8486" s="4">
        <v>0</v>
      </c>
      <c r="G8486" s="4">
        <v>89</v>
      </c>
      <c r="H8486" s="4">
        <v>34</v>
      </c>
      <c r="I8486" s="4">
        <v>55</v>
      </c>
      <c r="J8486" s="4">
        <v>89</v>
      </c>
    </row>
    <row r="8487" spans="1:10" x14ac:dyDescent="0.75">
      <c r="A8487" t="s">
        <v>151</v>
      </c>
      <c r="B8487">
        <v>555</v>
      </c>
      <c r="C8487" t="s">
        <v>37</v>
      </c>
      <c r="D8487">
        <v>6134</v>
      </c>
      <c r="E8487" t="s">
        <v>470</v>
      </c>
      <c r="F8487" s="4">
        <v>0</v>
      </c>
      <c r="G8487" s="4">
        <v>80</v>
      </c>
      <c r="H8487" s="4">
        <v>80</v>
      </c>
      <c r="I8487" s="4">
        <v>0</v>
      </c>
      <c r="J8487" s="4">
        <v>80</v>
      </c>
    </row>
    <row r="8488" spans="1:10" x14ac:dyDescent="0.75">
      <c r="A8488" t="s">
        <v>151</v>
      </c>
      <c r="B8488">
        <v>555</v>
      </c>
      <c r="C8488" t="s">
        <v>37</v>
      </c>
      <c r="D8488">
        <v>6872</v>
      </c>
      <c r="E8488" t="s">
        <v>492</v>
      </c>
      <c r="F8488" s="4">
        <v>0</v>
      </c>
      <c r="G8488" s="4">
        <v>79</v>
      </c>
      <c r="H8488" s="4">
        <v>8</v>
      </c>
      <c r="I8488" s="4">
        <v>71</v>
      </c>
      <c r="J8488" s="4">
        <v>79</v>
      </c>
    </row>
    <row r="8489" spans="1:10" x14ac:dyDescent="0.75">
      <c r="A8489" t="s">
        <v>151</v>
      </c>
      <c r="B8489">
        <v>555</v>
      </c>
      <c r="C8489" t="s">
        <v>37</v>
      </c>
      <c r="D8489">
        <v>6817</v>
      </c>
      <c r="E8489" t="s">
        <v>481</v>
      </c>
      <c r="F8489" s="4">
        <v>0</v>
      </c>
      <c r="G8489" s="4">
        <v>44</v>
      </c>
      <c r="H8489" s="4">
        <v>0</v>
      </c>
      <c r="I8489" s="4">
        <v>44</v>
      </c>
      <c r="J8489" s="4">
        <v>44</v>
      </c>
    </row>
    <row r="8490" spans="1:10" x14ac:dyDescent="0.75">
      <c r="A8490" t="s">
        <v>151</v>
      </c>
      <c r="B8490">
        <v>555</v>
      </c>
      <c r="C8490" t="s">
        <v>37</v>
      </c>
      <c r="D8490">
        <v>5240</v>
      </c>
      <c r="E8490" t="s">
        <v>464</v>
      </c>
      <c r="F8490" s="4">
        <v>0</v>
      </c>
      <c r="G8490" s="4">
        <v>42</v>
      </c>
      <c r="H8490" s="4">
        <v>14</v>
      </c>
      <c r="I8490" s="4">
        <v>28</v>
      </c>
      <c r="J8490" s="4">
        <v>42</v>
      </c>
    </row>
    <row r="8491" spans="1:10" x14ac:dyDescent="0.75">
      <c r="A8491" t="s">
        <v>151</v>
      </c>
      <c r="B8491">
        <v>555</v>
      </c>
      <c r="C8491" t="s">
        <v>37</v>
      </c>
      <c r="D8491">
        <v>6839</v>
      </c>
      <c r="E8491" t="s">
        <v>485</v>
      </c>
      <c r="F8491" s="4">
        <v>0</v>
      </c>
      <c r="G8491" s="4">
        <v>42</v>
      </c>
      <c r="H8491" s="4">
        <v>0</v>
      </c>
      <c r="I8491" s="4">
        <v>42</v>
      </c>
      <c r="J8491" s="4">
        <v>42</v>
      </c>
    </row>
    <row r="8492" spans="1:10" x14ac:dyDescent="0.75">
      <c r="A8492" t="s">
        <v>151</v>
      </c>
      <c r="B8492">
        <v>555</v>
      </c>
      <c r="C8492" t="s">
        <v>37</v>
      </c>
      <c r="D8492">
        <v>3284</v>
      </c>
      <c r="E8492" t="s">
        <v>442</v>
      </c>
      <c r="F8492" s="4">
        <v>0</v>
      </c>
      <c r="G8492" s="4">
        <v>39</v>
      </c>
      <c r="H8492" s="4">
        <v>22</v>
      </c>
      <c r="I8492" s="4">
        <v>17</v>
      </c>
      <c r="J8492" s="4">
        <v>39</v>
      </c>
    </row>
    <row r="8493" spans="1:10" x14ac:dyDescent="0.75">
      <c r="A8493" t="s">
        <v>151</v>
      </c>
      <c r="B8493">
        <v>555</v>
      </c>
      <c r="C8493" t="s">
        <v>37</v>
      </c>
      <c r="D8493">
        <v>6781</v>
      </c>
      <c r="E8493" t="s">
        <v>479</v>
      </c>
      <c r="F8493" s="4">
        <v>0</v>
      </c>
      <c r="G8493" s="4">
        <v>34</v>
      </c>
      <c r="H8493" s="4">
        <v>0</v>
      </c>
      <c r="I8493" s="4">
        <v>34</v>
      </c>
      <c r="J8493" s="4">
        <v>34</v>
      </c>
    </row>
    <row r="8494" spans="1:10" x14ac:dyDescent="0.75">
      <c r="A8494" t="s">
        <v>151</v>
      </c>
      <c r="B8494">
        <v>555</v>
      </c>
      <c r="C8494" t="s">
        <v>37</v>
      </c>
      <c r="D8494">
        <v>6861</v>
      </c>
      <c r="E8494" t="s">
        <v>489</v>
      </c>
      <c r="F8494" s="4">
        <v>0</v>
      </c>
      <c r="G8494" s="4">
        <v>34</v>
      </c>
      <c r="H8494" s="4">
        <v>34</v>
      </c>
      <c r="I8494" s="4">
        <v>0</v>
      </c>
      <c r="J8494" s="4">
        <v>34</v>
      </c>
    </row>
    <row r="8495" spans="1:10" x14ac:dyDescent="0.75">
      <c r="A8495" t="s">
        <v>151</v>
      </c>
      <c r="B8495">
        <v>555</v>
      </c>
      <c r="C8495" t="s">
        <v>37</v>
      </c>
      <c r="D8495">
        <v>4190</v>
      </c>
      <c r="E8495" t="s">
        <v>452</v>
      </c>
      <c r="F8495" s="4">
        <v>0</v>
      </c>
      <c r="G8495" s="4">
        <v>31</v>
      </c>
      <c r="H8495" s="4">
        <v>31</v>
      </c>
      <c r="I8495" s="4">
        <v>0</v>
      </c>
      <c r="J8495" s="4">
        <v>31</v>
      </c>
    </row>
    <row r="8496" spans="1:10" x14ac:dyDescent="0.75">
      <c r="A8496" t="s">
        <v>151</v>
      </c>
      <c r="B8496">
        <v>555</v>
      </c>
      <c r="C8496" t="s">
        <v>37</v>
      </c>
      <c r="D8496">
        <v>3250</v>
      </c>
      <c r="E8496" t="s">
        <v>435</v>
      </c>
      <c r="F8496" s="4">
        <v>0</v>
      </c>
      <c r="G8496" s="4">
        <v>24</v>
      </c>
      <c r="H8496" s="4">
        <v>0</v>
      </c>
      <c r="I8496" s="4">
        <v>24</v>
      </c>
      <c r="J8496" s="4">
        <v>24</v>
      </c>
    </row>
    <row r="8497" spans="1:10" x14ac:dyDescent="0.75">
      <c r="A8497" t="s">
        <v>151</v>
      </c>
      <c r="B8497">
        <v>555</v>
      </c>
      <c r="C8497" t="s">
        <v>37</v>
      </c>
      <c r="D8497">
        <v>4420</v>
      </c>
      <c r="E8497" t="s">
        <v>381</v>
      </c>
      <c r="F8497" s="4">
        <v>0</v>
      </c>
      <c r="G8497" s="4">
        <v>24</v>
      </c>
      <c r="H8497" s="4">
        <v>24</v>
      </c>
      <c r="I8497" s="4">
        <v>0</v>
      </c>
      <c r="J8497" s="4">
        <v>24</v>
      </c>
    </row>
    <row r="8498" spans="1:10" x14ac:dyDescent="0.75">
      <c r="A8498" t="s">
        <v>151</v>
      </c>
      <c r="B8498">
        <v>555</v>
      </c>
      <c r="C8498" t="s">
        <v>37</v>
      </c>
      <c r="D8498">
        <v>5210</v>
      </c>
      <c r="E8498" t="s">
        <v>463</v>
      </c>
      <c r="F8498" s="4">
        <v>0</v>
      </c>
      <c r="G8498" s="4">
        <v>22</v>
      </c>
      <c r="H8498" s="4">
        <v>22</v>
      </c>
      <c r="I8498" s="4">
        <v>0</v>
      </c>
      <c r="J8498" s="4">
        <v>22</v>
      </c>
    </row>
    <row r="8499" spans="1:10" x14ac:dyDescent="0.75">
      <c r="A8499" t="s">
        <v>151</v>
      </c>
      <c r="B8499">
        <v>555</v>
      </c>
      <c r="C8499" t="s">
        <v>37</v>
      </c>
      <c r="D8499">
        <v>6888</v>
      </c>
      <c r="E8499" t="s">
        <v>494</v>
      </c>
      <c r="F8499" s="4">
        <v>0</v>
      </c>
      <c r="G8499" s="4">
        <v>19</v>
      </c>
      <c r="H8499" s="4">
        <v>0</v>
      </c>
      <c r="I8499" s="4">
        <v>19</v>
      </c>
      <c r="J8499" s="4">
        <v>19</v>
      </c>
    </row>
    <row r="8500" spans="1:10" x14ac:dyDescent="0.75">
      <c r="A8500" t="s">
        <v>151</v>
      </c>
      <c r="B8500">
        <v>555</v>
      </c>
      <c r="C8500" t="s">
        <v>37</v>
      </c>
      <c r="D8500">
        <v>7300</v>
      </c>
      <c r="E8500" t="s">
        <v>501</v>
      </c>
      <c r="F8500" s="4">
        <v>0</v>
      </c>
      <c r="G8500" s="4">
        <v>18</v>
      </c>
      <c r="H8500" s="4">
        <v>18</v>
      </c>
      <c r="I8500" s="4">
        <v>0</v>
      </c>
      <c r="J8500" s="4">
        <v>18</v>
      </c>
    </row>
    <row r="8501" spans="1:10" x14ac:dyDescent="0.75">
      <c r="A8501" t="s">
        <v>151</v>
      </c>
      <c r="B8501">
        <v>555</v>
      </c>
      <c r="C8501" t="s">
        <v>37</v>
      </c>
      <c r="D8501">
        <v>5360</v>
      </c>
      <c r="E8501" t="s">
        <v>465</v>
      </c>
      <c r="F8501" s="4">
        <v>0</v>
      </c>
      <c r="G8501" s="4">
        <v>14</v>
      </c>
      <c r="H8501" s="4">
        <v>0</v>
      </c>
      <c r="I8501" s="4">
        <v>14</v>
      </c>
      <c r="J8501" s="4">
        <v>14</v>
      </c>
    </row>
    <row r="8502" spans="1:10" x14ac:dyDescent="0.75">
      <c r="A8502" t="s">
        <v>151</v>
      </c>
      <c r="B8502">
        <v>555</v>
      </c>
      <c r="C8502" t="s">
        <v>37</v>
      </c>
      <c r="D8502">
        <v>6893</v>
      </c>
      <c r="E8502" t="s">
        <v>496</v>
      </c>
      <c r="F8502" s="4">
        <v>0</v>
      </c>
      <c r="G8502" s="4">
        <v>13</v>
      </c>
      <c r="H8502" s="4">
        <v>13</v>
      </c>
      <c r="I8502" s="4">
        <v>0</v>
      </c>
      <c r="J8502" s="4">
        <v>13</v>
      </c>
    </row>
    <row r="8503" spans="1:10" x14ac:dyDescent="0.75">
      <c r="A8503" t="s">
        <v>151</v>
      </c>
      <c r="B8503">
        <v>555</v>
      </c>
      <c r="C8503" t="s">
        <v>37</v>
      </c>
      <c r="D8503">
        <v>5421</v>
      </c>
      <c r="E8503" t="s">
        <v>467</v>
      </c>
      <c r="F8503" s="4">
        <v>0</v>
      </c>
      <c r="G8503" s="4">
        <v>8</v>
      </c>
      <c r="H8503" s="4">
        <v>0</v>
      </c>
      <c r="I8503" s="4">
        <v>8</v>
      </c>
      <c r="J8503" s="4">
        <v>8</v>
      </c>
    </row>
    <row r="8504" spans="1:10" x14ac:dyDescent="0.75">
      <c r="A8504" t="s">
        <v>151</v>
      </c>
      <c r="B8504">
        <v>555</v>
      </c>
      <c r="C8504" t="s">
        <v>37</v>
      </c>
      <c r="D8504">
        <v>3297</v>
      </c>
      <c r="E8504" t="s">
        <v>446</v>
      </c>
      <c r="F8504" s="4">
        <v>0</v>
      </c>
      <c r="G8504" s="4">
        <v>7</v>
      </c>
      <c r="H8504" s="4">
        <v>0</v>
      </c>
      <c r="I8504" s="4">
        <v>7</v>
      </c>
      <c r="J8504" s="4">
        <v>7</v>
      </c>
    </row>
    <row r="8505" spans="1:10" x14ac:dyDescent="0.75">
      <c r="A8505" t="s">
        <v>151</v>
      </c>
      <c r="B8505">
        <v>555</v>
      </c>
      <c r="C8505" t="s">
        <v>37</v>
      </c>
      <c r="D8505">
        <v>7230</v>
      </c>
      <c r="E8505" t="s">
        <v>387</v>
      </c>
      <c r="F8505" s="4">
        <v>0</v>
      </c>
      <c r="G8505" s="4">
        <v>6</v>
      </c>
      <c r="H8505" s="4">
        <v>3</v>
      </c>
      <c r="I8505" s="4">
        <v>3</v>
      </c>
      <c r="J8505" s="4">
        <v>6</v>
      </c>
    </row>
    <row r="8506" spans="1:10" x14ac:dyDescent="0.75">
      <c r="A8506" t="s">
        <v>151</v>
      </c>
      <c r="B8506">
        <v>555</v>
      </c>
      <c r="C8506" t="s">
        <v>37</v>
      </c>
      <c r="D8506">
        <v>6590</v>
      </c>
      <c r="E8506" t="s">
        <v>394</v>
      </c>
      <c r="F8506" s="4">
        <v>0</v>
      </c>
      <c r="G8506" s="4">
        <v>5</v>
      </c>
      <c r="H8506" s="4">
        <v>5</v>
      </c>
      <c r="I8506" s="4">
        <v>0</v>
      </c>
      <c r="J8506" s="4">
        <v>5</v>
      </c>
    </row>
    <row r="8507" spans="1:10" x14ac:dyDescent="0.75">
      <c r="A8507" t="s">
        <v>151</v>
      </c>
      <c r="B8507">
        <v>555</v>
      </c>
      <c r="C8507" t="s">
        <v>37</v>
      </c>
      <c r="D8507">
        <v>5315</v>
      </c>
      <c r="E8507" t="s">
        <v>417</v>
      </c>
      <c r="F8507" s="4">
        <v>0</v>
      </c>
      <c r="G8507" s="4">
        <v>4</v>
      </c>
      <c r="H8507" s="4">
        <v>0</v>
      </c>
      <c r="I8507" s="4">
        <v>4</v>
      </c>
      <c r="J8507" s="4">
        <v>4</v>
      </c>
    </row>
    <row r="8508" spans="1:10" x14ac:dyDescent="0.75">
      <c r="A8508" t="s">
        <v>151</v>
      </c>
      <c r="B8508">
        <v>555</v>
      </c>
      <c r="C8508" t="s">
        <v>37</v>
      </c>
      <c r="D8508">
        <v>7220</v>
      </c>
      <c r="E8508" t="s">
        <v>500</v>
      </c>
      <c r="F8508" s="4">
        <v>0</v>
      </c>
      <c r="G8508" s="4">
        <v>4</v>
      </c>
      <c r="H8508" s="4">
        <v>4</v>
      </c>
      <c r="I8508" s="4">
        <v>0</v>
      </c>
      <c r="J8508" s="4">
        <v>4</v>
      </c>
    </row>
    <row r="8509" spans="1:10" x14ac:dyDescent="0.75">
      <c r="A8509" t="s">
        <v>151</v>
      </c>
      <c r="B8509">
        <v>555</v>
      </c>
      <c r="C8509" t="s">
        <v>37</v>
      </c>
      <c r="D8509">
        <v>3260</v>
      </c>
      <c r="E8509" t="s">
        <v>436</v>
      </c>
      <c r="F8509" s="4">
        <v>0</v>
      </c>
      <c r="G8509" s="4">
        <v>3</v>
      </c>
      <c r="H8509" s="4">
        <v>0</v>
      </c>
      <c r="I8509" s="4">
        <v>3</v>
      </c>
      <c r="J8509" s="4">
        <v>3</v>
      </c>
    </row>
    <row r="8510" spans="1:10" x14ac:dyDescent="0.75">
      <c r="A8510" t="s">
        <v>151</v>
      </c>
      <c r="B8510">
        <v>555</v>
      </c>
      <c r="C8510" t="s">
        <v>37</v>
      </c>
      <c r="D8510">
        <v>4650</v>
      </c>
      <c r="E8510" t="s">
        <v>457</v>
      </c>
      <c r="F8510" s="4">
        <v>0</v>
      </c>
      <c r="G8510" s="4">
        <v>2</v>
      </c>
      <c r="H8510" s="4">
        <v>2</v>
      </c>
      <c r="I8510" s="4">
        <v>0</v>
      </c>
      <c r="J8510" s="4">
        <v>2</v>
      </c>
    </row>
    <row r="8511" spans="1:10" x14ac:dyDescent="0.75">
      <c r="A8511" t="s">
        <v>151</v>
      </c>
      <c r="B8511">
        <v>555</v>
      </c>
      <c r="C8511" t="s">
        <v>37</v>
      </c>
      <c r="D8511">
        <v>5312</v>
      </c>
      <c r="E8511" t="s">
        <v>416</v>
      </c>
      <c r="F8511" s="4">
        <v>0</v>
      </c>
      <c r="G8511" s="4">
        <v>2</v>
      </c>
      <c r="H8511" s="4">
        <v>2</v>
      </c>
      <c r="I8511" s="4">
        <v>0</v>
      </c>
      <c r="J8511" s="4">
        <v>2</v>
      </c>
    </row>
    <row r="8512" spans="1:10" x14ac:dyDescent="0.75">
      <c r="A8512" t="s">
        <v>151</v>
      </c>
      <c r="B8512">
        <v>766</v>
      </c>
      <c r="C8512" t="s">
        <v>35</v>
      </c>
      <c r="D8512">
        <v>4150</v>
      </c>
      <c r="E8512" t="s">
        <v>450</v>
      </c>
      <c r="F8512" s="4">
        <v>0</v>
      </c>
      <c r="G8512" s="4">
        <v>903861</v>
      </c>
      <c r="H8512" s="4">
        <v>618</v>
      </c>
      <c r="I8512" s="4">
        <v>903243</v>
      </c>
      <c r="J8512" s="4">
        <v>903861</v>
      </c>
    </row>
    <row r="8513" spans="1:10" x14ac:dyDescent="0.75">
      <c r="A8513" t="s">
        <v>151</v>
      </c>
      <c r="B8513">
        <v>766</v>
      </c>
      <c r="C8513" t="s">
        <v>35</v>
      </c>
      <c r="D8513">
        <v>3110</v>
      </c>
      <c r="E8513" t="s">
        <v>405</v>
      </c>
      <c r="F8513" s="4">
        <v>20926</v>
      </c>
      <c r="G8513" s="4">
        <v>619774</v>
      </c>
      <c r="H8513" s="4">
        <v>619679</v>
      </c>
      <c r="I8513" s="4">
        <v>95</v>
      </c>
      <c r="J8513" s="4">
        <v>640700</v>
      </c>
    </row>
    <row r="8514" spans="1:10" x14ac:dyDescent="0.75">
      <c r="A8514" t="s">
        <v>151</v>
      </c>
      <c r="B8514">
        <v>766</v>
      </c>
      <c r="C8514" t="s">
        <v>35</v>
      </c>
      <c r="D8514">
        <v>3220</v>
      </c>
      <c r="E8514" t="s">
        <v>370</v>
      </c>
      <c r="F8514" s="4">
        <v>131716</v>
      </c>
      <c r="G8514" s="4">
        <v>393756</v>
      </c>
      <c r="H8514" s="4">
        <v>391399</v>
      </c>
      <c r="I8514" s="4">
        <v>2357</v>
      </c>
      <c r="J8514" s="4">
        <v>525472</v>
      </c>
    </row>
    <row r="8515" spans="1:10" x14ac:dyDescent="0.75">
      <c r="A8515" t="s">
        <v>151</v>
      </c>
      <c r="B8515">
        <v>766</v>
      </c>
      <c r="C8515" t="s">
        <v>35</v>
      </c>
      <c r="D8515">
        <v>4170</v>
      </c>
      <c r="E8515" t="s">
        <v>424</v>
      </c>
      <c r="F8515" s="4">
        <v>0</v>
      </c>
      <c r="G8515" s="4">
        <v>328286</v>
      </c>
      <c r="H8515" s="4">
        <v>79</v>
      </c>
      <c r="I8515" s="4">
        <v>328207</v>
      </c>
      <c r="J8515" s="4">
        <v>328286</v>
      </c>
    </row>
    <row r="8516" spans="1:10" x14ac:dyDescent="0.75">
      <c r="A8516" t="s">
        <v>151</v>
      </c>
      <c r="B8516">
        <v>766</v>
      </c>
      <c r="C8516" t="s">
        <v>35</v>
      </c>
      <c r="D8516">
        <v>4225</v>
      </c>
      <c r="E8516" t="s">
        <v>380</v>
      </c>
      <c r="F8516" s="4">
        <v>0</v>
      </c>
      <c r="G8516" s="4">
        <v>307798</v>
      </c>
      <c r="H8516" s="4">
        <v>27147</v>
      </c>
      <c r="I8516" s="4">
        <v>280651</v>
      </c>
      <c r="J8516" s="4">
        <v>307798</v>
      </c>
    </row>
    <row r="8517" spans="1:10" x14ac:dyDescent="0.75">
      <c r="A8517" t="s">
        <v>151</v>
      </c>
      <c r="B8517">
        <v>766</v>
      </c>
      <c r="C8517" t="s">
        <v>35</v>
      </c>
      <c r="D8517">
        <v>4323</v>
      </c>
      <c r="E8517" t="s">
        <v>373</v>
      </c>
      <c r="F8517" s="4">
        <v>0</v>
      </c>
      <c r="G8517" s="4">
        <v>282107</v>
      </c>
      <c r="H8517" s="4">
        <v>282029</v>
      </c>
      <c r="I8517" s="4">
        <v>78</v>
      </c>
      <c r="J8517" s="4">
        <v>282107</v>
      </c>
    </row>
    <row r="8518" spans="1:10" x14ac:dyDescent="0.75">
      <c r="A8518" t="s">
        <v>151</v>
      </c>
      <c r="B8518">
        <v>766</v>
      </c>
      <c r="C8518" t="s">
        <v>35</v>
      </c>
      <c r="D8518">
        <v>6811</v>
      </c>
      <c r="E8518" t="s">
        <v>480</v>
      </c>
      <c r="F8518" s="4">
        <v>0</v>
      </c>
      <c r="G8518" s="4">
        <v>278381</v>
      </c>
      <c r="H8518" s="4">
        <v>4590</v>
      </c>
      <c r="I8518" s="4">
        <v>273791</v>
      </c>
      <c r="J8518" s="4">
        <v>278381</v>
      </c>
    </row>
    <row r="8519" spans="1:10" x14ac:dyDescent="0.75">
      <c r="A8519" t="s">
        <v>151</v>
      </c>
      <c r="B8519">
        <v>766</v>
      </c>
      <c r="C8519" t="s">
        <v>35</v>
      </c>
      <c r="D8519">
        <v>7500</v>
      </c>
      <c r="E8519" t="s">
        <v>427</v>
      </c>
      <c r="F8519" s="4">
        <v>0</v>
      </c>
      <c r="G8519" s="4">
        <v>278033</v>
      </c>
      <c r="H8519" s="4">
        <v>113267</v>
      </c>
      <c r="I8519" s="4">
        <v>164766</v>
      </c>
      <c r="J8519" s="4">
        <v>278033</v>
      </c>
    </row>
    <row r="8520" spans="1:10" x14ac:dyDescent="0.75">
      <c r="A8520" t="s">
        <v>151</v>
      </c>
      <c r="B8520">
        <v>766</v>
      </c>
      <c r="C8520" t="s">
        <v>35</v>
      </c>
      <c r="D8520">
        <v>2211</v>
      </c>
      <c r="E8520" t="s">
        <v>367</v>
      </c>
      <c r="F8520" s="4">
        <v>129627</v>
      </c>
      <c r="G8520" s="4">
        <v>56861</v>
      </c>
      <c r="H8520" s="4">
        <v>56783</v>
      </c>
      <c r="I8520" s="4">
        <v>78</v>
      </c>
      <c r="J8520" s="4">
        <v>186488</v>
      </c>
    </row>
    <row r="8521" spans="1:10" x14ac:dyDescent="0.75">
      <c r="A8521" t="s">
        <v>151</v>
      </c>
      <c r="B8521">
        <v>766</v>
      </c>
      <c r="C8521" t="s">
        <v>35</v>
      </c>
      <c r="D8521">
        <v>7900</v>
      </c>
      <c r="E8521" t="s">
        <v>388</v>
      </c>
      <c r="F8521" s="4">
        <v>0</v>
      </c>
      <c r="G8521" s="4">
        <v>169906</v>
      </c>
      <c r="H8521" s="4">
        <v>143314</v>
      </c>
      <c r="I8521" s="4">
        <v>26592</v>
      </c>
      <c r="J8521" s="4">
        <v>169906</v>
      </c>
    </row>
    <row r="8522" spans="1:10" x14ac:dyDescent="0.75">
      <c r="A8522" t="s">
        <v>151</v>
      </c>
      <c r="B8522">
        <v>766</v>
      </c>
      <c r="C8522" t="s">
        <v>35</v>
      </c>
      <c r="D8522">
        <v>4331</v>
      </c>
      <c r="E8522" t="s">
        <v>390</v>
      </c>
      <c r="F8522" s="4">
        <v>0</v>
      </c>
      <c r="G8522" s="4">
        <v>139526</v>
      </c>
      <c r="H8522" s="4">
        <v>139423</v>
      </c>
      <c r="I8522" s="4">
        <v>103</v>
      </c>
      <c r="J8522" s="4">
        <v>139526</v>
      </c>
    </row>
    <row r="8523" spans="1:10" x14ac:dyDescent="0.75">
      <c r="A8523" t="s">
        <v>151</v>
      </c>
      <c r="B8523">
        <v>766</v>
      </c>
      <c r="C8523" t="s">
        <v>35</v>
      </c>
      <c r="D8523">
        <v>5480</v>
      </c>
      <c r="E8523" t="s">
        <v>386</v>
      </c>
      <c r="F8523" s="4">
        <v>0</v>
      </c>
      <c r="G8523" s="4">
        <v>139484</v>
      </c>
      <c r="H8523" s="4">
        <v>121804</v>
      </c>
      <c r="I8523" s="4">
        <v>17680</v>
      </c>
      <c r="J8523" s="4">
        <v>139484</v>
      </c>
    </row>
    <row r="8524" spans="1:10" x14ac:dyDescent="0.75">
      <c r="A8524" t="s">
        <v>151</v>
      </c>
      <c r="B8524">
        <v>766</v>
      </c>
      <c r="C8524" t="s">
        <v>35</v>
      </c>
      <c r="D8524">
        <v>3286</v>
      </c>
      <c r="E8524" t="s">
        <v>423</v>
      </c>
      <c r="F8524" s="4">
        <v>0</v>
      </c>
      <c r="G8524" s="4">
        <v>138890</v>
      </c>
      <c r="H8524" s="4">
        <v>79420</v>
      </c>
      <c r="I8524" s="4">
        <v>59470</v>
      </c>
      <c r="J8524" s="4">
        <v>138890</v>
      </c>
    </row>
    <row r="8525" spans="1:10" x14ac:dyDescent="0.75">
      <c r="A8525" t="s">
        <v>151</v>
      </c>
      <c r="B8525">
        <v>766</v>
      </c>
      <c r="C8525" t="s">
        <v>35</v>
      </c>
      <c r="D8525">
        <v>4189</v>
      </c>
      <c r="E8525" t="s">
        <v>451</v>
      </c>
      <c r="F8525" s="4">
        <v>0</v>
      </c>
      <c r="G8525" s="4">
        <v>138665</v>
      </c>
      <c r="H8525" s="4">
        <v>119354</v>
      </c>
      <c r="I8525" s="4">
        <v>19311</v>
      </c>
      <c r="J8525" s="4">
        <v>138665</v>
      </c>
    </row>
    <row r="8526" spans="1:10" x14ac:dyDescent="0.75">
      <c r="A8526" t="s">
        <v>151</v>
      </c>
      <c r="B8526">
        <v>766</v>
      </c>
      <c r="C8526" t="s">
        <v>35</v>
      </c>
      <c r="D8526">
        <v>7110</v>
      </c>
      <c r="E8526" t="s">
        <v>371</v>
      </c>
      <c r="F8526" s="4">
        <v>0</v>
      </c>
      <c r="G8526" s="4">
        <v>133557</v>
      </c>
      <c r="H8526" s="4">
        <v>114719</v>
      </c>
      <c r="I8526" s="4">
        <v>18838</v>
      </c>
      <c r="J8526" s="4">
        <v>133557</v>
      </c>
    </row>
    <row r="8527" spans="1:10" x14ac:dyDescent="0.75">
      <c r="A8527" t="s">
        <v>151</v>
      </c>
      <c r="B8527">
        <v>766</v>
      </c>
      <c r="C8527" t="s">
        <v>35</v>
      </c>
      <c r="D8527">
        <v>2330</v>
      </c>
      <c r="E8527" t="s">
        <v>368</v>
      </c>
      <c r="F8527" s="4">
        <v>58584</v>
      </c>
      <c r="G8527" s="4">
        <v>65108</v>
      </c>
      <c r="H8527" s="4">
        <v>64162</v>
      </c>
      <c r="I8527" s="4">
        <v>946</v>
      </c>
      <c r="J8527" s="4">
        <v>123692</v>
      </c>
    </row>
    <row r="8528" spans="1:10" x14ac:dyDescent="0.75">
      <c r="A8528" t="s">
        <v>151</v>
      </c>
      <c r="B8528">
        <v>766</v>
      </c>
      <c r="C8528" t="s">
        <v>35</v>
      </c>
      <c r="D8528">
        <v>2430</v>
      </c>
      <c r="E8528" t="s">
        <v>376</v>
      </c>
      <c r="F8528" s="4">
        <v>122451</v>
      </c>
      <c r="G8528" s="4">
        <v>17</v>
      </c>
      <c r="H8528" s="4">
        <v>0</v>
      </c>
      <c r="I8528" s="4">
        <v>17</v>
      </c>
      <c r="J8528" s="4">
        <v>122468</v>
      </c>
    </row>
    <row r="8529" spans="1:10" x14ac:dyDescent="0.75">
      <c r="A8529" t="s">
        <v>151</v>
      </c>
      <c r="B8529">
        <v>766</v>
      </c>
      <c r="C8529" t="s">
        <v>35</v>
      </c>
      <c r="D8529">
        <v>3130</v>
      </c>
      <c r="E8529" t="s">
        <v>407</v>
      </c>
      <c r="F8529" s="4">
        <v>0</v>
      </c>
      <c r="G8529" s="4">
        <v>120421</v>
      </c>
      <c r="H8529" s="4">
        <v>120421</v>
      </c>
      <c r="I8529" s="4">
        <v>0</v>
      </c>
      <c r="J8529" s="4">
        <v>120421</v>
      </c>
    </row>
    <row r="8530" spans="1:10" x14ac:dyDescent="0.75">
      <c r="A8530" t="s">
        <v>151</v>
      </c>
      <c r="B8530">
        <v>766</v>
      </c>
      <c r="C8530" t="s">
        <v>35</v>
      </c>
      <c r="D8530">
        <v>6782</v>
      </c>
      <c r="E8530" t="s">
        <v>396</v>
      </c>
      <c r="F8530" s="4">
        <v>0</v>
      </c>
      <c r="G8530" s="4">
        <v>116106</v>
      </c>
      <c r="H8530" s="4">
        <v>69919</v>
      </c>
      <c r="I8530" s="4">
        <v>46187</v>
      </c>
      <c r="J8530" s="4">
        <v>116106</v>
      </c>
    </row>
    <row r="8531" spans="1:10" x14ac:dyDescent="0.75">
      <c r="A8531" t="s">
        <v>151</v>
      </c>
      <c r="B8531">
        <v>766</v>
      </c>
      <c r="C8531" t="s">
        <v>35</v>
      </c>
      <c r="D8531">
        <v>4322</v>
      </c>
      <c r="E8531" t="s">
        <v>398</v>
      </c>
      <c r="F8531" s="4">
        <v>0</v>
      </c>
      <c r="G8531" s="4">
        <v>102306</v>
      </c>
      <c r="H8531" s="4">
        <v>102306</v>
      </c>
      <c r="I8531" s="4">
        <v>0</v>
      </c>
      <c r="J8531" s="4">
        <v>102306</v>
      </c>
    </row>
    <row r="8532" spans="1:10" x14ac:dyDescent="0.75">
      <c r="A8532" t="s">
        <v>151</v>
      </c>
      <c r="B8532">
        <v>766</v>
      </c>
      <c r="C8532" t="s">
        <v>35</v>
      </c>
      <c r="D8532">
        <v>4783</v>
      </c>
      <c r="E8532" t="s">
        <v>382</v>
      </c>
      <c r="F8532" s="4">
        <v>0</v>
      </c>
      <c r="G8532" s="4">
        <v>80116</v>
      </c>
      <c r="H8532" s="4">
        <v>79212</v>
      </c>
      <c r="I8532" s="4">
        <v>904</v>
      </c>
      <c r="J8532" s="4">
        <v>80116</v>
      </c>
    </row>
    <row r="8533" spans="1:10" x14ac:dyDescent="0.75">
      <c r="A8533" t="s">
        <v>151</v>
      </c>
      <c r="B8533">
        <v>766</v>
      </c>
      <c r="C8533" t="s">
        <v>35</v>
      </c>
      <c r="D8533">
        <v>7600</v>
      </c>
      <c r="E8533" t="s">
        <v>503</v>
      </c>
      <c r="F8533" s="4">
        <v>0</v>
      </c>
      <c r="G8533" s="4">
        <v>76063</v>
      </c>
      <c r="H8533" s="4">
        <v>59922</v>
      </c>
      <c r="I8533" s="4">
        <v>16141</v>
      </c>
      <c r="J8533" s="4">
        <v>76063</v>
      </c>
    </row>
    <row r="8534" spans="1:10" x14ac:dyDescent="0.75">
      <c r="A8534" t="s">
        <v>151</v>
      </c>
      <c r="B8534">
        <v>766</v>
      </c>
      <c r="C8534" t="s">
        <v>35</v>
      </c>
      <c r="D8534">
        <v>3274</v>
      </c>
      <c r="E8534" t="s">
        <v>438</v>
      </c>
      <c r="F8534" s="4">
        <v>46533</v>
      </c>
      <c r="G8534" s="4">
        <v>27697</v>
      </c>
      <c r="H8534" s="4">
        <v>27469</v>
      </c>
      <c r="I8534" s="4">
        <v>228</v>
      </c>
      <c r="J8534" s="4">
        <v>74230</v>
      </c>
    </row>
    <row r="8535" spans="1:10" x14ac:dyDescent="0.75">
      <c r="A8535" t="s">
        <v>151</v>
      </c>
      <c r="B8535">
        <v>766</v>
      </c>
      <c r="C8535" t="s">
        <v>35</v>
      </c>
      <c r="D8535">
        <v>2340</v>
      </c>
      <c r="E8535" t="s">
        <v>369</v>
      </c>
      <c r="F8535" s="4">
        <v>73566</v>
      </c>
      <c r="G8535" s="4">
        <v>0</v>
      </c>
      <c r="H8535" s="4">
        <v>0</v>
      </c>
      <c r="I8535" s="4">
        <v>0</v>
      </c>
      <c r="J8535" s="4">
        <v>73566</v>
      </c>
    </row>
    <row r="8536" spans="1:10" x14ac:dyDescent="0.75">
      <c r="A8536" t="s">
        <v>151</v>
      </c>
      <c r="B8536">
        <v>766</v>
      </c>
      <c r="C8536" t="s">
        <v>35</v>
      </c>
      <c r="D8536">
        <v>4690</v>
      </c>
      <c r="E8536" t="s">
        <v>428</v>
      </c>
      <c r="F8536" s="4">
        <v>0</v>
      </c>
      <c r="G8536" s="4">
        <v>66649</v>
      </c>
      <c r="H8536" s="4">
        <v>60918</v>
      </c>
      <c r="I8536" s="4">
        <v>5731</v>
      </c>
      <c r="J8536" s="4">
        <v>66649</v>
      </c>
    </row>
    <row r="8537" spans="1:10" x14ac:dyDescent="0.75">
      <c r="A8537" t="s">
        <v>151</v>
      </c>
      <c r="B8537">
        <v>766</v>
      </c>
      <c r="C8537" t="s">
        <v>35</v>
      </c>
      <c r="D8537">
        <v>7210</v>
      </c>
      <c r="E8537" t="s">
        <v>426</v>
      </c>
      <c r="F8537" s="4">
        <v>0</v>
      </c>
      <c r="G8537" s="4">
        <v>66623</v>
      </c>
      <c r="H8537" s="4">
        <v>33783</v>
      </c>
      <c r="I8537" s="4">
        <v>32840</v>
      </c>
      <c r="J8537" s="4">
        <v>66623</v>
      </c>
    </row>
    <row r="8538" spans="1:10" x14ac:dyDescent="0.75">
      <c r="A8538" t="s">
        <v>151</v>
      </c>
      <c r="B8538">
        <v>766</v>
      </c>
      <c r="C8538" t="s">
        <v>35</v>
      </c>
      <c r="D8538">
        <v>3276</v>
      </c>
      <c r="E8538" t="s">
        <v>379</v>
      </c>
      <c r="F8538" s="4">
        <v>0</v>
      </c>
      <c r="G8538" s="4">
        <v>65419</v>
      </c>
      <c r="H8538" s="4">
        <v>60857</v>
      </c>
      <c r="I8538" s="4">
        <v>4562</v>
      </c>
      <c r="J8538" s="4">
        <v>65419</v>
      </c>
    </row>
    <row r="8539" spans="1:10" x14ac:dyDescent="0.75">
      <c r="A8539" t="s">
        <v>151</v>
      </c>
      <c r="B8539">
        <v>766</v>
      </c>
      <c r="C8539" t="s">
        <v>35</v>
      </c>
      <c r="D8539">
        <v>5220</v>
      </c>
      <c r="E8539" t="s">
        <v>401</v>
      </c>
      <c r="F8539" s="4">
        <v>0</v>
      </c>
      <c r="G8539" s="4">
        <v>63981</v>
      </c>
      <c r="H8539" s="4">
        <v>63981</v>
      </c>
      <c r="I8539" s="4">
        <v>0</v>
      </c>
      <c r="J8539" s="4">
        <v>63981</v>
      </c>
    </row>
    <row r="8540" spans="1:10" x14ac:dyDescent="0.75">
      <c r="A8540" t="s">
        <v>151</v>
      </c>
      <c r="B8540">
        <v>766</v>
      </c>
      <c r="C8540" t="s">
        <v>35</v>
      </c>
      <c r="D8540">
        <v>4900</v>
      </c>
      <c r="E8540" t="s">
        <v>383</v>
      </c>
      <c r="F8540" s="4">
        <v>0</v>
      </c>
      <c r="G8540" s="4">
        <v>61039</v>
      </c>
      <c r="H8540" s="4">
        <v>57258</v>
      </c>
      <c r="I8540" s="4">
        <v>3781</v>
      </c>
      <c r="J8540" s="4">
        <v>61039</v>
      </c>
    </row>
    <row r="8541" spans="1:10" x14ac:dyDescent="0.75">
      <c r="A8541" t="s">
        <v>151</v>
      </c>
      <c r="B8541">
        <v>766</v>
      </c>
      <c r="C8541" t="s">
        <v>35</v>
      </c>
      <c r="D8541">
        <v>7120</v>
      </c>
      <c r="E8541" t="s">
        <v>499</v>
      </c>
      <c r="F8541" s="4">
        <v>0</v>
      </c>
      <c r="G8541" s="4">
        <v>59445</v>
      </c>
      <c r="H8541" s="4">
        <v>48992</v>
      </c>
      <c r="I8541" s="4">
        <v>10453</v>
      </c>
      <c r="J8541" s="4">
        <v>59445</v>
      </c>
    </row>
    <row r="8542" spans="1:10" x14ac:dyDescent="0.75">
      <c r="A8542" t="s">
        <v>151</v>
      </c>
      <c r="B8542">
        <v>766</v>
      </c>
      <c r="C8542" t="s">
        <v>35</v>
      </c>
      <c r="D8542">
        <v>5120</v>
      </c>
      <c r="E8542" t="s">
        <v>461</v>
      </c>
      <c r="F8542" s="4">
        <v>0</v>
      </c>
      <c r="G8542" s="4">
        <v>58368</v>
      </c>
      <c r="H8542" s="4">
        <v>20049</v>
      </c>
      <c r="I8542" s="4">
        <v>38319</v>
      </c>
      <c r="J8542" s="4">
        <v>58368</v>
      </c>
    </row>
    <row r="8543" spans="1:10" x14ac:dyDescent="0.75">
      <c r="A8543" t="s">
        <v>151</v>
      </c>
      <c r="B8543">
        <v>766</v>
      </c>
      <c r="C8543" t="s">
        <v>35</v>
      </c>
      <c r="D8543">
        <v>6654</v>
      </c>
      <c r="E8543" t="s">
        <v>419</v>
      </c>
      <c r="F8543" s="4">
        <v>0</v>
      </c>
      <c r="G8543" s="4">
        <v>57371</v>
      </c>
      <c r="H8543" s="4">
        <v>5099</v>
      </c>
      <c r="I8543" s="4">
        <v>52272</v>
      </c>
      <c r="J8543" s="4">
        <v>57371</v>
      </c>
    </row>
    <row r="8544" spans="1:10" x14ac:dyDescent="0.75">
      <c r="A8544" t="s">
        <v>151</v>
      </c>
      <c r="B8544">
        <v>766</v>
      </c>
      <c r="C8544" t="s">
        <v>35</v>
      </c>
      <c r="D8544">
        <v>6856</v>
      </c>
      <c r="E8544" t="s">
        <v>486</v>
      </c>
      <c r="F8544" s="4">
        <v>0</v>
      </c>
      <c r="G8544" s="4">
        <v>49506</v>
      </c>
      <c r="H8544" s="4">
        <v>49178</v>
      </c>
      <c r="I8544" s="4">
        <v>328</v>
      </c>
      <c r="J8544" s="4">
        <v>49506</v>
      </c>
    </row>
    <row r="8545" spans="1:10" x14ac:dyDescent="0.75">
      <c r="A8545" t="s">
        <v>151</v>
      </c>
      <c r="B8545">
        <v>766</v>
      </c>
      <c r="C8545" t="s">
        <v>35</v>
      </c>
      <c r="D8545">
        <v>3190</v>
      </c>
      <c r="E8545" t="s">
        <v>408</v>
      </c>
      <c r="F8545" s="4">
        <v>0</v>
      </c>
      <c r="G8545" s="4">
        <v>49479</v>
      </c>
      <c r="H8545" s="4">
        <v>49416</v>
      </c>
      <c r="I8545" s="4">
        <v>63</v>
      </c>
      <c r="J8545" s="4">
        <v>49479</v>
      </c>
    </row>
    <row r="8546" spans="1:10" x14ac:dyDescent="0.75">
      <c r="A8546" t="s">
        <v>151</v>
      </c>
      <c r="B8546">
        <v>766</v>
      </c>
      <c r="C8546" t="s">
        <v>35</v>
      </c>
      <c r="D8546">
        <v>2221</v>
      </c>
      <c r="E8546" t="s">
        <v>374</v>
      </c>
      <c r="F8546" s="4">
        <v>44732</v>
      </c>
      <c r="G8546" s="4">
        <v>0</v>
      </c>
      <c r="H8546" s="4">
        <v>0</v>
      </c>
      <c r="I8546" s="4">
        <v>0</v>
      </c>
      <c r="J8546" s="4">
        <v>44732</v>
      </c>
    </row>
    <row r="8547" spans="1:10" x14ac:dyDescent="0.75">
      <c r="A8547" t="s">
        <v>151</v>
      </c>
      <c r="B8547">
        <v>766</v>
      </c>
      <c r="C8547" t="s">
        <v>35</v>
      </c>
      <c r="D8547">
        <v>6522</v>
      </c>
      <c r="E8547" t="s">
        <v>393</v>
      </c>
      <c r="F8547" s="4">
        <v>0</v>
      </c>
      <c r="G8547" s="4">
        <v>44661</v>
      </c>
      <c r="H8547" s="4">
        <v>1441</v>
      </c>
      <c r="I8547" s="4">
        <v>43220</v>
      </c>
      <c r="J8547" s="4">
        <v>44661</v>
      </c>
    </row>
    <row r="8548" spans="1:10" x14ac:dyDescent="0.75">
      <c r="A8548" t="s">
        <v>151</v>
      </c>
      <c r="B8548">
        <v>766</v>
      </c>
      <c r="C8548" t="s">
        <v>35</v>
      </c>
      <c r="D8548">
        <v>3219</v>
      </c>
      <c r="E8548" t="s">
        <v>378</v>
      </c>
      <c r="F8548" s="4">
        <v>0</v>
      </c>
      <c r="G8548" s="4">
        <v>37601</v>
      </c>
      <c r="H8548" s="4">
        <v>30355</v>
      </c>
      <c r="I8548" s="4">
        <v>7246</v>
      </c>
      <c r="J8548" s="4">
        <v>37601</v>
      </c>
    </row>
    <row r="8549" spans="1:10" x14ac:dyDescent="0.75">
      <c r="A8549" t="s">
        <v>151</v>
      </c>
      <c r="B8549">
        <v>766</v>
      </c>
      <c r="C8549" t="s">
        <v>35</v>
      </c>
      <c r="D8549">
        <v>5330</v>
      </c>
      <c r="E8549" t="s">
        <v>385</v>
      </c>
      <c r="F8549" s="4">
        <v>0</v>
      </c>
      <c r="G8549" s="4">
        <v>36297</v>
      </c>
      <c r="H8549" s="4">
        <v>35728</v>
      </c>
      <c r="I8549" s="4">
        <v>569</v>
      </c>
      <c r="J8549" s="4">
        <v>36297</v>
      </c>
    </row>
    <row r="8550" spans="1:10" x14ac:dyDescent="0.75">
      <c r="A8550" t="s">
        <v>151</v>
      </c>
      <c r="B8550">
        <v>766</v>
      </c>
      <c r="C8550" t="s">
        <v>35</v>
      </c>
      <c r="D8550">
        <v>5290</v>
      </c>
      <c r="E8550" t="s">
        <v>415</v>
      </c>
      <c r="F8550" s="4">
        <v>0</v>
      </c>
      <c r="G8550" s="4">
        <v>34343</v>
      </c>
      <c r="H8550" s="4">
        <v>25657</v>
      </c>
      <c r="I8550" s="4">
        <v>8686</v>
      </c>
      <c r="J8550" s="4">
        <v>34343</v>
      </c>
    </row>
    <row r="8551" spans="1:10" x14ac:dyDescent="0.75">
      <c r="A8551" t="s">
        <v>151</v>
      </c>
      <c r="B8551">
        <v>766</v>
      </c>
      <c r="C8551" t="s">
        <v>35</v>
      </c>
      <c r="D8551">
        <v>3260</v>
      </c>
      <c r="E8551" t="s">
        <v>436</v>
      </c>
      <c r="F8551" s="4">
        <v>0</v>
      </c>
      <c r="G8551" s="4">
        <v>32894</v>
      </c>
      <c r="H8551" s="4">
        <v>32138</v>
      </c>
      <c r="I8551" s="4">
        <v>756</v>
      </c>
      <c r="J8551" s="4">
        <v>32894</v>
      </c>
    </row>
    <row r="8552" spans="1:10" x14ac:dyDescent="0.75">
      <c r="A8552" t="s">
        <v>151</v>
      </c>
      <c r="B8552">
        <v>766</v>
      </c>
      <c r="C8552" t="s">
        <v>35</v>
      </c>
      <c r="D8552">
        <v>5190</v>
      </c>
      <c r="E8552" t="s">
        <v>462</v>
      </c>
      <c r="F8552" s="4">
        <v>0</v>
      </c>
      <c r="G8552" s="4">
        <v>32419</v>
      </c>
      <c r="H8552" s="4">
        <v>20616</v>
      </c>
      <c r="I8552" s="4">
        <v>11803</v>
      </c>
      <c r="J8552" s="4">
        <v>32419</v>
      </c>
    </row>
    <row r="8553" spans="1:10" x14ac:dyDescent="0.75">
      <c r="A8553" t="s">
        <v>151</v>
      </c>
      <c r="B8553">
        <v>766</v>
      </c>
      <c r="C8553" t="s">
        <v>35</v>
      </c>
      <c r="D8553">
        <v>3285</v>
      </c>
      <c r="E8553" t="s">
        <v>443</v>
      </c>
      <c r="F8553" s="4">
        <v>0</v>
      </c>
      <c r="G8553" s="4">
        <v>31433</v>
      </c>
      <c r="H8553" s="4">
        <v>17159</v>
      </c>
      <c r="I8553" s="4">
        <v>14274</v>
      </c>
      <c r="J8553" s="4">
        <v>31433</v>
      </c>
    </row>
    <row r="8554" spans="1:10" x14ac:dyDescent="0.75">
      <c r="A8554" t="s">
        <v>151</v>
      </c>
      <c r="B8554">
        <v>766</v>
      </c>
      <c r="C8554" t="s">
        <v>35</v>
      </c>
      <c r="D8554">
        <v>6653</v>
      </c>
      <c r="E8554" t="s">
        <v>395</v>
      </c>
      <c r="F8554" s="4">
        <v>0</v>
      </c>
      <c r="G8554" s="4">
        <v>28126</v>
      </c>
      <c r="H8554" s="4">
        <v>27283</v>
      </c>
      <c r="I8554" s="4">
        <v>843</v>
      </c>
      <c r="J8554" s="4">
        <v>28126</v>
      </c>
    </row>
    <row r="8555" spans="1:10" x14ac:dyDescent="0.75">
      <c r="A8555" t="s">
        <v>151</v>
      </c>
      <c r="B8555">
        <v>766</v>
      </c>
      <c r="C8555" t="s">
        <v>35</v>
      </c>
      <c r="D8555">
        <v>2540</v>
      </c>
      <c r="E8555" t="s">
        <v>377</v>
      </c>
      <c r="F8555" s="4">
        <v>7126</v>
      </c>
      <c r="G8555" s="4">
        <v>17715</v>
      </c>
      <c r="H8555" s="4">
        <v>17715</v>
      </c>
      <c r="I8555" s="4">
        <v>0</v>
      </c>
      <c r="J8555" s="4">
        <v>24841</v>
      </c>
    </row>
    <row r="8556" spans="1:10" x14ac:dyDescent="0.75">
      <c r="A8556" t="s">
        <v>151</v>
      </c>
      <c r="B8556">
        <v>766</v>
      </c>
      <c r="C8556" t="s">
        <v>35</v>
      </c>
      <c r="D8556">
        <v>5540</v>
      </c>
      <c r="E8556" t="s">
        <v>469</v>
      </c>
      <c r="F8556" s="4">
        <v>0</v>
      </c>
      <c r="G8556" s="4">
        <v>24547</v>
      </c>
      <c r="H8556" s="4">
        <v>22988</v>
      </c>
      <c r="I8556" s="4">
        <v>1559</v>
      </c>
      <c r="J8556" s="4">
        <v>24547</v>
      </c>
    </row>
    <row r="8557" spans="1:10" x14ac:dyDescent="0.75">
      <c r="A8557" t="s">
        <v>151</v>
      </c>
      <c r="B8557">
        <v>766</v>
      </c>
      <c r="C8557" t="s">
        <v>35</v>
      </c>
      <c r="D8557">
        <v>5390</v>
      </c>
      <c r="E8557" t="s">
        <v>418</v>
      </c>
      <c r="F8557" s="4">
        <v>0</v>
      </c>
      <c r="G8557" s="4">
        <v>21645</v>
      </c>
      <c r="H8557" s="4">
        <v>20932</v>
      </c>
      <c r="I8557" s="4">
        <v>713</v>
      </c>
      <c r="J8557" s="4">
        <v>21645</v>
      </c>
    </row>
    <row r="8558" spans="1:10" x14ac:dyDescent="0.75">
      <c r="A8558" t="s">
        <v>151</v>
      </c>
      <c r="B8558">
        <v>766</v>
      </c>
      <c r="C8558" t="s">
        <v>35</v>
      </c>
      <c r="D8558">
        <v>3230</v>
      </c>
      <c r="E8558" t="s">
        <v>434</v>
      </c>
      <c r="F8558" s="4">
        <v>0</v>
      </c>
      <c r="G8558" s="4">
        <v>21634</v>
      </c>
      <c r="H8558" s="4">
        <v>8926</v>
      </c>
      <c r="I8558" s="4">
        <v>12708</v>
      </c>
      <c r="J8558" s="4">
        <v>21634</v>
      </c>
    </row>
    <row r="8559" spans="1:10" x14ac:dyDescent="0.75">
      <c r="A8559" t="s">
        <v>151</v>
      </c>
      <c r="B8559">
        <v>766</v>
      </c>
      <c r="C8559" t="s">
        <v>35</v>
      </c>
      <c r="D8559">
        <v>3275</v>
      </c>
      <c r="E8559" t="s">
        <v>412</v>
      </c>
      <c r="F8559" s="4">
        <v>0</v>
      </c>
      <c r="G8559" s="4">
        <v>20529</v>
      </c>
      <c r="H8559" s="4">
        <v>7444</v>
      </c>
      <c r="I8559" s="4">
        <v>13085</v>
      </c>
      <c r="J8559" s="4">
        <v>20529</v>
      </c>
    </row>
    <row r="8560" spans="1:10" x14ac:dyDescent="0.75">
      <c r="A8560" t="s">
        <v>151</v>
      </c>
      <c r="B8560">
        <v>766</v>
      </c>
      <c r="C8560" t="s">
        <v>35</v>
      </c>
      <c r="D8560">
        <v>3299</v>
      </c>
      <c r="E8560" t="s">
        <v>448</v>
      </c>
      <c r="F8560" s="4">
        <v>0</v>
      </c>
      <c r="G8560" s="4">
        <v>20004</v>
      </c>
      <c r="H8560" s="4">
        <v>8376</v>
      </c>
      <c r="I8560" s="4">
        <v>11628</v>
      </c>
      <c r="J8560" s="4">
        <v>20004</v>
      </c>
    </row>
    <row r="8561" spans="1:10" x14ac:dyDescent="0.75">
      <c r="A8561" t="s">
        <v>151</v>
      </c>
      <c r="B8561">
        <v>766</v>
      </c>
      <c r="C8561" t="s">
        <v>35</v>
      </c>
      <c r="D8561">
        <v>5429</v>
      </c>
      <c r="E8561" t="s">
        <v>429</v>
      </c>
      <c r="F8561" s="4">
        <v>0</v>
      </c>
      <c r="G8561" s="4">
        <v>17865</v>
      </c>
      <c r="H8561" s="4">
        <v>17125</v>
      </c>
      <c r="I8561" s="4">
        <v>740</v>
      </c>
      <c r="J8561" s="4">
        <v>17865</v>
      </c>
    </row>
    <row r="8562" spans="1:10" x14ac:dyDescent="0.75">
      <c r="A8562" t="s">
        <v>151</v>
      </c>
      <c r="B8562">
        <v>766</v>
      </c>
      <c r="C8562" t="s">
        <v>35</v>
      </c>
      <c r="D8562">
        <v>3240</v>
      </c>
      <c r="E8562" t="s">
        <v>410</v>
      </c>
      <c r="F8562" s="4">
        <v>0</v>
      </c>
      <c r="G8562" s="4">
        <v>17836</v>
      </c>
      <c r="H8562" s="4">
        <v>12766</v>
      </c>
      <c r="I8562" s="4">
        <v>5070</v>
      </c>
      <c r="J8562" s="4">
        <v>17836</v>
      </c>
    </row>
    <row r="8563" spans="1:10" x14ac:dyDescent="0.75">
      <c r="A8563" t="s">
        <v>151</v>
      </c>
      <c r="B8563">
        <v>766</v>
      </c>
      <c r="C8563" t="s">
        <v>35</v>
      </c>
      <c r="D8563">
        <v>7400</v>
      </c>
      <c r="E8563" t="s">
        <v>502</v>
      </c>
      <c r="F8563" s="4">
        <v>0</v>
      </c>
      <c r="G8563" s="4">
        <v>17200</v>
      </c>
      <c r="H8563" s="4">
        <v>15527</v>
      </c>
      <c r="I8563" s="4">
        <v>1673</v>
      </c>
      <c r="J8563" s="4">
        <v>17200</v>
      </c>
    </row>
    <row r="8564" spans="1:10" x14ac:dyDescent="0.75">
      <c r="A8564" t="s">
        <v>151</v>
      </c>
      <c r="B8564">
        <v>766</v>
      </c>
      <c r="C8564" t="s">
        <v>35</v>
      </c>
      <c r="D8564">
        <v>6838</v>
      </c>
      <c r="E8564" t="s">
        <v>484</v>
      </c>
      <c r="F8564" s="4">
        <v>0</v>
      </c>
      <c r="G8564" s="4">
        <v>17002</v>
      </c>
      <c r="H8564" s="4">
        <v>117</v>
      </c>
      <c r="I8564" s="4">
        <v>16885</v>
      </c>
      <c r="J8564" s="4">
        <v>17002</v>
      </c>
    </row>
    <row r="8565" spans="1:10" x14ac:dyDescent="0.75">
      <c r="A8565" t="s">
        <v>151</v>
      </c>
      <c r="B8565">
        <v>766</v>
      </c>
      <c r="C8565" t="s">
        <v>35</v>
      </c>
      <c r="D8565">
        <v>6889</v>
      </c>
      <c r="E8565" t="s">
        <v>420</v>
      </c>
      <c r="F8565" s="4">
        <v>0</v>
      </c>
      <c r="G8565" s="4">
        <v>14871</v>
      </c>
      <c r="H8565" s="4">
        <v>3995</v>
      </c>
      <c r="I8565" s="4">
        <v>10876</v>
      </c>
      <c r="J8565" s="4">
        <v>14871</v>
      </c>
    </row>
    <row r="8566" spans="1:10" x14ac:dyDescent="0.75">
      <c r="A8566" t="s">
        <v>151</v>
      </c>
      <c r="B8566">
        <v>766</v>
      </c>
      <c r="C8566" t="s">
        <v>35</v>
      </c>
      <c r="D8566">
        <v>6839</v>
      </c>
      <c r="E8566" t="s">
        <v>485</v>
      </c>
      <c r="F8566" s="4">
        <v>0</v>
      </c>
      <c r="G8566" s="4">
        <v>13961</v>
      </c>
      <c r="H8566" s="4">
        <v>398</v>
      </c>
      <c r="I8566" s="4">
        <v>13563</v>
      </c>
      <c r="J8566" s="4">
        <v>13961</v>
      </c>
    </row>
    <row r="8567" spans="1:10" x14ac:dyDescent="0.75">
      <c r="A8567" t="s">
        <v>151</v>
      </c>
      <c r="B8567">
        <v>766</v>
      </c>
      <c r="C8567" t="s">
        <v>35</v>
      </c>
      <c r="D8567">
        <v>7300</v>
      </c>
      <c r="E8567" t="s">
        <v>501</v>
      </c>
      <c r="F8567" s="4">
        <v>0</v>
      </c>
      <c r="G8567" s="4">
        <v>12842</v>
      </c>
      <c r="H8567" s="4">
        <v>948</v>
      </c>
      <c r="I8567" s="4">
        <v>11894</v>
      </c>
      <c r="J8567" s="4">
        <v>12842</v>
      </c>
    </row>
    <row r="8568" spans="1:10" x14ac:dyDescent="0.75">
      <c r="A8568" t="s">
        <v>151</v>
      </c>
      <c r="B8568">
        <v>766</v>
      </c>
      <c r="C8568" t="s">
        <v>35</v>
      </c>
      <c r="D8568">
        <v>3279</v>
      </c>
      <c r="E8568" t="s">
        <v>422</v>
      </c>
      <c r="F8568" s="4">
        <v>0</v>
      </c>
      <c r="G8568" s="4">
        <v>12670</v>
      </c>
      <c r="H8568" s="4">
        <v>4989</v>
      </c>
      <c r="I8568" s="4">
        <v>7681</v>
      </c>
      <c r="J8568" s="4">
        <v>12670</v>
      </c>
    </row>
    <row r="8569" spans="1:10" x14ac:dyDescent="0.75">
      <c r="A8569" t="s">
        <v>151</v>
      </c>
      <c r="B8569">
        <v>766</v>
      </c>
      <c r="C8569" t="s">
        <v>35</v>
      </c>
      <c r="D8569">
        <v>4782</v>
      </c>
      <c r="E8569" t="s">
        <v>414</v>
      </c>
      <c r="F8569" s="4">
        <v>0</v>
      </c>
      <c r="G8569" s="4">
        <v>12418</v>
      </c>
      <c r="H8569" s="4">
        <v>2235</v>
      </c>
      <c r="I8569" s="4">
        <v>10183</v>
      </c>
      <c r="J8569" s="4">
        <v>12418</v>
      </c>
    </row>
    <row r="8570" spans="1:10" x14ac:dyDescent="0.75">
      <c r="A8570" t="s">
        <v>151</v>
      </c>
      <c r="B8570">
        <v>766</v>
      </c>
      <c r="C8570" t="s">
        <v>35</v>
      </c>
      <c r="D8570">
        <v>6891</v>
      </c>
      <c r="E8570" t="s">
        <v>495</v>
      </c>
      <c r="F8570" s="4">
        <v>0</v>
      </c>
      <c r="G8570" s="4">
        <v>12130</v>
      </c>
      <c r="H8570" s="4">
        <v>5225</v>
      </c>
      <c r="I8570" s="4">
        <v>6905</v>
      </c>
      <c r="J8570" s="4">
        <v>12130</v>
      </c>
    </row>
    <row r="8571" spans="1:10" x14ac:dyDescent="0.75">
      <c r="A8571" t="s">
        <v>151</v>
      </c>
      <c r="B8571">
        <v>766</v>
      </c>
      <c r="C8571" t="s">
        <v>35</v>
      </c>
      <c r="D8571">
        <v>5240</v>
      </c>
      <c r="E8571" t="s">
        <v>464</v>
      </c>
      <c r="F8571" s="4">
        <v>0</v>
      </c>
      <c r="G8571" s="4">
        <v>11750</v>
      </c>
      <c r="H8571" s="4">
        <v>10387</v>
      </c>
      <c r="I8571" s="4">
        <v>1363</v>
      </c>
      <c r="J8571" s="4">
        <v>11750</v>
      </c>
    </row>
    <row r="8572" spans="1:10" x14ac:dyDescent="0.75">
      <c r="A8572" t="s">
        <v>151</v>
      </c>
      <c r="B8572">
        <v>766</v>
      </c>
      <c r="C8572" t="s">
        <v>35</v>
      </c>
      <c r="D8572">
        <v>9900</v>
      </c>
      <c r="E8572" t="s">
        <v>389</v>
      </c>
      <c r="F8572" s="4">
        <v>0</v>
      </c>
      <c r="G8572" s="4">
        <v>10530</v>
      </c>
      <c r="H8572" s="4">
        <v>5586</v>
      </c>
      <c r="I8572" s="4">
        <v>4944</v>
      </c>
      <c r="J8572" s="4">
        <v>10530</v>
      </c>
    </row>
    <row r="8573" spans="1:10" x14ac:dyDescent="0.75">
      <c r="A8573" t="s">
        <v>151</v>
      </c>
      <c r="B8573">
        <v>766</v>
      </c>
      <c r="C8573" t="s">
        <v>35</v>
      </c>
      <c r="D8573">
        <v>6590</v>
      </c>
      <c r="E8573" t="s">
        <v>394</v>
      </c>
      <c r="F8573" s="4">
        <v>0</v>
      </c>
      <c r="G8573" s="4">
        <v>8812</v>
      </c>
      <c r="H8573" s="4">
        <v>7947</v>
      </c>
      <c r="I8573" s="4">
        <v>865</v>
      </c>
      <c r="J8573" s="4">
        <v>8812</v>
      </c>
    </row>
    <row r="8574" spans="1:10" x14ac:dyDescent="0.75">
      <c r="A8574" t="s">
        <v>151</v>
      </c>
      <c r="B8574">
        <v>766</v>
      </c>
      <c r="C8574" t="s">
        <v>35</v>
      </c>
      <c r="D8574">
        <v>5360</v>
      </c>
      <c r="E8574" t="s">
        <v>465</v>
      </c>
      <c r="F8574" s="4">
        <v>0</v>
      </c>
      <c r="G8574" s="4">
        <v>8146</v>
      </c>
      <c r="H8574" s="4">
        <v>7522</v>
      </c>
      <c r="I8574" s="4">
        <v>624</v>
      </c>
      <c r="J8574" s="4">
        <v>8146</v>
      </c>
    </row>
    <row r="8575" spans="1:10" x14ac:dyDescent="0.75">
      <c r="A8575" t="s">
        <v>151</v>
      </c>
      <c r="B8575">
        <v>766</v>
      </c>
      <c r="C8575" t="s">
        <v>35</v>
      </c>
      <c r="D8575">
        <v>6134</v>
      </c>
      <c r="E8575" t="s">
        <v>470</v>
      </c>
      <c r="F8575" s="4">
        <v>0</v>
      </c>
      <c r="G8575" s="4">
        <v>7809</v>
      </c>
      <c r="H8575" s="4">
        <v>7320</v>
      </c>
      <c r="I8575" s="4">
        <v>489</v>
      </c>
      <c r="J8575" s="4">
        <v>7809</v>
      </c>
    </row>
    <row r="8576" spans="1:10" x14ac:dyDescent="0.75">
      <c r="A8576" t="s">
        <v>151</v>
      </c>
      <c r="B8576">
        <v>766</v>
      </c>
      <c r="C8576" t="s">
        <v>35</v>
      </c>
      <c r="D8576">
        <v>3250</v>
      </c>
      <c r="E8576" t="s">
        <v>435</v>
      </c>
      <c r="F8576" s="4">
        <v>0</v>
      </c>
      <c r="G8576" s="4">
        <v>6825</v>
      </c>
      <c r="H8576" s="4">
        <v>1155</v>
      </c>
      <c r="I8576" s="4">
        <v>5670</v>
      </c>
      <c r="J8576" s="4">
        <v>6825</v>
      </c>
    </row>
    <row r="8577" spans="1:10" x14ac:dyDescent="0.75">
      <c r="A8577" t="s">
        <v>151</v>
      </c>
      <c r="B8577">
        <v>766</v>
      </c>
      <c r="C8577" t="s">
        <v>35</v>
      </c>
      <c r="D8577">
        <v>4860</v>
      </c>
      <c r="E8577" t="s">
        <v>400</v>
      </c>
      <c r="F8577" s="4">
        <v>0</v>
      </c>
      <c r="G8577" s="4">
        <v>6228</v>
      </c>
      <c r="H8577" s="4">
        <v>6228</v>
      </c>
      <c r="I8577" s="4">
        <v>0</v>
      </c>
      <c r="J8577" s="4">
        <v>6228</v>
      </c>
    </row>
    <row r="8578" spans="1:10" x14ac:dyDescent="0.75">
      <c r="A8578" t="s">
        <v>151</v>
      </c>
      <c r="B8578">
        <v>766</v>
      </c>
      <c r="C8578" t="s">
        <v>35</v>
      </c>
      <c r="D8578">
        <v>6747</v>
      </c>
      <c r="E8578" t="s">
        <v>478</v>
      </c>
      <c r="F8578" s="4">
        <v>0</v>
      </c>
      <c r="G8578" s="4">
        <v>6021</v>
      </c>
      <c r="H8578" s="4">
        <v>2754</v>
      </c>
      <c r="I8578" s="4">
        <v>3267</v>
      </c>
      <c r="J8578" s="4">
        <v>6021</v>
      </c>
    </row>
    <row r="8579" spans="1:10" x14ac:dyDescent="0.75">
      <c r="A8579" t="s">
        <v>151</v>
      </c>
      <c r="B8579">
        <v>766</v>
      </c>
      <c r="C8579" t="s">
        <v>35</v>
      </c>
      <c r="D8579">
        <v>5370</v>
      </c>
      <c r="E8579" t="s">
        <v>466</v>
      </c>
      <c r="F8579" s="4">
        <v>0</v>
      </c>
      <c r="G8579" s="4">
        <v>5905</v>
      </c>
      <c r="H8579" s="4">
        <v>5617</v>
      </c>
      <c r="I8579" s="4">
        <v>288</v>
      </c>
      <c r="J8579" s="4">
        <v>5905</v>
      </c>
    </row>
    <row r="8580" spans="1:10" x14ac:dyDescent="0.75">
      <c r="A8580" t="s">
        <v>151</v>
      </c>
      <c r="B8580">
        <v>766</v>
      </c>
      <c r="C8580" t="s">
        <v>35</v>
      </c>
      <c r="D8580">
        <v>6893</v>
      </c>
      <c r="E8580" t="s">
        <v>496</v>
      </c>
      <c r="F8580" s="4">
        <v>0</v>
      </c>
      <c r="G8580" s="4">
        <v>5557</v>
      </c>
      <c r="H8580" s="4">
        <v>3092</v>
      </c>
      <c r="I8580" s="4">
        <v>2465</v>
      </c>
      <c r="J8580" s="4">
        <v>5557</v>
      </c>
    </row>
    <row r="8581" spans="1:10" x14ac:dyDescent="0.75">
      <c r="A8581" t="s">
        <v>151</v>
      </c>
      <c r="B8581">
        <v>766</v>
      </c>
      <c r="C8581" t="s">
        <v>35</v>
      </c>
      <c r="D8581">
        <v>3292</v>
      </c>
      <c r="E8581" t="s">
        <v>413</v>
      </c>
      <c r="F8581" s="4">
        <v>0</v>
      </c>
      <c r="G8581" s="4">
        <v>5195</v>
      </c>
      <c r="H8581" s="4">
        <v>4409</v>
      </c>
      <c r="I8581" s="4">
        <v>786</v>
      </c>
      <c r="J8581" s="4">
        <v>5195</v>
      </c>
    </row>
    <row r="8582" spans="1:10" x14ac:dyDescent="0.75">
      <c r="A8582" t="s">
        <v>151</v>
      </c>
      <c r="B8582">
        <v>766</v>
      </c>
      <c r="C8582" t="s">
        <v>35</v>
      </c>
      <c r="D8582">
        <v>5422</v>
      </c>
      <c r="E8582" t="s">
        <v>468</v>
      </c>
      <c r="F8582" s="4">
        <v>0</v>
      </c>
      <c r="G8582" s="4">
        <v>4897</v>
      </c>
      <c r="H8582" s="4">
        <v>4072</v>
      </c>
      <c r="I8582" s="4">
        <v>825</v>
      </c>
      <c r="J8582" s="4">
        <v>4897</v>
      </c>
    </row>
    <row r="8583" spans="1:10" x14ac:dyDescent="0.75">
      <c r="A8583" t="s">
        <v>151</v>
      </c>
      <c r="B8583">
        <v>766</v>
      </c>
      <c r="C8583" t="s">
        <v>35</v>
      </c>
      <c r="D8583">
        <v>4680</v>
      </c>
      <c r="E8583" t="s">
        <v>459</v>
      </c>
      <c r="F8583" s="4">
        <v>0</v>
      </c>
      <c r="G8583" s="4">
        <v>4620</v>
      </c>
      <c r="H8583" s="4">
        <v>1330</v>
      </c>
      <c r="I8583" s="4">
        <v>3290</v>
      </c>
      <c r="J8583" s="4">
        <v>4620</v>
      </c>
    </row>
    <row r="8584" spans="1:10" x14ac:dyDescent="0.75">
      <c r="A8584" t="s">
        <v>151</v>
      </c>
      <c r="B8584">
        <v>766</v>
      </c>
      <c r="C8584" t="s">
        <v>35</v>
      </c>
      <c r="D8584">
        <v>3282</v>
      </c>
      <c r="E8584" t="s">
        <v>440</v>
      </c>
      <c r="F8584" s="4">
        <v>0</v>
      </c>
      <c r="G8584" s="4">
        <v>3854</v>
      </c>
      <c r="H8584" s="4">
        <v>2763</v>
      </c>
      <c r="I8584" s="4">
        <v>1091</v>
      </c>
      <c r="J8584" s="4">
        <v>3854</v>
      </c>
    </row>
    <row r="8585" spans="1:10" x14ac:dyDescent="0.75">
      <c r="A8585" t="s">
        <v>151</v>
      </c>
      <c r="B8585">
        <v>766</v>
      </c>
      <c r="C8585" t="s">
        <v>35</v>
      </c>
      <c r="D8585">
        <v>6442</v>
      </c>
      <c r="E8585" t="s">
        <v>472</v>
      </c>
      <c r="F8585" s="4">
        <v>0</v>
      </c>
      <c r="G8585" s="4">
        <v>3787</v>
      </c>
      <c r="H8585" s="4">
        <v>112</v>
      </c>
      <c r="I8585" s="4">
        <v>3675</v>
      </c>
      <c r="J8585" s="4">
        <v>3787</v>
      </c>
    </row>
    <row r="8586" spans="1:10" x14ac:dyDescent="0.75">
      <c r="A8586" t="s">
        <v>151</v>
      </c>
      <c r="B8586">
        <v>766</v>
      </c>
      <c r="C8586" t="s">
        <v>35</v>
      </c>
      <c r="D8586">
        <v>4650</v>
      </c>
      <c r="E8586" t="s">
        <v>457</v>
      </c>
      <c r="F8586" s="4">
        <v>0</v>
      </c>
      <c r="G8586" s="4">
        <v>3655</v>
      </c>
      <c r="H8586" s="4">
        <v>3134</v>
      </c>
      <c r="I8586" s="4">
        <v>521</v>
      </c>
      <c r="J8586" s="4">
        <v>3655</v>
      </c>
    </row>
    <row r="8587" spans="1:10" x14ac:dyDescent="0.75">
      <c r="A8587" t="s">
        <v>151</v>
      </c>
      <c r="B8587">
        <v>766</v>
      </c>
      <c r="C8587" t="s">
        <v>35</v>
      </c>
      <c r="D8587">
        <v>6885</v>
      </c>
      <c r="E8587" t="s">
        <v>493</v>
      </c>
      <c r="F8587" s="4">
        <v>0</v>
      </c>
      <c r="G8587" s="4">
        <v>3190</v>
      </c>
      <c r="H8587" s="4">
        <v>1661</v>
      </c>
      <c r="I8587" s="4">
        <v>1529</v>
      </c>
      <c r="J8587" s="4">
        <v>3190</v>
      </c>
    </row>
    <row r="8588" spans="1:10" x14ac:dyDescent="0.75">
      <c r="A8588" t="s">
        <v>151</v>
      </c>
      <c r="B8588">
        <v>766</v>
      </c>
      <c r="C8588" t="s">
        <v>35</v>
      </c>
      <c r="D8588">
        <v>3284</v>
      </c>
      <c r="E8588" t="s">
        <v>442</v>
      </c>
      <c r="F8588" s="4">
        <v>0</v>
      </c>
      <c r="G8588" s="4">
        <v>3070</v>
      </c>
      <c r="H8588" s="4">
        <v>2469</v>
      </c>
      <c r="I8588" s="4">
        <v>601</v>
      </c>
      <c r="J8588" s="4">
        <v>3070</v>
      </c>
    </row>
    <row r="8589" spans="1:10" x14ac:dyDescent="0.75">
      <c r="A8589" t="s">
        <v>151</v>
      </c>
      <c r="B8589">
        <v>766</v>
      </c>
      <c r="C8589" t="s">
        <v>35</v>
      </c>
      <c r="D8589">
        <v>5315</v>
      </c>
      <c r="E8589" t="s">
        <v>417</v>
      </c>
      <c r="F8589" s="4">
        <v>0</v>
      </c>
      <c r="G8589" s="4">
        <v>3011</v>
      </c>
      <c r="H8589" s="4">
        <v>2713</v>
      </c>
      <c r="I8589" s="4">
        <v>298</v>
      </c>
      <c r="J8589" s="4">
        <v>3011</v>
      </c>
    </row>
    <row r="8590" spans="1:10" x14ac:dyDescent="0.75">
      <c r="A8590" t="s">
        <v>151</v>
      </c>
      <c r="B8590">
        <v>766</v>
      </c>
      <c r="C8590" t="s">
        <v>35</v>
      </c>
      <c r="D8590">
        <v>6857</v>
      </c>
      <c r="E8590" t="s">
        <v>487</v>
      </c>
      <c r="F8590" s="4">
        <v>0</v>
      </c>
      <c r="G8590" s="4">
        <v>2848</v>
      </c>
      <c r="H8590" s="4">
        <v>2074</v>
      </c>
      <c r="I8590" s="4">
        <v>774</v>
      </c>
      <c r="J8590" s="4">
        <v>2848</v>
      </c>
    </row>
    <row r="8591" spans="1:10" x14ac:dyDescent="0.75">
      <c r="A8591" t="s">
        <v>151</v>
      </c>
      <c r="B8591">
        <v>766</v>
      </c>
      <c r="C8591" t="s">
        <v>35</v>
      </c>
      <c r="D8591">
        <v>3297</v>
      </c>
      <c r="E8591" t="s">
        <v>446</v>
      </c>
      <c r="F8591" s="4">
        <v>0</v>
      </c>
      <c r="G8591" s="4">
        <v>2619</v>
      </c>
      <c r="H8591" s="4">
        <v>1248</v>
      </c>
      <c r="I8591" s="4">
        <v>1371</v>
      </c>
      <c r="J8591" s="4">
        <v>2619</v>
      </c>
    </row>
    <row r="8592" spans="1:10" x14ac:dyDescent="0.75">
      <c r="A8592" t="s">
        <v>151</v>
      </c>
      <c r="B8592">
        <v>766</v>
      </c>
      <c r="C8592" t="s">
        <v>35</v>
      </c>
      <c r="D8592">
        <v>5421</v>
      </c>
      <c r="E8592" t="s">
        <v>467</v>
      </c>
      <c r="F8592" s="4">
        <v>0</v>
      </c>
      <c r="G8592" s="4">
        <v>2026</v>
      </c>
      <c r="H8592" s="4">
        <v>1721</v>
      </c>
      <c r="I8592" s="4">
        <v>305</v>
      </c>
      <c r="J8592" s="4">
        <v>2026</v>
      </c>
    </row>
    <row r="8593" spans="1:10" x14ac:dyDescent="0.75">
      <c r="A8593" t="s">
        <v>151</v>
      </c>
      <c r="B8593">
        <v>766</v>
      </c>
      <c r="C8593" t="s">
        <v>35</v>
      </c>
      <c r="D8593">
        <v>4420</v>
      </c>
      <c r="E8593" t="s">
        <v>381</v>
      </c>
      <c r="F8593" s="4">
        <v>0</v>
      </c>
      <c r="G8593" s="4">
        <v>2025</v>
      </c>
      <c r="H8593" s="4">
        <v>934</v>
      </c>
      <c r="I8593" s="4">
        <v>1091</v>
      </c>
      <c r="J8593" s="4">
        <v>2025</v>
      </c>
    </row>
    <row r="8594" spans="1:10" x14ac:dyDescent="0.75">
      <c r="A8594" t="s">
        <v>151</v>
      </c>
      <c r="B8594">
        <v>766</v>
      </c>
      <c r="C8594" t="s">
        <v>35</v>
      </c>
      <c r="D8594">
        <v>6858</v>
      </c>
      <c r="E8594" t="s">
        <v>488</v>
      </c>
      <c r="F8594" s="4">
        <v>0</v>
      </c>
      <c r="G8594" s="4">
        <v>1805</v>
      </c>
      <c r="H8594" s="4">
        <v>1277</v>
      </c>
      <c r="I8594" s="4">
        <v>528</v>
      </c>
      <c r="J8594" s="4">
        <v>1805</v>
      </c>
    </row>
    <row r="8595" spans="1:10" x14ac:dyDescent="0.75">
      <c r="A8595" t="s">
        <v>151</v>
      </c>
      <c r="B8595">
        <v>766</v>
      </c>
      <c r="C8595" t="s">
        <v>35</v>
      </c>
      <c r="D8595">
        <v>6822</v>
      </c>
      <c r="E8595" t="s">
        <v>482</v>
      </c>
      <c r="F8595" s="4">
        <v>0</v>
      </c>
      <c r="G8595" s="4">
        <v>1656</v>
      </c>
      <c r="H8595" s="4">
        <v>393</v>
      </c>
      <c r="I8595" s="4">
        <v>1263</v>
      </c>
      <c r="J8595" s="4">
        <v>1656</v>
      </c>
    </row>
    <row r="8596" spans="1:10" x14ac:dyDescent="0.75">
      <c r="A8596" t="s">
        <v>151</v>
      </c>
      <c r="B8596">
        <v>766</v>
      </c>
      <c r="C8596" t="s">
        <v>35</v>
      </c>
      <c r="D8596">
        <v>6817</v>
      </c>
      <c r="E8596" t="s">
        <v>481</v>
      </c>
      <c r="F8596" s="4">
        <v>0</v>
      </c>
      <c r="G8596" s="4">
        <v>1552</v>
      </c>
      <c r="H8596" s="4">
        <v>6</v>
      </c>
      <c r="I8596" s="4">
        <v>1546</v>
      </c>
      <c r="J8596" s="4">
        <v>1552</v>
      </c>
    </row>
    <row r="8597" spans="1:10" x14ac:dyDescent="0.75">
      <c r="A8597" t="s">
        <v>151</v>
      </c>
      <c r="B8597">
        <v>766</v>
      </c>
      <c r="C8597" t="s">
        <v>35</v>
      </c>
      <c r="D8597">
        <v>3283</v>
      </c>
      <c r="E8597" t="s">
        <v>441</v>
      </c>
      <c r="F8597" s="4">
        <v>0</v>
      </c>
      <c r="G8597" s="4">
        <v>1525</v>
      </c>
      <c r="H8597" s="4">
        <v>266</v>
      </c>
      <c r="I8597" s="4">
        <v>1259</v>
      </c>
      <c r="J8597" s="4">
        <v>1525</v>
      </c>
    </row>
    <row r="8598" spans="1:10" x14ac:dyDescent="0.75">
      <c r="A8598" t="s">
        <v>151</v>
      </c>
      <c r="B8598">
        <v>766</v>
      </c>
      <c r="C8598" t="s">
        <v>35</v>
      </c>
      <c r="D8598">
        <v>3291</v>
      </c>
      <c r="E8598" t="s">
        <v>444</v>
      </c>
      <c r="F8598" s="4">
        <v>0</v>
      </c>
      <c r="G8598" s="4">
        <v>1424</v>
      </c>
      <c r="H8598" s="4">
        <v>508</v>
      </c>
      <c r="I8598" s="4">
        <v>916</v>
      </c>
      <c r="J8598" s="4">
        <v>1424</v>
      </c>
    </row>
    <row r="8599" spans="1:10" x14ac:dyDescent="0.75">
      <c r="A8599" t="s">
        <v>151</v>
      </c>
      <c r="B8599">
        <v>766</v>
      </c>
      <c r="C8599" t="s">
        <v>35</v>
      </c>
      <c r="D8599">
        <v>5312</v>
      </c>
      <c r="E8599" t="s">
        <v>416</v>
      </c>
      <c r="F8599" s="4">
        <v>0</v>
      </c>
      <c r="G8599" s="4">
        <v>1233</v>
      </c>
      <c r="H8599" s="4">
        <v>326</v>
      </c>
      <c r="I8599" s="4">
        <v>907</v>
      </c>
      <c r="J8599" s="4">
        <v>1233</v>
      </c>
    </row>
    <row r="8600" spans="1:10" x14ac:dyDescent="0.75">
      <c r="A8600" t="s">
        <v>151</v>
      </c>
      <c r="B8600">
        <v>766</v>
      </c>
      <c r="C8600" t="s">
        <v>35</v>
      </c>
      <c r="D8600">
        <v>3293</v>
      </c>
      <c r="E8600" t="s">
        <v>445</v>
      </c>
      <c r="F8600" s="4">
        <v>0</v>
      </c>
      <c r="G8600" s="4">
        <v>1217</v>
      </c>
      <c r="H8600" s="4">
        <v>453</v>
      </c>
      <c r="I8600" s="4">
        <v>764</v>
      </c>
      <c r="J8600" s="4">
        <v>1217</v>
      </c>
    </row>
    <row r="8601" spans="1:10" x14ac:dyDescent="0.75">
      <c r="A8601" t="s">
        <v>151</v>
      </c>
      <c r="B8601">
        <v>766</v>
      </c>
      <c r="C8601" t="s">
        <v>35</v>
      </c>
      <c r="D8601">
        <v>6521</v>
      </c>
      <c r="E8601" t="s">
        <v>476</v>
      </c>
      <c r="F8601" s="4">
        <v>0</v>
      </c>
      <c r="G8601" s="4">
        <v>926</v>
      </c>
      <c r="H8601" s="4">
        <v>0</v>
      </c>
      <c r="I8601" s="4">
        <v>926</v>
      </c>
      <c r="J8601" s="4">
        <v>926</v>
      </c>
    </row>
    <row r="8602" spans="1:10" x14ac:dyDescent="0.75">
      <c r="A8602" t="s">
        <v>151</v>
      </c>
      <c r="B8602">
        <v>766</v>
      </c>
      <c r="C8602" t="s">
        <v>35</v>
      </c>
      <c r="D8602">
        <v>6781</v>
      </c>
      <c r="E8602" t="s">
        <v>479</v>
      </c>
      <c r="F8602" s="4">
        <v>0</v>
      </c>
      <c r="G8602" s="4">
        <v>926</v>
      </c>
      <c r="H8602" s="4">
        <v>36</v>
      </c>
      <c r="I8602" s="4">
        <v>890</v>
      </c>
      <c r="J8602" s="4">
        <v>926</v>
      </c>
    </row>
    <row r="8603" spans="1:10" x14ac:dyDescent="0.75">
      <c r="A8603" t="s">
        <v>151</v>
      </c>
      <c r="B8603">
        <v>766</v>
      </c>
      <c r="C8603" t="s">
        <v>35</v>
      </c>
      <c r="D8603">
        <v>4161</v>
      </c>
      <c r="E8603" t="s">
        <v>421</v>
      </c>
      <c r="F8603" s="4">
        <v>0</v>
      </c>
      <c r="G8603" s="4">
        <v>729</v>
      </c>
      <c r="H8603" s="4">
        <v>22</v>
      </c>
      <c r="I8603" s="4">
        <v>707</v>
      </c>
      <c r="J8603" s="4">
        <v>729</v>
      </c>
    </row>
    <row r="8604" spans="1:10" x14ac:dyDescent="0.75">
      <c r="A8604" t="s">
        <v>151</v>
      </c>
      <c r="B8604">
        <v>766</v>
      </c>
      <c r="C8604" t="s">
        <v>35</v>
      </c>
      <c r="D8604">
        <v>7220</v>
      </c>
      <c r="E8604" t="s">
        <v>500</v>
      </c>
      <c r="F8604" s="4">
        <v>0</v>
      </c>
      <c r="G8604" s="4">
        <v>666</v>
      </c>
      <c r="H8604" s="4">
        <v>175</v>
      </c>
      <c r="I8604" s="4">
        <v>491</v>
      </c>
      <c r="J8604" s="4">
        <v>666</v>
      </c>
    </row>
    <row r="8605" spans="1:10" x14ac:dyDescent="0.75">
      <c r="A8605" t="s">
        <v>151</v>
      </c>
      <c r="B8605">
        <v>766</v>
      </c>
      <c r="C8605" t="s">
        <v>35</v>
      </c>
      <c r="D8605">
        <v>4190</v>
      </c>
      <c r="E8605" t="s">
        <v>452</v>
      </c>
      <c r="F8605" s="4">
        <v>0</v>
      </c>
      <c r="G8605" s="4">
        <v>616</v>
      </c>
      <c r="H8605" s="4">
        <v>462</v>
      </c>
      <c r="I8605" s="4">
        <v>154</v>
      </c>
      <c r="J8605" s="4">
        <v>616</v>
      </c>
    </row>
    <row r="8606" spans="1:10" x14ac:dyDescent="0.75">
      <c r="A8606" t="s">
        <v>151</v>
      </c>
      <c r="B8606">
        <v>766</v>
      </c>
      <c r="C8606" t="s">
        <v>35</v>
      </c>
      <c r="D8606">
        <v>4110</v>
      </c>
      <c r="E8606" t="s">
        <v>449</v>
      </c>
      <c r="F8606" s="4">
        <v>0</v>
      </c>
      <c r="G8606" s="4">
        <v>367</v>
      </c>
      <c r="H8606" s="4">
        <v>367</v>
      </c>
      <c r="I8606" s="4">
        <v>0</v>
      </c>
      <c r="J8606" s="4">
        <v>367</v>
      </c>
    </row>
    <row r="8607" spans="1:10" x14ac:dyDescent="0.75">
      <c r="A8607" t="s">
        <v>151</v>
      </c>
      <c r="B8607">
        <v>766</v>
      </c>
      <c r="C8607" t="s">
        <v>35</v>
      </c>
      <c r="D8607">
        <v>6899</v>
      </c>
      <c r="E8607" t="s">
        <v>498</v>
      </c>
      <c r="F8607" s="4">
        <v>0</v>
      </c>
      <c r="G8607" s="4">
        <v>313</v>
      </c>
      <c r="H8607" s="4">
        <v>291</v>
      </c>
      <c r="I8607" s="4">
        <v>22</v>
      </c>
      <c r="J8607" s="4">
        <v>313</v>
      </c>
    </row>
    <row r="8608" spans="1:10" x14ac:dyDescent="0.75">
      <c r="A8608" t="s">
        <v>151</v>
      </c>
      <c r="B8608">
        <v>766</v>
      </c>
      <c r="C8608" t="s">
        <v>35</v>
      </c>
      <c r="D8608">
        <v>5320</v>
      </c>
      <c r="E8608" t="s">
        <v>384</v>
      </c>
      <c r="F8608" s="4">
        <v>0</v>
      </c>
      <c r="G8608" s="4">
        <v>312</v>
      </c>
      <c r="H8608" s="4">
        <v>31</v>
      </c>
      <c r="I8608" s="4">
        <v>281</v>
      </c>
      <c r="J8608" s="4">
        <v>312</v>
      </c>
    </row>
    <row r="8609" spans="1:10" x14ac:dyDescent="0.75">
      <c r="A8609" t="s">
        <v>151</v>
      </c>
      <c r="B8609">
        <v>766</v>
      </c>
      <c r="C8609" t="s">
        <v>35</v>
      </c>
      <c r="D8609">
        <v>3211</v>
      </c>
      <c r="E8609" t="s">
        <v>433</v>
      </c>
      <c r="F8609" s="4">
        <v>0</v>
      </c>
      <c r="G8609" s="4">
        <v>253</v>
      </c>
      <c r="H8609" s="4">
        <v>175</v>
      </c>
      <c r="I8609" s="4">
        <v>78</v>
      </c>
      <c r="J8609" s="4">
        <v>253</v>
      </c>
    </row>
    <row r="8610" spans="1:10" x14ac:dyDescent="0.75">
      <c r="A8610" t="s">
        <v>151</v>
      </c>
      <c r="B8610">
        <v>766</v>
      </c>
      <c r="C8610" t="s">
        <v>35</v>
      </c>
      <c r="D8610">
        <v>7230</v>
      </c>
      <c r="E8610" t="s">
        <v>387</v>
      </c>
      <c r="F8610" s="4">
        <v>0</v>
      </c>
      <c r="G8610" s="4">
        <v>197</v>
      </c>
      <c r="H8610" s="4">
        <v>105</v>
      </c>
      <c r="I8610" s="4">
        <v>92</v>
      </c>
      <c r="J8610" s="4">
        <v>197</v>
      </c>
    </row>
    <row r="8611" spans="1:10" x14ac:dyDescent="0.75">
      <c r="A8611" t="s">
        <v>151</v>
      </c>
      <c r="B8611">
        <v>766</v>
      </c>
      <c r="C8611" t="s">
        <v>35</v>
      </c>
      <c r="D8611">
        <v>6888</v>
      </c>
      <c r="E8611" t="s">
        <v>494</v>
      </c>
      <c r="F8611" s="4">
        <v>0</v>
      </c>
      <c r="G8611" s="4">
        <v>172</v>
      </c>
      <c r="H8611" s="4">
        <v>1</v>
      </c>
      <c r="I8611" s="4">
        <v>171</v>
      </c>
      <c r="J8611" s="4">
        <v>172</v>
      </c>
    </row>
    <row r="8612" spans="1:10" x14ac:dyDescent="0.75">
      <c r="A8612" t="s">
        <v>151</v>
      </c>
      <c r="B8612">
        <v>766</v>
      </c>
      <c r="C8612" t="s">
        <v>35</v>
      </c>
      <c r="D8612">
        <v>5210</v>
      </c>
      <c r="E8612" t="s">
        <v>463</v>
      </c>
      <c r="F8612" s="4">
        <v>0</v>
      </c>
      <c r="G8612" s="4">
        <v>147</v>
      </c>
      <c r="H8612" s="4">
        <v>147</v>
      </c>
      <c r="I8612" s="4">
        <v>0</v>
      </c>
      <c r="J8612" s="4">
        <v>147</v>
      </c>
    </row>
    <row r="8613" spans="1:10" x14ac:dyDescent="0.75">
      <c r="A8613" t="s">
        <v>151</v>
      </c>
      <c r="B8613">
        <v>766</v>
      </c>
      <c r="C8613" t="s">
        <v>35</v>
      </c>
      <c r="D8613">
        <v>2429</v>
      </c>
      <c r="E8613" t="s">
        <v>375</v>
      </c>
      <c r="F8613" s="4">
        <v>0</v>
      </c>
      <c r="G8613" s="4">
        <v>121</v>
      </c>
      <c r="H8613" s="4">
        <v>2</v>
      </c>
      <c r="I8613" s="4">
        <v>119</v>
      </c>
      <c r="J8613" s="4">
        <v>121</v>
      </c>
    </row>
    <row r="8614" spans="1:10" x14ac:dyDescent="0.75">
      <c r="A8614" t="s">
        <v>151</v>
      </c>
      <c r="B8614">
        <v>766</v>
      </c>
      <c r="C8614" t="s">
        <v>35</v>
      </c>
      <c r="D8614">
        <v>2990</v>
      </c>
      <c r="E8614" t="s">
        <v>432</v>
      </c>
      <c r="F8614" s="4">
        <v>0</v>
      </c>
      <c r="G8614" s="4">
        <v>108</v>
      </c>
      <c r="H8614" s="4">
        <v>108</v>
      </c>
      <c r="I8614" s="4">
        <v>0</v>
      </c>
      <c r="J8614" s="4">
        <v>108</v>
      </c>
    </row>
    <row r="8615" spans="1:10" x14ac:dyDescent="0.75">
      <c r="A8615" t="s">
        <v>151</v>
      </c>
      <c r="B8615">
        <v>766</v>
      </c>
      <c r="C8615" t="s">
        <v>35</v>
      </c>
      <c r="D8615">
        <v>6871</v>
      </c>
      <c r="E8615" t="s">
        <v>491</v>
      </c>
      <c r="F8615" s="4">
        <v>0</v>
      </c>
      <c r="G8615" s="4">
        <v>97</v>
      </c>
      <c r="H8615" s="4">
        <v>97</v>
      </c>
      <c r="I8615" s="4">
        <v>0</v>
      </c>
      <c r="J8615" s="4">
        <v>97</v>
      </c>
    </row>
    <row r="8616" spans="1:10" x14ac:dyDescent="0.75">
      <c r="A8616" t="s">
        <v>151</v>
      </c>
      <c r="B8616">
        <v>766</v>
      </c>
      <c r="C8616" t="s">
        <v>35</v>
      </c>
      <c r="D8616">
        <v>6894</v>
      </c>
      <c r="E8616" t="s">
        <v>497</v>
      </c>
      <c r="F8616" s="4">
        <v>0</v>
      </c>
      <c r="G8616" s="4">
        <v>97</v>
      </c>
      <c r="H8616" s="4">
        <v>97</v>
      </c>
      <c r="I8616" s="4">
        <v>0</v>
      </c>
      <c r="J8616" s="4">
        <v>97</v>
      </c>
    </row>
    <row r="8617" spans="1:10" x14ac:dyDescent="0.75">
      <c r="A8617" t="s">
        <v>151</v>
      </c>
      <c r="B8617">
        <v>766</v>
      </c>
      <c r="C8617" t="s">
        <v>35</v>
      </c>
      <c r="D8617">
        <v>1100</v>
      </c>
      <c r="E8617" t="s">
        <v>397</v>
      </c>
      <c r="F8617" s="4">
        <v>0</v>
      </c>
      <c r="G8617" s="4">
        <v>47</v>
      </c>
      <c r="H8617" s="4">
        <v>47</v>
      </c>
      <c r="I8617" s="4">
        <v>0</v>
      </c>
      <c r="J8617" s="4">
        <v>47</v>
      </c>
    </row>
    <row r="8618" spans="1:10" x14ac:dyDescent="0.75">
      <c r="A8618" t="s">
        <v>151</v>
      </c>
      <c r="B8618">
        <v>766</v>
      </c>
      <c r="C8618" t="s">
        <v>35</v>
      </c>
      <c r="D8618">
        <v>6241</v>
      </c>
      <c r="E8618" t="s">
        <v>391</v>
      </c>
      <c r="F8618" s="4">
        <v>0</v>
      </c>
      <c r="G8618" s="4">
        <v>45</v>
      </c>
      <c r="H8618" s="4">
        <v>45</v>
      </c>
      <c r="I8618" s="4">
        <v>0</v>
      </c>
      <c r="J8618" s="4">
        <v>45</v>
      </c>
    </row>
    <row r="8619" spans="1:10" x14ac:dyDescent="0.75">
      <c r="A8619" t="s">
        <v>151</v>
      </c>
      <c r="B8619">
        <v>766</v>
      </c>
      <c r="C8619" t="s">
        <v>35</v>
      </c>
      <c r="D8619">
        <v>4310</v>
      </c>
      <c r="E8619" t="s">
        <v>453</v>
      </c>
      <c r="F8619" s="4">
        <v>0</v>
      </c>
      <c r="G8619" s="4">
        <v>44</v>
      </c>
      <c r="H8619" s="4">
        <v>0</v>
      </c>
      <c r="I8619" s="4">
        <v>44</v>
      </c>
      <c r="J8619" s="4">
        <v>44</v>
      </c>
    </row>
    <row r="8620" spans="1:10" x14ac:dyDescent="0.75">
      <c r="A8620" t="s">
        <v>151</v>
      </c>
      <c r="B8620">
        <v>766</v>
      </c>
      <c r="C8620" t="s">
        <v>35</v>
      </c>
      <c r="D8620">
        <v>6136</v>
      </c>
      <c r="E8620" t="s">
        <v>471</v>
      </c>
      <c r="F8620" s="4">
        <v>0</v>
      </c>
      <c r="G8620" s="4">
        <v>40</v>
      </c>
      <c r="H8620" s="4">
        <v>40</v>
      </c>
      <c r="I8620" s="4">
        <v>0</v>
      </c>
      <c r="J8620" s="4">
        <v>40</v>
      </c>
    </row>
    <row r="8621" spans="1:10" x14ac:dyDescent="0.75">
      <c r="A8621" t="s">
        <v>151</v>
      </c>
      <c r="B8621">
        <v>766</v>
      </c>
      <c r="C8621" t="s">
        <v>35</v>
      </c>
      <c r="D8621">
        <v>6344</v>
      </c>
      <c r="E8621" t="s">
        <v>392</v>
      </c>
      <c r="F8621" s="4">
        <v>0</v>
      </c>
      <c r="G8621" s="4">
        <v>31</v>
      </c>
      <c r="H8621" s="4">
        <v>31</v>
      </c>
      <c r="I8621" s="4">
        <v>0</v>
      </c>
      <c r="J8621" s="4">
        <v>31</v>
      </c>
    </row>
    <row r="8622" spans="1:10" x14ac:dyDescent="0.75">
      <c r="A8622" t="s">
        <v>151</v>
      </c>
      <c r="B8622">
        <v>766</v>
      </c>
      <c r="C8622" t="s">
        <v>35</v>
      </c>
      <c r="D8622">
        <v>4515</v>
      </c>
      <c r="E8622" t="s">
        <v>455</v>
      </c>
      <c r="F8622" s="4">
        <v>0</v>
      </c>
      <c r="G8622" s="4">
        <v>30</v>
      </c>
      <c r="H8622" s="4">
        <v>30</v>
      </c>
      <c r="I8622" s="4">
        <v>0</v>
      </c>
      <c r="J8622" s="4">
        <v>30</v>
      </c>
    </row>
    <row r="8623" spans="1:10" x14ac:dyDescent="0.75">
      <c r="A8623" t="s">
        <v>151</v>
      </c>
      <c r="B8623">
        <v>766</v>
      </c>
      <c r="C8623" t="s">
        <v>35</v>
      </c>
      <c r="D8623">
        <v>2640</v>
      </c>
      <c r="E8623" t="s">
        <v>431</v>
      </c>
      <c r="F8623" s="4">
        <v>0</v>
      </c>
      <c r="G8623" s="4">
        <v>27</v>
      </c>
      <c r="H8623" s="4">
        <v>27</v>
      </c>
      <c r="I8623" s="4">
        <v>0</v>
      </c>
      <c r="J8623" s="4">
        <v>27</v>
      </c>
    </row>
    <row r="8624" spans="1:10" x14ac:dyDescent="0.75">
      <c r="A8624" t="s">
        <v>151</v>
      </c>
      <c r="B8624">
        <v>766</v>
      </c>
      <c r="C8624" t="s">
        <v>35</v>
      </c>
      <c r="D8624">
        <v>6861</v>
      </c>
      <c r="E8624" t="s">
        <v>489</v>
      </c>
      <c r="F8624" s="4">
        <v>0</v>
      </c>
      <c r="G8624" s="4">
        <v>23</v>
      </c>
      <c r="H8624" s="4">
        <v>23</v>
      </c>
      <c r="I8624" s="4">
        <v>0</v>
      </c>
      <c r="J8624" s="4">
        <v>23</v>
      </c>
    </row>
    <row r="8625" spans="1:10" x14ac:dyDescent="0.75">
      <c r="A8625" t="s">
        <v>151</v>
      </c>
      <c r="B8625">
        <v>766</v>
      </c>
      <c r="C8625" t="s">
        <v>35</v>
      </c>
      <c r="D8625">
        <v>2410</v>
      </c>
      <c r="E8625" t="s">
        <v>430</v>
      </c>
      <c r="F8625" s="4">
        <v>0</v>
      </c>
      <c r="G8625" s="4">
        <v>21</v>
      </c>
      <c r="H8625" s="4">
        <v>21</v>
      </c>
      <c r="I8625" s="4">
        <v>0</v>
      </c>
      <c r="J8625" s="4">
        <v>21</v>
      </c>
    </row>
    <row r="8626" spans="1:10" x14ac:dyDescent="0.75">
      <c r="A8626" t="s">
        <v>151</v>
      </c>
      <c r="B8626">
        <v>766</v>
      </c>
      <c r="C8626" t="s">
        <v>35</v>
      </c>
      <c r="D8626">
        <v>3281</v>
      </c>
      <c r="E8626" t="s">
        <v>439</v>
      </c>
      <c r="F8626" s="4">
        <v>0</v>
      </c>
      <c r="G8626" s="4">
        <v>8</v>
      </c>
      <c r="H8626" s="4">
        <v>8</v>
      </c>
      <c r="I8626" s="4">
        <v>0</v>
      </c>
      <c r="J8626" s="4">
        <v>8</v>
      </c>
    </row>
    <row r="8627" spans="1:10" x14ac:dyDescent="0.75">
      <c r="A8627" t="s">
        <v>151</v>
      </c>
      <c r="B8627">
        <v>766</v>
      </c>
      <c r="C8627" t="s">
        <v>35</v>
      </c>
      <c r="D8627">
        <v>3273</v>
      </c>
      <c r="E8627" t="s">
        <v>411</v>
      </c>
      <c r="F8627" s="4">
        <v>0</v>
      </c>
      <c r="G8627" s="4">
        <v>7</v>
      </c>
      <c r="H8627" s="4">
        <v>7</v>
      </c>
      <c r="I8627" s="4">
        <v>0</v>
      </c>
      <c r="J8627" s="4">
        <v>7</v>
      </c>
    </row>
    <row r="8628" spans="1:10" x14ac:dyDescent="0.75">
      <c r="A8628" t="s">
        <v>151</v>
      </c>
      <c r="B8628">
        <v>766</v>
      </c>
      <c r="C8628" t="s">
        <v>35</v>
      </c>
      <c r="D8628">
        <v>6872</v>
      </c>
      <c r="E8628" t="s">
        <v>492</v>
      </c>
      <c r="F8628" s="4">
        <v>0</v>
      </c>
      <c r="G8628" s="4">
        <v>1</v>
      </c>
      <c r="H8628" s="4">
        <v>1</v>
      </c>
      <c r="I8628" s="4">
        <v>0</v>
      </c>
      <c r="J8628" s="4">
        <v>1</v>
      </c>
    </row>
    <row r="8629" spans="1:10" x14ac:dyDescent="0.75">
      <c r="A8629" t="s">
        <v>151</v>
      </c>
      <c r="B8629">
        <v>4795</v>
      </c>
      <c r="C8629" t="s">
        <v>76</v>
      </c>
      <c r="D8629">
        <v>7900</v>
      </c>
      <c r="E8629" t="s">
        <v>388</v>
      </c>
      <c r="F8629" s="4">
        <v>5753</v>
      </c>
      <c r="G8629" s="4">
        <v>763</v>
      </c>
      <c r="H8629" s="4">
        <v>763</v>
      </c>
      <c r="I8629" s="4">
        <v>0</v>
      </c>
      <c r="J8629" s="4">
        <v>6516</v>
      </c>
    </row>
    <row r="8630" spans="1:10" x14ac:dyDescent="0.75">
      <c r="A8630" t="s">
        <v>151</v>
      </c>
      <c r="B8630">
        <v>4795</v>
      </c>
      <c r="C8630" t="s">
        <v>76</v>
      </c>
      <c r="D8630">
        <v>6887</v>
      </c>
      <c r="E8630" t="s">
        <v>505</v>
      </c>
      <c r="F8630" s="4">
        <v>3740</v>
      </c>
      <c r="G8630" s="4">
        <v>0</v>
      </c>
      <c r="H8630" s="4">
        <v>0</v>
      </c>
      <c r="I8630" s="4">
        <v>0</v>
      </c>
      <c r="J8630" s="4">
        <v>3740</v>
      </c>
    </row>
    <row r="8631" spans="1:10" x14ac:dyDescent="0.75">
      <c r="A8631" t="s">
        <v>151</v>
      </c>
      <c r="B8631">
        <v>4795</v>
      </c>
      <c r="C8631" t="s">
        <v>76</v>
      </c>
      <c r="D8631">
        <v>7400</v>
      </c>
      <c r="E8631" t="s">
        <v>502</v>
      </c>
      <c r="F8631" s="4">
        <v>1710</v>
      </c>
      <c r="G8631" s="4">
        <v>0</v>
      </c>
      <c r="H8631" s="4">
        <v>0</v>
      </c>
      <c r="I8631" s="4">
        <v>0</v>
      </c>
      <c r="J8631" s="4">
        <v>1710</v>
      </c>
    </row>
    <row r="8632" spans="1:10" x14ac:dyDescent="0.75">
      <c r="A8632" t="s">
        <v>151</v>
      </c>
      <c r="B8632">
        <v>4795</v>
      </c>
      <c r="C8632" t="s">
        <v>76</v>
      </c>
      <c r="D8632">
        <v>8900</v>
      </c>
      <c r="E8632" t="s">
        <v>506</v>
      </c>
      <c r="F8632" s="4">
        <v>1384</v>
      </c>
      <c r="G8632" s="4">
        <v>0</v>
      </c>
      <c r="H8632" s="4">
        <v>0</v>
      </c>
      <c r="I8632" s="4">
        <v>0</v>
      </c>
      <c r="J8632" s="4">
        <v>1384</v>
      </c>
    </row>
    <row r="8633" spans="1:10" x14ac:dyDescent="0.75">
      <c r="A8633" t="s">
        <v>151</v>
      </c>
      <c r="B8633">
        <v>4795</v>
      </c>
      <c r="C8633" t="s">
        <v>76</v>
      </c>
      <c r="D8633">
        <v>7210</v>
      </c>
      <c r="E8633" t="s">
        <v>426</v>
      </c>
      <c r="F8633" s="4">
        <v>698</v>
      </c>
      <c r="G8633" s="4">
        <v>0</v>
      </c>
      <c r="H8633" s="4">
        <v>0</v>
      </c>
      <c r="I8633" s="4">
        <v>0</v>
      </c>
      <c r="J8633" s="4">
        <v>698</v>
      </c>
    </row>
    <row r="8634" spans="1:10" x14ac:dyDescent="0.75">
      <c r="A8634" t="s">
        <v>151</v>
      </c>
      <c r="B8634">
        <v>4795</v>
      </c>
      <c r="C8634" t="s">
        <v>76</v>
      </c>
      <c r="D8634">
        <v>2211</v>
      </c>
      <c r="E8634" t="s">
        <v>367</v>
      </c>
      <c r="F8634" s="4">
        <v>592</v>
      </c>
      <c r="G8634" s="4">
        <v>0</v>
      </c>
      <c r="H8634" s="4">
        <v>0</v>
      </c>
      <c r="I8634" s="4">
        <v>0</v>
      </c>
      <c r="J8634" s="4">
        <v>592</v>
      </c>
    </row>
    <row r="8635" spans="1:10" x14ac:dyDescent="0.75">
      <c r="A8635" t="s">
        <v>151</v>
      </c>
      <c r="B8635">
        <v>4795</v>
      </c>
      <c r="C8635" t="s">
        <v>76</v>
      </c>
      <c r="D8635">
        <v>6134</v>
      </c>
      <c r="E8635" t="s">
        <v>470</v>
      </c>
      <c r="F8635" s="4">
        <v>547</v>
      </c>
      <c r="G8635" s="4">
        <v>0</v>
      </c>
      <c r="H8635" s="4">
        <v>0</v>
      </c>
      <c r="I8635" s="4">
        <v>0</v>
      </c>
      <c r="J8635" s="4">
        <v>547</v>
      </c>
    </row>
    <row r="8636" spans="1:10" x14ac:dyDescent="0.75">
      <c r="A8636" t="s">
        <v>151</v>
      </c>
      <c r="B8636">
        <v>4795</v>
      </c>
      <c r="C8636" t="s">
        <v>76</v>
      </c>
      <c r="D8636">
        <v>4331</v>
      </c>
      <c r="E8636" t="s">
        <v>390</v>
      </c>
      <c r="F8636" s="4">
        <v>443</v>
      </c>
      <c r="G8636" s="4">
        <v>0</v>
      </c>
      <c r="H8636" s="4">
        <v>0</v>
      </c>
      <c r="I8636" s="4">
        <v>0</v>
      </c>
      <c r="J8636" s="4">
        <v>443</v>
      </c>
    </row>
    <row r="8637" spans="1:10" x14ac:dyDescent="0.75">
      <c r="A8637" t="s">
        <v>151</v>
      </c>
      <c r="B8637">
        <v>4795</v>
      </c>
      <c r="C8637" t="s">
        <v>76</v>
      </c>
      <c r="D8637">
        <v>7110</v>
      </c>
      <c r="E8637" t="s">
        <v>371</v>
      </c>
      <c r="F8637" s="4">
        <v>391</v>
      </c>
      <c r="G8637" s="4">
        <v>0</v>
      </c>
      <c r="H8637" s="4">
        <v>0</v>
      </c>
      <c r="I8637" s="4">
        <v>0</v>
      </c>
      <c r="J8637" s="4">
        <v>391</v>
      </c>
    </row>
    <row r="8638" spans="1:10" x14ac:dyDescent="0.75">
      <c r="A8638" t="s">
        <v>151</v>
      </c>
      <c r="B8638">
        <v>4795</v>
      </c>
      <c r="C8638" t="s">
        <v>76</v>
      </c>
      <c r="D8638">
        <v>3299</v>
      </c>
      <c r="E8638" t="s">
        <v>448</v>
      </c>
      <c r="F8638" s="4">
        <v>295</v>
      </c>
      <c r="G8638" s="4">
        <v>0</v>
      </c>
      <c r="H8638" s="4">
        <v>0</v>
      </c>
      <c r="I8638" s="4">
        <v>0</v>
      </c>
      <c r="J8638" s="4">
        <v>295</v>
      </c>
    </row>
    <row r="8639" spans="1:10" x14ac:dyDescent="0.75">
      <c r="A8639" t="s">
        <v>151</v>
      </c>
      <c r="B8639">
        <v>4795</v>
      </c>
      <c r="C8639" t="s">
        <v>76</v>
      </c>
      <c r="D8639">
        <v>6885</v>
      </c>
      <c r="E8639" t="s">
        <v>493</v>
      </c>
      <c r="F8639" s="4">
        <v>273</v>
      </c>
      <c r="G8639" s="4">
        <v>0</v>
      </c>
      <c r="H8639" s="4">
        <v>0</v>
      </c>
      <c r="I8639" s="4">
        <v>0</v>
      </c>
      <c r="J8639" s="4">
        <v>273</v>
      </c>
    </row>
    <row r="8640" spans="1:10" x14ac:dyDescent="0.75">
      <c r="A8640" t="s">
        <v>151</v>
      </c>
      <c r="B8640">
        <v>4795</v>
      </c>
      <c r="C8640" t="s">
        <v>76</v>
      </c>
      <c r="D8640">
        <v>5360</v>
      </c>
      <c r="E8640" t="s">
        <v>465</v>
      </c>
      <c r="F8640" s="4">
        <v>265</v>
      </c>
      <c r="G8640" s="4">
        <v>0</v>
      </c>
      <c r="H8640" s="4">
        <v>0</v>
      </c>
      <c r="I8640" s="4">
        <v>0</v>
      </c>
      <c r="J8640" s="4">
        <v>265</v>
      </c>
    </row>
    <row r="8641" spans="1:10" x14ac:dyDescent="0.75">
      <c r="A8641" t="s">
        <v>151</v>
      </c>
      <c r="B8641">
        <v>4795</v>
      </c>
      <c r="C8641" t="s">
        <v>76</v>
      </c>
      <c r="D8641">
        <v>4420</v>
      </c>
      <c r="E8641" t="s">
        <v>381</v>
      </c>
      <c r="F8641" s="4">
        <v>199</v>
      </c>
      <c r="G8641" s="4">
        <v>0</v>
      </c>
      <c r="H8641" s="4">
        <v>0</v>
      </c>
      <c r="I8641" s="4">
        <v>0</v>
      </c>
      <c r="J8641" s="4">
        <v>199</v>
      </c>
    </row>
    <row r="8642" spans="1:10" x14ac:dyDescent="0.75">
      <c r="A8642" t="s">
        <v>151</v>
      </c>
      <c r="B8642">
        <v>4795</v>
      </c>
      <c r="C8642" t="s">
        <v>76</v>
      </c>
      <c r="D8642">
        <v>7120</v>
      </c>
      <c r="E8642" t="s">
        <v>499</v>
      </c>
      <c r="F8642" s="4">
        <v>199</v>
      </c>
      <c r="G8642" s="4">
        <v>0</v>
      </c>
      <c r="H8642" s="4">
        <v>0</v>
      </c>
      <c r="I8642" s="4">
        <v>0</v>
      </c>
      <c r="J8642" s="4">
        <v>199</v>
      </c>
    </row>
    <row r="8643" spans="1:10" x14ac:dyDescent="0.75">
      <c r="A8643" t="s">
        <v>151</v>
      </c>
      <c r="B8643">
        <v>4795</v>
      </c>
      <c r="C8643" t="s">
        <v>76</v>
      </c>
      <c r="D8643">
        <v>5190</v>
      </c>
      <c r="E8643" t="s">
        <v>462</v>
      </c>
      <c r="F8643" s="4">
        <v>152</v>
      </c>
      <c r="G8643" s="4">
        <v>0</v>
      </c>
      <c r="H8643" s="4">
        <v>0</v>
      </c>
      <c r="I8643" s="4">
        <v>0</v>
      </c>
      <c r="J8643" s="4">
        <v>152</v>
      </c>
    </row>
    <row r="8644" spans="1:10" x14ac:dyDescent="0.75">
      <c r="A8644" t="s">
        <v>151</v>
      </c>
      <c r="B8644">
        <v>4795</v>
      </c>
      <c r="C8644" t="s">
        <v>76</v>
      </c>
      <c r="D8644">
        <v>5480</v>
      </c>
      <c r="E8644" t="s">
        <v>386</v>
      </c>
      <c r="F8644" s="4">
        <v>150</v>
      </c>
      <c r="G8644" s="4">
        <v>0</v>
      </c>
      <c r="H8644" s="4">
        <v>0</v>
      </c>
      <c r="I8644" s="4">
        <v>0</v>
      </c>
      <c r="J8644" s="4">
        <v>150</v>
      </c>
    </row>
    <row r="8645" spans="1:10" x14ac:dyDescent="0.75">
      <c r="A8645" t="s">
        <v>151</v>
      </c>
      <c r="B8645">
        <v>4795</v>
      </c>
      <c r="C8645" t="s">
        <v>76</v>
      </c>
      <c r="D8645">
        <v>7230</v>
      </c>
      <c r="E8645" t="s">
        <v>387</v>
      </c>
      <c r="F8645" s="4">
        <v>142</v>
      </c>
      <c r="G8645" s="4">
        <v>0</v>
      </c>
      <c r="H8645" s="4">
        <v>0</v>
      </c>
      <c r="I8645" s="4">
        <v>0</v>
      </c>
      <c r="J8645" s="4">
        <v>142</v>
      </c>
    </row>
    <row r="8646" spans="1:10" x14ac:dyDescent="0.75">
      <c r="A8646" t="s">
        <v>151</v>
      </c>
      <c r="B8646">
        <v>4795</v>
      </c>
      <c r="C8646" t="s">
        <v>76</v>
      </c>
      <c r="D8646">
        <v>6889</v>
      </c>
      <c r="E8646" t="s">
        <v>420</v>
      </c>
      <c r="F8646" s="4">
        <v>124</v>
      </c>
      <c r="G8646" s="4">
        <v>0</v>
      </c>
      <c r="H8646" s="4">
        <v>0</v>
      </c>
      <c r="I8646" s="4">
        <v>0</v>
      </c>
      <c r="J8646" s="4">
        <v>124</v>
      </c>
    </row>
    <row r="8647" spans="1:10" x14ac:dyDescent="0.75">
      <c r="A8647" t="s">
        <v>151</v>
      </c>
      <c r="B8647">
        <v>4795</v>
      </c>
      <c r="C8647" t="s">
        <v>76</v>
      </c>
      <c r="D8647">
        <v>7500</v>
      </c>
      <c r="E8647" t="s">
        <v>427</v>
      </c>
      <c r="F8647" s="4">
        <v>105</v>
      </c>
      <c r="G8647" s="4">
        <v>0</v>
      </c>
      <c r="H8647" s="4">
        <v>0</v>
      </c>
      <c r="I8647" s="4">
        <v>0</v>
      </c>
      <c r="J8647" s="4">
        <v>105</v>
      </c>
    </row>
    <row r="8648" spans="1:10" x14ac:dyDescent="0.75">
      <c r="A8648" t="s">
        <v>151</v>
      </c>
      <c r="B8648">
        <v>4795</v>
      </c>
      <c r="C8648" t="s">
        <v>76</v>
      </c>
      <c r="D8648">
        <v>4189</v>
      </c>
      <c r="E8648" t="s">
        <v>451</v>
      </c>
      <c r="F8648" s="4">
        <v>76</v>
      </c>
      <c r="G8648" s="4">
        <v>0</v>
      </c>
      <c r="H8648" s="4">
        <v>0</v>
      </c>
      <c r="I8648" s="4">
        <v>0</v>
      </c>
      <c r="J8648" s="4">
        <v>76</v>
      </c>
    </row>
    <row r="8649" spans="1:10" x14ac:dyDescent="0.75">
      <c r="A8649" t="s">
        <v>151</v>
      </c>
      <c r="B8649">
        <v>4795</v>
      </c>
      <c r="C8649" t="s">
        <v>76</v>
      </c>
      <c r="D8649">
        <v>4783</v>
      </c>
      <c r="E8649" t="s">
        <v>382</v>
      </c>
      <c r="F8649" s="4">
        <v>68</v>
      </c>
      <c r="G8649" s="4">
        <v>0</v>
      </c>
      <c r="H8649" s="4">
        <v>0</v>
      </c>
      <c r="I8649" s="4">
        <v>0</v>
      </c>
      <c r="J8649" s="4">
        <v>68</v>
      </c>
    </row>
    <row r="8650" spans="1:10" x14ac:dyDescent="0.75">
      <c r="A8650" t="s">
        <v>151</v>
      </c>
      <c r="B8650">
        <v>4795</v>
      </c>
      <c r="C8650" t="s">
        <v>76</v>
      </c>
      <c r="D8650">
        <v>6782</v>
      </c>
      <c r="E8650" t="s">
        <v>396</v>
      </c>
      <c r="F8650" s="4">
        <v>59</v>
      </c>
      <c r="G8650" s="4">
        <v>0</v>
      </c>
      <c r="H8650" s="4">
        <v>0</v>
      </c>
      <c r="I8650" s="4">
        <v>0</v>
      </c>
      <c r="J8650" s="4">
        <v>59</v>
      </c>
    </row>
    <row r="8651" spans="1:10" x14ac:dyDescent="0.75">
      <c r="A8651" t="s">
        <v>151</v>
      </c>
      <c r="B8651">
        <v>4795</v>
      </c>
      <c r="C8651" t="s">
        <v>76</v>
      </c>
      <c r="D8651">
        <v>5370</v>
      </c>
      <c r="E8651" t="s">
        <v>466</v>
      </c>
      <c r="F8651" s="4">
        <v>57</v>
      </c>
      <c r="G8651" s="4">
        <v>0</v>
      </c>
      <c r="H8651" s="4">
        <v>0</v>
      </c>
      <c r="I8651" s="4">
        <v>0</v>
      </c>
      <c r="J8651" s="4">
        <v>57</v>
      </c>
    </row>
    <row r="8652" spans="1:10" x14ac:dyDescent="0.75">
      <c r="A8652" t="s">
        <v>151</v>
      </c>
      <c r="B8652">
        <v>4795</v>
      </c>
      <c r="C8652" t="s">
        <v>76</v>
      </c>
      <c r="D8652">
        <v>3293</v>
      </c>
      <c r="E8652" t="s">
        <v>445</v>
      </c>
      <c r="F8652" s="4">
        <v>42</v>
      </c>
      <c r="G8652" s="4">
        <v>0</v>
      </c>
      <c r="H8652" s="4">
        <v>0</v>
      </c>
      <c r="I8652" s="4">
        <v>0</v>
      </c>
      <c r="J8652" s="4">
        <v>42</v>
      </c>
    </row>
    <row r="8653" spans="1:10" x14ac:dyDescent="0.75">
      <c r="A8653" t="s">
        <v>151</v>
      </c>
      <c r="B8653">
        <v>4795</v>
      </c>
      <c r="C8653" t="s">
        <v>76</v>
      </c>
      <c r="D8653">
        <v>5240</v>
      </c>
      <c r="E8653" t="s">
        <v>464</v>
      </c>
      <c r="F8653" s="4">
        <v>41</v>
      </c>
      <c r="G8653" s="4">
        <v>0</v>
      </c>
      <c r="H8653" s="4">
        <v>0</v>
      </c>
      <c r="I8653" s="4">
        <v>0</v>
      </c>
      <c r="J8653" s="4">
        <v>41</v>
      </c>
    </row>
    <row r="8654" spans="1:10" x14ac:dyDescent="0.75">
      <c r="A8654" t="s">
        <v>151</v>
      </c>
      <c r="B8654">
        <v>4795</v>
      </c>
      <c r="C8654" t="s">
        <v>76</v>
      </c>
      <c r="D8654">
        <v>3282</v>
      </c>
      <c r="E8654" t="s">
        <v>440</v>
      </c>
      <c r="F8654" s="4">
        <v>38</v>
      </c>
      <c r="G8654" s="4">
        <v>0</v>
      </c>
      <c r="H8654" s="4">
        <v>0</v>
      </c>
      <c r="I8654" s="4">
        <v>0</v>
      </c>
      <c r="J8654" s="4">
        <v>38</v>
      </c>
    </row>
    <row r="8655" spans="1:10" x14ac:dyDescent="0.75">
      <c r="A8655" t="s">
        <v>151</v>
      </c>
      <c r="B8655">
        <v>4795</v>
      </c>
      <c r="C8655" t="s">
        <v>76</v>
      </c>
      <c r="D8655">
        <v>2430</v>
      </c>
      <c r="E8655" t="s">
        <v>376</v>
      </c>
      <c r="F8655" s="4">
        <v>30</v>
      </c>
      <c r="G8655" s="4">
        <v>0</v>
      </c>
      <c r="H8655" s="4">
        <v>0</v>
      </c>
      <c r="I8655" s="4">
        <v>0</v>
      </c>
      <c r="J8655" s="4">
        <v>30</v>
      </c>
    </row>
    <row r="8656" spans="1:10" x14ac:dyDescent="0.75">
      <c r="A8656" t="s">
        <v>151</v>
      </c>
      <c r="B8656">
        <v>4795</v>
      </c>
      <c r="C8656" t="s">
        <v>76</v>
      </c>
      <c r="D8656">
        <v>7220</v>
      </c>
      <c r="E8656" t="s">
        <v>500</v>
      </c>
      <c r="F8656" s="4">
        <v>17</v>
      </c>
      <c r="G8656" s="4">
        <v>0</v>
      </c>
      <c r="H8656" s="4">
        <v>0</v>
      </c>
      <c r="I8656" s="4">
        <v>0</v>
      </c>
      <c r="J8656" s="4">
        <v>17</v>
      </c>
    </row>
    <row r="8657" spans="1:10" x14ac:dyDescent="0.75">
      <c r="A8657" t="s">
        <v>151</v>
      </c>
      <c r="B8657">
        <v>4795</v>
      </c>
      <c r="C8657" t="s">
        <v>76</v>
      </c>
      <c r="D8657">
        <v>2990</v>
      </c>
      <c r="E8657" t="s">
        <v>432</v>
      </c>
      <c r="F8657" s="4">
        <v>15</v>
      </c>
      <c r="G8657" s="4">
        <v>0</v>
      </c>
      <c r="H8657" s="4">
        <v>0</v>
      </c>
      <c r="I8657" s="4">
        <v>0</v>
      </c>
      <c r="J8657" s="4">
        <v>15</v>
      </c>
    </row>
    <row r="8658" spans="1:10" x14ac:dyDescent="0.75">
      <c r="A8658" t="s">
        <v>151</v>
      </c>
      <c r="B8658">
        <v>4795</v>
      </c>
      <c r="C8658" t="s">
        <v>76</v>
      </c>
      <c r="D8658">
        <v>3220</v>
      </c>
      <c r="E8658" t="s">
        <v>370</v>
      </c>
      <c r="F8658" s="4">
        <v>15</v>
      </c>
      <c r="G8658" s="4">
        <v>0</v>
      </c>
      <c r="H8658" s="4">
        <v>0</v>
      </c>
      <c r="I8658" s="4">
        <v>0</v>
      </c>
      <c r="J8658" s="4">
        <v>15</v>
      </c>
    </row>
    <row r="8659" spans="1:10" x14ac:dyDescent="0.75">
      <c r="A8659" t="s">
        <v>151</v>
      </c>
      <c r="B8659">
        <v>4795</v>
      </c>
      <c r="C8659" t="s">
        <v>76</v>
      </c>
      <c r="D8659">
        <v>6136</v>
      </c>
      <c r="E8659" t="s">
        <v>471</v>
      </c>
      <c r="F8659" s="4">
        <v>13</v>
      </c>
      <c r="G8659" s="4">
        <v>0</v>
      </c>
      <c r="H8659" s="4">
        <v>0</v>
      </c>
      <c r="I8659" s="4">
        <v>0</v>
      </c>
      <c r="J8659" s="4">
        <v>13</v>
      </c>
    </row>
    <row r="8660" spans="1:10" x14ac:dyDescent="0.75">
      <c r="A8660" t="s">
        <v>151</v>
      </c>
      <c r="B8660">
        <v>4795</v>
      </c>
      <c r="C8660" t="s">
        <v>76</v>
      </c>
      <c r="D8660">
        <v>5290</v>
      </c>
      <c r="E8660" t="s">
        <v>415</v>
      </c>
      <c r="F8660" s="4">
        <v>11</v>
      </c>
      <c r="G8660" s="4">
        <v>0</v>
      </c>
      <c r="H8660" s="4">
        <v>0</v>
      </c>
      <c r="I8660" s="4">
        <v>0</v>
      </c>
      <c r="J8660" s="4">
        <v>11</v>
      </c>
    </row>
    <row r="8661" spans="1:10" x14ac:dyDescent="0.75">
      <c r="A8661" t="s">
        <v>151</v>
      </c>
      <c r="B8661">
        <v>4795</v>
      </c>
      <c r="C8661" t="s">
        <v>76</v>
      </c>
      <c r="D8661">
        <v>3286</v>
      </c>
      <c r="E8661" t="s">
        <v>423</v>
      </c>
      <c r="F8661" s="4">
        <v>7</v>
      </c>
      <c r="G8661" s="4">
        <v>0</v>
      </c>
      <c r="H8661" s="4">
        <v>0</v>
      </c>
      <c r="I8661" s="4">
        <v>0</v>
      </c>
      <c r="J8661" s="4">
        <v>7</v>
      </c>
    </row>
    <row r="8662" spans="1:10" x14ac:dyDescent="0.75">
      <c r="A8662" t="s">
        <v>151</v>
      </c>
      <c r="B8662">
        <v>4795</v>
      </c>
      <c r="C8662" t="s">
        <v>76</v>
      </c>
      <c r="D8662">
        <v>5540</v>
      </c>
      <c r="E8662" t="s">
        <v>469</v>
      </c>
      <c r="F8662" s="4">
        <v>6</v>
      </c>
      <c r="G8662" s="4">
        <v>0</v>
      </c>
      <c r="H8662" s="4">
        <v>0</v>
      </c>
      <c r="I8662" s="4">
        <v>0</v>
      </c>
      <c r="J8662" s="4">
        <v>6</v>
      </c>
    </row>
    <row r="8663" spans="1:10" x14ac:dyDescent="0.75">
      <c r="A8663" t="s">
        <v>151</v>
      </c>
      <c r="B8663">
        <v>4795</v>
      </c>
      <c r="C8663" t="s">
        <v>76</v>
      </c>
      <c r="D8663">
        <v>4225</v>
      </c>
      <c r="E8663" t="s">
        <v>380</v>
      </c>
      <c r="F8663" s="4">
        <v>5</v>
      </c>
      <c r="G8663" s="4">
        <v>0</v>
      </c>
      <c r="H8663" s="4">
        <v>0</v>
      </c>
      <c r="I8663" s="4">
        <v>0</v>
      </c>
      <c r="J8663" s="4">
        <v>5</v>
      </c>
    </row>
    <row r="8664" spans="1:10" x14ac:dyDescent="0.75">
      <c r="A8664" t="s">
        <v>151</v>
      </c>
      <c r="B8664">
        <v>4795</v>
      </c>
      <c r="C8664" t="s">
        <v>76</v>
      </c>
      <c r="D8664">
        <v>2340</v>
      </c>
      <c r="E8664" t="s">
        <v>369</v>
      </c>
      <c r="F8664" s="4">
        <v>3</v>
      </c>
      <c r="G8664" s="4">
        <v>0</v>
      </c>
      <c r="H8664" s="4">
        <v>0</v>
      </c>
      <c r="I8664" s="4">
        <v>0</v>
      </c>
      <c r="J8664" s="4">
        <v>3</v>
      </c>
    </row>
    <row r="8665" spans="1:10" x14ac:dyDescent="0.75">
      <c r="A8665" t="s">
        <v>151</v>
      </c>
      <c r="B8665">
        <v>4795</v>
      </c>
      <c r="C8665" t="s">
        <v>76</v>
      </c>
      <c r="D8665">
        <v>5330</v>
      </c>
      <c r="E8665" t="s">
        <v>385</v>
      </c>
      <c r="F8665" s="4">
        <v>3</v>
      </c>
      <c r="G8665" s="4">
        <v>0</v>
      </c>
      <c r="H8665" s="4">
        <v>0</v>
      </c>
      <c r="I8665" s="4">
        <v>0</v>
      </c>
      <c r="J8665" s="4">
        <v>3</v>
      </c>
    </row>
    <row r="8666" spans="1:10" x14ac:dyDescent="0.75">
      <c r="A8666" t="s">
        <v>151</v>
      </c>
      <c r="B8666">
        <v>4795</v>
      </c>
      <c r="C8666" t="s">
        <v>76</v>
      </c>
      <c r="D8666">
        <v>7600</v>
      </c>
      <c r="E8666" t="s">
        <v>503</v>
      </c>
      <c r="F8666" s="4">
        <v>1</v>
      </c>
      <c r="G8666" s="4">
        <v>0</v>
      </c>
      <c r="H8666" s="4">
        <v>0</v>
      </c>
      <c r="I8666" s="4">
        <v>0</v>
      </c>
      <c r="J8666" s="4">
        <v>1</v>
      </c>
    </row>
    <row r="8667" spans="1:10" x14ac:dyDescent="0.75">
      <c r="A8667" t="s">
        <v>151</v>
      </c>
      <c r="B8667">
        <v>2220</v>
      </c>
      <c r="C8667" t="s">
        <v>132</v>
      </c>
      <c r="D8667">
        <v>2211</v>
      </c>
      <c r="E8667" t="s">
        <v>367</v>
      </c>
      <c r="F8667" s="4">
        <v>0</v>
      </c>
      <c r="G8667" s="4">
        <v>776351</v>
      </c>
      <c r="H8667" s="4">
        <v>776351</v>
      </c>
      <c r="I8667" s="4">
        <v>0</v>
      </c>
      <c r="J8667" s="4">
        <v>776351</v>
      </c>
    </row>
    <row r="8668" spans="1:10" x14ac:dyDescent="0.75">
      <c r="A8668" t="s">
        <v>151</v>
      </c>
      <c r="B8668">
        <v>2220</v>
      </c>
      <c r="C8668" t="s">
        <v>132</v>
      </c>
      <c r="D8668">
        <v>2330</v>
      </c>
      <c r="E8668" t="s">
        <v>368</v>
      </c>
      <c r="F8668" s="4">
        <v>8738</v>
      </c>
      <c r="G8668" s="4">
        <v>738023</v>
      </c>
      <c r="H8668" s="4">
        <v>637060</v>
      </c>
      <c r="I8668" s="4">
        <v>100963</v>
      </c>
      <c r="J8668" s="4">
        <v>746761</v>
      </c>
    </row>
    <row r="8669" spans="1:10" x14ac:dyDescent="0.75">
      <c r="A8669" t="s">
        <v>151</v>
      </c>
      <c r="B8669">
        <v>2220</v>
      </c>
      <c r="C8669" t="s">
        <v>132</v>
      </c>
      <c r="D8669">
        <v>2429</v>
      </c>
      <c r="E8669" t="s">
        <v>375</v>
      </c>
      <c r="F8669" s="4">
        <v>0</v>
      </c>
      <c r="G8669" s="4">
        <v>175077</v>
      </c>
      <c r="H8669" s="4">
        <v>0</v>
      </c>
      <c r="I8669" s="4">
        <v>175077</v>
      </c>
      <c r="J8669" s="4">
        <v>175077</v>
      </c>
    </row>
    <row r="8670" spans="1:10" x14ac:dyDescent="0.75">
      <c r="A8670" t="s">
        <v>151</v>
      </c>
      <c r="B8670">
        <v>2220</v>
      </c>
      <c r="C8670" t="s">
        <v>132</v>
      </c>
      <c r="D8670">
        <v>2221</v>
      </c>
      <c r="E8670" t="s">
        <v>374</v>
      </c>
      <c r="F8670" s="4">
        <v>0</v>
      </c>
      <c r="G8670" s="4">
        <v>90080</v>
      </c>
      <c r="H8670" s="4">
        <v>87338</v>
      </c>
      <c r="I8670" s="4">
        <v>2742</v>
      </c>
      <c r="J8670" s="4">
        <v>90080</v>
      </c>
    </row>
    <row r="8671" spans="1:10" x14ac:dyDescent="0.75">
      <c r="A8671" t="s">
        <v>151</v>
      </c>
      <c r="B8671">
        <v>2220</v>
      </c>
      <c r="C8671" t="s">
        <v>132</v>
      </c>
      <c r="D8671">
        <v>2340</v>
      </c>
      <c r="E8671" t="s">
        <v>369</v>
      </c>
      <c r="F8671" s="4">
        <v>0</v>
      </c>
      <c r="G8671" s="4">
        <v>28010</v>
      </c>
      <c r="H8671" s="4">
        <v>28010</v>
      </c>
      <c r="I8671" s="4">
        <v>0</v>
      </c>
      <c r="J8671" s="4">
        <v>28010</v>
      </c>
    </row>
    <row r="8672" spans="1:10" x14ac:dyDescent="0.75">
      <c r="A8672" t="s">
        <v>151</v>
      </c>
      <c r="B8672">
        <v>2220</v>
      </c>
      <c r="C8672" t="s">
        <v>132</v>
      </c>
      <c r="D8672">
        <v>5480</v>
      </c>
      <c r="E8672" t="s">
        <v>386</v>
      </c>
      <c r="F8672" s="4">
        <v>0</v>
      </c>
      <c r="G8672" s="4">
        <v>15</v>
      </c>
      <c r="H8672" s="4">
        <v>15</v>
      </c>
      <c r="I8672" s="4">
        <v>0</v>
      </c>
      <c r="J8672" s="4">
        <v>15</v>
      </c>
    </row>
    <row r="8673" spans="1:10" x14ac:dyDescent="0.75">
      <c r="A8673" t="s">
        <v>151</v>
      </c>
      <c r="B8673">
        <v>5004</v>
      </c>
      <c r="C8673" t="s">
        <v>78</v>
      </c>
      <c r="D8673">
        <v>2211</v>
      </c>
      <c r="E8673" t="s">
        <v>367</v>
      </c>
      <c r="F8673" s="4">
        <v>160</v>
      </c>
      <c r="G8673" s="4">
        <v>3609</v>
      </c>
      <c r="H8673" s="4">
        <v>3609</v>
      </c>
      <c r="I8673" s="4">
        <v>0</v>
      </c>
      <c r="J8673" s="4">
        <v>3769</v>
      </c>
    </row>
    <row r="8674" spans="1:10" x14ac:dyDescent="0.75">
      <c r="A8674" t="s">
        <v>151</v>
      </c>
      <c r="B8674">
        <v>5004</v>
      </c>
      <c r="C8674" t="s">
        <v>78</v>
      </c>
      <c r="D8674">
        <v>2330</v>
      </c>
      <c r="E8674" t="s">
        <v>368</v>
      </c>
      <c r="F8674" s="4">
        <v>0</v>
      </c>
      <c r="G8674" s="4">
        <v>3141</v>
      </c>
      <c r="H8674" s="4">
        <v>3141</v>
      </c>
      <c r="I8674" s="4">
        <v>0</v>
      </c>
      <c r="J8674" s="4">
        <v>3141</v>
      </c>
    </row>
    <row r="8675" spans="1:10" x14ac:dyDescent="0.75">
      <c r="A8675" t="s">
        <v>151</v>
      </c>
      <c r="B8675">
        <v>5004</v>
      </c>
      <c r="C8675" t="s">
        <v>78</v>
      </c>
      <c r="D8675">
        <v>2990</v>
      </c>
      <c r="E8675" t="s">
        <v>432</v>
      </c>
      <c r="F8675" s="4">
        <v>2491</v>
      </c>
      <c r="G8675" s="4">
        <v>0</v>
      </c>
      <c r="H8675" s="4">
        <v>0</v>
      </c>
      <c r="I8675" s="4">
        <v>0</v>
      </c>
      <c r="J8675" s="4">
        <v>2491</v>
      </c>
    </row>
    <row r="8676" spans="1:10" x14ac:dyDescent="0.75">
      <c r="A8676" t="s">
        <v>151</v>
      </c>
      <c r="B8676">
        <v>5004</v>
      </c>
      <c r="C8676" t="s">
        <v>78</v>
      </c>
      <c r="D8676">
        <v>6887</v>
      </c>
      <c r="E8676" t="s">
        <v>505</v>
      </c>
      <c r="F8676" s="4">
        <v>2119</v>
      </c>
      <c r="G8676" s="4">
        <v>0</v>
      </c>
      <c r="H8676" s="4">
        <v>0</v>
      </c>
      <c r="I8676" s="4">
        <v>0</v>
      </c>
      <c r="J8676" s="4">
        <v>2119</v>
      </c>
    </row>
    <row r="8677" spans="1:10" x14ac:dyDescent="0.75">
      <c r="A8677" t="s">
        <v>151</v>
      </c>
      <c r="B8677">
        <v>5004</v>
      </c>
      <c r="C8677" t="s">
        <v>78</v>
      </c>
      <c r="D8677">
        <v>6134</v>
      </c>
      <c r="E8677" t="s">
        <v>470</v>
      </c>
      <c r="F8677" s="4">
        <v>1642</v>
      </c>
      <c r="G8677" s="4">
        <v>0</v>
      </c>
      <c r="H8677" s="4">
        <v>0</v>
      </c>
      <c r="I8677" s="4">
        <v>0</v>
      </c>
      <c r="J8677" s="4">
        <v>1642</v>
      </c>
    </row>
    <row r="8678" spans="1:10" x14ac:dyDescent="0.75">
      <c r="A8678" t="s">
        <v>151</v>
      </c>
      <c r="B8678">
        <v>5004</v>
      </c>
      <c r="C8678" t="s">
        <v>78</v>
      </c>
      <c r="D8678">
        <v>7900</v>
      </c>
      <c r="E8678" t="s">
        <v>388</v>
      </c>
      <c r="F8678" s="4">
        <v>1572</v>
      </c>
      <c r="G8678" s="4">
        <v>0</v>
      </c>
      <c r="H8678" s="4">
        <v>0</v>
      </c>
      <c r="I8678" s="4">
        <v>0</v>
      </c>
      <c r="J8678" s="4">
        <v>1572</v>
      </c>
    </row>
    <row r="8679" spans="1:10" x14ac:dyDescent="0.75">
      <c r="A8679" t="s">
        <v>151</v>
      </c>
      <c r="B8679">
        <v>5004</v>
      </c>
      <c r="C8679" t="s">
        <v>78</v>
      </c>
      <c r="D8679">
        <v>7110</v>
      </c>
      <c r="E8679" t="s">
        <v>371</v>
      </c>
      <c r="F8679" s="4">
        <v>1217</v>
      </c>
      <c r="G8679" s="4">
        <v>0</v>
      </c>
      <c r="H8679" s="4">
        <v>0</v>
      </c>
      <c r="I8679" s="4">
        <v>0</v>
      </c>
      <c r="J8679" s="4">
        <v>1217</v>
      </c>
    </row>
    <row r="8680" spans="1:10" x14ac:dyDescent="0.75">
      <c r="A8680" t="s">
        <v>151</v>
      </c>
      <c r="B8680">
        <v>5004</v>
      </c>
      <c r="C8680" t="s">
        <v>78</v>
      </c>
      <c r="D8680">
        <v>6885</v>
      </c>
      <c r="E8680" t="s">
        <v>493</v>
      </c>
      <c r="F8680" s="4">
        <v>1004</v>
      </c>
      <c r="G8680" s="4">
        <v>0</v>
      </c>
      <c r="H8680" s="4">
        <v>0</v>
      </c>
      <c r="I8680" s="4">
        <v>0</v>
      </c>
      <c r="J8680" s="4">
        <v>1004</v>
      </c>
    </row>
    <row r="8681" spans="1:10" x14ac:dyDescent="0.75">
      <c r="A8681" t="s">
        <v>151</v>
      </c>
      <c r="B8681">
        <v>5004</v>
      </c>
      <c r="C8681" t="s">
        <v>78</v>
      </c>
      <c r="D8681">
        <v>7210</v>
      </c>
      <c r="E8681" t="s">
        <v>426</v>
      </c>
      <c r="F8681" s="4">
        <v>790</v>
      </c>
      <c r="G8681" s="4">
        <v>0</v>
      </c>
      <c r="H8681" s="4">
        <v>0</v>
      </c>
      <c r="I8681" s="4">
        <v>0</v>
      </c>
      <c r="J8681" s="4">
        <v>790</v>
      </c>
    </row>
    <row r="8682" spans="1:10" x14ac:dyDescent="0.75">
      <c r="A8682" t="s">
        <v>151</v>
      </c>
      <c r="B8682">
        <v>5004</v>
      </c>
      <c r="C8682" t="s">
        <v>78</v>
      </c>
      <c r="D8682">
        <v>4331</v>
      </c>
      <c r="E8682" t="s">
        <v>390</v>
      </c>
      <c r="F8682" s="4">
        <v>714</v>
      </c>
      <c r="G8682" s="4">
        <v>0</v>
      </c>
      <c r="H8682" s="4">
        <v>0</v>
      </c>
      <c r="I8682" s="4">
        <v>0</v>
      </c>
      <c r="J8682" s="4">
        <v>714</v>
      </c>
    </row>
    <row r="8683" spans="1:10" x14ac:dyDescent="0.75">
      <c r="A8683" t="s">
        <v>151</v>
      </c>
      <c r="B8683">
        <v>5004</v>
      </c>
      <c r="C8683" t="s">
        <v>78</v>
      </c>
      <c r="D8683">
        <v>7400</v>
      </c>
      <c r="E8683" t="s">
        <v>502</v>
      </c>
      <c r="F8683" s="4">
        <v>671</v>
      </c>
      <c r="G8683" s="4">
        <v>0</v>
      </c>
      <c r="H8683" s="4">
        <v>0</v>
      </c>
      <c r="I8683" s="4">
        <v>0</v>
      </c>
      <c r="J8683" s="4">
        <v>671</v>
      </c>
    </row>
    <row r="8684" spans="1:10" x14ac:dyDescent="0.75">
      <c r="A8684" t="s">
        <v>151</v>
      </c>
      <c r="B8684">
        <v>5004</v>
      </c>
      <c r="C8684" t="s">
        <v>78</v>
      </c>
      <c r="D8684">
        <v>3299</v>
      </c>
      <c r="E8684" t="s">
        <v>448</v>
      </c>
      <c r="F8684" s="4">
        <v>652</v>
      </c>
      <c r="G8684" s="4">
        <v>0</v>
      </c>
      <c r="H8684" s="4">
        <v>0</v>
      </c>
      <c r="I8684" s="4">
        <v>0</v>
      </c>
      <c r="J8684" s="4">
        <v>652</v>
      </c>
    </row>
    <row r="8685" spans="1:10" x14ac:dyDescent="0.75">
      <c r="A8685" t="s">
        <v>151</v>
      </c>
      <c r="B8685">
        <v>5004</v>
      </c>
      <c r="C8685" t="s">
        <v>78</v>
      </c>
      <c r="D8685">
        <v>2221</v>
      </c>
      <c r="E8685" t="s">
        <v>374</v>
      </c>
      <c r="F8685" s="4">
        <v>0</v>
      </c>
      <c r="G8685" s="4">
        <v>601</v>
      </c>
      <c r="H8685" s="4">
        <v>601</v>
      </c>
      <c r="I8685" s="4">
        <v>0</v>
      </c>
      <c r="J8685" s="4">
        <v>601</v>
      </c>
    </row>
    <row r="8686" spans="1:10" x14ac:dyDescent="0.75">
      <c r="A8686" t="s">
        <v>151</v>
      </c>
      <c r="B8686">
        <v>5004</v>
      </c>
      <c r="C8686" t="s">
        <v>78</v>
      </c>
      <c r="D8686">
        <v>5190</v>
      </c>
      <c r="E8686" t="s">
        <v>462</v>
      </c>
      <c r="F8686" s="4">
        <v>495</v>
      </c>
      <c r="G8686" s="4">
        <v>0</v>
      </c>
      <c r="H8686" s="4">
        <v>0</v>
      </c>
      <c r="I8686" s="4">
        <v>0</v>
      </c>
      <c r="J8686" s="4">
        <v>495</v>
      </c>
    </row>
    <row r="8687" spans="1:10" x14ac:dyDescent="0.75">
      <c r="A8687" t="s">
        <v>151</v>
      </c>
      <c r="B8687">
        <v>5004</v>
      </c>
      <c r="C8687" t="s">
        <v>78</v>
      </c>
      <c r="D8687">
        <v>5480</v>
      </c>
      <c r="E8687" t="s">
        <v>386</v>
      </c>
      <c r="F8687" s="4">
        <v>332</v>
      </c>
      <c r="G8687" s="4">
        <v>0</v>
      </c>
      <c r="H8687" s="4">
        <v>0</v>
      </c>
      <c r="I8687" s="4">
        <v>0</v>
      </c>
      <c r="J8687" s="4">
        <v>332</v>
      </c>
    </row>
    <row r="8688" spans="1:10" x14ac:dyDescent="0.75">
      <c r="A8688" t="s">
        <v>151</v>
      </c>
      <c r="B8688">
        <v>5004</v>
      </c>
      <c r="C8688" t="s">
        <v>78</v>
      </c>
      <c r="D8688">
        <v>5360</v>
      </c>
      <c r="E8688" t="s">
        <v>465</v>
      </c>
      <c r="F8688" s="4">
        <v>305</v>
      </c>
      <c r="G8688" s="4">
        <v>0</v>
      </c>
      <c r="H8688" s="4">
        <v>0</v>
      </c>
      <c r="I8688" s="4">
        <v>0</v>
      </c>
      <c r="J8688" s="4">
        <v>305</v>
      </c>
    </row>
    <row r="8689" spans="1:10" x14ac:dyDescent="0.75">
      <c r="A8689" t="s">
        <v>151</v>
      </c>
      <c r="B8689">
        <v>5004</v>
      </c>
      <c r="C8689" t="s">
        <v>78</v>
      </c>
      <c r="D8689">
        <v>5290</v>
      </c>
      <c r="E8689" t="s">
        <v>415</v>
      </c>
      <c r="F8689" s="4">
        <v>257</v>
      </c>
      <c r="G8689" s="4">
        <v>0</v>
      </c>
      <c r="H8689" s="4">
        <v>0</v>
      </c>
      <c r="I8689" s="4">
        <v>0</v>
      </c>
      <c r="J8689" s="4">
        <v>257</v>
      </c>
    </row>
    <row r="8690" spans="1:10" x14ac:dyDescent="0.75">
      <c r="A8690" t="s">
        <v>151</v>
      </c>
      <c r="B8690">
        <v>5004</v>
      </c>
      <c r="C8690" t="s">
        <v>78</v>
      </c>
      <c r="D8690">
        <v>4189</v>
      </c>
      <c r="E8690" t="s">
        <v>451</v>
      </c>
      <c r="F8690" s="4">
        <v>220</v>
      </c>
      <c r="G8690" s="4">
        <v>0</v>
      </c>
      <c r="H8690" s="4">
        <v>0</v>
      </c>
      <c r="I8690" s="4">
        <v>0</v>
      </c>
      <c r="J8690" s="4">
        <v>220</v>
      </c>
    </row>
    <row r="8691" spans="1:10" x14ac:dyDescent="0.75">
      <c r="A8691" t="s">
        <v>151</v>
      </c>
      <c r="B8691">
        <v>5004</v>
      </c>
      <c r="C8691" t="s">
        <v>78</v>
      </c>
      <c r="D8691">
        <v>7120</v>
      </c>
      <c r="E8691" t="s">
        <v>499</v>
      </c>
      <c r="F8691" s="4">
        <v>200</v>
      </c>
      <c r="G8691" s="4">
        <v>0</v>
      </c>
      <c r="H8691" s="4">
        <v>0</v>
      </c>
      <c r="I8691" s="4">
        <v>0</v>
      </c>
      <c r="J8691" s="4">
        <v>200</v>
      </c>
    </row>
    <row r="8692" spans="1:10" x14ac:dyDescent="0.75">
      <c r="A8692" t="s">
        <v>151</v>
      </c>
      <c r="B8692">
        <v>5004</v>
      </c>
      <c r="C8692" t="s">
        <v>78</v>
      </c>
      <c r="D8692">
        <v>8900</v>
      </c>
      <c r="E8692" t="s">
        <v>506</v>
      </c>
      <c r="F8692" s="4">
        <v>178</v>
      </c>
      <c r="G8692" s="4">
        <v>0</v>
      </c>
      <c r="H8692" s="4">
        <v>0</v>
      </c>
      <c r="I8692" s="4">
        <v>0</v>
      </c>
      <c r="J8692" s="4">
        <v>178</v>
      </c>
    </row>
    <row r="8693" spans="1:10" x14ac:dyDescent="0.75">
      <c r="A8693" t="s">
        <v>151</v>
      </c>
      <c r="B8693">
        <v>5004</v>
      </c>
      <c r="C8693" t="s">
        <v>78</v>
      </c>
      <c r="D8693">
        <v>6835</v>
      </c>
      <c r="E8693" t="s">
        <v>483</v>
      </c>
      <c r="F8693" s="4">
        <v>159</v>
      </c>
      <c r="G8693" s="4">
        <v>0</v>
      </c>
      <c r="H8693" s="4">
        <v>0</v>
      </c>
      <c r="I8693" s="4">
        <v>0</v>
      </c>
      <c r="J8693" s="4">
        <v>159</v>
      </c>
    </row>
    <row r="8694" spans="1:10" x14ac:dyDescent="0.75">
      <c r="A8694" t="s">
        <v>151</v>
      </c>
      <c r="B8694">
        <v>5004</v>
      </c>
      <c r="C8694" t="s">
        <v>78</v>
      </c>
      <c r="D8694">
        <v>4420</v>
      </c>
      <c r="E8694" t="s">
        <v>381</v>
      </c>
      <c r="F8694" s="4">
        <v>116</v>
      </c>
      <c r="G8694" s="4">
        <v>0</v>
      </c>
      <c r="H8694" s="4">
        <v>0</v>
      </c>
      <c r="I8694" s="4">
        <v>0</v>
      </c>
      <c r="J8694" s="4">
        <v>116</v>
      </c>
    </row>
    <row r="8695" spans="1:10" x14ac:dyDescent="0.75">
      <c r="A8695" t="s">
        <v>151</v>
      </c>
      <c r="B8695">
        <v>5004</v>
      </c>
      <c r="C8695" t="s">
        <v>78</v>
      </c>
      <c r="D8695">
        <v>7500</v>
      </c>
      <c r="E8695" t="s">
        <v>427</v>
      </c>
      <c r="F8695" s="4">
        <v>98</v>
      </c>
      <c r="G8695" s="4">
        <v>0</v>
      </c>
      <c r="H8695" s="4">
        <v>0</v>
      </c>
      <c r="I8695" s="4">
        <v>0</v>
      </c>
      <c r="J8695" s="4">
        <v>98</v>
      </c>
    </row>
    <row r="8696" spans="1:10" x14ac:dyDescent="0.75">
      <c r="A8696" t="s">
        <v>151</v>
      </c>
      <c r="B8696">
        <v>5004</v>
      </c>
      <c r="C8696" t="s">
        <v>78</v>
      </c>
      <c r="D8696">
        <v>3282</v>
      </c>
      <c r="E8696" t="s">
        <v>440</v>
      </c>
      <c r="F8696" s="4">
        <v>91</v>
      </c>
      <c r="G8696" s="4">
        <v>0</v>
      </c>
      <c r="H8696" s="4">
        <v>0</v>
      </c>
      <c r="I8696" s="4">
        <v>0</v>
      </c>
      <c r="J8696" s="4">
        <v>91</v>
      </c>
    </row>
    <row r="8697" spans="1:10" x14ac:dyDescent="0.75">
      <c r="A8697" t="s">
        <v>151</v>
      </c>
      <c r="B8697">
        <v>5004</v>
      </c>
      <c r="C8697" t="s">
        <v>78</v>
      </c>
      <c r="D8697">
        <v>5540</v>
      </c>
      <c r="E8697" t="s">
        <v>469</v>
      </c>
      <c r="F8697" s="4">
        <v>78</v>
      </c>
      <c r="G8697" s="4">
        <v>0</v>
      </c>
      <c r="H8697" s="4">
        <v>0</v>
      </c>
      <c r="I8697" s="4">
        <v>0</v>
      </c>
      <c r="J8697" s="4">
        <v>78</v>
      </c>
    </row>
    <row r="8698" spans="1:10" x14ac:dyDescent="0.75">
      <c r="A8698" t="s">
        <v>151</v>
      </c>
      <c r="B8698">
        <v>5004</v>
      </c>
      <c r="C8698" t="s">
        <v>78</v>
      </c>
      <c r="D8698">
        <v>5370</v>
      </c>
      <c r="E8698" t="s">
        <v>466</v>
      </c>
      <c r="F8698" s="4">
        <v>73</v>
      </c>
      <c r="G8698" s="4">
        <v>0</v>
      </c>
      <c r="H8698" s="4">
        <v>0</v>
      </c>
      <c r="I8698" s="4">
        <v>0</v>
      </c>
      <c r="J8698" s="4">
        <v>73</v>
      </c>
    </row>
    <row r="8699" spans="1:10" x14ac:dyDescent="0.75">
      <c r="A8699" t="s">
        <v>151</v>
      </c>
      <c r="B8699">
        <v>5004</v>
      </c>
      <c r="C8699" t="s">
        <v>78</v>
      </c>
      <c r="D8699">
        <v>6889</v>
      </c>
      <c r="E8699" t="s">
        <v>420</v>
      </c>
      <c r="F8699" s="4">
        <v>55</v>
      </c>
      <c r="G8699" s="4">
        <v>0</v>
      </c>
      <c r="H8699" s="4">
        <v>0</v>
      </c>
      <c r="I8699" s="4">
        <v>0</v>
      </c>
      <c r="J8699" s="4">
        <v>55</v>
      </c>
    </row>
    <row r="8700" spans="1:10" x14ac:dyDescent="0.75">
      <c r="A8700" t="s">
        <v>151</v>
      </c>
      <c r="B8700">
        <v>5004</v>
      </c>
      <c r="C8700" t="s">
        <v>78</v>
      </c>
      <c r="D8700">
        <v>5240</v>
      </c>
      <c r="E8700" t="s">
        <v>464</v>
      </c>
      <c r="F8700" s="4">
        <v>40</v>
      </c>
      <c r="G8700" s="4">
        <v>0</v>
      </c>
      <c r="H8700" s="4">
        <v>0</v>
      </c>
      <c r="I8700" s="4">
        <v>0</v>
      </c>
      <c r="J8700" s="4">
        <v>40</v>
      </c>
    </row>
    <row r="8701" spans="1:10" x14ac:dyDescent="0.75">
      <c r="A8701" t="s">
        <v>151</v>
      </c>
      <c r="B8701">
        <v>5004</v>
      </c>
      <c r="C8701" t="s">
        <v>78</v>
      </c>
      <c r="D8701">
        <v>7230</v>
      </c>
      <c r="E8701" t="s">
        <v>387</v>
      </c>
      <c r="F8701" s="4">
        <v>35</v>
      </c>
      <c r="G8701" s="4">
        <v>0</v>
      </c>
      <c r="H8701" s="4">
        <v>0</v>
      </c>
      <c r="I8701" s="4">
        <v>0</v>
      </c>
      <c r="J8701" s="4">
        <v>35</v>
      </c>
    </row>
    <row r="8702" spans="1:10" x14ac:dyDescent="0.75">
      <c r="A8702" t="s">
        <v>151</v>
      </c>
      <c r="B8702">
        <v>5004</v>
      </c>
      <c r="C8702" t="s">
        <v>78</v>
      </c>
      <c r="D8702">
        <v>3220</v>
      </c>
      <c r="E8702" t="s">
        <v>370</v>
      </c>
      <c r="F8702" s="4">
        <v>33</v>
      </c>
      <c r="G8702" s="4">
        <v>0</v>
      </c>
      <c r="H8702" s="4">
        <v>0</v>
      </c>
      <c r="I8702" s="4">
        <v>0</v>
      </c>
      <c r="J8702" s="4">
        <v>33</v>
      </c>
    </row>
    <row r="8703" spans="1:10" x14ac:dyDescent="0.75">
      <c r="A8703" t="s">
        <v>151</v>
      </c>
      <c r="B8703">
        <v>5004</v>
      </c>
      <c r="C8703" t="s">
        <v>78</v>
      </c>
      <c r="D8703">
        <v>6136</v>
      </c>
      <c r="E8703" t="s">
        <v>471</v>
      </c>
      <c r="F8703" s="4">
        <v>27</v>
      </c>
      <c r="G8703" s="4">
        <v>0</v>
      </c>
      <c r="H8703" s="4">
        <v>0</v>
      </c>
      <c r="I8703" s="4">
        <v>0</v>
      </c>
      <c r="J8703" s="4">
        <v>27</v>
      </c>
    </row>
    <row r="8704" spans="1:10" x14ac:dyDescent="0.75">
      <c r="A8704" t="s">
        <v>151</v>
      </c>
      <c r="B8704">
        <v>5004</v>
      </c>
      <c r="C8704" t="s">
        <v>78</v>
      </c>
      <c r="D8704">
        <v>4783</v>
      </c>
      <c r="E8704" t="s">
        <v>382</v>
      </c>
      <c r="F8704" s="4">
        <v>15</v>
      </c>
      <c r="G8704" s="4">
        <v>0</v>
      </c>
      <c r="H8704" s="4">
        <v>0</v>
      </c>
      <c r="I8704" s="4">
        <v>0</v>
      </c>
      <c r="J8704" s="4">
        <v>15</v>
      </c>
    </row>
    <row r="8705" spans="1:10" x14ac:dyDescent="0.75">
      <c r="A8705" t="s">
        <v>151</v>
      </c>
      <c r="B8705">
        <v>5004</v>
      </c>
      <c r="C8705" t="s">
        <v>78</v>
      </c>
      <c r="D8705">
        <v>6782</v>
      </c>
      <c r="E8705" t="s">
        <v>396</v>
      </c>
      <c r="F8705" s="4">
        <v>6</v>
      </c>
      <c r="G8705" s="4">
        <v>0</v>
      </c>
      <c r="H8705" s="4">
        <v>0</v>
      </c>
      <c r="I8705" s="4">
        <v>0</v>
      </c>
      <c r="J8705" s="4">
        <v>6</v>
      </c>
    </row>
    <row r="8706" spans="1:10" x14ac:dyDescent="0.75">
      <c r="A8706" t="s">
        <v>151</v>
      </c>
      <c r="B8706">
        <v>5004</v>
      </c>
      <c r="C8706" t="s">
        <v>78</v>
      </c>
      <c r="D8706">
        <v>7220</v>
      </c>
      <c r="E8706" t="s">
        <v>500</v>
      </c>
      <c r="F8706" s="4">
        <v>3</v>
      </c>
      <c r="G8706" s="4">
        <v>0</v>
      </c>
      <c r="H8706" s="4">
        <v>0</v>
      </c>
      <c r="I8706" s="4">
        <v>0</v>
      </c>
      <c r="J8706" s="4">
        <v>3</v>
      </c>
    </row>
    <row r="8707" spans="1:10" x14ac:dyDescent="0.75">
      <c r="A8707" t="s">
        <v>163</v>
      </c>
      <c r="B8707">
        <v>2264</v>
      </c>
      <c r="C8707" t="s">
        <v>326</v>
      </c>
      <c r="D8707">
        <v>3110</v>
      </c>
      <c r="E8707" t="s">
        <v>405</v>
      </c>
      <c r="F8707" s="4">
        <v>35192</v>
      </c>
      <c r="G8707" s="4">
        <v>0</v>
      </c>
      <c r="H8707" s="4">
        <v>0</v>
      </c>
      <c r="I8707" s="4">
        <v>0</v>
      </c>
      <c r="J8707" s="4">
        <v>35192</v>
      </c>
    </row>
    <row r="8708" spans="1:10" x14ac:dyDescent="0.75">
      <c r="A8708" t="s">
        <v>163</v>
      </c>
      <c r="B8708">
        <v>2228</v>
      </c>
      <c r="C8708" t="s">
        <v>255</v>
      </c>
      <c r="D8708">
        <v>6522</v>
      </c>
      <c r="E8708" t="s">
        <v>393</v>
      </c>
      <c r="F8708" s="4">
        <v>433520</v>
      </c>
      <c r="G8708" s="4">
        <v>0</v>
      </c>
      <c r="H8708" s="4">
        <v>0</v>
      </c>
      <c r="I8708" s="4">
        <v>0</v>
      </c>
      <c r="J8708" s="4">
        <v>433520</v>
      </c>
    </row>
    <row r="8709" spans="1:10" x14ac:dyDescent="0.75">
      <c r="A8709" t="s">
        <v>163</v>
      </c>
      <c r="B8709">
        <v>2228</v>
      </c>
      <c r="C8709" t="s">
        <v>255</v>
      </c>
      <c r="D8709">
        <v>6344</v>
      </c>
      <c r="E8709" t="s">
        <v>392</v>
      </c>
      <c r="F8709" s="4">
        <v>214975</v>
      </c>
      <c r="G8709" s="4">
        <v>0</v>
      </c>
      <c r="H8709" s="4">
        <v>0</v>
      </c>
      <c r="I8709" s="4">
        <v>0</v>
      </c>
      <c r="J8709" s="4">
        <v>214975</v>
      </c>
    </row>
    <row r="8710" spans="1:10" x14ac:dyDescent="0.75">
      <c r="A8710" t="s">
        <v>163</v>
      </c>
      <c r="B8710">
        <v>2228</v>
      </c>
      <c r="C8710" t="s">
        <v>255</v>
      </c>
      <c r="D8710">
        <v>4331</v>
      </c>
      <c r="E8710" t="s">
        <v>390</v>
      </c>
      <c r="F8710" s="4">
        <v>144927</v>
      </c>
      <c r="G8710" s="4">
        <v>0</v>
      </c>
      <c r="H8710" s="4">
        <v>0</v>
      </c>
      <c r="I8710" s="4">
        <v>0</v>
      </c>
      <c r="J8710" s="4">
        <v>144927</v>
      </c>
    </row>
    <row r="8711" spans="1:10" x14ac:dyDescent="0.75">
      <c r="A8711" t="s">
        <v>163</v>
      </c>
      <c r="B8711">
        <v>2228</v>
      </c>
      <c r="C8711" t="s">
        <v>255</v>
      </c>
      <c r="D8711">
        <v>6442</v>
      </c>
      <c r="E8711" t="s">
        <v>472</v>
      </c>
      <c r="F8711" s="4">
        <v>63773</v>
      </c>
      <c r="G8711" s="4">
        <v>0</v>
      </c>
      <c r="H8711" s="4">
        <v>0</v>
      </c>
      <c r="I8711" s="4">
        <v>0</v>
      </c>
      <c r="J8711" s="4">
        <v>63773</v>
      </c>
    </row>
    <row r="8712" spans="1:10" x14ac:dyDescent="0.75">
      <c r="A8712" t="s">
        <v>163</v>
      </c>
      <c r="B8712">
        <v>2228</v>
      </c>
      <c r="C8712" t="s">
        <v>255</v>
      </c>
      <c r="D8712">
        <v>4322</v>
      </c>
      <c r="E8712" t="s">
        <v>398</v>
      </c>
      <c r="F8712" s="4">
        <v>42712</v>
      </c>
      <c r="G8712" s="4">
        <v>0</v>
      </c>
      <c r="H8712" s="4">
        <v>0</v>
      </c>
      <c r="I8712" s="4">
        <v>0</v>
      </c>
      <c r="J8712" s="4">
        <v>42712</v>
      </c>
    </row>
    <row r="8713" spans="1:10" x14ac:dyDescent="0.75">
      <c r="A8713" t="s">
        <v>163</v>
      </c>
      <c r="B8713">
        <v>2228</v>
      </c>
      <c r="C8713" t="s">
        <v>255</v>
      </c>
      <c r="D8713">
        <v>3110</v>
      </c>
      <c r="E8713" t="s">
        <v>405</v>
      </c>
      <c r="F8713" s="4">
        <v>30171</v>
      </c>
      <c r="G8713" s="4">
        <v>0</v>
      </c>
      <c r="H8713" s="4">
        <v>0</v>
      </c>
      <c r="I8713" s="4">
        <v>0</v>
      </c>
      <c r="J8713" s="4">
        <v>30171</v>
      </c>
    </row>
    <row r="8714" spans="1:10" x14ac:dyDescent="0.75">
      <c r="A8714" t="s">
        <v>163</v>
      </c>
      <c r="B8714">
        <v>2228</v>
      </c>
      <c r="C8714" t="s">
        <v>255</v>
      </c>
      <c r="D8714">
        <v>4310</v>
      </c>
      <c r="E8714" t="s">
        <v>453</v>
      </c>
      <c r="F8714" s="4">
        <v>20576</v>
      </c>
      <c r="G8714" s="4">
        <v>0</v>
      </c>
      <c r="H8714" s="4">
        <v>0</v>
      </c>
      <c r="I8714" s="4">
        <v>0</v>
      </c>
      <c r="J8714" s="4">
        <v>20576</v>
      </c>
    </row>
    <row r="8715" spans="1:10" x14ac:dyDescent="0.75">
      <c r="A8715" t="s">
        <v>163</v>
      </c>
      <c r="B8715">
        <v>2228</v>
      </c>
      <c r="C8715" t="s">
        <v>255</v>
      </c>
      <c r="D8715">
        <v>3130</v>
      </c>
      <c r="E8715" t="s">
        <v>407</v>
      </c>
      <c r="F8715" s="4">
        <v>16124</v>
      </c>
      <c r="G8715" s="4">
        <v>0</v>
      </c>
      <c r="H8715" s="4">
        <v>0</v>
      </c>
      <c r="I8715" s="4">
        <v>0</v>
      </c>
      <c r="J8715" s="4">
        <v>16124</v>
      </c>
    </row>
    <row r="8716" spans="1:10" x14ac:dyDescent="0.75">
      <c r="A8716" t="s">
        <v>163</v>
      </c>
      <c r="B8716">
        <v>2228</v>
      </c>
      <c r="C8716" t="s">
        <v>255</v>
      </c>
      <c r="D8716">
        <v>3190</v>
      </c>
      <c r="E8716" t="s">
        <v>408</v>
      </c>
      <c r="F8716" s="4">
        <v>7158</v>
      </c>
      <c r="G8716" s="4">
        <v>0</v>
      </c>
      <c r="H8716" s="4">
        <v>0</v>
      </c>
      <c r="I8716" s="4">
        <v>0</v>
      </c>
      <c r="J8716" s="4">
        <v>7158</v>
      </c>
    </row>
    <row r="8717" spans="1:10" x14ac:dyDescent="0.75">
      <c r="A8717" t="s">
        <v>163</v>
      </c>
      <c r="B8717">
        <v>2228</v>
      </c>
      <c r="C8717" t="s">
        <v>255</v>
      </c>
      <c r="D8717">
        <v>3120</v>
      </c>
      <c r="E8717" t="s">
        <v>406</v>
      </c>
      <c r="F8717" s="4">
        <v>6030</v>
      </c>
      <c r="G8717" s="4">
        <v>0</v>
      </c>
      <c r="H8717" s="4">
        <v>0</v>
      </c>
      <c r="I8717" s="4">
        <v>0</v>
      </c>
      <c r="J8717" s="4">
        <v>6030</v>
      </c>
    </row>
    <row r="8718" spans="1:10" x14ac:dyDescent="0.75">
      <c r="A8718" t="s">
        <v>163</v>
      </c>
      <c r="B8718">
        <v>2228</v>
      </c>
      <c r="C8718" t="s">
        <v>255</v>
      </c>
      <c r="D8718">
        <v>4335</v>
      </c>
      <c r="E8718" t="s">
        <v>372</v>
      </c>
      <c r="F8718" s="4">
        <v>4478</v>
      </c>
      <c r="G8718" s="4">
        <v>0</v>
      </c>
      <c r="H8718" s="4">
        <v>0</v>
      </c>
      <c r="I8718" s="4">
        <v>0</v>
      </c>
      <c r="J8718" s="4">
        <v>4478</v>
      </c>
    </row>
    <row r="8719" spans="1:10" x14ac:dyDescent="0.75">
      <c r="A8719" t="s">
        <v>163</v>
      </c>
      <c r="B8719">
        <v>2228</v>
      </c>
      <c r="C8719" t="s">
        <v>255</v>
      </c>
      <c r="D8719">
        <v>6241</v>
      </c>
      <c r="E8719" t="s">
        <v>391</v>
      </c>
      <c r="F8719" s="4">
        <v>3171</v>
      </c>
      <c r="G8719" s="4">
        <v>0</v>
      </c>
      <c r="H8719" s="4">
        <v>0</v>
      </c>
      <c r="I8719" s="4">
        <v>0</v>
      </c>
      <c r="J8719" s="4">
        <v>3171</v>
      </c>
    </row>
    <row r="8720" spans="1:10" x14ac:dyDescent="0.75">
      <c r="A8720" t="s">
        <v>163</v>
      </c>
      <c r="B8720">
        <v>2362</v>
      </c>
      <c r="C8720" t="s">
        <v>259</v>
      </c>
      <c r="D8720">
        <v>4161</v>
      </c>
      <c r="E8720" t="s">
        <v>421</v>
      </c>
      <c r="F8720" s="4">
        <v>461518</v>
      </c>
      <c r="G8720" s="4">
        <v>0</v>
      </c>
      <c r="H8720" s="4">
        <v>0</v>
      </c>
      <c r="I8720" s="4">
        <v>0</v>
      </c>
      <c r="J8720" s="4">
        <v>461518</v>
      </c>
    </row>
    <row r="8721" spans="1:10" x14ac:dyDescent="0.75">
      <c r="A8721" t="s">
        <v>163</v>
      </c>
      <c r="B8721">
        <v>2362</v>
      </c>
      <c r="C8721" t="s">
        <v>259</v>
      </c>
      <c r="D8721">
        <v>4331</v>
      </c>
      <c r="E8721" t="s">
        <v>390</v>
      </c>
      <c r="F8721" s="4">
        <v>190700</v>
      </c>
      <c r="G8721" s="4">
        <v>0</v>
      </c>
      <c r="H8721" s="4">
        <v>0</v>
      </c>
      <c r="I8721" s="4">
        <v>0</v>
      </c>
      <c r="J8721" s="4">
        <v>190700</v>
      </c>
    </row>
    <row r="8722" spans="1:10" x14ac:dyDescent="0.75">
      <c r="A8722" t="s">
        <v>163</v>
      </c>
      <c r="B8722">
        <v>2362</v>
      </c>
      <c r="C8722" t="s">
        <v>259</v>
      </c>
      <c r="D8722">
        <v>5360</v>
      </c>
      <c r="E8722" t="s">
        <v>465</v>
      </c>
      <c r="F8722" s="4">
        <v>83899</v>
      </c>
      <c r="G8722" s="4">
        <v>0</v>
      </c>
      <c r="H8722" s="4">
        <v>0</v>
      </c>
      <c r="I8722" s="4">
        <v>0</v>
      </c>
      <c r="J8722" s="4">
        <v>83899</v>
      </c>
    </row>
    <row r="8723" spans="1:10" x14ac:dyDescent="0.75">
      <c r="A8723" t="s">
        <v>163</v>
      </c>
      <c r="B8723">
        <v>2362</v>
      </c>
      <c r="C8723" t="s">
        <v>259</v>
      </c>
      <c r="D8723">
        <v>5330</v>
      </c>
      <c r="E8723" t="s">
        <v>385</v>
      </c>
      <c r="F8723" s="4">
        <v>59230</v>
      </c>
      <c r="G8723" s="4">
        <v>0</v>
      </c>
      <c r="H8723" s="4">
        <v>0</v>
      </c>
      <c r="I8723" s="4">
        <v>0</v>
      </c>
      <c r="J8723" s="4">
        <v>59230</v>
      </c>
    </row>
    <row r="8724" spans="1:10" x14ac:dyDescent="0.75">
      <c r="A8724" t="s">
        <v>163</v>
      </c>
      <c r="B8724">
        <v>2362</v>
      </c>
      <c r="C8724" t="s">
        <v>259</v>
      </c>
      <c r="D8724">
        <v>2430</v>
      </c>
      <c r="E8724" t="s">
        <v>376</v>
      </c>
      <c r="F8724" s="4">
        <v>32147</v>
      </c>
      <c r="G8724" s="4">
        <v>0</v>
      </c>
      <c r="H8724" s="4">
        <v>0</v>
      </c>
      <c r="I8724" s="4">
        <v>0</v>
      </c>
      <c r="J8724" s="4">
        <v>32147</v>
      </c>
    </row>
    <row r="8725" spans="1:10" x14ac:dyDescent="0.75">
      <c r="A8725" t="s">
        <v>163</v>
      </c>
      <c r="B8725">
        <v>2362</v>
      </c>
      <c r="C8725" t="s">
        <v>259</v>
      </c>
      <c r="D8725">
        <v>4420</v>
      </c>
      <c r="E8725" t="s">
        <v>381</v>
      </c>
      <c r="F8725" s="4">
        <v>29900</v>
      </c>
      <c r="G8725" s="4">
        <v>0</v>
      </c>
      <c r="H8725" s="4">
        <v>0</v>
      </c>
      <c r="I8725" s="4">
        <v>0</v>
      </c>
      <c r="J8725" s="4">
        <v>29900</v>
      </c>
    </row>
    <row r="8726" spans="1:10" x14ac:dyDescent="0.75">
      <c r="A8726" t="s">
        <v>163</v>
      </c>
      <c r="B8726">
        <v>2362</v>
      </c>
      <c r="C8726" t="s">
        <v>259</v>
      </c>
      <c r="D8726">
        <v>5390</v>
      </c>
      <c r="E8726" t="s">
        <v>418</v>
      </c>
      <c r="F8726" s="4">
        <v>19731</v>
      </c>
      <c r="G8726" s="4">
        <v>0</v>
      </c>
      <c r="H8726" s="4">
        <v>0</v>
      </c>
      <c r="I8726" s="4">
        <v>0</v>
      </c>
      <c r="J8726" s="4">
        <v>19731</v>
      </c>
    </row>
    <row r="8727" spans="1:10" x14ac:dyDescent="0.75">
      <c r="A8727" t="s">
        <v>163</v>
      </c>
      <c r="B8727">
        <v>2362</v>
      </c>
      <c r="C8727" t="s">
        <v>259</v>
      </c>
      <c r="D8727">
        <v>3275</v>
      </c>
      <c r="E8727" t="s">
        <v>412</v>
      </c>
      <c r="F8727" s="4">
        <v>15029</v>
      </c>
      <c r="G8727" s="4">
        <v>0</v>
      </c>
      <c r="H8727" s="4">
        <v>0</v>
      </c>
      <c r="I8727" s="4">
        <v>0</v>
      </c>
      <c r="J8727" s="4">
        <v>15029</v>
      </c>
    </row>
    <row r="8728" spans="1:10" x14ac:dyDescent="0.75">
      <c r="A8728" t="s">
        <v>163</v>
      </c>
      <c r="B8728">
        <v>2362</v>
      </c>
      <c r="C8728" t="s">
        <v>259</v>
      </c>
      <c r="D8728">
        <v>5312</v>
      </c>
      <c r="E8728" t="s">
        <v>416</v>
      </c>
      <c r="F8728" s="4">
        <v>12600</v>
      </c>
      <c r="G8728" s="4">
        <v>0</v>
      </c>
      <c r="H8728" s="4">
        <v>0</v>
      </c>
      <c r="I8728" s="4">
        <v>0</v>
      </c>
      <c r="J8728" s="4">
        <v>12600</v>
      </c>
    </row>
    <row r="8729" spans="1:10" x14ac:dyDescent="0.75">
      <c r="A8729" t="s">
        <v>163</v>
      </c>
      <c r="B8729">
        <v>2362</v>
      </c>
      <c r="C8729" t="s">
        <v>259</v>
      </c>
      <c r="D8729">
        <v>5370</v>
      </c>
      <c r="E8729" t="s">
        <v>466</v>
      </c>
      <c r="F8729" s="4">
        <v>7194</v>
      </c>
      <c r="G8729" s="4">
        <v>0</v>
      </c>
      <c r="H8729" s="4">
        <v>0</v>
      </c>
      <c r="I8729" s="4">
        <v>0</v>
      </c>
      <c r="J8729" s="4">
        <v>7194</v>
      </c>
    </row>
    <row r="8730" spans="1:10" x14ac:dyDescent="0.75">
      <c r="A8730" t="s">
        <v>163</v>
      </c>
      <c r="B8730">
        <v>2362</v>
      </c>
      <c r="C8730" t="s">
        <v>259</v>
      </c>
      <c r="D8730">
        <v>4170</v>
      </c>
      <c r="E8730" t="s">
        <v>424</v>
      </c>
      <c r="F8730" s="4">
        <v>4300</v>
      </c>
      <c r="G8730" s="4">
        <v>0</v>
      </c>
      <c r="H8730" s="4">
        <v>0</v>
      </c>
      <c r="I8730" s="4">
        <v>0</v>
      </c>
      <c r="J8730" s="4">
        <v>4300</v>
      </c>
    </row>
    <row r="8731" spans="1:10" x14ac:dyDescent="0.75">
      <c r="A8731" t="s">
        <v>163</v>
      </c>
      <c r="B8731">
        <v>2362</v>
      </c>
      <c r="C8731" t="s">
        <v>259</v>
      </c>
      <c r="D8731">
        <v>6590</v>
      </c>
      <c r="E8731" t="s">
        <v>394</v>
      </c>
      <c r="F8731" s="4">
        <v>3200</v>
      </c>
      <c r="G8731" s="4">
        <v>0</v>
      </c>
      <c r="H8731" s="4">
        <v>0</v>
      </c>
      <c r="I8731" s="4">
        <v>0</v>
      </c>
      <c r="J8731" s="4">
        <v>3200</v>
      </c>
    </row>
    <row r="8732" spans="1:10" x14ac:dyDescent="0.75">
      <c r="A8732" t="s">
        <v>163</v>
      </c>
      <c r="B8732">
        <v>2362</v>
      </c>
      <c r="C8732" t="s">
        <v>259</v>
      </c>
      <c r="D8732">
        <v>2540</v>
      </c>
      <c r="E8732" t="s">
        <v>377</v>
      </c>
      <c r="F8732" s="4">
        <v>1700</v>
      </c>
      <c r="G8732" s="4">
        <v>0</v>
      </c>
      <c r="H8732" s="4">
        <v>0</v>
      </c>
      <c r="I8732" s="4">
        <v>0</v>
      </c>
      <c r="J8732" s="4">
        <v>1700</v>
      </c>
    </row>
    <row r="8733" spans="1:10" x14ac:dyDescent="0.75">
      <c r="A8733" t="s">
        <v>163</v>
      </c>
      <c r="B8733">
        <v>2362</v>
      </c>
      <c r="C8733" t="s">
        <v>259</v>
      </c>
      <c r="D8733">
        <v>1100</v>
      </c>
      <c r="E8733" t="s">
        <v>397</v>
      </c>
      <c r="F8733" s="4">
        <v>1500</v>
      </c>
      <c r="G8733" s="4">
        <v>0</v>
      </c>
      <c r="H8733" s="4">
        <v>0</v>
      </c>
      <c r="I8733" s="4">
        <v>0</v>
      </c>
      <c r="J8733" s="4">
        <v>1500</v>
      </c>
    </row>
    <row r="8734" spans="1:10" x14ac:dyDescent="0.75">
      <c r="A8734" t="s">
        <v>163</v>
      </c>
      <c r="B8734">
        <v>2362</v>
      </c>
      <c r="C8734" t="s">
        <v>259</v>
      </c>
      <c r="D8734">
        <v>3279</v>
      </c>
      <c r="E8734" t="s">
        <v>422</v>
      </c>
      <c r="F8734" s="4">
        <v>840</v>
      </c>
      <c r="G8734" s="4">
        <v>0</v>
      </c>
      <c r="H8734" s="4">
        <v>0</v>
      </c>
      <c r="I8734" s="4">
        <v>0</v>
      </c>
      <c r="J8734" s="4">
        <v>840</v>
      </c>
    </row>
  </sheetData>
  <autoFilter ref="A1:J8734" xr:uid="{ADE1D9C3-689E-48B7-AD28-8FF45E6959E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EF9D-70EC-4D96-936A-BD8F7CDA1CE7}">
  <sheetPr codeName="Sheet1"/>
  <dimension ref="A1:Q121"/>
  <sheetViews>
    <sheetView topLeftCell="A22" workbookViewId="0">
      <selection activeCell="AC13" sqref="AC13"/>
    </sheetView>
  </sheetViews>
  <sheetFormatPr defaultRowHeight="14.75" x14ac:dyDescent="0.75"/>
  <cols>
    <col min="2" max="2" width="10.90625" customWidth="1"/>
    <col min="3" max="3" width="53.6796875" customWidth="1"/>
    <col min="4" max="5" width="0" hidden="1" customWidth="1"/>
    <col min="6" max="6" width="17.40625" hidden="1" customWidth="1"/>
    <col min="7" max="7" width="11.90625" hidden="1" customWidth="1"/>
    <col min="8" max="8" width="16.5" hidden="1" customWidth="1"/>
    <col min="9" max="9" width="14.08984375" hidden="1" customWidth="1"/>
    <col min="10" max="10" width="13.90625" hidden="1" customWidth="1"/>
    <col min="11" max="11" width="14.40625" hidden="1" customWidth="1"/>
    <col min="12" max="12" width="15" hidden="1" customWidth="1"/>
    <col min="13" max="13" width="18.31640625" customWidth="1"/>
    <col min="15" max="15" width="13.31640625" bestFit="1" customWidth="1"/>
  </cols>
  <sheetData>
    <row r="1" spans="1:17" x14ac:dyDescent="0.75">
      <c r="A1" t="s">
        <v>146</v>
      </c>
      <c r="B1" s="2" t="s">
        <v>518</v>
      </c>
      <c r="C1" s="1" t="s">
        <v>510</v>
      </c>
      <c r="D1" s="1" t="s">
        <v>511</v>
      </c>
      <c r="E1" s="16" t="s">
        <v>150</v>
      </c>
      <c r="F1" s="16"/>
      <c r="G1" s="16"/>
      <c r="H1" s="16"/>
      <c r="I1" s="16"/>
      <c r="J1" s="16" t="s">
        <v>365</v>
      </c>
      <c r="K1" s="16"/>
      <c r="L1" s="16"/>
      <c r="M1" s="1" t="s">
        <v>512</v>
      </c>
      <c r="P1" s="15">
        <f>1-O4</f>
        <v>8.7190428946035237E-2</v>
      </c>
    </row>
    <row r="2" spans="1:17" x14ac:dyDescent="0.75">
      <c r="C2" s="1"/>
      <c r="D2" s="1"/>
      <c r="E2" s="1" t="s">
        <v>513</v>
      </c>
      <c r="F2" s="1"/>
      <c r="G2" s="1" t="s">
        <v>514</v>
      </c>
      <c r="H2" s="1"/>
      <c r="I2" s="1" t="s">
        <v>515</v>
      </c>
      <c r="J2" s="1" t="s">
        <v>513</v>
      </c>
      <c r="K2" s="1" t="s">
        <v>514</v>
      </c>
      <c r="L2" s="1" t="s">
        <v>515</v>
      </c>
      <c r="M2" s="1" t="s">
        <v>515</v>
      </c>
    </row>
    <row r="3" spans="1:17" x14ac:dyDescent="0.75">
      <c r="C3" s="1"/>
      <c r="D3" s="1"/>
      <c r="E3" s="1" t="s">
        <v>516</v>
      </c>
      <c r="F3" s="1" t="s">
        <v>517</v>
      </c>
      <c r="G3" s="1" t="s">
        <v>516</v>
      </c>
      <c r="H3" s="1" t="s">
        <v>517</v>
      </c>
      <c r="I3" s="1"/>
      <c r="J3" s="1" t="s">
        <v>516</v>
      </c>
      <c r="K3" s="1" t="s">
        <v>516</v>
      </c>
      <c r="L3" s="1"/>
      <c r="M3" s="1" t="s">
        <v>516</v>
      </c>
      <c r="O3" s="8">
        <f>SUM(M:M)</f>
        <v>46035015.529999949</v>
      </c>
    </row>
    <row r="4" spans="1:17" x14ac:dyDescent="0.75">
      <c r="A4">
        <v>1</v>
      </c>
      <c r="B4">
        <v>4120</v>
      </c>
      <c r="C4" t="s">
        <v>0</v>
      </c>
      <c r="D4" t="s">
        <v>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5770037.9500000002</v>
      </c>
      <c r="K4" s="4">
        <v>1267948.07</v>
      </c>
      <c r="L4" s="4">
        <v>7037986.0199999996</v>
      </c>
      <c r="M4" s="6">
        <v>7037986.0199999996</v>
      </c>
      <c r="N4" s="4">
        <v>6424341</v>
      </c>
      <c r="O4" s="15">
        <f>N4/M4</f>
        <v>0.91280957105396476</v>
      </c>
      <c r="P4">
        <f>0.087*M4</f>
        <v>612304.78373999987</v>
      </c>
      <c r="Q4" s="4">
        <f>M4-P4</f>
        <v>6425681.2362599997</v>
      </c>
    </row>
    <row r="5" spans="1:17" x14ac:dyDescent="0.75">
      <c r="A5">
        <v>2</v>
      </c>
      <c r="B5">
        <v>4110</v>
      </c>
      <c r="C5" t="s">
        <v>2</v>
      </c>
      <c r="D5" t="s">
        <v>1</v>
      </c>
      <c r="E5" s="4">
        <v>44882.7</v>
      </c>
      <c r="F5" s="4">
        <v>19514.599999999999</v>
      </c>
      <c r="G5" s="4">
        <v>336117.5</v>
      </c>
      <c r="H5" s="4">
        <v>2036</v>
      </c>
      <c r="I5" s="4">
        <v>402550.8</v>
      </c>
      <c r="J5" s="4">
        <v>4938264.09</v>
      </c>
      <c r="K5" s="4">
        <v>1079640.81</v>
      </c>
      <c r="L5" s="4">
        <v>6017904.9000000004</v>
      </c>
      <c r="M5" s="6">
        <v>6398905.0999999996</v>
      </c>
    </row>
    <row r="6" spans="1:17" x14ac:dyDescent="0.75">
      <c r="A6">
        <v>3</v>
      </c>
      <c r="B6">
        <v>398</v>
      </c>
      <c r="C6" t="s">
        <v>3</v>
      </c>
      <c r="D6" t="s">
        <v>4</v>
      </c>
      <c r="E6" s="4">
        <v>13836</v>
      </c>
      <c r="F6" s="4">
        <v>1366</v>
      </c>
      <c r="G6" s="4">
        <v>14448</v>
      </c>
      <c r="H6" s="4">
        <v>1366</v>
      </c>
      <c r="I6" s="4">
        <v>31016</v>
      </c>
      <c r="J6" s="4">
        <v>4956070.78</v>
      </c>
      <c r="K6" s="4">
        <v>1319722.78</v>
      </c>
      <c r="L6" s="4">
        <v>6275793.5599999996</v>
      </c>
      <c r="M6" s="6">
        <v>6304077.5599999996</v>
      </c>
      <c r="N6" s="4">
        <v>6660317</v>
      </c>
      <c r="O6">
        <f>N6/M6</f>
        <v>1.0565093682000957</v>
      </c>
    </row>
    <row r="7" spans="1:17" x14ac:dyDescent="0.75">
      <c r="A7">
        <v>4</v>
      </c>
      <c r="B7">
        <v>776</v>
      </c>
      <c r="C7" t="s">
        <v>5</v>
      </c>
      <c r="D7" t="s">
        <v>6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2881608.46</v>
      </c>
      <c r="K7" s="4">
        <v>1354291.79</v>
      </c>
      <c r="L7" s="4">
        <v>4235900.25</v>
      </c>
      <c r="M7" s="6">
        <v>4235900.25</v>
      </c>
    </row>
    <row r="8" spans="1:17" x14ac:dyDescent="0.75">
      <c r="A8">
        <v>5</v>
      </c>
      <c r="B8">
        <v>5700</v>
      </c>
      <c r="C8" t="s">
        <v>7</v>
      </c>
      <c r="D8" t="s">
        <v>8</v>
      </c>
      <c r="E8" s="4">
        <v>19983</v>
      </c>
      <c r="F8" s="4">
        <v>0</v>
      </c>
      <c r="G8" s="4">
        <v>26685</v>
      </c>
      <c r="H8" s="4">
        <v>0</v>
      </c>
      <c r="I8" s="4">
        <v>46668</v>
      </c>
      <c r="J8" s="4">
        <v>1733201.56</v>
      </c>
      <c r="K8" s="4">
        <v>990095.13</v>
      </c>
      <c r="L8" s="4">
        <v>2723296.69</v>
      </c>
      <c r="M8" s="6">
        <v>2769964.69</v>
      </c>
    </row>
    <row r="9" spans="1:17" x14ac:dyDescent="0.75">
      <c r="A9">
        <v>6</v>
      </c>
      <c r="B9">
        <v>2031</v>
      </c>
      <c r="C9" t="s">
        <v>9</v>
      </c>
      <c r="D9" t="s">
        <v>10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1751879.52</v>
      </c>
      <c r="K9" s="4">
        <v>1015962.94</v>
      </c>
      <c r="L9" s="4">
        <v>2767842.46</v>
      </c>
      <c r="M9" s="6">
        <v>2767842.46</v>
      </c>
    </row>
    <row r="10" spans="1:17" x14ac:dyDescent="0.75">
      <c r="A10">
        <v>7</v>
      </c>
      <c r="B10">
        <v>775</v>
      </c>
      <c r="C10" t="s">
        <v>11</v>
      </c>
      <c r="D10" t="s">
        <v>12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1375111.51</v>
      </c>
      <c r="K10" s="4">
        <v>797082.41</v>
      </c>
      <c r="L10" s="4">
        <v>2172193.92</v>
      </c>
      <c r="M10" s="6">
        <v>2172193.92</v>
      </c>
    </row>
    <row r="11" spans="1:17" x14ac:dyDescent="0.75">
      <c r="A11">
        <v>8</v>
      </c>
      <c r="B11">
        <v>4344</v>
      </c>
      <c r="C11" t="s">
        <v>13</v>
      </c>
      <c r="D11" t="s">
        <v>1</v>
      </c>
      <c r="E11" s="4">
        <v>18911.5</v>
      </c>
      <c r="F11" s="4">
        <v>46883.45</v>
      </c>
      <c r="G11" s="4">
        <v>89083.6</v>
      </c>
      <c r="H11" s="4">
        <v>979.1</v>
      </c>
      <c r="I11" s="4">
        <v>155857.65</v>
      </c>
      <c r="J11" s="4">
        <v>1080201.96</v>
      </c>
      <c r="K11" s="4">
        <v>721102.13</v>
      </c>
      <c r="L11" s="4">
        <v>1801304.09</v>
      </c>
      <c r="M11" s="6">
        <v>1909299.19</v>
      </c>
    </row>
    <row r="12" spans="1:17" x14ac:dyDescent="0.75">
      <c r="A12">
        <v>9</v>
      </c>
      <c r="B12">
        <v>4719</v>
      </c>
      <c r="C12" t="s">
        <v>14</v>
      </c>
      <c r="D12" t="s">
        <v>15</v>
      </c>
      <c r="E12" s="4">
        <v>108558.95</v>
      </c>
      <c r="F12" s="4">
        <v>163423.85</v>
      </c>
      <c r="G12" s="4">
        <v>364107.4</v>
      </c>
      <c r="H12" s="4">
        <v>1460.7</v>
      </c>
      <c r="I12" s="4">
        <v>637550.9</v>
      </c>
      <c r="J12" s="4">
        <v>846695.28</v>
      </c>
      <c r="K12" s="4">
        <v>364250.71</v>
      </c>
      <c r="L12" s="4">
        <v>1210945.99</v>
      </c>
      <c r="M12" s="4">
        <v>1683612.34</v>
      </c>
    </row>
    <row r="13" spans="1:17" x14ac:dyDescent="0.75">
      <c r="A13">
        <v>10</v>
      </c>
      <c r="B13">
        <v>4722</v>
      </c>
      <c r="C13" t="s">
        <v>16</v>
      </c>
      <c r="D13" t="s">
        <v>15</v>
      </c>
      <c r="E13" s="4">
        <v>55115</v>
      </c>
      <c r="F13" s="4">
        <v>111169.60000000001</v>
      </c>
      <c r="G13" s="4">
        <v>102711</v>
      </c>
      <c r="H13" s="4">
        <v>17657.5</v>
      </c>
      <c r="I13" s="4">
        <v>286653.09999999998</v>
      </c>
      <c r="J13" s="4">
        <v>653473.96</v>
      </c>
      <c r="K13" s="4">
        <v>317600.31</v>
      </c>
      <c r="L13" s="4">
        <v>971074.27</v>
      </c>
      <c r="M13" s="4">
        <v>1128900.27</v>
      </c>
    </row>
    <row r="14" spans="1:17" x14ac:dyDescent="0.75">
      <c r="A14">
        <v>11</v>
      </c>
      <c r="B14">
        <v>2017</v>
      </c>
      <c r="C14" t="s">
        <v>17</v>
      </c>
      <c r="D14" t="s">
        <v>18</v>
      </c>
      <c r="E14" s="4">
        <v>117641.9</v>
      </c>
      <c r="F14" s="4">
        <v>169300.35</v>
      </c>
      <c r="G14" s="4">
        <v>518112.4</v>
      </c>
      <c r="H14" s="4">
        <v>4169.45</v>
      </c>
      <c r="I14" s="4">
        <v>809224.1</v>
      </c>
      <c r="J14" s="4">
        <v>208748.1</v>
      </c>
      <c r="K14" s="4">
        <v>113620.32</v>
      </c>
      <c r="L14" s="4">
        <v>322368.42</v>
      </c>
      <c r="M14" s="4">
        <v>958122.72</v>
      </c>
    </row>
    <row r="15" spans="1:17" x14ac:dyDescent="0.75">
      <c r="A15">
        <v>12</v>
      </c>
      <c r="B15">
        <v>1992</v>
      </c>
      <c r="C15" t="s">
        <v>19</v>
      </c>
      <c r="D15" t="s">
        <v>18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580571.4</v>
      </c>
      <c r="K15" s="4">
        <v>339803.04</v>
      </c>
      <c r="L15" s="4">
        <v>920374.44</v>
      </c>
      <c r="M15" s="4">
        <v>920374.44</v>
      </c>
    </row>
    <row r="16" spans="1:17" x14ac:dyDescent="0.75">
      <c r="A16">
        <v>13</v>
      </c>
      <c r="B16">
        <v>1913</v>
      </c>
      <c r="C16" t="s">
        <v>20</v>
      </c>
      <c r="D16" t="s">
        <v>21</v>
      </c>
      <c r="E16" s="4">
        <v>455741.2</v>
      </c>
      <c r="F16" s="4">
        <v>4666.05</v>
      </c>
      <c r="G16" s="4">
        <v>162136.79999999999</v>
      </c>
      <c r="H16" s="4">
        <v>193253.05</v>
      </c>
      <c r="I16" s="4">
        <v>815797.1</v>
      </c>
      <c r="J16" s="4">
        <v>216484.34</v>
      </c>
      <c r="K16" s="4">
        <v>61789.599999999999</v>
      </c>
      <c r="L16" s="4">
        <v>278273.94</v>
      </c>
      <c r="M16" s="4">
        <v>896151.94</v>
      </c>
    </row>
    <row r="17" spans="1:13" x14ac:dyDescent="0.75">
      <c r="A17">
        <v>14</v>
      </c>
      <c r="B17">
        <v>4421</v>
      </c>
      <c r="C17" t="s">
        <v>22</v>
      </c>
      <c r="D17" t="s">
        <v>23</v>
      </c>
      <c r="E17" s="4">
        <v>509163.55</v>
      </c>
      <c r="F17" s="4">
        <v>152883.54999999999</v>
      </c>
      <c r="G17" s="4">
        <v>306062.84999999998</v>
      </c>
      <c r="H17" s="4">
        <v>133928</v>
      </c>
      <c r="I17" s="4">
        <v>1102037.95</v>
      </c>
      <c r="J17" s="4">
        <v>26179.56</v>
      </c>
      <c r="K17" s="4">
        <v>21337.39</v>
      </c>
      <c r="L17" s="4">
        <v>47516.95</v>
      </c>
      <c r="M17" s="4">
        <v>862743.35</v>
      </c>
    </row>
    <row r="18" spans="1:13" x14ac:dyDescent="0.75">
      <c r="A18">
        <v>15</v>
      </c>
      <c r="B18">
        <v>700</v>
      </c>
      <c r="C18" t="s">
        <v>24</v>
      </c>
      <c r="D18" t="s">
        <v>25</v>
      </c>
      <c r="E18" s="4">
        <v>26483</v>
      </c>
      <c r="F18" s="4">
        <v>0</v>
      </c>
      <c r="G18" s="4">
        <v>18239</v>
      </c>
      <c r="H18" s="4">
        <v>0</v>
      </c>
      <c r="I18" s="4">
        <v>44722</v>
      </c>
      <c r="J18" s="4">
        <v>486108.38</v>
      </c>
      <c r="K18" s="4">
        <v>231060.82</v>
      </c>
      <c r="L18" s="4">
        <v>717169.2</v>
      </c>
      <c r="M18" s="4">
        <v>761891.2</v>
      </c>
    </row>
    <row r="19" spans="1:13" x14ac:dyDescent="0.75">
      <c r="A19">
        <v>16</v>
      </c>
      <c r="B19">
        <v>1911</v>
      </c>
      <c r="C19" t="s">
        <v>26</v>
      </c>
      <c r="D19" t="s">
        <v>18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377499.63</v>
      </c>
      <c r="K19" s="4">
        <v>349371.78</v>
      </c>
      <c r="L19" s="4">
        <v>726871.41</v>
      </c>
      <c r="M19" s="4">
        <v>726871.41</v>
      </c>
    </row>
    <row r="20" spans="1:13" x14ac:dyDescent="0.75">
      <c r="A20">
        <v>17</v>
      </c>
      <c r="B20">
        <v>552</v>
      </c>
      <c r="C20" t="s">
        <v>27</v>
      </c>
      <c r="D20" t="s">
        <v>28</v>
      </c>
      <c r="E20" s="4">
        <v>17657</v>
      </c>
      <c r="F20" s="4">
        <v>0</v>
      </c>
      <c r="G20" s="4">
        <v>18589</v>
      </c>
      <c r="H20" s="4">
        <v>0</v>
      </c>
      <c r="I20" s="4">
        <v>36246</v>
      </c>
      <c r="J20" s="4">
        <v>503739.72</v>
      </c>
      <c r="K20" s="4">
        <v>122138.18</v>
      </c>
      <c r="L20" s="4">
        <v>625877.9</v>
      </c>
      <c r="M20" s="4">
        <v>662123.9</v>
      </c>
    </row>
    <row r="21" spans="1:13" x14ac:dyDescent="0.75">
      <c r="A21">
        <v>18</v>
      </c>
      <c r="B21">
        <v>2032</v>
      </c>
      <c r="C21" t="s">
        <v>29</v>
      </c>
      <c r="D21" t="s">
        <v>30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269856.84000000003</v>
      </c>
      <c r="K21" s="4">
        <v>149576.01999999999</v>
      </c>
      <c r="L21" s="4">
        <v>419432.86</v>
      </c>
      <c r="M21" s="4">
        <v>419432.86</v>
      </c>
    </row>
    <row r="22" spans="1:13" x14ac:dyDescent="0.75">
      <c r="A22">
        <v>19</v>
      </c>
      <c r="B22">
        <v>4820</v>
      </c>
      <c r="C22" t="s">
        <v>31</v>
      </c>
      <c r="D22" t="s">
        <v>32</v>
      </c>
      <c r="E22" s="4">
        <v>314495.8</v>
      </c>
      <c r="F22" s="4">
        <v>1287.7</v>
      </c>
      <c r="G22" s="4">
        <v>99965.1</v>
      </c>
      <c r="H22" s="4">
        <v>129127.45</v>
      </c>
      <c r="I22" s="4">
        <v>544876.05000000005</v>
      </c>
      <c r="J22" s="4">
        <v>62.75</v>
      </c>
      <c r="K22" s="4">
        <v>1137.5</v>
      </c>
      <c r="L22" s="4">
        <v>1200.25</v>
      </c>
      <c r="M22" s="4">
        <v>415661.15</v>
      </c>
    </row>
    <row r="23" spans="1:13" x14ac:dyDescent="0.75">
      <c r="A23">
        <v>20</v>
      </c>
      <c r="B23">
        <v>2251</v>
      </c>
      <c r="C23" t="s">
        <v>33</v>
      </c>
      <c r="D23" t="s">
        <v>34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133755.16</v>
      </c>
      <c r="K23" s="4">
        <v>243758.56</v>
      </c>
      <c r="L23" s="4">
        <v>377513.72</v>
      </c>
      <c r="M23" s="4">
        <v>377513.72</v>
      </c>
    </row>
    <row r="24" spans="1:13" x14ac:dyDescent="0.75">
      <c r="A24">
        <v>21</v>
      </c>
      <c r="B24">
        <v>766</v>
      </c>
      <c r="C24" t="s">
        <v>35</v>
      </c>
      <c r="D24" t="s">
        <v>36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121727.96</v>
      </c>
      <c r="K24" s="4">
        <v>129420.93</v>
      </c>
      <c r="L24" s="4">
        <v>251148.89</v>
      </c>
      <c r="M24" s="4">
        <v>251148.89</v>
      </c>
    </row>
    <row r="25" spans="1:13" x14ac:dyDescent="0.75">
      <c r="A25">
        <v>22</v>
      </c>
      <c r="B25">
        <v>555</v>
      </c>
      <c r="C25" t="s">
        <v>37</v>
      </c>
      <c r="D25" t="s">
        <v>38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186510.15</v>
      </c>
      <c r="K25" s="4">
        <v>12826.41</v>
      </c>
      <c r="L25" s="4">
        <v>199336.56</v>
      </c>
      <c r="M25" s="4">
        <v>199336.56</v>
      </c>
    </row>
    <row r="26" spans="1:13" x14ac:dyDescent="0.75">
      <c r="A26">
        <v>23</v>
      </c>
      <c r="B26">
        <v>1983</v>
      </c>
      <c r="C26" t="s">
        <v>39</v>
      </c>
      <c r="D26" t="s">
        <v>18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25310.31</v>
      </c>
      <c r="K26" s="4">
        <v>171233.3</v>
      </c>
      <c r="L26" s="4">
        <v>196543.61</v>
      </c>
      <c r="M26" s="4">
        <v>196543.61</v>
      </c>
    </row>
    <row r="27" spans="1:13" x14ac:dyDescent="0.75">
      <c r="A27">
        <v>24</v>
      </c>
      <c r="B27">
        <v>550</v>
      </c>
      <c r="C27" t="s">
        <v>40</v>
      </c>
      <c r="D27" t="s">
        <v>41</v>
      </c>
      <c r="E27" s="4">
        <v>44494.9</v>
      </c>
      <c r="F27" s="4">
        <v>23952.7</v>
      </c>
      <c r="G27" s="4">
        <v>54239.4</v>
      </c>
      <c r="H27" s="4">
        <v>496.6</v>
      </c>
      <c r="I27" s="4">
        <v>123183.6</v>
      </c>
      <c r="J27" s="4">
        <v>66381.63</v>
      </c>
      <c r="K27" s="4">
        <v>6226.69</v>
      </c>
      <c r="L27" s="4">
        <v>72608.320000000007</v>
      </c>
      <c r="M27" s="4">
        <v>171342.62</v>
      </c>
    </row>
    <row r="28" spans="1:13" x14ac:dyDescent="0.75">
      <c r="A28">
        <v>25</v>
      </c>
      <c r="B28">
        <v>149</v>
      </c>
      <c r="C28" t="s">
        <v>42</v>
      </c>
      <c r="D28" t="s">
        <v>43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99989.63</v>
      </c>
      <c r="K28" s="4">
        <v>61172.42</v>
      </c>
      <c r="L28" s="4">
        <v>161162.04999999999</v>
      </c>
      <c r="M28" s="4">
        <v>161162.04999999999</v>
      </c>
    </row>
    <row r="29" spans="1:13" x14ac:dyDescent="0.75">
      <c r="A29">
        <v>26</v>
      </c>
      <c r="B29">
        <v>4151</v>
      </c>
      <c r="C29" t="s">
        <v>44</v>
      </c>
      <c r="D29" t="s">
        <v>1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114204.72</v>
      </c>
      <c r="K29" s="4">
        <v>26607.74</v>
      </c>
      <c r="L29" s="4">
        <v>140812.46</v>
      </c>
      <c r="M29" s="4">
        <v>140812.46</v>
      </c>
    </row>
    <row r="30" spans="1:13" x14ac:dyDescent="0.75">
      <c r="A30">
        <v>27</v>
      </c>
      <c r="B30">
        <v>2440</v>
      </c>
      <c r="C30" t="s">
        <v>45</v>
      </c>
      <c r="D30" t="s">
        <v>46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84828.39</v>
      </c>
      <c r="K30" s="4">
        <v>50058.37</v>
      </c>
      <c r="L30" s="4">
        <v>134886.76</v>
      </c>
      <c r="M30" s="4">
        <v>134886.76</v>
      </c>
    </row>
    <row r="31" spans="1:13" x14ac:dyDescent="0.75">
      <c r="A31">
        <v>28</v>
      </c>
      <c r="B31">
        <v>1912</v>
      </c>
      <c r="C31" t="s">
        <v>47</v>
      </c>
      <c r="D31" t="s">
        <v>21</v>
      </c>
      <c r="E31" s="4">
        <v>116610.6</v>
      </c>
      <c r="F31" s="4">
        <v>0</v>
      </c>
      <c r="G31" s="4">
        <v>0</v>
      </c>
      <c r="H31" s="4">
        <v>0</v>
      </c>
      <c r="I31" s="4">
        <v>116610.6</v>
      </c>
      <c r="J31" s="4">
        <v>0</v>
      </c>
      <c r="K31" s="4">
        <v>0</v>
      </c>
      <c r="L31" s="4">
        <v>0</v>
      </c>
      <c r="M31" s="4">
        <v>116610.6</v>
      </c>
    </row>
    <row r="32" spans="1:13" x14ac:dyDescent="0.75">
      <c r="A32">
        <v>29</v>
      </c>
      <c r="B32">
        <v>4823</v>
      </c>
      <c r="C32" t="s">
        <v>48</v>
      </c>
      <c r="D32" t="s">
        <v>32</v>
      </c>
      <c r="E32" s="4">
        <v>81814</v>
      </c>
      <c r="F32" s="4">
        <v>13197.25</v>
      </c>
      <c r="G32" s="4">
        <v>24243.5</v>
      </c>
      <c r="H32" s="4">
        <v>39129.550000000003</v>
      </c>
      <c r="I32" s="4">
        <v>158384.29999999999</v>
      </c>
      <c r="J32" s="4">
        <v>0</v>
      </c>
      <c r="K32" s="4">
        <v>0</v>
      </c>
      <c r="L32" s="4">
        <v>0</v>
      </c>
      <c r="M32" s="4">
        <v>106057.5</v>
      </c>
    </row>
    <row r="33" spans="1:13" x14ac:dyDescent="0.75">
      <c r="A33">
        <v>30</v>
      </c>
      <c r="B33">
        <v>2021</v>
      </c>
      <c r="C33" t="s">
        <v>49</v>
      </c>
      <c r="D33" t="s">
        <v>18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84686.79</v>
      </c>
      <c r="K33" s="4">
        <v>15349.06</v>
      </c>
      <c r="L33" s="4">
        <v>100035.85</v>
      </c>
      <c r="M33" s="4">
        <v>100035.85</v>
      </c>
    </row>
    <row r="34" spans="1:13" x14ac:dyDescent="0.75">
      <c r="A34">
        <v>31</v>
      </c>
      <c r="B34">
        <v>4827</v>
      </c>
      <c r="C34" t="s">
        <v>50</v>
      </c>
      <c r="D34" t="s">
        <v>32</v>
      </c>
      <c r="E34" s="4">
        <v>22628.1</v>
      </c>
      <c r="F34" s="4">
        <v>7931.9</v>
      </c>
      <c r="G34" s="4">
        <v>67458.600000000006</v>
      </c>
      <c r="H34" s="4">
        <v>44683</v>
      </c>
      <c r="I34" s="4">
        <v>142701.6</v>
      </c>
      <c r="J34" s="4">
        <v>0</v>
      </c>
      <c r="K34" s="4">
        <v>0</v>
      </c>
      <c r="L34" s="4">
        <v>0</v>
      </c>
      <c r="M34" s="4">
        <v>90086.7</v>
      </c>
    </row>
    <row r="35" spans="1:13" x14ac:dyDescent="0.75">
      <c r="A35">
        <v>32</v>
      </c>
      <c r="B35">
        <v>4410</v>
      </c>
      <c r="C35" t="s">
        <v>51</v>
      </c>
      <c r="D35" t="s">
        <v>23</v>
      </c>
      <c r="E35" s="4">
        <v>74073.95</v>
      </c>
      <c r="F35" s="4">
        <v>2886.05</v>
      </c>
      <c r="G35" s="4">
        <v>11453.4</v>
      </c>
      <c r="H35" s="4">
        <v>56351</v>
      </c>
      <c r="I35" s="4">
        <v>144764.4</v>
      </c>
      <c r="J35" s="4">
        <v>1</v>
      </c>
      <c r="K35" s="4">
        <v>0</v>
      </c>
      <c r="L35" s="4">
        <v>1</v>
      </c>
      <c r="M35" s="4">
        <v>85528.35</v>
      </c>
    </row>
    <row r="36" spans="1:13" x14ac:dyDescent="0.75">
      <c r="A36">
        <v>33</v>
      </c>
      <c r="B36">
        <v>4405</v>
      </c>
      <c r="C36" t="s">
        <v>52</v>
      </c>
      <c r="D36" t="s">
        <v>23</v>
      </c>
      <c r="E36" s="4">
        <v>68937.25</v>
      </c>
      <c r="F36" s="4">
        <v>1645.75</v>
      </c>
      <c r="G36" s="4">
        <v>15547.15</v>
      </c>
      <c r="H36" s="4">
        <v>46342.3</v>
      </c>
      <c r="I36" s="4">
        <v>132472.45000000001</v>
      </c>
      <c r="J36" s="4">
        <v>0</v>
      </c>
      <c r="K36" s="4">
        <v>0</v>
      </c>
      <c r="L36" s="4">
        <v>0</v>
      </c>
      <c r="M36" s="4">
        <v>84484.4</v>
      </c>
    </row>
    <row r="37" spans="1:13" x14ac:dyDescent="0.75">
      <c r="A37">
        <v>34</v>
      </c>
      <c r="B37">
        <v>4646</v>
      </c>
      <c r="C37" t="s">
        <v>53</v>
      </c>
      <c r="D37" t="s">
        <v>54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49618.44</v>
      </c>
      <c r="K37" s="4">
        <v>33577.129999999997</v>
      </c>
      <c r="L37" s="4">
        <v>83195.570000000007</v>
      </c>
      <c r="M37" s="4">
        <v>83195.570000000007</v>
      </c>
    </row>
    <row r="38" spans="1:13" x14ac:dyDescent="0.75">
      <c r="A38">
        <v>35</v>
      </c>
      <c r="B38">
        <v>4102</v>
      </c>
      <c r="C38" t="s">
        <v>55</v>
      </c>
      <c r="D38" t="s">
        <v>1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78376.399999999994</v>
      </c>
      <c r="K38" s="4">
        <v>4734.8599999999997</v>
      </c>
      <c r="L38" s="4">
        <v>83111.259999999995</v>
      </c>
      <c r="M38" s="4">
        <v>83111.259999999995</v>
      </c>
    </row>
    <row r="39" spans="1:13" x14ac:dyDescent="0.75">
      <c r="A39">
        <v>36</v>
      </c>
      <c r="B39">
        <v>4826</v>
      </c>
      <c r="C39" t="s">
        <v>56</v>
      </c>
      <c r="D39" t="s">
        <v>32</v>
      </c>
      <c r="E39" s="4">
        <v>26342.799999999999</v>
      </c>
      <c r="F39" s="4">
        <v>9576.75</v>
      </c>
      <c r="G39" s="4">
        <v>51306.9</v>
      </c>
      <c r="H39" s="4">
        <v>24160.15</v>
      </c>
      <c r="I39" s="4">
        <v>111386.6</v>
      </c>
      <c r="J39" s="4">
        <v>0</v>
      </c>
      <c r="K39" s="4">
        <v>0</v>
      </c>
      <c r="L39" s="4">
        <v>0</v>
      </c>
      <c r="M39" s="4">
        <v>77649.7</v>
      </c>
    </row>
    <row r="40" spans="1:13" x14ac:dyDescent="0.75">
      <c r="A40">
        <v>37</v>
      </c>
      <c r="B40">
        <v>2437</v>
      </c>
      <c r="C40" t="s">
        <v>57</v>
      </c>
      <c r="D40" t="s">
        <v>18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69801.039999999994</v>
      </c>
      <c r="K40" s="4">
        <v>1074.29</v>
      </c>
      <c r="L40" s="4">
        <v>70875.33</v>
      </c>
      <c r="M40" s="4">
        <v>70875.33</v>
      </c>
    </row>
    <row r="41" spans="1:13" x14ac:dyDescent="0.75">
      <c r="A41">
        <v>38</v>
      </c>
      <c r="B41">
        <v>2408</v>
      </c>
      <c r="C41" t="s">
        <v>58</v>
      </c>
      <c r="D41" t="s">
        <v>10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34553.89</v>
      </c>
      <c r="K41" s="4">
        <v>28743.58</v>
      </c>
      <c r="L41" s="4">
        <v>63297.47</v>
      </c>
      <c r="M41" s="4">
        <v>63297.47</v>
      </c>
    </row>
    <row r="42" spans="1:13" x14ac:dyDescent="0.75">
      <c r="A42">
        <v>39</v>
      </c>
      <c r="B42">
        <v>4939</v>
      </c>
      <c r="C42" t="s">
        <v>59</v>
      </c>
      <c r="D42" t="s">
        <v>32</v>
      </c>
      <c r="E42" s="4">
        <v>21378</v>
      </c>
      <c r="F42" s="4">
        <v>13663.6</v>
      </c>
      <c r="G42" s="4">
        <v>14886.4</v>
      </c>
      <c r="H42" s="4">
        <v>11184.85</v>
      </c>
      <c r="I42" s="4">
        <v>61112.85</v>
      </c>
      <c r="J42" s="4">
        <v>113</v>
      </c>
      <c r="K42" s="4">
        <v>26238.29</v>
      </c>
      <c r="L42" s="4">
        <v>26351.29</v>
      </c>
      <c r="M42" s="4">
        <v>62615.69</v>
      </c>
    </row>
    <row r="43" spans="1:13" x14ac:dyDescent="0.75">
      <c r="A43">
        <v>40</v>
      </c>
      <c r="B43">
        <v>4727</v>
      </c>
      <c r="C43" t="s">
        <v>60</v>
      </c>
      <c r="D43" t="s">
        <v>15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32588.71</v>
      </c>
      <c r="K43" s="4">
        <v>8632.5300000000007</v>
      </c>
      <c r="L43" s="4">
        <v>41221.24</v>
      </c>
      <c r="M43" s="4">
        <v>41221.24</v>
      </c>
    </row>
    <row r="44" spans="1:13" x14ac:dyDescent="0.75">
      <c r="A44">
        <v>41</v>
      </c>
      <c r="B44">
        <v>4431</v>
      </c>
      <c r="C44" t="s">
        <v>61</v>
      </c>
      <c r="D44" t="s">
        <v>23</v>
      </c>
      <c r="E44" s="4">
        <v>33949.65</v>
      </c>
      <c r="F44" s="4">
        <v>1828.7</v>
      </c>
      <c r="G44" s="4">
        <v>6667.95</v>
      </c>
      <c r="H44" s="4">
        <v>25741.85</v>
      </c>
      <c r="I44" s="4">
        <v>68188.149999999994</v>
      </c>
      <c r="J44" s="4">
        <v>0</v>
      </c>
      <c r="K44" s="4">
        <v>0</v>
      </c>
      <c r="L44" s="4">
        <v>0</v>
      </c>
      <c r="M44" s="4">
        <v>40617.599999999999</v>
      </c>
    </row>
    <row r="45" spans="1:13" x14ac:dyDescent="0.75">
      <c r="A45">
        <v>42</v>
      </c>
      <c r="B45">
        <v>4400</v>
      </c>
      <c r="C45" t="s">
        <v>62</v>
      </c>
      <c r="D45" t="s">
        <v>23</v>
      </c>
      <c r="E45" s="4">
        <v>24855.1</v>
      </c>
      <c r="F45" s="4">
        <v>3485.1</v>
      </c>
      <c r="G45" s="4">
        <v>8914.9500000000007</v>
      </c>
      <c r="H45" s="4">
        <v>14532.65</v>
      </c>
      <c r="I45" s="4">
        <v>51787.8</v>
      </c>
      <c r="J45" s="4">
        <v>0</v>
      </c>
      <c r="K45" s="4">
        <v>0</v>
      </c>
      <c r="L45" s="4">
        <v>0</v>
      </c>
      <c r="M45" s="4">
        <v>33770.050000000003</v>
      </c>
    </row>
    <row r="46" spans="1:13" x14ac:dyDescent="0.75">
      <c r="A46">
        <v>43</v>
      </c>
      <c r="B46">
        <v>4824</v>
      </c>
      <c r="C46" t="s">
        <v>63</v>
      </c>
      <c r="D46" t="s">
        <v>32</v>
      </c>
      <c r="E46" s="4">
        <v>29342.35</v>
      </c>
      <c r="F46" s="4">
        <v>3649.3</v>
      </c>
      <c r="G46" s="4">
        <v>3677.6</v>
      </c>
      <c r="H46" s="4">
        <v>3821.65</v>
      </c>
      <c r="I46" s="4">
        <v>40490.9</v>
      </c>
      <c r="J46" s="4">
        <v>47.25</v>
      </c>
      <c r="K46" s="4">
        <v>0</v>
      </c>
      <c r="L46" s="4">
        <v>47.25</v>
      </c>
      <c r="M46" s="4">
        <v>33067.199999999997</v>
      </c>
    </row>
    <row r="47" spans="1:13" x14ac:dyDescent="0.75">
      <c r="A47">
        <v>44</v>
      </c>
      <c r="B47">
        <v>2441</v>
      </c>
      <c r="C47" t="s">
        <v>64</v>
      </c>
      <c r="D47" t="s">
        <v>18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26042.560000000001</v>
      </c>
      <c r="K47" s="4">
        <v>6366.53</v>
      </c>
      <c r="L47" s="4">
        <v>32409.09</v>
      </c>
      <c r="M47" s="4">
        <v>32409.09</v>
      </c>
    </row>
    <row r="48" spans="1:13" x14ac:dyDescent="0.75">
      <c r="A48">
        <v>45</v>
      </c>
      <c r="B48">
        <v>2417</v>
      </c>
      <c r="C48" t="s">
        <v>65</v>
      </c>
      <c r="D48" t="s">
        <v>10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18241.2</v>
      </c>
      <c r="K48" s="4">
        <v>10560.16</v>
      </c>
      <c r="L48" s="4">
        <v>28801.360000000001</v>
      </c>
      <c r="M48" s="4">
        <v>28801.360000000001</v>
      </c>
    </row>
    <row r="49" spans="1:13" x14ac:dyDescent="0.75">
      <c r="A49">
        <v>46</v>
      </c>
      <c r="B49">
        <v>4636</v>
      </c>
      <c r="C49" t="s">
        <v>66</v>
      </c>
      <c r="D49" t="s">
        <v>15</v>
      </c>
      <c r="E49" s="4">
        <v>0</v>
      </c>
      <c r="F49" s="4">
        <v>24604</v>
      </c>
      <c r="G49" s="4">
        <v>24438</v>
      </c>
      <c r="H49" s="4">
        <v>0</v>
      </c>
      <c r="I49" s="4">
        <v>49042</v>
      </c>
      <c r="J49" s="4">
        <v>524.41</v>
      </c>
      <c r="K49" s="4">
        <v>0</v>
      </c>
      <c r="L49" s="4">
        <v>524.41</v>
      </c>
      <c r="M49" s="4">
        <v>24962.41</v>
      </c>
    </row>
    <row r="50" spans="1:13" x14ac:dyDescent="0.75">
      <c r="A50">
        <v>47</v>
      </c>
      <c r="B50">
        <v>99</v>
      </c>
      <c r="C50" t="s">
        <v>67</v>
      </c>
      <c r="D50" t="s">
        <v>68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18654.48</v>
      </c>
      <c r="K50" s="4">
        <v>0</v>
      </c>
      <c r="L50" s="4">
        <v>18654.48</v>
      </c>
      <c r="M50" s="4">
        <v>18654.48</v>
      </c>
    </row>
    <row r="51" spans="1:13" x14ac:dyDescent="0.75">
      <c r="A51">
        <v>48</v>
      </c>
      <c r="B51">
        <v>4906</v>
      </c>
      <c r="C51" t="s">
        <v>69</v>
      </c>
      <c r="D51" t="s">
        <v>32</v>
      </c>
      <c r="E51" s="4">
        <v>10144.200000000001</v>
      </c>
      <c r="F51" s="4">
        <v>2533.1</v>
      </c>
      <c r="G51" s="4">
        <v>7542.35</v>
      </c>
      <c r="H51" s="4">
        <v>5116.8500000000004</v>
      </c>
      <c r="I51" s="4">
        <v>25336.5</v>
      </c>
      <c r="J51" s="4">
        <v>0</v>
      </c>
      <c r="K51" s="4">
        <v>296</v>
      </c>
      <c r="L51" s="4">
        <v>296</v>
      </c>
      <c r="M51" s="4">
        <v>17982.55</v>
      </c>
    </row>
    <row r="52" spans="1:13" x14ac:dyDescent="0.75">
      <c r="A52">
        <v>49</v>
      </c>
      <c r="B52">
        <v>5005</v>
      </c>
      <c r="C52" t="s">
        <v>70</v>
      </c>
      <c r="D52" t="s">
        <v>32</v>
      </c>
      <c r="E52" s="4">
        <v>8416.6</v>
      </c>
      <c r="F52" s="4">
        <v>672</v>
      </c>
      <c r="G52" s="4">
        <v>3391.95</v>
      </c>
      <c r="H52" s="4">
        <v>2560.85</v>
      </c>
      <c r="I52" s="4">
        <v>15041.4</v>
      </c>
      <c r="J52" s="4">
        <v>0</v>
      </c>
      <c r="K52" s="4">
        <v>0</v>
      </c>
      <c r="L52" s="4">
        <v>0</v>
      </c>
      <c r="M52" s="4">
        <v>11808.55</v>
      </c>
    </row>
    <row r="53" spans="1:13" x14ac:dyDescent="0.75">
      <c r="A53">
        <v>50</v>
      </c>
      <c r="B53">
        <v>4857</v>
      </c>
      <c r="C53" t="s">
        <v>71</v>
      </c>
      <c r="D53" t="s">
        <v>32</v>
      </c>
      <c r="E53" s="4">
        <v>8283.4500000000007</v>
      </c>
      <c r="F53" s="4">
        <v>1857.6</v>
      </c>
      <c r="G53" s="4">
        <v>1944.55</v>
      </c>
      <c r="H53" s="4">
        <v>3223.7</v>
      </c>
      <c r="I53" s="4">
        <v>15309.3</v>
      </c>
      <c r="J53" s="4">
        <v>0</v>
      </c>
      <c r="K53" s="4">
        <v>0</v>
      </c>
      <c r="L53" s="4">
        <v>0</v>
      </c>
      <c r="M53" s="4">
        <v>10228</v>
      </c>
    </row>
    <row r="54" spans="1:13" x14ac:dyDescent="0.75">
      <c r="A54">
        <v>51</v>
      </c>
      <c r="B54">
        <v>5003</v>
      </c>
      <c r="C54" t="s">
        <v>72</v>
      </c>
      <c r="D54" t="s">
        <v>32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33</v>
      </c>
      <c r="K54" s="4">
        <v>7181.04</v>
      </c>
      <c r="L54" s="4">
        <v>7214.04</v>
      </c>
      <c r="M54" s="4">
        <v>7214.04</v>
      </c>
    </row>
    <row r="55" spans="1:13" x14ac:dyDescent="0.75">
      <c r="A55">
        <v>52</v>
      </c>
      <c r="B55">
        <v>4799</v>
      </c>
      <c r="C55" t="s">
        <v>73</v>
      </c>
      <c r="D55" t="s">
        <v>32</v>
      </c>
      <c r="E55" s="4">
        <v>2018.3</v>
      </c>
      <c r="F55" s="4">
        <v>2322.25</v>
      </c>
      <c r="G55" s="4">
        <v>3501.05</v>
      </c>
      <c r="H55" s="4">
        <v>880.55</v>
      </c>
      <c r="I55" s="4">
        <v>8722.15</v>
      </c>
      <c r="J55" s="4">
        <v>0</v>
      </c>
      <c r="K55" s="4">
        <v>0</v>
      </c>
      <c r="L55" s="4">
        <v>0</v>
      </c>
      <c r="M55" s="4">
        <v>5519.35</v>
      </c>
    </row>
    <row r="56" spans="1:13" x14ac:dyDescent="0.75">
      <c r="A56">
        <v>53</v>
      </c>
      <c r="B56">
        <v>4916</v>
      </c>
      <c r="C56" t="s">
        <v>74</v>
      </c>
      <c r="D56" t="s">
        <v>32</v>
      </c>
      <c r="E56" s="4">
        <v>3826.45</v>
      </c>
      <c r="F56" s="4">
        <v>960.4</v>
      </c>
      <c r="G56" s="4">
        <v>694.3</v>
      </c>
      <c r="H56" s="4">
        <v>970</v>
      </c>
      <c r="I56" s="4">
        <v>6451.15</v>
      </c>
      <c r="J56" s="4">
        <v>0</v>
      </c>
      <c r="K56" s="4">
        <v>0</v>
      </c>
      <c r="L56" s="4">
        <v>0</v>
      </c>
      <c r="M56" s="4">
        <v>4520.75</v>
      </c>
    </row>
    <row r="57" spans="1:13" x14ac:dyDescent="0.75">
      <c r="A57">
        <v>54</v>
      </c>
      <c r="B57">
        <v>4798</v>
      </c>
      <c r="C57" t="s">
        <v>75</v>
      </c>
      <c r="D57" t="s">
        <v>32</v>
      </c>
      <c r="E57" s="4">
        <v>781.65</v>
      </c>
      <c r="F57" s="4">
        <v>102.5</v>
      </c>
      <c r="G57" s="4">
        <v>3657.2</v>
      </c>
      <c r="H57" s="4">
        <v>1629.45</v>
      </c>
      <c r="I57" s="4">
        <v>6170.8</v>
      </c>
      <c r="J57" s="4">
        <v>0</v>
      </c>
      <c r="K57" s="4">
        <v>0</v>
      </c>
      <c r="L57" s="4">
        <v>0</v>
      </c>
      <c r="M57" s="4">
        <v>4438.8500000000004</v>
      </c>
    </row>
    <row r="58" spans="1:13" x14ac:dyDescent="0.75">
      <c r="A58">
        <v>55</v>
      </c>
      <c r="B58">
        <v>4795</v>
      </c>
      <c r="C58" t="s">
        <v>76</v>
      </c>
      <c r="D58" t="s">
        <v>32</v>
      </c>
      <c r="E58" s="4">
        <v>2330.9</v>
      </c>
      <c r="F58" s="4">
        <v>341.45</v>
      </c>
      <c r="G58" s="4">
        <v>2049.4499999999998</v>
      </c>
      <c r="H58" s="4">
        <v>1352.05</v>
      </c>
      <c r="I58" s="4">
        <v>6073.85</v>
      </c>
      <c r="J58" s="4">
        <v>0</v>
      </c>
      <c r="K58" s="4">
        <v>0</v>
      </c>
      <c r="L58" s="4">
        <v>0</v>
      </c>
      <c r="M58" s="4">
        <v>4380.3500000000004</v>
      </c>
    </row>
    <row r="59" spans="1:13" x14ac:dyDescent="0.75">
      <c r="A59">
        <v>56</v>
      </c>
      <c r="B59">
        <v>4905</v>
      </c>
      <c r="C59" t="s">
        <v>77</v>
      </c>
      <c r="D59" t="s">
        <v>32</v>
      </c>
      <c r="E59" s="4">
        <v>284.5</v>
      </c>
      <c r="F59" s="4">
        <v>2189.5</v>
      </c>
      <c r="G59" s="4">
        <v>3072.4</v>
      </c>
      <c r="H59" s="4">
        <v>481.3</v>
      </c>
      <c r="I59" s="4">
        <v>6027.7</v>
      </c>
      <c r="J59" s="4">
        <v>0</v>
      </c>
      <c r="K59" s="4">
        <v>0</v>
      </c>
      <c r="L59" s="4">
        <v>0</v>
      </c>
      <c r="M59" s="4">
        <v>3356.9</v>
      </c>
    </row>
    <row r="60" spans="1:13" x14ac:dyDescent="0.75">
      <c r="A60">
        <v>57</v>
      </c>
      <c r="B60">
        <v>5004</v>
      </c>
      <c r="C60" t="s">
        <v>78</v>
      </c>
      <c r="D60" t="s">
        <v>32</v>
      </c>
      <c r="E60" s="4">
        <v>2498</v>
      </c>
      <c r="F60" s="4">
        <v>289.8</v>
      </c>
      <c r="G60" s="4">
        <v>513.65</v>
      </c>
      <c r="H60" s="4">
        <v>1684.95</v>
      </c>
      <c r="I60" s="4">
        <v>4986.3999999999996</v>
      </c>
      <c r="J60" s="4">
        <v>0</v>
      </c>
      <c r="K60" s="4">
        <v>0</v>
      </c>
      <c r="L60" s="4">
        <v>0</v>
      </c>
      <c r="M60" s="4">
        <v>3011.65</v>
      </c>
    </row>
    <row r="61" spans="1:13" x14ac:dyDescent="0.75">
      <c r="A61">
        <v>58</v>
      </c>
      <c r="B61">
        <v>4453</v>
      </c>
      <c r="C61" t="s">
        <v>79</v>
      </c>
      <c r="D61" t="s">
        <v>23</v>
      </c>
      <c r="E61" s="4">
        <v>2184.8000000000002</v>
      </c>
      <c r="F61" s="4">
        <v>235.75</v>
      </c>
      <c r="G61" s="4">
        <v>604.5</v>
      </c>
      <c r="H61" s="4">
        <v>1024.5</v>
      </c>
      <c r="I61" s="4">
        <v>4049.55</v>
      </c>
      <c r="J61" s="4">
        <v>0</v>
      </c>
      <c r="K61" s="4">
        <v>0</v>
      </c>
      <c r="L61" s="4">
        <v>0</v>
      </c>
      <c r="M61" s="4">
        <v>2789.3</v>
      </c>
    </row>
    <row r="62" spans="1:13" x14ac:dyDescent="0.75">
      <c r="A62">
        <v>59</v>
      </c>
      <c r="B62">
        <v>4875</v>
      </c>
      <c r="C62" t="s">
        <v>80</v>
      </c>
      <c r="D62" t="s">
        <v>32</v>
      </c>
      <c r="E62" s="4">
        <v>1670.8</v>
      </c>
      <c r="F62" s="4">
        <v>631.79999999999995</v>
      </c>
      <c r="G62" s="4">
        <v>724.1</v>
      </c>
      <c r="H62" s="4">
        <v>491.1</v>
      </c>
      <c r="I62" s="4">
        <v>3517.8</v>
      </c>
      <c r="J62" s="4">
        <v>0</v>
      </c>
      <c r="K62" s="4">
        <v>0</v>
      </c>
      <c r="L62" s="4">
        <v>0</v>
      </c>
      <c r="M62" s="4">
        <v>2394.9</v>
      </c>
    </row>
    <row r="63" spans="1:13" x14ac:dyDescent="0.75">
      <c r="A63">
        <v>60</v>
      </c>
      <c r="B63">
        <v>4904</v>
      </c>
      <c r="C63" t="s">
        <v>81</v>
      </c>
      <c r="D63" t="s">
        <v>32</v>
      </c>
      <c r="E63" s="4">
        <v>1383.65</v>
      </c>
      <c r="F63" s="4">
        <v>273.85000000000002</v>
      </c>
      <c r="G63" s="4">
        <v>570.75</v>
      </c>
      <c r="H63" s="4">
        <v>424.85</v>
      </c>
      <c r="I63" s="4">
        <v>2653.1</v>
      </c>
      <c r="J63" s="4">
        <v>0</v>
      </c>
      <c r="K63" s="4">
        <v>0</v>
      </c>
      <c r="L63" s="4">
        <v>0</v>
      </c>
      <c r="M63" s="4">
        <v>1954.4</v>
      </c>
    </row>
    <row r="64" spans="1:13" x14ac:dyDescent="0.75">
      <c r="A64">
        <v>61</v>
      </c>
      <c r="B64">
        <v>786</v>
      </c>
      <c r="C64" t="s">
        <v>82</v>
      </c>
      <c r="D64" t="s">
        <v>18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623.25</v>
      </c>
      <c r="K64" s="4">
        <v>1093.5</v>
      </c>
      <c r="L64" s="4">
        <v>1716.75</v>
      </c>
      <c r="M64" s="4">
        <v>1716.75</v>
      </c>
    </row>
    <row r="65" spans="1:13" x14ac:dyDescent="0.75">
      <c r="A65">
        <v>62</v>
      </c>
      <c r="B65">
        <v>4797</v>
      </c>
      <c r="C65" t="s">
        <v>83</v>
      </c>
      <c r="D65" t="s">
        <v>32</v>
      </c>
      <c r="E65" s="4">
        <v>1116.2</v>
      </c>
      <c r="F65" s="4">
        <v>274</v>
      </c>
      <c r="G65" s="4">
        <v>232.95</v>
      </c>
      <c r="H65" s="4">
        <v>319.95</v>
      </c>
      <c r="I65" s="4">
        <v>1943.1</v>
      </c>
      <c r="J65" s="4">
        <v>0</v>
      </c>
      <c r="K65" s="4">
        <v>0</v>
      </c>
      <c r="L65" s="4">
        <v>0</v>
      </c>
      <c r="M65" s="4">
        <v>1349.15</v>
      </c>
    </row>
    <row r="66" spans="1:13" x14ac:dyDescent="0.75">
      <c r="A66">
        <v>63</v>
      </c>
      <c r="B66">
        <v>4988</v>
      </c>
      <c r="C66" t="s">
        <v>84</v>
      </c>
      <c r="D66" t="s">
        <v>32</v>
      </c>
      <c r="E66" s="4">
        <v>991.55</v>
      </c>
      <c r="F66" s="4">
        <v>221.45</v>
      </c>
      <c r="G66" s="4">
        <v>66.8</v>
      </c>
      <c r="H66" s="4">
        <v>171.05</v>
      </c>
      <c r="I66" s="4">
        <v>1450.85</v>
      </c>
      <c r="J66" s="4">
        <v>0</v>
      </c>
      <c r="K66" s="4">
        <v>0</v>
      </c>
      <c r="L66" s="4">
        <v>0</v>
      </c>
      <c r="M66" s="4">
        <v>1058.3499999999999</v>
      </c>
    </row>
    <row r="67" spans="1:13" x14ac:dyDescent="0.75">
      <c r="A67">
        <v>64</v>
      </c>
      <c r="B67">
        <v>4816</v>
      </c>
      <c r="C67" t="s">
        <v>85</v>
      </c>
      <c r="D67" t="s">
        <v>32</v>
      </c>
      <c r="E67" s="4">
        <v>11.2</v>
      </c>
      <c r="F67" s="4">
        <v>482.4</v>
      </c>
      <c r="G67" s="4">
        <v>1025.05</v>
      </c>
      <c r="H67" s="4">
        <v>838.6</v>
      </c>
      <c r="I67" s="4">
        <v>2357.25</v>
      </c>
      <c r="J67" s="4">
        <v>0</v>
      </c>
      <c r="K67" s="4">
        <v>0</v>
      </c>
      <c r="L67" s="4">
        <v>0</v>
      </c>
      <c r="M67" s="4">
        <v>1036.25</v>
      </c>
    </row>
    <row r="68" spans="1:13" x14ac:dyDescent="0.75">
      <c r="A68">
        <v>65</v>
      </c>
      <c r="B68">
        <v>3217</v>
      </c>
      <c r="C68" t="s">
        <v>86</v>
      </c>
      <c r="D68" t="s">
        <v>87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976.01</v>
      </c>
      <c r="K68" s="4">
        <v>0</v>
      </c>
      <c r="L68" s="4">
        <v>976.01</v>
      </c>
      <c r="M68" s="4">
        <v>976.01</v>
      </c>
    </row>
    <row r="69" spans="1:13" x14ac:dyDescent="0.75">
      <c r="A69">
        <v>66</v>
      </c>
      <c r="B69">
        <v>4415</v>
      </c>
      <c r="C69" t="s">
        <v>88</v>
      </c>
      <c r="D69" t="s">
        <v>23</v>
      </c>
      <c r="E69" s="4">
        <v>709.7</v>
      </c>
      <c r="F69" s="4">
        <v>86.25</v>
      </c>
      <c r="G69" s="4">
        <v>150.65</v>
      </c>
      <c r="H69" s="4">
        <v>347.2</v>
      </c>
      <c r="I69" s="4">
        <v>1293.8</v>
      </c>
      <c r="J69" s="4">
        <v>0</v>
      </c>
      <c r="K69" s="4">
        <v>0</v>
      </c>
      <c r="L69" s="4">
        <v>0</v>
      </c>
      <c r="M69" s="4">
        <v>860.35</v>
      </c>
    </row>
    <row r="70" spans="1:13" x14ac:dyDescent="0.75">
      <c r="A70">
        <v>67</v>
      </c>
      <c r="B70">
        <v>4707</v>
      </c>
      <c r="C70" t="s">
        <v>89</v>
      </c>
      <c r="D70" t="s">
        <v>15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774.98</v>
      </c>
      <c r="K70" s="4">
        <v>0</v>
      </c>
      <c r="L70" s="4">
        <v>774.98</v>
      </c>
      <c r="M70" s="4">
        <v>774.98</v>
      </c>
    </row>
    <row r="71" spans="1:13" x14ac:dyDescent="0.75">
      <c r="A71">
        <v>68</v>
      </c>
      <c r="B71">
        <v>2160</v>
      </c>
      <c r="C71" t="s">
        <v>90</v>
      </c>
      <c r="D71" t="s">
        <v>18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533.19000000000005</v>
      </c>
      <c r="K71" s="4">
        <v>237.25</v>
      </c>
      <c r="L71" s="4">
        <v>770.44</v>
      </c>
      <c r="M71" s="4">
        <v>770.44</v>
      </c>
    </row>
    <row r="72" spans="1:13" x14ac:dyDescent="0.75">
      <c r="A72">
        <v>69</v>
      </c>
      <c r="B72">
        <v>4335</v>
      </c>
      <c r="C72" t="s">
        <v>91</v>
      </c>
      <c r="D72" t="s">
        <v>1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86.04</v>
      </c>
      <c r="K72" s="4">
        <v>603.03</v>
      </c>
      <c r="L72" s="4">
        <v>689.07</v>
      </c>
      <c r="M72" s="4">
        <v>689.07</v>
      </c>
    </row>
    <row r="73" spans="1:13" x14ac:dyDescent="0.75">
      <c r="A73">
        <v>70</v>
      </c>
      <c r="B73">
        <v>4736</v>
      </c>
      <c r="C73" t="s">
        <v>92</v>
      </c>
      <c r="D73" t="s">
        <v>15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606.39</v>
      </c>
      <c r="K73" s="4">
        <v>0</v>
      </c>
      <c r="L73" s="4">
        <v>606.39</v>
      </c>
      <c r="M73" s="4">
        <v>606.39</v>
      </c>
    </row>
    <row r="74" spans="1:13" x14ac:dyDescent="0.75">
      <c r="A74">
        <v>71</v>
      </c>
      <c r="B74">
        <v>2436</v>
      </c>
      <c r="C74" t="s">
        <v>93</v>
      </c>
      <c r="D74" t="s">
        <v>10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593.98</v>
      </c>
      <c r="K74" s="4">
        <v>0</v>
      </c>
      <c r="L74" s="4">
        <v>593.98</v>
      </c>
      <c r="M74" s="4">
        <v>593.98</v>
      </c>
    </row>
    <row r="75" spans="1:13" x14ac:dyDescent="0.75">
      <c r="A75">
        <v>72</v>
      </c>
      <c r="B75">
        <v>2428</v>
      </c>
      <c r="C75" t="s">
        <v>94</v>
      </c>
      <c r="D75" t="s">
        <v>10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373.74</v>
      </c>
      <c r="K75" s="4">
        <v>202.52</v>
      </c>
      <c r="L75" s="4">
        <v>576.26</v>
      </c>
      <c r="M75" s="4">
        <v>576.26</v>
      </c>
    </row>
    <row r="76" spans="1:13" x14ac:dyDescent="0.75">
      <c r="A76">
        <v>73</v>
      </c>
      <c r="B76">
        <v>4998</v>
      </c>
      <c r="C76" t="s">
        <v>95</v>
      </c>
      <c r="D76" t="s">
        <v>32</v>
      </c>
      <c r="E76" s="4">
        <v>129.6</v>
      </c>
      <c r="F76" s="4">
        <v>37.200000000000003</v>
      </c>
      <c r="G76" s="4">
        <v>166.15</v>
      </c>
      <c r="H76" s="4">
        <v>816.6</v>
      </c>
      <c r="I76" s="4">
        <v>1149.55</v>
      </c>
      <c r="J76" s="4">
        <v>192</v>
      </c>
      <c r="K76" s="4">
        <v>0</v>
      </c>
      <c r="L76" s="4">
        <v>192</v>
      </c>
      <c r="M76" s="4">
        <v>487.75</v>
      </c>
    </row>
    <row r="77" spans="1:13" x14ac:dyDescent="0.75">
      <c r="A77">
        <v>74</v>
      </c>
      <c r="B77">
        <v>5001</v>
      </c>
      <c r="C77" t="s">
        <v>96</v>
      </c>
      <c r="D77" t="s">
        <v>32</v>
      </c>
      <c r="E77" s="4">
        <v>123</v>
      </c>
      <c r="F77" s="4">
        <v>0</v>
      </c>
      <c r="G77" s="4">
        <v>179</v>
      </c>
      <c r="H77" s="4">
        <v>0</v>
      </c>
      <c r="I77" s="4">
        <v>302</v>
      </c>
      <c r="J77" s="4">
        <v>0</v>
      </c>
      <c r="K77" s="4">
        <v>0</v>
      </c>
      <c r="L77" s="4">
        <v>0</v>
      </c>
      <c r="M77" s="4">
        <v>302</v>
      </c>
    </row>
    <row r="78" spans="1:13" x14ac:dyDescent="0.75">
      <c r="A78">
        <v>75</v>
      </c>
      <c r="B78">
        <v>4986</v>
      </c>
      <c r="C78" t="s">
        <v>97</v>
      </c>
      <c r="D78" t="s">
        <v>32</v>
      </c>
      <c r="E78" s="4">
        <v>117.6</v>
      </c>
      <c r="F78" s="4">
        <v>12.8</v>
      </c>
      <c r="G78" s="4">
        <v>181.8</v>
      </c>
      <c r="H78" s="4">
        <v>101.25</v>
      </c>
      <c r="I78" s="4">
        <v>413.45</v>
      </c>
      <c r="J78" s="4">
        <v>0</v>
      </c>
      <c r="K78" s="4">
        <v>0</v>
      </c>
      <c r="L78" s="4">
        <v>0</v>
      </c>
      <c r="M78" s="4">
        <v>299.39999999999998</v>
      </c>
    </row>
    <row r="79" spans="1:13" x14ac:dyDescent="0.75">
      <c r="A79">
        <v>76</v>
      </c>
      <c r="B79">
        <v>4622</v>
      </c>
      <c r="C79" t="s">
        <v>98</v>
      </c>
      <c r="D79" t="s">
        <v>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273</v>
      </c>
      <c r="K79" s="4">
        <v>0</v>
      </c>
      <c r="L79" s="4">
        <v>273</v>
      </c>
      <c r="M79" s="4">
        <v>273</v>
      </c>
    </row>
    <row r="80" spans="1:13" x14ac:dyDescent="0.75">
      <c r="A80">
        <v>77</v>
      </c>
      <c r="B80">
        <v>1991</v>
      </c>
      <c r="C80" t="s">
        <v>99</v>
      </c>
      <c r="D80" t="s">
        <v>18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211.01</v>
      </c>
      <c r="K80" s="4">
        <v>0</v>
      </c>
      <c r="L80" s="4">
        <v>211.01</v>
      </c>
      <c r="M80" s="4">
        <v>211.01</v>
      </c>
    </row>
    <row r="81" spans="1:13" x14ac:dyDescent="0.75">
      <c r="A81">
        <v>78</v>
      </c>
      <c r="B81">
        <v>4878</v>
      </c>
      <c r="C81" t="s">
        <v>100</v>
      </c>
      <c r="D81" t="s">
        <v>32</v>
      </c>
      <c r="E81" s="4">
        <v>1</v>
      </c>
      <c r="F81" s="4">
        <v>780.9</v>
      </c>
      <c r="G81" s="4">
        <v>140.4</v>
      </c>
      <c r="H81" s="4">
        <v>591.5</v>
      </c>
      <c r="I81" s="4">
        <v>1513.8</v>
      </c>
      <c r="J81" s="4">
        <v>0</v>
      </c>
      <c r="K81" s="4">
        <v>0</v>
      </c>
      <c r="L81" s="4">
        <v>0</v>
      </c>
      <c r="M81" s="4">
        <v>141.4</v>
      </c>
    </row>
    <row r="82" spans="1:13" x14ac:dyDescent="0.75">
      <c r="A82">
        <v>79</v>
      </c>
      <c r="B82">
        <v>77</v>
      </c>
      <c r="C82" t="s">
        <v>101</v>
      </c>
      <c r="D82" t="s">
        <v>68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101</v>
      </c>
      <c r="K82" s="4">
        <v>0</v>
      </c>
      <c r="L82" s="4">
        <v>101</v>
      </c>
      <c r="M82" s="4">
        <v>101</v>
      </c>
    </row>
    <row r="83" spans="1:13" x14ac:dyDescent="0.75">
      <c r="A83">
        <v>80</v>
      </c>
      <c r="B83">
        <v>2416</v>
      </c>
      <c r="C83" t="s">
        <v>102</v>
      </c>
      <c r="D83" t="s">
        <v>10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84.88</v>
      </c>
      <c r="K83" s="4">
        <v>0.99</v>
      </c>
      <c r="L83" s="4">
        <v>85.87</v>
      </c>
      <c r="M83" s="4">
        <v>85.87</v>
      </c>
    </row>
    <row r="84" spans="1:13" x14ac:dyDescent="0.75">
      <c r="A84">
        <v>81</v>
      </c>
      <c r="B84">
        <v>4977</v>
      </c>
      <c r="C84" t="s">
        <v>103</v>
      </c>
      <c r="D84" t="s">
        <v>32</v>
      </c>
      <c r="E84" s="4">
        <v>32.4</v>
      </c>
      <c r="F84" s="4">
        <v>6.6</v>
      </c>
      <c r="G84" s="4">
        <v>44</v>
      </c>
      <c r="H84" s="4">
        <v>18.2</v>
      </c>
      <c r="I84" s="4">
        <v>101.2</v>
      </c>
      <c r="J84" s="4">
        <v>0</v>
      </c>
      <c r="K84" s="4">
        <v>0</v>
      </c>
      <c r="L84" s="4">
        <v>0</v>
      </c>
      <c r="M84" s="4">
        <v>76.400000000000006</v>
      </c>
    </row>
    <row r="85" spans="1:13" x14ac:dyDescent="0.75">
      <c r="A85">
        <v>82</v>
      </c>
      <c r="B85">
        <v>232</v>
      </c>
      <c r="C85" t="s">
        <v>104</v>
      </c>
      <c r="D85" t="s">
        <v>43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73.55</v>
      </c>
      <c r="K85" s="4">
        <v>0</v>
      </c>
      <c r="L85" s="4">
        <v>73.55</v>
      </c>
      <c r="M85" s="4">
        <v>73.55</v>
      </c>
    </row>
    <row r="86" spans="1:13" x14ac:dyDescent="0.75">
      <c r="A86">
        <v>83</v>
      </c>
      <c r="B86">
        <v>4981</v>
      </c>
      <c r="C86" t="s">
        <v>105</v>
      </c>
      <c r="D86" t="s">
        <v>32</v>
      </c>
      <c r="E86" s="4">
        <v>66</v>
      </c>
      <c r="F86" s="4">
        <v>0</v>
      </c>
      <c r="G86" s="4">
        <v>6.4</v>
      </c>
      <c r="H86" s="4">
        <v>86.2</v>
      </c>
      <c r="I86" s="4">
        <v>158.6</v>
      </c>
      <c r="J86" s="4">
        <v>0</v>
      </c>
      <c r="K86" s="4">
        <v>0</v>
      </c>
      <c r="L86" s="4">
        <v>0</v>
      </c>
      <c r="M86" s="4">
        <v>72.400000000000006</v>
      </c>
    </row>
    <row r="87" spans="1:13" x14ac:dyDescent="0.75">
      <c r="A87">
        <v>84</v>
      </c>
      <c r="B87">
        <v>2253</v>
      </c>
      <c r="C87" t="s">
        <v>106</v>
      </c>
      <c r="D87" t="s">
        <v>34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20.5</v>
      </c>
      <c r="K87" s="4">
        <v>31.04</v>
      </c>
      <c r="L87" s="4">
        <v>51.54</v>
      </c>
      <c r="M87" s="4">
        <v>51.54</v>
      </c>
    </row>
    <row r="88" spans="1:13" x14ac:dyDescent="0.75">
      <c r="A88">
        <v>85</v>
      </c>
      <c r="B88">
        <v>3778</v>
      </c>
      <c r="C88" t="s">
        <v>107</v>
      </c>
      <c r="D88" t="s">
        <v>108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35.049999999999997</v>
      </c>
      <c r="K88" s="4">
        <v>0</v>
      </c>
      <c r="L88" s="4">
        <v>35.049999999999997</v>
      </c>
      <c r="M88" s="4">
        <v>35.049999999999997</v>
      </c>
    </row>
    <row r="89" spans="1:13" x14ac:dyDescent="0.75">
      <c r="A89">
        <v>86</v>
      </c>
      <c r="B89">
        <v>1910</v>
      </c>
      <c r="C89" t="s">
        <v>109</v>
      </c>
      <c r="D89" t="s">
        <v>34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32</v>
      </c>
      <c r="K89" s="4">
        <v>0</v>
      </c>
      <c r="L89" s="4">
        <v>32</v>
      </c>
      <c r="M89" s="4">
        <v>32</v>
      </c>
    </row>
    <row r="90" spans="1:13" x14ac:dyDescent="0.75">
      <c r="A90">
        <v>87</v>
      </c>
      <c r="B90">
        <v>759</v>
      </c>
      <c r="C90" t="s">
        <v>110</v>
      </c>
      <c r="D90" t="s">
        <v>36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20</v>
      </c>
      <c r="K90" s="4">
        <v>11</v>
      </c>
      <c r="L90" s="4">
        <v>31</v>
      </c>
      <c r="M90" s="4">
        <v>31</v>
      </c>
    </row>
    <row r="91" spans="1:13" x14ac:dyDescent="0.75">
      <c r="A91">
        <v>88</v>
      </c>
      <c r="B91">
        <v>3924</v>
      </c>
      <c r="C91" t="s">
        <v>111</v>
      </c>
      <c r="D91" t="s">
        <v>108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29.95</v>
      </c>
      <c r="K91" s="4">
        <v>0</v>
      </c>
      <c r="L91" s="4">
        <v>29.95</v>
      </c>
      <c r="M91" s="4">
        <v>29.95</v>
      </c>
    </row>
    <row r="92" spans="1:13" x14ac:dyDescent="0.75">
      <c r="A92">
        <v>89</v>
      </c>
      <c r="B92">
        <v>4973</v>
      </c>
      <c r="C92" t="s">
        <v>112</v>
      </c>
      <c r="D92" t="s">
        <v>32</v>
      </c>
      <c r="E92" s="4">
        <v>0</v>
      </c>
      <c r="F92" s="4">
        <v>0</v>
      </c>
      <c r="G92" s="4">
        <v>27.8</v>
      </c>
      <c r="H92" s="4">
        <v>9</v>
      </c>
      <c r="I92" s="4">
        <v>36.799999999999997</v>
      </c>
      <c r="J92" s="4">
        <v>0</v>
      </c>
      <c r="K92" s="4">
        <v>0</v>
      </c>
      <c r="L92" s="4">
        <v>0</v>
      </c>
      <c r="M92" s="4">
        <v>27.8</v>
      </c>
    </row>
    <row r="93" spans="1:13" x14ac:dyDescent="0.75">
      <c r="A93">
        <v>90</v>
      </c>
      <c r="B93">
        <v>4270</v>
      </c>
      <c r="C93" t="s">
        <v>113</v>
      </c>
      <c r="D93" t="s">
        <v>1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24</v>
      </c>
      <c r="K93" s="4">
        <v>0</v>
      </c>
      <c r="L93" s="4">
        <v>24</v>
      </c>
      <c r="M93" s="4">
        <v>24</v>
      </c>
    </row>
    <row r="94" spans="1:13" x14ac:dyDescent="0.75">
      <c r="A94">
        <v>91</v>
      </c>
      <c r="B94">
        <v>4926</v>
      </c>
      <c r="C94" t="s">
        <v>114</v>
      </c>
      <c r="D94" t="s">
        <v>32</v>
      </c>
      <c r="E94" s="4">
        <v>23.2</v>
      </c>
      <c r="F94" s="4">
        <v>12.8</v>
      </c>
      <c r="G94" s="4">
        <v>0</v>
      </c>
      <c r="H94" s="4">
        <v>34</v>
      </c>
      <c r="I94" s="4">
        <v>70</v>
      </c>
      <c r="J94" s="4">
        <v>0</v>
      </c>
      <c r="K94" s="4">
        <v>0</v>
      </c>
      <c r="L94" s="4">
        <v>0</v>
      </c>
      <c r="M94" s="4">
        <v>23.2</v>
      </c>
    </row>
    <row r="95" spans="1:13" x14ac:dyDescent="0.75">
      <c r="A95">
        <v>92</v>
      </c>
      <c r="B95">
        <v>4993</v>
      </c>
      <c r="C95" t="s">
        <v>115</v>
      </c>
      <c r="D95" t="s">
        <v>32</v>
      </c>
      <c r="E95" s="4">
        <v>22.6</v>
      </c>
      <c r="F95" s="4">
        <v>2</v>
      </c>
      <c r="G95" s="4">
        <v>0</v>
      </c>
      <c r="H95" s="4">
        <v>0</v>
      </c>
      <c r="I95" s="4">
        <v>24.6</v>
      </c>
      <c r="J95" s="4">
        <v>0</v>
      </c>
      <c r="K95" s="4">
        <v>0</v>
      </c>
      <c r="L95" s="4">
        <v>0</v>
      </c>
      <c r="M95" s="4">
        <v>22.6</v>
      </c>
    </row>
    <row r="96" spans="1:13" x14ac:dyDescent="0.75">
      <c r="A96">
        <v>93</v>
      </c>
      <c r="B96">
        <v>2393</v>
      </c>
      <c r="C96" t="s">
        <v>116</v>
      </c>
      <c r="D96" t="s">
        <v>10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14</v>
      </c>
      <c r="K96" s="4">
        <v>8</v>
      </c>
      <c r="L96" s="4">
        <v>22</v>
      </c>
      <c r="M96" s="4">
        <v>22</v>
      </c>
    </row>
    <row r="97" spans="1:13" x14ac:dyDescent="0.75">
      <c r="A97">
        <v>94</v>
      </c>
      <c r="B97">
        <v>3635</v>
      </c>
      <c r="C97" t="s">
        <v>117</v>
      </c>
      <c r="D97" t="s">
        <v>118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19.22</v>
      </c>
      <c r="K97" s="4">
        <v>0</v>
      </c>
      <c r="L97" s="4">
        <v>19.22</v>
      </c>
      <c r="M97" s="4">
        <v>19.22</v>
      </c>
    </row>
    <row r="98" spans="1:13" x14ac:dyDescent="0.75">
      <c r="A98">
        <v>95</v>
      </c>
      <c r="B98">
        <v>4351</v>
      </c>
      <c r="C98" t="s">
        <v>119</v>
      </c>
      <c r="D98" t="s">
        <v>1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16</v>
      </c>
      <c r="K98" s="4">
        <v>0</v>
      </c>
      <c r="L98" s="4">
        <v>16</v>
      </c>
      <c r="M98" s="4">
        <v>16</v>
      </c>
    </row>
    <row r="99" spans="1:13" x14ac:dyDescent="0.75">
      <c r="A99">
        <v>96</v>
      </c>
      <c r="B99">
        <v>4458</v>
      </c>
      <c r="C99" t="s">
        <v>120</v>
      </c>
      <c r="D99" t="s">
        <v>23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12.25</v>
      </c>
      <c r="K99" s="4">
        <v>0</v>
      </c>
      <c r="L99" s="4">
        <v>12.25</v>
      </c>
      <c r="M99" s="4">
        <v>12.25</v>
      </c>
    </row>
    <row r="100" spans="1:13" x14ac:dyDescent="0.75">
      <c r="A100">
        <v>97</v>
      </c>
      <c r="B100">
        <v>2255</v>
      </c>
      <c r="C100" t="s">
        <v>121</v>
      </c>
      <c r="D100" t="s">
        <v>34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</v>
      </c>
      <c r="K100" s="4">
        <v>0</v>
      </c>
      <c r="L100" s="4">
        <v>10</v>
      </c>
      <c r="M100" s="4">
        <v>10</v>
      </c>
    </row>
    <row r="101" spans="1:13" x14ac:dyDescent="0.75">
      <c r="A101">
        <v>98</v>
      </c>
      <c r="B101">
        <v>783</v>
      </c>
      <c r="C101" t="s">
        <v>122</v>
      </c>
      <c r="D101" t="s">
        <v>6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9.26</v>
      </c>
      <c r="K101" s="4">
        <v>0</v>
      </c>
      <c r="L101" s="4">
        <v>9.26</v>
      </c>
      <c r="M101" s="4">
        <v>9.26</v>
      </c>
    </row>
    <row r="102" spans="1:13" x14ac:dyDescent="0.75">
      <c r="A102">
        <v>99</v>
      </c>
      <c r="B102">
        <v>2248</v>
      </c>
      <c r="C102" t="s">
        <v>123</v>
      </c>
      <c r="D102" t="s">
        <v>34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9.25</v>
      </c>
      <c r="K102" s="4">
        <v>0</v>
      </c>
      <c r="L102" s="4">
        <v>9.25</v>
      </c>
      <c r="M102" s="4">
        <v>9.25</v>
      </c>
    </row>
    <row r="103" spans="1:13" x14ac:dyDescent="0.75">
      <c r="A103">
        <v>100</v>
      </c>
      <c r="B103">
        <v>3629</v>
      </c>
      <c r="C103" t="s">
        <v>124</v>
      </c>
      <c r="D103" t="s">
        <v>118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7.01</v>
      </c>
      <c r="K103" s="4">
        <v>0</v>
      </c>
      <c r="L103" s="4">
        <v>7.01</v>
      </c>
      <c r="M103" s="4">
        <v>7.01</v>
      </c>
    </row>
    <row r="104" spans="1:13" x14ac:dyDescent="0.75">
      <c r="A104">
        <v>101</v>
      </c>
      <c r="B104">
        <v>737</v>
      </c>
      <c r="C104" t="s">
        <v>125</v>
      </c>
      <c r="D104" t="s">
        <v>8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7</v>
      </c>
      <c r="K104" s="4">
        <v>0</v>
      </c>
      <c r="L104" s="4">
        <v>7</v>
      </c>
      <c r="M104" s="4">
        <v>7</v>
      </c>
    </row>
    <row r="105" spans="1:13" x14ac:dyDescent="0.75">
      <c r="A105">
        <v>102</v>
      </c>
      <c r="B105">
        <v>203</v>
      </c>
      <c r="C105" t="s">
        <v>126</v>
      </c>
      <c r="D105" t="s">
        <v>127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7</v>
      </c>
      <c r="K105" s="4">
        <v>0</v>
      </c>
      <c r="L105" s="4">
        <v>7</v>
      </c>
      <c r="M105" s="4">
        <v>7</v>
      </c>
    </row>
    <row r="106" spans="1:13" x14ac:dyDescent="0.75">
      <c r="A106">
        <v>103</v>
      </c>
      <c r="B106">
        <v>3749</v>
      </c>
      <c r="C106" t="s">
        <v>128</v>
      </c>
      <c r="D106" t="s">
        <v>129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5.75</v>
      </c>
      <c r="K106" s="4">
        <v>0</v>
      </c>
      <c r="L106" s="4">
        <v>5.75</v>
      </c>
      <c r="M106" s="4">
        <v>5.75</v>
      </c>
    </row>
    <row r="107" spans="1:13" x14ac:dyDescent="0.75">
      <c r="A107">
        <v>104</v>
      </c>
      <c r="B107">
        <v>4374</v>
      </c>
      <c r="C107" t="s">
        <v>130</v>
      </c>
      <c r="D107" t="s">
        <v>1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4</v>
      </c>
      <c r="K107" s="4">
        <v>0</v>
      </c>
      <c r="L107" s="4">
        <v>4</v>
      </c>
      <c r="M107" s="4">
        <v>4</v>
      </c>
    </row>
    <row r="108" spans="1:13" x14ac:dyDescent="0.75">
      <c r="A108">
        <v>105</v>
      </c>
      <c r="B108">
        <v>3756</v>
      </c>
      <c r="C108" t="s">
        <v>131</v>
      </c>
      <c r="D108" t="s">
        <v>108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3.5</v>
      </c>
      <c r="K108" s="4">
        <v>0</v>
      </c>
      <c r="L108" s="4">
        <v>3.5</v>
      </c>
      <c r="M108" s="4">
        <v>3.5</v>
      </c>
    </row>
    <row r="109" spans="1:13" x14ac:dyDescent="0.75">
      <c r="A109">
        <v>106</v>
      </c>
      <c r="B109">
        <v>2220</v>
      </c>
      <c r="C109" t="s">
        <v>132</v>
      </c>
      <c r="D109" t="s">
        <v>21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2</v>
      </c>
      <c r="K109" s="4">
        <v>0</v>
      </c>
      <c r="L109" s="4">
        <v>2</v>
      </c>
      <c r="M109" s="4">
        <v>2</v>
      </c>
    </row>
    <row r="110" spans="1:13" x14ac:dyDescent="0.75">
      <c r="A110">
        <v>107</v>
      </c>
      <c r="B110">
        <v>3105</v>
      </c>
      <c r="C110" t="s">
        <v>133</v>
      </c>
      <c r="D110" t="s">
        <v>134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2</v>
      </c>
      <c r="K110" s="4">
        <v>0</v>
      </c>
      <c r="L110" s="4">
        <v>2</v>
      </c>
      <c r="M110" s="4">
        <v>2</v>
      </c>
    </row>
    <row r="111" spans="1:13" x14ac:dyDescent="0.75">
      <c r="A111">
        <v>108</v>
      </c>
      <c r="B111">
        <v>4659</v>
      </c>
      <c r="C111" t="s">
        <v>135</v>
      </c>
      <c r="D111" t="s">
        <v>54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2</v>
      </c>
      <c r="K111" s="4">
        <v>0</v>
      </c>
      <c r="L111" s="4">
        <v>2</v>
      </c>
      <c r="M111" s="4">
        <v>2</v>
      </c>
    </row>
    <row r="112" spans="1:13" x14ac:dyDescent="0.75">
      <c r="A112">
        <v>109</v>
      </c>
      <c r="B112">
        <v>505</v>
      </c>
      <c r="C112" t="s">
        <v>136</v>
      </c>
      <c r="D112" t="s">
        <v>134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2</v>
      </c>
      <c r="K112" s="4">
        <v>0</v>
      </c>
      <c r="L112" s="4">
        <v>2</v>
      </c>
      <c r="M112" s="4">
        <v>2</v>
      </c>
    </row>
    <row r="113" spans="1:13" x14ac:dyDescent="0.75">
      <c r="A113">
        <v>110</v>
      </c>
      <c r="B113">
        <v>4730</v>
      </c>
      <c r="C113" t="s">
        <v>137</v>
      </c>
      <c r="D113" t="s">
        <v>15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2</v>
      </c>
      <c r="K113" s="4">
        <v>0</v>
      </c>
      <c r="L113" s="4">
        <v>2</v>
      </c>
      <c r="M113" s="4">
        <v>2</v>
      </c>
    </row>
    <row r="114" spans="1:13" x14ac:dyDescent="0.75">
      <c r="A114">
        <v>111</v>
      </c>
      <c r="B114">
        <v>3321</v>
      </c>
      <c r="C114" t="s">
        <v>138</v>
      </c>
      <c r="D114" t="s">
        <v>118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1.76</v>
      </c>
      <c r="K114" s="4">
        <v>0</v>
      </c>
      <c r="L114" s="4">
        <v>1.76</v>
      </c>
      <c r="M114" s="4">
        <v>1.76</v>
      </c>
    </row>
    <row r="115" spans="1:13" x14ac:dyDescent="0.75">
      <c r="A115">
        <v>112</v>
      </c>
      <c r="B115">
        <v>2420</v>
      </c>
      <c r="C115" t="s">
        <v>139</v>
      </c>
      <c r="D115" t="s">
        <v>10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1.75</v>
      </c>
      <c r="K115" s="4">
        <v>0</v>
      </c>
      <c r="L115" s="4">
        <v>1.75</v>
      </c>
      <c r="M115" s="4">
        <v>1.75</v>
      </c>
    </row>
    <row r="116" spans="1:13" x14ac:dyDescent="0.75">
      <c r="A116">
        <v>113</v>
      </c>
      <c r="B116">
        <v>324</v>
      </c>
      <c r="C116" t="s">
        <v>140</v>
      </c>
      <c r="D116" t="s">
        <v>127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1.75</v>
      </c>
      <c r="L116" s="4">
        <v>1.75</v>
      </c>
      <c r="M116" s="4">
        <v>1.75</v>
      </c>
    </row>
    <row r="117" spans="1:13" x14ac:dyDescent="0.75">
      <c r="A117">
        <v>114</v>
      </c>
      <c r="B117">
        <v>1995</v>
      </c>
      <c r="C117" t="s">
        <v>141</v>
      </c>
      <c r="D117" t="s">
        <v>46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1.75</v>
      </c>
      <c r="K117" s="4">
        <v>0</v>
      </c>
      <c r="L117" s="4">
        <v>1.75</v>
      </c>
      <c r="M117" s="4">
        <v>1.75</v>
      </c>
    </row>
    <row r="118" spans="1:13" x14ac:dyDescent="0.75">
      <c r="A118">
        <v>115</v>
      </c>
      <c r="B118">
        <v>2151</v>
      </c>
      <c r="C118" t="s">
        <v>142</v>
      </c>
      <c r="D118" t="s">
        <v>21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1.75</v>
      </c>
      <c r="K118" s="4">
        <v>0</v>
      </c>
      <c r="L118" s="4">
        <v>1.75</v>
      </c>
      <c r="M118" s="4">
        <v>1.75</v>
      </c>
    </row>
    <row r="119" spans="1:13" x14ac:dyDescent="0.75">
      <c r="A119">
        <v>116</v>
      </c>
      <c r="B119">
        <v>3516</v>
      </c>
      <c r="C119" t="s">
        <v>143</v>
      </c>
      <c r="D119" t="s">
        <v>118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1.75</v>
      </c>
      <c r="K119" s="4">
        <v>0</v>
      </c>
      <c r="L119" s="4">
        <v>1.75</v>
      </c>
      <c r="M119" s="4">
        <v>1.75</v>
      </c>
    </row>
    <row r="120" spans="1:13" x14ac:dyDescent="0.75">
      <c r="A120">
        <v>117</v>
      </c>
      <c r="B120">
        <v>3230</v>
      </c>
      <c r="C120" t="s">
        <v>144</v>
      </c>
      <c r="D120" t="s">
        <v>134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</v>
      </c>
      <c r="L120" s="4">
        <v>1</v>
      </c>
      <c r="M120" s="4">
        <v>1</v>
      </c>
    </row>
    <row r="121" spans="1:13" x14ac:dyDescent="0.75">
      <c r="A121">
        <v>118</v>
      </c>
      <c r="B121">
        <v>4830</v>
      </c>
      <c r="C121" t="s">
        <v>145</v>
      </c>
      <c r="D121" t="s">
        <v>32</v>
      </c>
      <c r="E121" s="4">
        <v>0</v>
      </c>
      <c r="F121" s="4">
        <v>0</v>
      </c>
      <c r="G121" s="4">
        <v>0</v>
      </c>
      <c r="H121" s="4">
        <v>27</v>
      </c>
      <c r="I121" s="4">
        <v>27</v>
      </c>
      <c r="J121" s="4">
        <v>0</v>
      </c>
      <c r="K121" s="4">
        <v>0</v>
      </c>
      <c r="L121" s="4">
        <v>0</v>
      </c>
      <c r="M121" s="4">
        <v>0</v>
      </c>
    </row>
  </sheetData>
  <mergeCells count="2">
    <mergeCell ref="E1:I1"/>
    <mergeCell ref="J1:L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A5B0-8BDB-48EB-A368-E2B4E0E7CF33}">
  <sheetPr filterMode="1"/>
  <dimension ref="A1:F795"/>
  <sheetViews>
    <sheetView tabSelected="1" workbookViewId="0">
      <selection activeCell="B10" sqref="B10"/>
    </sheetView>
  </sheetViews>
  <sheetFormatPr defaultRowHeight="14.75" x14ac:dyDescent="0.75"/>
  <cols>
    <col min="1" max="1" width="9.6796875" customWidth="1"/>
    <col min="2" max="2" width="29.08984375" customWidth="1"/>
    <col min="3" max="3" width="17.76953125" customWidth="1"/>
    <col min="5" max="5" width="12.08984375" customWidth="1"/>
  </cols>
  <sheetData>
    <row r="1" spans="1:6" x14ac:dyDescent="0.75">
      <c r="A1" s="5" t="s">
        <v>361</v>
      </c>
      <c r="B1" s="5" t="s">
        <v>521</v>
      </c>
      <c r="C1" s="5" t="s">
        <v>522</v>
      </c>
      <c r="D1" s="5" t="s">
        <v>523</v>
      </c>
      <c r="E1" s="5" t="s">
        <v>524</v>
      </c>
      <c r="F1" s="5" t="s">
        <v>366</v>
      </c>
    </row>
    <row r="2" spans="1:6" hidden="1" x14ac:dyDescent="0.75">
      <c r="A2">
        <v>77</v>
      </c>
      <c r="B2" t="s">
        <v>101</v>
      </c>
      <c r="C2" t="s">
        <v>528</v>
      </c>
      <c r="D2" s="4">
        <v>7</v>
      </c>
      <c r="E2" s="4">
        <v>6</v>
      </c>
      <c r="F2" s="4">
        <v>13</v>
      </c>
    </row>
    <row r="3" spans="1:6" hidden="1" x14ac:dyDescent="0.75">
      <c r="A3">
        <v>77</v>
      </c>
      <c r="B3" t="s">
        <v>101</v>
      </c>
      <c r="C3" t="s">
        <v>525</v>
      </c>
      <c r="D3" s="4">
        <v>21</v>
      </c>
      <c r="E3" s="4">
        <v>20</v>
      </c>
      <c r="F3" s="4">
        <v>41</v>
      </c>
    </row>
    <row r="4" spans="1:6" hidden="1" x14ac:dyDescent="0.75">
      <c r="A4">
        <v>77</v>
      </c>
      <c r="B4" t="s">
        <v>101</v>
      </c>
      <c r="C4" t="s">
        <v>527</v>
      </c>
      <c r="D4" s="4">
        <v>24</v>
      </c>
      <c r="E4" s="4">
        <v>27</v>
      </c>
      <c r="F4" s="4">
        <v>51</v>
      </c>
    </row>
    <row r="5" spans="1:6" hidden="1" x14ac:dyDescent="0.75">
      <c r="A5">
        <v>78</v>
      </c>
      <c r="B5" t="s">
        <v>247</v>
      </c>
      <c r="C5" t="s">
        <v>525</v>
      </c>
      <c r="D5" s="4">
        <v>7</v>
      </c>
      <c r="E5" s="4">
        <v>7</v>
      </c>
      <c r="F5" s="4">
        <v>14</v>
      </c>
    </row>
    <row r="6" spans="1:6" hidden="1" x14ac:dyDescent="0.75">
      <c r="A6">
        <v>78</v>
      </c>
      <c r="B6" t="s">
        <v>247</v>
      </c>
      <c r="C6" t="s">
        <v>528</v>
      </c>
      <c r="D6" s="4">
        <v>13</v>
      </c>
      <c r="E6" s="4">
        <v>13</v>
      </c>
      <c r="F6" s="4">
        <v>26</v>
      </c>
    </row>
    <row r="7" spans="1:6" hidden="1" x14ac:dyDescent="0.75">
      <c r="A7">
        <v>78</v>
      </c>
      <c r="B7" t="s">
        <v>247</v>
      </c>
      <c r="C7" t="s">
        <v>527</v>
      </c>
      <c r="D7" s="4">
        <v>34</v>
      </c>
      <c r="E7" s="4">
        <v>32</v>
      </c>
      <c r="F7" s="4">
        <v>66</v>
      </c>
    </row>
    <row r="8" spans="1:6" hidden="1" x14ac:dyDescent="0.75">
      <c r="A8">
        <v>91</v>
      </c>
      <c r="B8" t="s">
        <v>341</v>
      </c>
      <c r="C8" t="s">
        <v>527</v>
      </c>
      <c r="D8" s="4">
        <v>134</v>
      </c>
      <c r="E8" s="4">
        <v>146</v>
      </c>
      <c r="F8" s="4">
        <v>280</v>
      </c>
    </row>
    <row r="9" spans="1:6" hidden="1" x14ac:dyDescent="0.75">
      <c r="A9">
        <v>93</v>
      </c>
      <c r="B9" t="s">
        <v>335</v>
      </c>
      <c r="C9" t="s">
        <v>526</v>
      </c>
      <c r="D9" s="4">
        <v>18</v>
      </c>
      <c r="E9" s="4">
        <v>17</v>
      </c>
      <c r="F9" s="4">
        <v>35</v>
      </c>
    </row>
    <row r="10" spans="1:6" hidden="1" x14ac:dyDescent="0.75">
      <c r="A10">
        <v>96</v>
      </c>
      <c r="B10" t="s">
        <v>315</v>
      </c>
      <c r="C10" t="s">
        <v>528</v>
      </c>
      <c r="D10" s="4">
        <v>0</v>
      </c>
      <c r="E10" s="4">
        <v>1</v>
      </c>
      <c r="F10" s="4">
        <v>1</v>
      </c>
    </row>
    <row r="11" spans="1:6" hidden="1" x14ac:dyDescent="0.75">
      <c r="A11">
        <v>96</v>
      </c>
      <c r="B11" t="s">
        <v>315</v>
      </c>
      <c r="C11" t="s">
        <v>525</v>
      </c>
      <c r="D11" s="4">
        <v>2</v>
      </c>
      <c r="E11" s="4">
        <v>1</v>
      </c>
      <c r="F11" s="4">
        <v>3</v>
      </c>
    </row>
    <row r="12" spans="1:6" hidden="1" x14ac:dyDescent="0.75">
      <c r="A12">
        <v>96</v>
      </c>
      <c r="B12" t="s">
        <v>315</v>
      </c>
      <c r="C12" t="s">
        <v>527</v>
      </c>
      <c r="D12" s="4">
        <v>2</v>
      </c>
      <c r="E12" s="4">
        <v>2</v>
      </c>
      <c r="F12" s="4">
        <v>4</v>
      </c>
    </row>
    <row r="13" spans="1:6" hidden="1" x14ac:dyDescent="0.75">
      <c r="A13">
        <v>97</v>
      </c>
      <c r="B13" t="s">
        <v>324</v>
      </c>
      <c r="C13" t="s">
        <v>527</v>
      </c>
      <c r="D13" s="4">
        <v>55</v>
      </c>
      <c r="E13" s="4">
        <v>55</v>
      </c>
      <c r="F13" s="4">
        <v>110</v>
      </c>
    </row>
    <row r="14" spans="1:6" hidden="1" x14ac:dyDescent="0.75">
      <c r="A14">
        <v>98</v>
      </c>
      <c r="B14" t="s">
        <v>283</v>
      </c>
      <c r="C14" t="s">
        <v>525</v>
      </c>
      <c r="D14" s="4">
        <v>434</v>
      </c>
      <c r="E14" s="4">
        <v>494</v>
      </c>
      <c r="F14" s="4">
        <v>928</v>
      </c>
    </row>
    <row r="15" spans="1:6" hidden="1" x14ac:dyDescent="0.75">
      <c r="A15">
        <v>98</v>
      </c>
      <c r="B15" t="s">
        <v>283</v>
      </c>
      <c r="C15" t="s">
        <v>526</v>
      </c>
      <c r="D15" s="4">
        <v>112</v>
      </c>
      <c r="E15" s="4">
        <v>116</v>
      </c>
      <c r="F15" s="4">
        <v>228</v>
      </c>
    </row>
    <row r="16" spans="1:6" hidden="1" x14ac:dyDescent="0.75">
      <c r="A16">
        <v>98</v>
      </c>
      <c r="B16" t="s">
        <v>283</v>
      </c>
      <c r="C16" t="s">
        <v>527</v>
      </c>
      <c r="D16" s="4">
        <v>2</v>
      </c>
      <c r="E16" s="4">
        <v>2</v>
      </c>
      <c r="F16" s="4">
        <v>4</v>
      </c>
    </row>
    <row r="17" spans="1:6" hidden="1" x14ac:dyDescent="0.75">
      <c r="A17">
        <v>99</v>
      </c>
      <c r="B17" t="s">
        <v>67</v>
      </c>
      <c r="C17" t="s">
        <v>528</v>
      </c>
      <c r="D17" s="4">
        <v>8</v>
      </c>
      <c r="E17" s="4">
        <v>7</v>
      </c>
      <c r="F17" s="4">
        <v>15</v>
      </c>
    </row>
    <row r="18" spans="1:6" hidden="1" x14ac:dyDescent="0.75">
      <c r="A18">
        <v>99</v>
      </c>
      <c r="B18" t="s">
        <v>67</v>
      </c>
      <c r="C18" t="s">
        <v>527</v>
      </c>
      <c r="D18" s="4">
        <v>1662</v>
      </c>
      <c r="E18" s="4">
        <v>1666</v>
      </c>
      <c r="F18" s="4">
        <v>3328</v>
      </c>
    </row>
    <row r="19" spans="1:6" hidden="1" x14ac:dyDescent="0.75">
      <c r="A19">
        <v>99</v>
      </c>
      <c r="B19" t="s">
        <v>67</v>
      </c>
      <c r="C19" t="s">
        <v>529</v>
      </c>
      <c r="D19" s="4">
        <v>22</v>
      </c>
      <c r="E19" s="4">
        <v>21</v>
      </c>
      <c r="F19" s="4">
        <v>43</v>
      </c>
    </row>
    <row r="20" spans="1:6" hidden="1" x14ac:dyDescent="0.75">
      <c r="A20">
        <v>99</v>
      </c>
      <c r="B20" t="s">
        <v>67</v>
      </c>
      <c r="C20" t="s">
        <v>525</v>
      </c>
      <c r="D20" s="4">
        <v>116</v>
      </c>
      <c r="E20" s="4">
        <v>108</v>
      </c>
      <c r="F20" s="4">
        <v>224</v>
      </c>
    </row>
    <row r="21" spans="1:6" hidden="1" x14ac:dyDescent="0.75">
      <c r="A21">
        <v>99</v>
      </c>
      <c r="B21" t="s">
        <v>67</v>
      </c>
      <c r="C21" t="s">
        <v>526</v>
      </c>
      <c r="D21" s="4">
        <v>0</v>
      </c>
      <c r="E21" s="4">
        <v>1</v>
      </c>
      <c r="F21" s="4">
        <v>1</v>
      </c>
    </row>
    <row r="22" spans="1:6" hidden="1" x14ac:dyDescent="0.75">
      <c r="A22">
        <v>149</v>
      </c>
      <c r="B22" t="s">
        <v>42</v>
      </c>
      <c r="C22" t="s">
        <v>527</v>
      </c>
      <c r="D22" s="4">
        <v>313</v>
      </c>
      <c r="E22" s="4">
        <v>309</v>
      </c>
      <c r="F22" s="4">
        <v>622</v>
      </c>
    </row>
    <row r="23" spans="1:6" hidden="1" x14ac:dyDescent="0.75">
      <c r="A23">
        <v>149</v>
      </c>
      <c r="B23" t="s">
        <v>42</v>
      </c>
      <c r="C23" t="s">
        <v>526</v>
      </c>
      <c r="D23" s="4">
        <v>30</v>
      </c>
      <c r="E23" s="4">
        <v>22</v>
      </c>
      <c r="F23" s="4">
        <v>52</v>
      </c>
    </row>
    <row r="24" spans="1:6" hidden="1" x14ac:dyDescent="0.75">
      <c r="A24">
        <v>149</v>
      </c>
      <c r="B24" t="s">
        <v>42</v>
      </c>
      <c r="C24" t="s">
        <v>529</v>
      </c>
      <c r="D24" s="4">
        <v>84</v>
      </c>
      <c r="E24" s="4">
        <v>83</v>
      </c>
      <c r="F24" s="4">
        <v>167</v>
      </c>
    </row>
    <row r="25" spans="1:6" hidden="1" x14ac:dyDescent="0.75">
      <c r="A25">
        <v>149</v>
      </c>
      <c r="B25" t="s">
        <v>42</v>
      </c>
      <c r="C25" t="s">
        <v>525</v>
      </c>
      <c r="D25" s="4">
        <v>294</v>
      </c>
      <c r="E25" s="4">
        <v>288</v>
      </c>
      <c r="F25" s="4">
        <v>582</v>
      </c>
    </row>
    <row r="26" spans="1:6" hidden="1" x14ac:dyDescent="0.75">
      <c r="A26">
        <v>149</v>
      </c>
      <c r="B26" t="s">
        <v>42</v>
      </c>
      <c r="C26" t="s">
        <v>528</v>
      </c>
      <c r="D26" s="4">
        <v>44</v>
      </c>
      <c r="E26" s="4">
        <v>42</v>
      </c>
      <c r="F26" s="4">
        <v>86</v>
      </c>
    </row>
    <row r="27" spans="1:6" hidden="1" x14ac:dyDescent="0.75">
      <c r="A27">
        <v>203</v>
      </c>
      <c r="B27" t="s">
        <v>126</v>
      </c>
      <c r="C27" t="s">
        <v>527</v>
      </c>
      <c r="D27" s="4">
        <v>125</v>
      </c>
      <c r="E27" s="4">
        <v>127</v>
      </c>
      <c r="F27" s="4">
        <v>252</v>
      </c>
    </row>
    <row r="28" spans="1:6" hidden="1" x14ac:dyDescent="0.75">
      <c r="A28">
        <v>203</v>
      </c>
      <c r="B28" t="s">
        <v>126</v>
      </c>
      <c r="C28" t="s">
        <v>525</v>
      </c>
      <c r="D28" s="4">
        <v>175</v>
      </c>
      <c r="E28" s="4">
        <v>153</v>
      </c>
      <c r="F28" s="4">
        <v>328</v>
      </c>
    </row>
    <row r="29" spans="1:6" hidden="1" x14ac:dyDescent="0.75">
      <c r="A29">
        <v>203</v>
      </c>
      <c r="B29" t="s">
        <v>126</v>
      </c>
      <c r="C29" t="s">
        <v>526</v>
      </c>
      <c r="D29" s="4">
        <v>17</v>
      </c>
      <c r="E29" s="4">
        <v>8</v>
      </c>
      <c r="F29" s="4">
        <v>25</v>
      </c>
    </row>
    <row r="30" spans="1:6" hidden="1" x14ac:dyDescent="0.75">
      <c r="A30">
        <v>203</v>
      </c>
      <c r="B30" t="s">
        <v>126</v>
      </c>
      <c r="C30" t="s">
        <v>528</v>
      </c>
      <c r="D30" s="4">
        <v>59</v>
      </c>
      <c r="E30" s="4">
        <v>55</v>
      </c>
      <c r="F30" s="4">
        <v>114</v>
      </c>
    </row>
    <row r="31" spans="1:6" hidden="1" x14ac:dyDescent="0.75">
      <c r="A31">
        <v>231</v>
      </c>
      <c r="B31" t="s">
        <v>297</v>
      </c>
      <c r="C31" t="s">
        <v>525</v>
      </c>
      <c r="D31" s="4">
        <v>10</v>
      </c>
      <c r="E31" s="4">
        <v>9</v>
      </c>
      <c r="F31" s="4">
        <v>19</v>
      </c>
    </row>
    <row r="32" spans="1:6" hidden="1" x14ac:dyDescent="0.75">
      <c r="A32">
        <v>231</v>
      </c>
      <c r="B32" t="s">
        <v>297</v>
      </c>
      <c r="C32" t="s">
        <v>526</v>
      </c>
      <c r="D32" s="4">
        <v>131</v>
      </c>
      <c r="E32" s="4">
        <v>42</v>
      </c>
      <c r="F32" s="4">
        <v>173</v>
      </c>
    </row>
    <row r="33" spans="1:6" hidden="1" x14ac:dyDescent="0.75">
      <c r="A33">
        <v>232</v>
      </c>
      <c r="B33" t="s">
        <v>104</v>
      </c>
      <c r="C33" t="s">
        <v>527</v>
      </c>
      <c r="D33" s="4">
        <v>12</v>
      </c>
      <c r="E33" s="4">
        <v>10</v>
      </c>
      <c r="F33" s="4">
        <v>22</v>
      </c>
    </row>
    <row r="34" spans="1:6" hidden="1" x14ac:dyDescent="0.75">
      <c r="A34">
        <v>272</v>
      </c>
      <c r="B34" t="s">
        <v>234</v>
      </c>
      <c r="C34" t="s">
        <v>526</v>
      </c>
      <c r="D34" s="4">
        <v>335</v>
      </c>
      <c r="E34" s="4">
        <v>1</v>
      </c>
      <c r="F34" s="4">
        <v>336</v>
      </c>
    </row>
    <row r="35" spans="1:6" hidden="1" x14ac:dyDescent="0.75">
      <c r="A35">
        <v>272</v>
      </c>
      <c r="B35" t="s">
        <v>234</v>
      </c>
      <c r="C35" t="s">
        <v>525</v>
      </c>
      <c r="D35" s="4">
        <v>192</v>
      </c>
      <c r="E35" s="4">
        <v>174</v>
      </c>
      <c r="F35" s="4">
        <v>366</v>
      </c>
    </row>
    <row r="36" spans="1:6" hidden="1" x14ac:dyDescent="0.75">
      <c r="A36">
        <v>272</v>
      </c>
      <c r="B36" t="s">
        <v>234</v>
      </c>
      <c r="C36" t="s">
        <v>527</v>
      </c>
      <c r="D36" s="4">
        <v>3</v>
      </c>
      <c r="E36" s="4">
        <v>2</v>
      </c>
      <c r="F36" s="4">
        <v>5</v>
      </c>
    </row>
    <row r="37" spans="1:6" hidden="1" x14ac:dyDescent="0.75">
      <c r="A37">
        <v>273</v>
      </c>
      <c r="B37" t="s">
        <v>340</v>
      </c>
      <c r="C37" t="s">
        <v>527</v>
      </c>
      <c r="D37" s="4">
        <v>2</v>
      </c>
      <c r="E37" s="4">
        <v>2</v>
      </c>
      <c r="F37" s="4">
        <v>4</v>
      </c>
    </row>
    <row r="38" spans="1:6" hidden="1" x14ac:dyDescent="0.75">
      <c r="A38">
        <v>273</v>
      </c>
      <c r="B38" t="s">
        <v>340</v>
      </c>
      <c r="C38" t="s">
        <v>525</v>
      </c>
      <c r="D38" s="4">
        <v>1</v>
      </c>
      <c r="E38" s="4">
        <v>0</v>
      </c>
      <c r="F38" s="4">
        <v>1</v>
      </c>
    </row>
    <row r="39" spans="1:6" hidden="1" x14ac:dyDescent="0.75">
      <c r="A39">
        <v>324</v>
      </c>
      <c r="B39" t="s">
        <v>140</v>
      </c>
      <c r="C39" t="s">
        <v>526</v>
      </c>
      <c r="D39" s="4">
        <v>12</v>
      </c>
      <c r="E39" s="4">
        <v>13</v>
      </c>
      <c r="F39" s="4">
        <v>25</v>
      </c>
    </row>
    <row r="40" spans="1:6" hidden="1" x14ac:dyDescent="0.75">
      <c r="A40">
        <v>324</v>
      </c>
      <c r="B40" t="s">
        <v>140</v>
      </c>
      <c r="C40" t="s">
        <v>527</v>
      </c>
      <c r="D40" s="4">
        <v>169</v>
      </c>
      <c r="E40" s="4">
        <v>164</v>
      </c>
      <c r="F40" s="4">
        <v>333</v>
      </c>
    </row>
    <row r="41" spans="1:6" hidden="1" x14ac:dyDescent="0.75">
      <c r="A41">
        <v>398</v>
      </c>
      <c r="B41" t="s">
        <v>154</v>
      </c>
      <c r="C41" t="s">
        <v>526</v>
      </c>
      <c r="D41" s="4">
        <v>5259</v>
      </c>
      <c r="E41" s="4">
        <v>5451</v>
      </c>
      <c r="F41" s="4">
        <v>10710</v>
      </c>
    </row>
    <row r="42" spans="1:6" hidden="1" x14ac:dyDescent="0.75">
      <c r="A42">
        <v>398</v>
      </c>
      <c r="B42" t="s">
        <v>154</v>
      </c>
      <c r="C42" t="s">
        <v>528</v>
      </c>
      <c r="D42" s="4">
        <v>159</v>
      </c>
      <c r="E42" s="4">
        <v>160</v>
      </c>
      <c r="F42" s="4">
        <v>319</v>
      </c>
    </row>
    <row r="43" spans="1:6" hidden="1" x14ac:dyDescent="0.75">
      <c r="A43">
        <v>398</v>
      </c>
      <c r="B43" t="s">
        <v>154</v>
      </c>
      <c r="C43" t="s">
        <v>529</v>
      </c>
      <c r="D43" s="4">
        <v>2107</v>
      </c>
      <c r="E43" s="4">
        <v>2086</v>
      </c>
      <c r="F43" s="4">
        <v>4193</v>
      </c>
    </row>
    <row r="44" spans="1:6" hidden="1" x14ac:dyDescent="0.75">
      <c r="A44">
        <v>398</v>
      </c>
      <c r="B44" t="s">
        <v>154</v>
      </c>
      <c r="C44" t="s">
        <v>525</v>
      </c>
      <c r="D44" s="4">
        <v>6590</v>
      </c>
      <c r="E44" s="4">
        <v>6688</v>
      </c>
      <c r="F44" s="4">
        <v>13278</v>
      </c>
    </row>
    <row r="45" spans="1:6" hidden="1" x14ac:dyDescent="0.75">
      <c r="A45">
        <v>398</v>
      </c>
      <c r="B45" t="s">
        <v>154</v>
      </c>
      <c r="C45" t="s">
        <v>527</v>
      </c>
      <c r="D45" s="4">
        <v>2030</v>
      </c>
      <c r="E45" s="4">
        <v>2039</v>
      </c>
      <c r="F45" s="4">
        <v>4069</v>
      </c>
    </row>
    <row r="46" spans="1:6" hidden="1" x14ac:dyDescent="0.75">
      <c r="A46">
        <v>498</v>
      </c>
      <c r="B46" t="s">
        <v>322</v>
      </c>
      <c r="C46" t="s">
        <v>526</v>
      </c>
      <c r="D46" s="4">
        <v>36</v>
      </c>
      <c r="E46" s="4">
        <v>0</v>
      </c>
      <c r="F46" s="4">
        <v>36</v>
      </c>
    </row>
    <row r="47" spans="1:6" hidden="1" x14ac:dyDescent="0.75">
      <c r="A47">
        <v>505</v>
      </c>
      <c r="B47" t="s">
        <v>136</v>
      </c>
      <c r="C47" t="s">
        <v>526</v>
      </c>
      <c r="D47" s="4">
        <v>83</v>
      </c>
      <c r="E47" s="4">
        <v>85</v>
      </c>
      <c r="F47" s="4">
        <v>168</v>
      </c>
    </row>
    <row r="48" spans="1:6" hidden="1" x14ac:dyDescent="0.75">
      <c r="A48">
        <v>505</v>
      </c>
      <c r="B48" t="s">
        <v>136</v>
      </c>
      <c r="C48" t="s">
        <v>528</v>
      </c>
      <c r="D48" s="4">
        <v>12</v>
      </c>
      <c r="E48" s="4">
        <v>10</v>
      </c>
      <c r="F48" s="4">
        <v>22</v>
      </c>
    </row>
    <row r="49" spans="1:6" hidden="1" x14ac:dyDescent="0.75">
      <c r="A49">
        <v>505</v>
      </c>
      <c r="B49" t="s">
        <v>136</v>
      </c>
      <c r="C49" t="s">
        <v>525</v>
      </c>
      <c r="D49" s="4">
        <v>420</v>
      </c>
      <c r="E49" s="4">
        <v>448</v>
      </c>
      <c r="F49" s="4">
        <v>868</v>
      </c>
    </row>
    <row r="50" spans="1:6" hidden="1" x14ac:dyDescent="0.75">
      <c r="A50">
        <v>505</v>
      </c>
      <c r="B50" t="s">
        <v>136</v>
      </c>
      <c r="C50" t="s">
        <v>527</v>
      </c>
      <c r="D50" s="4">
        <v>37</v>
      </c>
      <c r="E50" s="4">
        <v>30</v>
      </c>
      <c r="F50" s="4">
        <v>67</v>
      </c>
    </row>
    <row r="51" spans="1:6" hidden="1" x14ac:dyDescent="0.75">
      <c r="A51">
        <v>522</v>
      </c>
      <c r="B51" t="s">
        <v>215</v>
      </c>
      <c r="C51" t="s">
        <v>526</v>
      </c>
      <c r="D51" s="4">
        <v>254</v>
      </c>
      <c r="E51" s="4">
        <v>47</v>
      </c>
      <c r="F51" s="4">
        <v>301</v>
      </c>
    </row>
    <row r="52" spans="1:6" hidden="1" x14ac:dyDescent="0.75">
      <c r="A52">
        <v>522</v>
      </c>
      <c r="B52" t="s">
        <v>215</v>
      </c>
      <c r="C52" t="s">
        <v>525</v>
      </c>
      <c r="D52" s="4">
        <v>380</v>
      </c>
      <c r="E52" s="4">
        <v>376</v>
      </c>
      <c r="F52" s="4">
        <v>756</v>
      </c>
    </row>
    <row r="53" spans="1:6" hidden="1" x14ac:dyDescent="0.75">
      <c r="A53">
        <v>539</v>
      </c>
      <c r="B53" t="s">
        <v>343</v>
      </c>
      <c r="C53" t="s">
        <v>525</v>
      </c>
      <c r="D53" s="4">
        <v>2</v>
      </c>
      <c r="E53" s="4">
        <v>2</v>
      </c>
      <c r="F53" s="4">
        <v>4</v>
      </c>
    </row>
    <row r="54" spans="1:6" hidden="1" x14ac:dyDescent="0.75">
      <c r="A54">
        <v>541</v>
      </c>
      <c r="B54" t="s">
        <v>309</v>
      </c>
      <c r="C54" t="s">
        <v>526</v>
      </c>
      <c r="D54" s="4">
        <v>5</v>
      </c>
      <c r="E54" s="4">
        <v>5</v>
      </c>
      <c r="F54" s="4">
        <v>10</v>
      </c>
    </row>
    <row r="55" spans="1:6" hidden="1" x14ac:dyDescent="0.75">
      <c r="A55">
        <v>541</v>
      </c>
      <c r="B55" t="s">
        <v>309</v>
      </c>
      <c r="C55" t="s">
        <v>525</v>
      </c>
      <c r="D55" s="4">
        <v>20</v>
      </c>
      <c r="E55" s="4">
        <v>18</v>
      </c>
      <c r="F55" s="4">
        <v>38</v>
      </c>
    </row>
    <row r="56" spans="1:6" hidden="1" x14ac:dyDescent="0.75">
      <c r="A56">
        <v>542</v>
      </c>
      <c r="B56" t="s">
        <v>321</v>
      </c>
      <c r="C56" t="s">
        <v>525</v>
      </c>
      <c r="D56" s="4">
        <v>14</v>
      </c>
      <c r="E56" s="4">
        <v>14</v>
      </c>
      <c r="F56" s="4">
        <v>28</v>
      </c>
    </row>
    <row r="57" spans="1:6" hidden="1" x14ac:dyDescent="0.75">
      <c r="A57">
        <v>550</v>
      </c>
      <c r="B57" t="s">
        <v>166</v>
      </c>
      <c r="C57" t="s">
        <v>528</v>
      </c>
      <c r="D57" s="4">
        <v>106</v>
      </c>
      <c r="E57" s="4">
        <v>111</v>
      </c>
      <c r="F57" s="4">
        <v>217</v>
      </c>
    </row>
    <row r="58" spans="1:6" hidden="1" x14ac:dyDescent="0.75">
      <c r="A58">
        <v>550</v>
      </c>
      <c r="B58" t="s">
        <v>166</v>
      </c>
      <c r="C58" t="s">
        <v>527</v>
      </c>
      <c r="D58" s="4">
        <v>288</v>
      </c>
      <c r="E58" s="4">
        <v>248</v>
      </c>
      <c r="F58" s="4">
        <v>536</v>
      </c>
    </row>
    <row r="59" spans="1:6" hidden="1" x14ac:dyDescent="0.75">
      <c r="A59">
        <v>550</v>
      </c>
      <c r="B59" t="s">
        <v>166</v>
      </c>
      <c r="C59" t="s">
        <v>525</v>
      </c>
      <c r="D59" s="4">
        <v>1289</v>
      </c>
      <c r="E59" s="4">
        <v>1490</v>
      </c>
      <c r="F59" s="4">
        <v>2779</v>
      </c>
    </row>
    <row r="60" spans="1:6" hidden="1" x14ac:dyDescent="0.75">
      <c r="A60">
        <v>550</v>
      </c>
      <c r="B60" t="s">
        <v>166</v>
      </c>
      <c r="C60" t="s">
        <v>526</v>
      </c>
      <c r="D60" s="4">
        <v>155</v>
      </c>
      <c r="E60" s="4">
        <v>169</v>
      </c>
      <c r="F60" s="4">
        <v>324</v>
      </c>
    </row>
    <row r="61" spans="1:6" hidden="1" x14ac:dyDescent="0.75">
      <c r="A61">
        <v>550</v>
      </c>
      <c r="B61" t="s">
        <v>166</v>
      </c>
      <c r="C61" t="s">
        <v>529</v>
      </c>
      <c r="D61" s="4">
        <v>83</v>
      </c>
      <c r="E61" s="4">
        <v>74</v>
      </c>
      <c r="F61" s="4">
        <v>157</v>
      </c>
    </row>
    <row r="62" spans="1:6" hidden="1" x14ac:dyDescent="0.75">
      <c r="A62">
        <v>552</v>
      </c>
      <c r="B62" t="s">
        <v>161</v>
      </c>
      <c r="C62" t="s">
        <v>527</v>
      </c>
      <c r="D62" s="4">
        <v>640</v>
      </c>
      <c r="E62" s="4">
        <v>641</v>
      </c>
      <c r="F62" s="4">
        <v>1281</v>
      </c>
    </row>
    <row r="63" spans="1:6" hidden="1" x14ac:dyDescent="0.75">
      <c r="A63">
        <v>552</v>
      </c>
      <c r="B63" t="s">
        <v>161</v>
      </c>
      <c r="C63" t="s">
        <v>526</v>
      </c>
      <c r="D63" s="4">
        <v>66</v>
      </c>
      <c r="E63" s="4">
        <v>63</v>
      </c>
      <c r="F63" s="4">
        <v>129</v>
      </c>
    </row>
    <row r="64" spans="1:6" hidden="1" x14ac:dyDescent="0.75">
      <c r="A64">
        <v>552</v>
      </c>
      <c r="B64" t="s">
        <v>161</v>
      </c>
      <c r="C64" t="s">
        <v>529</v>
      </c>
      <c r="D64" s="4">
        <v>547</v>
      </c>
      <c r="E64" s="4">
        <v>500</v>
      </c>
      <c r="F64" s="4">
        <v>1047</v>
      </c>
    </row>
    <row r="65" spans="1:6" hidden="1" x14ac:dyDescent="0.75">
      <c r="A65">
        <v>552</v>
      </c>
      <c r="B65" t="s">
        <v>161</v>
      </c>
      <c r="C65" t="s">
        <v>528</v>
      </c>
      <c r="D65" s="4">
        <v>100</v>
      </c>
      <c r="E65" s="4">
        <v>108</v>
      </c>
      <c r="F65" s="4">
        <v>208</v>
      </c>
    </row>
    <row r="66" spans="1:6" hidden="1" x14ac:dyDescent="0.75">
      <c r="A66">
        <v>552</v>
      </c>
      <c r="B66" t="s">
        <v>161</v>
      </c>
      <c r="C66" t="s">
        <v>525</v>
      </c>
      <c r="D66" s="4">
        <v>1405</v>
      </c>
      <c r="E66" s="4">
        <v>1287</v>
      </c>
      <c r="F66" s="4">
        <v>2692</v>
      </c>
    </row>
    <row r="67" spans="1:6" hidden="1" x14ac:dyDescent="0.75">
      <c r="A67">
        <v>555</v>
      </c>
      <c r="B67" t="s">
        <v>37</v>
      </c>
      <c r="C67" t="s">
        <v>525</v>
      </c>
      <c r="D67" s="4">
        <v>218</v>
      </c>
      <c r="E67" s="4">
        <v>200</v>
      </c>
      <c r="F67" s="4">
        <v>418</v>
      </c>
    </row>
    <row r="68" spans="1:6" hidden="1" x14ac:dyDescent="0.75">
      <c r="A68">
        <v>555</v>
      </c>
      <c r="B68" t="s">
        <v>37</v>
      </c>
      <c r="C68" t="s">
        <v>528</v>
      </c>
      <c r="D68" s="4">
        <v>45</v>
      </c>
      <c r="E68" s="4">
        <v>45</v>
      </c>
      <c r="F68" s="4">
        <v>90</v>
      </c>
    </row>
    <row r="69" spans="1:6" hidden="1" x14ac:dyDescent="0.75">
      <c r="A69">
        <v>555</v>
      </c>
      <c r="B69" t="s">
        <v>37</v>
      </c>
      <c r="C69" t="s">
        <v>527</v>
      </c>
      <c r="D69" s="4">
        <v>113</v>
      </c>
      <c r="E69" s="4">
        <v>116</v>
      </c>
      <c r="F69" s="4">
        <v>229</v>
      </c>
    </row>
    <row r="70" spans="1:6" hidden="1" x14ac:dyDescent="0.75">
      <c r="A70">
        <v>555</v>
      </c>
      <c r="B70" t="s">
        <v>37</v>
      </c>
      <c r="C70" t="s">
        <v>529</v>
      </c>
      <c r="D70" s="4">
        <v>128</v>
      </c>
      <c r="E70" s="4">
        <v>132</v>
      </c>
      <c r="F70" s="4">
        <v>260</v>
      </c>
    </row>
    <row r="71" spans="1:6" hidden="1" x14ac:dyDescent="0.75">
      <c r="A71">
        <v>700</v>
      </c>
      <c r="B71" t="s">
        <v>24</v>
      </c>
      <c r="C71" t="s">
        <v>528</v>
      </c>
      <c r="D71" s="4">
        <v>261</v>
      </c>
      <c r="E71" s="4">
        <v>371</v>
      </c>
      <c r="F71" s="4">
        <v>632</v>
      </c>
    </row>
    <row r="72" spans="1:6" hidden="1" x14ac:dyDescent="0.75">
      <c r="A72">
        <v>700</v>
      </c>
      <c r="B72" t="s">
        <v>24</v>
      </c>
      <c r="C72" t="s">
        <v>526</v>
      </c>
      <c r="D72" s="4">
        <v>561</v>
      </c>
      <c r="E72" s="4">
        <v>492</v>
      </c>
      <c r="F72" s="4">
        <v>1053</v>
      </c>
    </row>
    <row r="73" spans="1:6" hidden="1" x14ac:dyDescent="0.75">
      <c r="A73">
        <v>700</v>
      </c>
      <c r="B73" t="s">
        <v>24</v>
      </c>
      <c r="C73" t="s">
        <v>525</v>
      </c>
      <c r="D73" s="4">
        <v>591</v>
      </c>
      <c r="E73" s="4">
        <v>564</v>
      </c>
      <c r="F73" s="4">
        <v>1155</v>
      </c>
    </row>
    <row r="74" spans="1:6" hidden="1" x14ac:dyDescent="0.75">
      <c r="A74">
        <v>700</v>
      </c>
      <c r="B74" t="s">
        <v>24</v>
      </c>
      <c r="C74" t="s">
        <v>527</v>
      </c>
      <c r="D74" s="4">
        <v>714</v>
      </c>
      <c r="E74" s="4">
        <v>860</v>
      </c>
      <c r="F74" s="4">
        <v>1574</v>
      </c>
    </row>
    <row r="75" spans="1:6" hidden="1" x14ac:dyDescent="0.75">
      <c r="A75">
        <v>700</v>
      </c>
      <c r="B75" t="s">
        <v>24</v>
      </c>
      <c r="C75" t="s">
        <v>529</v>
      </c>
      <c r="D75" s="4">
        <v>311</v>
      </c>
      <c r="E75" s="4">
        <v>320</v>
      </c>
      <c r="F75" s="4">
        <v>631</v>
      </c>
    </row>
    <row r="76" spans="1:6" hidden="1" x14ac:dyDescent="0.75">
      <c r="A76">
        <v>717</v>
      </c>
      <c r="B76" t="s">
        <v>316</v>
      </c>
      <c r="C76" t="s">
        <v>525</v>
      </c>
      <c r="D76" s="4">
        <v>29</v>
      </c>
      <c r="E76" s="4">
        <v>27</v>
      </c>
      <c r="F76" s="4">
        <v>56</v>
      </c>
    </row>
    <row r="77" spans="1:6" hidden="1" x14ac:dyDescent="0.75">
      <c r="A77">
        <v>737</v>
      </c>
      <c r="B77" t="s">
        <v>125</v>
      </c>
      <c r="C77" t="s">
        <v>526</v>
      </c>
      <c r="D77" s="4">
        <v>168</v>
      </c>
      <c r="E77" s="4">
        <v>333</v>
      </c>
      <c r="F77" s="4">
        <v>501</v>
      </c>
    </row>
    <row r="78" spans="1:6" hidden="1" x14ac:dyDescent="0.75">
      <c r="A78">
        <v>737</v>
      </c>
      <c r="B78" t="s">
        <v>125</v>
      </c>
      <c r="C78" t="s">
        <v>525</v>
      </c>
      <c r="D78" s="4">
        <v>62</v>
      </c>
      <c r="E78" s="4">
        <v>54</v>
      </c>
      <c r="F78" s="4">
        <v>116</v>
      </c>
    </row>
    <row r="79" spans="1:6" hidden="1" x14ac:dyDescent="0.75">
      <c r="A79">
        <v>737</v>
      </c>
      <c r="B79" t="s">
        <v>125</v>
      </c>
      <c r="C79" t="s">
        <v>527</v>
      </c>
      <c r="D79" s="4">
        <v>12</v>
      </c>
      <c r="E79" s="4">
        <v>11</v>
      </c>
      <c r="F79" s="4">
        <v>23</v>
      </c>
    </row>
    <row r="80" spans="1:6" hidden="1" x14ac:dyDescent="0.75">
      <c r="A80">
        <v>738</v>
      </c>
      <c r="B80" t="s">
        <v>260</v>
      </c>
      <c r="C80" t="s">
        <v>526</v>
      </c>
      <c r="D80" s="4">
        <v>45</v>
      </c>
      <c r="E80" s="4">
        <v>44</v>
      </c>
      <c r="F80" s="4">
        <v>89</v>
      </c>
    </row>
    <row r="81" spans="1:6" hidden="1" x14ac:dyDescent="0.75">
      <c r="A81">
        <v>738</v>
      </c>
      <c r="B81" t="s">
        <v>260</v>
      </c>
      <c r="C81" t="s">
        <v>525</v>
      </c>
      <c r="D81" s="4">
        <v>77</v>
      </c>
      <c r="E81" s="4">
        <v>21</v>
      </c>
      <c r="F81" s="4">
        <v>98</v>
      </c>
    </row>
    <row r="82" spans="1:6" hidden="1" x14ac:dyDescent="0.75">
      <c r="A82">
        <v>738</v>
      </c>
      <c r="B82" t="s">
        <v>260</v>
      </c>
      <c r="C82" t="s">
        <v>527</v>
      </c>
      <c r="D82" s="4">
        <v>37</v>
      </c>
      <c r="E82" s="4">
        <v>27</v>
      </c>
      <c r="F82" s="4">
        <v>64</v>
      </c>
    </row>
    <row r="83" spans="1:6" hidden="1" x14ac:dyDescent="0.75">
      <c r="A83">
        <v>738</v>
      </c>
      <c r="B83" t="s">
        <v>260</v>
      </c>
      <c r="C83" t="s">
        <v>528</v>
      </c>
      <c r="D83" s="4">
        <v>2</v>
      </c>
      <c r="E83" s="4">
        <v>2</v>
      </c>
      <c r="F83" s="4">
        <v>4</v>
      </c>
    </row>
    <row r="84" spans="1:6" hidden="1" x14ac:dyDescent="0.75">
      <c r="A84">
        <v>759</v>
      </c>
      <c r="B84" t="s">
        <v>110</v>
      </c>
      <c r="C84" t="s">
        <v>527</v>
      </c>
      <c r="D84" s="4">
        <v>61</v>
      </c>
      <c r="E84" s="4">
        <v>63</v>
      </c>
      <c r="F84" s="4">
        <v>124</v>
      </c>
    </row>
    <row r="85" spans="1:6" hidden="1" x14ac:dyDescent="0.75">
      <c r="A85">
        <v>759</v>
      </c>
      <c r="B85" t="s">
        <v>110</v>
      </c>
      <c r="C85" t="s">
        <v>525</v>
      </c>
      <c r="D85" s="4">
        <v>120</v>
      </c>
      <c r="E85" s="4">
        <v>117</v>
      </c>
      <c r="F85" s="4">
        <v>237</v>
      </c>
    </row>
    <row r="86" spans="1:6" hidden="1" x14ac:dyDescent="0.75">
      <c r="A86">
        <v>759</v>
      </c>
      <c r="B86" t="s">
        <v>110</v>
      </c>
      <c r="C86" t="s">
        <v>526</v>
      </c>
      <c r="D86" s="4">
        <v>154</v>
      </c>
      <c r="E86" s="4">
        <v>159</v>
      </c>
      <c r="F86" s="4">
        <v>313</v>
      </c>
    </row>
    <row r="87" spans="1:6" hidden="1" x14ac:dyDescent="0.75">
      <c r="A87">
        <v>759</v>
      </c>
      <c r="B87" t="s">
        <v>110</v>
      </c>
      <c r="C87" t="s">
        <v>528</v>
      </c>
      <c r="D87" s="4">
        <v>35</v>
      </c>
      <c r="E87" s="4">
        <v>33</v>
      </c>
      <c r="F87" s="4">
        <v>68</v>
      </c>
    </row>
    <row r="88" spans="1:6" hidden="1" x14ac:dyDescent="0.75">
      <c r="A88">
        <v>766</v>
      </c>
      <c r="B88" t="s">
        <v>35</v>
      </c>
      <c r="C88" t="s">
        <v>525</v>
      </c>
      <c r="D88" s="4">
        <v>130</v>
      </c>
      <c r="E88" s="4">
        <v>121</v>
      </c>
      <c r="F88" s="4">
        <v>251</v>
      </c>
    </row>
    <row r="89" spans="1:6" hidden="1" x14ac:dyDescent="0.75">
      <c r="A89">
        <v>766</v>
      </c>
      <c r="B89" t="s">
        <v>35</v>
      </c>
      <c r="C89" t="s">
        <v>527</v>
      </c>
      <c r="D89" s="4">
        <v>204</v>
      </c>
      <c r="E89" s="4">
        <v>199</v>
      </c>
      <c r="F89" s="4">
        <v>403</v>
      </c>
    </row>
    <row r="90" spans="1:6" hidden="1" x14ac:dyDescent="0.75">
      <c r="A90">
        <v>766</v>
      </c>
      <c r="B90" t="s">
        <v>35</v>
      </c>
      <c r="C90" t="s">
        <v>529</v>
      </c>
      <c r="D90" s="4">
        <v>321</v>
      </c>
      <c r="E90" s="4">
        <v>319</v>
      </c>
      <c r="F90" s="4">
        <v>640</v>
      </c>
    </row>
    <row r="91" spans="1:6" hidden="1" x14ac:dyDescent="0.75">
      <c r="A91">
        <v>766</v>
      </c>
      <c r="B91" t="s">
        <v>35</v>
      </c>
      <c r="C91" t="s">
        <v>528</v>
      </c>
      <c r="D91" s="4">
        <v>93</v>
      </c>
      <c r="E91" s="4">
        <v>93</v>
      </c>
      <c r="F91" s="4">
        <v>186</v>
      </c>
    </row>
    <row r="92" spans="1:6" hidden="1" x14ac:dyDescent="0.75">
      <c r="A92">
        <v>766</v>
      </c>
      <c r="B92" t="s">
        <v>35</v>
      </c>
      <c r="C92" t="s">
        <v>526</v>
      </c>
      <c r="D92" s="4">
        <v>1</v>
      </c>
      <c r="E92" s="4">
        <v>1</v>
      </c>
      <c r="F92" s="4">
        <v>2</v>
      </c>
    </row>
    <row r="93" spans="1:6" hidden="1" x14ac:dyDescent="0.75">
      <c r="A93">
        <v>775</v>
      </c>
      <c r="B93" t="s">
        <v>11</v>
      </c>
      <c r="C93" t="s">
        <v>529</v>
      </c>
      <c r="D93" s="4">
        <v>1249</v>
      </c>
      <c r="E93" s="4">
        <v>1248</v>
      </c>
      <c r="F93" s="4">
        <v>2497</v>
      </c>
    </row>
    <row r="94" spans="1:6" hidden="1" x14ac:dyDescent="0.75">
      <c r="A94">
        <v>775</v>
      </c>
      <c r="B94" t="s">
        <v>11</v>
      </c>
      <c r="C94" t="s">
        <v>525</v>
      </c>
      <c r="D94" s="4">
        <v>206</v>
      </c>
      <c r="E94" s="4">
        <v>183</v>
      </c>
      <c r="F94" s="4">
        <v>389</v>
      </c>
    </row>
    <row r="95" spans="1:6" hidden="1" x14ac:dyDescent="0.75">
      <c r="A95">
        <v>775</v>
      </c>
      <c r="B95" t="s">
        <v>11</v>
      </c>
      <c r="C95" t="s">
        <v>527</v>
      </c>
      <c r="D95" s="4">
        <v>513</v>
      </c>
      <c r="E95" s="4">
        <v>509</v>
      </c>
      <c r="F95" s="4">
        <v>1022</v>
      </c>
    </row>
    <row r="96" spans="1:6" hidden="1" x14ac:dyDescent="0.75">
      <c r="A96">
        <v>775</v>
      </c>
      <c r="B96" t="s">
        <v>11</v>
      </c>
      <c r="C96" t="s">
        <v>526</v>
      </c>
      <c r="D96" s="4">
        <v>4</v>
      </c>
      <c r="E96" s="4">
        <v>2</v>
      </c>
      <c r="F96" s="4">
        <v>6</v>
      </c>
    </row>
    <row r="97" spans="1:6" hidden="1" x14ac:dyDescent="0.75">
      <c r="A97">
        <v>775</v>
      </c>
      <c r="B97" t="s">
        <v>11</v>
      </c>
      <c r="C97" t="s">
        <v>528</v>
      </c>
      <c r="D97" s="4">
        <v>103</v>
      </c>
      <c r="E97" s="4">
        <v>103</v>
      </c>
      <c r="F97" s="4">
        <v>206</v>
      </c>
    </row>
    <row r="98" spans="1:6" hidden="1" x14ac:dyDescent="0.75">
      <c r="A98">
        <v>776</v>
      </c>
      <c r="B98" t="s">
        <v>5</v>
      </c>
      <c r="C98" t="s">
        <v>526</v>
      </c>
      <c r="D98" s="4">
        <v>18</v>
      </c>
      <c r="E98" s="4">
        <v>17</v>
      </c>
      <c r="F98" s="4">
        <v>35</v>
      </c>
    </row>
    <row r="99" spans="1:6" hidden="1" x14ac:dyDescent="0.75">
      <c r="A99">
        <v>776</v>
      </c>
      <c r="B99" t="s">
        <v>5</v>
      </c>
      <c r="C99" t="s">
        <v>527</v>
      </c>
      <c r="D99" s="4">
        <v>522</v>
      </c>
      <c r="E99" s="4">
        <v>557</v>
      </c>
      <c r="F99" s="4">
        <v>1079</v>
      </c>
    </row>
    <row r="100" spans="1:6" hidden="1" x14ac:dyDescent="0.75">
      <c r="A100">
        <v>776</v>
      </c>
      <c r="B100" t="s">
        <v>5</v>
      </c>
      <c r="C100" t="s">
        <v>529</v>
      </c>
      <c r="D100" s="4">
        <v>1464</v>
      </c>
      <c r="E100" s="4">
        <v>1539</v>
      </c>
      <c r="F100" s="4">
        <v>3003</v>
      </c>
    </row>
    <row r="101" spans="1:6" hidden="1" x14ac:dyDescent="0.75">
      <c r="A101">
        <v>776</v>
      </c>
      <c r="B101" t="s">
        <v>5</v>
      </c>
      <c r="C101" t="s">
        <v>528</v>
      </c>
      <c r="D101" s="4">
        <v>193</v>
      </c>
      <c r="E101" s="4">
        <v>195</v>
      </c>
      <c r="F101" s="4">
        <v>388</v>
      </c>
    </row>
    <row r="102" spans="1:6" hidden="1" x14ac:dyDescent="0.75">
      <c r="A102">
        <v>776</v>
      </c>
      <c r="B102" t="s">
        <v>5</v>
      </c>
      <c r="C102" t="s">
        <v>525</v>
      </c>
      <c r="D102" s="4">
        <v>227</v>
      </c>
      <c r="E102" s="4">
        <v>244</v>
      </c>
      <c r="F102" s="4">
        <v>471</v>
      </c>
    </row>
    <row r="103" spans="1:6" hidden="1" x14ac:dyDescent="0.75">
      <c r="A103">
        <v>783</v>
      </c>
      <c r="B103" t="s">
        <v>122</v>
      </c>
      <c r="C103" t="s">
        <v>527</v>
      </c>
      <c r="D103" s="4">
        <v>502</v>
      </c>
      <c r="E103" s="4">
        <v>500</v>
      </c>
      <c r="F103" s="4">
        <v>1002</v>
      </c>
    </row>
    <row r="104" spans="1:6" hidden="1" x14ac:dyDescent="0.75">
      <c r="A104">
        <v>783</v>
      </c>
      <c r="B104" t="s">
        <v>122</v>
      </c>
      <c r="C104" t="s">
        <v>526</v>
      </c>
      <c r="D104" s="4">
        <v>2</v>
      </c>
      <c r="E104" s="4">
        <v>0</v>
      </c>
      <c r="F104" s="4">
        <v>2</v>
      </c>
    </row>
    <row r="105" spans="1:6" hidden="1" x14ac:dyDescent="0.75">
      <c r="A105">
        <v>783</v>
      </c>
      <c r="B105" t="s">
        <v>122</v>
      </c>
      <c r="C105" t="s">
        <v>525</v>
      </c>
      <c r="D105" s="4">
        <v>8</v>
      </c>
      <c r="E105" s="4">
        <v>9</v>
      </c>
      <c r="F105" s="4">
        <v>17</v>
      </c>
    </row>
    <row r="106" spans="1:6" hidden="1" x14ac:dyDescent="0.75">
      <c r="A106">
        <v>783</v>
      </c>
      <c r="B106" t="s">
        <v>122</v>
      </c>
      <c r="C106" t="s">
        <v>528</v>
      </c>
      <c r="D106" s="4">
        <v>26</v>
      </c>
      <c r="E106" s="4">
        <v>26</v>
      </c>
      <c r="F106" s="4">
        <v>52</v>
      </c>
    </row>
    <row r="107" spans="1:6" hidden="1" x14ac:dyDescent="0.75">
      <c r="A107">
        <v>786</v>
      </c>
      <c r="B107" t="s">
        <v>293</v>
      </c>
      <c r="C107" t="s">
        <v>527</v>
      </c>
      <c r="D107" s="4">
        <v>67</v>
      </c>
      <c r="E107" s="4">
        <v>67</v>
      </c>
      <c r="F107" s="4">
        <v>134</v>
      </c>
    </row>
    <row r="108" spans="1:6" hidden="1" x14ac:dyDescent="0.75">
      <c r="A108">
        <v>786</v>
      </c>
      <c r="B108" t="s">
        <v>293</v>
      </c>
      <c r="C108" t="s">
        <v>525</v>
      </c>
      <c r="D108" s="4">
        <v>32</v>
      </c>
      <c r="E108" s="4">
        <v>72</v>
      </c>
      <c r="F108" s="4">
        <v>104</v>
      </c>
    </row>
    <row r="109" spans="1:6" hidden="1" x14ac:dyDescent="0.75">
      <c r="A109">
        <v>1506</v>
      </c>
      <c r="B109" t="s">
        <v>183</v>
      </c>
      <c r="C109" t="s">
        <v>526</v>
      </c>
      <c r="D109" s="4">
        <v>20</v>
      </c>
      <c r="E109" s="4">
        <v>19</v>
      </c>
      <c r="F109" s="4">
        <v>39</v>
      </c>
    </row>
    <row r="110" spans="1:6" hidden="1" x14ac:dyDescent="0.75">
      <c r="A110">
        <v>1506</v>
      </c>
      <c r="B110" t="s">
        <v>183</v>
      </c>
      <c r="C110" t="s">
        <v>527</v>
      </c>
      <c r="D110" s="4">
        <v>155</v>
      </c>
      <c r="E110" s="4">
        <v>130</v>
      </c>
      <c r="F110" s="4">
        <v>285</v>
      </c>
    </row>
    <row r="111" spans="1:6" hidden="1" x14ac:dyDescent="0.75">
      <c r="A111">
        <v>1506</v>
      </c>
      <c r="B111" t="s">
        <v>183</v>
      </c>
      <c r="C111" t="s">
        <v>528</v>
      </c>
      <c r="D111" s="4">
        <v>45</v>
      </c>
      <c r="E111" s="4">
        <v>45</v>
      </c>
      <c r="F111" s="4">
        <v>90</v>
      </c>
    </row>
    <row r="112" spans="1:6" hidden="1" x14ac:dyDescent="0.75">
      <c r="A112">
        <v>1506</v>
      </c>
      <c r="B112" t="s">
        <v>183</v>
      </c>
      <c r="C112" t="s">
        <v>525</v>
      </c>
      <c r="D112" s="4">
        <v>505</v>
      </c>
      <c r="E112" s="4">
        <v>416</v>
      </c>
      <c r="F112" s="4">
        <v>921</v>
      </c>
    </row>
    <row r="113" spans="1:6" hidden="1" x14ac:dyDescent="0.75">
      <c r="A113">
        <v>1910</v>
      </c>
      <c r="B113" t="s">
        <v>188</v>
      </c>
      <c r="C113" t="s">
        <v>527</v>
      </c>
      <c r="D113" s="4">
        <v>498</v>
      </c>
      <c r="E113" s="4">
        <v>483</v>
      </c>
      <c r="F113" s="4">
        <v>981</v>
      </c>
    </row>
    <row r="114" spans="1:6" hidden="1" x14ac:dyDescent="0.75">
      <c r="A114">
        <v>1910</v>
      </c>
      <c r="B114" t="s">
        <v>188</v>
      </c>
      <c r="C114" t="s">
        <v>525</v>
      </c>
      <c r="D114" s="4">
        <v>456</v>
      </c>
      <c r="E114" s="4">
        <v>440</v>
      </c>
      <c r="F114" s="4">
        <v>896</v>
      </c>
    </row>
    <row r="115" spans="1:6" hidden="1" x14ac:dyDescent="0.75">
      <c r="A115">
        <v>1910</v>
      </c>
      <c r="B115" t="s">
        <v>188</v>
      </c>
      <c r="C115" t="s">
        <v>526</v>
      </c>
      <c r="D115" s="4">
        <v>357</v>
      </c>
      <c r="E115" s="4">
        <v>368</v>
      </c>
      <c r="F115" s="4">
        <v>725</v>
      </c>
    </row>
    <row r="116" spans="1:6" hidden="1" x14ac:dyDescent="0.75">
      <c r="A116">
        <v>1911</v>
      </c>
      <c r="B116" t="s">
        <v>26</v>
      </c>
      <c r="C116" t="s">
        <v>525</v>
      </c>
      <c r="D116" s="4">
        <v>171</v>
      </c>
      <c r="E116" s="4">
        <v>134</v>
      </c>
      <c r="F116" s="4">
        <v>305</v>
      </c>
    </row>
    <row r="117" spans="1:6" hidden="1" x14ac:dyDescent="0.75">
      <c r="A117">
        <v>1911</v>
      </c>
      <c r="B117" t="s">
        <v>26</v>
      </c>
      <c r="C117" t="s">
        <v>529</v>
      </c>
      <c r="D117" s="4">
        <v>1306</v>
      </c>
      <c r="E117" s="4">
        <v>1332</v>
      </c>
      <c r="F117" s="4">
        <v>2638</v>
      </c>
    </row>
    <row r="118" spans="1:6" hidden="1" x14ac:dyDescent="0.75">
      <c r="A118">
        <v>1911</v>
      </c>
      <c r="B118" t="s">
        <v>26</v>
      </c>
      <c r="C118" t="s">
        <v>527</v>
      </c>
      <c r="D118" s="4">
        <v>1468</v>
      </c>
      <c r="E118" s="4">
        <v>1423</v>
      </c>
      <c r="F118" s="4">
        <v>2891</v>
      </c>
    </row>
    <row r="119" spans="1:6" hidden="1" x14ac:dyDescent="0.75">
      <c r="A119">
        <v>1911</v>
      </c>
      <c r="B119" t="s">
        <v>26</v>
      </c>
      <c r="C119" t="s">
        <v>528</v>
      </c>
      <c r="D119" s="4">
        <v>65</v>
      </c>
      <c r="E119" s="4">
        <v>70</v>
      </c>
      <c r="F119" s="4">
        <v>135</v>
      </c>
    </row>
    <row r="120" spans="1:6" hidden="1" x14ac:dyDescent="0.75">
      <c r="A120">
        <v>1911</v>
      </c>
      <c r="B120" t="s">
        <v>26</v>
      </c>
      <c r="C120" t="s">
        <v>526</v>
      </c>
      <c r="D120" s="4">
        <v>2</v>
      </c>
      <c r="E120" s="4">
        <v>2</v>
      </c>
      <c r="F120" s="4">
        <v>4</v>
      </c>
    </row>
    <row r="121" spans="1:6" hidden="1" x14ac:dyDescent="0.75">
      <c r="A121">
        <v>1912</v>
      </c>
      <c r="B121" t="s">
        <v>47</v>
      </c>
      <c r="C121" t="s">
        <v>525</v>
      </c>
      <c r="D121" s="4">
        <v>44</v>
      </c>
      <c r="E121" s="4">
        <v>51</v>
      </c>
      <c r="F121" s="4">
        <v>95</v>
      </c>
    </row>
    <row r="122" spans="1:6" hidden="1" x14ac:dyDescent="0.75">
      <c r="A122">
        <v>1912</v>
      </c>
      <c r="B122" t="s">
        <v>47</v>
      </c>
      <c r="C122" t="s">
        <v>526</v>
      </c>
      <c r="D122" s="4">
        <v>86</v>
      </c>
      <c r="E122" s="4">
        <v>10</v>
      </c>
      <c r="F122" s="4">
        <v>96</v>
      </c>
    </row>
    <row r="123" spans="1:6" hidden="1" x14ac:dyDescent="0.75">
      <c r="A123">
        <v>1912</v>
      </c>
      <c r="B123" t="s">
        <v>47</v>
      </c>
      <c r="C123" t="s">
        <v>527</v>
      </c>
      <c r="D123" s="4">
        <v>54</v>
      </c>
      <c r="E123" s="4">
        <v>54</v>
      </c>
      <c r="F123" s="4">
        <v>108</v>
      </c>
    </row>
    <row r="124" spans="1:6" hidden="1" x14ac:dyDescent="0.75">
      <c r="A124">
        <v>1912</v>
      </c>
      <c r="B124" t="s">
        <v>47</v>
      </c>
      <c r="C124" t="s">
        <v>528</v>
      </c>
      <c r="D124" s="4">
        <v>14</v>
      </c>
      <c r="E124" s="4">
        <v>17</v>
      </c>
      <c r="F124" s="4">
        <v>31</v>
      </c>
    </row>
    <row r="125" spans="1:6" hidden="1" x14ac:dyDescent="0.75">
      <c r="A125">
        <v>1913</v>
      </c>
      <c r="B125" t="s">
        <v>20</v>
      </c>
      <c r="C125" t="s">
        <v>525</v>
      </c>
      <c r="D125" s="4">
        <v>30</v>
      </c>
      <c r="E125" s="4">
        <v>31</v>
      </c>
      <c r="F125" s="4">
        <v>61</v>
      </c>
    </row>
    <row r="126" spans="1:6" hidden="1" x14ac:dyDescent="0.75">
      <c r="A126">
        <v>1913</v>
      </c>
      <c r="B126" t="s">
        <v>20</v>
      </c>
      <c r="C126" t="s">
        <v>529</v>
      </c>
      <c r="D126" s="4">
        <v>323</v>
      </c>
      <c r="E126" s="4">
        <v>327</v>
      </c>
      <c r="F126" s="4">
        <v>650</v>
      </c>
    </row>
    <row r="127" spans="1:6" hidden="1" x14ac:dyDescent="0.75">
      <c r="A127">
        <v>1913</v>
      </c>
      <c r="B127" t="s">
        <v>20</v>
      </c>
      <c r="C127" t="s">
        <v>528</v>
      </c>
      <c r="D127" s="4">
        <v>17</v>
      </c>
      <c r="E127" s="4">
        <v>16</v>
      </c>
      <c r="F127" s="4">
        <v>33</v>
      </c>
    </row>
    <row r="128" spans="1:6" hidden="1" x14ac:dyDescent="0.75">
      <c r="A128">
        <v>1913</v>
      </c>
      <c r="B128" t="s">
        <v>20</v>
      </c>
      <c r="C128" t="s">
        <v>527</v>
      </c>
      <c r="D128" s="4">
        <v>848</v>
      </c>
      <c r="E128" s="4">
        <v>862</v>
      </c>
      <c r="F128" s="4">
        <v>1710</v>
      </c>
    </row>
    <row r="129" spans="1:6" hidden="1" x14ac:dyDescent="0.75">
      <c r="A129">
        <v>1913</v>
      </c>
      <c r="B129" t="s">
        <v>20</v>
      </c>
      <c r="C129" t="s">
        <v>526</v>
      </c>
      <c r="D129" s="4">
        <v>94</v>
      </c>
      <c r="E129" s="4">
        <v>95</v>
      </c>
      <c r="F129" s="4">
        <v>189</v>
      </c>
    </row>
    <row r="130" spans="1:6" hidden="1" x14ac:dyDescent="0.75">
      <c r="A130">
        <v>1980</v>
      </c>
      <c r="B130" t="s">
        <v>252</v>
      </c>
      <c r="C130" t="s">
        <v>527</v>
      </c>
      <c r="D130" s="4">
        <v>37</v>
      </c>
      <c r="E130" s="4">
        <v>35</v>
      </c>
      <c r="F130" s="4">
        <v>72</v>
      </c>
    </row>
    <row r="131" spans="1:6" hidden="1" x14ac:dyDescent="0.75">
      <c r="A131">
        <v>1981</v>
      </c>
      <c r="B131" t="s">
        <v>285</v>
      </c>
      <c r="C131" t="s">
        <v>526</v>
      </c>
      <c r="D131" s="4">
        <v>33</v>
      </c>
      <c r="E131" s="4">
        <v>32</v>
      </c>
      <c r="F131" s="4">
        <v>65</v>
      </c>
    </row>
    <row r="132" spans="1:6" hidden="1" x14ac:dyDescent="0.75">
      <c r="A132">
        <v>1983</v>
      </c>
      <c r="B132" t="s">
        <v>39</v>
      </c>
      <c r="C132" t="s">
        <v>525</v>
      </c>
      <c r="D132" s="4">
        <v>14</v>
      </c>
      <c r="E132" s="4">
        <v>8</v>
      </c>
      <c r="F132" s="4">
        <v>22</v>
      </c>
    </row>
    <row r="133" spans="1:6" hidden="1" x14ac:dyDescent="0.75">
      <c r="A133">
        <v>1983</v>
      </c>
      <c r="B133" t="s">
        <v>39</v>
      </c>
      <c r="C133" t="s">
        <v>527</v>
      </c>
      <c r="D133" s="4">
        <v>416</v>
      </c>
      <c r="E133" s="4">
        <v>416</v>
      </c>
      <c r="F133" s="4">
        <v>832</v>
      </c>
    </row>
    <row r="134" spans="1:6" hidden="1" x14ac:dyDescent="0.75">
      <c r="A134">
        <v>1983</v>
      </c>
      <c r="B134" t="s">
        <v>39</v>
      </c>
      <c r="C134" t="s">
        <v>528</v>
      </c>
      <c r="D134" s="4">
        <v>6</v>
      </c>
      <c r="E134" s="4">
        <v>5</v>
      </c>
      <c r="F134" s="4">
        <v>11</v>
      </c>
    </row>
    <row r="135" spans="1:6" hidden="1" x14ac:dyDescent="0.75">
      <c r="A135">
        <v>1983</v>
      </c>
      <c r="B135" t="s">
        <v>39</v>
      </c>
      <c r="C135" t="s">
        <v>529</v>
      </c>
      <c r="D135" s="4">
        <v>228</v>
      </c>
      <c r="E135" s="4">
        <v>221</v>
      </c>
      <c r="F135" s="4">
        <v>449</v>
      </c>
    </row>
    <row r="136" spans="1:6" hidden="1" x14ac:dyDescent="0.75">
      <c r="A136">
        <v>1983</v>
      </c>
      <c r="B136" t="s">
        <v>39</v>
      </c>
      <c r="C136" t="s">
        <v>526</v>
      </c>
      <c r="D136" s="4">
        <v>25</v>
      </c>
      <c r="E136" s="4">
        <v>49</v>
      </c>
      <c r="F136" s="4">
        <v>74</v>
      </c>
    </row>
    <row r="137" spans="1:6" hidden="1" x14ac:dyDescent="0.75">
      <c r="A137">
        <v>1986</v>
      </c>
      <c r="B137" t="s">
        <v>359</v>
      </c>
      <c r="C137" t="s">
        <v>526</v>
      </c>
      <c r="D137" s="4">
        <v>1</v>
      </c>
      <c r="E137" s="4">
        <v>0</v>
      </c>
      <c r="F137" s="4">
        <v>1</v>
      </c>
    </row>
    <row r="138" spans="1:6" hidden="1" x14ac:dyDescent="0.75">
      <c r="A138">
        <v>1988</v>
      </c>
      <c r="B138" t="s">
        <v>323</v>
      </c>
      <c r="C138" t="s">
        <v>527</v>
      </c>
      <c r="D138" s="4">
        <v>5</v>
      </c>
      <c r="E138" s="4">
        <v>4</v>
      </c>
      <c r="F138" s="4">
        <v>9</v>
      </c>
    </row>
    <row r="139" spans="1:6" hidden="1" x14ac:dyDescent="0.75">
      <c r="A139">
        <v>1989</v>
      </c>
      <c r="B139" t="s">
        <v>312</v>
      </c>
      <c r="C139" t="s">
        <v>526</v>
      </c>
      <c r="D139" s="4">
        <v>20</v>
      </c>
      <c r="E139" s="4">
        <v>18</v>
      </c>
      <c r="F139" s="4">
        <v>38</v>
      </c>
    </row>
    <row r="140" spans="1:6" hidden="1" x14ac:dyDescent="0.75">
      <c r="A140">
        <v>1989</v>
      </c>
      <c r="B140" t="s">
        <v>312</v>
      </c>
      <c r="C140" t="s">
        <v>527</v>
      </c>
      <c r="D140" s="4">
        <v>520</v>
      </c>
      <c r="E140" s="4">
        <v>442</v>
      </c>
      <c r="F140" s="4">
        <v>962</v>
      </c>
    </row>
    <row r="141" spans="1:6" hidden="1" x14ac:dyDescent="0.75">
      <c r="A141">
        <v>1989</v>
      </c>
      <c r="B141" t="s">
        <v>312</v>
      </c>
      <c r="C141" t="s">
        <v>525</v>
      </c>
      <c r="D141" s="4">
        <v>28</v>
      </c>
      <c r="E141" s="4">
        <v>16</v>
      </c>
      <c r="F141" s="4">
        <v>44</v>
      </c>
    </row>
    <row r="142" spans="1:6" hidden="1" x14ac:dyDescent="0.75">
      <c r="A142">
        <v>1989</v>
      </c>
      <c r="B142" t="s">
        <v>312</v>
      </c>
      <c r="C142" t="s">
        <v>529</v>
      </c>
      <c r="D142" s="4">
        <v>72</v>
      </c>
      <c r="E142" s="4">
        <v>67</v>
      </c>
      <c r="F142" s="4">
        <v>139</v>
      </c>
    </row>
    <row r="143" spans="1:6" hidden="1" x14ac:dyDescent="0.75">
      <c r="A143">
        <v>1989</v>
      </c>
      <c r="B143" t="s">
        <v>312</v>
      </c>
      <c r="C143" t="s">
        <v>528</v>
      </c>
      <c r="D143" s="4">
        <v>8</v>
      </c>
      <c r="E143" s="4">
        <v>9</v>
      </c>
      <c r="F143" s="4">
        <v>17</v>
      </c>
    </row>
    <row r="144" spans="1:6" hidden="1" x14ac:dyDescent="0.75">
      <c r="A144">
        <v>1990</v>
      </c>
      <c r="B144" t="s">
        <v>278</v>
      </c>
      <c r="C144" t="s">
        <v>526</v>
      </c>
      <c r="D144" s="4">
        <v>348</v>
      </c>
      <c r="E144" s="4">
        <v>326</v>
      </c>
      <c r="F144" s="4">
        <v>674</v>
      </c>
    </row>
    <row r="145" spans="1:6" hidden="1" x14ac:dyDescent="0.75">
      <c r="A145">
        <v>1991</v>
      </c>
      <c r="B145" t="s">
        <v>99</v>
      </c>
      <c r="C145" t="s">
        <v>525</v>
      </c>
      <c r="D145" s="4">
        <v>197</v>
      </c>
      <c r="E145" s="4">
        <v>177</v>
      </c>
      <c r="F145" s="4">
        <v>374</v>
      </c>
    </row>
    <row r="146" spans="1:6" hidden="1" x14ac:dyDescent="0.75">
      <c r="A146">
        <v>1991</v>
      </c>
      <c r="B146" t="s">
        <v>99</v>
      </c>
      <c r="C146" t="s">
        <v>527</v>
      </c>
      <c r="D146" s="4">
        <v>15</v>
      </c>
      <c r="E146" s="4">
        <v>14</v>
      </c>
      <c r="F146" s="4">
        <v>29</v>
      </c>
    </row>
    <row r="147" spans="1:6" hidden="1" x14ac:dyDescent="0.75">
      <c r="A147">
        <v>1991</v>
      </c>
      <c r="B147" t="s">
        <v>99</v>
      </c>
      <c r="C147" t="s">
        <v>528</v>
      </c>
      <c r="D147" s="4">
        <v>13</v>
      </c>
      <c r="E147" s="4">
        <v>13</v>
      </c>
      <c r="F147" s="4">
        <v>26</v>
      </c>
    </row>
    <row r="148" spans="1:6" hidden="1" x14ac:dyDescent="0.75">
      <c r="A148">
        <v>1991</v>
      </c>
      <c r="B148" t="s">
        <v>99</v>
      </c>
      <c r="C148" t="s">
        <v>526</v>
      </c>
      <c r="D148" s="4">
        <v>36</v>
      </c>
      <c r="E148" s="4">
        <v>21</v>
      </c>
      <c r="F148" s="4">
        <v>57</v>
      </c>
    </row>
    <row r="149" spans="1:6" hidden="1" x14ac:dyDescent="0.75">
      <c r="A149">
        <v>1992</v>
      </c>
      <c r="B149" t="s">
        <v>19</v>
      </c>
      <c r="C149" t="s">
        <v>525</v>
      </c>
      <c r="D149" s="4">
        <v>13</v>
      </c>
      <c r="E149" s="4">
        <v>10</v>
      </c>
      <c r="F149" s="4">
        <v>23</v>
      </c>
    </row>
    <row r="150" spans="1:6" hidden="1" x14ac:dyDescent="0.75">
      <c r="A150">
        <v>1992</v>
      </c>
      <c r="B150" t="s">
        <v>19</v>
      </c>
      <c r="C150" t="s">
        <v>529</v>
      </c>
      <c r="D150" s="4">
        <v>856</v>
      </c>
      <c r="E150" s="4">
        <v>864</v>
      </c>
      <c r="F150" s="4">
        <v>1720</v>
      </c>
    </row>
    <row r="151" spans="1:6" hidden="1" x14ac:dyDescent="0.75">
      <c r="A151">
        <v>1992</v>
      </c>
      <c r="B151" t="s">
        <v>19</v>
      </c>
      <c r="C151" t="s">
        <v>527</v>
      </c>
      <c r="D151" s="4">
        <v>628</v>
      </c>
      <c r="E151" s="4">
        <v>648</v>
      </c>
      <c r="F151" s="4">
        <v>1276</v>
      </c>
    </row>
    <row r="152" spans="1:6" hidden="1" x14ac:dyDescent="0.75">
      <c r="A152">
        <v>1992</v>
      </c>
      <c r="B152" t="s">
        <v>19</v>
      </c>
      <c r="C152" t="s">
        <v>526</v>
      </c>
      <c r="D152" s="4">
        <v>7</v>
      </c>
      <c r="E152" s="4">
        <v>9</v>
      </c>
      <c r="F152" s="4">
        <v>16</v>
      </c>
    </row>
    <row r="153" spans="1:6" hidden="1" x14ac:dyDescent="0.75">
      <c r="A153">
        <v>1995</v>
      </c>
      <c r="B153" t="s">
        <v>141</v>
      </c>
      <c r="C153" t="s">
        <v>527</v>
      </c>
      <c r="D153" s="4">
        <v>390</v>
      </c>
      <c r="E153" s="4">
        <v>517</v>
      </c>
      <c r="F153" s="4">
        <v>907</v>
      </c>
    </row>
    <row r="154" spans="1:6" hidden="1" x14ac:dyDescent="0.75">
      <c r="A154">
        <v>1995</v>
      </c>
      <c r="B154" t="s">
        <v>141</v>
      </c>
      <c r="C154" t="s">
        <v>526</v>
      </c>
      <c r="D154" s="4">
        <v>26</v>
      </c>
      <c r="E154" s="4">
        <v>30</v>
      </c>
      <c r="F154" s="4">
        <v>56</v>
      </c>
    </row>
    <row r="155" spans="1:6" hidden="1" x14ac:dyDescent="0.75">
      <c r="A155">
        <v>1995</v>
      </c>
      <c r="B155" t="s">
        <v>141</v>
      </c>
      <c r="C155" t="s">
        <v>528</v>
      </c>
      <c r="D155" s="4">
        <v>38</v>
      </c>
      <c r="E155" s="4">
        <v>38</v>
      </c>
      <c r="F155" s="4">
        <v>76</v>
      </c>
    </row>
    <row r="156" spans="1:6" hidden="1" x14ac:dyDescent="0.75">
      <c r="A156">
        <v>1995</v>
      </c>
      <c r="B156" t="s">
        <v>141</v>
      </c>
      <c r="C156" t="s">
        <v>525</v>
      </c>
      <c r="D156" s="4">
        <v>1134</v>
      </c>
      <c r="E156" s="4">
        <v>1588</v>
      </c>
      <c r="F156" s="4">
        <v>2722</v>
      </c>
    </row>
    <row r="157" spans="1:6" hidden="1" x14ac:dyDescent="0.75">
      <c r="A157">
        <v>2017</v>
      </c>
      <c r="B157" t="s">
        <v>17</v>
      </c>
      <c r="C157" t="s">
        <v>525</v>
      </c>
      <c r="D157" s="4">
        <v>226</v>
      </c>
      <c r="E157" s="4">
        <v>176</v>
      </c>
      <c r="F157" s="4">
        <v>402</v>
      </c>
    </row>
    <row r="158" spans="1:6" hidden="1" x14ac:dyDescent="0.75">
      <c r="A158">
        <v>2017</v>
      </c>
      <c r="B158" t="s">
        <v>17</v>
      </c>
      <c r="C158" t="s">
        <v>529</v>
      </c>
      <c r="D158" s="4">
        <v>435</v>
      </c>
      <c r="E158" s="4">
        <v>437</v>
      </c>
      <c r="F158" s="4">
        <v>872</v>
      </c>
    </row>
    <row r="159" spans="1:6" hidden="1" x14ac:dyDescent="0.75">
      <c r="A159">
        <v>2017</v>
      </c>
      <c r="B159" t="s">
        <v>17</v>
      </c>
      <c r="C159" t="s">
        <v>528</v>
      </c>
      <c r="D159" s="4">
        <v>60</v>
      </c>
      <c r="E159" s="4">
        <v>59</v>
      </c>
      <c r="F159" s="4">
        <v>119</v>
      </c>
    </row>
    <row r="160" spans="1:6" hidden="1" x14ac:dyDescent="0.75">
      <c r="A160">
        <v>2017</v>
      </c>
      <c r="B160" t="s">
        <v>17</v>
      </c>
      <c r="C160" t="s">
        <v>527</v>
      </c>
      <c r="D160" s="4">
        <v>822</v>
      </c>
      <c r="E160" s="4">
        <v>888</v>
      </c>
      <c r="F160" s="4">
        <v>1710</v>
      </c>
    </row>
    <row r="161" spans="1:6" hidden="1" x14ac:dyDescent="0.75">
      <c r="A161">
        <v>2017</v>
      </c>
      <c r="B161" t="s">
        <v>17</v>
      </c>
      <c r="C161" t="s">
        <v>526</v>
      </c>
      <c r="D161" s="4">
        <v>104</v>
      </c>
      <c r="E161" s="4">
        <v>177</v>
      </c>
      <c r="F161" s="4">
        <v>281</v>
      </c>
    </row>
    <row r="162" spans="1:6" hidden="1" x14ac:dyDescent="0.75">
      <c r="A162">
        <v>2021</v>
      </c>
      <c r="B162" t="s">
        <v>49</v>
      </c>
      <c r="C162" t="s">
        <v>526</v>
      </c>
      <c r="D162" s="4">
        <v>168</v>
      </c>
      <c r="E162" s="4">
        <v>147</v>
      </c>
      <c r="F162" s="4">
        <v>315</v>
      </c>
    </row>
    <row r="163" spans="1:6" hidden="1" x14ac:dyDescent="0.75">
      <c r="A163">
        <v>2021</v>
      </c>
      <c r="B163" t="s">
        <v>49</v>
      </c>
      <c r="C163" t="s">
        <v>525</v>
      </c>
      <c r="D163" s="4">
        <v>695</v>
      </c>
      <c r="E163" s="4">
        <v>553</v>
      </c>
      <c r="F163" s="4">
        <v>1248</v>
      </c>
    </row>
    <row r="164" spans="1:6" hidden="1" x14ac:dyDescent="0.75">
      <c r="A164">
        <v>2021</v>
      </c>
      <c r="B164" t="s">
        <v>49</v>
      </c>
      <c r="C164" t="s">
        <v>527</v>
      </c>
      <c r="D164" s="4">
        <v>653</v>
      </c>
      <c r="E164" s="4">
        <v>461</v>
      </c>
      <c r="F164" s="4">
        <v>1114</v>
      </c>
    </row>
    <row r="165" spans="1:6" hidden="1" x14ac:dyDescent="0.75">
      <c r="A165">
        <v>2021</v>
      </c>
      <c r="B165" t="s">
        <v>49</v>
      </c>
      <c r="C165" t="s">
        <v>528</v>
      </c>
      <c r="D165" s="4">
        <v>166</v>
      </c>
      <c r="E165" s="4">
        <v>149</v>
      </c>
      <c r="F165" s="4">
        <v>315</v>
      </c>
    </row>
    <row r="166" spans="1:6" hidden="1" x14ac:dyDescent="0.75">
      <c r="A166">
        <v>2021</v>
      </c>
      <c r="B166" t="s">
        <v>49</v>
      </c>
      <c r="C166" t="s">
        <v>529</v>
      </c>
      <c r="D166" s="4">
        <v>102</v>
      </c>
      <c r="E166" s="4">
        <v>76</v>
      </c>
      <c r="F166" s="4">
        <v>178</v>
      </c>
    </row>
    <row r="167" spans="1:6" hidden="1" x14ac:dyDescent="0.75">
      <c r="A167">
        <v>2030</v>
      </c>
      <c r="B167" t="s">
        <v>231</v>
      </c>
      <c r="C167" t="s">
        <v>525</v>
      </c>
      <c r="D167" s="4">
        <v>19</v>
      </c>
      <c r="E167" s="4">
        <v>17</v>
      </c>
      <c r="F167" s="4">
        <v>36</v>
      </c>
    </row>
    <row r="168" spans="1:6" hidden="1" x14ac:dyDescent="0.75">
      <c r="A168">
        <v>2030</v>
      </c>
      <c r="B168" t="s">
        <v>231</v>
      </c>
      <c r="C168" t="s">
        <v>526</v>
      </c>
      <c r="D168" s="4">
        <v>1270</v>
      </c>
      <c r="E168" s="4">
        <v>1111</v>
      </c>
      <c r="F168" s="4">
        <v>2381</v>
      </c>
    </row>
    <row r="169" spans="1:6" hidden="1" x14ac:dyDescent="0.75">
      <c r="A169">
        <v>2030</v>
      </c>
      <c r="B169" t="s">
        <v>231</v>
      </c>
      <c r="C169" t="s">
        <v>527</v>
      </c>
      <c r="D169" s="4">
        <v>1</v>
      </c>
      <c r="E169" s="4">
        <v>2</v>
      </c>
      <c r="F169" s="4">
        <v>3</v>
      </c>
    </row>
    <row r="170" spans="1:6" hidden="1" x14ac:dyDescent="0.75">
      <c r="A170">
        <v>2031</v>
      </c>
      <c r="B170" t="s">
        <v>152</v>
      </c>
      <c r="C170" t="s">
        <v>528</v>
      </c>
      <c r="D170" s="4">
        <v>603</v>
      </c>
      <c r="E170" s="4">
        <v>604</v>
      </c>
      <c r="F170" s="4">
        <v>1207</v>
      </c>
    </row>
    <row r="171" spans="1:6" hidden="1" x14ac:dyDescent="0.75">
      <c r="A171">
        <v>2031</v>
      </c>
      <c r="B171" t="s">
        <v>152</v>
      </c>
      <c r="C171" t="s">
        <v>529</v>
      </c>
      <c r="D171" s="4">
        <v>931</v>
      </c>
      <c r="E171" s="4">
        <v>929</v>
      </c>
      <c r="F171" s="4">
        <v>1860</v>
      </c>
    </row>
    <row r="172" spans="1:6" hidden="1" x14ac:dyDescent="0.75">
      <c r="A172">
        <v>2031</v>
      </c>
      <c r="B172" t="s">
        <v>152</v>
      </c>
      <c r="C172" t="s">
        <v>525</v>
      </c>
      <c r="D172" s="4">
        <v>19080</v>
      </c>
      <c r="E172" s="4">
        <v>17561</v>
      </c>
      <c r="F172" s="4">
        <v>36641</v>
      </c>
    </row>
    <row r="173" spans="1:6" hidden="1" x14ac:dyDescent="0.75">
      <c r="A173">
        <v>2031</v>
      </c>
      <c r="B173" t="s">
        <v>152</v>
      </c>
      <c r="C173" t="s">
        <v>527</v>
      </c>
      <c r="D173" s="4">
        <v>4129</v>
      </c>
      <c r="E173" s="4">
        <v>4365</v>
      </c>
      <c r="F173" s="4">
        <v>8494</v>
      </c>
    </row>
    <row r="174" spans="1:6" hidden="1" x14ac:dyDescent="0.75">
      <c r="A174">
        <v>2031</v>
      </c>
      <c r="B174" t="s">
        <v>152</v>
      </c>
      <c r="C174" t="s">
        <v>526</v>
      </c>
      <c r="D174" s="4">
        <v>1705</v>
      </c>
      <c r="E174" s="4">
        <v>1786</v>
      </c>
      <c r="F174" s="4">
        <v>3491</v>
      </c>
    </row>
    <row r="175" spans="1:6" hidden="1" x14ac:dyDescent="0.75">
      <c r="A175">
        <v>2032</v>
      </c>
      <c r="B175" t="s">
        <v>29</v>
      </c>
      <c r="C175" t="s">
        <v>527</v>
      </c>
      <c r="D175" s="4">
        <v>515</v>
      </c>
      <c r="E175" s="4">
        <v>509</v>
      </c>
      <c r="F175" s="4">
        <v>1024</v>
      </c>
    </row>
    <row r="176" spans="1:6" hidden="1" x14ac:dyDescent="0.75">
      <c r="A176">
        <v>2032</v>
      </c>
      <c r="B176" t="s">
        <v>29</v>
      </c>
      <c r="C176" t="s">
        <v>529</v>
      </c>
      <c r="D176" s="4">
        <v>236</v>
      </c>
      <c r="E176" s="4">
        <v>236</v>
      </c>
      <c r="F176" s="4">
        <v>472</v>
      </c>
    </row>
    <row r="177" spans="1:6" hidden="1" x14ac:dyDescent="0.75">
      <c r="A177">
        <v>2032</v>
      </c>
      <c r="B177" t="s">
        <v>29</v>
      </c>
      <c r="C177" t="s">
        <v>525</v>
      </c>
      <c r="D177" s="4">
        <v>1110</v>
      </c>
      <c r="E177" s="4">
        <v>994</v>
      </c>
      <c r="F177" s="4">
        <v>2104</v>
      </c>
    </row>
    <row r="178" spans="1:6" hidden="1" x14ac:dyDescent="0.75">
      <c r="A178">
        <v>2032</v>
      </c>
      <c r="B178" t="s">
        <v>29</v>
      </c>
      <c r="C178" t="s">
        <v>528</v>
      </c>
      <c r="D178" s="4">
        <v>348</v>
      </c>
      <c r="E178" s="4">
        <v>357</v>
      </c>
      <c r="F178" s="4">
        <v>705</v>
      </c>
    </row>
    <row r="179" spans="1:6" hidden="1" x14ac:dyDescent="0.75">
      <c r="A179">
        <v>2032</v>
      </c>
      <c r="B179" t="s">
        <v>29</v>
      </c>
      <c r="C179" t="s">
        <v>526</v>
      </c>
      <c r="D179" s="4">
        <v>5473</v>
      </c>
      <c r="E179" s="4">
        <v>5533</v>
      </c>
      <c r="F179" s="4">
        <v>11006</v>
      </c>
    </row>
    <row r="180" spans="1:6" hidden="1" x14ac:dyDescent="0.75">
      <c r="A180">
        <v>2087</v>
      </c>
      <c r="B180" t="s">
        <v>292</v>
      </c>
      <c r="C180" t="s">
        <v>526</v>
      </c>
      <c r="D180" s="4">
        <v>189</v>
      </c>
      <c r="E180" s="4">
        <v>194</v>
      </c>
      <c r="F180" s="4">
        <v>383</v>
      </c>
    </row>
    <row r="181" spans="1:6" hidden="1" x14ac:dyDescent="0.75">
      <c r="A181">
        <v>2087</v>
      </c>
      <c r="B181" t="s">
        <v>292</v>
      </c>
      <c r="C181" t="s">
        <v>525</v>
      </c>
      <c r="D181" s="4">
        <v>86</v>
      </c>
      <c r="E181" s="4">
        <v>78</v>
      </c>
      <c r="F181" s="4">
        <v>164</v>
      </c>
    </row>
    <row r="182" spans="1:6" hidden="1" x14ac:dyDescent="0.75">
      <c r="A182">
        <v>2087</v>
      </c>
      <c r="B182" t="s">
        <v>292</v>
      </c>
      <c r="C182" t="s">
        <v>527</v>
      </c>
      <c r="D182" s="4">
        <v>0</v>
      </c>
      <c r="E182" s="4">
        <v>2</v>
      </c>
      <c r="F182" s="4">
        <v>2</v>
      </c>
    </row>
    <row r="183" spans="1:6" hidden="1" x14ac:dyDescent="0.75">
      <c r="A183">
        <v>2139</v>
      </c>
      <c r="B183" t="s">
        <v>532</v>
      </c>
      <c r="C183" t="s">
        <v>528</v>
      </c>
      <c r="D183" s="4">
        <v>1</v>
      </c>
      <c r="E183" s="4">
        <v>1</v>
      </c>
      <c r="F183" s="4">
        <v>2</v>
      </c>
    </row>
    <row r="184" spans="1:6" hidden="1" x14ac:dyDescent="0.75">
      <c r="A184">
        <v>2139</v>
      </c>
      <c r="B184" t="s">
        <v>532</v>
      </c>
      <c r="C184" t="s">
        <v>527</v>
      </c>
      <c r="D184" s="4">
        <v>1</v>
      </c>
      <c r="E184" s="4">
        <v>1</v>
      </c>
      <c r="F184" s="4">
        <v>2</v>
      </c>
    </row>
    <row r="185" spans="1:6" hidden="1" x14ac:dyDescent="0.75">
      <c r="A185">
        <v>2142</v>
      </c>
      <c r="B185" t="s">
        <v>346</v>
      </c>
      <c r="C185" t="s">
        <v>528</v>
      </c>
      <c r="D185" s="4">
        <v>1</v>
      </c>
      <c r="E185" s="4">
        <v>0</v>
      </c>
      <c r="F185" s="4">
        <v>1</v>
      </c>
    </row>
    <row r="186" spans="1:6" hidden="1" x14ac:dyDescent="0.75">
      <c r="A186">
        <v>2142</v>
      </c>
      <c r="B186" t="s">
        <v>346</v>
      </c>
      <c r="C186" t="s">
        <v>529</v>
      </c>
      <c r="D186" s="4">
        <v>1</v>
      </c>
      <c r="E186" s="4">
        <v>0</v>
      </c>
      <c r="F186" s="4">
        <v>1</v>
      </c>
    </row>
    <row r="187" spans="1:6" hidden="1" x14ac:dyDescent="0.75">
      <c r="A187">
        <v>2142</v>
      </c>
      <c r="B187" t="s">
        <v>346</v>
      </c>
      <c r="C187" t="s">
        <v>527</v>
      </c>
      <c r="D187" s="4">
        <v>2</v>
      </c>
      <c r="E187" s="4">
        <v>2</v>
      </c>
      <c r="F187" s="4">
        <v>4</v>
      </c>
    </row>
    <row r="188" spans="1:6" hidden="1" x14ac:dyDescent="0.75">
      <c r="A188">
        <v>2151</v>
      </c>
      <c r="B188" t="s">
        <v>142</v>
      </c>
      <c r="C188" t="s">
        <v>525</v>
      </c>
      <c r="D188" s="4">
        <v>10</v>
      </c>
      <c r="E188" s="4">
        <v>9</v>
      </c>
      <c r="F188" s="4">
        <v>19</v>
      </c>
    </row>
    <row r="189" spans="1:6" hidden="1" x14ac:dyDescent="0.75">
      <c r="A189">
        <v>2151</v>
      </c>
      <c r="B189" t="s">
        <v>142</v>
      </c>
      <c r="C189" t="s">
        <v>528</v>
      </c>
      <c r="D189" s="4">
        <v>44</v>
      </c>
      <c r="E189" s="4">
        <v>35</v>
      </c>
      <c r="F189" s="4">
        <v>79</v>
      </c>
    </row>
    <row r="190" spans="1:6" hidden="1" x14ac:dyDescent="0.75">
      <c r="A190">
        <v>2151</v>
      </c>
      <c r="B190" t="s">
        <v>142</v>
      </c>
      <c r="C190" t="s">
        <v>527</v>
      </c>
      <c r="D190" s="4">
        <v>21</v>
      </c>
      <c r="E190" s="4">
        <v>20</v>
      </c>
      <c r="F190" s="4">
        <v>41</v>
      </c>
    </row>
    <row r="191" spans="1:6" hidden="1" x14ac:dyDescent="0.75">
      <c r="A191">
        <v>2151</v>
      </c>
      <c r="B191" t="s">
        <v>142</v>
      </c>
      <c r="C191" t="s">
        <v>526</v>
      </c>
      <c r="D191" s="4">
        <v>17</v>
      </c>
      <c r="E191" s="4">
        <v>16</v>
      </c>
      <c r="F191" s="4">
        <v>33</v>
      </c>
    </row>
    <row r="192" spans="1:6" hidden="1" x14ac:dyDescent="0.75">
      <c r="A192">
        <v>2154</v>
      </c>
      <c r="B192" t="s">
        <v>314</v>
      </c>
      <c r="C192" t="s">
        <v>525</v>
      </c>
      <c r="D192" s="4">
        <v>6</v>
      </c>
      <c r="E192" s="4">
        <v>4</v>
      </c>
      <c r="F192" s="4">
        <v>10</v>
      </c>
    </row>
    <row r="193" spans="1:6" hidden="1" x14ac:dyDescent="0.75">
      <c r="A193">
        <v>2154</v>
      </c>
      <c r="B193" t="s">
        <v>314</v>
      </c>
      <c r="C193" t="s">
        <v>528</v>
      </c>
      <c r="D193" s="4">
        <v>4</v>
      </c>
      <c r="E193" s="4">
        <v>3</v>
      </c>
      <c r="F193" s="4">
        <v>7</v>
      </c>
    </row>
    <row r="194" spans="1:6" hidden="1" x14ac:dyDescent="0.75">
      <c r="A194">
        <v>2160</v>
      </c>
      <c r="B194" t="s">
        <v>90</v>
      </c>
      <c r="C194" t="s">
        <v>528</v>
      </c>
      <c r="D194" s="4">
        <v>75</v>
      </c>
      <c r="E194" s="4">
        <v>73</v>
      </c>
      <c r="F194" s="4">
        <v>148</v>
      </c>
    </row>
    <row r="195" spans="1:6" hidden="1" x14ac:dyDescent="0.75">
      <c r="A195">
        <v>2160</v>
      </c>
      <c r="B195" t="s">
        <v>90</v>
      </c>
      <c r="C195" t="s">
        <v>529</v>
      </c>
      <c r="D195" s="4">
        <v>5</v>
      </c>
      <c r="E195" s="4">
        <v>2</v>
      </c>
      <c r="F195" s="4">
        <v>7</v>
      </c>
    </row>
    <row r="196" spans="1:6" hidden="1" x14ac:dyDescent="0.75">
      <c r="A196">
        <v>2160</v>
      </c>
      <c r="B196" t="s">
        <v>90</v>
      </c>
      <c r="C196" t="s">
        <v>526</v>
      </c>
      <c r="D196" s="4">
        <v>69</v>
      </c>
      <c r="E196" s="4">
        <v>49</v>
      </c>
      <c r="F196" s="4">
        <v>118</v>
      </c>
    </row>
    <row r="197" spans="1:6" hidden="1" x14ac:dyDescent="0.75">
      <c r="A197">
        <v>2160</v>
      </c>
      <c r="B197" t="s">
        <v>90</v>
      </c>
      <c r="C197" t="s">
        <v>525</v>
      </c>
      <c r="D197" s="4">
        <v>37</v>
      </c>
      <c r="E197" s="4">
        <v>26</v>
      </c>
      <c r="F197" s="4">
        <v>63</v>
      </c>
    </row>
    <row r="198" spans="1:6" hidden="1" x14ac:dyDescent="0.75">
      <c r="A198">
        <v>2160</v>
      </c>
      <c r="B198" t="s">
        <v>90</v>
      </c>
      <c r="C198" t="s">
        <v>527</v>
      </c>
      <c r="D198" s="4">
        <v>137</v>
      </c>
      <c r="E198" s="4">
        <v>135</v>
      </c>
      <c r="F198" s="4">
        <v>272</v>
      </c>
    </row>
    <row r="199" spans="1:6" hidden="1" x14ac:dyDescent="0.75">
      <c r="A199">
        <v>2220</v>
      </c>
      <c r="B199" t="s">
        <v>132</v>
      </c>
      <c r="C199" t="s">
        <v>527</v>
      </c>
      <c r="D199" s="4">
        <v>91</v>
      </c>
      <c r="E199" s="4">
        <v>93</v>
      </c>
      <c r="F199" s="4">
        <v>184</v>
      </c>
    </row>
    <row r="200" spans="1:6" hidden="1" x14ac:dyDescent="0.75">
      <c r="A200">
        <v>2220</v>
      </c>
      <c r="B200" t="s">
        <v>132</v>
      </c>
      <c r="C200" t="s">
        <v>525</v>
      </c>
      <c r="D200" s="4">
        <v>2</v>
      </c>
      <c r="E200" s="4">
        <v>2</v>
      </c>
      <c r="F200" s="4">
        <v>4</v>
      </c>
    </row>
    <row r="201" spans="1:6" hidden="1" x14ac:dyDescent="0.75">
      <c r="A201">
        <v>2223</v>
      </c>
      <c r="B201" t="s">
        <v>320</v>
      </c>
      <c r="C201" t="s">
        <v>526</v>
      </c>
      <c r="D201" s="4">
        <v>39</v>
      </c>
      <c r="E201" s="4">
        <v>9</v>
      </c>
      <c r="F201" s="4">
        <v>48</v>
      </c>
    </row>
    <row r="202" spans="1:6" hidden="1" x14ac:dyDescent="0.75">
      <c r="A202">
        <v>2224</v>
      </c>
      <c r="B202" t="s">
        <v>233</v>
      </c>
      <c r="C202" t="s">
        <v>526</v>
      </c>
      <c r="D202" s="4">
        <v>244</v>
      </c>
      <c r="E202" s="4">
        <v>258</v>
      </c>
      <c r="F202" s="4">
        <v>502</v>
      </c>
    </row>
    <row r="203" spans="1:6" hidden="1" x14ac:dyDescent="0.75">
      <c r="A203">
        <v>2224</v>
      </c>
      <c r="B203" t="s">
        <v>233</v>
      </c>
      <c r="C203" t="s">
        <v>525</v>
      </c>
      <c r="D203" s="4">
        <v>816</v>
      </c>
      <c r="E203" s="4">
        <v>483</v>
      </c>
      <c r="F203" s="4">
        <v>1299</v>
      </c>
    </row>
    <row r="204" spans="1:6" hidden="1" x14ac:dyDescent="0.75">
      <c r="A204">
        <v>2224</v>
      </c>
      <c r="B204" t="s">
        <v>233</v>
      </c>
      <c r="C204" t="s">
        <v>527</v>
      </c>
      <c r="D204" s="4">
        <v>1</v>
      </c>
      <c r="E204" s="4">
        <v>1</v>
      </c>
      <c r="F204" s="4">
        <v>2</v>
      </c>
    </row>
    <row r="205" spans="1:6" hidden="1" x14ac:dyDescent="0.75">
      <c r="A205">
        <v>2225</v>
      </c>
      <c r="B205" t="s">
        <v>286</v>
      </c>
      <c r="C205" t="s">
        <v>525</v>
      </c>
      <c r="D205" s="4">
        <v>73</v>
      </c>
      <c r="E205" s="4">
        <v>66</v>
      </c>
      <c r="F205" s="4">
        <v>139</v>
      </c>
    </row>
    <row r="206" spans="1:6" hidden="1" x14ac:dyDescent="0.75">
      <c r="A206">
        <v>2225</v>
      </c>
      <c r="B206" t="s">
        <v>286</v>
      </c>
      <c r="C206" t="s">
        <v>526</v>
      </c>
      <c r="D206" s="4">
        <v>104</v>
      </c>
      <c r="E206" s="4">
        <v>81</v>
      </c>
      <c r="F206" s="4">
        <v>185</v>
      </c>
    </row>
    <row r="207" spans="1:6" hidden="1" x14ac:dyDescent="0.75">
      <c r="A207">
        <v>2227</v>
      </c>
      <c r="B207" t="s">
        <v>214</v>
      </c>
      <c r="C207" t="s">
        <v>526</v>
      </c>
      <c r="D207" s="4">
        <v>1456</v>
      </c>
      <c r="E207" s="4">
        <v>1346</v>
      </c>
      <c r="F207" s="4">
        <v>2802</v>
      </c>
    </row>
    <row r="208" spans="1:6" hidden="1" x14ac:dyDescent="0.75">
      <c r="A208">
        <v>2227</v>
      </c>
      <c r="B208" t="s">
        <v>214</v>
      </c>
      <c r="C208" t="s">
        <v>525</v>
      </c>
      <c r="D208" s="4">
        <v>122</v>
      </c>
      <c r="E208" s="4">
        <v>113</v>
      </c>
      <c r="F208" s="4">
        <v>235</v>
      </c>
    </row>
    <row r="209" spans="1:6" hidden="1" x14ac:dyDescent="0.75">
      <c r="A209">
        <v>2228</v>
      </c>
      <c r="B209" t="s">
        <v>255</v>
      </c>
      <c r="C209" t="s">
        <v>525</v>
      </c>
      <c r="D209" s="4">
        <v>1</v>
      </c>
      <c r="E209" s="4">
        <v>0</v>
      </c>
      <c r="F209" s="4">
        <v>1</v>
      </c>
    </row>
    <row r="210" spans="1:6" hidden="1" x14ac:dyDescent="0.75">
      <c r="A210">
        <v>2228</v>
      </c>
      <c r="B210" t="s">
        <v>255</v>
      </c>
      <c r="C210" t="s">
        <v>526</v>
      </c>
      <c r="D210" s="4">
        <v>525</v>
      </c>
      <c r="E210" s="4">
        <v>581</v>
      </c>
      <c r="F210" s="4">
        <v>1106</v>
      </c>
    </row>
    <row r="211" spans="1:6" hidden="1" x14ac:dyDescent="0.75">
      <c r="A211">
        <v>2248</v>
      </c>
      <c r="B211" t="s">
        <v>159</v>
      </c>
      <c r="C211" t="s">
        <v>526</v>
      </c>
      <c r="D211" s="4">
        <v>1202</v>
      </c>
      <c r="E211" s="4">
        <v>1051</v>
      </c>
      <c r="F211" s="4">
        <v>2253</v>
      </c>
    </row>
    <row r="212" spans="1:6" hidden="1" x14ac:dyDescent="0.75">
      <c r="A212">
        <v>2248</v>
      </c>
      <c r="B212" t="s">
        <v>159</v>
      </c>
      <c r="C212" t="s">
        <v>528</v>
      </c>
      <c r="D212" s="4">
        <v>63</v>
      </c>
      <c r="E212" s="4">
        <v>62</v>
      </c>
      <c r="F212" s="4">
        <v>125</v>
      </c>
    </row>
    <row r="213" spans="1:6" hidden="1" x14ac:dyDescent="0.75">
      <c r="A213">
        <v>2248</v>
      </c>
      <c r="B213" t="s">
        <v>159</v>
      </c>
      <c r="C213" t="s">
        <v>527</v>
      </c>
      <c r="D213" s="4">
        <v>799</v>
      </c>
      <c r="E213" s="4">
        <v>821</v>
      </c>
      <c r="F213" s="4">
        <v>1620</v>
      </c>
    </row>
    <row r="214" spans="1:6" hidden="1" x14ac:dyDescent="0.75">
      <c r="A214">
        <v>2248</v>
      </c>
      <c r="B214" t="s">
        <v>159</v>
      </c>
      <c r="C214" t="s">
        <v>525</v>
      </c>
      <c r="D214" s="4">
        <v>3748</v>
      </c>
      <c r="E214" s="4">
        <v>4245</v>
      </c>
      <c r="F214" s="4">
        <v>7993</v>
      </c>
    </row>
    <row r="215" spans="1:6" hidden="1" x14ac:dyDescent="0.75">
      <c r="A215">
        <v>2251</v>
      </c>
      <c r="B215" t="s">
        <v>155</v>
      </c>
      <c r="C215" t="s">
        <v>527</v>
      </c>
      <c r="D215" s="4">
        <v>698</v>
      </c>
      <c r="E215" s="4">
        <v>610</v>
      </c>
      <c r="F215" s="4">
        <v>1308</v>
      </c>
    </row>
    <row r="216" spans="1:6" hidden="1" x14ac:dyDescent="0.75">
      <c r="A216">
        <v>2251</v>
      </c>
      <c r="B216" t="s">
        <v>155</v>
      </c>
      <c r="C216" t="s">
        <v>526</v>
      </c>
      <c r="D216" s="4">
        <v>19461</v>
      </c>
      <c r="E216" s="4">
        <v>20202</v>
      </c>
      <c r="F216" s="4">
        <v>39663</v>
      </c>
    </row>
    <row r="217" spans="1:6" hidden="1" x14ac:dyDescent="0.75">
      <c r="A217">
        <v>2251</v>
      </c>
      <c r="B217" t="s">
        <v>155</v>
      </c>
      <c r="C217" t="s">
        <v>525</v>
      </c>
      <c r="D217" s="4">
        <v>4351</v>
      </c>
      <c r="E217" s="4">
        <v>4351</v>
      </c>
      <c r="F217" s="4">
        <v>8702</v>
      </c>
    </row>
    <row r="218" spans="1:6" hidden="1" x14ac:dyDescent="0.75">
      <c r="A218">
        <v>2251</v>
      </c>
      <c r="B218" t="s">
        <v>155</v>
      </c>
      <c r="C218" t="s">
        <v>528</v>
      </c>
      <c r="D218" s="4">
        <v>868</v>
      </c>
      <c r="E218" s="4">
        <v>511</v>
      </c>
      <c r="F218" s="4">
        <v>1379</v>
      </c>
    </row>
    <row r="219" spans="1:6" hidden="1" x14ac:dyDescent="0.75">
      <c r="A219">
        <v>2251</v>
      </c>
      <c r="B219" t="s">
        <v>155</v>
      </c>
      <c r="C219" t="s">
        <v>529</v>
      </c>
      <c r="D219" s="4">
        <v>396</v>
      </c>
      <c r="E219" s="4">
        <v>399</v>
      </c>
      <c r="F219" s="4">
        <v>795</v>
      </c>
    </row>
    <row r="220" spans="1:6" hidden="1" x14ac:dyDescent="0.75">
      <c r="A220">
        <v>2252</v>
      </c>
      <c r="B220" t="s">
        <v>156</v>
      </c>
      <c r="C220" t="s">
        <v>525</v>
      </c>
      <c r="D220" s="4">
        <v>6757</v>
      </c>
      <c r="E220" s="4">
        <v>7343</v>
      </c>
      <c r="F220" s="4">
        <v>14100</v>
      </c>
    </row>
    <row r="221" spans="1:6" hidden="1" x14ac:dyDescent="0.75">
      <c r="A221">
        <v>2252</v>
      </c>
      <c r="B221" t="s">
        <v>156</v>
      </c>
      <c r="C221" t="s">
        <v>528</v>
      </c>
      <c r="D221" s="4">
        <v>140</v>
      </c>
      <c r="E221" s="4">
        <v>265</v>
      </c>
      <c r="F221" s="4">
        <v>405</v>
      </c>
    </row>
    <row r="222" spans="1:6" hidden="1" x14ac:dyDescent="0.75">
      <c r="A222">
        <v>2252</v>
      </c>
      <c r="B222" t="s">
        <v>156</v>
      </c>
      <c r="C222" t="s">
        <v>527</v>
      </c>
      <c r="D222" s="4">
        <v>320</v>
      </c>
      <c r="E222" s="4">
        <v>575</v>
      </c>
      <c r="F222" s="4">
        <v>895</v>
      </c>
    </row>
    <row r="223" spans="1:6" hidden="1" x14ac:dyDescent="0.75">
      <c r="A223">
        <v>2252</v>
      </c>
      <c r="B223" t="s">
        <v>156</v>
      </c>
      <c r="C223" t="s">
        <v>526</v>
      </c>
      <c r="D223" s="4">
        <v>11220</v>
      </c>
      <c r="E223" s="4">
        <v>10036</v>
      </c>
      <c r="F223" s="4">
        <v>21256</v>
      </c>
    </row>
    <row r="224" spans="1:6" hidden="1" x14ac:dyDescent="0.75">
      <c r="A224">
        <v>2253</v>
      </c>
      <c r="B224" t="s">
        <v>153</v>
      </c>
      <c r="C224" t="s">
        <v>525</v>
      </c>
      <c r="D224" s="4">
        <v>9038</v>
      </c>
      <c r="E224" s="4">
        <v>8658</v>
      </c>
      <c r="F224" s="4">
        <v>17696</v>
      </c>
    </row>
    <row r="225" spans="1:6" hidden="1" x14ac:dyDescent="0.75">
      <c r="A225">
        <v>2253</v>
      </c>
      <c r="B225" t="s">
        <v>153</v>
      </c>
      <c r="C225" t="s">
        <v>527</v>
      </c>
      <c r="D225" s="4">
        <v>925</v>
      </c>
      <c r="E225" s="4">
        <v>973</v>
      </c>
      <c r="F225" s="4">
        <v>1898</v>
      </c>
    </row>
    <row r="226" spans="1:6" hidden="1" x14ac:dyDescent="0.75">
      <c r="A226">
        <v>2253</v>
      </c>
      <c r="B226" t="s">
        <v>153</v>
      </c>
      <c r="C226" t="s">
        <v>526</v>
      </c>
      <c r="D226" s="4">
        <v>41538</v>
      </c>
      <c r="E226" s="4">
        <v>37932</v>
      </c>
      <c r="F226" s="4">
        <v>79470</v>
      </c>
    </row>
    <row r="227" spans="1:6" hidden="1" x14ac:dyDescent="0.75">
      <c r="A227">
        <v>2253</v>
      </c>
      <c r="B227" t="s">
        <v>153</v>
      </c>
      <c r="C227" t="s">
        <v>528</v>
      </c>
      <c r="D227" s="4">
        <v>802</v>
      </c>
      <c r="E227" s="4">
        <v>1263</v>
      </c>
      <c r="F227" s="4">
        <v>2065</v>
      </c>
    </row>
    <row r="228" spans="1:6" hidden="1" x14ac:dyDescent="0.75">
      <c r="A228">
        <v>2255</v>
      </c>
      <c r="B228" t="s">
        <v>158</v>
      </c>
      <c r="C228" t="s">
        <v>527</v>
      </c>
      <c r="D228" s="4">
        <v>419</v>
      </c>
      <c r="E228" s="4">
        <v>319</v>
      </c>
      <c r="F228" s="4">
        <v>738</v>
      </c>
    </row>
    <row r="229" spans="1:6" hidden="1" x14ac:dyDescent="0.75">
      <c r="A229">
        <v>2255</v>
      </c>
      <c r="B229" t="s">
        <v>158</v>
      </c>
      <c r="C229" t="s">
        <v>526</v>
      </c>
      <c r="D229" s="4">
        <v>11738</v>
      </c>
      <c r="E229" s="4">
        <v>10458</v>
      </c>
      <c r="F229" s="4">
        <v>22196</v>
      </c>
    </row>
    <row r="230" spans="1:6" hidden="1" x14ac:dyDescent="0.75">
      <c r="A230">
        <v>2255</v>
      </c>
      <c r="B230" t="s">
        <v>158</v>
      </c>
      <c r="C230" t="s">
        <v>525</v>
      </c>
      <c r="D230" s="4">
        <v>1361</v>
      </c>
      <c r="E230" s="4">
        <v>1432</v>
      </c>
      <c r="F230" s="4">
        <v>2793</v>
      </c>
    </row>
    <row r="231" spans="1:6" hidden="1" x14ac:dyDescent="0.75">
      <c r="A231">
        <v>2255</v>
      </c>
      <c r="B231" t="s">
        <v>158</v>
      </c>
      <c r="C231" t="s">
        <v>528</v>
      </c>
      <c r="D231" s="4">
        <v>531</v>
      </c>
      <c r="E231" s="4">
        <v>387</v>
      </c>
      <c r="F231" s="4">
        <v>918</v>
      </c>
    </row>
    <row r="232" spans="1:6" hidden="1" x14ac:dyDescent="0.75">
      <c r="A232">
        <v>2257</v>
      </c>
      <c r="B232" t="s">
        <v>295</v>
      </c>
      <c r="C232" t="s">
        <v>526</v>
      </c>
      <c r="D232" s="4">
        <v>49</v>
      </c>
      <c r="E232" s="4">
        <v>50</v>
      </c>
      <c r="F232" s="4">
        <v>99</v>
      </c>
    </row>
    <row r="233" spans="1:6" hidden="1" x14ac:dyDescent="0.75">
      <c r="A233">
        <v>2257</v>
      </c>
      <c r="B233" t="s">
        <v>295</v>
      </c>
      <c r="C233" t="s">
        <v>525</v>
      </c>
      <c r="D233" s="4">
        <v>107</v>
      </c>
      <c r="E233" s="4">
        <v>109</v>
      </c>
      <c r="F233" s="4">
        <v>216</v>
      </c>
    </row>
    <row r="234" spans="1:6" hidden="1" x14ac:dyDescent="0.75">
      <c r="A234">
        <v>2259</v>
      </c>
      <c r="B234" t="s">
        <v>243</v>
      </c>
      <c r="C234" t="s">
        <v>526</v>
      </c>
      <c r="D234" s="4">
        <v>1125</v>
      </c>
      <c r="E234" s="4">
        <v>1013</v>
      </c>
      <c r="F234" s="4">
        <v>2138</v>
      </c>
    </row>
    <row r="235" spans="1:6" hidden="1" x14ac:dyDescent="0.75">
      <c r="A235">
        <v>2259</v>
      </c>
      <c r="B235" t="s">
        <v>243</v>
      </c>
      <c r="C235" t="s">
        <v>525</v>
      </c>
      <c r="D235" s="4">
        <v>17</v>
      </c>
      <c r="E235" s="4">
        <v>12</v>
      </c>
      <c r="F235" s="4">
        <v>29</v>
      </c>
    </row>
    <row r="236" spans="1:6" hidden="1" x14ac:dyDescent="0.75">
      <c r="A236">
        <v>2263</v>
      </c>
      <c r="B236" t="s">
        <v>239</v>
      </c>
      <c r="C236" t="s">
        <v>526</v>
      </c>
      <c r="D236" s="4">
        <v>729</v>
      </c>
      <c r="E236" s="4">
        <v>876</v>
      </c>
      <c r="F236" s="4">
        <v>1605</v>
      </c>
    </row>
    <row r="237" spans="1:6" hidden="1" x14ac:dyDescent="0.75">
      <c r="A237">
        <v>2263</v>
      </c>
      <c r="B237" t="s">
        <v>239</v>
      </c>
      <c r="C237" t="s">
        <v>525</v>
      </c>
      <c r="D237" s="4">
        <v>79</v>
      </c>
      <c r="E237" s="4">
        <v>46</v>
      </c>
      <c r="F237" s="4">
        <v>125</v>
      </c>
    </row>
    <row r="238" spans="1:6" hidden="1" x14ac:dyDescent="0.75">
      <c r="A238">
        <v>2264</v>
      </c>
      <c r="B238" t="s">
        <v>326</v>
      </c>
      <c r="C238" t="s">
        <v>526</v>
      </c>
      <c r="D238" s="4">
        <v>20</v>
      </c>
      <c r="E238" s="4">
        <v>23</v>
      </c>
      <c r="F238" s="4">
        <v>43</v>
      </c>
    </row>
    <row r="239" spans="1:6" hidden="1" x14ac:dyDescent="0.75">
      <c r="A239">
        <v>2265</v>
      </c>
      <c r="B239" t="s">
        <v>264</v>
      </c>
      <c r="C239" t="s">
        <v>525</v>
      </c>
      <c r="D239" s="4">
        <v>66</v>
      </c>
      <c r="E239" s="4">
        <v>43</v>
      </c>
      <c r="F239" s="4">
        <v>109</v>
      </c>
    </row>
    <row r="240" spans="1:6" hidden="1" x14ac:dyDescent="0.75">
      <c r="A240">
        <v>2265</v>
      </c>
      <c r="B240" t="s">
        <v>264</v>
      </c>
      <c r="C240" t="s">
        <v>526</v>
      </c>
      <c r="D240" s="4">
        <v>397</v>
      </c>
      <c r="E240" s="4">
        <v>433</v>
      </c>
      <c r="F240" s="4">
        <v>830</v>
      </c>
    </row>
    <row r="241" spans="1:6" hidden="1" x14ac:dyDescent="0.75">
      <c r="A241">
        <v>2270</v>
      </c>
      <c r="B241" t="s">
        <v>269</v>
      </c>
      <c r="C241" t="s">
        <v>525</v>
      </c>
      <c r="D241" s="4">
        <v>188</v>
      </c>
      <c r="E241" s="4">
        <v>144</v>
      </c>
      <c r="F241" s="4">
        <v>332</v>
      </c>
    </row>
    <row r="242" spans="1:6" hidden="1" x14ac:dyDescent="0.75">
      <c r="A242">
        <v>2270</v>
      </c>
      <c r="B242" t="s">
        <v>269</v>
      </c>
      <c r="C242" t="s">
        <v>526</v>
      </c>
      <c r="D242" s="4">
        <v>133</v>
      </c>
      <c r="E242" s="4">
        <v>113</v>
      </c>
      <c r="F242" s="4">
        <v>246</v>
      </c>
    </row>
    <row r="243" spans="1:6" hidden="1" x14ac:dyDescent="0.75">
      <c r="A243">
        <v>2284</v>
      </c>
      <c r="B243" t="s">
        <v>296</v>
      </c>
      <c r="C243" t="s">
        <v>525</v>
      </c>
      <c r="D243" s="4">
        <v>50</v>
      </c>
      <c r="E243" s="4">
        <v>46</v>
      </c>
      <c r="F243" s="4">
        <v>96</v>
      </c>
    </row>
    <row r="244" spans="1:6" hidden="1" x14ac:dyDescent="0.75">
      <c r="A244">
        <v>2284</v>
      </c>
      <c r="B244" t="s">
        <v>296</v>
      </c>
      <c r="C244" t="s">
        <v>526</v>
      </c>
      <c r="D244" s="4">
        <v>117</v>
      </c>
      <c r="E244" s="4">
        <v>125</v>
      </c>
      <c r="F244" s="4">
        <v>242</v>
      </c>
    </row>
    <row r="245" spans="1:6" hidden="1" x14ac:dyDescent="0.75">
      <c r="A245">
        <v>2288</v>
      </c>
      <c r="B245" t="s">
        <v>216</v>
      </c>
      <c r="C245" t="s">
        <v>525</v>
      </c>
      <c r="D245" s="4">
        <v>19</v>
      </c>
      <c r="E245" s="4">
        <v>17</v>
      </c>
      <c r="F245" s="4">
        <v>36</v>
      </c>
    </row>
    <row r="246" spans="1:6" hidden="1" x14ac:dyDescent="0.75">
      <c r="A246">
        <v>2288</v>
      </c>
      <c r="B246" t="s">
        <v>216</v>
      </c>
      <c r="C246" t="s">
        <v>526</v>
      </c>
      <c r="D246" s="4">
        <v>1339</v>
      </c>
      <c r="E246" s="4">
        <v>1351</v>
      </c>
      <c r="F246" s="4">
        <v>2690</v>
      </c>
    </row>
    <row r="247" spans="1:6" hidden="1" x14ac:dyDescent="0.75">
      <c r="A247">
        <v>2294</v>
      </c>
      <c r="B247" t="s">
        <v>178</v>
      </c>
      <c r="C247" t="s">
        <v>526</v>
      </c>
      <c r="D247" s="4">
        <v>3682</v>
      </c>
      <c r="E247" s="4">
        <v>3836</v>
      </c>
      <c r="F247" s="4">
        <v>7518</v>
      </c>
    </row>
    <row r="248" spans="1:6" hidden="1" x14ac:dyDescent="0.75">
      <c r="A248">
        <v>2294</v>
      </c>
      <c r="B248" t="s">
        <v>178</v>
      </c>
      <c r="C248" t="s">
        <v>525</v>
      </c>
      <c r="D248" s="4">
        <v>1058</v>
      </c>
      <c r="E248" s="4">
        <v>1069</v>
      </c>
      <c r="F248" s="4">
        <v>2127</v>
      </c>
    </row>
    <row r="249" spans="1:6" hidden="1" x14ac:dyDescent="0.75">
      <c r="A249">
        <v>2297</v>
      </c>
      <c r="B249" t="s">
        <v>277</v>
      </c>
      <c r="C249" t="s">
        <v>526</v>
      </c>
      <c r="D249" s="4">
        <v>285</v>
      </c>
      <c r="E249" s="4">
        <v>291</v>
      </c>
      <c r="F249" s="4">
        <v>576</v>
      </c>
    </row>
    <row r="250" spans="1:6" hidden="1" x14ac:dyDescent="0.75">
      <c r="A250">
        <v>2302</v>
      </c>
      <c r="B250" t="s">
        <v>185</v>
      </c>
      <c r="C250" t="s">
        <v>525</v>
      </c>
      <c r="D250" s="4">
        <v>307</v>
      </c>
      <c r="E250" s="4">
        <v>309</v>
      </c>
      <c r="F250" s="4">
        <v>616</v>
      </c>
    </row>
    <row r="251" spans="1:6" hidden="1" x14ac:dyDescent="0.75">
      <c r="A251">
        <v>2302</v>
      </c>
      <c r="B251" t="s">
        <v>185</v>
      </c>
      <c r="C251" t="s">
        <v>526</v>
      </c>
      <c r="D251" s="4">
        <v>4736</v>
      </c>
      <c r="E251" s="4">
        <v>4752</v>
      </c>
      <c r="F251" s="4">
        <v>9488</v>
      </c>
    </row>
    <row r="252" spans="1:6" hidden="1" x14ac:dyDescent="0.75">
      <c r="A252">
        <v>2303</v>
      </c>
      <c r="B252" t="s">
        <v>275</v>
      </c>
      <c r="C252" t="s">
        <v>525</v>
      </c>
      <c r="D252" s="4">
        <v>28</v>
      </c>
      <c r="E252" s="4">
        <v>25</v>
      </c>
      <c r="F252" s="4">
        <v>53</v>
      </c>
    </row>
    <row r="253" spans="1:6" hidden="1" x14ac:dyDescent="0.75">
      <c r="A253">
        <v>2303</v>
      </c>
      <c r="B253" t="s">
        <v>275</v>
      </c>
      <c r="C253" t="s">
        <v>526</v>
      </c>
      <c r="D253" s="4">
        <v>302</v>
      </c>
      <c r="E253" s="4">
        <v>342</v>
      </c>
      <c r="F253" s="4">
        <v>644</v>
      </c>
    </row>
    <row r="254" spans="1:6" hidden="1" x14ac:dyDescent="0.75">
      <c r="A254">
        <v>2304</v>
      </c>
      <c r="B254" t="s">
        <v>245</v>
      </c>
      <c r="C254" t="s">
        <v>526</v>
      </c>
      <c r="D254" s="4">
        <v>656</v>
      </c>
      <c r="E254" s="4">
        <v>744</v>
      </c>
      <c r="F254" s="4">
        <v>1400</v>
      </c>
    </row>
    <row r="255" spans="1:6" hidden="1" x14ac:dyDescent="0.75">
      <c r="A255">
        <v>2306</v>
      </c>
      <c r="B255" t="s">
        <v>170</v>
      </c>
      <c r="C255" t="s">
        <v>526</v>
      </c>
      <c r="D255" s="4">
        <v>6223</v>
      </c>
      <c r="E255" s="4">
        <v>7588</v>
      </c>
      <c r="F255" s="4">
        <v>13811</v>
      </c>
    </row>
    <row r="256" spans="1:6" hidden="1" x14ac:dyDescent="0.75">
      <c r="A256">
        <v>2306</v>
      </c>
      <c r="B256" t="s">
        <v>170</v>
      </c>
      <c r="C256" t="s">
        <v>525</v>
      </c>
      <c r="D256" s="4">
        <v>177</v>
      </c>
      <c r="E256" s="4">
        <v>153</v>
      </c>
      <c r="F256" s="4">
        <v>330</v>
      </c>
    </row>
    <row r="257" spans="1:6" hidden="1" x14ac:dyDescent="0.75">
      <c r="A257">
        <v>2307</v>
      </c>
      <c r="B257" t="s">
        <v>193</v>
      </c>
      <c r="C257" t="s">
        <v>526</v>
      </c>
      <c r="D257" s="4">
        <v>3735</v>
      </c>
      <c r="E257" s="4">
        <v>3909</v>
      </c>
      <c r="F257" s="4">
        <v>7644</v>
      </c>
    </row>
    <row r="258" spans="1:6" hidden="1" x14ac:dyDescent="0.75">
      <c r="A258">
        <v>2308</v>
      </c>
      <c r="B258" t="s">
        <v>249</v>
      </c>
      <c r="C258" t="s">
        <v>525</v>
      </c>
      <c r="D258" s="4">
        <v>5</v>
      </c>
      <c r="E258" s="4">
        <v>133</v>
      </c>
      <c r="F258" s="4">
        <v>138</v>
      </c>
    </row>
    <row r="259" spans="1:6" hidden="1" x14ac:dyDescent="0.75">
      <c r="A259">
        <v>2308</v>
      </c>
      <c r="B259" t="s">
        <v>249</v>
      </c>
      <c r="C259" t="s">
        <v>526</v>
      </c>
      <c r="D259" s="4">
        <v>1186</v>
      </c>
      <c r="E259" s="4">
        <v>1476</v>
      </c>
      <c r="F259" s="4">
        <v>2662</v>
      </c>
    </row>
    <row r="260" spans="1:6" hidden="1" x14ac:dyDescent="0.75">
      <c r="A260">
        <v>2309</v>
      </c>
      <c r="B260" t="s">
        <v>182</v>
      </c>
      <c r="C260" t="s">
        <v>525</v>
      </c>
      <c r="D260" s="4">
        <v>941</v>
      </c>
      <c r="E260" s="4">
        <v>1168</v>
      </c>
      <c r="F260" s="4">
        <v>2109</v>
      </c>
    </row>
    <row r="261" spans="1:6" hidden="1" x14ac:dyDescent="0.75">
      <c r="A261">
        <v>2309</v>
      </c>
      <c r="B261" t="s">
        <v>182</v>
      </c>
      <c r="C261" t="s">
        <v>526</v>
      </c>
      <c r="D261" s="4">
        <v>2167</v>
      </c>
      <c r="E261" s="4">
        <v>2383</v>
      </c>
      <c r="F261" s="4">
        <v>4550</v>
      </c>
    </row>
    <row r="262" spans="1:6" hidden="1" x14ac:dyDescent="0.75">
      <c r="A262">
        <v>2311</v>
      </c>
      <c r="B262" t="s">
        <v>212</v>
      </c>
      <c r="C262" t="s">
        <v>525</v>
      </c>
      <c r="D262" s="4">
        <v>0</v>
      </c>
      <c r="E262" s="4">
        <v>9</v>
      </c>
      <c r="F262" s="4">
        <v>9</v>
      </c>
    </row>
    <row r="263" spans="1:6" hidden="1" x14ac:dyDescent="0.75">
      <c r="A263">
        <v>2311</v>
      </c>
      <c r="B263" t="s">
        <v>212</v>
      </c>
      <c r="C263" t="s">
        <v>526</v>
      </c>
      <c r="D263" s="4">
        <v>1320</v>
      </c>
      <c r="E263" s="4">
        <v>1735</v>
      </c>
      <c r="F263" s="4">
        <v>3055</v>
      </c>
    </row>
    <row r="264" spans="1:6" hidden="1" x14ac:dyDescent="0.75">
      <c r="A264">
        <v>2312</v>
      </c>
      <c r="B264" t="s">
        <v>200</v>
      </c>
      <c r="C264" t="s">
        <v>526</v>
      </c>
      <c r="D264" s="4">
        <v>2633</v>
      </c>
      <c r="E264" s="4">
        <v>2441</v>
      </c>
      <c r="F264" s="4">
        <v>5074</v>
      </c>
    </row>
    <row r="265" spans="1:6" hidden="1" x14ac:dyDescent="0.75">
      <c r="A265">
        <v>2312</v>
      </c>
      <c r="B265" t="s">
        <v>200</v>
      </c>
      <c r="C265" t="s">
        <v>525</v>
      </c>
      <c r="D265" s="4">
        <v>301</v>
      </c>
      <c r="E265" s="4">
        <v>296</v>
      </c>
      <c r="F265" s="4">
        <v>597</v>
      </c>
    </row>
    <row r="266" spans="1:6" hidden="1" x14ac:dyDescent="0.75">
      <c r="A266">
        <v>2313</v>
      </c>
      <c r="B266" t="s">
        <v>195</v>
      </c>
      <c r="C266" t="s">
        <v>525</v>
      </c>
      <c r="D266" s="4">
        <v>309</v>
      </c>
      <c r="E266" s="4">
        <v>295</v>
      </c>
      <c r="F266" s="4">
        <v>604</v>
      </c>
    </row>
    <row r="267" spans="1:6" hidden="1" x14ac:dyDescent="0.75">
      <c r="A267">
        <v>2313</v>
      </c>
      <c r="B267" t="s">
        <v>195</v>
      </c>
      <c r="C267" t="s">
        <v>526</v>
      </c>
      <c r="D267" s="4">
        <v>2257</v>
      </c>
      <c r="E267" s="4">
        <v>2558</v>
      </c>
      <c r="F267" s="4">
        <v>4815</v>
      </c>
    </row>
    <row r="268" spans="1:6" hidden="1" x14ac:dyDescent="0.75">
      <c r="A268">
        <v>2314</v>
      </c>
      <c r="B268" t="s">
        <v>229</v>
      </c>
      <c r="C268" t="s">
        <v>526</v>
      </c>
      <c r="D268" s="4">
        <v>1278</v>
      </c>
      <c r="E268" s="4">
        <v>1215</v>
      </c>
      <c r="F268" s="4">
        <v>2493</v>
      </c>
    </row>
    <row r="269" spans="1:6" hidden="1" x14ac:dyDescent="0.75">
      <c r="A269">
        <v>2316</v>
      </c>
      <c r="B269" t="s">
        <v>228</v>
      </c>
      <c r="C269" t="s">
        <v>526</v>
      </c>
      <c r="D269" s="4">
        <v>1186</v>
      </c>
      <c r="E269" s="4">
        <v>1211</v>
      </c>
      <c r="F269" s="4">
        <v>2397</v>
      </c>
    </row>
    <row r="270" spans="1:6" hidden="1" x14ac:dyDescent="0.75">
      <c r="A270">
        <v>2316</v>
      </c>
      <c r="B270" t="s">
        <v>228</v>
      </c>
      <c r="C270" t="s">
        <v>525</v>
      </c>
      <c r="D270" s="4">
        <v>9</v>
      </c>
      <c r="E270" s="4">
        <v>7</v>
      </c>
      <c r="F270" s="4">
        <v>16</v>
      </c>
    </row>
    <row r="271" spans="1:6" hidden="1" x14ac:dyDescent="0.75">
      <c r="A271">
        <v>2318</v>
      </c>
      <c r="B271" t="s">
        <v>262</v>
      </c>
      <c r="C271" t="s">
        <v>526</v>
      </c>
      <c r="D271" s="4">
        <v>487</v>
      </c>
      <c r="E271" s="4">
        <v>502</v>
      </c>
      <c r="F271" s="4">
        <v>989</v>
      </c>
    </row>
    <row r="272" spans="1:6" hidden="1" x14ac:dyDescent="0.75">
      <c r="A272">
        <v>2319</v>
      </c>
      <c r="B272" t="s">
        <v>179</v>
      </c>
      <c r="C272" t="s">
        <v>526</v>
      </c>
      <c r="D272" s="4">
        <v>5997</v>
      </c>
      <c r="E272" s="4">
        <v>6098</v>
      </c>
      <c r="F272" s="4">
        <v>12095</v>
      </c>
    </row>
    <row r="273" spans="1:6" hidden="1" x14ac:dyDescent="0.75">
      <c r="A273">
        <v>2319</v>
      </c>
      <c r="B273" t="s">
        <v>179</v>
      </c>
      <c r="C273" t="s">
        <v>525</v>
      </c>
      <c r="D273" s="4">
        <v>359</v>
      </c>
      <c r="E273" s="4">
        <v>433</v>
      </c>
      <c r="F273" s="4">
        <v>792</v>
      </c>
    </row>
    <row r="274" spans="1:6" hidden="1" x14ac:dyDescent="0.75">
      <c r="A274">
        <v>2320</v>
      </c>
      <c r="B274" t="s">
        <v>198</v>
      </c>
      <c r="C274" t="s">
        <v>525</v>
      </c>
      <c r="D274" s="4">
        <v>42</v>
      </c>
      <c r="E274" s="4">
        <v>49</v>
      </c>
      <c r="F274" s="4">
        <v>91</v>
      </c>
    </row>
    <row r="275" spans="1:6" hidden="1" x14ac:dyDescent="0.75">
      <c r="A275">
        <v>2320</v>
      </c>
      <c r="B275" t="s">
        <v>198</v>
      </c>
      <c r="C275" t="s">
        <v>526</v>
      </c>
      <c r="D275" s="4">
        <v>3156</v>
      </c>
      <c r="E275" s="4">
        <v>2577</v>
      </c>
      <c r="F275" s="4">
        <v>5733</v>
      </c>
    </row>
    <row r="276" spans="1:6" hidden="1" x14ac:dyDescent="0.75">
      <c r="A276">
        <v>2329</v>
      </c>
      <c r="B276" t="s">
        <v>230</v>
      </c>
      <c r="C276" t="s">
        <v>525</v>
      </c>
      <c r="D276" s="4">
        <v>126</v>
      </c>
      <c r="E276" s="4">
        <v>7</v>
      </c>
      <c r="F276" s="4">
        <v>133</v>
      </c>
    </row>
    <row r="277" spans="1:6" hidden="1" x14ac:dyDescent="0.75">
      <c r="A277">
        <v>2329</v>
      </c>
      <c r="B277" t="s">
        <v>230</v>
      </c>
      <c r="C277" t="s">
        <v>526</v>
      </c>
      <c r="D277" s="4">
        <v>1559</v>
      </c>
      <c r="E277" s="4">
        <v>1076</v>
      </c>
      <c r="F277" s="4">
        <v>2635</v>
      </c>
    </row>
    <row r="278" spans="1:6" hidden="1" x14ac:dyDescent="0.75">
      <c r="A278">
        <v>2331</v>
      </c>
      <c r="B278" t="s">
        <v>213</v>
      </c>
      <c r="C278" t="s">
        <v>525</v>
      </c>
      <c r="D278" s="4">
        <v>201</v>
      </c>
      <c r="E278" s="4">
        <v>200</v>
      </c>
      <c r="F278" s="4">
        <v>401</v>
      </c>
    </row>
    <row r="279" spans="1:6" hidden="1" x14ac:dyDescent="0.75">
      <c r="A279">
        <v>2331</v>
      </c>
      <c r="B279" t="s">
        <v>213</v>
      </c>
      <c r="C279" t="s">
        <v>526</v>
      </c>
      <c r="D279" s="4">
        <v>1171</v>
      </c>
      <c r="E279" s="4">
        <v>1452</v>
      </c>
      <c r="F279" s="4">
        <v>2623</v>
      </c>
    </row>
    <row r="280" spans="1:6" hidden="1" x14ac:dyDescent="0.75">
      <c r="A280">
        <v>2333</v>
      </c>
      <c r="B280" t="s">
        <v>181</v>
      </c>
      <c r="C280" t="s">
        <v>527</v>
      </c>
      <c r="D280" s="4">
        <v>252</v>
      </c>
      <c r="E280" s="4">
        <v>246</v>
      </c>
      <c r="F280" s="4">
        <v>498</v>
      </c>
    </row>
    <row r="281" spans="1:6" hidden="1" x14ac:dyDescent="0.75">
      <c r="A281">
        <v>2333</v>
      </c>
      <c r="B281" t="s">
        <v>181</v>
      </c>
      <c r="C281" t="s">
        <v>526</v>
      </c>
      <c r="D281" s="4">
        <v>3666</v>
      </c>
      <c r="E281" s="4">
        <v>3735</v>
      </c>
      <c r="F281" s="4">
        <v>7401</v>
      </c>
    </row>
    <row r="282" spans="1:6" hidden="1" x14ac:dyDescent="0.75">
      <c r="A282">
        <v>2333</v>
      </c>
      <c r="B282" t="s">
        <v>181</v>
      </c>
      <c r="C282" t="s">
        <v>525</v>
      </c>
      <c r="D282" s="4">
        <v>1125</v>
      </c>
      <c r="E282" s="4">
        <v>1098</v>
      </c>
      <c r="F282" s="4">
        <v>2223</v>
      </c>
    </row>
    <row r="283" spans="1:6" hidden="1" x14ac:dyDescent="0.75">
      <c r="A283">
        <v>2336</v>
      </c>
      <c r="B283" t="s">
        <v>289</v>
      </c>
      <c r="C283" t="s">
        <v>526</v>
      </c>
      <c r="D283" s="4">
        <v>173</v>
      </c>
      <c r="E283" s="4">
        <v>223</v>
      </c>
      <c r="F283" s="4">
        <v>396</v>
      </c>
    </row>
    <row r="284" spans="1:6" hidden="1" x14ac:dyDescent="0.75">
      <c r="A284">
        <v>2341</v>
      </c>
      <c r="B284" t="s">
        <v>184</v>
      </c>
      <c r="C284" t="s">
        <v>526</v>
      </c>
      <c r="D284" s="4">
        <v>2853</v>
      </c>
      <c r="E284" s="4">
        <v>3493</v>
      </c>
      <c r="F284" s="4">
        <v>6346</v>
      </c>
    </row>
    <row r="285" spans="1:6" hidden="1" x14ac:dyDescent="0.75">
      <c r="A285">
        <v>2341</v>
      </c>
      <c r="B285" t="s">
        <v>184</v>
      </c>
      <c r="C285" t="s">
        <v>525</v>
      </c>
      <c r="D285" s="4">
        <v>358</v>
      </c>
      <c r="E285" s="4">
        <v>337</v>
      </c>
      <c r="F285" s="4">
        <v>695</v>
      </c>
    </row>
    <row r="286" spans="1:6" hidden="1" x14ac:dyDescent="0.75">
      <c r="A286">
        <v>2342</v>
      </c>
      <c r="B286" t="s">
        <v>242</v>
      </c>
      <c r="C286" t="s">
        <v>525</v>
      </c>
      <c r="D286" s="4">
        <v>10</v>
      </c>
      <c r="E286" s="4">
        <v>30</v>
      </c>
      <c r="F286" s="4">
        <v>40</v>
      </c>
    </row>
    <row r="287" spans="1:6" hidden="1" x14ac:dyDescent="0.75">
      <c r="A287">
        <v>2342</v>
      </c>
      <c r="B287" t="s">
        <v>242</v>
      </c>
      <c r="C287" t="s">
        <v>526</v>
      </c>
      <c r="D287" s="4">
        <v>2978</v>
      </c>
      <c r="E287" s="4">
        <v>2537</v>
      </c>
      <c r="F287" s="4">
        <v>5515</v>
      </c>
    </row>
    <row r="288" spans="1:6" hidden="1" x14ac:dyDescent="0.75">
      <c r="A288">
        <v>2343</v>
      </c>
      <c r="B288" t="s">
        <v>265</v>
      </c>
      <c r="C288" t="s">
        <v>526</v>
      </c>
      <c r="D288" s="4">
        <v>1436</v>
      </c>
      <c r="E288" s="4">
        <v>1737</v>
      </c>
      <c r="F288" s="4">
        <v>3173</v>
      </c>
    </row>
    <row r="289" spans="1:6" hidden="1" x14ac:dyDescent="0.75">
      <c r="A289">
        <v>2344</v>
      </c>
      <c r="B289" t="s">
        <v>205</v>
      </c>
      <c r="C289" t="s">
        <v>526</v>
      </c>
      <c r="D289" s="4">
        <v>2004</v>
      </c>
      <c r="E289" s="4">
        <v>2467</v>
      </c>
      <c r="F289" s="4">
        <v>4471</v>
      </c>
    </row>
    <row r="290" spans="1:6" hidden="1" x14ac:dyDescent="0.75">
      <c r="A290">
        <v>2351</v>
      </c>
      <c r="B290" t="s">
        <v>173</v>
      </c>
      <c r="C290" t="s">
        <v>526</v>
      </c>
      <c r="D290" s="4">
        <v>6724</v>
      </c>
      <c r="E290" s="4">
        <v>7021</v>
      </c>
      <c r="F290" s="4">
        <v>13745</v>
      </c>
    </row>
    <row r="291" spans="1:6" hidden="1" x14ac:dyDescent="0.75">
      <c r="A291">
        <v>2351</v>
      </c>
      <c r="B291" t="s">
        <v>173</v>
      </c>
      <c r="C291" t="s">
        <v>525</v>
      </c>
      <c r="D291" s="4">
        <v>0</v>
      </c>
      <c r="E291" s="4">
        <v>1</v>
      </c>
      <c r="F291" s="4">
        <v>1</v>
      </c>
    </row>
    <row r="292" spans="1:6" hidden="1" x14ac:dyDescent="0.75">
      <c r="A292">
        <v>2353</v>
      </c>
      <c r="B292" t="s">
        <v>251</v>
      </c>
      <c r="C292" t="s">
        <v>526</v>
      </c>
      <c r="D292" s="4">
        <v>1444</v>
      </c>
      <c r="E292" s="4">
        <v>1285</v>
      </c>
      <c r="F292" s="4">
        <v>2729</v>
      </c>
    </row>
    <row r="293" spans="1:6" hidden="1" x14ac:dyDescent="0.75">
      <c r="A293">
        <v>2354</v>
      </c>
      <c r="B293" t="s">
        <v>303</v>
      </c>
      <c r="C293" t="s">
        <v>525</v>
      </c>
      <c r="D293" s="4">
        <v>3</v>
      </c>
      <c r="E293" s="4">
        <v>2</v>
      </c>
      <c r="F293" s="4">
        <v>5</v>
      </c>
    </row>
    <row r="294" spans="1:6" hidden="1" x14ac:dyDescent="0.75">
      <c r="A294">
        <v>2354</v>
      </c>
      <c r="B294" t="s">
        <v>303</v>
      </c>
      <c r="C294" t="s">
        <v>526</v>
      </c>
      <c r="D294" s="4">
        <v>80</v>
      </c>
      <c r="E294" s="4">
        <v>58</v>
      </c>
      <c r="F294" s="4">
        <v>138</v>
      </c>
    </row>
    <row r="295" spans="1:6" hidden="1" x14ac:dyDescent="0.75">
      <c r="A295">
        <v>2358</v>
      </c>
      <c r="B295" t="s">
        <v>168</v>
      </c>
      <c r="C295" t="s">
        <v>525</v>
      </c>
      <c r="D295" s="4">
        <v>634</v>
      </c>
      <c r="E295" s="4">
        <v>600</v>
      </c>
      <c r="F295" s="4">
        <v>1234</v>
      </c>
    </row>
    <row r="296" spans="1:6" hidden="1" x14ac:dyDescent="0.75">
      <c r="A296">
        <v>2358</v>
      </c>
      <c r="B296" t="s">
        <v>168</v>
      </c>
      <c r="C296" t="s">
        <v>526</v>
      </c>
      <c r="D296" s="4">
        <v>10190</v>
      </c>
      <c r="E296" s="4">
        <v>9897</v>
      </c>
      <c r="F296" s="4">
        <v>20087</v>
      </c>
    </row>
    <row r="297" spans="1:6" hidden="1" x14ac:dyDescent="0.75">
      <c r="A297">
        <v>2359</v>
      </c>
      <c r="B297" t="s">
        <v>272</v>
      </c>
      <c r="C297" t="s">
        <v>526</v>
      </c>
      <c r="D297" s="4">
        <v>2</v>
      </c>
      <c r="E297" s="4">
        <v>0</v>
      </c>
      <c r="F297" s="4">
        <v>2</v>
      </c>
    </row>
    <row r="298" spans="1:6" hidden="1" x14ac:dyDescent="0.75">
      <c r="A298">
        <v>2359</v>
      </c>
      <c r="B298" t="s">
        <v>272</v>
      </c>
      <c r="C298" t="s">
        <v>525</v>
      </c>
      <c r="D298" s="4">
        <v>232</v>
      </c>
      <c r="E298" s="4">
        <v>0</v>
      </c>
      <c r="F298" s="4">
        <v>232</v>
      </c>
    </row>
    <row r="299" spans="1:6" hidden="1" x14ac:dyDescent="0.75">
      <c r="A299">
        <v>2360</v>
      </c>
      <c r="B299" t="s">
        <v>270</v>
      </c>
      <c r="C299" t="s">
        <v>526</v>
      </c>
      <c r="D299" s="4">
        <v>428</v>
      </c>
      <c r="E299" s="4">
        <v>414</v>
      </c>
      <c r="F299" s="4">
        <v>842</v>
      </c>
    </row>
    <row r="300" spans="1:6" hidden="1" x14ac:dyDescent="0.75">
      <c r="A300">
        <v>2361</v>
      </c>
      <c r="B300" t="s">
        <v>351</v>
      </c>
      <c r="C300" t="s">
        <v>526</v>
      </c>
      <c r="D300" s="4">
        <v>1</v>
      </c>
      <c r="E300" s="4">
        <v>1</v>
      </c>
      <c r="F300" s="4">
        <v>2</v>
      </c>
    </row>
    <row r="301" spans="1:6" hidden="1" x14ac:dyDescent="0.75">
      <c r="A301">
        <v>2362</v>
      </c>
      <c r="B301" t="s">
        <v>259</v>
      </c>
      <c r="C301" t="s">
        <v>525</v>
      </c>
      <c r="D301" s="4">
        <v>16</v>
      </c>
      <c r="E301" s="4">
        <v>11</v>
      </c>
      <c r="F301" s="4">
        <v>27</v>
      </c>
    </row>
    <row r="302" spans="1:6" hidden="1" x14ac:dyDescent="0.75">
      <c r="A302">
        <v>2362</v>
      </c>
      <c r="B302" t="s">
        <v>259</v>
      </c>
      <c r="C302" t="s">
        <v>526</v>
      </c>
      <c r="D302" s="4">
        <v>620</v>
      </c>
      <c r="E302" s="4">
        <v>609</v>
      </c>
      <c r="F302" s="4">
        <v>1229</v>
      </c>
    </row>
    <row r="303" spans="1:6" hidden="1" x14ac:dyDescent="0.75">
      <c r="A303">
        <v>2363</v>
      </c>
      <c r="B303" t="s">
        <v>164</v>
      </c>
      <c r="C303" t="s">
        <v>527</v>
      </c>
      <c r="D303" s="4">
        <v>53</v>
      </c>
      <c r="E303" s="4">
        <v>53</v>
      </c>
      <c r="F303" s="4">
        <v>106</v>
      </c>
    </row>
    <row r="304" spans="1:6" hidden="1" x14ac:dyDescent="0.75">
      <c r="A304">
        <v>2363</v>
      </c>
      <c r="B304" t="s">
        <v>164</v>
      </c>
      <c r="C304" t="s">
        <v>525</v>
      </c>
      <c r="D304" s="4">
        <v>1414</v>
      </c>
      <c r="E304" s="4">
        <v>1391</v>
      </c>
      <c r="F304" s="4">
        <v>2805</v>
      </c>
    </row>
    <row r="305" spans="1:6" hidden="1" x14ac:dyDescent="0.75">
      <c r="A305">
        <v>2363</v>
      </c>
      <c r="B305" t="s">
        <v>164</v>
      </c>
      <c r="C305" t="s">
        <v>526</v>
      </c>
      <c r="D305" s="4">
        <v>10812</v>
      </c>
      <c r="E305" s="4">
        <v>11626</v>
      </c>
      <c r="F305" s="4">
        <v>22438</v>
      </c>
    </row>
    <row r="306" spans="1:6" hidden="1" x14ac:dyDescent="0.75">
      <c r="A306">
        <v>2365</v>
      </c>
      <c r="B306" t="s">
        <v>241</v>
      </c>
      <c r="C306" t="s">
        <v>526</v>
      </c>
      <c r="D306" s="4">
        <v>734</v>
      </c>
      <c r="E306" s="4">
        <v>830</v>
      </c>
      <c r="F306" s="4">
        <v>1564</v>
      </c>
    </row>
    <row r="307" spans="1:6" hidden="1" x14ac:dyDescent="0.75">
      <c r="A307">
        <v>2365</v>
      </c>
      <c r="B307" t="s">
        <v>241</v>
      </c>
      <c r="C307" t="s">
        <v>525</v>
      </c>
      <c r="D307" s="4">
        <v>10</v>
      </c>
      <c r="E307" s="4">
        <v>9</v>
      </c>
      <c r="F307" s="4">
        <v>19</v>
      </c>
    </row>
    <row r="308" spans="1:6" hidden="1" x14ac:dyDescent="0.75">
      <c r="A308">
        <v>2368</v>
      </c>
      <c r="B308" t="s">
        <v>196</v>
      </c>
      <c r="C308" t="s">
        <v>526</v>
      </c>
      <c r="D308" s="4">
        <v>1669</v>
      </c>
      <c r="E308" s="4">
        <v>2606</v>
      </c>
      <c r="F308" s="4">
        <v>4275</v>
      </c>
    </row>
    <row r="309" spans="1:6" hidden="1" x14ac:dyDescent="0.75">
      <c r="A309">
        <v>2368</v>
      </c>
      <c r="B309" t="s">
        <v>196</v>
      </c>
      <c r="C309" t="s">
        <v>525</v>
      </c>
      <c r="D309" s="4">
        <v>56</v>
      </c>
      <c r="E309" s="4">
        <v>54</v>
      </c>
      <c r="F309" s="4">
        <v>110</v>
      </c>
    </row>
    <row r="310" spans="1:6" hidden="1" x14ac:dyDescent="0.75">
      <c r="A310">
        <v>2369</v>
      </c>
      <c r="B310" t="s">
        <v>284</v>
      </c>
      <c r="C310" t="s">
        <v>526</v>
      </c>
      <c r="D310" s="4">
        <v>267</v>
      </c>
      <c r="E310" s="4">
        <v>249</v>
      </c>
      <c r="F310" s="4">
        <v>516</v>
      </c>
    </row>
    <row r="311" spans="1:6" hidden="1" x14ac:dyDescent="0.75">
      <c r="A311">
        <v>2369</v>
      </c>
      <c r="B311" t="s">
        <v>284</v>
      </c>
      <c r="C311" t="s">
        <v>525</v>
      </c>
      <c r="D311" s="4">
        <v>8</v>
      </c>
      <c r="E311" s="4">
        <v>8</v>
      </c>
      <c r="F311" s="4">
        <v>16</v>
      </c>
    </row>
    <row r="312" spans="1:6" hidden="1" x14ac:dyDescent="0.75">
      <c r="A312">
        <v>2370</v>
      </c>
      <c r="B312" t="s">
        <v>186</v>
      </c>
      <c r="C312" t="s">
        <v>526</v>
      </c>
      <c r="D312" s="4">
        <v>3714</v>
      </c>
      <c r="E312" s="4">
        <v>3681</v>
      </c>
      <c r="F312" s="4">
        <v>7395</v>
      </c>
    </row>
    <row r="313" spans="1:6" hidden="1" x14ac:dyDescent="0.75">
      <c r="A313">
        <v>2370</v>
      </c>
      <c r="B313" t="s">
        <v>186</v>
      </c>
      <c r="C313" t="s">
        <v>525</v>
      </c>
      <c r="D313" s="4">
        <v>657</v>
      </c>
      <c r="E313" s="4">
        <v>636</v>
      </c>
      <c r="F313" s="4">
        <v>1293</v>
      </c>
    </row>
    <row r="314" spans="1:6" hidden="1" x14ac:dyDescent="0.75">
      <c r="A314">
        <v>2371</v>
      </c>
      <c r="B314" t="s">
        <v>238</v>
      </c>
      <c r="C314" t="s">
        <v>526</v>
      </c>
      <c r="D314" s="4">
        <v>935</v>
      </c>
      <c r="E314" s="4">
        <v>871</v>
      </c>
      <c r="F314" s="4">
        <v>1806</v>
      </c>
    </row>
    <row r="315" spans="1:6" hidden="1" x14ac:dyDescent="0.75">
      <c r="A315">
        <v>2371</v>
      </c>
      <c r="B315" t="s">
        <v>238</v>
      </c>
      <c r="C315" t="s">
        <v>525</v>
      </c>
      <c r="D315" s="4">
        <v>154</v>
      </c>
      <c r="E315" s="4">
        <v>159</v>
      </c>
      <c r="F315" s="4">
        <v>313</v>
      </c>
    </row>
    <row r="316" spans="1:6" hidden="1" x14ac:dyDescent="0.75">
      <c r="A316">
        <v>2372</v>
      </c>
      <c r="B316" t="s">
        <v>225</v>
      </c>
      <c r="C316" t="s">
        <v>526</v>
      </c>
      <c r="D316" s="4">
        <v>1304</v>
      </c>
      <c r="E316" s="4">
        <v>1287</v>
      </c>
      <c r="F316" s="4">
        <v>2591</v>
      </c>
    </row>
    <row r="317" spans="1:6" hidden="1" x14ac:dyDescent="0.75">
      <c r="A317">
        <v>2372</v>
      </c>
      <c r="B317" t="s">
        <v>225</v>
      </c>
      <c r="C317" t="s">
        <v>525</v>
      </c>
      <c r="D317" s="4">
        <v>143</v>
      </c>
      <c r="E317" s="4">
        <v>132</v>
      </c>
      <c r="F317" s="4">
        <v>275</v>
      </c>
    </row>
    <row r="318" spans="1:6" hidden="1" x14ac:dyDescent="0.75">
      <c r="A318">
        <v>2373</v>
      </c>
      <c r="B318" t="s">
        <v>310</v>
      </c>
      <c r="C318" t="s">
        <v>526</v>
      </c>
      <c r="D318" s="4">
        <v>9</v>
      </c>
      <c r="E318" s="4">
        <v>8</v>
      </c>
      <c r="F318" s="4">
        <v>17</v>
      </c>
    </row>
    <row r="319" spans="1:6" hidden="1" x14ac:dyDescent="0.75">
      <c r="A319">
        <v>2373</v>
      </c>
      <c r="B319" t="s">
        <v>310</v>
      </c>
      <c r="C319" t="s">
        <v>525</v>
      </c>
      <c r="D319" s="4">
        <v>27</v>
      </c>
      <c r="E319" s="4">
        <v>23</v>
      </c>
      <c r="F319" s="4">
        <v>50</v>
      </c>
    </row>
    <row r="320" spans="1:6" hidden="1" x14ac:dyDescent="0.75">
      <c r="A320">
        <v>2382</v>
      </c>
      <c r="B320" t="s">
        <v>300</v>
      </c>
      <c r="C320" t="s">
        <v>526</v>
      </c>
      <c r="D320" s="4">
        <v>372</v>
      </c>
      <c r="E320" s="4">
        <v>552</v>
      </c>
      <c r="F320" s="4">
        <v>924</v>
      </c>
    </row>
    <row r="321" spans="1:6" hidden="1" x14ac:dyDescent="0.75">
      <c r="A321">
        <v>2383</v>
      </c>
      <c r="B321" t="s">
        <v>206</v>
      </c>
      <c r="C321" t="s">
        <v>525</v>
      </c>
      <c r="D321" s="4">
        <v>793</v>
      </c>
      <c r="E321" s="4">
        <v>576</v>
      </c>
      <c r="F321" s="4">
        <v>1369</v>
      </c>
    </row>
    <row r="322" spans="1:6" hidden="1" x14ac:dyDescent="0.75">
      <c r="A322">
        <v>2383</v>
      </c>
      <c r="B322" t="s">
        <v>206</v>
      </c>
      <c r="C322" t="s">
        <v>526</v>
      </c>
      <c r="D322" s="4">
        <v>1469</v>
      </c>
      <c r="E322" s="4">
        <v>1441</v>
      </c>
      <c r="F322" s="4">
        <v>2910</v>
      </c>
    </row>
    <row r="323" spans="1:6" hidden="1" x14ac:dyDescent="0.75">
      <c r="A323">
        <v>2385</v>
      </c>
      <c r="B323" t="s">
        <v>244</v>
      </c>
      <c r="C323" t="s">
        <v>525</v>
      </c>
      <c r="D323" s="4">
        <v>22</v>
      </c>
      <c r="E323" s="4">
        <v>18</v>
      </c>
      <c r="F323" s="4">
        <v>40</v>
      </c>
    </row>
    <row r="324" spans="1:6" hidden="1" x14ac:dyDescent="0.75">
      <c r="A324">
        <v>2385</v>
      </c>
      <c r="B324" t="s">
        <v>244</v>
      </c>
      <c r="C324" t="s">
        <v>526</v>
      </c>
      <c r="D324" s="4">
        <v>1353</v>
      </c>
      <c r="E324" s="4">
        <v>1321</v>
      </c>
      <c r="F324" s="4">
        <v>2674</v>
      </c>
    </row>
    <row r="325" spans="1:6" hidden="1" x14ac:dyDescent="0.75">
      <c r="A325">
        <v>2392</v>
      </c>
      <c r="B325" t="s">
        <v>308</v>
      </c>
      <c r="C325" t="s">
        <v>526</v>
      </c>
      <c r="D325" s="4">
        <v>198</v>
      </c>
      <c r="E325" s="4">
        <v>198</v>
      </c>
      <c r="F325" s="4">
        <v>396</v>
      </c>
    </row>
    <row r="326" spans="1:6" x14ac:dyDescent="0.75">
      <c r="A326">
        <v>2393</v>
      </c>
      <c r="B326" t="s">
        <v>116</v>
      </c>
      <c r="C326" t="s">
        <v>527</v>
      </c>
      <c r="D326" s="4">
        <v>1164</v>
      </c>
      <c r="E326" s="4">
        <v>1186</v>
      </c>
      <c r="F326" s="4">
        <v>2350</v>
      </c>
    </row>
    <row r="327" spans="1:6" x14ac:dyDescent="0.75">
      <c r="A327">
        <v>2393</v>
      </c>
      <c r="B327" t="s">
        <v>116</v>
      </c>
      <c r="C327" t="s">
        <v>525</v>
      </c>
      <c r="D327" s="4">
        <v>3446</v>
      </c>
      <c r="E327" s="4">
        <v>4134</v>
      </c>
      <c r="F327" s="4">
        <v>7580</v>
      </c>
    </row>
    <row r="328" spans="1:6" x14ac:dyDescent="0.75">
      <c r="A328">
        <v>2393</v>
      </c>
      <c r="B328" t="s">
        <v>116</v>
      </c>
      <c r="C328" t="s">
        <v>526</v>
      </c>
      <c r="D328" s="4">
        <v>165</v>
      </c>
      <c r="E328" s="4">
        <v>95</v>
      </c>
      <c r="F328" s="4">
        <v>260</v>
      </c>
    </row>
    <row r="329" spans="1:6" x14ac:dyDescent="0.75">
      <c r="A329">
        <v>2393</v>
      </c>
      <c r="B329" t="s">
        <v>116</v>
      </c>
      <c r="C329" t="s">
        <v>528</v>
      </c>
      <c r="D329" s="4">
        <v>46</v>
      </c>
      <c r="E329" s="4">
        <v>48</v>
      </c>
      <c r="F329" s="4">
        <v>94</v>
      </c>
    </row>
    <row r="330" spans="1:6" hidden="1" x14ac:dyDescent="0.75">
      <c r="A330">
        <v>2397</v>
      </c>
      <c r="B330" t="s">
        <v>305</v>
      </c>
      <c r="C330" t="s">
        <v>525</v>
      </c>
      <c r="D330" s="4">
        <v>1</v>
      </c>
      <c r="E330" s="4">
        <v>7</v>
      </c>
      <c r="F330" s="4">
        <v>8</v>
      </c>
    </row>
    <row r="331" spans="1:6" hidden="1" x14ac:dyDescent="0.75">
      <c r="A331">
        <v>2397</v>
      </c>
      <c r="B331" t="s">
        <v>305</v>
      </c>
      <c r="C331" t="s">
        <v>526</v>
      </c>
      <c r="D331" s="4">
        <v>4</v>
      </c>
      <c r="E331" s="4">
        <v>60</v>
      </c>
      <c r="F331" s="4">
        <v>64</v>
      </c>
    </row>
    <row r="332" spans="1:6" hidden="1" x14ac:dyDescent="0.75">
      <c r="A332">
        <v>2397</v>
      </c>
      <c r="B332" t="s">
        <v>305</v>
      </c>
      <c r="C332" t="s">
        <v>527</v>
      </c>
      <c r="D332" s="4">
        <v>2</v>
      </c>
      <c r="E332" s="4">
        <v>1</v>
      </c>
      <c r="F332" s="4">
        <v>3</v>
      </c>
    </row>
    <row r="333" spans="1:6" hidden="1" x14ac:dyDescent="0.75">
      <c r="A333">
        <v>2397</v>
      </c>
      <c r="B333" t="s">
        <v>305</v>
      </c>
      <c r="C333" t="s">
        <v>528</v>
      </c>
      <c r="D333" s="4">
        <v>1</v>
      </c>
      <c r="E333" s="4">
        <v>0</v>
      </c>
      <c r="F333" s="4">
        <v>1</v>
      </c>
    </row>
    <row r="334" spans="1:6" hidden="1" x14ac:dyDescent="0.75">
      <c r="A334">
        <v>2398</v>
      </c>
      <c r="B334" t="s">
        <v>224</v>
      </c>
      <c r="C334" t="s">
        <v>525</v>
      </c>
      <c r="D334" s="4">
        <v>508</v>
      </c>
      <c r="E334" s="4">
        <v>540</v>
      </c>
      <c r="F334" s="4">
        <v>1048</v>
      </c>
    </row>
    <row r="335" spans="1:6" hidden="1" x14ac:dyDescent="0.75">
      <c r="A335">
        <v>2398</v>
      </c>
      <c r="B335" t="s">
        <v>224</v>
      </c>
      <c r="C335" t="s">
        <v>528</v>
      </c>
      <c r="D335" s="4">
        <v>2</v>
      </c>
      <c r="E335" s="4">
        <v>0</v>
      </c>
      <c r="F335" s="4">
        <v>2</v>
      </c>
    </row>
    <row r="336" spans="1:6" hidden="1" x14ac:dyDescent="0.75">
      <c r="A336">
        <v>2398</v>
      </c>
      <c r="B336" t="s">
        <v>224</v>
      </c>
      <c r="C336" t="s">
        <v>527</v>
      </c>
      <c r="D336" s="4">
        <v>2</v>
      </c>
      <c r="E336" s="4">
        <v>2</v>
      </c>
      <c r="F336" s="4">
        <v>4</v>
      </c>
    </row>
    <row r="337" spans="1:6" hidden="1" x14ac:dyDescent="0.75">
      <c r="A337">
        <v>2398</v>
      </c>
      <c r="B337" t="s">
        <v>224</v>
      </c>
      <c r="C337" t="s">
        <v>526</v>
      </c>
      <c r="D337" s="4">
        <v>283</v>
      </c>
      <c r="E337" s="4">
        <v>342</v>
      </c>
      <c r="F337" s="4">
        <v>625</v>
      </c>
    </row>
    <row r="338" spans="1:6" hidden="1" x14ac:dyDescent="0.75">
      <c r="A338">
        <v>2399</v>
      </c>
      <c r="B338" t="s">
        <v>232</v>
      </c>
      <c r="C338" t="s">
        <v>525</v>
      </c>
      <c r="D338" s="4">
        <v>487</v>
      </c>
      <c r="E338" s="4">
        <v>496</v>
      </c>
      <c r="F338" s="4">
        <v>983</v>
      </c>
    </row>
    <row r="339" spans="1:6" hidden="1" x14ac:dyDescent="0.75">
      <c r="A339">
        <v>2399</v>
      </c>
      <c r="B339" t="s">
        <v>232</v>
      </c>
      <c r="C339" t="s">
        <v>526</v>
      </c>
      <c r="D339" s="4">
        <v>139</v>
      </c>
      <c r="E339" s="4">
        <v>180</v>
      </c>
      <c r="F339" s="4">
        <v>319</v>
      </c>
    </row>
    <row r="340" spans="1:6" hidden="1" x14ac:dyDescent="0.75">
      <c r="A340">
        <v>2402</v>
      </c>
      <c r="B340" t="s">
        <v>220</v>
      </c>
      <c r="C340" t="s">
        <v>526</v>
      </c>
      <c r="D340" s="4">
        <v>60</v>
      </c>
      <c r="E340" s="4">
        <v>66</v>
      </c>
      <c r="F340" s="4">
        <v>126</v>
      </c>
    </row>
    <row r="341" spans="1:6" hidden="1" x14ac:dyDescent="0.75">
      <c r="A341">
        <v>2402</v>
      </c>
      <c r="B341" t="s">
        <v>220</v>
      </c>
      <c r="C341" t="s">
        <v>525</v>
      </c>
      <c r="D341" s="4">
        <v>696</v>
      </c>
      <c r="E341" s="4">
        <v>456</v>
      </c>
      <c r="F341" s="4">
        <v>1152</v>
      </c>
    </row>
    <row r="342" spans="1:6" hidden="1" x14ac:dyDescent="0.75">
      <c r="A342">
        <v>2408</v>
      </c>
      <c r="B342" t="s">
        <v>58</v>
      </c>
      <c r="C342" t="s">
        <v>529</v>
      </c>
      <c r="D342" s="4">
        <v>129</v>
      </c>
      <c r="E342" s="4">
        <v>128</v>
      </c>
      <c r="F342" s="4">
        <v>257</v>
      </c>
    </row>
    <row r="343" spans="1:6" hidden="1" x14ac:dyDescent="0.75">
      <c r="A343">
        <v>2408</v>
      </c>
      <c r="B343" t="s">
        <v>58</v>
      </c>
      <c r="C343" t="s">
        <v>527</v>
      </c>
      <c r="D343" s="4">
        <v>1020</v>
      </c>
      <c r="E343" s="4">
        <v>1032</v>
      </c>
      <c r="F343" s="4">
        <v>2052</v>
      </c>
    </row>
    <row r="344" spans="1:6" hidden="1" x14ac:dyDescent="0.75">
      <c r="A344">
        <v>2408</v>
      </c>
      <c r="B344" t="s">
        <v>58</v>
      </c>
      <c r="C344" t="s">
        <v>526</v>
      </c>
      <c r="D344" s="4">
        <v>95</v>
      </c>
      <c r="E344" s="4">
        <v>84</v>
      </c>
      <c r="F344" s="4">
        <v>179</v>
      </c>
    </row>
    <row r="345" spans="1:6" hidden="1" x14ac:dyDescent="0.75">
      <c r="A345">
        <v>2408</v>
      </c>
      <c r="B345" t="s">
        <v>58</v>
      </c>
      <c r="C345" t="s">
        <v>528</v>
      </c>
      <c r="D345" s="4">
        <v>19</v>
      </c>
      <c r="E345" s="4">
        <v>19</v>
      </c>
      <c r="F345" s="4">
        <v>38</v>
      </c>
    </row>
    <row r="346" spans="1:6" hidden="1" x14ac:dyDescent="0.75">
      <c r="A346">
        <v>2408</v>
      </c>
      <c r="B346" t="s">
        <v>58</v>
      </c>
      <c r="C346" t="s">
        <v>525</v>
      </c>
      <c r="D346" s="4">
        <v>1645</v>
      </c>
      <c r="E346" s="4">
        <v>1887</v>
      </c>
      <c r="F346" s="4">
        <v>3532</v>
      </c>
    </row>
    <row r="347" spans="1:6" hidden="1" x14ac:dyDescent="0.75">
      <c r="A347">
        <v>2412</v>
      </c>
      <c r="B347" t="s">
        <v>313</v>
      </c>
      <c r="C347" t="s">
        <v>527</v>
      </c>
      <c r="D347" s="4">
        <v>2</v>
      </c>
      <c r="E347" s="4">
        <v>1</v>
      </c>
      <c r="F347" s="4">
        <v>3</v>
      </c>
    </row>
    <row r="348" spans="1:6" hidden="1" x14ac:dyDescent="0.75">
      <c r="A348">
        <v>2412</v>
      </c>
      <c r="B348" t="s">
        <v>313</v>
      </c>
      <c r="C348" t="s">
        <v>525</v>
      </c>
      <c r="D348" s="4">
        <v>11</v>
      </c>
      <c r="E348" s="4">
        <v>6</v>
      </c>
      <c r="F348" s="4">
        <v>17</v>
      </c>
    </row>
    <row r="349" spans="1:6" hidden="1" x14ac:dyDescent="0.75">
      <c r="A349">
        <v>2412</v>
      </c>
      <c r="B349" t="s">
        <v>313</v>
      </c>
      <c r="C349" t="s">
        <v>526</v>
      </c>
      <c r="D349" s="4">
        <v>17</v>
      </c>
      <c r="E349" s="4">
        <v>15</v>
      </c>
      <c r="F349" s="4">
        <v>32</v>
      </c>
    </row>
    <row r="350" spans="1:6" hidden="1" x14ac:dyDescent="0.75">
      <c r="A350">
        <v>2416</v>
      </c>
      <c r="B350" t="s">
        <v>102</v>
      </c>
      <c r="C350" t="s">
        <v>525</v>
      </c>
      <c r="D350" s="4">
        <v>3192</v>
      </c>
      <c r="E350" s="4">
        <v>3286</v>
      </c>
      <c r="F350" s="4">
        <v>6478</v>
      </c>
    </row>
    <row r="351" spans="1:6" hidden="1" x14ac:dyDescent="0.75">
      <c r="A351">
        <v>2416</v>
      </c>
      <c r="B351" t="s">
        <v>102</v>
      </c>
      <c r="C351" t="s">
        <v>526</v>
      </c>
      <c r="D351" s="4">
        <v>205</v>
      </c>
      <c r="E351" s="4">
        <v>169</v>
      </c>
      <c r="F351" s="4">
        <v>374</v>
      </c>
    </row>
    <row r="352" spans="1:6" hidden="1" x14ac:dyDescent="0.75">
      <c r="A352">
        <v>2416</v>
      </c>
      <c r="B352" t="s">
        <v>102</v>
      </c>
      <c r="C352" t="s">
        <v>528</v>
      </c>
      <c r="D352" s="4">
        <v>132</v>
      </c>
      <c r="E352" s="4">
        <v>133</v>
      </c>
      <c r="F352" s="4">
        <v>265</v>
      </c>
    </row>
    <row r="353" spans="1:6" hidden="1" x14ac:dyDescent="0.75">
      <c r="A353">
        <v>2416</v>
      </c>
      <c r="B353" t="s">
        <v>102</v>
      </c>
      <c r="C353" t="s">
        <v>527</v>
      </c>
      <c r="D353" s="4">
        <v>585</v>
      </c>
      <c r="E353" s="4">
        <v>628</v>
      </c>
      <c r="F353" s="4">
        <v>1213</v>
      </c>
    </row>
    <row r="354" spans="1:6" hidden="1" x14ac:dyDescent="0.75">
      <c r="A354">
        <v>2417</v>
      </c>
      <c r="B354" t="s">
        <v>65</v>
      </c>
      <c r="C354" t="s">
        <v>527</v>
      </c>
      <c r="D354" s="4">
        <v>1007</v>
      </c>
      <c r="E354" s="4">
        <v>972</v>
      </c>
      <c r="F354" s="4">
        <v>1979</v>
      </c>
    </row>
    <row r="355" spans="1:6" hidden="1" x14ac:dyDescent="0.75">
      <c r="A355">
        <v>2417</v>
      </c>
      <c r="B355" t="s">
        <v>65</v>
      </c>
      <c r="C355" t="s">
        <v>528</v>
      </c>
      <c r="D355" s="4">
        <v>59</v>
      </c>
      <c r="E355" s="4">
        <v>65</v>
      </c>
      <c r="F355" s="4">
        <v>124</v>
      </c>
    </row>
    <row r="356" spans="1:6" hidden="1" x14ac:dyDescent="0.75">
      <c r="A356">
        <v>2417</v>
      </c>
      <c r="B356" t="s">
        <v>65</v>
      </c>
      <c r="C356" t="s">
        <v>525</v>
      </c>
      <c r="D356" s="4">
        <v>1519</v>
      </c>
      <c r="E356" s="4">
        <v>1496</v>
      </c>
      <c r="F356" s="4">
        <v>3015</v>
      </c>
    </row>
    <row r="357" spans="1:6" hidden="1" x14ac:dyDescent="0.75">
      <c r="A357">
        <v>2417</v>
      </c>
      <c r="B357" t="s">
        <v>65</v>
      </c>
      <c r="C357" t="s">
        <v>529</v>
      </c>
      <c r="D357" s="4">
        <v>0</v>
      </c>
      <c r="E357" s="4">
        <v>2</v>
      </c>
      <c r="F357" s="4">
        <v>2</v>
      </c>
    </row>
    <row r="358" spans="1:6" hidden="1" x14ac:dyDescent="0.75">
      <c r="A358">
        <v>2417</v>
      </c>
      <c r="B358" t="s">
        <v>65</v>
      </c>
      <c r="C358" t="s">
        <v>526</v>
      </c>
      <c r="D358" s="4">
        <v>68</v>
      </c>
      <c r="E358" s="4">
        <v>65</v>
      </c>
      <c r="F358" s="4">
        <v>133</v>
      </c>
    </row>
    <row r="359" spans="1:6" hidden="1" x14ac:dyDescent="0.75">
      <c r="A359">
        <v>2420</v>
      </c>
      <c r="B359" t="s">
        <v>180</v>
      </c>
      <c r="C359" t="s">
        <v>528</v>
      </c>
      <c r="D359" s="4">
        <v>121</v>
      </c>
      <c r="E359" s="4">
        <v>70</v>
      </c>
      <c r="F359" s="4">
        <v>191</v>
      </c>
    </row>
    <row r="360" spans="1:6" hidden="1" x14ac:dyDescent="0.75">
      <c r="A360">
        <v>2420</v>
      </c>
      <c r="B360" t="s">
        <v>180</v>
      </c>
      <c r="C360" t="s">
        <v>526</v>
      </c>
      <c r="D360" s="4">
        <v>75</v>
      </c>
      <c r="E360" s="4">
        <v>71</v>
      </c>
      <c r="F360" s="4">
        <v>146</v>
      </c>
    </row>
    <row r="361" spans="1:6" hidden="1" x14ac:dyDescent="0.75">
      <c r="A361">
        <v>2420</v>
      </c>
      <c r="B361" t="s">
        <v>180</v>
      </c>
      <c r="C361" t="s">
        <v>527</v>
      </c>
      <c r="D361" s="4">
        <v>72</v>
      </c>
      <c r="E361" s="4">
        <v>42</v>
      </c>
      <c r="F361" s="4">
        <v>114</v>
      </c>
    </row>
    <row r="362" spans="1:6" hidden="1" x14ac:dyDescent="0.75">
      <c r="A362">
        <v>2420</v>
      </c>
      <c r="B362" t="s">
        <v>180</v>
      </c>
      <c r="C362" t="s">
        <v>525</v>
      </c>
      <c r="D362" s="4">
        <v>823</v>
      </c>
      <c r="E362" s="4">
        <v>493</v>
      </c>
      <c r="F362" s="4">
        <v>1316</v>
      </c>
    </row>
    <row r="363" spans="1:6" hidden="1" x14ac:dyDescent="0.75">
      <c r="A363">
        <v>2420</v>
      </c>
      <c r="B363" t="s">
        <v>180</v>
      </c>
      <c r="C363" t="s">
        <v>529</v>
      </c>
      <c r="D363" s="4">
        <v>1</v>
      </c>
      <c r="E363" s="4">
        <v>0</v>
      </c>
      <c r="F363" s="4">
        <v>1</v>
      </c>
    </row>
    <row r="364" spans="1:6" hidden="1" x14ac:dyDescent="0.75">
      <c r="A364">
        <v>2422</v>
      </c>
      <c r="B364" t="s">
        <v>306</v>
      </c>
      <c r="C364" t="s">
        <v>525</v>
      </c>
      <c r="D364" s="4">
        <v>29</v>
      </c>
      <c r="E364" s="4">
        <v>10</v>
      </c>
      <c r="F364" s="4">
        <v>39</v>
      </c>
    </row>
    <row r="365" spans="1:6" hidden="1" x14ac:dyDescent="0.75">
      <c r="A365">
        <v>2427</v>
      </c>
      <c r="B365" t="s">
        <v>204</v>
      </c>
      <c r="C365" t="s">
        <v>525</v>
      </c>
      <c r="D365" s="4">
        <v>392</v>
      </c>
      <c r="E365" s="4">
        <v>576</v>
      </c>
      <c r="F365" s="4">
        <v>968</v>
      </c>
    </row>
    <row r="366" spans="1:6" hidden="1" x14ac:dyDescent="0.75">
      <c r="A366">
        <v>2427</v>
      </c>
      <c r="B366" t="s">
        <v>204</v>
      </c>
      <c r="C366" t="s">
        <v>527</v>
      </c>
      <c r="D366" s="4">
        <v>214</v>
      </c>
      <c r="E366" s="4">
        <v>216</v>
      </c>
      <c r="F366" s="4">
        <v>430</v>
      </c>
    </row>
    <row r="367" spans="1:6" hidden="1" x14ac:dyDescent="0.75">
      <c r="A367">
        <v>2427</v>
      </c>
      <c r="B367" t="s">
        <v>204</v>
      </c>
      <c r="C367" t="s">
        <v>526</v>
      </c>
      <c r="D367" s="4">
        <v>102</v>
      </c>
      <c r="E367" s="4">
        <v>100</v>
      </c>
      <c r="F367" s="4">
        <v>202</v>
      </c>
    </row>
    <row r="368" spans="1:6" hidden="1" x14ac:dyDescent="0.75">
      <c r="A368">
        <v>2428</v>
      </c>
      <c r="B368" t="s">
        <v>94</v>
      </c>
      <c r="C368" t="s">
        <v>527</v>
      </c>
      <c r="D368" s="4">
        <v>422</v>
      </c>
      <c r="E368" s="4">
        <v>419</v>
      </c>
      <c r="F368" s="4">
        <v>841</v>
      </c>
    </row>
    <row r="369" spans="1:6" hidden="1" x14ac:dyDescent="0.75">
      <c r="A369">
        <v>2428</v>
      </c>
      <c r="B369" t="s">
        <v>94</v>
      </c>
      <c r="C369" t="s">
        <v>525</v>
      </c>
      <c r="D369" s="4">
        <v>1888</v>
      </c>
      <c r="E369" s="4">
        <v>2342</v>
      </c>
      <c r="F369" s="4">
        <v>4230</v>
      </c>
    </row>
    <row r="370" spans="1:6" hidden="1" x14ac:dyDescent="0.75">
      <c r="A370">
        <v>2428</v>
      </c>
      <c r="B370" t="s">
        <v>94</v>
      </c>
      <c r="C370" t="s">
        <v>526</v>
      </c>
      <c r="D370" s="4">
        <v>161</v>
      </c>
      <c r="E370" s="4">
        <v>129</v>
      </c>
      <c r="F370" s="4">
        <v>290</v>
      </c>
    </row>
    <row r="371" spans="1:6" hidden="1" x14ac:dyDescent="0.75">
      <c r="A371">
        <v>2428</v>
      </c>
      <c r="B371" t="s">
        <v>94</v>
      </c>
      <c r="C371" t="s">
        <v>528</v>
      </c>
      <c r="D371" s="4">
        <v>26</v>
      </c>
      <c r="E371" s="4">
        <v>34</v>
      </c>
      <c r="F371" s="4">
        <v>60</v>
      </c>
    </row>
    <row r="372" spans="1:6" hidden="1" x14ac:dyDescent="0.75">
      <c r="A372">
        <v>2430</v>
      </c>
      <c r="B372" t="s">
        <v>266</v>
      </c>
      <c r="C372" t="s">
        <v>525</v>
      </c>
      <c r="D372" s="4">
        <v>446</v>
      </c>
      <c r="E372" s="4">
        <v>465</v>
      </c>
      <c r="F372" s="4">
        <v>911</v>
      </c>
    </row>
    <row r="373" spans="1:6" hidden="1" x14ac:dyDescent="0.75">
      <c r="A373">
        <v>2436</v>
      </c>
      <c r="B373" t="s">
        <v>93</v>
      </c>
      <c r="C373" t="s">
        <v>525</v>
      </c>
      <c r="D373" s="4">
        <v>3338</v>
      </c>
      <c r="E373" s="4">
        <v>3901</v>
      </c>
      <c r="F373" s="4">
        <v>7239</v>
      </c>
    </row>
    <row r="374" spans="1:6" hidden="1" x14ac:dyDescent="0.75">
      <c r="A374">
        <v>2436</v>
      </c>
      <c r="B374" t="s">
        <v>93</v>
      </c>
      <c r="C374" t="s">
        <v>526</v>
      </c>
      <c r="D374" s="4">
        <v>509</v>
      </c>
      <c r="E374" s="4">
        <v>565</v>
      </c>
      <c r="F374" s="4">
        <v>1074</v>
      </c>
    </row>
    <row r="375" spans="1:6" hidden="1" x14ac:dyDescent="0.75">
      <c r="A375">
        <v>2436</v>
      </c>
      <c r="B375" t="s">
        <v>93</v>
      </c>
      <c r="C375" t="s">
        <v>527</v>
      </c>
      <c r="D375" s="4">
        <v>1860</v>
      </c>
      <c r="E375" s="4">
        <v>1907</v>
      </c>
      <c r="F375" s="4">
        <v>3767</v>
      </c>
    </row>
    <row r="376" spans="1:6" hidden="1" x14ac:dyDescent="0.75">
      <c r="A376">
        <v>2436</v>
      </c>
      <c r="B376" t="s">
        <v>93</v>
      </c>
      <c r="C376" t="s">
        <v>528</v>
      </c>
      <c r="D376" s="4">
        <v>177</v>
      </c>
      <c r="E376" s="4">
        <v>177</v>
      </c>
      <c r="F376" s="4">
        <v>354</v>
      </c>
    </row>
    <row r="377" spans="1:6" hidden="1" x14ac:dyDescent="0.75">
      <c r="A377">
        <v>2437</v>
      </c>
      <c r="B377" t="s">
        <v>197</v>
      </c>
      <c r="C377" t="s">
        <v>525</v>
      </c>
      <c r="D377" s="4">
        <v>211</v>
      </c>
      <c r="E377" s="4">
        <v>168</v>
      </c>
      <c r="F377" s="4">
        <v>379</v>
      </c>
    </row>
    <row r="378" spans="1:6" hidden="1" x14ac:dyDescent="0.75">
      <c r="A378">
        <v>2437</v>
      </c>
      <c r="B378" t="s">
        <v>197</v>
      </c>
      <c r="C378" t="s">
        <v>527</v>
      </c>
      <c r="D378" s="4">
        <v>94</v>
      </c>
      <c r="E378" s="4">
        <v>82</v>
      </c>
      <c r="F378" s="4">
        <v>176</v>
      </c>
    </row>
    <row r="379" spans="1:6" hidden="1" x14ac:dyDescent="0.75">
      <c r="A379">
        <v>2437</v>
      </c>
      <c r="B379" t="s">
        <v>197</v>
      </c>
      <c r="C379" t="s">
        <v>529</v>
      </c>
      <c r="D379" s="4">
        <v>69</v>
      </c>
      <c r="E379" s="4">
        <v>63</v>
      </c>
      <c r="F379" s="4">
        <v>132</v>
      </c>
    </row>
    <row r="380" spans="1:6" hidden="1" x14ac:dyDescent="0.75">
      <c r="A380">
        <v>2437</v>
      </c>
      <c r="B380" t="s">
        <v>197</v>
      </c>
      <c r="C380" t="s">
        <v>526</v>
      </c>
      <c r="D380" s="4">
        <v>3</v>
      </c>
      <c r="E380" s="4">
        <v>4</v>
      </c>
      <c r="F380" s="4">
        <v>7</v>
      </c>
    </row>
    <row r="381" spans="1:6" hidden="1" x14ac:dyDescent="0.75">
      <c r="A381">
        <v>2437</v>
      </c>
      <c r="B381" t="s">
        <v>197</v>
      </c>
      <c r="C381" t="s">
        <v>528</v>
      </c>
      <c r="D381" s="4">
        <v>27</v>
      </c>
      <c r="E381" s="4">
        <v>30</v>
      </c>
      <c r="F381" s="4">
        <v>57</v>
      </c>
    </row>
    <row r="382" spans="1:6" hidden="1" x14ac:dyDescent="0.75">
      <c r="A382">
        <v>2438</v>
      </c>
      <c r="B382" t="s">
        <v>209</v>
      </c>
      <c r="C382" t="s">
        <v>526</v>
      </c>
      <c r="D382" s="4">
        <v>1149</v>
      </c>
      <c r="E382" s="4">
        <v>1091</v>
      </c>
      <c r="F382" s="4">
        <v>2240</v>
      </c>
    </row>
    <row r="383" spans="1:6" hidden="1" x14ac:dyDescent="0.75">
      <c r="A383">
        <v>2438</v>
      </c>
      <c r="B383" t="s">
        <v>209</v>
      </c>
      <c r="C383" t="s">
        <v>525</v>
      </c>
      <c r="D383" s="4">
        <v>2162</v>
      </c>
      <c r="E383" s="4">
        <v>2147</v>
      </c>
      <c r="F383" s="4">
        <v>4309</v>
      </c>
    </row>
    <row r="384" spans="1:6" hidden="1" x14ac:dyDescent="0.75">
      <c r="A384">
        <v>2439</v>
      </c>
      <c r="B384" t="s">
        <v>219</v>
      </c>
      <c r="C384" t="s">
        <v>525</v>
      </c>
      <c r="D384" s="4">
        <v>138</v>
      </c>
      <c r="E384" s="4">
        <v>84</v>
      </c>
      <c r="F384" s="4">
        <v>222</v>
      </c>
    </row>
    <row r="385" spans="1:6" hidden="1" x14ac:dyDescent="0.75">
      <c r="A385">
        <v>2439</v>
      </c>
      <c r="B385" t="s">
        <v>219</v>
      </c>
      <c r="C385" t="s">
        <v>526</v>
      </c>
      <c r="D385" s="4">
        <v>1147</v>
      </c>
      <c r="E385" s="4">
        <v>996</v>
      </c>
      <c r="F385" s="4">
        <v>2143</v>
      </c>
    </row>
    <row r="386" spans="1:6" hidden="1" x14ac:dyDescent="0.75">
      <c r="A386">
        <v>2440</v>
      </c>
      <c r="B386" t="s">
        <v>45</v>
      </c>
      <c r="C386" t="s">
        <v>529</v>
      </c>
      <c r="D386" s="4">
        <v>162</v>
      </c>
      <c r="E386" s="4">
        <v>163</v>
      </c>
      <c r="F386" s="4">
        <v>325</v>
      </c>
    </row>
    <row r="387" spans="1:6" hidden="1" x14ac:dyDescent="0.75">
      <c r="A387">
        <v>2440</v>
      </c>
      <c r="B387" t="s">
        <v>45</v>
      </c>
      <c r="C387" t="s">
        <v>526</v>
      </c>
      <c r="D387" s="4">
        <v>120</v>
      </c>
      <c r="E387" s="4">
        <v>188</v>
      </c>
      <c r="F387" s="4">
        <v>308</v>
      </c>
    </row>
    <row r="388" spans="1:6" hidden="1" x14ac:dyDescent="0.75">
      <c r="A388">
        <v>2440</v>
      </c>
      <c r="B388" t="s">
        <v>45</v>
      </c>
      <c r="C388" t="s">
        <v>527</v>
      </c>
      <c r="D388" s="4">
        <v>7</v>
      </c>
      <c r="E388" s="4">
        <v>6</v>
      </c>
      <c r="F388" s="4">
        <v>13</v>
      </c>
    </row>
    <row r="389" spans="1:6" hidden="1" x14ac:dyDescent="0.75">
      <c r="A389">
        <v>2440</v>
      </c>
      <c r="B389" t="s">
        <v>45</v>
      </c>
      <c r="C389" t="s">
        <v>528</v>
      </c>
      <c r="D389" s="4">
        <v>25</v>
      </c>
      <c r="E389" s="4">
        <v>24</v>
      </c>
      <c r="F389" s="4">
        <v>49</v>
      </c>
    </row>
    <row r="390" spans="1:6" hidden="1" x14ac:dyDescent="0.75">
      <c r="A390">
        <v>2441</v>
      </c>
      <c r="B390" t="s">
        <v>64</v>
      </c>
      <c r="C390" t="s">
        <v>525</v>
      </c>
      <c r="D390" s="4">
        <v>200</v>
      </c>
      <c r="E390" s="4">
        <v>144</v>
      </c>
      <c r="F390" s="4">
        <v>344</v>
      </c>
    </row>
    <row r="391" spans="1:6" hidden="1" x14ac:dyDescent="0.75">
      <c r="A391">
        <v>2441</v>
      </c>
      <c r="B391" t="s">
        <v>64</v>
      </c>
      <c r="C391" t="s">
        <v>528</v>
      </c>
      <c r="D391" s="4">
        <v>29</v>
      </c>
      <c r="E391" s="4">
        <v>31</v>
      </c>
      <c r="F391" s="4">
        <v>60</v>
      </c>
    </row>
    <row r="392" spans="1:6" hidden="1" x14ac:dyDescent="0.75">
      <c r="A392">
        <v>2441</v>
      </c>
      <c r="B392" t="s">
        <v>64</v>
      </c>
      <c r="C392" t="s">
        <v>527</v>
      </c>
      <c r="D392" s="4">
        <v>173</v>
      </c>
      <c r="E392" s="4">
        <v>170</v>
      </c>
      <c r="F392" s="4">
        <v>343</v>
      </c>
    </row>
    <row r="393" spans="1:6" hidden="1" x14ac:dyDescent="0.75">
      <c r="A393">
        <v>2441</v>
      </c>
      <c r="B393" t="s">
        <v>64</v>
      </c>
      <c r="C393" t="s">
        <v>526</v>
      </c>
      <c r="D393" s="4">
        <v>38</v>
      </c>
      <c r="E393" s="4">
        <v>42</v>
      </c>
      <c r="F393" s="4">
        <v>80</v>
      </c>
    </row>
    <row r="394" spans="1:6" hidden="1" x14ac:dyDescent="0.75">
      <c r="A394">
        <v>2443</v>
      </c>
      <c r="B394" t="s">
        <v>191</v>
      </c>
      <c r="C394" t="s">
        <v>529</v>
      </c>
      <c r="D394" s="4">
        <v>163</v>
      </c>
      <c r="E394" s="4">
        <v>166</v>
      </c>
      <c r="F394" s="4">
        <v>329</v>
      </c>
    </row>
    <row r="395" spans="1:6" hidden="1" x14ac:dyDescent="0.75">
      <c r="A395">
        <v>2443</v>
      </c>
      <c r="B395" t="s">
        <v>191</v>
      </c>
      <c r="C395" t="s">
        <v>527</v>
      </c>
      <c r="D395" s="4">
        <v>802</v>
      </c>
      <c r="E395" s="4">
        <v>812</v>
      </c>
      <c r="F395" s="4">
        <v>1614</v>
      </c>
    </row>
    <row r="396" spans="1:6" hidden="1" x14ac:dyDescent="0.75">
      <c r="A396">
        <v>2443</v>
      </c>
      <c r="B396" t="s">
        <v>191</v>
      </c>
      <c r="C396" t="s">
        <v>526</v>
      </c>
      <c r="D396" s="4">
        <v>21</v>
      </c>
      <c r="E396" s="4">
        <v>26</v>
      </c>
      <c r="F396" s="4">
        <v>47</v>
      </c>
    </row>
    <row r="397" spans="1:6" hidden="1" x14ac:dyDescent="0.75">
      <c r="A397">
        <v>2443</v>
      </c>
      <c r="B397" t="s">
        <v>191</v>
      </c>
      <c r="C397" t="s">
        <v>528</v>
      </c>
      <c r="D397" s="4">
        <v>1</v>
      </c>
      <c r="E397" s="4">
        <v>0</v>
      </c>
      <c r="F397" s="4">
        <v>1</v>
      </c>
    </row>
    <row r="398" spans="1:6" hidden="1" x14ac:dyDescent="0.75">
      <c r="A398">
        <v>2443</v>
      </c>
      <c r="B398" t="s">
        <v>191</v>
      </c>
      <c r="C398" t="s">
        <v>525</v>
      </c>
      <c r="D398" s="4">
        <v>26</v>
      </c>
      <c r="E398" s="4">
        <v>35</v>
      </c>
      <c r="F398" s="4">
        <v>61</v>
      </c>
    </row>
    <row r="399" spans="1:6" hidden="1" x14ac:dyDescent="0.75">
      <c r="A399">
        <v>2444</v>
      </c>
      <c r="B399" t="s">
        <v>317</v>
      </c>
      <c r="C399" t="s">
        <v>525</v>
      </c>
      <c r="D399" s="4">
        <v>14</v>
      </c>
      <c r="E399" s="4">
        <v>16</v>
      </c>
      <c r="F399" s="4">
        <v>30</v>
      </c>
    </row>
    <row r="400" spans="1:6" hidden="1" x14ac:dyDescent="0.75">
      <c r="A400">
        <v>2445</v>
      </c>
      <c r="B400" t="s">
        <v>190</v>
      </c>
      <c r="C400" t="s">
        <v>526</v>
      </c>
      <c r="D400" s="4">
        <v>2299</v>
      </c>
      <c r="E400" s="4">
        <v>2274</v>
      </c>
      <c r="F400" s="4">
        <v>4573</v>
      </c>
    </row>
    <row r="401" spans="1:6" hidden="1" x14ac:dyDescent="0.75">
      <c r="A401">
        <v>2445</v>
      </c>
      <c r="B401" t="s">
        <v>190</v>
      </c>
      <c r="C401" t="s">
        <v>525</v>
      </c>
      <c r="D401" s="4">
        <v>1017</v>
      </c>
      <c r="E401" s="4">
        <v>947</v>
      </c>
      <c r="F401" s="4">
        <v>1964</v>
      </c>
    </row>
    <row r="402" spans="1:6" hidden="1" x14ac:dyDescent="0.75">
      <c r="A402">
        <v>2446</v>
      </c>
      <c r="B402" t="s">
        <v>253</v>
      </c>
      <c r="C402" t="s">
        <v>526</v>
      </c>
      <c r="D402" s="4">
        <v>446</v>
      </c>
      <c r="E402" s="4">
        <v>509</v>
      </c>
      <c r="F402" s="4">
        <v>955</v>
      </c>
    </row>
    <row r="403" spans="1:6" hidden="1" x14ac:dyDescent="0.75">
      <c r="A403">
        <v>2446</v>
      </c>
      <c r="B403" t="s">
        <v>253</v>
      </c>
      <c r="C403" t="s">
        <v>525</v>
      </c>
      <c r="D403" s="4">
        <v>17</v>
      </c>
      <c r="E403" s="4">
        <v>14</v>
      </c>
      <c r="F403" s="4">
        <v>31</v>
      </c>
    </row>
    <row r="404" spans="1:6" hidden="1" x14ac:dyDescent="0.75">
      <c r="A404">
        <v>2447</v>
      </c>
      <c r="B404" t="s">
        <v>330</v>
      </c>
      <c r="C404" t="s">
        <v>526</v>
      </c>
      <c r="D404" s="4">
        <v>17</v>
      </c>
      <c r="E404" s="4">
        <v>5</v>
      </c>
      <c r="F404" s="4">
        <v>22</v>
      </c>
    </row>
    <row r="405" spans="1:6" hidden="1" x14ac:dyDescent="0.75">
      <c r="A405">
        <v>2502</v>
      </c>
      <c r="B405" t="s">
        <v>352</v>
      </c>
      <c r="C405" t="s">
        <v>525</v>
      </c>
      <c r="D405" s="4">
        <v>1</v>
      </c>
      <c r="E405" s="4">
        <v>0</v>
      </c>
      <c r="F405" s="4">
        <v>1</v>
      </c>
    </row>
    <row r="406" spans="1:6" hidden="1" x14ac:dyDescent="0.75">
      <c r="A406">
        <v>2502</v>
      </c>
      <c r="B406" t="s">
        <v>352</v>
      </c>
      <c r="C406" t="s">
        <v>526</v>
      </c>
      <c r="D406" s="4">
        <v>4</v>
      </c>
      <c r="E406" s="4">
        <v>3</v>
      </c>
      <c r="F406" s="4">
        <v>7</v>
      </c>
    </row>
    <row r="407" spans="1:6" hidden="1" x14ac:dyDescent="0.75">
      <c r="A407">
        <v>3007</v>
      </c>
      <c r="B407" t="s">
        <v>304</v>
      </c>
      <c r="C407" t="s">
        <v>528</v>
      </c>
      <c r="D407" s="4">
        <v>8</v>
      </c>
      <c r="E407" s="4">
        <v>8</v>
      </c>
      <c r="F407" s="4">
        <v>16</v>
      </c>
    </row>
    <row r="408" spans="1:6" hidden="1" x14ac:dyDescent="0.75">
      <c r="A408">
        <v>3105</v>
      </c>
      <c r="B408" t="s">
        <v>133</v>
      </c>
      <c r="C408" t="s">
        <v>528</v>
      </c>
      <c r="D408" s="4">
        <v>20</v>
      </c>
      <c r="E408" s="4">
        <v>20</v>
      </c>
      <c r="F408" s="4">
        <v>40</v>
      </c>
    </row>
    <row r="409" spans="1:6" hidden="1" x14ac:dyDescent="0.75">
      <c r="A409">
        <v>3105</v>
      </c>
      <c r="B409" t="s">
        <v>133</v>
      </c>
      <c r="C409" t="s">
        <v>526</v>
      </c>
      <c r="D409" s="4">
        <v>1</v>
      </c>
      <c r="E409" s="4">
        <v>2</v>
      </c>
      <c r="F409" s="4">
        <v>3</v>
      </c>
    </row>
    <row r="410" spans="1:6" hidden="1" x14ac:dyDescent="0.75">
      <c r="A410">
        <v>3111</v>
      </c>
      <c r="B410" t="s">
        <v>294</v>
      </c>
      <c r="C410" t="s">
        <v>527</v>
      </c>
      <c r="D410" s="4">
        <v>7</v>
      </c>
      <c r="E410" s="4">
        <v>6</v>
      </c>
      <c r="F410" s="4">
        <v>13</v>
      </c>
    </row>
    <row r="411" spans="1:6" hidden="1" x14ac:dyDescent="0.75">
      <c r="A411">
        <v>3111</v>
      </c>
      <c r="B411" t="s">
        <v>294</v>
      </c>
      <c r="C411" t="s">
        <v>526</v>
      </c>
      <c r="D411" s="4">
        <v>10</v>
      </c>
      <c r="E411" s="4">
        <v>9</v>
      </c>
      <c r="F411" s="4">
        <v>19</v>
      </c>
    </row>
    <row r="412" spans="1:6" hidden="1" x14ac:dyDescent="0.75">
      <c r="A412">
        <v>3111</v>
      </c>
      <c r="B412" t="s">
        <v>294</v>
      </c>
      <c r="C412" t="s">
        <v>525</v>
      </c>
      <c r="D412" s="4">
        <v>2</v>
      </c>
      <c r="E412" s="4">
        <v>2</v>
      </c>
      <c r="F412" s="4">
        <v>4</v>
      </c>
    </row>
    <row r="413" spans="1:6" hidden="1" x14ac:dyDescent="0.75">
      <c r="A413">
        <v>3111</v>
      </c>
      <c r="B413" t="s">
        <v>294</v>
      </c>
      <c r="C413" t="s">
        <v>528</v>
      </c>
      <c r="D413" s="4">
        <v>33</v>
      </c>
      <c r="E413" s="4">
        <v>35</v>
      </c>
      <c r="F413" s="4">
        <v>68</v>
      </c>
    </row>
    <row r="414" spans="1:6" hidden="1" x14ac:dyDescent="0.75">
      <c r="A414">
        <v>3198</v>
      </c>
      <c r="B414" t="s">
        <v>226</v>
      </c>
      <c r="C414" t="s">
        <v>526</v>
      </c>
      <c r="D414" s="4">
        <v>12</v>
      </c>
      <c r="E414" s="4">
        <v>12</v>
      </c>
      <c r="F414" s="4">
        <v>24</v>
      </c>
    </row>
    <row r="415" spans="1:6" hidden="1" x14ac:dyDescent="0.75">
      <c r="A415">
        <v>3198</v>
      </c>
      <c r="B415" t="s">
        <v>226</v>
      </c>
      <c r="C415" t="s">
        <v>527</v>
      </c>
      <c r="D415" s="4">
        <v>11</v>
      </c>
      <c r="E415" s="4">
        <v>11</v>
      </c>
      <c r="F415" s="4">
        <v>22</v>
      </c>
    </row>
    <row r="416" spans="1:6" hidden="1" x14ac:dyDescent="0.75">
      <c r="A416">
        <v>3198</v>
      </c>
      <c r="B416" t="s">
        <v>226</v>
      </c>
      <c r="C416" t="s">
        <v>525</v>
      </c>
      <c r="D416" s="4">
        <v>15</v>
      </c>
      <c r="E416" s="4">
        <v>14</v>
      </c>
      <c r="F416" s="4">
        <v>29</v>
      </c>
    </row>
    <row r="417" spans="1:6" hidden="1" x14ac:dyDescent="0.75">
      <c r="A417">
        <v>3198</v>
      </c>
      <c r="B417" t="s">
        <v>226</v>
      </c>
      <c r="C417" t="s">
        <v>528</v>
      </c>
      <c r="D417" s="4">
        <v>74</v>
      </c>
      <c r="E417" s="4">
        <v>48</v>
      </c>
      <c r="F417" s="4">
        <v>122</v>
      </c>
    </row>
    <row r="418" spans="1:6" hidden="1" x14ac:dyDescent="0.75">
      <c r="A418">
        <v>3200</v>
      </c>
      <c r="B418" t="s">
        <v>338</v>
      </c>
      <c r="C418" t="s">
        <v>526</v>
      </c>
      <c r="D418" s="4">
        <v>11</v>
      </c>
      <c r="E418" s="4">
        <v>8</v>
      </c>
      <c r="F418" s="4">
        <v>19</v>
      </c>
    </row>
    <row r="419" spans="1:6" hidden="1" x14ac:dyDescent="0.75">
      <c r="A419">
        <v>3204</v>
      </c>
      <c r="B419" t="s">
        <v>172</v>
      </c>
      <c r="C419" t="s">
        <v>528</v>
      </c>
      <c r="D419" s="4">
        <v>473</v>
      </c>
      <c r="E419" s="4">
        <v>458</v>
      </c>
      <c r="F419" s="4">
        <v>931</v>
      </c>
    </row>
    <row r="420" spans="1:6" hidden="1" x14ac:dyDescent="0.75">
      <c r="A420">
        <v>3204</v>
      </c>
      <c r="B420" t="s">
        <v>172</v>
      </c>
      <c r="C420" t="s">
        <v>526</v>
      </c>
      <c r="D420" s="4">
        <v>197</v>
      </c>
      <c r="E420" s="4">
        <v>199</v>
      </c>
      <c r="F420" s="4">
        <v>396</v>
      </c>
    </row>
    <row r="421" spans="1:6" hidden="1" x14ac:dyDescent="0.75">
      <c r="A421">
        <v>3204</v>
      </c>
      <c r="B421" t="s">
        <v>172</v>
      </c>
      <c r="C421" t="s">
        <v>525</v>
      </c>
      <c r="D421" s="4">
        <v>27</v>
      </c>
      <c r="E421" s="4">
        <v>34</v>
      </c>
      <c r="F421" s="4">
        <v>61</v>
      </c>
    </row>
    <row r="422" spans="1:6" hidden="1" x14ac:dyDescent="0.75">
      <c r="A422">
        <v>3204</v>
      </c>
      <c r="B422" t="s">
        <v>172</v>
      </c>
      <c r="C422" t="s">
        <v>527</v>
      </c>
      <c r="D422" s="4">
        <v>31</v>
      </c>
      <c r="E422" s="4">
        <v>31</v>
      </c>
      <c r="F422" s="4">
        <v>62</v>
      </c>
    </row>
    <row r="423" spans="1:6" hidden="1" x14ac:dyDescent="0.75">
      <c r="A423">
        <v>3212</v>
      </c>
      <c r="B423" t="s">
        <v>218</v>
      </c>
      <c r="C423" t="s">
        <v>528</v>
      </c>
      <c r="D423" s="4">
        <v>75</v>
      </c>
      <c r="E423" s="4">
        <v>76</v>
      </c>
      <c r="F423" s="4">
        <v>151</v>
      </c>
    </row>
    <row r="424" spans="1:6" hidden="1" x14ac:dyDescent="0.75">
      <c r="A424">
        <v>3212</v>
      </c>
      <c r="B424" t="s">
        <v>218</v>
      </c>
      <c r="C424" t="s">
        <v>526</v>
      </c>
      <c r="D424" s="4">
        <v>65</v>
      </c>
      <c r="E424" s="4">
        <v>77</v>
      </c>
      <c r="F424" s="4">
        <v>142</v>
      </c>
    </row>
    <row r="425" spans="1:6" hidden="1" x14ac:dyDescent="0.75">
      <c r="A425">
        <v>3213</v>
      </c>
      <c r="B425" t="s">
        <v>211</v>
      </c>
      <c r="C425" t="s">
        <v>528</v>
      </c>
      <c r="D425" s="4">
        <v>128</v>
      </c>
      <c r="E425" s="4">
        <v>132</v>
      </c>
      <c r="F425" s="4">
        <v>260</v>
      </c>
    </row>
    <row r="426" spans="1:6" hidden="1" x14ac:dyDescent="0.75">
      <c r="A426">
        <v>3213</v>
      </c>
      <c r="B426" t="s">
        <v>211</v>
      </c>
      <c r="C426" t="s">
        <v>527</v>
      </c>
      <c r="D426" s="4">
        <v>4</v>
      </c>
      <c r="E426" s="4">
        <v>4</v>
      </c>
      <c r="F426" s="4">
        <v>8</v>
      </c>
    </row>
    <row r="427" spans="1:6" hidden="1" x14ac:dyDescent="0.75">
      <c r="A427">
        <v>3213</v>
      </c>
      <c r="B427" t="s">
        <v>211</v>
      </c>
      <c r="C427" t="s">
        <v>526</v>
      </c>
      <c r="D427" s="4">
        <v>6</v>
      </c>
      <c r="E427" s="4">
        <v>7</v>
      </c>
      <c r="F427" s="4">
        <v>13</v>
      </c>
    </row>
    <row r="428" spans="1:6" hidden="1" x14ac:dyDescent="0.75">
      <c r="A428">
        <v>3217</v>
      </c>
      <c r="B428" t="s">
        <v>171</v>
      </c>
      <c r="C428" t="s">
        <v>525</v>
      </c>
      <c r="D428" s="4">
        <v>19</v>
      </c>
      <c r="E428" s="4">
        <v>18</v>
      </c>
      <c r="F428" s="4">
        <v>37</v>
      </c>
    </row>
    <row r="429" spans="1:6" hidden="1" x14ac:dyDescent="0.75">
      <c r="A429">
        <v>3217</v>
      </c>
      <c r="B429" t="s">
        <v>171</v>
      </c>
      <c r="C429" t="s">
        <v>526</v>
      </c>
      <c r="D429" s="4">
        <v>200</v>
      </c>
      <c r="E429" s="4">
        <v>186</v>
      </c>
      <c r="F429" s="4">
        <v>386</v>
      </c>
    </row>
    <row r="430" spans="1:6" hidden="1" x14ac:dyDescent="0.75">
      <c r="A430">
        <v>3217</v>
      </c>
      <c r="B430" t="s">
        <v>171</v>
      </c>
      <c r="C430" t="s">
        <v>528</v>
      </c>
      <c r="D430" s="4">
        <v>443</v>
      </c>
      <c r="E430" s="4">
        <v>420</v>
      </c>
      <c r="F430" s="4">
        <v>863</v>
      </c>
    </row>
    <row r="431" spans="1:6" hidden="1" x14ac:dyDescent="0.75">
      <c r="A431">
        <v>3217</v>
      </c>
      <c r="B431" t="s">
        <v>171</v>
      </c>
      <c r="C431" t="s">
        <v>527</v>
      </c>
      <c r="D431" s="4">
        <v>36</v>
      </c>
      <c r="E431" s="4">
        <v>36</v>
      </c>
      <c r="F431" s="4">
        <v>72</v>
      </c>
    </row>
    <row r="432" spans="1:6" hidden="1" x14ac:dyDescent="0.75">
      <c r="A432">
        <v>3217</v>
      </c>
      <c r="B432" t="s">
        <v>171</v>
      </c>
      <c r="C432" t="s">
        <v>529</v>
      </c>
      <c r="D432" s="4">
        <v>4</v>
      </c>
      <c r="E432" s="4">
        <v>4</v>
      </c>
      <c r="F432" s="4">
        <v>8</v>
      </c>
    </row>
    <row r="433" spans="1:6" hidden="1" x14ac:dyDescent="0.75">
      <c r="A433">
        <v>3219</v>
      </c>
      <c r="B433" t="s">
        <v>240</v>
      </c>
      <c r="C433" t="s">
        <v>528</v>
      </c>
      <c r="D433" s="4">
        <v>58</v>
      </c>
      <c r="E433" s="4">
        <v>55</v>
      </c>
      <c r="F433" s="4">
        <v>113</v>
      </c>
    </row>
    <row r="434" spans="1:6" hidden="1" x14ac:dyDescent="0.75">
      <c r="A434">
        <v>3219</v>
      </c>
      <c r="B434" t="s">
        <v>240</v>
      </c>
      <c r="C434" t="s">
        <v>526</v>
      </c>
      <c r="D434" s="4">
        <v>18</v>
      </c>
      <c r="E434" s="4">
        <v>15</v>
      </c>
      <c r="F434" s="4">
        <v>33</v>
      </c>
    </row>
    <row r="435" spans="1:6" hidden="1" x14ac:dyDescent="0.75">
      <c r="A435">
        <v>3219</v>
      </c>
      <c r="B435" t="s">
        <v>240</v>
      </c>
      <c r="C435" t="s">
        <v>527</v>
      </c>
      <c r="D435" s="4">
        <v>7</v>
      </c>
      <c r="E435" s="4">
        <v>7</v>
      </c>
      <c r="F435" s="4">
        <v>14</v>
      </c>
    </row>
    <row r="436" spans="1:6" hidden="1" x14ac:dyDescent="0.75">
      <c r="A436">
        <v>3221</v>
      </c>
      <c r="B436" t="s">
        <v>267</v>
      </c>
      <c r="C436" t="s">
        <v>528</v>
      </c>
      <c r="D436" s="4">
        <v>197</v>
      </c>
      <c r="E436" s="4">
        <v>197</v>
      </c>
      <c r="F436" s="4">
        <v>394</v>
      </c>
    </row>
    <row r="437" spans="1:6" hidden="1" x14ac:dyDescent="0.75">
      <c r="A437">
        <v>3221</v>
      </c>
      <c r="B437" t="s">
        <v>267</v>
      </c>
      <c r="C437" t="s">
        <v>526</v>
      </c>
      <c r="D437" s="4">
        <v>9</v>
      </c>
      <c r="E437" s="4">
        <v>8</v>
      </c>
      <c r="F437" s="4">
        <v>17</v>
      </c>
    </row>
    <row r="438" spans="1:6" hidden="1" x14ac:dyDescent="0.75">
      <c r="A438">
        <v>3221</v>
      </c>
      <c r="B438" t="s">
        <v>267</v>
      </c>
      <c r="C438" t="s">
        <v>527</v>
      </c>
      <c r="D438" s="4">
        <v>5</v>
      </c>
      <c r="E438" s="4">
        <v>5</v>
      </c>
      <c r="F438" s="4">
        <v>10</v>
      </c>
    </row>
    <row r="439" spans="1:6" hidden="1" x14ac:dyDescent="0.75">
      <c r="A439">
        <v>3227</v>
      </c>
      <c r="B439" t="s">
        <v>201</v>
      </c>
      <c r="C439" t="s">
        <v>526</v>
      </c>
      <c r="D439" s="4">
        <v>4</v>
      </c>
      <c r="E439" s="4">
        <v>4</v>
      </c>
      <c r="F439" s="4">
        <v>8</v>
      </c>
    </row>
    <row r="440" spans="1:6" hidden="1" x14ac:dyDescent="0.75">
      <c r="A440">
        <v>3227</v>
      </c>
      <c r="B440" t="s">
        <v>201</v>
      </c>
      <c r="C440" t="s">
        <v>528</v>
      </c>
      <c r="D440" s="4">
        <v>71</v>
      </c>
      <c r="E440" s="4">
        <v>63</v>
      </c>
      <c r="F440" s="4">
        <v>134</v>
      </c>
    </row>
    <row r="441" spans="1:6" hidden="1" x14ac:dyDescent="0.75">
      <c r="A441">
        <v>3228</v>
      </c>
      <c r="B441" t="s">
        <v>281</v>
      </c>
      <c r="C441" t="s">
        <v>528</v>
      </c>
      <c r="D441" s="4">
        <v>3</v>
      </c>
      <c r="E441" s="4">
        <v>5</v>
      </c>
      <c r="F441" s="4">
        <v>8</v>
      </c>
    </row>
    <row r="442" spans="1:6" hidden="1" x14ac:dyDescent="0.75">
      <c r="A442">
        <v>3228</v>
      </c>
      <c r="B442" t="s">
        <v>281</v>
      </c>
      <c r="C442" t="s">
        <v>526</v>
      </c>
      <c r="D442" s="4">
        <v>21</v>
      </c>
      <c r="E442" s="4">
        <v>15</v>
      </c>
      <c r="F442" s="4">
        <v>36</v>
      </c>
    </row>
    <row r="443" spans="1:6" hidden="1" x14ac:dyDescent="0.75">
      <c r="A443">
        <v>3230</v>
      </c>
      <c r="B443" t="s">
        <v>144</v>
      </c>
      <c r="C443" t="s">
        <v>528</v>
      </c>
      <c r="D443" s="4">
        <v>39</v>
      </c>
      <c r="E443" s="4">
        <v>34</v>
      </c>
      <c r="F443" s="4">
        <v>73</v>
      </c>
    </row>
    <row r="444" spans="1:6" hidden="1" x14ac:dyDescent="0.75">
      <c r="A444">
        <v>3230</v>
      </c>
      <c r="B444" t="s">
        <v>144</v>
      </c>
      <c r="C444" t="s">
        <v>526</v>
      </c>
      <c r="D444" s="4">
        <v>7</v>
      </c>
      <c r="E444" s="4">
        <v>7</v>
      </c>
      <c r="F444" s="4">
        <v>14</v>
      </c>
    </row>
    <row r="445" spans="1:6" hidden="1" x14ac:dyDescent="0.75">
      <c r="A445">
        <v>3235</v>
      </c>
      <c r="B445" t="s">
        <v>261</v>
      </c>
      <c r="C445" t="s">
        <v>528</v>
      </c>
      <c r="D445" s="4">
        <v>29</v>
      </c>
      <c r="E445" s="4">
        <v>31</v>
      </c>
      <c r="F445" s="4">
        <v>60</v>
      </c>
    </row>
    <row r="446" spans="1:6" hidden="1" x14ac:dyDescent="0.75">
      <c r="A446">
        <v>3235</v>
      </c>
      <c r="B446" t="s">
        <v>261</v>
      </c>
      <c r="C446" t="s">
        <v>526</v>
      </c>
      <c r="D446" s="4">
        <v>19</v>
      </c>
      <c r="E446" s="4">
        <v>13</v>
      </c>
      <c r="F446" s="4">
        <v>32</v>
      </c>
    </row>
    <row r="447" spans="1:6" hidden="1" x14ac:dyDescent="0.75">
      <c r="A447">
        <v>3321</v>
      </c>
      <c r="B447" t="s">
        <v>175</v>
      </c>
      <c r="C447" t="s">
        <v>526</v>
      </c>
      <c r="D447" s="4">
        <v>139</v>
      </c>
      <c r="E447" s="4">
        <v>158</v>
      </c>
      <c r="F447" s="4">
        <v>297</v>
      </c>
    </row>
    <row r="448" spans="1:6" hidden="1" x14ac:dyDescent="0.75">
      <c r="A448">
        <v>3321</v>
      </c>
      <c r="B448" t="s">
        <v>175</v>
      </c>
      <c r="C448" t="s">
        <v>528</v>
      </c>
      <c r="D448" s="4">
        <v>392</v>
      </c>
      <c r="E448" s="4">
        <v>374</v>
      </c>
      <c r="F448" s="4">
        <v>766</v>
      </c>
    </row>
    <row r="449" spans="1:6" hidden="1" x14ac:dyDescent="0.75">
      <c r="A449">
        <v>3321</v>
      </c>
      <c r="B449" t="s">
        <v>175</v>
      </c>
      <c r="C449" t="s">
        <v>527</v>
      </c>
      <c r="D449" s="4">
        <v>94</v>
      </c>
      <c r="E449" s="4">
        <v>93</v>
      </c>
      <c r="F449" s="4">
        <v>187</v>
      </c>
    </row>
    <row r="450" spans="1:6" hidden="1" x14ac:dyDescent="0.75">
      <c r="A450">
        <v>3321</v>
      </c>
      <c r="B450" t="s">
        <v>175</v>
      </c>
      <c r="C450" t="s">
        <v>525</v>
      </c>
      <c r="D450" s="4">
        <v>207</v>
      </c>
      <c r="E450" s="4">
        <v>208</v>
      </c>
      <c r="F450" s="4">
        <v>415</v>
      </c>
    </row>
    <row r="451" spans="1:6" hidden="1" x14ac:dyDescent="0.75">
      <c r="A451">
        <v>3500</v>
      </c>
      <c r="B451" t="s">
        <v>248</v>
      </c>
      <c r="C451" t="s">
        <v>526</v>
      </c>
      <c r="D451" s="4">
        <v>18</v>
      </c>
      <c r="E451" s="4">
        <v>18</v>
      </c>
      <c r="F451" s="4">
        <v>36</v>
      </c>
    </row>
    <row r="452" spans="1:6" hidden="1" x14ac:dyDescent="0.75">
      <c r="A452">
        <v>3500</v>
      </c>
      <c r="B452" t="s">
        <v>248</v>
      </c>
      <c r="C452" t="s">
        <v>528</v>
      </c>
      <c r="D452" s="4">
        <v>39</v>
      </c>
      <c r="E452" s="4">
        <v>39</v>
      </c>
      <c r="F452" s="4">
        <v>78</v>
      </c>
    </row>
    <row r="453" spans="1:6" hidden="1" x14ac:dyDescent="0.75">
      <c r="A453">
        <v>3512</v>
      </c>
      <c r="B453" t="s">
        <v>263</v>
      </c>
      <c r="C453" t="s">
        <v>526</v>
      </c>
      <c r="D453" s="4">
        <v>21</v>
      </c>
      <c r="E453" s="4">
        <v>14</v>
      </c>
      <c r="F453" s="4">
        <v>35</v>
      </c>
    </row>
    <row r="454" spans="1:6" hidden="1" x14ac:dyDescent="0.75">
      <c r="A454">
        <v>3512</v>
      </c>
      <c r="B454" t="s">
        <v>263</v>
      </c>
      <c r="C454" t="s">
        <v>528</v>
      </c>
      <c r="D454" s="4">
        <v>22</v>
      </c>
      <c r="E454" s="4">
        <v>17</v>
      </c>
      <c r="F454" s="4">
        <v>39</v>
      </c>
    </row>
    <row r="455" spans="1:6" hidden="1" x14ac:dyDescent="0.75">
      <c r="A455">
        <v>3516</v>
      </c>
      <c r="B455" t="s">
        <v>143</v>
      </c>
      <c r="C455" t="s">
        <v>528</v>
      </c>
      <c r="D455" s="4">
        <v>0</v>
      </c>
      <c r="E455" s="4">
        <v>8</v>
      </c>
      <c r="F455" s="4">
        <v>8</v>
      </c>
    </row>
    <row r="456" spans="1:6" hidden="1" x14ac:dyDescent="0.75">
      <c r="A456">
        <v>3516</v>
      </c>
      <c r="B456" t="s">
        <v>143</v>
      </c>
      <c r="C456" t="s">
        <v>526</v>
      </c>
      <c r="D456" s="4">
        <v>1</v>
      </c>
      <c r="E456" s="4">
        <v>0</v>
      </c>
      <c r="F456" s="4">
        <v>1</v>
      </c>
    </row>
    <row r="457" spans="1:6" hidden="1" x14ac:dyDescent="0.75">
      <c r="A457">
        <v>3516</v>
      </c>
      <c r="B457" t="s">
        <v>143</v>
      </c>
      <c r="C457" t="s">
        <v>525</v>
      </c>
      <c r="D457" s="4">
        <v>1</v>
      </c>
      <c r="E457" s="4">
        <v>2</v>
      </c>
      <c r="F457" s="4">
        <v>3</v>
      </c>
    </row>
    <row r="458" spans="1:6" hidden="1" x14ac:dyDescent="0.75">
      <c r="A458">
        <v>3516</v>
      </c>
      <c r="B458" t="s">
        <v>143</v>
      </c>
      <c r="C458" t="s">
        <v>527</v>
      </c>
      <c r="D458" s="4">
        <v>2</v>
      </c>
      <c r="E458" s="4">
        <v>1</v>
      </c>
      <c r="F458" s="4">
        <v>3</v>
      </c>
    </row>
    <row r="459" spans="1:6" hidden="1" x14ac:dyDescent="0.75">
      <c r="A459">
        <v>3612</v>
      </c>
      <c r="B459" t="s">
        <v>301</v>
      </c>
      <c r="C459" t="s">
        <v>528</v>
      </c>
      <c r="D459" s="4">
        <v>13</v>
      </c>
      <c r="E459" s="4">
        <v>11</v>
      </c>
      <c r="F459" s="4">
        <v>24</v>
      </c>
    </row>
    <row r="460" spans="1:6" hidden="1" x14ac:dyDescent="0.75">
      <c r="A460">
        <v>3617</v>
      </c>
      <c r="B460" t="s">
        <v>223</v>
      </c>
      <c r="C460" t="s">
        <v>526</v>
      </c>
      <c r="D460" s="4">
        <v>74</v>
      </c>
      <c r="E460" s="4">
        <v>77</v>
      </c>
      <c r="F460" s="4">
        <v>151</v>
      </c>
    </row>
    <row r="461" spans="1:6" hidden="1" x14ac:dyDescent="0.75">
      <c r="A461">
        <v>3617</v>
      </c>
      <c r="B461" t="s">
        <v>223</v>
      </c>
      <c r="C461" t="s">
        <v>528</v>
      </c>
      <c r="D461" s="4">
        <v>111</v>
      </c>
      <c r="E461" s="4">
        <v>117</v>
      </c>
      <c r="F461" s="4">
        <v>228</v>
      </c>
    </row>
    <row r="462" spans="1:6" hidden="1" x14ac:dyDescent="0.75">
      <c r="A462">
        <v>3619</v>
      </c>
      <c r="B462" t="s">
        <v>202</v>
      </c>
      <c r="C462" t="s">
        <v>528</v>
      </c>
      <c r="D462" s="4">
        <v>121</v>
      </c>
      <c r="E462" s="4">
        <v>140</v>
      </c>
      <c r="F462" s="4">
        <v>261</v>
      </c>
    </row>
    <row r="463" spans="1:6" hidden="1" x14ac:dyDescent="0.75">
      <c r="A463">
        <v>3619</v>
      </c>
      <c r="B463" t="s">
        <v>202</v>
      </c>
      <c r="C463" t="s">
        <v>526</v>
      </c>
      <c r="D463" s="4">
        <v>80</v>
      </c>
      <c r="E463" s="4">
        <v>85</v>
      </c>
      <c r="F463" s="4">
        <v>165</v>
      </c>
    </row>
    <row r="464" spans="1:6" hidden="1" x14ac:dyDescent="0.75">
      <c r="A464">
        <v>3623</v>
      </c>
      <c r="B464" t="s">
        <v>331</v>
      </c>
      <c r="C464" t="s">
        <v>527</v>
      </c>
      <c r="D464" s="4">
        <v>458</v>
      </c>
      <c r="E464" s="4">
        <v>458</v>
      </c>
      <c r="F464" s="4">
        <v>916</v>
      </c>
    </row>
    <row r="465" spans="1:6" hidden="1" x14ac:dyDescent="0.75">
      <c r="A465">
        <v>3623</v>
      </c>
      <c r="B465" t="s">
        <v>331</v>
      </c>
      <c r="C465" t="s">
        <v>526</v>
      </c>
      <c r="D465" s="4">
        <v>1</v>
      </c>
      <c r="E465" s="4">
        <v>1</v>
      </c>
      <c r="F465" s="4">
        <v>2</v>
      </c>
    </row>
    <row r="466" spans="1:6" hidden="1" x14ac:dyDescent="0.75">
      <c r="A466">
        <v>3627</v>
      </c>
      <c r="B466" t="s">
        <v>210</v>
      </c>
      <c r="C466" t="s">
        <v>528</v>
      </c>
      <c r="D466" s="4">
        <v>131</v>
      </c>
      <c r="E466" s="4">
        <v>140</v>
      </c>
      <c r="F466" s="4">
        <v>271</v>
      </c>
    </row>
    <row r="467" spans="1:6" hidden="1" x14ac:dyDescent="0.75">
      <c r="A467">
        <v>3627</v>
      </c>
      <c r="B467" t="s">
        <v>210</v>
      </c>
      <c r="C467" t="s">
        <v>526</v>
      </c>
      <c r="D467" s="4">
        <v>63</v>
      </c>
      <c r="E467" s="4">
        <v>63</v>
      </c>
      <c r="F467" s="4">
        <v>126</v>
      </c>
    </row>
    <row r="468" spans="1:6" hidden="1" x14ac:dyDescent="0.75">
      <c r="A468">
        <v>3629</v>
      </c>
      <c r="B468" t="s">
        <v>124</v>
      </c>
      <c r="C468" t="s">
        <v>528</v>
      </c>
      <c r="D468" s="4">
        <v>3</v>
      </c>
      <c r="E468" s="4">
        <v>3</v>
      </c>
      <c r="F468" s="4">
        <v>6</v>
      </c>
    </row>
    <row r="469" spans="1:6" hidden="1" x14ac:dyDescent="0.75">
      <c r="A469">
        <v>3629</v>
      </c>
      <c r="B469" t="s">
        <v>124</v>
      </c>
      <c r="C469" t="s">
        <v>525</v>
      </c>
      <c r="D469" s="4">
        <v>46</v>
      </c>
      <c r="E469" s="4">
        <v>45</v>
      </c>
      <c r="F469" s="4">
        <v>91</v>
      </c>
    </row>
    <row r="470" spans="1:6" hidden="1" x14ac:dyDescent="0.75">
      <c r="A470">
        <v>3629</v>
      </c>
      <c r="B470" t="s">
        <v>124</v>
      </c>
      <c r="C470" t="s">
        <v>527</v>
      </c>
      <c r="D470" s="4">
        <v>5</v>
      </c>
      <c r="E470" s="4">
        <v>8</v>
      </c>
      <c r="F470" s="4">
        <v>13</v>
      </c>
    </row>
    <row r="471" spans="1:6" hidden="1" x14ac:dyDescent="0.75">
      <c r="A471">
        <v>3629</v>
      </c>
      <c r="B471" t="s">
        <v>124</v>
      </c>
      <c r="C471" t="s">
        <v>526</v>
      </c>
      <c r="D471" s="4">
        <v>57</v>
      </c>
      <c r="E471" s="4">
        <v>59</v>
      </c>
      <c r="F471" s="4">
        <v>116</v>
      </c>
    </row>
    <row r="472" spans="1:6" hidden="1" x14ac:dyDescent="0.75">
      <c r="A472">
        <v>3635</v>
      </c>
      <c r="B472" t="s">
        <v>117</v>
      </c>
      <c r="C472" t="s">
        <v>527</v>
      </c>
      <c r="D472" s="4">
        <v>4</v>
      </c>
      <c r="E472" s="4">
        <v>1</v>
      </c>
      <c r="F472" s="4">
        <v>5</v>
      </c>
    </row>
    <row r="473" spans="1:6" hidden="1" x14ac:dyDescent="0.75">
      <c r="A473">
        <v>3635</v>
      </c>
      <c r="B473" t="s">
        <v>117</v>
      </c>
      <c r="C473" t="s">
        <v>525</v>
      </c>
      <c r="D473" s="4">
        <v>12</v>
      </c>
      <c r="E473" s="4">
        <v>8</v>
      </c>
      <c r="F473" s="4">
        <v>20</v>
      </c>
    </row>
    <row r="474" spans="1:6" hidden="1" x14ac:dyDescent="0.75">
      <c r="A474">
        <v>3635</v>
      </c>
      <c r="B474" t="s">
        <v>117</v>
      </c>
      <c r="C474" t="s">
        <v>526</v>
      </c>
      <c r="D474" s="4">
        <v>101</v>
      </c>
      <c r="E474" s="4">
        <v>98</v>
      </c>
      <c r="F474" s="4">
        <v>199</v>
      </c>
    </row>
    <row r="475" spans="1:6" hidden="1" x14ac:dyDescent="0.75">
      <c r="A475">
        <v>3635</v>
      </c>
      <c r="B475" t="s">
        <v>117</v>
      </c>
      <c r="C475" t="s">
        <v>528</v>
      </c>
      <c r="D475" s="4">
        <v>203</v>
      </c>
      <c r="E475" s="4">
        <v>206</v>
      </c>
      <c r="F475" s="4">
        <v>409</v>
      </c>
    </row>
    <row r="476" spans="1:6" hidden="1" x14ac:dyDescent="0.75">
      <c r="A476">
        <v>3637</v>
      </c>
      <c r="B476" t="s">
        <v>311</v>
      </c>
      <c r="C476" t="s">
        <v>527</v>
      </c>
      <c r="D476" s="4">
        <v>458</v>
      </c>
      <c r="E476" s="4">
        <v>458</v>
      </c>
      <c r="F476" s="4">
        <v>916</v>
      </c>
    </row>
    <row r="477" spans="1:6" hidden="1" x14ac:dyDescent="0.75">
      <c r="A477">
        <v>3637</v>
      </c>
      <c r="B477" t="s">
        <v>311</v>
      </c>
      <c r="C477" t="s">
        <v>526</v>
      </c>
      <c r="D477" s="4">
        <v>58</v>
      </c>
      <c r="E477" s="4">
        <v>57</v>
      </c>
      <c r="F477" s="4">
        <v>115</v>
      </c>
    </row>
    <row r="478" spans="1:6" hidden="1" x14ac:dyDescent="0.75">
      <c r="A478">
        <v>3650</v>
      </c>
      <c r="B478" t="s">
        <v>336</v>
      </c>
      <c r="C478" t="s">
        <v>526</v>
      </c>
      <c r="D478" s="4">
        <v>3</v>
      </c>
      <c r="E478" s="4">
        <v>2</v>
      </c>
      <c r="F478" s="4">
        <v>5</v>
      </c>
    </row>
    <row r="479" spans="1:6" hidden="1" x14ac:dyDescent="0.75">
      <c r="A479">
        <v>3700</v>
      </c>
      <c r="B479" t="s">
        <v>258</v>
      </c>
      <c r="C479" t="s">
        <v>526</v>
      </c>
      <c r="D479" s="4">
        <v>20</v>
      </c>
      <c r="E479" s="4">
        <v>20</v>
      </c>
      <c r="F479" s="4">
        <v>40</v>
      </c>
    </row>
    <row r="480" spans="1:6" hidden="1" x14ac:dyDescent="0.75">
      <c r="A480">
        <v>3700</v>
      </c>
      <c r="B480" t="s">
        <v>258</v>
      </c>
      <c r="C480" t="s">
        <v>528</v>
      </c>
      <c r="D480" s="4">
        <v>60</v>
      </c>
      <c r="E480" s="4">
        <v>56</v>
      </c>
      <c r="F480" s="4">
        <v>116</v>
      </c>
    </row>
    <row r="481" spans="1:6" hidden="1" x14ac:dyDescent="0.75">
      <c r="A481">
        <v>3700</v>
      </c>
      <c r="B481" t="s">
        <v>258</v>
      </c>
      <c r="C481" t="s">
        <v>525</v>
      </c>
      <c r="D481" s="4">
        <v>1</v>
      </c>
      <c r="E481" s="4">
        <v>0</v>
      </c>
      <c r="F481" s="4">
        <v>1</v>
      </c>
    </row>
    <row r="482" spans="1:6" hidden="1" x14ac:dyDescent="0.75">
      <c r="A482">
        <v>3703</v>
      </c>
      <c r="B482" t="s">
        <v>360</v>
      </c>
      <c r="C482" t="s">
        <v>526</v>
      </c>
      <c r="D482" s="4">
        <v>3</v>
      </c>
      <c r="E482" s="4">
        <v>2</v>
      </c>
      <c r="F482" s="4">
        <v>5</v>
      </c>
    </row>
    <row r="483" spans="1:6" hidden="1" x14ac:dyDescent="0.75">
      <c r="A483">
        <v>3712</v>
      </c>
      <c r="B483" t="s">
        <v>356</v>
      </c>
      <c r="C483" t="s">
        <v>526</v>
      </c>
      <c r="D483" s="4">
        <v>1</v>
      </c>
      <c r="E483" s="4">
        <v>1</v>
      </c>
      <c r="F483" s="4">
        <v>2</v>
      </c>
    </row>
    <row r="484" spans="1:6" hidden="1" x14ac:dyDescent="0.75">
      <c r="A484">
        <v>3716</v>
      </c>
      <c r="B484" t="s">
        <v>358</v>
      </c>
      <c r="C484" t="s">
        <v>526</v>
      </c>
      <c r="D484" s="4">
        <v>1</v>
      </c>
      <c r="E484" s="4">
        <v>0</v>
      </c>
      <c r="F484" s="4">
        <v>1</v>
      </c>
    </row>
    <row r="485" spans="1:6" hidden="1" x14ac:dyDescent="0.75">
      <c r="A485">
        <v>3721</v>
      </c>
      <c r="B485" t="s">
        <v>274</v>
      </c>
      <c r="C485" t="s">
        <v>528</v>
      </c>
      <c r="D485" s="4">
        <v>28</v>
      </c>
      <c r="E485" s="4">
        <v>38</v>
      </c>
      <c r="F485" s="4">
        <v>66</v>
      </c>
    </row>
    <row r="486" spans="1:6" hidden="1" x14ac:dyDescent="0.75">
      <c r="A486">
        <v>3721</v>
      </c>
      <c r="B486" t="s">
        <v>274</v>
      </c>
      <c r="C486" t="s">
        <v>526</v>
      </c>
      <c r="D486" s="4">
        <v>46</v>
      </c>
      <c r="E486" s="4">
        <v>44</v>
      </c>
      <c r="F486" s="4">
        <v>90</v>
      </c>
    </row>
    <row r="487" spans="1:6" hidden="1" x14ac:dyDescent="0.75">
      <c r="A487">
        <v>3726</v>
      </c>
      <c r="B487" t="s">
        <v>268</v>
      </c>
      <c r="C487" t="s">
        <v>526</v>
      </c>
      <c r="D487" s="4">
        <v>1</v>
      </c>
      <c r="E487" s="4">
        <v>1</v>
      </c>
      <c r="F487" s="4">
        <v>2</v>
      </c>
    </row>
    <row r="488" spans="1:6" hidden="1" x14ac:dyDescent="0.75">
      <c r="A488">
        <v>3726</v>
      </c>
      <c r="B488" t="s">
        <v>268</v>
      </c>
      <c r="C488" t="s">
        <v>528</v>
      </c>
      <c r="D488" s="4">
        <v>37</v>
      </c>
      <c r="E488" s="4">
        <v>34</v>
      </c>
      <c r="F488" s="4">
        <v>71</v>
      </c>
    </row>
    <row r="489" spans="1:6" hidden="1" x14ac:dyDescent="0.75">
      <c r="A489">
        <v>3733</v>
      </c>
      <c r="B489" t="s">
        <v>287</v>
      </c>
      <c r="C489" t="s">
        <v>526</v>
      </c>
      <c r="D489" s="4">
        <v>21</v>
      </c>
      <c r="E489" s="4">
        <v>21</v>
      </c>
      <c r="F489" s="4">
        <v>42</v>
      </c>
    </row>
    <row r="490" spans="1:6" hidden="1" x14ac:dyDescent="0.75">
      <c r="A490">
        <v>3733</v>
      </c>
      <c r="B490" t="s">
        <v>287</v>
      </c>
      <c r="C490" t="s">
        <v>528</v>
      </c>
      <c r="D490" s="4">
        <v>24</v>
      </c>
      <c r="E490" s="4">
        <v>23</v>
      </c>
      <c r="F490" s="4">
        <v>47</v>
      </c>
    </row>
    <row r="491" spans="1:6" hidden="1" x14ac:dyDescent="0.75">
      <c r="A491">
        <v>3743</v>
      </c>
      <c r="B491" t="s">
        <v>162</v>
      </c>
      <c r="C491" t="s">
        <v>525</v>
      </c>
      <c r="D491" s="4">
        <v>449</v>
      </c>
      <c r="E491" s="4">
        <v>648</v>
      </c>
      <c r="F491" s="4">
        <v>1097</v>
      </c>
    </row>
    <row r="492" spans="1:6" hidden="1" x14ac:dyDescent="0.75">
      <c r="A492">
        <v>3743</v>
      </c>
      <c r="B492" t="s">
        <v>162</v>
      </c>
      <c r="C492" t="s">
        <v>526</v>
      </c>
      <c r="D492" s="4">
        <v>742</v>
      </c>
      <c r="E492" s="4">
        <v>776</v>
      </c>
      <c r="F492" s="4">
        <v>1518</v>
      </c>
    </row>
    <row r="493" spans="1:6" hidden="1" x14ac:dyDescent="0.75">
      <c r="A493">
        <v>3743</v>
      </c>
      <c r="B493" t="s">
        <v>162</v>
      </c>
      <c r="C493" t="s">
        <v>527</v>
      </c>
      <c r="D493" s="4">
        <v>10</v>
      </c>
      <c r="E493" s="4">
        <v>10</v>
      </c>
      <c r="F493" s="4">
        <v>20</v>
      </c>
    </row>
    <row r="494" spans="1:6" hidden="1" x14ac:dyDescent="0.75">
      <c r="A494">
        <v>3743</v>
      </c>
      <c r="B494" t="s">
        <v>162</v>
      </c>
      <c r="C494" t="s">
        <v>528</v>
      </c>
      <c r="D494" s="4">
        <v>541</v>
      </c>
      <c r="E494" s="4">
        <v>470</v>
      </c>
      <c r="F494" s="4">
        <v>1011</v>
      </c>
    </row>
    <row r="495" spans="1:6" hidden="1" x14ac:dyDescent="0.75">
      <c r="A495">
        <v>3745</v>
      </c>
      <c r="B495" t="s">
        <v>332</v>
      </c>
      <c r="C495" t="s">
        <v>526</v>
      </c>
      <c r="D495" s="4">
        <v>22</v>
      </c>
      <c r="E495" s="4">
        <v>20</v>
      </c>
      <c r="F495" s="4">
        <v>42</v>
      </c>
    </row>
    <row r="496" spans="1:6" hidden="1" x14ac:dyDescent="0.75">
      <c r="A496">
        <v>3745</v>
      </c>
      <c r="B496" t="s">
        <v>332</v>
      </c>
      <c r="C496" t="s">
        <v>525</v>
      </c>
      <c r="D496" s="4">
        <v>11</v>
      </c>
      <c r="E496" s="4">
        <v>12</v>
      </c>
      <c r="F496" s="4">
        <v>23</v>
      </c>
    </row>
    <row r="497" spans="1:6" hidden="1" x14ac:dyDescent="0.75">
      <c r="A497">
        <v>3749</v>
      </c>
      <c r="B497" t="s">
        <v>174</v>
      </c>
      <c r="C497" t="s">
        <v>527</v>
      </c>
      <c r="D497" s="4">
        <v>20</v>
      </c>
      <c r="E497" s="4">
        <v>18</v>
      </c>
      <c r="F497" s="4">
        <v>38</v>
      </c>
    </row>
    <row r="498" spans="1:6" hidden="1" x14ac:dyDescent="0.75">
      <c r="A498">
        <v>3749</v>
      </c>
      <c r="B498" t="s">
        <v>174</v>
      </c>
      <c r="C498" t="s">
        <v>526</v>
      </c>
      <c r="D498" s="4">
        <v>3356</v>
      </c>
      <c r="E498" s="4">
        <v>3330</v>
      </c>
      <c r="F498" s="4">
        <v>6686</v>
      </c>
    </row>
    <row r="499" spans="1:6" hidden="1" x14ac:dyDescent="0.75">
      <c r="A499">
        <v>3749</v>
      </c>
      <c r="B499" t="s">
        <v>174</v>
      </c>
      <c r="C499" t="s">
        <v>528</v>
      </c>
      <c r="D499" s="4">
        <v>121</v>
      </c>
      <c r="E499" s="4">
        <v>113</v>
      </c>
      <c r="F499" s="4">
        <v>234</v>
      </c>
    </row>
    <row r="500" spans="1:6" hidden="1" x14ac:dyDescent="0.75">
      <c r="A500">
        <v>3749</v>
      </c>
      <c r="B500" t="s">
        <v>174</v>
      </c>
      <c r="C500" t="s">
        <v>525</v>
      </c>
      <c r="D500" s="4">
        <v>431</v>
      </c>
      <c r="E500" s="4">
        <v>275</v>
      </c>
      <c r="F500" s="4">
        <v>706</v>
      </c>
    </row>
    <row r="501" spans="1:6" hidden="1" x14ac:dyDescent="0.75">
      <c r="A501">
        <v>3750</v>
      </c>
      <c r="B501" t="s">
        <v>342</v>
      </c>
      <c r="C501" t="s">
        <v>526</v>
      </c>
      <c r="D501" s="4">
        <v>11</v>
      </c>
      <c r="E501" s="4">
        <v>11</v>
      </c>
      <c r="F501" s="4">
        <v>22</v>
      </c>
    </row>
    <row r="502" spans="1:6" hidden="1" x14ac:dyDescent="0.75">
      <c r="A502">
        <v>3754</v>
      </c>
      <c r="B502" t="s">
        <v>349</v>
      </c>
      <c r="C502" t="s">
        <v>526</v>
      </c>
      <c r="D502" s="4">
        <v>8</v>
      </c>
      <c r="E502" s="4">
        <v>4</v>
      </c>
      <c r="F502" s="4">
        <v>12</v>
      </c>
    </row>
    <row r="503" spans="1:6" hidden="1" x14ac:dyDescent="0.75">
      <c r="A503">
        <v>3756</v>
      </c>
      <c r="B503" t="s">
        <v>221</v>
      </c>
      <c r="C503" t="s">
        <v>528</v>
      </c>
      <c r="D503" s="4">
        <v>146</v>
      </c>
      <c r="E503" s="4">
        <v>128</v>
      </c>
      <c r="F503" s="4">
        <v>274</v>
      </c>
    </row>
    <row r="504" spans="1:6" hidden="1" x14ac:dyDescent="0.75">
      <c r="A504">
        <v>3756</v>
      </c>
      <c r="B504" t="s">
        <v>221</v>
      </c>
      <c r="C504" t="s">
        <v>526</v>
      </c>
      <c r="D504" s="4">
        <v>292</v>
      </c>
      <c r="E504" s="4">
        <v>328</v>
      </c>
      <c r="F504" s="4">
        <v>620</v>
      </c>
    </row>
    <row r="505" spans="1:6" hidden="1" x14ac:dyDescent="0.75">
      <c r="A505">
        <v>3756</v>
      </c>
      <c r="B505" t="s">
        <v>221</v>
      </c>
      <c r="C505" t="s">
        <v>525</v>
      </c>
      <c r="D505" s="4">
        <v>53</v>
      </c>
      <c r="E505" s="4">
        <v>57</v>
      </c>
      <c r="F505" s="4">
        <v>110</v>
      </c>
    </row>
    <row r="506" spans="1:6" hidden="1" x14ac:dyDescent="0.75">
      <c r="A506">
        <v>3756</v>
      </c>
      <c r="B506" t="s">
        <v>221</v>
      </c>
      <c r="C506" t="s">
        <v>527</v>
      </c>
      <c r="D506" s="4">
        <v>3</v>
      </c>
      <c r="E506" s="4">
        <v>2</v>
      </c>
      <c r="F506" s="4">
        <v>5</v>
      </c>
    </row>
    <row r="507" spans="1:6" hidden="1" x14ac:dyDescent="0.75">
      <c r="A507">
        <v>3760</v>
      </c>
      <c r="B507" t="s">
        <v>302</v>
      </c>
      <c r="C507" t="s">
        <v>528</v>
      </c>
      <c r="D507" s="4">
        <v>25</v>
      </c>
      <c r="E507" s="4">
        <v>14</v>
      </c>
      <c r="F507" s="4">
        <v>39</v>
      </c>
    </row>
    <row r="508" spans="1:6" hidden="1" x14ac:dyDescent="0.75">
      <c r="A508">
        <v>3760</v>
      </c>
      <c r="B508" t="s">
        <v>302</v>
      </c>
      <c r="C508" t="s">
        <v>526</v>
      </c>
      <c r="D508" s="4">
        <v>16</v>
      </c>
      <c r="E508" s="4">
        <v>14</v>
      </c>
      <c r="F508" s="4">
        <v>30</v>
      </c>
    </row>
    <row r="509" spans="1:6" hidden="1" x14ac:dyDescent="0.75">
      <c r="A509">
        <v>3767</v>
      </c>
      <c r="B509" t="s">
        <v>354</v>
      </c>
      <c r="C509" t="s">
        <v>526</v>
      </c>
      <c r="D509" s="4">
        <v>8</v>
      </c>
      <c r="E509" s="4">
        <v>7</v>
      </c>
      <c r="F509" s="4">
        <v>15</v>
      </c>
    </row>
    <row r="510" spans="1:6" hidden="1" x14ac:dyDescent="0.75">
      <c r="A510">
        <v>3767</v>
      </c>
      <c r="B510" t="s">
        <v>354</v>
      </c>
      <c r="C510" t="s">
        <v>527</v>
      </c>
      <c r="D510" s="4">
        <v>0</v>
      </c>
      <c r="E510" s="4">
        <v>1</v>
      </c>
      <c r="F510" s="4">
        <v>1</v>
      </c>
    </row>
    <row r="511" spans="1:6" hidden="1" x14ac:dyDescent="0.75">
      <c r="A511">
        <v>3767</v>
      </c>
      <c r="B511" t="s">
        <v>354</v>
      </c>
      <c r="C511" t="s">
        <v>528</v>
      </c>
      <c r="D511" s="4">
        <v>3</v>
      </c>
      <c r="E511" s="4">
        <v>0</v>
      </c>
      <c r="F511" s="4">
        <v>3</v>
      </c>
    </row>
    <row r="512" spans="1:6" hidden="1" x14ac:dyDescent="0.75">
      <c r="A512">
        <v>3778</v>
      </c>
      <c r="B512" t="s">
        <v>227</v>
      </c>
      <c r="C512" t="s">
        <v>525</v>
      </c>
      <c r="D512" s="4">
        <v>40</v>
      </c>
      <c r="E512" s="4">
        <v>36</v>
      </c>
      <c r="F512" s="4">
        <v>76</v>
      </c>
    </row>
    <row r="513" spans="1:6" hidden="1" x14ac:dyDescent="0.75">
      <c r="A513">
        <v>3778</v>
      </c>
      <c r="B513" t="s">
        <v>227</v>
      </c>
      <c r="C513" t="s">
        <v>527</v>
      </c>
      <c r="D513" s="4">
        <v>16</v>
      </c>
      <c r="E513" s="4">
        <v>8</v>
      </c>
      <c r="F513" s="4">
        <v>24</v>
      </c>
    </row>
    <row r="514" spans="1:6" hidden="1" x14ac:dyDescent="0.75">
      <c r="A514">
        <v>3778</v>
      </c>
      <c r="B514" t="s">
        <v>227</v>
      </c>
      <c r="C514" t="s">
        <v>526</v>
      </c>
      <c r="D514" s="4">
        <v>13</v>
      </c>
      <c r="E514" s="4">
        <v>12</v>
      </c>
      <c r="F514" s="4">
        <v>25</v>
      </c>
    </row>
    <row r="515" spans="1:6" hidden="1" x14ac:dyDescent="0.75">
      <c r="A515">
        <v>3778</v>
      </c>
      <c r="B515" t="s">
        <v>227</v>
      </c>
      <c r="C515" t="s">
        <v>528</v>
      </c>
      <c r="D515" s="4">
        <v>102</v>
      </c>
      <c r="E515" s="4">
        <v>94</v>
      </c>
      <c r="F515" s="4">
        <v>196</v>
      </c>
    </row>
    <row r="516" spans="1:6" hidden="1" x14ac:dyDescent="0.75">
      <c r="A516">
        <v>3782</v>
      </c>
      <c r="B516" t="s">
        <v>298</v>
      </c>
      <c r="C516" t="s">
        <v>528</v>
      </c>
      <c r="D516" s="4">
        <v>15</v>
      </c>
      <c r="E516" s="4">
        <v>15</v>
      </c>
      <c r="F516" s="4">
        <v>30</v>
      </c>
    </row>
    <row r="517" spans="1:6" hidden="1" x14ac:dyDescent="0.75">
      <c r="A517">
        <v>3782</v>
      </c>
      <c r="B517" t="s">
        <v>298</v>
      </c>
      <c r="C517" t="s">
        <v>526</v>
      </c>
      <c r="D517" s="4">
        <v>5</v>
      </c>
      <c r="E517" s="4">
        <v>5</v>
      </c>
      <c r="F517" s="4">
        <v>10</v>
      </c>
    </row>
    <row r="518" spans="1:6" hidden="1" x14ac:dyDescent="0.75">
      <c r="A518">
        <v>3783</v>
      </c>
      <c r="B518" t="s">
        <v>288</v>
      </c>
      <c r="C518" t="s">
        <v>527</v>
      </c>
      <c r="D518" s="4">
        <v>1</v>
      </c>
      <c r="E518" s="4">
        <v>1</v>
      </c>
      <c r="F518" s="4">
        <v>2</v>
      </c>
    </row>
    <row r="519" spans="1:6" hidden="1" x14ac:dyDescent="0.75">
      <c r="A519">
        <v>3783</v>
      </c>
      <c r="B519" t="s">
        <v>288</v>
      </c>
      <c r="C519" t="s">
        <v>526</v>
      </c>
      <c r="D519" s="4">
        <v>5</v>
      </c>
      <c r="E519" s="4">
        <v>6</v>
      </c>
      <c r="F519" s="4">
        <v>11</v>
      </c>
    </row>
    <row r="520" spans="1:6" hidden="1" x14ac:dyDescent="0.75">
      <c r="A520">
        <v>3783</v>
      </c>
      <c r="B520" t="s">
        <v>288</v>
      </c>
      <c r="C520" t="s">
        <v>528</v>
      </c>
      <c r="D520" s="4">
        <v>9</v>
      </c>
      <c r="E520" s="4">
        <v>14</v>
      </c>
      <c r="F520" s="4">
        <v>23</v>
      </c>
    </row>
    <row r="521" spans="1:6" hidden="1" x14ac:dyDescent="0.75">
      <c r="A521">
        <v>3783</v>
      </c>
      <c r="B521" t="s">
        <v>288</v>
      </c>
      <c r="C521" t="s">
        <v>525</v>
      </c>
      <c r="D521" s="4">
        <v>36</v>
      </c>
      <c r="E521" s="4">
        <v>40</v>
      </c>
      <c r="F521" s="4">
        <v>76</v>
      </c>
    </row>
    <row r="522" spans="1:6" hidden="1" x14ac:dyDescent="0.75">
      <c r="A522">
        <v>3784</v>
      </c>
      <c r="B522" t="s">
        <v>347</v>
      </c>
      <c r="C522" t="s">
        <v>526</v>
      </c>
      <c r="D522" s="4">
        <v>8</v>
      </c>
      <c r="E522" s="4">
        <v>9</v>
      </c>
      <c r="F522" s="4">
        <v>17</v>
      </c>
    </row>
    <row r="523" spans="1:6" hidden="1" x14ac:dyDescent="0.75">
      <c r="A523">
        <v>3787</v>
      </c>
      <c r="B523" t="s">
        <v>348</v>
      </c>
      <c r="C523" t="s">
        <v>526</v>
      </c>
      <c r="D523" s="4">
        <v>3</v>
      </c>
      <c r="E523" s="4">
        <v>2</v>
      </c>
      <c r="F523" s="4">
        <v>5</v>
      </c>
    </row>
    <row r="524" spans="1:6" hidden="1" x14ac:dyDescent="0.75">
      <c r="A524">
        <v>3788</v>
      </c>
      <c r="B524" t="s">
        <v>299</v>
      </c>
      <c r="C524" t="s">
        <v>528</v>
      </c>
      <c r="D524" s="4">
        <v>11</v>
      </c>
      <c r="E524" s="4">
        <v>10</v>
      </c>
      <c r="F524" s="4">
        <v>21</v>
      </c>
    </row>
    <row r="525" spans="1:6" hidden="1" x14ac:dyDescent="0.75">
      <c r="A525">
        <v>3788</v>
      </c>
      <c r="B525" t="s">
        <v>299</v>
      </c>
      <c r="C525" t="s">
        <v>526</v>
      </c>
      <c r="D525" s="4">
        <v>138</v>
      </c>
      <c r="E525" s="4">
        <v>146</v>
      </c>
      <c r="F525" s="4">
        <v>284</v>
      </c>
    </row>
    <row r="526" spans="1:6" hidden="1" x14ac:dyDescent="0.75">
      <c r="A526">
        <v>3794</v>
      </c>
      <c r="B526" t="s">
        <v>329</v>
      </c>
      <c r="C526" t="s">
        <v>525</v>
      </c>
      <c r="D526" s="4">
        <v>4</v>
      </c>
      <c r="E526" s="4">
        <v>4</v>
      </c>
      <c r="F526" s="4">
        <v>8</v>
      </c>
    </row>
    <row r="527" spans="1:6" hidden="1" x14ac:dyDescent="0.75">
      <c r="A527">
        <v>3795</v>
      </c>
      <c r="B527" t="s">
        <v>307</v>
      </c>
      <c r="C527" t="s">
        <v>528</v>
      </c>
      <c r="D527" s="4">
        <v>2</v>
      </c>
      <c r="E527" s="4">
        <v>1</v>
      </c>
      <c r="F527" s="4">
        <v>3</v>
      </c>
    </row>
    <row r="528" spans="1:6" hidden="1" x14ac:dyDescent="0.75">
      <c r="A528">
        <v>3795</v>
      </c>
      <c r="B528" t="s">
        <v>307</v>
      </c>
      <c r="C528" t="s">
        <v>526</v>
      </c>
      <c r="D528" s="4">
        <v>5</v>
      </c>
      <c r="E528" s="4">
        <v>5</v>
      </c>
      <c r="F528" s="4">
        <v>10</v>
      </c>
    </row>
    <row r="529" spans="1:6" hidden="1" x14ac:dyDescent="0.75">
      <c r="A529">
        <v>3799</v>
      </c>
      <c r="B529" t="s">
        <v>531</v>
      </c>
      <c r="C529" t="s">
        <v>526</v>
      </c>
      <c r="D529" s="4">
        <v>33</v>
      </c>
      <c r="E529" s="4">
        <v>33</v>
      </c>
      <c r="F529" s="4">
        <v>66</v>
      </c>
    </row>
    <row r="530" spans="1:6" hidden="1" x14ac:dyDescent="0.75">
      <c r="A530">
        <v>3803</v>
      </c>
      <c r="B530" t="s">
        <v>203</v>
      </c>
      <c r="C530" t="s">
        <v>528</v>
      </c>
      <c r="D530" s="4">
        <v>169</v>
      </c>
      <c r="E530" s="4">
        <v>172</v>
      </c>
      <c r="F530" s="4">
        <v>341</v>
      </c>
    </row>
    <row r="531" spans="1:6" hidden="1" x14ac:dyDescent="0.75">
      <c r="A531">
        <v>3803</v>
      </c>
      <c r="B531" t="s">
        <v>203</v>
      </c>
      <c r="C531" t="s">
        <v>526</v>
      </c>
      <c r="D531" s="4">
        <v>23</v>
      </c>
      <c r="E531" s="4">
        <v>24</v>
      </c>
      <c r="F531" s="4">
        <v>47</v>
      </c>
    </row>
    <row r="532" spans="1:6" hidden="1" x14ac:dyDescent="0.75">
      <c r="A532">
        <v>3817</v>
      </c>
      <c r="B532" t="s">
        <v>257</v>
      </c>
      <c r="C532" t="s">
        <v>526</v>
      </c>
      <c r="D532" s="4">
        <v>302</v>
      </c>
      <c r="E532" s="4">
        <v>308</v>
      </c>
      <c r="F532" s="4">
        <v>610</v>
      </c>
    </row>
    <row r="533" spans="1:6" hidden="1" x14ac:dyDescent="0.75">
      <c r="A533">
        <v>3817</v>
      </c>
      <c r="B533" t="s">
        <v>257</v>
      </c>
      <c r="C533" t="s">
        <v>528</v>
      </c>
      <c r="D533" s="4">
        <v>19</v>
      </c>
      <c r="E533" s="4">
        <v>18</v>
      </c>
      <c r="F533" s="4">
        <v>37</v>
      </c>
    </row>
    <row r="534" spans="1:6" hidden="1" x14ac:dyDescent="0.75">
      <c r="A534">
        <v>3817</v>
      </c>
      <c r="B534" t="s">
        <v>257</v>
      </c>
      <c r="C534" t="s">
        <v>525</v>
      </c>
      <c r="D534" s="4">
        <v>1</v>
      </c>
      <c r="E534" s="4">
        <v>1</v>
      </c>
      <c r="F534" s="4">
        <v>2</v>
      </c>
    </row>
    <row r="535" spans="1:6" hidden="1" x14ac:dyDescent="0.75">
      <c r="A535">
        <v>3841</v>
      </c>
      <c r="B535" t="s">
        <v>189</v>
      </c>
      <c r="C535" t="s">
        <v>526</v>
      </c>
      <c r="D535" s="4">
        <v>53</v>
      </c>
      <c r="E535" s="4">
        <v>43</v>
      </c>
      <c r="F535" s="4">
        <v>96</v>
      </c>
    </row>
    <row r="536" spans="1:6" hidden="1" x14ac:dyDescent="0.75">
      <c r="A536">
        <v>3841</v>
      </c>
      <c r="B536" t="s">
        <v>189</v>
      </c>
      <c r="C536" t="s">
        <v>528</v>
      </c>
      <c r="D536" s="4">
        <v>142</v>
      </c>
      <c r="E536" s="4">
        <v>157</v>
      </c>
      <c r="F536" s="4">
        <v>299</v>
      </c>
    </row>
    <row r="537" spans="1:6" hidden="1" x14ac:dyDescent="0.75">
      <c r="A537">
        <v>3843</v>
      </c>
      <c r="B537" t="s">
        <v>327</v>
      </c>
      <c r="C537" t="s">
        <v>528</v>
      </c>
      <c r="D537" s="4">
        <v>2</v>
      </c>
      <c r="E537" s="4">
        <v>2</v>
      </c>
      <c r="F537" s="4">
        <v>4</v>
      </c>
    </row>
    <row r="538" spans="1:6" hidden="1" x14ac:dyDescent="0.75">
      <c r="A538">
        <v>3867</v>
      </c>
      <c r="B538" t="s">
        <v>334</v>
      </c>
      <c r="C538" t="s">
        <v>527</v>
      </c>
      <c r="D538" s="4">
        <v>6</v>
      </c>
      <c r="E538" s="4">
        <v>6</v>
      </c>
      <c r="F538" s="4">
        <v>12</v>
      </c>
    </row>
    <row r="539" spans="1:6" hidden="1" x14ac:dyDescent="0.75">
      <c r="A539">
        <v>3924</v>
      </c>
      <c r="B539" t="s">
        <v>111</v>
      </c>
      <c r="C539" t="s">
        <v>525</v>
      </c>
      <c r="D539" s="4">
        <v>8</v>
      </c>
      <c r="E539" s="4">
        <v>7</v>
      </c>
      <c r="F539" s="4">
        <v>15</v>
      </c>
    </row>
    <row r="540" spans="1:6" hidden="1" x14ac:dyDescent="0.75">
      <c r="A540">
        <v>3924</v>
      </c>
      <c r="B540" t="s">
        <v>111</v>
      </c>
      <c r="C540" t="s">
        <v>527</v>
      </c>
      <c r="D540" s="4">
        <v>24</v>
      </c>
      <c r="E540" s="4">
        <v>24</v>
      </c>
      <c r="F540" s="4">
        <v>48</v>
      </c>
    </row>
    <row r="541" spans="1:6" hidden="1" x14ac:dyDescent="0.75">
      <c r="A541">
        <v>3924</v>
      </c>
      <c r="B541" t="s">
        <v>111</v>
      </c>
      <c r="C541" t="s">
        <v>528</v>
      </c>
      <c r="D541" s="4">
        <v>621</v>
      </c>
      <c r="E541" s="4">
        <v>660</v>
      </c>
      <c r="F541" s="4">
        <v>1281</v>
      </c>
    </row>
    <row r="542" spans="1:6" hidden="1" x14ac:dyDescent="0.75">
      <c r="A542">
        <v>3924</v>
      </c>
      <c r="B542" t="s">
        <v>111</v>
      </c>
      <c r="C542" t="s">
        <v>526</v>
      </c>
      <c r="D542" s="4">
        <v>111</v>
      </c>
      <c r="E542" s="4">
        <v>106</v>
      </c>
      <c r="F542" s="4">
        <v>217</v>
      </c>
    </row>
    <row r="543" spans="1:6" hidden="1" x14ac:dyDescent="0.75">
      <c r="A543">
        <v>3926</v>
      </c>
      <c r="B543" t="s">
        <v>169</v>
      </c>
      <c r="C543" t="s">
        <v>526</v>
      </c>
      <c r="D543" s="4">
        <v>38</v>
      </c>
      <c r="E543" s="4">
        <v>33</v>
      </c>
      <c r="F543" s="4">
        <v>71</v>
      </c>
    </row>
    <row r="544" spans="1:6" hidden="1" x14ac:dyDescent="0.75">
      <c r="A544">
        <v>3926</v>
      </c>
      <c r="B544" t="s">
        <v>169</v>
      </c>
      <c r="C544" t="s">
        <v>528</v>
      </c>
      <c r="D544" s="4">
        <v>266</v>
      </c>
      <c r="E544" s="4">
        <v>285</v>
      </c>
      <c r="F544" s="4">
        <v>551</v>
      </c>
    </row>
    <row r="545" spans="1:6" hidden="1" x14ac:dyDescent="0.75">
      <c r="A545">
        <v>3928</v>
      </c>
      <c r="B545" t="s">
        <v>192</v>
      </c>
      <c r="C545" t="s">
        <v>528</v>
      </c>
      <c r="D545" s="4">
        <v>59</v>
      </c>
      <c r="E545" s="4">
        <v>66</v>
      </c>
      <c r="F545" s="4">
        <v>125</v>
      </c>
    </row>
    <row r="546" spans="1:6" hidden="1" x14ac:dyDescent="0.75">
      <c r="A546">
        <v>3928</v>
      </c>
      <c r="B546" t="s">
        <v>192</v>
      </c>
      <c r="C546" t="s">
        <v>526</v>
      </c>
      <c r="D546" s="4">
        <v>70</v>
      </c>
      <c r="E546" s="4">
        <v>69</v>
      </c>
      <c r="F546" s="4">
        <v>139</v>
      </c>
    </row>
    <row r="547" spans="1:6" hidden="1" x14ac:dyDescent="0.75">
      <c r="A547">
        <v>3929</v>
      </c>
      <c r="B547" t="s">
        <v>290</v>
      </c>
      <c r="C547" t="s">
        <v>528</v>
      </c>
      <c r="D547" s="4">
        <v>7</v>
      </c>
      <c r="E547" s="4">
        <v>7</v>
      </c>
      <c r="F547" s="4">
        <v>14</v>
      </c>
    </row>
    <row r="548" spans="1:6" hidden="1" x14ac:dyDescent="0.75">
      <c r="A548">
        <v>4102</v>
      </c>
      <c r="B548" t="s">
        <v>237</v>
      </c>
      <c r="C548" t="s">
        <v>529</v>
      </c>
      <c r="D548" s="4">
        <v>52</v>
      </c>
      <c r="E548" s="4">
        <v>52</v>
      </c>
      <c r="F548" s="4">
        <v>104</v>
      </c>
    </row>
    <row r="549" spans="1:6" hidden="1" x14ac:dyDescent="0.75">
      <c r="A549">
        <v>4102</v>
      </c>
      <c r="B549" t="s">
        <v>237</v>
      </c>
      <c r="C549" t="s">
        <v>525</v>
      </c>
      <c r="D549" s="4">
        <v>79</v>
      </c>
      <c r="E549" s="4">
        <v>72</v>
      </c>
      <c r="F549" s="4">
        <v>151</v>
      </c>
    </row>
    <row r="550" spans="1:6" hidden="1" x14ac:dyDescent="0.75">
      <c r="A550">
        <v>4102</v>
      </c>
      <c r="B550" t="s">
        <v>237</v>
      </c>
      <c r="C550" t="s">
        <v>528</v>
      </c>
      <c r="D550" s="4">
        <v>12</v>
      </c>
      <c r="E550" s="4">
        <v>12</v>
      </c>
      <c r="F550" s="4">
        <v>24</v>
      </c>
    </row>
    <row r="551" spans="1:6" hidden="1" x14ac:dyDescent="0.75">
      <c r="A551">
        <v>4102</v>
      </c>
      <c r="B551" t="s">
        <v>237</v>
      </c>
      <c r="C551" t="s">
        <v>527</v>
      </c>
      <c r="D551" s="4">
        <v>159</v>
      </c>
      <c r="E551" s="4">
        <v>159</v>
      </c>
      <c r="F551" s="4">
        <v>318</v>
      </c>
    </row>
    <row r="552" spans="1:6" hidden="1" x14ac:dyDescent="0.75">
      <c r="A552">
        <v>4102</v>
      </c>
      <c r="B552" t="s">
        <v>237</v>
      </c>
      <c r="C552" t="s">
        <v>526</v>
      </c>
      <c r="D552" s="4">
        <v>8</v>
      </c>
      <c r="E552" s="4">
        <v>4</v>
      </c>
      <c r="F552" s="4">
        <v>12</v>
      </c>
    </row>
    <row r="553" spans="1:6" hidden="1" x14ac:dyDescent="0.75">
      <c r="A553">
        <v>4110</v>
      </c>
      <c r="B553" t="s">
        <v>2</v>
      </c>
      <c r="C553" t="s">
        <v>527</v>
      </c>
      <c r="D553" s="4">
        <v>756</v>
      </c>
      <c r="E553" s="4">
        <v>832</v>
      </c>
      <c r="F553" s="4">
        <v>1588</v>
      </c>
    </row>
    <row r="554" spans="1:6" hidden="1" x14ac:dyDescent="0.75">
      <c r="A554">
        <v>4110</v>
      </c>
      <c r="B554" t="s">
        <v>2</v>
      </c>
      <c r="C554" t="s">
        <v>525</v>
      </c>
      <c r="D554" s="4">
        <v>954</v>
      </c>
      <c r="E554" s="4">
        <v>794</v>
      </c>
      <c r="F554" s="4">
        <v>1748</v>
      </c>
    </row>
    <row r="555" spans="1:6" hidden="1" x14ac:dyDescent="0.75">
      <c r="A555">
        <v>4110</v>
      </c>
      <c r="B555" t="s">
        <v>2</v>
      </c>
      <c r="C555" t="s">
        <v>528</v>
      </c>
      <c r="D555" s="4">
        <v>240</v>
      </c>
      <c r="E555" s="4">
        <v>267</v>
      </c>
      <c r="F555" s="4">
        <v>507</v>
      </c>
    </row>
    <row r="556" spans="1:6" hidden="1" x14ac:dyDescent="0.75">
      <c r="A556">
        <v>4110</v>
      </c>
      <c r="B556" t="s">
        <v>2</v>
      </c>
      <c r="C556" t="s">
        <v>526</v>
      </c>
      <c r="D556" s="4">
        <v>96</v>
      </c>
      <c r="E556" s="4">
        <v>69</v>
      </c>
      <c r="F556" s="4">
        <v>165</v>
      </c>
    </row>
    <row r="557" spans="1:6" hidden="1" x14ac:dyDescent="0.75">
      <c r="A557">
        <v>4110</v>
      </c>
      <c r="B557" t="s">
        <v>2</v>
      </c>
      <c r="C557" t="s">
        <v>529</v>
      </c>
      <c r="D557" s="4">
        <v>896</v>
      </c>
      <c r="E557" s="4">
        <v>894</v>
      </c>
      <c r="F557" s="4">
        <v>1790</v>
      </c>
    </row>
    <row r="558" spans="1:6" hidden="1" x14ac:dyDescent="0.75">
      <c r="A558">
        <v>4120</v>
      </c>
      <c r="B558" t="s">
        <v>0</v>
      </c>
      <c r="C558" t="s">
        <v>525</v>
      </c>
      <c r="D558" s="4">
        <v>640</v>
      </c>
      <c r="E558" s="4">
        <v>793</v>
      </c>
      <c r="F558" s="4">
        <v>1433</v>
      </c>
    </row>
    <row r="559" spans="1:6" hidden="1" x14ac:dyDescent="0.75">
      <c r="A559">
        <v>4120</v>
      </c>
      <c r="B559" t="s">
        <v>0</v>
      </c>
      <c r="C559" t="s">
        <v>527</v>
      </c>
      <c r="D559" s="4">
        <v>518</v>
      </c>
      <c r="E559" s="4">
        <v>512</v>
      </c>
      <c r="F559" s="4">
        <v>1030</v>
      </c>
    </row>
    <row r="560" spans="1:6" hidden="1" x14ac:dyDescent="0.75">
      <c r="A560">
        <v>4120</v>
      </c>
      <c r="B560" t="s">
        <v>0</v>
      </c>
      <c r="C560" t="s">
        <v>526</v>
      </c>
      <c r="D560" s="4">
        <v>97</v>
      </c>
      <c r="E560" s="4">
        <v>108</v>
      </c>
      <c r="F560" s="4">
        <v>205</v>
      </c>
    </row>
    <row r="561" spans="1:6" hidden="1" x14ac:dyDescent="0.75">
      <c r="A561">
        <v>4120</v>
      </c>
      <c r="B561" t="s">
        <v>0</v>
      </c>
      <c r="C561" t="s">
        <v>529</v>
      </c>
      <c r="D561" s="4">
        <v>882</v>
      </c>
      <c r="E561" s="4">
        <v>871</v>
      </c>
      <c r="F561" s="4">
        <v>1753</v>
      </c>
    </row>
    <row r="562" spans="1:6" hidden="1" x14ac:dyDescent="0.75">
      <c r="A562">
        <v>4120</v>
      </c>
      <c r="B562" t="s">
        <v>0</v>
      </c>
      <c r="C562" t="s">
        <v>528</v>
      </c>
      <c r="D562" s="4">
        <v>106</v>
      </c>
      <c r="E562" s="4">
        <v>86</v>
      </c>
      <c r="F562" s="4">
        <v>192</v>
      </c>
    </row>
    <row r="563" spans="1:6" hidden="1" x14ac:dyDescent="0.75">
      <c r="A563">
        <v>4151</v>
      </c>
      <c r="B563" t="s">
        <v>44</v>
      </c>
      <c r="C563" t="s">
        <v>529</v>
      </c>
      <c r="D563" s="4">
        <v>158</v>
      </c>
      <c r="E563" s="4">
        <v>156</v>
      </c>
      <c r="F563" s="4">
        <v>314</v>
      </c>
    </row>
    <row r="564" spans="1:6" hidden="1" x14ac:dyDescent="0.75">
      <c r="A564">
        <v>4151</v>
      </c>
      <c r="B564" t="s">
        <v>44</v>
      </c>
      <c r="C564" t="s">
        <v>525</v>
      </c>
      <c r="D564" s="4">
        <v>5</v>
      </c>
      <c r="E564" s="4">
        <v>2</v>
      </c>
      <c r="F564" s="4">
        <v>7</v>
      </c>
    </row>
    <row r="565" spans="1:6" hidden="1" x14ac:dyDescent="0.75">
      <c r="A565">
        <v>4151</v>
      </c>
      <c r="B565" t="s">
        <v>44</v>
      </c>
      <c r="C565" t="s">
        <v>527</v>
      </c>
      <c r="D565" s="4">
        <v>206</v>
      </c>
      <c r="E565" s="4">
        <v>205</v>
      </c>
      <c r="F565" s="4">
        <v>411</v>
      </c>
    </row>
    <row r="566" spans="1:6" hidden="1" x14ac:dyDescent="0.75">
      <c r="A566">
        <v>4151</v>
      </c>
      <c r="B566" t="s">
        <v>44</v>
      </c>
      <c r="C566" t="s">
        <v>526</v>
      </c>
      <c r="D566" s="4">
        <v>1</v>
      </c>
      <c r="E566" s="4">
        <v>1</v>
      </c>
      <c r="F566" s="4">
        <v>2</v>
      </c>
    </row>
    <row r="567" spans="1:6" hidden="1" x14ac:dyDescent="0.75">
      <c r="A567">
        <v>4153</v>
      </c>
      <c r="B567" t="s">
        <v>530</v>
      </c>
      <c r="C567" t="s">
        <v>526</v>
      </c>
      <c r="D567" s="4">
        <v>0</v>
      </c>
      <c r="E567" s="4">
        <v>1</v>
      </c>
      <c r="F567" s="4">
        <v>1</v>
      </c>
    </row>
    <row r="568" spans="1:6" hidden="1" x14ac:dyDescent="0.75">
      <c r="A568">
        <v>4240</v>
      </c>
      <c r="B568" t="s">
        <v>250</v>
      </c>
      <c r="C568" t="s">
        <v>527</v>
      </c>
      <c r="D568" s="4">
        <v>16</v>
      </c>
      <c r="E568" s="4">
        <v>22</v>
      </c>
      <c r="F568" s="4">
        <v>38</v>
      </c>
    </row>
    <row r="569" spans="1:6" hidden="1" x14ac:dyDescent="0.75">
      <c r="A569">
        <v>4240</v>
      </c>
      <c r="B569" t="s">
        <v>250</v>
      </c>
      <c r="C569" t="s">
        <v>528</v>
      </c>
      <c r="D569" s="4">
        <v>30</v>
      </c>
      <c r="E569" s="4">
        <v>36</v>
      </c>
      <c r="F569" s="4">
        <v>66</v>
      </c>
    </row>
    <row r="570" spans="1:6" hidden="1" x14ac:dyDescent="0.75">
      <c r="A570">
        <v>4270</v>
      </c>
      <c r="B570" t="s">
        <v>194</v>
      </c>
      <c r="C570" t="s">
        <v>525</v>
      </c>
      <c r="D570" s="4">
        <v>1</v>
      </c>
      <c r="E570" s="4">
        <v>0</v>
      </c>
      <c r="F570" s="4">
        <v>1</v>
      </c>
    </row>
    <row r="571" spans="1:6" hidden="1" x14ac:dyDescent="0.75">
      <c r="A571">
        <v>4270</v>
      </c>
      <c r="B571" t="s">
        <v>194</v>
      </c>
      <c r="C571" t="s">
        <v>528</v>
      </c>
      <c r="D571" s="4">
        <v>110</v>
      </c>
      <c r="E571" s="4">
        <v>89</v>
      </c>
      <c r="F571" s="4">
        <v>199</v>
      </c>
    </row>
    <row r="572" spans="1:6" hidden="1" x14ac:dyDescent="0.75">
      <c r="A572">
        <v>4270</v>
      </c>
      <c r="B572" t="s">
        <v>194</v>
      </c>
      <c r="C572" t="s">
        <v>527</v>
      </c>
      <c r="D572" s="4">
        <v>118</v>
      </c>
      <c r="E572" s="4">
        <v>112</v>
      </c>
      <c r="F572" s="4">
        <v>230</v>
      </c>
    </row>
    <row r="573" spans="1:6" hidden="1" x14ac:dyDescent="0.75">
      <c r="A573">
        <v>4335</v>
      </c>
      <c r="B573" t="s">
        <v>222</v>
      </c>
      <c r="C573" t="s">
        <v>526</v>
      </c>
      <c r="D573" s="4">
        <v>173</v>
      </c>
      <c r="E573" s="4">
        <v>174</v>
      </c>
      <c r="F573" s="4">
        <v>347</v>
      </c>
    </row>
    <row r="574" spans="1:6" hidden="1" x14ac:dyDescent="0.75">
      <c r="A574">
        <v>4335</v>
      </c>
      <c r="B574" t="s">
        <v>222</v>
      </c>
      <c r="C574" t="s">
        <v>529</v>
      </c>
      <c r="D574" s="4">
        <v>4</v>
      </c>
      <c r="E574" s="4">
        <v>3</v>
      </c>
      <c r="F574" s="4">
        <v>7</v>
      </c>
    </row>
    <row r="575" spans="1:6" hidden="1" x14ac:dyDescent="0.75">
      <c r="A575">
        <v>4335</v>
      </c>
      <c r="B575" t="s">
        <v>222</v>
      </c>
      <c r="C575" t="s">
        <v>525</v>
      </c>
      <c r="D575" s="4">
        <v>108</v>
      </c>
      <c r="E575" s="4">
        <v>130</v>
      </c>
      <c r="F575" s="4">
        <v>238</v>
      </c>
    </row>
    <row r="576" spans="1:6" hidden="1" x14ac:dyDescent="0.75">
      <c r="A576">
        <v>4335</v>
      </c>
      <c r="B576" t="s">
        <v>222</v>
      </c>
      <c r="C576" t="s">
        <v>527</v>
      </c>
      <c r="D576" s="4">
        <v>43</v>
      </c>
      <c r="E576" s="4">
        <v>41</v>
      </c>
      <c r="F576" s="4">
        <v>84</v>
      </c>
    </row>
    <row r="577" spans="1:6" hidden="1" x14ac:dyDescent="0.75">
      <c r="A577">
        <v>4335</v>
      </c>
      <c r="B577" t="s">
        <v>222</v>
      </c>
      <c r="C577" t="s">
        <v>528</v>
      </c>
      <c r="D577" s="4">
        <v>61</v>
      </c>
      <c r="E577" s="4">
        <v>16</v>
      </c>
      <c r="F577" s="4">
        <v>77</v>
      </c>
    </row>
    <row r="578" spans="1:6" hidden="1" x14ac:dyDescent="0.75">
      <c r="A578">
        <v>4340</v>
      </c>
      <c r="B578" t="s">
        <v>236</v>
      </c>
      <c r="C578" t="s">
        <v>527</v>
      </c>
      <c r="D578" s="4">
        <v>4</v>
      </c>
      <c r="E578" s="4">
        <v>1</v>
      </c>
      <c r="F578" s="4">
        <v>5</v>
      </c>
    </row>
    <row r="579" spans="1:6" hidden="1" x14ac:dyDescent="0.75">
      <c r="A579">
        <v>4340</v>
      </c>
      <c r="B579" t="s">
        <v>236</v>
      </c>
      <c r="C579" t="s">
        <v>526</v>
      </c>
      <c r="D579" s="4">
        <v>9</v>
      </c>
      <c r="E579" s="4">
        <v>9</v>
      </c>
      <c r="F579" s="4">
        <v>18</v>
      </c>
    </row>
    <row r="580" spans="1:6" hidden="1" x14ac:dyDescent="0.75">
      <c r="A580">
        <v>4340</v>
      </c>
      <c r="B580" t="s">
        <v>236</v>
      </c>
      <c r="C580" t="s">
        <v>528</v>
      </c>
      <c r="D580" s="4">
        <v>14</v>
      </c>
      <c r="E580" s="4">
        <v>44</v>
      </c>
      <c r="F580" s="4">
        <v>58</v>
      </c>
    </row>
    <row r="581" spans="1:6" hidden="1" x14ac:dyDescent="0.75">
      <c r="A581">
        <v>4344</v>
      </c>
      <c r="B581" t="s">
        <v>13</v>
      </c>
      <c r="C581" t="s">
        <v>528</v>
      </c>
      <c r="D581" s="4">
        <v>14</v>
      </c>
      <c r="E581" s="4">
        <v>21</v>
      </c>
      <c r="F581" s="4">
        <v>35</v>
      </c>
    </row>
    <row r="582" spans="1:6" hidden="1" x14ac:dyDescent="0.75">
      <c r="A582">
        <v>4344</v>
      </c>
      <c r="B582" t="s">
        <v>13</v>
      </c>
      <c r="C582" t="s">
        <v>527</v>
      </c>
      <c r="D582" s="4">
        <v>50</v>
      </c>
      <c r="E582" s="4">
        <v>64</v>
      </c>
      <c r="F582" s="4">
        <v>114</v>
      </c>
    </row>
    <row r="583" spans="1:6" hidden="1" x14ac:dyDescent="0.75">
      <c r="A583">
        <v>4344</v>
      </c>
      <c r="B583" t="s">
        <v>13</v>
      </c>
      <c r="C583" t="s">
        <v>529</v>
      </c>
      <c r="D583" s="4">
        <v>758</v>
      </c>
      <c r="E583" s="4">
        <v>779</v>
      </c>
      <c r="F583" s="4">
        <v>1537</v>
      </c>
    </row>
    <row r="584" spans="1:6" hidden="1" x14ac:dyDescent="0.75">
      <c r="A584">
        <v>4344</v>
      </c>
      <c r="B584" t="s">
        <v>13</v>
      </c>
      <c r="C584" t="s">
        <v>525</v>
      </c>
      <c r="D584" s="4">
        <v>48</v>
      </c>
      <c r="E584" s="4">
        <v>25</v>
      </c>
      <c r="F584" s="4">
        <v>73</v>
      </c>
    </row>
    <row r="585" spans="1:6" hidden="1" x14ac:dyDescent="0.75">
      <c r="A585">
        <v>4344</v>
      </c>
      <c r="B585" t="s">
        <v>13</v>
      </c>
      <c r="C585" t="s">
        <v>526</v>
      </c>
      <c r="D585" s="4">
        <v>40</v>
      </c>
      <c r="E585" s="4">
        <v>25</v>
      </c>
      <c r="F585" s="4">
        <v>65</v>
      </c>
    </row>
    <row r="586" spans="1:6" hidden="1" x14ac:dyDescent="0.75">
      <c r="A586">
        <v>4351</v>
      </c>
      <c r="B586" t="s">
        <v>119</v>
      </c>
      <c r="C586" t="s">
        <v>527</v>
      </c>
      <c r="D586" s="4">
        <v>338</v>
      </c>
      <c r="E586" s="4">
        <v>344</v>
      </c>
      <c r="F586" s="4">
        <v>682</v>
      </c>
    </row>
    <row r="587" spans="1:6" hidden="1" x14ac:dyDescent="0.75">
      <c r="A587">
        <v>4351</v>
      </c>
      <c r="B587" t="s">
        <v>119</v>
      </c>
      <c r="C587" t="s">
        <v>528</v>
      </c>
      <c r="D587" s="4">
        <v>22</v>
      </c>
      <c r="E587" s="4">
        <v>49</v>
      </c>
      <c r="F587" s="4">
        <v>71</v>
      </c>
    </row>
    <row r="588" spans="1:6" hidden="1" x14ac:dyDescent="0.75">
      <c r="A588">
        <v>4351</v>
      </c>
      <c r="B588" t="s">
        <v>119</v>
      </c>
      <c r="C588" t="s">
        <v>525</v>
      </c>
      <c r="D588" s="4">
        <v>190</v>
      </c>
      <c r="E588" s="4">
        <v>199</v>
      </c>
      <c r="F588" s="4">
        <v>389</v>
      </c>
    </row>
    <row r="589" spans="1:6" hidden="1" x14ac:dyDescent="0.75">
      <c r="A589">
        <v>4351</v>
      </c>
      <c r="B589" t="s">
        <v>119</v>
      </c>
      <c r="C589" t="s">
        <v>526</v>
      </c>
      <c r="D589" s="4">
        <v>12</v>
      </c>
      <c r="E589" s="4">
        <v>25</v>
      </c>
      <c r="F589" s="4">
        <v>37</v>
      </c>
    </row>
    <row r="590" spans="1:6" hidden="1" x14ac:dyDescent="0.75">
      <c r="A590">
        <v>4374</v>
      </c>
      <c r="B590" t="s">
        <v>282</v>
      </c>
      <c r="C590" t="s">
        <v>525</v>
      </c>
      <c r="D590" s="4">
        <v>11</v>
      </c>
      <c r="E590" s="4">
        <v>9</v>
      </c>
      <c r="F590" s="4">
        <v>20</v>
      </c>
    </row>
    <row r="591" spans="1:6" hidden="1" x14ac:dyDescent="0.75">
      <c r="A591">
        <v>4374</v>
      </c>
      <c r="B591" t="s">
        <v>282</v>
      </c>
      <c r="C591" t="s">
        <v>528</v>
      </c>
      <c r="D591" s="4">
        <v>8</v>
      </c>
      <c r="E591" s="4">
        <v>9</v>
      </c>
      <c r="F591" s="4">
        <v>17</v>
      </c>
    </row>
    <row r="592" spans="1:6" hidden="1" x14ac:dyDescent="0.75">
      <c r="A592">
        <v>4374</v>
      </c>
      <c r="B592" t="s">
        <v>282</v>
      </c>
      <c r="C592" t="s">
        <v>526</v>
      </c>
      <c r="D592" s="4">
        <v>12</v>
      </c>
      <c r="E592" s="4">
        <v>17</v>
      </c>
      <c r="F592" s="4">
        <v>29</v>
      </c>
    </row>
    <row r="593" spans="1:6" hidden="1" x14ac:dyDescent="0.75">
      <c r="A593">
        <v>4400</v>
      </c>
      <c r="B593" t="s">
        <v>62</v>
      </c>
      <c r="C593" t="s">
        <v>526</v>
      </c>
      <c r="D593" s="4">
        <v>240</v>
      </c>
      <c r="E593" s="4">
        <v>236</v>
      </c>
      <c r="F593" s="4">
        <v>476</v>
      </c>
    </row>
    <row r="594" spans="1:6" hidden="1" x14ac:dyDescent="0.75">
      <c r="A594">
        <v>4400</v>
      </c>
      <c r="B594" t="s">
        <v>62</v>
      </c>
      <c r="C594" t="s">
        <v>527</v>
      </c>
      <c r="D594" s="4">
        <v>21</v>
      </c>
      <c r="E594" s="4">
        <v>16</v>
      </c>
      <c r="F594" s="4">
        <v>37</v>
      </c>
    </row>
    <row r="595" spans="1:6" hidden="1" x14ac:dyDescent="0.75">
      <c r="A595">
        <v>4400</v>
      </c>
      <c r="B595" t="s">
        <v>62</v>
      </c>
      <c r="C595" t="s">
        <v>525</v>
      </c>
      <c r="D595" s="4">
        <v>185</v>
      </c>
      <c r="E595" s="4">
        <v>118</v>
      </c>
      <c r="F595" s="4">
        <v>303</v>
      </c>
    </row>
    <row r="596" spans="1:6" hidden="1" x14ac:dyDescent="0.75">
      <c r="A596">
        <v>4400</v>
      </c>
      <c r="B596" t="s">
        <v>62</v>
      </c>
      <c r="C596" t="s">
        <v>529</v>
      </c>
      <c r="D596" s="4">
        <v>0</v>
      </c>
      <c r="E596" s="4">
        <v>1</v>
      </c>
      <c r="F596" s="4">
        <v>1</v>
      </c>
    </row>
    <row r="597" spans="1:6" hidden="1" x14ac:dyDescent="0.75">
      <c r="A597">
        <v>4405</v>
      </c>
      <c r="B597" t="s">
        <v>52</v>
      </c>
      <c r="C597" t="s">
        <v>526</v>
      </c>
      <c r="D597" s="4">
        <v>228</v>
      </c>
      <c r="E597" s="4">
        <v>225</v>
      </c>
      <c r="F597" s="4">
        <v>453</v>
      </c>
    </row>
    <row r="598" spans="1:6" hidden="1" x14ac:dyDescent="0.75">
      <c r="A598">
        <v>4405</v>
      </c>
      <c r="B598" t="s">
        <v>52</v>
      </c>
      <c r="C598" t="s">
        <v>525</v>
      </c>
      <c r="D598" s="4">
        <v>79</v>
      </c>
      <c r="E598" s="4">
        <v>79</v>
      </c>
      <c r="F598" s="4">
        <v>158</v>
      </c>
    </row>
    <row r="599" spans="1:6" hidden="1" x14ac:dyDescent="0.75">
      <c r="A599">
        <v>4410</v>
      </c>
      <c r="B599" t="s">
        <v>51</v>
      </c>
      <c r="C599" t="s">
        <v>526</v>
      </c>
      <c r="D599" s="4">
        <v>298</v>
      </c>
      <c r="E599" s="4">
        <v>292</v>
      </c>
      <c r="F599" s="4">
        <v>590</v>
      </c>
    </row>
    <row r="600" spans="1:6" hidden="1" x14ac:dyDescent="0.75">
      <c r="A600">
        <v>4410</v>
      </c>
      <c r="B600" t="s">
        <v>51</v>
      </c>
      <c r="C600" t="s">
        <v>525</v>
      </c>
      <c r="D600" s="4">
        <v>177</v>
      </c>
      <c r="E600" s="4">
        <v>140</v>
      </c>
      <c r="F600" s="4">
        <v>317</v>
      </c>
    </row>
    <row r="601" spans="1:6" hidden="1" x14ac:dyDescent="0.75">
      <c r="A601">
        <v>4410</v>
      </c>
      <c r="B601" t="s">
        <v>51</v>
      </c>
      <c r="C601" t="s">
        <v>527</v>
      </c>
      <c r="D601" s="4">
        <v>17</v>
      </c>
      <c r="E601" s="4">
        <v>17</v>
      </c>
      <c r="F601" s="4">
        <v>34</v>
      </c>
    </row>
    <row r="602" spans="1:6" hidden="1" x14ac:dyDescent="0.75">
      <c r="A602">
        <v>4410</v>
      </c>
      <c r="B602" t="s">
        <v>51</v>
      </c>
      <c r="C602" t="s">
        <v>528</v>
      </c>
      <c r="D602" s="4">
        <v>1</v>
      </c>
      <c r="E602" s="4">
        <v>1</v>
      </c>
      <c r="F602" s="4">
        <v>2</v>
      </c>
    </row>
    <row r="603" spans="1:6" hidden="1" x14ac:dyDescent="0.75">
      <c r="A603">
        <v>4415</v>
      </c>
      <c r="B603" t="s">
        <v>88</v>
      </c>
      <c r="C603" t="s">
        <v>525</v>
      </c>
      <c r="D603" s="4">
        <v>15</v>
      </c>
      <c r="E603" s="4">
        <v>7</v>
      </c>
      <c r="F603" s="4">
        <v>22</v>
      </c>
    </row>
    <row r="604" spans="1:6" hidden="1" x14ac:dyDescent="0.75">
      <c r="A604">
        <v>4415</v>
      </c>
      <c r="B604" t="s">
        <v>88</v>
      </c>
      <c r="C604" t="s">
        <v>526</v>
      </c>
      <c r="D604" s="4">
        <v>62</v>
      </c>
      <c r="E604" s="4">
        <v>63</v>
      </c>
      <c r="F604" s="4">
        <v>125</v>
      </c>
    </row>
    <row r="605" spans="1:6" hidden="1" x14ac:dyDescent="0.75">
      <c r="A605">
        <v>4421</v>
      </c>
      <c r="B605" t="s">
        <v>22</v>
      </c>
      <c r="C605" t="s">
        <v>528</v>
      </c>
      <c r="D605" s="4">
        <v>2</v>
      </c>
      <c r="E605" s="4">
        <v>2</v>
      </c>
      <c r="F605" s="4">
        <v>4</v>
      </c>
    </row>
    <row r="606" spans="1:6" hidden="1" x14ac:dyDescent="0.75">
      <c r="A606">
        <v>4421</v>
      </c>
      <c r="B606" t="s">
        <v>22</v>
      </c>
      <c r="C606" t="s">
        <v>529</v>
      </c>
      <c r="D606" s="4">
        <v>268</v>
      </c>
      <c r="E606" s="4">
        <v>269</v>
      </c>
      <c r="F606" s="4">
        <v>537</v>
      </c>
    </row>
    <row r="607" spans="1:6" hidden="1" x14ac:dyDescent="0.75">
      <c r="A607">
        <v>4421</v>
      </c>
      <c r="B607" t="s">
        <v>22</v>
      </c>
      <c r="C607" t="s">
        <v>527</v>
      </c>
      <c r="D607" s="4">
        <v>153</v>
      </c>
      <c r="E607" s="4">
        <v>143</v>
      </c>
      <c r="F607" s="4">
        <v>296</v>
      </c>
    </row>
    <row r="608" spans="1:6" hidden="1" x14ac:dyDescent="0.75">
      <c r="A608">
        <v>4421</v>
      </c>
      <c r="B608" t="s">
        <v>22</v>
      </c>
      <c r="C608" t="s">
        <v>526</v>
      </c>
      <c r="D608" s="4">
        <v>885</v>
      </c>
      <c r="E608" s="4">
        <v>908</v>
      </c>
      <c r="F608" s="4">
        <v>1793</v>
      </c>
    </row>
    <row r="609" spans="1:6" hidden="1" x14ac:dyDescent="0.75">
      <c r="A609">
        <v>4421</v>
      </c>
      <c r="B609" t="s">
        <v>22</v>
      </c>
      <c r="C609" t="s">
        <v>525</v>
      </c>
      <c r="D609" s="4">
        <v>52</v>
      </c>
      <c r="E609" s="4">
        <v>75</v>
      </c>
      <c r="F609" s="4">
        <v>127</v>
      </c>
    </row>
    <row r="610" spans="1:6" hidden="1" x14ac:dyDescent="0.75">
      <c r="A610">
        <v>4431</v>
      </c>
      <c r="B610" t="s">
        <v>61</v>
      </c>
      <c r="C610" t="s">
        <v>525</v>
      </c>
      <c r="D610" s="4">
        <v>72</v>
      </c>
      <c r="E610" s="4">
        <v>48</v>
      </c>
      <c r="F610" s="4">
        <v>120</v>
      </c>
    </row>
    <row r="611" spans="1:6" hidden="1" x14ac:dyDescent="0.75">
      <c r="A611">
        <v>4431</v>
      </c>
      <c r="B611" t="s">
        <v>61</v>
      </c>
      <c r="C611" t="s">
        <v>526</v>
      </c>
      <c r="D611" s="4">
        <v>170</v>
      </c>
      <c r="E611" s="4">
        <v>159</v>
      </c>
      <c r="F611" s="4">
        <v>329</v>
      </c>
    </row>
    <row r="612" spans="1:6" hidden="1" x14ac:dyDescent="0.75">
      <c r="A612">
        <v>4431</v>
      </c>
      <c r="B612" t="s">
        <v>61</v>
      </c>
      <c r="C612" t="s">
        <v>527</v>
      </c>
      <c r="D612" s="4">
        <v>12</v>
      </c>
      <c r="E612" s="4">
        <v>13</v>
      </c>
      <c r="F612" s="4">
        <v>25</v>
      </c>
    </row>
    <row r="613" spans="1:6" hidden="1" x14ac:dyDescent="0.75">
      <c r="A613">
        <v>4450</v>
      </c>
      <c r="B613" t="s">
        <v>325</v>
      </c>
      <c r="C613" t="s">
        <v>527</v>
      </c>
      <c r="D613" s="4">
        <v>2</v>
      </c>
      <c r="E613" s="4">
        <v>7</v>
      </c>
      <c r="F613" s="4">
        <v>9</v>
      </c>
    </row>
    <row r="614" spans="1:6" hidden="1" x14ac:dyDescent="0.75">
      <c r="A614">
        <v>4450</v>
      </c>
      <c r="B614" t="s">
        <v>325</v>
      </c>
      <c r="C614" t="s">
        <v>526</v>
      </c>
      <c r="D614" s="4">
        <v>1</v>
      </c>
      <c r="E614" s="4">
        <v>0</v>
      </c>
      <c r="F614" s="4">
        <v>1</v>
      </c>
    </row>
    <row r="615" spans="1:6" hidden="1" x14ac:dyDescent="0.75">
      <c r="A615">
        <v>4453</v>
      </c>
      <c r="B615" t="s">
        <v>79</v>
      </c>
      <c r="C615" t="s">
        <v>526</v>
      </c>
      <c r="D615" s="4">
        <v>52</v>
      </c>
      <c r="E615" s="4">
        <v>52</v>
      </c>
      <c r="F615" s="4">
        <v>104</v>
      </c>
    </row>
    <row r="616" spans="1:6" hidden="1" x14ac:dyDescent="0.75">
      <c r="A616">
        <v>4458</v>
      </c>
      <c r="B616" t="s">
        <v>187</v>
      </c>
      <c r="C616" t="s">
        <v>527</v>
      </c>
      <c r="D616" s="4">
        <v>74</v>
      </c>
      <c r="E616" s="4">
        <v>92</v>
      </c>
      <c r="F616" s="4">
        <v>166</v>
      </c>
    </row>
    <row r="617" spans="1:6" hidden="1" x14ac:dyDescent="0.75">
      <c r="A617">
        <v>4458</v>
      </c>
      <c r="B617" t="s">
        <v>187</v>
      </c>
      <c r="C617" t="s">
        <v>525</v>
      </c>
      <c r="D617" s="4">
        <v>59</v>
      </c>
      <c r="E617" s="4">
        <v>169</v>
      </c>
      <c r="F617" s="4">
        <v>228</v>
      </c>
    </row>
    <row r="618" spans="1:6" hidden="1" x14ac:dyDescent="0.75">
      <c r="A618">
        <v>4458</v>
      </c>
      <c r="B618" t="s">
        <v>187</v>
      </c>
      <c r="C618" t="s">
        <v>528</v>
      </c>
      <c r="D618" s="4">
        <v>25</v>
      </c>
      <c r="E618" s="4">
        <v>24</v>
      </c>
      <c r="F618" s="4">
        <v>49</v>
      </c>
    </row>
    <row r="619" spans="1:6" hidden="1" x14ac:dyDescent="0.75">
      <c r="A619">
        <v>4458</v>
      </c>
      <c r="B619" t="s">
        <v>187</v>
      </c>
      <c r="C619" t="s">
        <v>526</v>
      </c>
      <c r="D619" s="4">
        <v>53</v>
      </c>
      <c r="E619" s="4">
        <v>55</v>
      </c>
      <c r="F619" s="4">
        <v>108</v>
      </c>
    </row>
    <row r="620" spans="1:6" hidden="1" x14ac:dyDescent="0.75">
      <c r="A620">
        <v>4610</v>
      </c>
      <c r="B620" t="s">
        <v>273</v>
      </c>
      <c r="C620" t="s">
        <v>527</v>
      </c>
      <c r="D620" s="4">
        <v>13</v>
      </c>
      <c r="E620" s="4">
        <v>0</v>
      </c>
      <c r="F620" s="4">
        <v>13</v>
      </c>
    </row>
    <row r="621" spans="1:6" hidden="1" x14ac:dyDescent="0.75">
      <c r="A621">
        <v>4610</v>
      </c>
      <c r="B621" t="s">
        <v>273</v>
      </c>
      <c r="C621" t="s">
        <v>528</v>
      </c>
      <c r="D621" s="4">
        <v>288</v>
      </c>
      <c r="E621" s="4">
        <v>4</v>
      </c>
      <c r="F621" s="4">
        <v>292</v>
      </c>
    </row>
    <row r="622" spans="1:6" hidden="1" x14ac:dyDescent="0.75">
      <c r="A622">
        <v>4610</v>
      </c>
      <c r="B622" t="s">
        <v>273</v>
      </c>
      <c r="C622" t="s">
        <v>525</v>
      </c>
      <c r="D622" s="4">
        <v>47</v>
      </c>
      <c r="E622" s="4">
        <v>65</v>
      </c>
      <c r="F622" s="4">
        <v>112</v>
      </c>
    </row>
    <row r="623" spans="1:6" hidden="1" x14ac:dyDescent="0.75">
      <c r="A623">
        <v>4610</v>
      </c>
      <c r="B623" t="s">
        <v>273</v>
      </c>
      <c r="C623" t="s">
        <v>526</v>
      </c>
      <c r="D623" s="4">
        <v>78</v>
      </c>
      <c r="E623" s="4">
        <v>55</v>
      </c>
      <c r="F623" s="4">
        <v>133</v>
      </c>
    </row>
    <row r="624" spans="1:6" hidden="1" x14ac:dyDescent="0.75">
      <c r="A624">
        <v>4622</v>
      </c>
      <c r="B624" t="s">
        <v>98</v>
      </c>
      <c r="C624" t="s">
        <v>526</v>
      </c>
      <c r="D624" s="4">
        <v>301</v>
      </c>
      <c r="E624" s="4">
        <v>283</v>
      </c>
      <c r="F624" s="4">
        <v>584</v>
      </c>
    </row>
    <row r="625" spans="1:6" hidden="1" x14ac:dyDescent="0.75">
      <c r="A625">
        <v>4622</v>
      </c>
      <c r="B625" t="s">
        <v>98</v>
      </c>
      <c r="C625" t="s">
        <v>527</v>
      </c>
      <c r="D625" s="4">
        <v>26</v>
      </c>
      <c r="E625" s="4">
        <v>29</v>
      </c>
      <c r="F625" s="4">
        <v>55</v>
      </c>
    </row>
    <row r="626" spans="1:6" hidden="1" x14ac:dyDescent="0.75">
      <c r="A626">
        <v>4622</v>
      </c>
      <c r="B626" t="s">
        <v>98</v>
      </c>
      <c r="C626" t="s">
        <v>528</v>
      </c>
      <c r="D626" s="4">
        <v>148</v>
      </c>
      <c r="E626" s="4">
        <v>246</v>
      </c>
      <c r="F626" s="4">
        <v>394</v>
      </c>
    </row>
    <row r="627" spans="1:6" hidden="1" x14ac:dyDescent="0.75">
      <c r="A627">
        <v>4622</v>
      </c>
      <c r="B627" t="s">
        <v>98</v>
      </c>
      <c r="C627" t="s">
        <v>525</v>
      </c>
      <c r="D627" s="4">
        <v>64</v>
      </c>
      <c r="E627" s="4">
        <v>47</v>
      </c>
      <c r="F627" s="4">
        <v>111</v>
      </c>
    </row>
    <row r="628" spans="1:6" hidden="1" x14ac:dyDescent="0.75">
      <c r="A628">
        <v>4626</v>
      </c>
      <c r="B628" t="s">
        <v>167</v>
      </c>
      <c r="C628" t="s">
        <v>527</v>
      </c>
      <c r="D628" s="4">
        <v>14</v>
      </c>
      <c r="E628" s="4">
        <v>21</v>
      </c>
      <c r="F628" s="4">
        <v>35</v>
      </c>
    </row>
    <row r="629" spans="1:6" hidden="1" x14ac:dyDescent="0.75">
      <c r="A629">
        <v>4626</v>
      </c>
      <c r="B629" t="s">
        <v>167</v>
      </c>
      <c r="C629" t="s">
        <v>528</v>
      </c>
      <c r="D629" s="4">
        <v>136</v>
      </c>
      <c r="E629" s="4">
        <v>280</v>
      </c>
      <c r="F629" s="4">
        <v>416</v>
      </c>
    </row>
    <row r="630" spans="1:6" hidden="1" x14ac:dyDescent="0.75">
      <c r="A630">
        <v>4626</v>
      </c>
      <c r="B630" t="s">
        <v>167</v>
      </c>
      <c r="C630" t="s">
        <v>526</v>
      </c>
      <c r="D630" s="4">
        <v>436</v>
      </c>
      <c r="E630" s="4">
        <v>378</v>
      </c>
      <c r="F630" s="4">
        <v>814</v>
      </c>
    </row>
    <row r="631" spans="1:6" hidden="1" x14ac:dyDescent="0.75">
      <c r="A631">
        <v>4626</v>
      </c>
      <c r="B631" t="s">
        <v>167</v>
      </c>
      <c r="C631" t="s">
        <v>525</v>
      </c>
      <c r="D631" s="4">
        <v>40</v>
      </c>
      <c r="E631" s="4">
        <v>30</v>
      </c>
      <c r="F631" s="4">
        <v>70</v>
      </c>
    </row>
    <row r="632" spans="1:6" hidden="1" x14ac:dyDescent="0.75">
      <c r="A632">
        <v>4629</v>
      </c>
      <c r="B632" t="s">
        <v>208</v>
      </c>
      <c r="C632" t="s">
        <v>528</v>
      </c>
      <c r="D632" s="4">
        <v>41</v>
      </c>
      <c r="E632" s="4">
        <v>19</v>
      </c>
      <c r="F632" s="4">
        <v>60</v>
      </c>
    </row>
    <row r="633" spans="1:6" hidden="1" x14ac:dyDescent="0.75">
      <c r="A633">
        <v>4629</v>
      </c>
      <c r="B633" t="s">
        <v>208</v>
      </c>
      <c r="C633" t="s">
        <v>526</v>
      </c>
      <c r="D633" s="4">
        <v>1385</v>
      </c>
      <c r="E633" s="4">
        <v>1362</v>
      </c>
      <c r="F633" s="4">
        <v>2747</v>
      </c>
    </row>
    <row r="634" spans="1:6" hidden="1" x14ac:dyDescent="0.75">
      <c r="A634">
        <v>4629</v>
      </c>
      <c r="B634" t="s">
        <v>208</v>
      </c>
      <c r="C634" t="s">
        <v>527</v>
      </c>
      <c r="D634" s="4">
        <v>8</v>
      </c>
      <c r="E634" s="4">
        <v>1</v>
      </c>
      <c r="F634" s="4">
        <v>9</v>
      </c>
    </row>
    <row r="635" spans="1:6" hidden="1" x14ac:dyDescent="0.75">
      <c r="A635">
        <v>4629</v>
      </c>
      <c r="B635" t="s">
        <v>208</v>
      </c>
      <c r="C635" t="s">
        <v>525</v>
      </c>
      <c r="D635" s="4">
        <v>18</v>
      </c>
      <c r="E635" s="4">
        <v>34</v>
      </c>
      <c r="F635" s="4">
        <v>52</v>
      </c>
    </row>
    <row r="636" spans="1:6" hidden="1" x14ac:dyDescent="0.75">
      <c r="A636">
        <v>4636</v>
      </c>
      <c r="B636" t="s">
        <v>66</v>
      </c>
      <c r="C636" t="s">
        <v>526</v>
      </c>
      <c r="D636" s="4">
        <v>1026</v>
      </c>
      <c r="E636" s="4">
        <v>913</v>
      </c>
      <c r="F636" s="4">
        <v>1939</v>
      </c>
    </row>
    <row r="637" spans="1:6" hidden="1" x14ac:dyDescent="0.75">
      <c r="A637">
        <v>4636</v>
      </c>
      <c r="B637" t="s">
        <v>66</v>
      </c>
      <c r="C637" t="s">
        <v>527</v>
      </c>
      <c r="D637" s="4">
        <v>136</v>
      </c>
      <c r="E637" s="4">
        <v>111</v>
      </c>
      <c r="F637" s="4">
        <v>247</v>
      </c>
    </row>
    <row r="638" spans="1:6" hidden="1" x14ac:dyDescent="0.75">
      <c r="A638">
        <v>4636</v>
      </c>
      <c r="B638" t="s">
        <v>66</v>
      </c>
      <c r="C638" t="s">
        <v>528</v>
      </c>
      <c r="D638" s="4">
        <v>158</v>
      </c>
      <c r="E638" s="4">
        <v>141</v>
      </c>
      <c r="F638" s="4">
        <v>299</v>
      </c>
    </row>
    <row r="639" spans="1:6" hidden="1" x14ac:dyDescent="0.75">
      <c r="A639">
        <v>4636</v>
      </c>
      <c r="B639" t="s">
        <v>66</v>
      </c>
      <c r="C639" t="s">
        <v>525</v>
      </c>
      <c r="D639" s="4">
        <v>84</v>
      </c>
      <c r="E639" s="4">
        <v>79</v>
      </c>
      <c r="F639" s="4">
        <v>163</v>
      </c>
    </row>
    <row r="640" spans="1:6" hidden="1" x14ac:dyDescent="0.75">
      <c r="A640">
        <v>4646</v>
      </c>
      <c r="B640" t="s">
        <v>53</v>
      </c>
      <c r="C640" t="s">
        <v>527</v>
      </c>
      <c r="D640" s="4">
        <v>180</v>
      </c>
      <c r="E640" s="4">
        <v>217</v>
      </c>
      <c r="F640" s="4">
        <v>397</v>
      </c>
    </row>
    <row r="641" spans="1:6" hidden="1" x14ac:dyDescent="0.75">
      <c r="A641">
        <v>4646</v>
      </c>
      <c r="B641" t="s">
        <v>53</v>
      </c>
      <c r="C641" t="s">
        <v>525</v>
      </c>
      <c r="D641" s="4">
        <v>812</v>
      </c>
      <c r="E641" s="4">
        <v>712</v>
      </c>
      <c r="F641" s="4">
        <v>1524</v>
      </c>
    </row>
    <row r="642" spans="1:6" hidden="1" x14ac:dyDescent="0.75">
      <c r="A642">
        <v>4646</v>
      </c>
      <c r="B642" t="s">
        <v>53</v>
      </c>
      <c r="C642" t="s">
        <v>526</v>
      </c>
      <c r="D642" s="4">
        <v>1887</v>
      </c>
      <c r="E642" s="4">
        <v>1846</v>
      </c>
      <c r="F642" s="4">
        <v>3733</v>
      </c>
    </row>
    <row r="643" spans="1:6" hidden="1" x14ac:dyDescent="0.75">
      <c r="A643">
        <v>4646</v>
      </c>
      <c r="B643" t="s">
        <v>53</v>
      </c>
      <c r="C643" t="s">
        <v>528</v>
      </c>
      <c r="D643" s="4">
        <v>134</v>
      </c>
      <c r="E643" s="4">
        <v>227</v>
      </c>
      <c r="F643" s="4">
        <v>361</v>
      </c>
    </row>
    <row r="644" spans="1:6" hidden="1" x14ac:dyDescent="0.75">
      <c r="A644">
        <v>4646</v>
      </c>
      <c r="B644" t="s">
        <v>53</v>
      </c>
      <c r="C644" t="s">
        <v>529</v>
      </c>
      <c r="D644" s="4">
        <v>57</v>
      </c>
      <c r="E644" s="4">
        <v>57</v>
      </c>
      <c r="F644" s="4">
        <v>114</v>
      </c>
    </row>
    <row r="645" spans="1:6" hidden="1" x14ac:dyDescent="0.75">
      <c r="A645">
        <v>4659</v>
      </c>
      <c r="B645" t="s">
        <v>217</v>
      </c>
      <c r="C645" t="s">
        <v>527</v>
      </c>
      <c r="D645" s="4">
        <v>2</v>
      </c>
      <c r="E645" s="4">
        <v>2</v>
      </c>
      <c r="F645" s="4">
        <v>4</v>
      </c>
    </row>
    <row r="646" spans="1:6" hidden="1" x14ac:dyDescent="0.75">
      <c r="A646">
        <v>4659</v>
      </c>
      <c r="B646" t="s">
        <v>217</v>
      </c>
      <c r="C646" t="s">
        <v>528</v>
      </c>
      <c r="D646" s="4">
        <v>58</v>
      </c>
      <c r="E646" s="4">
        <v>57</v>
      </c>
      <c r="F646" s="4">
        <v>115</v>
      </c>
    </row>
    <row r="647" spans="1:6" hidden="1" x14ac:dyDescent="0.75">
      <c r="A647">
        <v>4659</v>
      </c>
      <c r="B647" t="s">
        <v>217</v>
      </c>
      <c r="C647" t="s">
        <v>526</v>
      </c>
      <c r="D647" s="4">
        <v>13</v>
      </c>
      <c r="E647" s="4">
        <v>41</v>
      </c>
      <c r="F647" s="4">
        <v>54</v>
      </c>
    </row>
    <row r="648" spans="1:6" hidden="1" x14ac:dyDescent="0.75">
      <c r="A648">
        <v>4659</v>
      </c>
      <c r="B648" t="s">
        <v>217</v>
      </c>
      <c r="C648" t="s">
        <v>525</v>
      </c>
      <c r="D648" s="4">
        <v>18</v>
      </c>
      <c r="E648" s="4">
        <v>19</v>
      </c>
      <c r="F648" s="4">
        <v>37</v>
      </c>
    </row>
    <row r="649" spans="1:6" hidden="1" x14ac:dyDescent="0.75">
      <c r="A649">
        <v>4707</v>
      </c>
      <c r="B649" t="s">
        <v>89</v>
      </c>
      <c r="C649" t="s">
        <v>525</v>
      </c>
      <c r="D649" s="4">
        <v>301</v>
      </c>
      <c r="E649" s="4">
        <v>299</v>
      </c>
      <c r="F649" s="4">
        <v>600</v>
      </c>
    </row>
    <row r="650" spans="1:6" hidden="1" x14ac:dyDescent="0.75">
      <c r="A650">
        <v>4707</v>
      </c>
      <c r="B650" t="s">
        <v>89</v>
      </c>
      <c r="C650" t="s">
        <v>527</v>
      </c>
      <c r="D650" s="4">
        <v>18</v>
      </c>
      <c r="E650" s="4">
        <v>15</v>
      </c>
      <c r="F650" s="4">
        <v>33</v>
      </c>
    </row>
    <row r="651" spans="1:6" hidden="1" x14ac:dyDescent="0.75">
      <c r="A651">
        <v>4707</v>
      </c>
      <c r="B651" t="s">
        <v>89</v>
      </c>
      <c r="C651" t="s">
        <v>529</v>
      </c>
      <c r="D651" s="4">
        <v>3</v>
      </c>
      <c r="E651" s="4">
        <v>0</v>
      </c>
      <c r="F651" s="4">
        <v>3</v>
      </c>
    </row>
    <row r="652" spans="1:6" hidden="1" x14ac:dyDescent="0.75">
      <c r="A652">
        <v>4707</v>
      </c>
      <c r="B652" t="s">
        <v>89</v>
      </c>
      <c r="C652" t="s">
        <v>528</v>
      </c>
      <c r="D652" s="4">
        <v>15</v>
      </c>
      <c r="E652" s="4">
        <v>12</v>
      </c>
      <c r="F652" s="4">
        <v>27</v>
      </c>
    </row>
    <row r="653" spans="1:6" hidden="1" x14ac:dyDescent="0.75">
      <c r="A653">
        <v>4707</v>
      </c>
      <c r="B653" t="s">
        <v>89</v>
      </c>
      <c r="C653" t="s">
        <v>526</v>
      </c>
      <c r="D653" s="4">
        <v>125</v>
      </c>
      <c r="E653" s="4">
        <v>109</v>
      </c>
      <c r="F653" s="4">
        <v>234</v>
      </c>
    </row>
    <row r="654" spans="1:6" hidden="1" x14ac:dyDescent="0.75">
      <c r="A654">
        <v>4709</v>
      </c>
      <c r="B654" t="s">
        <v>235</v>
      </c>
      <c r="C654" t="s">
        <v>526</v>
      </c>
      <c r="D654" s="4">
        <v>6</v>
      </c>
      <c r="E654" s="4">
        <v>11</v>
      </c>
      <c r="F654" s="4">
        <v>17</v>
      </c>
    </row>
    <row r="655" spans="1:6" hidden="1" x14ac:dyDescent="0.75">
      <c r="A655">
        <v>4709</v>
      </c>
      <c r="B655" t="s">
        <v>235</v>
      </c>
      <c r="C655" t="s">
        <v>527</v>
      </c>
      <c r="D655" s="4">
        <v>3</v>
      </c>
      <c r="E655" s="4">
        <v>4</v>
      </c>
      <c r="F655" s="4">
        <v>7</v>
      </c>
    </row>
    <row r="656" spans="1:6" hidden="1" x14ac:dyDescent="0.75">
      <c r="A656">
        <v>4709</v>
      </c>
      <c r="B656" t="s">
        <v>235</v>
      </c>
      <c r="C656" t="s">
        <v>528</v>
      </c>
      <c r="D656" s="4">
        <v>24</v>
      </c>
      <c r="E656" s="4">
        <v>25</v>
      </c>
      <c r="F656" s="4">
        <v>49</v>
      </c>
    </row>
    <row r="657" spans="1:6" hidden="1" x14ac:dyDescent="0.75">
      <c r="A657">
        <v>4711</v>
      </c>
      <c r="B657" t="s">
        <v>291</v>
      </c>
      <c r="C657" t="s">
        <v>526</v>
      </c>
      <c r="D657" s="4">
        <v>167</v>
      </c>
      <c r="E657" s="4">
        <v>165</v>
      </c>
      <c r="F657" s="4">
        <v>332</v>
      </c>
    </row>
    <row r="658" spans="1:6" hidden="1" x14ac:dyDescent="0.75">
      <c r="A658">
        <v>4713</v>
      </c>
      <c r="B658" t="s">
        <v>254</v>
      </c>
      <c r="C658" t="s">
        <v>528</v>
      </c>
      <c r="D658" s="4">
        <v>18</v>
      </c>
      <c r="E658" s="4">
        <v>24</v>
      </c>
      <c r="F658" s="4">
        <v>42</v>
      </c>
    </row>
    <row r="659" spans="1:6" hidden="1" x14ac:dyDescent="0.75">
      <c r="A659">
        <v>4713</v>
      </c>
      <c r="B659" t="s">
        <v>254</v>
      </c>
      <c r="C659" t="s">
        <v>527</v>
      </c>
      <c r="D659" s="4">
        <v>4</v>
      </c>
      <c r="E659" s="4">
        <v>5</v>
      </c>
      <c r="F659" s="4">
        <v>9</v>
      </c>
    </row>
    <row r="660" spans="1:6" hidden="1" x14ac:dyDescent="0.75">
      <c r="A660">
        <v>4713</v>
      </c>
      <c r="B660" t="s">
        <v>254</v>
      </c>
      <c r="C660" t="s">
        <v>526</v>
      </c>
      <c r="D660" s="4">
        <v>1</v>
      </c>
      <c r="E660" s="4">
        <v>0</v>
      </c>
      <c r="F660" s="4">
        <v>1</v>
      </c>
    </row>
    <row r="661" spans="1:6" hidden="1" x14ac:dyDescent="0.75">
      <c r="A661">
        <v>4719</v>
      </c>
      <c r="B661" t="s">
        <v>14</v>
      </c>
      <c r="C661" t="s">
        <v>529</v>
      </c>
      <c r="D661" s="4">
        <v>442</v>
      </c>
      <c r="E661" s="4">
        <v>445</v>
      </c>
      <c r="F661" s="4">
        <v>887</v>
      </c>
    </row>
    <row r="662" spans="1:6" hidden="1" x14ac:dyDescent="0.75">
      <c r="A662">
        <v>4719</v>
      </c>
      <c r="B662" t="s">
        <v>14</v>
      </c>
      <c r="C662" t="s">
        <v>526</v>
      </c>
      <c r="D662" s="4">
        <v>673</v>
      </c>
      <c r="E662" s="4">
        <v>671</v>
      </c>
      <c r="F662" s="4">
        <v>1344</v>
      </c>
    </row>
    <row r="663" spans="1:6" hidden="1" x14ac:dyDescent="0.75">
      <c r="A663">
        <v>4719</v>
      </c>
      <c r="B663" t="s">
        <v>14</v>
      </c>
      <c r="C663" t="s">
        <v>528</v>
      </c>
      <c r="D663" s="4">
        <v>113</v>
      </c>
      <c r="E663" s="4">
        <v>114</v>
      </c>
      <c r="F663" s="4">
        <v>227</v>
      </c>
    </row>
    <row r="664" spans="1:6" hidden="1" x14ac:dyDescent="0.75">
      <c r="A664">
        <v>4719</v>
      </c>
      <c r="B664" t="s">
        <v>14</v>
      </c>
      <c r="C664" t="s">
        <v>527</v>
      </c>
      <c r="D664" s="4">
        <v>313</v>
      </c>
      <c r="E664" s="4">
        <v>316</v>
      </c>
      <c r="F664" s="4">
        <v>629</v>
      </c>
    </row>
    <row r="665" spans="1:6" hidden="1" x14ac:dyDescent="0.75">
      <c r="A665">
        <v>4719</v>
      </c>
      <c r="B665" t="s">
        <v>14</v>
      </c>
      <c r="C665" t="s">
        <v>525</v>
      </c>
      <c r="D665" s="4">
        <v>168</v>
      </c>
      <c r="E665" s="4">
        <v>126</v>
      </c>
      <c r="F665" s="4">
        <v>294</v>
      </c>
    </row>
    <row r="666" spans="1:6" hidden="1" x14ac:dyDescent="0.75">
      <c r="A666">
        <v>4722</v>
      </c>
      <c r="B666" t="s">
        <v>165</v>
      </c>
      <c r="C666" t="s">
        <v>529</v>
      </c>
      <c r="D666" s="4">
        <v>377</v>
      </c>
      <c r="E666" s="4">
        <v>411</v>
      </c>
      <c r="F666" s="4">
        <v>788</v>
      </c>
    </row>
    <row r="667" spans="1:6" hidden="1" x14ac:dyDescent="0.75">
      <c r="A667">
        <v>4722</v>
      </c>
      <c r="B667" t="s">
        <v>165</v>
      </c>
      <c r="C667" t="s">
        <v>527</v>
      </c>
      <c r="D667" s="4">
        <v>75</v>
      </c>
      <c r="E667" s="4">
        <v>81</v>
      </c>
      <c r="F667" s="4">
        <v>156</v>
      </c>
    </row>
    <row r="668" spans="1:6" hidden="1" x14ac:dyDescent="0.75">
      <c r="A668">
        <v>4722</v>
      </c>
      <c r="B668" t="s">
        <v>165</v>
      </c>
      <c r="C668" t="s">
        <v>525</v>
      </c>
      <c r="D668" s="4">
        <v>177</v>
      </c>
      <c r="E668" s="4">
        <v>151</v>
      </c>
      <c r="F668" s="4">
        <v>328</v>
      </c>
    </row>
    <row r="669" spans="1:6" hidden="1" x14ac:dyDescent="0.75">
      <c r="A669">
        <v>4722</v>
      </c>
      <c r="B669" t="s">
        <v>165</v>
      </c>
      <c r="C669" t="s">
        <v>528</v>
      </c>
      <c r="D669" s="4">
        <v>112</v>
      </c>
      <c r="E669" s="4">
        <v>114</v>
      </c>
      <c r="F669" s="4">
        <v>226</v>
      </c>
    </row>
    <row r="670" spans="1:6" hidden="1" x14ac:dyDescent="0.75">
      <c r="A670">
        <v>4722</v>
      </c>
      <c r="B670" t="s">
        <v>165</v>
      </c>
      <c r="C670" t="s">
        <v>526</v>
      </c>
      <c r="D670" s="4">
        <v>1362</v>
      </c>
      <c r="E670" s="4">
        <v>1285</v>
      </c>
      <c r="F670" s="4">
        <v>2647</v>
      </c>
    </row>
    <row r="671" spans="1:6" hidden="1" x14ac:dyDescent="0.75">
      <c r="A671">
        <v>4727</v>
      </c>
      <c r="B671" t="s">
        <v>60</v>
      </c>
      <c r="C671" t="s">
        <v>525</v>
      </c>
      <c r="D671" s="4">
        <v>44</v>
      </c>
      <c r="E671" s="4">
        <v>36</v>
      </c>
      <c r="F671" s="4">
        <v>80</v>
      </c>
    </row>
    <row r="672" spans="1:6" hidden="1" x14ac:dyDescent="0.75">
      <c r="A672">
        <v>4727</v>
      </c>
      <c r="B672" t="s">
        <v>60</v>
      </c>
      <c r="C672" t="s">
        <v>529</v>
      </c>
      <c r="D672" s="4">
        <v>38</v>
      </c>
      <c r="E672" s="4">
        <v>18</v>
      </c>
      <c r="F672" s="4">
        <v>56</v>
      </c>
    </row>
    <row r="673" spans="1:6" hidden="1" x14ac:dyDescent="0.75">
      <c r="A673">
        <v>4727</v>
      </c>
      <c r="B673" t="s">
        <v>60</v>
      </c>
      <c r="C673" t="s">
        <v>527</v>
      </c>
      <c r="D673" s="4">
        <v>63</v>
      </c>
      <c r="E673" s="4">
        <v>52</v>
      </c>
      <c r="F673" s="4">
        <v>115</v>
      </c>
    </row>
    <row r="674" spans="1:6" hidden="1" x14ac:dyDescent="0.75">
      <c r="A674">
        <v>4727</v>
      </c>
      <c r="B674" t="s">
        <v>60</v>
      </c>
      <c r="C674" t="s">
        <v>528</v>
      </c>
      <c r="D674" s="4">
        <v>20</v>
      </c>
      <c r="E674" s="4">
        <v>13</v>
      </c>
      <c r="F674" s="4">
        <v>33</v>
      </c>
    </row>
    <row r="675" spans="1:6" hidden="1" x14ac:dyDescent="0.75">
      <c r="A675">
        <v>4727</v>
      </c>
      <c r="B675" t="s">
        <v>60</v>
      </c>
      <c r="C675" t="s">
        <v>526</v>
      </c>
      <c r="D675" s="4">
        <v>420</v>
      </c>
      <c r="E675" s="4">
        <v>404</v>
      </c>
      <c r="F675" s="4">
        <v>824</v>
      </c>
    </row>
    <row r="676" spans="1:6" hidden="1" x14ac:dyDescent="0.75">
      <c r="A676">
        <v>4730</v>
      </c>
      <c r="B676" t="s">
        <v>176</v>
      </c>
      <c r="C676" t="s">
        <v>525</v>
      </c>
      <c r="D676" s="4">
        <v>247</v>
      </c>
      <c r="E676" s="4">
        <v>371</v>
      </c>
      <c r="F676" s="4">
        <v>618</v>
      </c>
    </row>
    <row r="677" spans="1:6" hidden="1" x14ac:dyDescent="0.75">
      <c r="A677">
        <v>4730</v>
      </c>
      <c r="B677" t="s">
        <v>176</v>
      </c>
      <c r="C677" t="s">
        <v>528</v>
      </c>
      <c r="D677" s="4">
        <v>8</v>
      </c>
      <c r="E677" s="4">
        <v>9</v>
      </c>
      <c r="F677" s="4">
        <v>17</v>
      </c>
    </row>
    <row r="678" spans="1:6" hidden="1" x14ac:dyDescent="0.75">
      <c r="A678">
        <v>4730</v>
      </c>
      <c r="B678" t="s">
        <v>176</v>
      </c>
      <c r="C678" t="s">
        <v>526</v>
      </c>
      <c r="D678" s="4">
        <v>13</v>
      </c>
      <c r="E678" s="4">
        <v>109</v>
      </c>
      <c r="F678" s="4">
        <v>122</v>
      </c>
    </row>
    <row r="679" spans="1:6" hidden="1" x14ac:dyDescent="0.75">
      <c r="A679">
        <v>4730</v>
      </c>
      <c r="B679" t="s">
        <v>176</v>
      </c>
      <c r="C679" t="s">
        <v>527</v>
      </c>
      <c r="D679" s="4">
        <v>197</v>
      </c>
      <c r="E679" s="4">
        <v>190</v>
      </c>
      <c r="F679" s="4">
        <v>387</v>
      </c>
    </row>
    <row r="680" spans="1:6" hidden="1" x14ac:dyDescent="0.75">
      <c r="A680">
        <v>4736</v>
      </c>
      <c r="B680" t="s">
        <v>92</v>
      </c>
      <c r="C680" t="s">
        <v>525</v>
      </c>
      <c r="D680" s="4">
        <v>1</v>
      </c>
      <c r="E680" s="4">
        <v>3</v>
      </c>
      <c r="F680" s="4">
        <v>4</v>
      </c>
    </row>
    <row r="681" spans="1:6" hidden="1" x14ac:dyDescent="0.75">
      <c r="A681">
        <v>4736</v>
      </c>
      <c r="B681" t="s">
        <v>92</v>
      </c>
      <c r="C681" t="s">
        <v>527</v>
      </c>
      <c r="D681" s="4">
        <v>42</v>
      </c>
      <c r="E681" s="4">
        <v>37</v>
      </c>
      <c r="F681" s="4">
        <v>79</v>
      </c>
    </row>
    <row r="682" spans="1:6" hidden="1" x14ac:dyDescent="0.75">
      <c r="A682">
        <v>4736</v>
      </c>
      <c r="B682" t="s">
        <v>92</v>
      </c>
      <c r="C682" t="s">
        <v>529</v>
      </c>
      <c r="D682" s="4">
        <v>1</v>
      </c>
      <c r="E682" s="4">
        <v>0</v>
      </c>
      <c r="F682" s="4">
        <v>1</v>
      </c>
    </row>
    <row r="683" spans="1:6" hidden="1" x14ac:dyDescent="0.75">
      <c r="A683">
        <v>4736</v>
      </c>
      <c r="B683" t="s">
        <v>92</v>
      </c>
      <c r="C683" t="s">
        <v>526</v>
      </c>
      <c r="D683" s="4">
        <v>34</v>
      </c>
      <c r="E683" s="4">
        <v>34</v>
      </c>
      <c r="F683" s="4">
        <v>68</v>
      </c>
    </row>
    <row r="684" spans="1:6" hidden="1" x14ac:dyDescent="0.75">
      <c r="A684">
        <v>4795</v>
      </c>
      <c r="B684" t="s">
        <v>76</v>
      </c>
      <c r="C684" t="s">
        <v>526</v>
      </c>
      <c r="D684" s="4">
        <v>54</v>
      </c>
      <c r="E684" s="4">
        <v>54</v>
      </c>
      <c r="F684" s="4">
        <v>108</v>
      </c>
    </row>
    <row r="685" spans="1:6" hidden="1" x14ac:dyDescent="0.75">
      <c r="A685">
        <v>4795</v>
      </c>
      <c r="B685" t="s">
        <v>76</v>
      </c>
      <c r="C685" t="s">
        <v>527</v>
      </c>
      <c r="D685" s="4">
        <v>1</v>
      </c>
      <c r="E685" s="4">
        <v>1</v>
      </c>
      <c r="F685" s="4">
        <v>2</v>
      </c>
    </row>
    <row r="686" spans="1:6" hidden="1" x14ac:dyDescent="0.75">
      <c r="A686">
        <v>4796</v>
      </c>
      <c r="B686" t="s">
        <v>345</v>
      </c>
      <c r="C686" t="s">
        <v>527</v>
      </c>
      <c r="D686" s="4">
        <v>8</v>
      </c>
      <c r="E686" s="4">
        <v>9</v>
      </c>
      <c r="F686" s="4">
        <v>17</v>
      </c>
    </row>
    <row r="687" spans="1:6" hidden="1" x14ac:dyDescent="0.75">
      <c r="A687">
        <v>4796</v>
      </c>
      <c r="B687" t="s">
        <v>345</v>
      </c>
      <c r="C687" t="s">
        <v>525</v>
      </c>
      <c r="D687" s="4">
        <v>1</v>
      </c>
      <c r="E687" s="4">
        <v>0</v>
      </c>
      <c r="F687" s="4">
        <v>1</v>
      </c>
    </row>
    <row r="688" spans="1:6" hidden="1" x14ac:dyDescent="0.75">
      <c r="A688">
        <v>4797</v>
      </c>
      <c r="B688" t="s">
        <v>83</v>
      </c>
      <c r="C688" t="s">
        <v>526</v>
      </c>
      <c r="D688" s="4">
        <v>23</v>
      </c>
      <c r="E688" s="4">
        <v>21</v>
      </c>
      <c r="F688" s="4">
        <v>44</v>
      </c>
    </row>
    <row r="689" spans="1:6" hidden="1" x14ac:dyDescent="0.75">
      <c r="A689">
        <v>4798</v>
      </c>
      <c r="B689" t="s">
        <v>75</v>
      </c>
      <c r="C689" t="s">
        <v>526</v>
      </c>
      <c r="D689" s="4">
        <v>54</v>
      </c>
      <c r="E689" s="4">
        <v>56</v>
      </c>
      <c r="F689" s="4">
        <v>110</v>
      </c>
    </row>
    <row r="690" spans="1:6" hidden="1" x14ac:dyDescent="0.75">
      <c r="A690">
        <v>4799</v>
      </c>
      <c r="B690" t="s">
        <v>73</v>
      </c>
      <c r="C690" t="s">
        <v>525</v>
      </c>
      <c r="D690" s="4">
        <v>41</v>
      </c>
      <c r="E690" s="4">
        <v>35</v>
      </c>
      <c r="F690" s="4">
        <v>76</v>
      </c>
    </row>
    <row r="691" spans="1:6" hidden="1" x14ac:dyDescent="0.75">
      <c r="A691">
        <v>4799</v>
      </c>
      <c r="B691" t="s">
        <v>73</v>
      </c>
      <c r="C691" t="s">
        <v>527</v>
      </c>
      <c r="D691" s="4">
        <v>1</v>
      </c>
      <c r="E691" s="4">
        <v>1</v>
      </c>
      <c r="F691" s="4">
        <v>2</v>
      </c>
    </row>
    <row r="692" spans="1:6" hidden="1" x14ac:dyDescent="0.75">
      <c r="A692">
        <v>4799</v>
      </c>
      <c r="B692" t="s">
        <v>73</v>
      </c>
      <c r="C692" t="s">
        <v>526</v>
      </c>
      <c r="D692" s="4">
        <v>84</v>
      </c>
      <c r="E692" s="4">
        <v>84</v>
      </c>
      <c r="F692" s="4">
        <v>168</v>
      </c>
    </row>
    <row r="693" spans="1:6" hidden="1" x14ac:dyDescent="0.75">
      <c r="A693">
        <v>4816</v>
      </c>
      <c r="B693" t="s">
        <v>85</v>
      </c>
      <c r="C693" t="s">
        <v>525</v>
      </c>
      <c r="D693" s="4">
        <v>41</v>
      </c>
      <c r="E693" s="4">
        <v>34</v>
      </c>
      <c r="F693" s="4">
        <v>75</v>
      </c>
    </row>
    <row r="694" spans="1:6" hidden="1" x14ac:dyDescent="0.75">
      <c r="A694">
        <v>4816</v>
      </c>
      <c r="B694" t="s">
        <v>85</v>
      </c>
      <c r="C694" t="s">
        <v>527</v>
      </c>
      <c r="D694" s="4">
        <v>186</v>
      </c>
      <c r="E694" s="4">
        <v>224</v>
      </c>
      <c r="F694" s="4">
        <v>410</v>
      </c>
    </row>
    <row r="695" spans="1:6" hidden="1" x14ac:dyDescent="0.75">
      <c r="A695">
        <v>4816</v>
      </c>
      <c r="B695" t="s">
        <v>85</v>
      </c>
      <c r="C695" t="s">
        <v>526</v>
      </c>
      <c r="D695" s="4">
        <v>32</v>
      </c>
      <c r="E695" s="4">
        <v>33</v>
      </c>
      <c r="F695" s="4">
        <v>65</v>
      </c>
    </row>
    <row r="696" spans="1:6" hidden="1" x14ac:dyDescent="0.75">
      <c r="A696">
        <v>4820</v>
      </c>
      <c r="B696" t="s">
        <v>31</v>
      </c>
      <c r="C696" t="s">
        <v>529</v>
      </c>
      <c r="D696" s="4">
        <v>106</v>
      </c>
      <c r="E696" s="4">
        <v>107</v>
      </c>
      <c r="F696" s="4">
        <v>213</v>
      </c>
    </row>
    <row r="697" spans="1:6" hidden="1" x14ac:dyDescent="0.75">
      <c r="A697">
        <v>4820</v>
      </c>
      <c r="B697" t="s">
        <v>31</v>
      </c>
      <c r="C697" t="s">
        <v>527</v>
      </c>
      <c r="D697" s="4">
        <v>142</v>
      </c>
      <c r="E697" s="4">
        <v>145</v>
      </c>
      <c r="F697" s="4">
        <v>287</v>
      </c>
    </row>
    <row r="698" spans="1:6" hidden="1" x14ac:dyDescent="0.75">
      <c r="A698">
        <v>4820</v>
      </c>
      <c r="B698" t="s">
        <v>31</v>
      </c>
      <c r="C698" t="s">
        <v>525</v>
      </c>
      <c r="D698" s="4">
        <v>32</v>
      </c>
      <c r="E698" s="4">
        <v>41</v>
      </c>
      <c r="F698" s="4">
        <v>73</v>
      </c>
    </row>
    <row r="699" spans="1:6" hidden="1" x14ac:dyDescent="0.75">
      <c r="A699">
        <v>4820</v>
      </c>
      <c r="B699" t="s">
        <v>31</v>
      </c>
      <c r="C699" t="s">
        <v>528</v>
      </c>
      <c r="D699" s="4">
        <v>4</v>
      </c>
      <c r="E699" s="4">
        <v>3</v>
      </c>
      <c r="F699" s="4">
        <v>7</v>
      </c>
    </row>
    <row r="700" spans="1:6" hidden="1" x14ac:dyDescent="0.75">
      <c r="A700">
        <v>4820</v>
      </c>
      <c r="B700" t="s">
        <v>31</v>
      </c>
      <c r="C700" t="s">
        <v>526</v>
      </c>
      <c r="D700" s="4">
        <v>410</v>
      </c>
      <c r="E700" s="4">
        <v>410</v>
      </c>
      <c r="F700" s="4">
        <v>820</v>
      </c>
    </row>
    <row r="701" spans="1:6" hidden="1" x14ac:dyDescent="0.75">
      <c r="A701">
        <v>4823</v>
      </c>
      <c r="B701" t="s">
        <v>48</v>
      </c>
      <c r="C701" t="s">
        <v>527</v>
      </c>
      <c r="D701" s="4">
        <v>7</v>
      </c>
      <c r="E701" s="4">
        <v>7</v>
      </c>
      <c r="F701" s="4">
        <v>14</v>
      </c>
    </row>
    <row r="702" spans="1:6" hidden="1" x14ac:dyDescent="0.75">
      <c r="A702">
        <v>4823</v>
      </c>
      <c r="B702" t="s">
        <v>48</v>
      </c>
      <c r="C702" t="s">
        <v>526</v>
      </c>
      <c r="D702" s="4">
        <v>249</v>
      </c>
      <c r="E702" s="4">
        <v>249</v>
      </c>
      <c r="F702" s="4">
        <v>498</v>
      </c>
    </row>
    <row r="703" spans="1:6" hidden="1" x14ac:dyDescent="0.75">
      <c r="A703">
        <v>4823</v>
      </c>
      <c r="B703" t="s">
        <v>48</v>
      </c>
      <c r="C703" t="s">
        <v>525</v>
      </c>
      <c r="D703" s="4">
        <v>16</v>
      </c>
      <c r="E703" s="4">
        <v>11</v>
      </c>
      <c r="F703" s="4">
        <v>27</v>
      </c>
    </row>
    <row r="704" spans="1:6" hidden="1" x14ac:dyDescent="0.75">
      <c r="A704">
        <v>4823</v>
      </c>
      <c r="B704" t="s">
        <v>48</v>
      </c>
      <c r="C704" t="s">
        <v>528</v>
      </c>
      <c r="D704" s="4">
        <v>7</v>
      </c>
      <c r="E704" s="4">
        <v>7</v>
      </c>
      <c r="F704" s="4">
        <v>14</v>
      </c>
    </row>
    <row r="705" spans="1:6" hidden="1" x14ac:dyDescent="0.75">
      <c r="A705">
        <v>4824</v>
      </c>
      <c r="B705" t="s">
        <v>63</v>
      </c>
      <c r="C705" t="s">
        <v>527</v>
      </c>
      <c r="D705" s="4">
        <v>1</v>
      </c>
      <c r="E705" s="4">
        <v>0</v>
      </c>
      <c r="F705" s="4">
        <v>1</v>
      </c>
    </row>
    <row r="706" spans="1:6" hidden="1" x14ac:dyDescent="0.75">
      <c r="A706">
        <v>4824</v>
      </c>
      <c r="B706" t="s">
        <v>63</v>
      </c>
      <c r="C706" t="s">
        <v>526</v>
      </c>
      <c r="D706" s="4">
        <v>164</v>
      </c>
      <c r="E706" s="4">
        <v>163</v>
      </c>
      <c r="F706" s="4">
        <v>327</v>
      </c>
    </row>
    <row r="707" spans="1:6" hidden="1" x14ac:dyDescent="0.75">
      <c r="A707">
        <v>4826</v>
      </c>
      <c r="B707" t="s">
        <v>56</v>
      </c>
      <c r="C707" t="s">
        <v>526</v>
      </c>
      <c r="D707" s="4">
        <v>260</v>
      </c>
      <c r="E707" s="4">
        <v>259</v>
      </c>
      <c r="F707" s="4">
        <v>519</v>
      </c>
    </row>
    <row r="708" spans="1:6" hidden="1" x14ac:dyDescent="0.75">
      <c r="A708">
        <v>4827</v>
      </c>
      <c r="B708" t="s">
        <v>50</v>
      </c>
      <c r="C708" t="s">
        <v>526</v>
      </c>
      <c r="D708" s="4">
        <v>341</v>
      </c>
      <c r="E708" s="4">
        <v>339</v>
      </c>
      <c r="F708" s="4">
        <v>680</v>
      </c>
    </row>
    <row r="709" spans="1:6" hidden="1" x14ac:dyDescent="0.75">
      <c r="A709">
        <v>4827</v>
      </c>
      <c r="B709" t="s">
        <v>50</v>
      </c>
      <c r="C709" t="s">
        <v>525</v>
      </c>
      <c r="D709" s="4">
        <v>7</v>
      </c>
      <c r="E709" s="4">
        <v>10</v>
      </c>
      <c r="F709" s="4">
        <v>17</v>
      </c>
    </row>
    <row r="710" spans="1:6" hidden="1" x14ac:dyDescent="0.75">
      <c r="A710">
        <v>4830</v>
      </c>
      <c r="B710" t="s">
        <v>145</v>
      </c>
      <c r="C710" t="s">
        <v>527</v>
      </c>
      <c r="D710" s="4">
        <v>30</v>
      </c>
      <c r="E710" s="4">
        <v>18</v>
      </c>
      <c r="F710" s="4">
        <v>48</v>
      </c>
    </row>
    <row r="711" spans="1:6" hidden="1" x14ac:dyDescent="0.75">
      <c r="A711">
        <v>4830</v>
      </c>
      <c r="B711" t="s">
        <v>145</v>
      </c>
      <c r="C711" t="s">
        <v>525</v>
      </c>
      <c r="D711" s="4">
        <v>45</v>
      </c>
      <c r="E711" s="4">
        <v>46</v>
      </c>
      <c r="F711" s="4">
        <v>91</v>
      </c>
    </row>
    <row r="712" spans="1:6" hidden="1" x14ac:dyDescent="0.75">
      <c r="A712">
        <v>4831</v>
      </c>
      <c r="B712" t="s">
        <v>207</v>
      </c>
      <c r="C712" t="s">
        <v>525</v>
      </c>
      <c r="D712" s="4">
        <v>3</v>
      </c>
      <c r="E712" s="4">
        <v>29</v>
      </c>
      <c r="F712" s="4">
        <v>32</v>
      </c>
    </row>
    <row r="713" spans="1:6" hidden="1" x14ac:dyDescent="0.75">
      <c r="A713">
        <v>4831</v>
      </c>
      <c r="B713" t="s">
        <v>207</v>
      </c>
      <c r="C713" t="s">
        <v>527</v>
      </c>
      <c r="D713" s="4">
        <v>69</v>
      </c>
      <c r="E713" s="4">
        <v>75</v>
      </c>
      <c r="F713" s="4">
        <v>144</v>
      </c>
    </row>
    <row r="714" spans="1:6" hidden="1" x14ac:dyDescent="0.75">
      <c r="A714">
        <v>4835</v>
      </c>
      <c r="B714" t="s">
        <v>350</v>
      </c>
      <c r="C714" t="s">
        <v>525</v>
      </c>
      <c r="D714" s="4">
        <v>3</v>
      </c>
      <c r="E714" s="4">
        <v>3</v>
      </c>
      <c r="F714" s="4">
        <v>6</v>
      </c>
    </row>
    <row r="715" spans="1:6" hidden="1" x14ac:dyDescent="0.75">
      <c r="A715">
        <v>4857</v>
      </c>
      <c r="B715" t="s">
        <v>71</v>
      </c>
      <c r="C715" t="s">
        <v>526</v>
      </c>
      <c r="D715" s="4">
        <v>54</v>
      </c>
      <c r="E715" s="4">
        <v>53</v>
      </c>
      <c r="F715" s="4">
        <v>107</v>
      </c>
    </row>
    <row r="716" spans="1:6" hidden="1" x14ac:dyDescent="0.75">
      <c r="A716">
        <v>4857</v>
      </c>
      <c r="B716" t="s">
        <v>71</v>
      </c>
      <c r="C716" t="s">
        <v>525</v>
      </c>
      <c r="D716" s="4">
        <v>12</v>
      </c>
      <c r="E716" s="4">
        <v>6</v>
      </c>
      <c r="F716" s="4">
        <v>18</v>
      </c>
    </row>
    <row r="717" spans="1:6" hidden="1" x14ac:dyDescent="0.75">
      <c r="A717">
        <v>4857</v>
      </c>
      <c r="B717" t="s">
        <v>71</v>
      </c>
      <c r="C717" t="s">
        <v>528</v>
      </c>
      <c r="D717" s="4">
        <v>3</v>
      </c>
      <c r="E717" s="4">
        <v>3</v>
      </c>
      <c r="F717" s="4">
        <v>6</v>
      </c>
    </row>
    <row r="718" spans="1:6" hidden="1" x14ac:dyDescent="0.75">
      <c r="A718">
        <v>4869</v>
      </c>
      <c r="B718" t="s">
        <v>319</v>
      </c>
      <c r="C718" t="s">
        <v>525</v>
      </c>
      <c r="D718" s="4">
        <v>10</v>
      </c>
      <c r="E718" s="4">
        <v>11</v>
      </c>
      <c r="F718" s="4">
        <v>21</v>
      </c>
    </row>
    <row r="719" spans="1:6" hidden="1" x14ac:dyDescent="0.75">
      <c r="A719">
        <v>4875</v>
      </c>
      <c r="B719" t="s">
        <v>80</v>
      </c>
      <c r="C719" t="s">
        <v>527</v>
      </c>
      <c r="D719" s="4">
        <v>3</v>
      </c>
      <c r="E719" s="4">
        <v>4</v>
      </c>
      <c r="F719" s="4">
        <v>7</v>
      </c>
    </row>
    <row r="720" spans="1:6" hidden="1" x14ac:dyDescent="0.75">
      <c r="A720">
        <v>4875</v>
      </c>
      <c r="B720" t="s">
        <v>80</v>
      </c>
      <c r="C720" t="s">
        <v>526</v>
      </c>
      <c r="D720" s="4">
        <v>13</v>
      </c>
      <c r="E720" s="4">
        <v>13</v>
      </c>
      <c r="F720" s="4">
        <v>26</v>
      </c>
    </row>
    <row r="721" spans="1:6" hidden="1" x14ac:dyDescent="0.75">
      <c r="A721">
        <v>4875</v>
      </c>
      <c r="B721" t="s">
        <v>80</v>
      </c>
      <c r="C721" t="s">
        <v>525</v>
      </c>
      <c r="D721" s="4">
        <v>1</v>
      </c>
      <c r="E721" s="4">
        <v>1</v>
      </c>
      <c r="F721" s="4">
        <v>2</v>
      </c>
    </row>
    <row r="722" spans="1:6" hidden="1" x14ac:dyDescent="0.75">
      <c r="A722">
        <v>4878</v>
      </c>
      <c r="B722" t="s">
        <v>100</v>
      </c>
      <c r="C722" t="s">
        <v>526</v>
      </c>
      <c r="D722" s="4">
        <v>53</v>
      </c>
      <c r="E722" s="4">
        <v>54</v>
      </c>
      <c r="F722" s="4">
        <v>107</v>
      </c>
    </row>
    <row r="723" spans="1:6" hidden="1" x14ac:dyDescent="0.75">
      <c r="A723">
        <v>4885</v>
      </c>
      <c r="B723" t="s">
        <v>333</v>
      </c>
      <c r="C723" t="s">
        <v>526</v>
      </c>
      <c r="D723" s="4">
        <v>1</v>
      </c>
      <c r="E723" s="4">
        <v>1</v>
      </c>
      <c r="F723" s="4">
        <v>2</v>
      </c>
    </row>
    <row r="724" spans="1:6" hidden="1" x14ac:dyDescent="0.75">
      <c r="A724">
        <v>4885</v>
      </c>
      <c r="B724" t="s">
        <v>333</v>
      </c>
      <c r="C724" t="s">
        <v>528</v>
      </c>
      <c r="D724" s="4">
        <v>1</v>
      </c>
      <c r="E724" s="4">
        <v>1</v>
      </c>
      <c r="F724" s="4">
        <v>2</v>
      </c>
    </row>
    <row r="725" spans="1:6" hidden="1" x14ac:dyDescent="0.75">
      <c r="A725">
        <v>4897</v>
      </c>
      <c r="B725" t="s">
        <v>344</v>
      </c>
      <c r="C725" t="s">
        <v>525</v>
      </c>
      <c r="D725" s="4">
        <v>6</v>
      </c>
      <c r="E725" s="4">
        <v>5</v>
      </c>
      <c r="F725" s="4">
        <v>11</v>
      </c>
    </row>
    <row r="726" spans="1:6" hidden="1" x14ac:dyDescent="0.75">
      <c r="A726">
        <v>4903</v>
      </c>
      <c r="B726" t="s">
        <v>328</v>
      </c>
      <c r="C726" t="s">
        <v>527</v>
      </c>
      <c r="D726" s="4">
        <v>1</v>
      </c>
      <c r="E726" s="4">
        <v>0</v>
      </c>
      <c r="F726" s="4">
        <v>1</v>
      </c>
    </row>
    <row r="727" spans="1:6" hidden="1" x14ac:dyDescent="0.75">
      <c r="A727">
        <v>4903</v>
      </c>
      <c r="B727" t="s">
        <v>328</v>
      </c>
      <c r="C727" t="s">
        <v>528</v>
      </c>
      <c r="D727" s="4">
        <v>0</v>
      </c>
      <c r="E727" s="4">
        <v>1</v>
      </c>
      <c r="F727" s="4">
        <v>1</v>
      </c>
    </row>
    <row r="728" spans="1:6" hidden="1" x14ac:dyDescent="0.75">
      <c r="A728">
        <v>4904</v>
      </c>
      <c r="B728" t="s">
        <v>81</v>
      </c>
      <c r="C728" t="s">
        <v>527</v>
      </c>
      <c r="D728" s="4">
        <v>6</v>
      </c>
      <c r="E728" s="4">
        <v>5</v>
      </c>
      <c r="F728" s="4">
        <v>11</v>
      </c>
    </row>
    <row r="729" spans="1:6" hidden="1" x14ac:dyDescent="0.75">
      <c r="A729">
        <v>4904</v>
      </c>
      <c r="B729" t="s">
        <v>81</v>
      </c>
      <c r="C729" t="s">
        <v>526</v>
      </c>
      <c r="D729" s="4">
        <v>8</v>
      </c>
      <c r="E729" s="4">
        <v>8</v>
      </c>
      <c r="F729" s="4">
        <v>16</v>
      </c>
    </row>
    <row r="730" spans="1:6" hidden="1" x14ac:dyDescent="0.75">
      <c r="A730">
        <v>4904</v>
      </c>
      <c r="B730" t="s">
        <v>81</v>
      </c>
      <c r="C730" t="s">
        <v>525</v>
      </c>
      <c r="D730" s="4">
        <v>12</v>
      </c>
      <c r="E730" s="4">
        <v>12</v>
      </c>
      <c r="F730" s="4">
        <v>24</v>
      </c>
    </row>
    <row r="731" spans="1:6" hidden="1" x14ac:dyDescent="0.75">
      <c r="A731">
        <v>4905</v>
      </c>
      <c r="B731" t="s">
        <v>77</v>
      </c>
      <c r="C731" t="s">
        <v>526</v>
      </c>
      <c r="D731" s="4">
        <v>19</v>
      </c>
      <c r="E731" s="4">
        <v>19</v>
      </c>
      <c r="F731" s="4">
        <v>38</v>
      </c>
    </row>
    <row r="732" spans="1:6" hidden="1" x14ac:dyDescent="0.75">
      <c r="A732">
        <v>4906</v>
      </c>
      <c r="B732" t="s">
        <v>69</v>
      </c>
      <c r="C732" t="s">
        <v>526</v>
      </c>
      <c r="D732" s="4">
        <v>45</v>
      </c>
      <c r="E732" s="4">
        <v>47</v>
      </c>
      <c r="F732" s="4">
        <v>92</v>
      </c>
    </row>
    <row r="733" spans="1:6" hidden="1" x14ac:dyDescent="0.75">
      <c r="A733">
        <v>4906</v>
      </c>
      <c r="B733" t="s">
        <v>69</v>
      </c>
      <c r="C733" t="s">
        <v>529</v>
      </c>
      <c r="D733" s="4">
        <v>97</v>
      </c>
      <c r="E733" s="4">
        <v>96</v>
      </c>
      <c r="F733" s="4">
        <v>193</v>
      </c>
    </row>
    <row r="734" spans="1:6" hidden="1" x14ac:dyDescent="0.75">
      <c r="A734">
        <v>4906</v>
      </c>
      <c r="B734" t="s">
        <v>69</v>
      </c>
      <c r="C734" t="s">
        <v>525</v>
      </c>
      <c r="D734" s="4">
        <v>59</v>
      </c>
      <c r="E734" s="4">
        <v>57</v>
      </c>
      <c r="F734" s="4">
        <v>116</v>
      </c>
    </row>
    <row r="735" spans="1:6" hidden="1" x14ac:dyDescent="0.75">
      <c r="A735">
        <v>4907</v>
      </c>
      <c r="B735" t="s">
        <v>318</v>
      </c>
      <c r="C735" t="s">
        <v>527</v>
      </c>
      <c r="D735" s="4">
        <v>2</v>
      </c>
      <c r="E735" s="4">
        <v>2</v>
      </c>
      <c r="F735" s="4">
        <v>4</v>
      </c>
    </row>
    <row r="736" spans="1:6" hidden="1" x14ac:dyDescent="0.75">
      <c r="A736">
        <v>4907</v>
      </c>
      <c r="B736" t="s">
        <v>318</v>
      </c>
      <c r="C736" t="s">
        <v>525</v>
      </c>
      <c r="D736" s="4">
        <v>44</v>
      </c>
      <c r="E736" s="4">
        <v>25</v>
      </c>
      <c r="F736" s="4">
        <v>69</v>
      </c>
    </row>
    <row r="737" spans="1:6" hidden="1" x14ac:dyDescent="0.75">
      <c r="A737">
        <v>4916</v>
      </c>
      <c r="B737" t="s">
        <v>74</v>
      </c>
      <c r="C737" t="s">
        <v>527</v>
      </c>
      <c r="D737" s="4">
        <v>30</v>
      </c>
      <c r="E737" s="4">
        <v>33</v>
      </c>
      <c r="F737" s="4">
        <v>63</v>
      </c>
    </row>
    <row r="738" spans="1:6" hidden="1" x14ac:dyDescent="0.75">
      <c r="A738">
        <v>4916</v>
      </c>
      <c r="B738" t="s">
        <v>74</v>
      </c>
      <c r="C738" t="s">
        <v>525</v>
      </c>
      <c r="D738" s="4">
        <v>17</v>
      </c>
      <c r="E738" s="4">
        <v>17</v>
      </c>
      <c r="F738" s="4">
        <v>34</v>
      </c>
    </row>
    <row r="739" spans="1:6" hidden="1" x14ac:dyDescent="0.75">
      <c r="A739">
        <v>4916</v>
      </c>
      <c r="B739" t="s">
        <v>74</v>
      </c>
      <c r="C739" t="s">
        <v>526</v>
      </c>
      <c r="D739" s="4">
        <v>7</v>
      </c>
      <c r="E739" s="4">
        <v>7</v>
      </c>
      <c r="F739" s="4">
        <v>14</v>
      </c>
    </row>
    <row r="740" spans="1:6" hidden="1" x14ac:dyDescent="0.75">
      <c r="A740">
        <v>4926</v>
      </c>
      <c r="B740" t="s">
        <v>114</v>
      </c>
      <c r="C740" t="s">
        <v>527</v>
      </c>
      <c r="D740" s="4">
        <v>10</v>
      </c>
      <c r="E740" s="4">
        <v>10</v>
      </c>
      <c r="F740" s="4">
        <v>20</v>
      </c>
    </row>
    <row r="741" spans="1:6" hidden="1" x14ac:dyDescent="0.75">
      <c r="A741">
        <v>4926</v>
      </c>
      <c r="B741" t="s">
        <v>114</v>
      </c>
      <c r="C741" t="s">
        <v>526</v>
      </c>
      <c r="D741" s="4">
        <v>1</v>
      </c>
      <c r="E741" s="4">
        <v>1</v>
      </c>
      <c r="F741" s="4">
        <v>2</v>
      </c>
    </row>
    <row r="742" spans="1:6" hidden="1" x14ac:dyDescent="0.75">
      <c r="A742">
        <v>4939</v>
      </c>
      <c r="B742" t="s">
        <v>59</v>
      </c>
      <c r="C742" t="s">
        <v>525</v>
      </c>
      <c r="D742" s="4">
        <v>6</v>
      </c>
      <c r="E742" s="4">
        <v>5</v>
      </c>
      <c r="F742" s="4">
        <v>11</v>
      </c>
    </row>
    <row r="743" spans="1:6" hidden="1" x14ac:dyDescent="0.75">
      <c r="A743">
        <v>4939</v>
      </c>
      <c r="B743" t="s">
        <v>59</v>
      </c>
      <c r="C743" t="s">
        <v>527</v>
      </c>
      <c r="D743" s="4">
        <v>176</v>
      </c>
      <c r="E743" s="4">
        <v>192</v>
      </c>
      <c r="F743" s="4">
        <v>368</v>
      </c>
    </row>
    <row r="744" spans="1:6" hidden="1" x14ac:dyDescent="0.75">
      <c r="A744">
        <v>4939</v>
      </c>
      <c r="B744" t="s">
        <v>59</v>
      </c>
      <c r="C744" t="s">
        <v>526</v>
      </c>
      <c r="D744" s="4">
        <v>118</v>
      </c>
      <c r="E744" s="4">
        <v>116</v>
      </c>
      <c r="F744" s="4">
        <v>234</v>
      </c>
    </row>
    <row r="745" spans="1:6" hidden="1" x14ac:dyDescent="0.75">
      <c r="A745">
        <v>4939</v>
      </c>
      <c r="B745" t="s">
        <v>59</v>
      </c>
      <c r="C745" t="s">
        <v>529</v>
      </c>
      <c r="D745" s="4">
        <v>111</v>
      </c>
      <c r="E745" s="4">
        <v>110</v>
      </c>
      <c r="F745" s="4">
        <v>221</v>
      </c>
    </row>
    <row r="746" spans="1:6" hidden="1" x14ac:dyDescent="0.75">
      <c r="A746">
        <v>4962</v>
      </c>
      <c r="B746" t="s">
        <v>353</v>
      </c>
      <c r="C746" t="s">
        <v>525</v>
      </c>
      <c r="D746" s="4">
        <v>1</v>
      </c>
      <c r="E746" s="4">
        <v>2</v>
      </c>
      <c r="F746" s="4">
        <v>3</v>
      </c>
    </row>
    <row r="747" spans="1:6" hidden="1" x14ac:dyDescent="0.75">
      <c r="A747">
        <v>4972</v>
      </c>
      <c r="B747" t="s">
        <v>355</v>
      </c>
      <c r="C747" t="s">
        <v>525</v>
      </c>
      <c r="D747" s="4">
        <v>1</v>
      </c>
      <c r="E747" s="4">
        <v>1</v>
      </c>
      <c r="F747" s="4">
        <v>2</v>
      </c>
    </row>
    <row r="748" spans="1:6" hidden="1" x14ac:dyDescent="0.75">
      <c r="A748">
        <v>4973</v>
      </c>
      <c r="B748" t="s">
        <v>112</v>
      </c>
      <c r="C748" t="s">
        <v>525</v>
      </c>
      <c r="D748" s="4">
        <v>1</v>
      </c>
      <c r="E748" s="4">
        <v>1</v>
      </c>
      <c r="F748" s="4">
        <v>2</v>
      </c>
    </row>
    <row r="749" spans="1:6" hidden="1" x14ac:dyDescent="0.75">
      <c r="A749">
        <v>4973</v>
      </c>
      <c r="B749" t="s">
        <v>112</v>
      </c>
      <c r="C749" t="s">
        <v>527</v>
      </c>
      <c r="D749" s="4">
        <v>1</v>
      </c>
      <c r="E749" s="4">
        <v>1</v>
      </c>
      <c r="F749" s="4">
        <v>2</v>
      </c>
    </row>
    <row r="750" spans="1:6" hidden="1" x14ac:dyDescent="0.75">
      <c r="A750">
        <v>4977</v>
      </c>
      <c r="B750" t="s">
        <v>103</v>
      </c>
      <c r="C750" t="s">
        <v>525</v>
      </c>
      <c r="D750" s="4">
        <v>1</v>
      </c>
      <c r="E750" s="4">
        <v>0</v>
      </c>
      <c r="F750" s="4">
        <v>1</v>
      </c>
    </row>
    <row r="751" spans="1:6" hidden="1" x14ac:dyDescent="0.75">
      <c r="A751">
        <v>4977</v>
      </c>
      <c r="B751" t="s">
        <v>103</v>
      </c>
      <c r="C751" t="s">
        <v>527</v>
      </c>
      <c r="D751" s="4">
        <v>2</v>
      </c>
      <c r="E751" s="4">
        <v>2</v>
      </c>
      <c r="F751" s="4">
        <v>4</v>
      </c>
    </row>
    <row r="752" spans="1:6" hidden="1" x14ac:dyDescent="0.75">
      <c r="A752">
        <v>4981</v>
      </c>
      <c r="B752" t="s">
        <v>105</v>
      </c>
      <c r="C752" t="s">
        <v>525</v>
      </c>
      <c r="D752" s="4">
        <v>5</v>
      </c>
      <c r="E752" s="4">
        <v>4</v>
      </c>
      <c r="F752" s="4">
        <v>9</v>
      </c>
    </row>
    <row r="753" spans="1:6" hidden="1" x14ac:dyDescent="0.75">
      <c r="A753">
        <v>4981</v>
      </c>
      <c r="B753" t="s">
        <v>105</v>
      </c>
      <c r="C753" t="s">
        <v>527</v>
      </c>
      <c r="D753" s="4">
        <v>3</v>
      </c>
      <c r="E753" s="4">
        <v>2</v>
      </c>
      <c r="F753" s="4">
        <v>5</v>
      </c>
    </row>
    <row r="754" spans="1:6" hidden="1" x14ac:dyDescent="0.75">
      <c r="A754">
        <v>4986</v>
      </c>
      <c r="B754" t="s">
        <v>97</v>
      </c>
      <c r="C754" t="s">
        <v>525</v>
      </c>
      <c r="D754" s="4">
        <v>1</v>
      </c>
      <c r="E754" s="4">
        <v>1</v>
      </c>
      <c r="F754" s="4">
        <v>2</v>
      </c>
    </row>
    <row r="755" spans="1:6" hidden="1" x14ac:dyDescent="0.75">
      <c r="A755">
        <v>4986</v>
      </c>
      <c r="B755" t="s">
        <v>97</v>
      </c>
      <c r="C755" t="s">
        <v>527</v>
      </c>
      <c r="D755" s="4">
        <v>2</v>
      </c>
      <c r="E755" s="4">
        <v>2</v>
      </c>
      <c r="F755" s="4">
        <v>4</v>
      </c>
    </row>
    <row r="756" spans="1:6" hidden="1" x14ac:dyDescent="0.75">
      <c r="A756">
        <v>4986</v>
      </c>
      <c r="B756" t="s">
        <v>97</v>
      </c>
      <c r="C756" t="s">
        <v>526</v>
      </c>
      <c r="D756" s="4">
        <v>1</v>
      </c>
      <c r="E756" s="4">
        <v>1</v>
      </c>
      <c r="F756" s="4">
        <v>2</v>
      </c>
    </row>
    <row r="757" spans="1:6" hidden="1" x14ac:dyDescent="0.75">
      <c r="A757">
        <v>4988</v>
      </c>
      <c r="B757" t="s">
        <v>84</v>
      </c>
      <c r="C757" t="s">
        <v>527</v>
      </c>
      <c r="D757" s="4">
        <v>4</v>
      </c>
      <c r="E757" s="4">
        <v>4</v>
      </c>
      <c r="F757" s="4">
        <v>8</v>
      </c>
    </row>
    <row r="758" spans="1:6" hidden="1" x14ac:dyDescent="0.75">
      <c r="A758">
        <v>4988</v>
      </c>
      <c r="B758" t="s">
        <v>84</v>
      </c>
      <c r="C758" t="s">
        <v>525</v>
      </c>
      <c r="D758" s="4">
        <v>8</v>
      </c>
      <c r="E758" s="4">
        <v>5</v>
      </c>
      <c r="F758" s="4">
        <v>13</v>
      </c>
    </row>
    <row r="759" spans="1:6" hidden="1" x14ac:dyDescent="0.75">
      <c r="A759">
        <v>4988</v>
      </c>
      <c r="B759" t="s">
        <v>84</v>
      </c>
      <c r="C759" t="s">
        <v>526</v>
      </c>
      <c r="D759" s="4">
        <v>1</v>
      </c>
      <c r="E759" s="4">
        <v>1</v>
      </c>
      <c r="F759" s="4">
        <v>2</v>
      </c>
    </row>
    <row r="760" spans="1:6" hidden="1" x14ac:dyDescent="0.75">
      <c r="A760">
        <v>4993</v>
      </c>
      <c r="B760" t="s">
        <v>115</v>
      </c>
      <c r="C760" t="s">
        <v>525</v>
      </c>
      <c r="D760" s="4">
        <v>2</v>
      </c>
      <c r="E760" s="4">
        <v>1</v>
      </c>
      <c r="F760" s="4">
        <v>3</v>
      </c>
    </row>
    <row r="761" spans="1:6" hidden="1" x14ac:dyDescent="0.75">
      <c r="A761">
        <v>4993</v>
      </c>
      <c r="B761" t="s">
        <v>115</v>
      </c>
      <c r="C761" t="s">
        <v>527</v>
      </c>
      <c r="D761" s="4">
        <v>1</v>
      </c>
      <c r="E761" s="4">
        <v>1</v>
      </c>
      <c r="F761" s="4">
        <v>2</v>
      </c>
    </row>
    <row r="762" spans="1:6" hidden="1" x14ac:dyDescent="0.75">
      <c r="A762">
        <v>4998</v>
      </c>
      <c r="B762" t="s">
        <v>95</v>
      </c>
      <c r="C762" t="s">
        <v>527</v>
      </c>
      <c r="D762" s="4">
        <v>4</v>
      </c>
      <c r="E762" s="4">
        <v>4</v>
      </c>
      <c r="F762" s="4">
        <v>8</v>
      </c>
    </row>
    <row r="763" spans="1:6" hidden="1" x14ac:dyDescent="0.75">
      <c r="A763">
        <v>4998</v>
      </c>
      <c r="B763" t="s">
        <v>95</v>
      </c>
      <c r="C763" t="s">
        <v>526</v>
      </c>
      <c r="D763" s="4">
        <v>252</v>
      </c>
      <c r="E763" s="4">
        <v>257</v>
      </c>
      <c r="F763" s="4">
        <v>509</v>
      </c>
    </row>
    <row r="764" spans="1:6" hidden="1" x14ac:dyDescent="0.75">
      <c r="A764">
        <v>4998</v>
      </c>
      <c r="B764" t="s">
        <v>95</v>
      </c>
      <c r="C764" t="s">
        <v>525</v>
      </c>
      <c r="D764" s="4">
        <v>21</v>
      </c>
      <c r="E764" s="4">
        <v>20</v>
      </c>
      <c r="F764" s="4">
        <v>41</v>
      </c>
    </row>
    <row r="765" spans="1:6" hidden="1" x14ac:dyDescent="0.75">
      <c r="A765">
        <v>5001</v>
      </c>
      <c r="B765" t="s">
        <v>96</v>
      </c>
      <c r="C765" t="s">
        <v>526</v>
      </c>
      <c r="D765" s="4">
        <v>2</v>
      </c>
      <c r="E765" s="4">
        <v>2</v>
      </c>
      <c r="F765" s="4">
        <v>4</v>
      </c>
    </row>
    <row r="766" spans="1:6" hidden="1" x14ac:dyDescent="0.75">
      <c r="A766">
        <v>5001</v>
      </c>
      <c r="B766" t="s">
        <v>96</v>
      </c>
      <c r="C766" t="s">
        <v>527</v>
      </c>
      <c r="D766" s="4">
        <v>66</v>
      </c>
      <c r="E766" s="4">
        <v>68</v>
      </c>
      <c r="F766" s="4">
        <v>134</v>
      </c>
    </row>
    <row r="767" spans="1:6" hidden="1" x14ac:dyDescent="0.75">
      <c r="A767">
        <v>5002</v>
      </c>
      <c r="B767" t="s">
        <v>339</v>
      </c>
      <c r="C767" t="s">
        <v>525</v>
      </c>
      <c r="D767" s="4">
        <v>5</v>
      </c>
      <c r="E767" s="4">
        <v>5</v>
      </c>
      <c r="F767" s="4">
        <v>10</v>
      </c>
    </row>
    <row r="768" spans="1:6" hidden="1" x14ac:dyDescent="0.75">
      <c r="A768">
        <v>5003</v>
      </c>
      <c r="B768" t="s">
        <v>72</v>
      </c>
      <c r="C768" t="s">
        <v>529</v>
      </c>
      <c r="D768" s="4">
        <v>16</v>
      </c>
      <c r="E768" s="4">
        <v>17</v>
      </c>
      <c r="F768" s="4">
        <v>33</v>
      </c>
    </row>
    <row r="769" spans="1:6" hidden="1" x14ac:dyDescent="0.75">
      <c r="A769">
        <v>5003</v>
      </c>
      <c r="B769" t="s">
        <v>72</v>
      </c>
      <c r="C769" t="s">
        <v>527</v>
      </c>
      <c r="D769" s="4">
        <v>3</v>
      </c>
      <c r="E769" s="4">
        <v>1</v>
      </c>
      <c r="F769" s="4">
        <v>4</v>
      </c>
    </row>
    <row r="770" spans="1:6" hidden="1" x14ac:dyDescent="0.75">
      <c r="A770">
        <v>5003</v>
      </c>
      <c r="B770" t="s">
        <v>72</v>
      </c>
      <c r="C770" t="s">
        <v>525</v>
      </c>
      <c r="D770" s="4">
        <v>8</v>
      </c>
      <c r="E770" s="4">
        <v>9</v>
      </c>
      <c r="F770" s="4">
        <v>17</v>
      </c>
    </row>
    <row r="771" spans="1:6" hidden="1" x14ac:dyDescent="0.75">
      <c r="A771">
        <v>5004</v>
      </c>
      <c r="B771" t="s">
        <v>78</v>
      </c>
      <c r="C771" t="s">
        <v>526</v>
      </c>
      <c r="D771" s="4">
        <v>13</v>
      </c>
      <c r="E771" s="4">
        <v>13</v>
      </c>
      <c r="F771" s="4">
        <v>26</v>
      </c>
    </row>
    <row r="772" spans="1:6" hidden="1" x14ac:dyDescent="0.75">
      <c r="A772">
        <v>5004</v>
      </c>
      <c r="B772" t="s">
        <v>78</v>
      </c>
      <c r="C772" t="s">
        <v>527</v>
      </c>
      <c r="D772" s="4">
        <v>1</v>
      </c>
      <c r="E772" s="4">
        <v>1</v>
      </c>
      <c r="F772" s="4">
        <v>2</v>
      </c>
    </row>
    <row r="773" spans="1:6" hidden="1" x14ac:dyDescent="0.75">
      <c r="A773">
        <v>5004</v>
      </c>
      <c r="B773" t="s">
        <v>78</v>
      </c>
      <c r="C773" t="s">
        <v>525</v>
      </c>
      <c r="D773" s="4">
        <v>4</v>
      </c>
      <c r="E773" s="4">
        <v>3</v>
      </c>
      <c r="F773" s="4">
        <v>7</v>
      </c>
    </row>
    <row r="774" spans="1:6" hidden="1" x14ac:dyDescent="0.75">
      <c r="A774">
        <v>5005</v>
      </c>
      <c r="B774" t="s">
        <v>70</v>
      </c>
      <c r="C774" t="s">
        <v>526</v>
      </c>
      <c r="D774" s="4">
        <v>62</v>
      </c>
      <c r="E774" s="4">
        <v>61</v>
      </c>
      <c r="F774" s="4">
        <v>123</v>
      </c>
    </row>
    <row r="775" spans="1:6" hidden="1" x14ac:dyDescent="0.75">
      <c r="A775">
        <v>5005</v>
      </c>
      <c r="B775" t="s">
        <v>70</v>
      </c>
      <c r="C775" t="s">
        <v>525</v>
      </c>
      <c r="D775" s="4">
        <v>7</v>
      </c>
      <c r="E775" s="4">
        <v>6</v>
      </c>
      <c r="F775" s="4">
        <v>13</v>
      </c>
    </row>
    <row r="776" spans="1:6" hidden="1" x14ac:dyDescent="0.75">
      <c r="A776">
        <v>5700</v>
      </c>
      <c r="B776" t="s">
        <v>157</v>
      </c>
      <c r="C776" t="s">
        <v>526</v>
      </c>
      <c r="D776" s="4">
        <v>1558</v>
      </c>
      <c r="E776" s="4">
        <v>1197</v>
      </c>
      <c r="F776" s="4">
        <v>2755</v>
      </c>
    </row>
    <row r="777" spans="1:6" hidden="1" x14ac:dyDescent="0.75">
      <c r="A777">
        <v>5700</v>
      </c>
      <c r="B777" t="s">
        <v>157</v>
      </c>
      <c r="C777" t="s">
        <v>527</v>
      </c>
      <c r="D777" s="4">
        <v>418</v>
      </c>
      <c r="E777" s="4">
        <v>436</v>
      </c>
      <c r="F777" s="4">
        <v>854</v>
      </c>
    </row>
    <row r="778" spans="1:6" hidden="1" x14ac:dyDescent="0.75">
      <c r="A778">
        <v>5700</v>
      </c>
      <c r="B778" t="s">
        <v>157</v>
      </c>
      <c r="C778" t="s">
        <v>525</v>
      </c>
      <c r="D778" s="4">
        <v>847</v>
      </c>
      <c r="E778" s="4">
        <v>866</v>
      </c>
      <c r="F778" s="4">
        <v>1713</v>
      </c>
    </row>
    <row r="779" spans="1:6" hidden="1" x14ac:dyDescent="0.75">
      <c r="A779">
        <v>5700</v>
      </c>
      <c r="B779" t="s">
        <v>157</v>
      </c>
      <c r="C779" t="s">
        <v>529</v>
      </c>
      <c r="D779" s="4">
        <v>1441</v>
      </c>
      <c r="E779" s="4">
        <v>1423</v>
      </c>
      <c r="F779" s="4">
        <v>2864</v>
      </c>
    </row>
    <row r="780" spans="1:6" hidden="1" x14ac:dyDescent="0.75">
      <c r="A780">
        <v>5700</v>
      </c>
      <c r="B780" t="s">
        <v>157</v>
      </c>
      <c r="C780" t="s">
        <v>528</v>
      </c>
      <c r="D780" s="4">
        <v>445</v>
      </c>
      <c r="E780" s="4">
        <v>486</v>
      </c>
      <c r="F780" s="4">
        <v>931</v>
      </c>
    </row>
    <row r="781" spans="1:6" hidden="1" x14ac:dyDescent="0.75">
      <c r="A781">
        <v>6103</v>
      </c>
      <c r="B781" t="s">
        <v>279</v>
      </c>
      <c r="C781" t="s">
        <v>526</v>
      </c>
      <c r="D781" s="4">
        <v>317</v>
      </c>
      <c r="E781" s="4">
        <v>349</v>
      </c>
      <c r="F781" s="4">
        <v>666</v>
      </c>
    </row>
    <row r="782" spans="1:6" hidden="1" x14ac:dyDescent="0.75">
      <c r="A782">
        <v>6103</v>
      </c>
      <c r="B782" t="s">
        <v>279</v>
      </c>
      <c r="C782" t="s">
        <v>525</v>
      </c>
      <c r="D782" s="4">
        <v>8</v>
      </c>
      <c r="E782" s="4">
        <v>8</v>
      </c>
      <c r="F782" s="4">
        <v>16</v>
      </c>
    </row>
    <row r="783" spans="1:6" hidden="1" x14ac:dyDescent="0.75">
      <c r="A783">
        <v>6109</v>
      </c>
      <c r="B783" t="s">
        <v>199</v>
      </c>
      <c r="C783" t="s">
        <v>525</v>
      </c>
      <c r="D783" s="4">
        <v>44</v>
      </c>
      <c r="E783" s="4">
        <v>133</v>
      </c>
      <c r="F783" s="4">
        <v>177</v>
      </c>
    </row>
    <row r="784" spans="1:6" hidden="1" x14ac:dyDescent="0.75">
      <c r="A784">
        <v>6109</v>
      </c>
      <c r="B784" t="s">
        <v>199</v>
      </c>
      <c r="C784" t="s">
        <v>526</v>
      </c>
      <c r="D784" s="4">
        <v>1730</v>
      </c>
      <c r="E784" s="4">
        <v>1825</v>
      </c>
      <c r="F784" s="4">
        <v>3555</v>
      </c>
    </row>
    <row r="785" spans="1:6" hidden="1" x14ac:dyDescent="0.75">
      <c r="A785">
        <v>6110</v>
      </c>
      <c r="B785" t="s">
        <v>276</v>
      </c>
      <c r="C785" t="s">
        <v>526</v>
      </c>
      <c r="D785" s="4">
        <v>421</v>
      </c>
      <c r="E785" s="4">
        <v>349</v>
      </c>
      <c r="F785" s="4">
        <v>770</v>
      </c>
    </row>
    <row r="786" spans="1:6" hidden="1" x14ac:dyDescent="0.75">
      <c r="A786">
        <v>6110</v>
      </c>
      <c r="B786" t="s">
        <v>276</v>
      </c>
      <c r="C786" t="s">
        <v>525</v>
      </c>
      <c r="D786" s="4">
        <v>26</v>
      </c>
      <c r="E786" s="4">
        <v>28</v>
      </c>
      <c r="F786" s="4">
        <v>54</v>
      </c>
    </row>
    <row r="787" spans="1:6" hidden="1" x14ac:dyDescent="0.75">
      <c r="A787">
        <v>6111</v>
      </c>
      <c r="B787" t="s">
        <v>271</v>
      </c>
      <c r="C787" t="s">
        <v>526</v>
      </c>
      <c r="D787" s="4">
        <v>401</v>
      </c>
      <c r="E787" s="4">
        <v>443</v>
      </c>
      <c r="F787" s="4">
        <v>844</v>
      </c>
    </row>
    <row r="788" spans="1:6" hidden="1" x14ac:dyDescent="0.75">
      <c r="A788">
        <v>6111</v>
      </c>
      <c r="B788" t="s">
        <v>271</v>
      </c>
      <c r="C788" t="s">
        <v>525</v>
      </c>
      <c r="D788" s="4">
        <v>2</v>
      </c>
      <c r="E788" s="4">
        <v>4</v>
      </c>
      <c r="F788" s="4">
        <v>6</v>
      </c>
    </row>
    <row r="789" spans="1:6" hidden="1" x14ac:dyDescent="0.75">
      <c r="A789">
        <v>6112</v>
      </c>
      <c r="B789" t="s">
        <v>256</v>
      </c>
      <c r="C789" t="s">
        <v>526</v>
      </c>
      <c r="D789" s="4">
        <v>964</v>
      </c>
      <c r="E789" s="4">
        <v>969</v>
      </c>
      <c r="F789" s="4">
        <v>1933</v>
      </c>
    </row>
    <row r="790" spans="1:6" hidden="1" x14ac:dyDescent="0.75">
      <c r="A790">
        <v>7710</v>
      </c>
      <c r="B790" t="s">
        <v>280</v>
      </c>
      <c r="C790" t="s">
        <v>525</v>
      </c>
      <c r="D790" s="4">
        <v>55</v>
      </c>
      <c r="E790" s="4">
        <v>18</v>
      </c>
      <c r="F790" s="4">
        <v>73</v>
      </c>
    </row>
    <row r="791" spans="1:6" hidden="1" x14ac:dyDescent="0.75">
      <c r="A791">
        <v>7710</v>
      </c>
      <c r="B791" t="s">
        <v>280</v>
      </c>
      <c r="C791" t="s">
        <v>526</v>
      </c>
      <c r="D791" s="4">
        <v>204</v>
      </c>
      <c r="E791" s="4">
        <v>195</v>
      </c>
      <c r="F791" s="4">
        <v>399</v>
      </c>
    </row>
    <row r="792" spans="1:6" hidden="1" x14ac:dyDescent="0.75">
      <c r="A792">
        <v>7711</v>
      </c>
      <c r="B792" t="s">
        <v>177</v>
      </c>
      <c r="C792" t="s">
        <v>525</v>
      </c>
      <c r="D792" s="4">
        <v>1166</v>
      </c>
      <c r="E792" s="4">
        <v>1079</v>
      </c>
      <c r="F792" s="4">
        <v>2245</v>
      </c>
    </row>
    <row r="793" spans="1:6" hidden="1" x14ac:dyDescent="0.75">
      <c r="A793">
        <v>7711</v>
      </c>
      <c r="B793" t="s">
        <v>177</v>
      </c>
      <c r="C793" t="s">
        <v>526</v>
      </c>
      <c r="D793" s="4">
        <v>3283</v>
      </c>
      <c r="E793" s="4">
        <v>3764</v>
      </c>
      <c r="F793" s="4">
        <v>7047</v>
      </c>
    </row>
    <row r="794" spans="1:6" hidden="1" x14ac:dyDescent="0.75">
      <c r="A794">
        <v>7712</v>
      </c>
      <c r="B794" t="s">
        <v>246</v>
      </c>
      <c r="C794" t="s">
        <v>525</v>
      </c>
      <c r="D794" s="4">
        <v>27</v>
      </c>
      <c r="E794" s="4">
        <v>22</v>
      </c>
      <c r="F794" s="4">
        <v>49</v>
      </c>
    </row>
    <row r="795" spans="1:6" hidden="1" x14ac:dyDescent="0.75">
      <c r="A795">
        <v>7712</v>
      </c>
      <c r="B795" t="s">
        <v>246</v>
      </c>
      <c r="C795" t="s">
        <v>526</v>
      </c>
      <c r="D795" s="4">
        <v>677</v>
      </c>
      <c r="E795" s="4">
        <v>731</v>
      </c>
      <c r="F795" s="4">
        <v>1408</v>
      </c>
    </row>
  </sheetData>
  <autoFilter ref="A1:F795" xr:uid="{6067A5B0-8BDB-48EB-A368-E2B4E0E7CF33}">
    <filterColumn colId="1">
      <filters>
        <filter val="Beaumont, TX"/>
      </filters>
    </filterColumn>
  </autoFilter>
  <sortState xmlns:xlrd2="http://schemas.microsoft.com/office/spreadsheetml/2017/richdata2" ref="A2:F795">
    <sortCondition ref="A1:A795"/>
  </sortState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358C-D940-427A-964E-71B60DFA51DF}">
  <dimension ref="A1:G126"/>
  <sheetViews>
    <sheetView workbookViewId="0">
      <selection activeCell="J3" sqref="J3"/>
    </sheetView>
  </sheetViews>
  <sheetFormatPr defaultRowHeight="14.75" x14ac:dyDescent="0.75"/>
  <cols>
    <col min="1" max="1" width="6.76953125" customWidth="1"/>
    <col min="2" max="2" width="29.1796875" customWidth="1"/>
    <col min="3" max="3" width="10.90625" customWidth="1"/>
    <col min="4" max="5" width="11.1796875" customWidth="1"/>
    <col min="6" max="6" width="10.08984375" customWidth="1"/>
    <col min="7" max="7" width="10.6796875" customWidth="1"/>
  </cols>
  <sheetData>
    <row r="1" spans="1:7" x14ac:dyDescent="0.75">
      <c r="A1" s="2" t="s">
        <v>361</v>
      </c>
      <c r="B1" s="2" t="s">
        <v>510</v>
      </c>
      <c r="C1" s="2" t="s">
        <v>150</v>
      </c>
      <c r="D1" s="2" t="s">
        <v>149</v>
      </c>
      <c r="E1" s="2" t="s">
        <v>148</v>
      </c>
      <c r="F1" s="2" t="s">
        <v>365</v>
      </c>
      <c r="G1" s="2" t="s">
        <v>366</v>
      </c>
    </row>
    <row r="2" spans="1:7" x14ac:dyDescent="0.75">
      <c r="A2">
        <v>2253</v>
      </c>
      <c r="B2" t="s">
        <v>153</v>
      </c>
      <c r="C2" s="4"/>
      <c r="D2" s="4">
        <v>59047191</v>
      </c>
      <c r="E2" s="4">
        <v>19277065</v>
      </c>
      <c r="F2" s="4">
        <v>78324256</v>
      </c>
      <c r="G2" s="4">
        <v>78324256</v>
      </c>
    </row>
    <row r="3" spans="1:7" x14ac:dyDescent="0.75">
      <c r="A3">
        <v>5700</v>
      </c>
      <c r="B3" t="s">
        <v>157</v>
      </c>
      <c r="C3" s="4"/>
      <c r="D3" s="4">
        <v>30129060</v>
      </c>
      <c r="E3" s="4">
        <v>1134530</v>
      </c>
      <c r="F3" s="4">
        <v>31263590</v>
      </c>
      <c r="G3" s="4">
        <v>31263590</v>
      </c>
    </row>
    <row r="4" spans="1:7" x14ac:dyDescent="0.75">
      <c r="A4">
        <v>3924</v>
      </c>
      <c r="B4" t="s">
        <v>111</v>
      </c>
      <c r="C4" s="4">
        <v>24314489</v>
      </c>
      <c r="D4" s="4">
        <v>5519941</v>
      </c>
      <c r="E4" s="4">
        <v>556712</v>
      </c>
      <c r="F4" s="4">
        <v>6076653</v>
      </c>
      <c r="G4" s="4">
        <v>30391142</v>
      </c>
    </row>
    <row r="5" spans="1:7" x14ac:dyDescent="0.75">
      <c r="A5">
        <v>2251</v>
      </c>
      <c r="B5" t="s">
        <v>155</v>
      </c>
      <c r="C5" s="4"/>
      <c r="D5" s="4">
        <v>15308722</v>
      </c>
      <c r="E5" s="4">
        <v>9783225</v>
      </c>
      <c r="F5" s="4">
        <v>25091947</v>
      </c>
      <c r="G5" s="4">
        <v>25091947</v>
      </c>
    </row>
    <row r="6" spans="1:7" x14ac:dyDescent="0.75">
      <c r="A6">
        <v>3743</v>
      </c>
      <c r="B6" t="s">
        <v>162</v>
      </c>
      <c r="C6" s="4">
        <v>22688330</v>
      </c>
      <c r="D6" s="4">
        <v>0</v>
      </c>
      <c r="E6" s="4">
        <v>604324</v>
      </c>
      <c r="F6" s="4">
        <v>604324</v>
      </c>
      <c r="G6" s="4">
        <v>23292654</v>
      </c>
    </row>
    <row r="7" spans="1:7" x14ac:dyDescent="0.75">
      <c r="A7">
        <v>2031</v>
      </c>
      <c r="B7" t="s">
        <v>152</v>
      </c>
      <c r="C7" s="4"/>
      <c r="D7" s="4">
        <v>11981098</v>
      </c>
      <c r="E7" s="4">
        <v>9777385</v>
      </c>
      <c r="F7" s="4">
        <v>21758483</v>
      </c>
      <c r="G7" s="4">
        <v>21758483</v>
      </c>
    </row>
    <row r="8" spans="1:7" x14ac:dyDescent="0.75">
      <c r="A8">
        <v>700</v>
      </c>
      <c r="B8" t="s">
        <v>24</v>
      </c>
      <c r="C8" s="4"/>
      <c r="D8" s="4">
        <v>15871664</v>
      </c>
      <c r="E8" s="4">
        <v>3943651</v>
      </c>
      <c r="F8" s="4">
        <v>19815315</v>
      </c>
      <c r="G8" s="4">
        <v>19815315</v>
      </c>
    </row>
    <row r="9" spans="1:7" x14ac:dyDescent="0.75">
      <c r="A9">
        <v>2032</v>
      </c>
      <c r="B9" t="s">
        <v>29</v>
      </c>
      <c r="C9" s="4"/>
      <c r="D9" s="4">
        <v>11014304</v>
      </c>
      <c r="E9" s="4">
        <v>8345033</v>
      </c>
      <c r="F9" s="4">
        <v>19359337</v>
      </c>
      <c r="G9" s="4">
        <v>19359337</v>
      </c>
    </row>
    <row r="10" spans="1:7" x14ac:dyDescent="0.75">
      <c r="A10">
        <v>2255</v>
      </c>
      <c r="B10" t="s">
        <v>158</v>
      </c>
      <c r="C10" s="4"/>
      <c r="D10" s="4">
        <v>15641368</v>
      </c>
      <c r="E10" s="4">
        <v>3589521</v>
      </c>
      <c r="F10" s="4">
        <v>19230889</v>
      </c>
      <c r="G10" s="4">
        <v>19230889</v>
      </c>
    </row>
    <row r="11" spans="1:7" x14ac:dyDescent="0.75">
      <c r="A11">
        <v>4626</v>
      </c>
      <c r="B11" t="s">
        <v>167</v>
      </c>
      <c r="C11" s="4"/>
      <c r="D11" s="4">
        <v>15955549</v>
      </c>
      <c r="E11" s="4">
        <v>307640</v>
      </c>
      <c r="F11" s="4">
        <v>16263189</v>
      </c>
      <c r="G11" s="4">
        <v>16263189</v>
      </c>
    </row>
    <row r="12" spans="1:7" x14ac:dyDescent="0.75">
      <c r="A12">
        <v>3926</v>
      </c>
      <c r="B12" t="s">
        <v>169</v>
      </c>
      <c r="C12" s="4">
        <v>9766306</v>
      </c>
      <c r="D12" s="4">
        <v>3791969</v>
      </c>
      <c r="E12" s="4">
        <v>0</v>
      </c>
      <c r="F12" s="4">
        <v>3791969</v>
      </c>
      <c r="G12" s="4">
        <v>13558275</v>
      </c>
    </row>
    <row r="13" spans="1:7" x14ac:dyDescent="0.75">
      <c r="A13">
        <v>2252</v>
      </c>
      <c r="B13" t="s">
        <v>156</v>
      </c>
      <c r="C13" s="4"/>
      <c r="D13" s="4">
        <v>11506943</v>
      </c>
      <c r="E13" s="4">
        <v>1500025</v>
      </c>
      <c r="F13" s="4">
        <v>13006968</v>
      </c>
      <c r="G13" s="4">
        <v>13006968</v>
      </c>
    </row>
    <row r="14" spans="1:7" x14ac:dyDescent="0.75">
      <c r="A14">
        <v>4622</v>
      </c>
      <c r="B14" t="s">
        <v>98</v>
      </c>
      <c r="C14" s="4"/>
      <c r="D14" s="4">
        <v>10683185</v>
      </c>
      <c r="E14" s="4">
        <v>360321</v>
      </c>
      <c r="F14" s="4">
        <v>11043506</v>
      </c>
      <c r="G14" s="4">
        <v>11043506</v>
      </c>
    </row>
    <row r="15" spans="1:7" x14ac:dyDescent="0.75">
      <c r="A15">
        <v>4646</v>
      </c>
      <c r="B15" t="s">
        <v>53</v>
      </c>
      <c r="C15" s="4"/>
      <c r="D15" s="4">
        <v>9432512</v>
      </c>
      <c r="E15" s="4">
        <v>1500882</v>
      </c>
      <c r="F15" s="4">
        <v>10933394</v>
      </c>
      <c r="G15" s="4">
        <v>10933394</v>
      </c>
    </row>
    <row r="16" spans="1:7" x14ac:dyDescent="0.75">
      <c r="A16">
        <v>4110</v>
      </c>
      <c r="B16" t="s">
        <v>2</v>
      </c>
      <c r="C16" s="4"/>
      <c r="D16" s="4">
        <v>8219099</v>
      </c>
      <c r="E16" s="4">
        <v>1912136</v>
      </c>
      <c r="F16" s="4">
        <v>10131235</v>
      </c>
      <c r="G16" s="4">
        <v>10131235</v>
      </c>
    </row>
    <row r="17" spans="1:7" x14ac:dyDescent="0.75">
      <c r="A17">
        <v>2436</v>
      </c>
      <c r="B17" t="s">
        <v>93</v>
      </c>
      <c r="C17" s="4"/>
      <c r="D17" s="4">
        <v>5257482</v>
      </c>
      <c r="E17" s="4">
        <v>4770631</v>
      </c>
      <c r="F17" s="4">
        <v>10028113</v>
      </c>
      <c r="G17" s="4">
        <v>10028113</v>
      </c>
    </row>
    <row r="18" spans="1:7" x14ac:dyDescent="0.75">
      <c r="A18">
        <v>3217</v>
      </c>
      <c r="B18" t="s">
        <v>171</v>
      </c>
      <c r="C18" s="4">
        <v>7668436</v>
      </c>
      <c r="D18" s="4">
        <v>446996</v>
      </c>
      <c r="E18" s="4">
        <v>997507</v>
      </c>
      <c r="F18" s="4">
        <v>1444503</v>
      </c>
      <c r="G18" s="4">
        <v>9112939</v>
      </c>
    </row>
    <row r="19" spans="1:7" x14ac:dyDescent="0.75">
      <c r="A19">
        <v>2021</v>
      </c>
      <c r="B19" t="s">
        <v>49</v>
      </c>
      <c r="C19" s="4"/>
      <c r="D19" s="4">
        <v>1972391</v>
      </c>
      <c r="E19" s="4">
        <v>6714921</v>
      </c>
      <c r="F19" s="4">
        <v>8687312</v>
      </c>
      <c r="G19" s="4">
        <v>8687312</v>
      </c>
    </row>
    <row r="20" spans="1:7" x14ac:dyDescent="0.75">
      <c r="A20">
        <v>3321</v>
      </c>
      <c r="B20" t="s">
        <v>175</v>
      </c>
      <c r="C20" s="4">
        <v>5959762</v>
      </c>
      <c r="D20" s="4">
        <v>83479</v>
      </c>
      <c r="E20" s="4">
        <v>1574043</v>
      </c>
      <c r="F20" s="4">
        <v>1657522</v>
      </c>
      <c r="G20" s="4">
        <v>7617284</v>
      </c>
    </row>
    <row r="21" spans="1:7" x14ac:dyDescent="0.75">
      <c r="A21">
        <v>4719</v>
      </c>
      <c r="B21" t="s">
        <v>14</v>
      </c>
      <c r="C21" s="4"/>
      <c r="D21" s="4">
        <v>6604246</v>
      </c>
      <c r="E21" s="4">
        <v>357826</v>
      </c>
      <c r="F21" s="4">
        <v>6962072</v>
      </c>
      <c r="G21" s="4">
        <v>6962072</v>
      </c>
    </row>
    <row r="22" spans="1:7" x14ac:dyDescent="0.75">
      <c r="A22">
        <v>4636</v>
      </c>
      <c r="B22" t="s">
        <v>66</v>
      </c>
      <c r="C22" s="4"/>
      <c r="D22" s="4">
        <v>6456271</v>
      </c>
      <c r="E22" s="4">
        <v>288592</v>
      </c>
      <c r="F22" s="4">
        <v>6744863</v>
      </c>
      <c r="G22" s="4">
        <v>6744863</v>
      </c>
    </row>
    <row r="23" spans="1:7" x14ac:dyDescent="0.75">
      <c r="A23">
        <v>3204</v>
      </c>
      <c r="B23" t="s">
        <v>172</v>
      </c>
      <c r="C23" s="4">
        <v>3380727</v>
      </c>
      <c r="D23" s="4">
        <v>2347482</v>
      </c>
      <c r="E23" s="4">
        <v>1015767</v>
      </c>
      <c r="F23" s="4">
        <v>3363249</v>
      </c>
      <c r="G23" s="4">
        <v>6743976</v>
      </c>
    </row>
    <row r="24" spans="1:7" x14ac:dyDescent="0.75">
      <c r="A24">
        <v>4722</v>
      </c>
      <c r="B24" t="s">
        <v>165</v>
      </c>
      <c r="C24" s="4"/>
      <c r="D24" s="4">
        <v>4484477</v>
      </c>
      <c r="E24" s="4">
        <v>1334867</v>
      </c>
      <c r="F24" s="4">
        <v>5819344</v>
      </c>
      <c r="G24" s="4">
        <v>5819344</v>
      </c>
    </row>
    <row r="25" spans="1:7" x14ac:dyDescent="0.75">
      <c r="A25">
        <v>2416</v>
      </c>
      <c r="B25" t="s">
        <v>102</v>
      </c>
      <c r="C25" s="4"/>
      <c r="D25" s="4">
        <v>5447036</v>
      </c>
      <c r="E25" s="4">
        <v>306832</v>
      </c>
      <c r="F25" s="4">
        <v>5753868</v>
      </c>
      <c r="G25" s="4">
        <v>5753868</v>
      </c>
    </row>
    <row r="26" spans="1:7" x14ac:dyDescent="0.75">
      <c r="A26">
        <v>398</v>
      </c>
      <c r="B26" t="s">
        <v>154</v>
      </c>
      <c r="C26" s="4"/>
      <c r="D26" s="4">
        <v>1560095</v>
      </c>
      <c r="E26" s="4">
        <v>3879272</v>
      </c>
      <c r="F26" s="4">
        <v>5439367</v>
      </c>
      <c r="G26" s="4">
        <v>5439367</v>
      </c>
    </row>
    <row r="27" spans="1:7" x14ac:dyDescent="0.75">
      <c r="A27">
        <v>3635</v>
      </c>
      <c r="B27" t="s">
        <v>117</v>
      </c>
      <c r="C27" s="4">
        <v>4901282</v>
      </c>
      <c r="D27" s="4">
        <v>128248</v>
      </c>
      <c r="E27" s="4">
        <v>20944</v>
      </c>
      <c r="F27" s="4">
        <v>149192</v>
      </c>
      <c r="G27" s="4">
        <v>5050474</v>
      </c>
    </row>
    <row r="28" spans="1:7" x14ac:dyDescent="0.75">
      <c r="A28">
        <v>3841</v>
      </c>
      <c r="B28" t="s">
        <v>189</v>
      </c>
      <c r="C28" s="4">
        <v>4868804</v>
      </c>
      <c r="D28" s="4">
        <v>0</v>
      </c>
      <c r="E28" s="4">
        <v>165391</v>
      </c>
      <c r="F28" s="4">
        <v>165391</v>
      </c>
      <c r="G28" s="4">
        <v>5034195</v>
      </c>
    </row>
    <row r="29" spans="1:7" x14ac:dyDescent="0.75">
      <c r="A29">
        <v>2420</v>
      </c>
      <c r="B29" t="s">
        <v>180</v>
      </c>
      <c r="C29" s="4"/>
      <c r="D29" s="4">
        <v>0</v>
      </c>
      <c r="E29" s="4">
        <v>4977353</v>
      </c>
      <c r="F29" s="4">
        <v>4977353</v>
      </c>
      <c r="G29" s="4">
        <v>4977353</v>
      </c>
    </row>
    <row r="30" spans="1:7" x14ac:dyDescent="0.75">
      <c r="A30">
        <v>776</v>
      </c>
      <c r="B30" t="s">
        <v>5</v>
      </c>
      <c r="C30" s="4"/>
      <c r="D30" s="4">
        <v>1402475</v>
      </c>
      <c r="E30" s="4">
        <v>2733649</v>
      </c>
      <c r="F30" s="4">
        <v>4136124</v>
      </c>
      <c r="G30" s="4">
        <v>4136124</v>
      </c>
    </row>
    <row r="31" spans="1:7" x14ac:dyDescent="0.75">
      <c r="A31">
        <v>3227</v>
      </c>
      <c r="B31" t="s">
        <v>201</v>
      </c>
      <c r="C31" s="4">
        <v>4035896</v>
      </c>
      <c r="D31" s="4">
        <v>0</v>
      </c>
      <c r="E31" s="4">
        <v>95322</v>
      </c>
      <c r="F31" s="4">
        <v>95322</v>
      </c>
      <c r="G31" s="4">
        <v>4131218</v>
      </c>
    </row>
    <row r="32" spans="1:7" x14ac:dyDescent="0.75">
      <c r="A32">
        <v>550</v>
      </c>
      <c r="B32" t="s">
        <v>166</v>
      </c>
      <c r="C32" s="4"/>
      <c r="D32" s="4">
        <v>475193</v>
      </c>
      <c r="E32" s="4">
        <v>3318960</v>
      </c>
      <c r="F32" s="4">
        <v>3794153</v>
      </c>
      <c r="G32" s="4">
        <v>3794153</v>
      </c>
    </row>
    <row r="33" spans="1:7" x14ac:dyDescent="0.75">
      <c r="A33">
        <v>3803</v>
      </c>
      <c r="B33" t="s">
        <v>203</v>
      </c>
      <c r="C33" s="4">
        <v>3672799</v>
      </c>
      <c r="D33" s="4">
        <v>46000</v>
      </c>
      <c r="E33" s="4">
        <v>0</v>
      </c>
      <c r="F33" s="4">
        <v>46000</v>
      </c>
      <c r="G33" s="4">
        <v>3718799</v>
      </c>
    </row>
    <row r="34" spans="1:7" x14ac:dyDescent="0.75">
      <c r="A34">
        <v>4270</v>
      </c>
      <c r="B34" t="s">
        <v>194</v>
      </c>
      <c r="C34" s="4"/>
      <c r="D34" s="4">
        <v>1766603</v>
      </c>
      <c r="E34" s="4">
        <v>1769218</v>
      </c>
      <c r="F34" s="4">
        <v>3535821</v>
      </c>
      <c r="G34" s="4">
        <v>3535821</v>
      </c>
    </row>
    <row r="35" spans="1:7" x14ac:dyDescent="0.75">
      <c r="A35">
        <v>775</v>
      </c>
      <c r="B35" t="s">
        <v>11</v>
      </c>
      <c r="C35" s="4"/>
      <c r="D35" s="4">
        <v>0</v>
      </c>
      <c r="E35" s="4">
        <v>3417632</v>
      </c>
      <c r="F35" s="4">
        <v>3417632</v>
      </c>
      <c r="G35" s="4">
        <v>3417632</v>
      </c>
    </row>
    <row r="36" spans="1:7" x14ac:dyDescent="0.75">
      <c r="A36">
        <v>4120</v>
      </c>
      <c r="B36" t="s">
        <v>0</v>
      </c>
      <c r="C36" s="4"/>
      <c r="D36" s="4">
        <v>1129855</v>
      </c>
      <c r="E36" s="4">
        <v>2106869</v>
      </c>
      <c r="F36" s="4">
        <v>3236724</v>
      </c>
      <c r="G36" s="4">
        <v>3236724</v>
      </c>
    </row>
    <row r="37" spans="1:7" x14ac:dyDescent="0.75">
      <c r="A37">
        <v>3928</v>
      </c>
      <c r="B37" t="s">
        <v>192</v>
      </c>
      <c r="C37" s="4">
        <v>2171869</v>
      </c>
      <c r="D37" s="4">
        <v>941594</v>
      </c>
      <c r="E37" s="4">
        <v>0</v>
      </c>
      <c r="F37" s="4">
        <v>941594</v>
      </c>
      <c r="G37" s="4">
        <v>3113463</v>
      </c>
    </row>
    <row r="38" spans="1:7" x14ac:dyDescent="0.75">
      <c r="A38">
        <v>3213</v>
      </c>
      <c r="B38" t="s">
        <v>211</v>
      </c>
      <c r="C38" s="4">
        <v>854450</v>
      </c>
      <c r="D38" s="4">
        <v>1922507</v>
      </c>
      <c r="E38" s="4">
        <v>61358</v>
      </c>
      <c r="F38" s="4">
        <v>1983865</v>
      </c>
      <c r="G38" s="4">
        <v>2838315</v>
      </c>
    </row>
    <row r="39" spans="1:7" x14ac:dyDescent="0.75">
      <c r="A39">
        <v>552</v>
      </c>
      <c r="B39" t="s">
        <v>161</v>
      </c>
      <c r="C39" s="4"/>
      <c r="D39" s="4">
        <v>208542</v>
      </c>
      <c r="E39" s="4">
        <v>2601870</v>
      </c>
      <c r="F39" s="4">
        <v>2810412</v>
      </c>
      <c r="G39" s="4">
        <v>2810412</v>
      </c>
    </row>
    <row r="40" spans="1:7" x14ac:dyDescent="0.75">
      <c r="A40">
        <v>3749</v>
      </c>
      <c r="B40" t="s">
        <v>174</v>
      </c>
      <c r="C40" s="4">
        <v>604304</v>
      </c>
      <c r="D40" s="4">
        <v>0</v>
      </c>
      <c r="E40" s="4">
        <v>2147874</v>
      </c>
      <c r="F40" s="4">
        <v>2147874</v>
      </c>
      <c r="G40" s="4">
        <v>2752178</v>
      </c>
    </row>
    <row r="41" spans="1:7" x14ac:dyDescent="0.75">
      <c r="A41">
        <v>3627</v>
      </c>
      <c r="B41" t="s">
        <v>210</v>
      </c>
      <c r="C41" s="4">
        <v>2429131</v>
      </c>
      <c r="D41" s="4">
        <v>172870</v>
      </c>
      <c r="E41" s="4">
        <v>63659</v>
      </c>
      <c r="F41" s="4">
        <v>236529</v>
      </c>
      <c r="G41" s="4">
        <v>2665660</v>
      </c>
    </row>
    <row r="42" spans="1:7" x14ac:dyDescent="0.75">
      <c r="A42">
        <v>2017</v>
      </c>
      <c r="B42" t="s">
        <v>17</v>
      </c>
      <c r="C42" s="4"/>
      <c r="D42" s="4">
        <v>107741</v>
      </c>
      <c r="E42" s="4">
        <v>2271493</v>
      </c>
      <c r="F42" s="4">
        <v>2379234</v>
      </c>
      <c r="G42" s="4">
        <v>2379234</v>
      </c>
    </row>
    <row r="43" spans="1:7" x14ac:dyDescent="0.75">
      <c r="A43">
        <v>3619</v>
      </c>
      <c r="B43" t="s">
        <v>202</v>
      </c>
      <c r="C43" s="4">
        <v>2267343</v>
      </c>
      <c r="D43" s="4">
        <v>57731</v>
      </c>
      <c r="E43" s="4">
        <v>52360</v>
      </c>
      <c r="F43" s="4">
        <v>110091</v>
      </c>
      <c r="G43" s="4">
        <v>2377434</v>
      </c>
    </row>
    <row r="44" spans="1:7" x14ac:dyDescent="0.75">
      <c r="A44">
        <v>766</v>
      </c>
      <c r="B44" t="s">
        <v>35</v>
      </c>
      <c r="C44" s="4"/>
      <c r="D44" s="4">
        <v>818320</v>
      </c>
      <c r="E44" s="4">
        <v>1497986</v>
      </c>
      <c r="F44" s="4">
        <v>2316306</v>
      </c>
      <c r="G44" s="4">
        <v>2316306</v>
      </c>
    </row>
    <row r="45" spans="1:7" x14ac:dyDescent="0.75">
      <c r="A45">
        <v>2437</v>
      </c>
      <c r="B45" t="s">
        <v>197</v>
      </c>
      <c r="C45" s="4"/>
      <c r="D45" s="4">
        <v>117571</v>
      </c>
      <c r="E45" s="4">
        <v>2181326</v>
      </c>
      <c r="F45" s="4">
        <v>2298897</v>
      </c>
      <c r="G45" s="4">
        <v>2298897</v>
      </c>
    </row>
    <row r="46" spans="1:7" x14ac:dyDescent="0.75">
      <c r="A46">
        <v>4659</v>
      </c>
      <c r="B46" t="s">
        <v>217</v>
      </c>
      <c r="C46" s="4"/>
      <c r="D46" s="4">
        <v>2141333</v>
      </c>
      <c r="E46" s="4">
        <v>76827</v>
      </c>
      <c r="F46" s="4">
        <v>2218160</v>
      </c>
      <c r="G46" s="4">
        <v>2218160</v>
      </c>
    </row>
    <row r="47" spans="1:7" x14ac:dyDescent="0.75">
      <c r="A47">
        <v>2417</v>
      </c>
      <c r="B47" t="s">
        <v>65</v>
      </c>
      <c r="C47" s="4"/>
      <c r="D47" s="4">
        <v>1575639</v>
      </c>
      <c r="E47" s="4">
        <v>559149</v>
      </c>
      <c r="F47" s="4">
        <v>2134788</v>
      </c>
      <c r="G47" s="4">
        <v>2134788</v>
      </c>
    </row>
    <row r="48" spans="1:7" x14ac:dyDescent="0.75">
      <c r="A48">
        <v>2248</v>
      </c>
      <c r="B48" t="s">
        <v>159</v>
      </c>
      <c r="C48" s="4"/>
      <c r="D48" s="4">
        <v>698452</v>
      </c>
      <c r="E48" s="4">
        <v>1334980</v>
      </c>
      <c r="F48" s="4">
        <v>2033432</v>
      </c>
      <c r="G48" s="4">
        <v>2033432</v>
      </c>
    </row>
    <row r="49" spans="1:7" x14ac:dyDescent="0.75">
      <c r="A49">
        <v>1995</v>
      </c>
      <c r="B49" t="s">
        <v>141</v>
      </c>
      <c r="C49" s="4"/>
      <c r="D49" s="4">
        <v>2001264</v>
      </c>
      <c r="E49" s="4">
        <v>0</v>
      </c>
      <c r="F49" s="4">
        <v>2001264</v>
      </c>
      <c r="G49" s="4">
        <v>2001264</v>
      </c>
    </row>
    <row r="50" spans="1:7" x14ac:dyDescent="0.75">
      <c r="A50">
        <v>3198</v>
      </c>
      <c r="B50" t="s">
        <v>226</v>
      </c>
      <c r="C50" s="4">
        <v>1966576</v>
      </c>
      <c r="D50" s="4"/>
      <c r="E50" s="4"/>
      <c r="F50" s="4"/>
      <c r="G50" s="4">
        <v>1966576</v>
      </c>
    </row>
    <row r="51" spans="1:7" x14ac:dyDescent="0.75">
      <c r="A51">
        <v>2160</v>
      </c>
      <c r="B51" t="s">
        <v>90</v>
      </c>
      <c r="C51" s="4"/>
      <c r="D51" s="4">
        <v>0</v>
      </c>
      <c r="E51" s="4">
        <v>1947997</v>
      </c>
      <c r="F51" s="4">
        <v>1947997</v>
      </c>
      <c r="G51" s="4">
        <v>1947997</v>
      </c>
    </row>
    <row r="52" spans="1:7" x14ac:dyDescent="0.75">
      <c r="A52">
        <v>2393</v>
      </c>
      <c r="B52" t="s">
        <v>116</v>
      </c>
      <c r="C52" s="4"/>
      <c r="D52" s="4">
        <v>1011068</v>
      </c>
      <c r="E52" s="4">
        <v>926458</v>
      </c>
      <c r="F52" s="4">
        <v>1937526</v>
      </c>
      <c r="G52" s="4">
        <v>1937526</v>
      </c>
    </row>
    <row r="53" spans="1:7" x14ac:dyDescent="0.75">
      <c r="A53">
        <v>2151</v>
      </c>
      <c r="B53" t="s">
        <v>142</v>
      </c>
      <c r="C53" s="4"/>
      <c r="D53" s="4">
        <v>11023</v>
      </c>
      <c r="E53" s="4">
        <v>1779784</v>
      </c>
      <c r="F53" s="4">
        <v>1790807</v>
      </c>
      <c r="G53" s="4">
        <v>1790807</v>
      </c>
    </row>
    <row r="54" spans="1:7" x14ac:dyDescent="0.75">
      <c r="A54">
        <v>3756</v>
      </c>
      <c r="B54" t="s">
        <v>221</v>
      </c>
      <c r="C54" s="4">
        <v>680073</v>
      </c>
      <c r="D54" s="4">
        <v>49614</v>
      </c>
      <c r="E54" s="4">
        <v>1056813</v>
      </c>
      <c r="F54" s="4">
        <v>1106427</v>
      </c>
      <c r="G54" s="4">
        <v>1786500</v>
      </c>
    </row>
    <row r="55" spans="1:7" x14ac:dyDescent="0.75">
      <c r="A55">
        <v>4340</v>
      </c>
      <c r="B55" t="s">
        <v>236</v>
      </c>
      <c r="C55" s="4"/>
      <c r="D55" s="4">
        <v>206463</v>
      </c>
      <c r="E55" s="4">
        <v>1423389</v>
      </c>
      <c r="F55" s="4">
        <v>1629852</v>
      </c>
      <c r="G55" s="4">
        <v>1629852</v>
      </c>
    </row>
    <row r="56" spans="1:7" x14ac:dyDescent="0.75">
      <c r="A56">
        <v>4709</v>
      </c>
      <c r="B56" t="s">
        <v>235</v>
      </c>
      <c r="C56" s="4"/>
      <c r="D56" s="4">
        <v>1618110</v>
      </c>
      <c r="E56" s="4">
        <v>0</v>
      </c>
      <c r="F56" s="4">
        <v>1618110</v>
      </c>
      <c r="G56" s="4">
        <v>1618110</v>
      </c>
    </row>
    <row r="57" spans="1:7" x14ac:dyDescent="0.75">
      <c r="A57">
        <v>4351</v>
      </c>
      <c r="B57" t="s">
        <v>119</v>
      </c>
      <c r="C57" s="4"/>
      <c r="D57" s="4">
        <v>823750</v>
      </c>
      <c r="E57" s="4">
        <v>745731</v>
      </c>
      <c r="F57" s="4">
        <v>1569481</v>
      </c>
      <c r="G57" s="4">
        <v>1569481</v>
      </c>
    </row>
    <row r="58" spans="1:7" x14ac:dyDescent="0.75">
      <c r="A58">
        <v>149</v>
      </c>
      <c r="B58" t="s">
        <v>42</v>
      </c>
      <c r="C58" s="4"/>
      <c r="D58" s="4">
        <v>512372</v>
      </c>
      <c r="E58" s="4">
        <v>1006414</v>
      </c>
      <c r="F58" s="4">
        <v>1518786</v>
      </c>
      <c r="G58" s="4">
        <v>1518786</v>
      </c>
    </row>
    <row r="59" spans="1:7" x14ac:dyDescent="0.75">
      <c r="A59">
        <v>3778</v>
      </c>
      <c r="B59" t="s">
        <v>227</v>
      </c>
      <c r="C59" s="4">
        <v>1179445</v>
      </c>
      <c r="D59" s="4">
        <v>0</v>
      </c>
      <c r="E59" s="4">
        <v>318310</v>
      </c>
      <c r="F59" s="4">
        <v>318310</v>
      </c>
      <c r="G59" s="4">
        <v>1497755</v>
      </c>
    </row>
    <row r="60" spans="1:7" x14ac:dyDescent="0.75">
      <c r="A60">
        <v>3617</v>
      </c>
      <c r="B60" t="s">
        <v>223</v>
      </c>
      <c r="C60" s="4">
        <v>1496539</v>
      </c>
      <c r="D60" s="4"/>
      <c r="E60" s="4"/>
      <c r="F60" s="4"/>
      <c r="G60" s="4">
        <v>1496539</v>
      </c>
    </row>
    <row r="61" spans="1:7" x14ac:dyDescent="0.75">
      <c r="A61">
        <v>2428</v>
      </c>
      <c r="B61" t="s">
        <v>94</v>
      </c>
      <c r="C61" s="4"/>
      <c r="D61" s="4">
        <v>1459851</v>
      </c>
      <c r="E61" s="4">
        <v>1</v>
      </c>
      <c r="F61" s="4">
        <v>1459852</v>
      </c>
      <c r="G61" s="4">
        <v>1459852</v>
      </c>
    </row>
    <row r="62" spans="1:7" x14ac:dyDescent="0.75">
      <c r="A62">
        <v>1911</v>
      </c>
      <c r="B62" t="s">
        <v>26</v>
      </c>
      <c r="C62" s="4"/>
      <c r="D62" s="4">
        <v>15061</v>
      </c>
      <c r="E62" s="4">
        <v>1439431</v>
      </c>
      <c r="F62" s="4">
        <v>1454492</v>
      </c>
      <c r="G62" s="4">
        <v>1454492</v>
      </c>
    </row>
    <row r="63" spans="1:7" x14ac:dyDescent="0.75">
      <c r="A63">
        <v>203</v>
      </c>
      <c r="B63" t="s">
        <v>126</v>
      </c>
      <c r="C63" s="4"/>
      <c r="D63" s="4">
        <v>216468</v>
      </c>
      <c r="E63" s="4">
        <v>1119990</v>
      </c>
      <c r="F63" s="4">
        <v>1336458</v>
      </c>
      <c r="G63" s="4">
        <v>1336458</v>
      </c>
    </row>
    <row r="64" spans="1:7" x14ac:dyDescent="0.75">
      <c r="A64">
        <v>3212</v>
      </c>
      <c r="B64" t="s">
        <v>218</v>
      </c>
      <c r="C64" s="4">
        <v>1315372</v>
      </c>
      <c r="D64" s="4">
        <v>0</v>
      </c>
      <c r="E64" s="4">
        <v>16500</v>
      </c>
      <c r="F64" s="4">
        <v>16500</v>
      </c>
      <c r="G64" s="4">
        <v>1331872</v>
      </c>
    </row>
    <row r="65" spans="1:7" x14ac:dyDescent="0.75">
      <c r="A65">
        <v>3219</v>
      </c>
      <c r="B65" t="s">
        <v>240</v>
      </c>
      <c r="C65" s="4">
        <v>762551</v>
      </c>
      <c r="D65" s="4">
        <v>66842</v>
      </c>
      <c r="E65" s="4">
        <v>365161</v>
      </c>
      <c r="F65" s="4">
        <v>432003</v>
      </c>
      <c r="G65" s="4">
        <v>1194554</v>
      </c>
    </row>
    <row r="66" spans="1:7" x14ac:dyDescent="0.75">
      <c r="A66">
        <v>4335</v>
      </c>
      <c r="B66" t="s">
        <v>222</v>
      </c>
      <c r="C66" s="4"/>
      <c r="D66" s="4">
        <v>85098</v>
      </c>
      <c r="E66" s="4">
        <v>1088472</v>
      </c>
      <c r="F66" s="4">
        <v>1173570</v>
      </c>
      <c r="G66" s="4">
        <v>1173570</v>
      </c>
    </row>
    <row r="67" spans="1:7" x14ac:dyDescent="0.75">
      <c r="A67">
        <v>4458</v>
      </c>
      <c r="B67" t="s">
        <v>187</v>
      </c>
      <c r="C67" s="4"/>
      <c r="D67" s="4">
        <v>60533</v>
      </c>
      <c r="E67" s="4">
        <v>1058248</v>
      </c>
      <c r="F67" s="4">
        <v>1118781</v>
      </c>
      <c r="G67" s="4">
        <v>1118781</v>
      </c>
    </row>
    <row r="68" spans="1:7" x14ac:dyDescent="0.75">
      <c r="A68">
        <v>2441</v>
      </c>
      <c r="B68" t="s">
        <v>64</v>
      </c>
      <c r="C68" s="4"/>
      <c r="D68" s="4">
        <v>770450</v>
      </c>
      <c r="E68" s="4">
        <v>329438</v>
      </c>
      <c r="F68" s="4">
        <v>1099888</v>
      </c>
      <c r="G68" s="4">
        <v>1099888</v>
      </c>
    </row>
    <row r="69" spans="1:7" x14ac:dyDescent="0.75">
      <c r="A69">
        <v>555</v>
      </c>
      <c r="B69" t="s">
        <v>37</v>
      </c>
      <c r="C69" s="4"/>
      <c r="D69" s="4">
        <v>307060</v>
      </c>
      <c r="E69" s="4">
        <v>755704</v>
      </c>
      <c r="F69" s="4">
        <v>1062764</v>
      </c>
      <c r="G69" s="4">
        <v>1062764</v>
      </c>
    </row>
    <row r="70" spans="1:7" x14ac:dyDescent="0.75">
      <c r="A70">
        <v>1506</v>
      </c>
      <c r="B70" t="s">
        <v>183</v>
      </c>
      <c r="C70" s="4"/>
      <c r="D70" s="4">
        <v>257597</v>
      </c>
      <c r="E70" s="4">
        <v>668279</v>
      </c>
      <c r="F70" s="4">
        <v>925876</v>
      </c>
      <c r="G70" s="4">
        <v>925876</v>
      </c>
    </row>
    <row r="71" spans="1:7" x14ac:dyDescent="0.75">
      <c r="A71">
        <v>3500</v>
      </c>
      <c r="B71" t="s">
        <v>248</v>
      </c>
      <c r="C71" s="4">
        <v>854661</v>
      </c>
      <c r="D71" s="4">
        <v>0</v>
      </c>
      <c r="E71" s="4">
        <v>8818</v>
      </c>
      <c r="F71" s="4">
        <v>8818</v>
      </c>
      <c r="G71" s="4">
        <v>863479</v>
      </c>
    </row>
    <row r="72" spans="1:7" x14ac:dyDescent="0.75">
      <c r="A72">
        <v>3700</v>
      </c>
      <c r="B72" t="s">
        <v>258</v>
      </c>
      <c r="C72" s="4">
        <v>577139</v>
      </c>
      <c r="D72" s="4">
        <v>0</v>
      </c>
      <c r="E72" s="4">
        <v>251072</v>
      </c>
      <c r="F72" s="4">
        <v>251072</v>
      </c>
      <c r="G72" s="4">
        <v>828211</v>
      </c>
    </row>
    <row r="73" spans="1:7" x14ac:dyDescent="0.75">
      <c r="A73">
        <v>4240</v>
      </c>
      <c r="B73" t="s">
        <v>250</v>
      </c>
      <c r="C73" s="4"/>
      <c r="D73" s="4">
        <v>23644</v>
      </c>
      <c r="E73" s="4">
        <v>740063</v>
      </c>
      <c r="F73" s="4">
        <v>763707</v>
      </c>
      <c r="G73" s="4">
        <v>763707</v>
      </c>
    </row>
    <row r="74" spans="1:7" x14ac:dyDescent="0.75">
      <c r="A74">
        <v>4713</v>
      </c>
      <c r="B74" t="s">
        <v>254</v>
      </c>
      <c r="C74" s="4"/>
      <c r="D74" s="4">
        <v>749845</v>
      </c>
      <c r="E74" s="4">
        <v>2656</v>
      </c>
      <c r="F74" s="4">
        <v>752501</v>
      </c>
      <c r="G74" s="4">
        <v>752501</v>
      </c>
    </row>
    <row r="75" spans="1:7" x14ac:dyDescent="0.75">
      <c r="A75">
        <v>4344</v>
      </c>
      <c r="B75" t="s">
        <v>13</v>
      </c>
      <c r="C75" s="4"/>
      <c r="D75" s="4">
        <v>712536</v>
      </c>
      <c r="E75" s="4">
        <v>4833</v>
      </c>
      <c r="F75" s="4">
        <v>717369</v>
      </c>
      <c r="G75" s="4">
        <v>717369</v>
      </c>
    </row>
    <row r="76" spans="1:7" x14ac:dyDescent="0.75">
      <c r="A76">
        <v>3726</v>
      </c>
      <c r="B76" t="s">
        <v>268</v>
      </c>
      <c r="C76" s="4">
        <v>609087</v>
      </c>
      <c r="D76" s="4">
        <v>0</v>
      </c>
      <c r="E76" s="4">
        <v>84878</v>
      </c>
      <c r="F76" s="4">
        <v>84878</v>
      </c>
      <c r="G76" s="4">
        <v>693965</v>
      </c>
    </row>
    <row r="77" spans="1:7" x14ac:dyDescent="0.75">
      <c r="A77">
        <v>3230</v>
      </c>
      <c r="B77" t="s">
        <v>144</v>
      </c>
      <c r="C77" s="4">
        <v>366505</v>
      </c>
      <c r="D77" s="4">
        <v>0</v>
      </c>
      <c r="E77" s="4">
        <v>262925</v>
      </c>
      <c r="F77" s="4">
        <v>262925</v>
      </c>
      <c r="G77" s="4">
        <v>629430</v>
      </c>
    </row>
    <row r="78" spans="1:7" x14ac:dyDescent="0.75">
      <c r="A78">
        <v>759</v>
      </c>
      <c r="B78" t="s">
        <v>110</v>
      </c>
      <c r="C78" s="4"/>
      <c r="D78" s="4">
        <v>0</v>
      </c>
      <c r="E78" s="4">
        <v>627696</v>
      </c>
      <c r="F78" s="4">
        <v>627696</v>
      </c>
      <c r="G78" s="4">
        <v>627696</v>
      </c>
    </row>
    <row r="79" spans="1:7" x14ac:dyDescent="0.75">
      <c r="A79">
        <v>2440</v>
      </c>
      <c r="B79" t="s">
        <v>45</v>
      </c>
      <c r="C79" s="4"/>
      <c r="D79" s="4">
        <v>0</v>
      </c>
      <c r="E79" s="4">
        <v>597840</v>
      </c>
      <c r="F79" s="4">
        <v>597840</v>
      </c>
      <c r="G79" s="4">
        <v>597840</v>
      </c>
    </row>
    <row r="80" spans="1:7" x14ac:dyDescent="0.75">
      <c r="A80">
        <v>783</v>
      </c>
      <c r="B80" t="s">
        <v>122</v>
      </c>
      <c r="C80" s="4"/>
      <c r="D80" s="4">
        <v>362842</v>
      </c>
      <c r="E80" s="4">
        <v>223380</v>
      </c>
      <c r="F80" s="4">
        <v>586222</v>
      </c>
      <c r="G80" s="4">
        <v>586222</v>
      </c>
    </row>
    <row r="81" spans="1:7" x14ac:dyDescent="0.75">
      <c r="A81">
        <v>2408</v>
      </c>
      <c r="B81" t="s">
        <v>58</v>
      </c>
      <c r="C81" s="4"/>
      <c r="D81" s="4">
        <v>0</v>
      </c>
      <c r="E81" s="4">
        <v>577548</v>
      </c>
      <c r="F81" s="4">
        <v>577548</v>
      </c>
      <c r="G81" s="4">
        <v>577548</v>
      </c>
    </row>
    <row r="82" spans="1:7" x14ac:dyDescent="0.75">
      <c r="A82">
        <v>3221</v>
      </c>
      <c r="B82" t="s">
        <v>267</v>
      </c>
      <c r="C82" s="4">
        <v>451802</v>
      </c>
      <c r="D82" s="4">
        <v>0</v>
      </c>
      <c r="E82" s="4">
        <v>117832</v>
      </c>
      <c r="F82" s="4">
        <v>117832</v>
      </c>
      <c r="G82" s="4">
        <v>569634</v>
      </c>
    </row>
    <row r="83" spans="1:7" x14ac:dyDescent="0.75">
      <c r="A83">
        <v>78</v>
      </c>
      <c r="B83" t="s">
        <v>247</v>
      </c>
      <c r="C83" s="4"/>
      <c r="D83" s="4">
        <v>0</v>
      </c>
      <c r="E83" s="4">
        <v>555706</v>
      </c>
      <c r="F83" s="4">
        <v>555706</v>
      </c>
      <c r="G83" s="4">
        <v>555706</v>
      </c>
    </row>
    <row r="84" spans="1:7" x14ac:dyDescent="0.75">
      <c r="A84">
        <v>3235</v>
      </c>
      <c r="B84" t="s">
        <v>261</v>
      </c>
      <c r="C84" s="4">
        <v>385845</v>
      </c>
      <c r="D84" s="4">
        <v>28109</v>
      </c>
      <c r="E84" s="4">
        <v>98767</v>
      </c>
      <c r="F84" s="4">
        <v>126876</v>
      </c>
      <c r="G84" s="4">
        <v>512721</v>
      </c>
    </row>
    <row r="85" spans="1:7" x14ac:dyDescent="0.75">
      <c r="A85">
        <v>77</v>
      </c>
      <c r="B85" t="s">
        <v>101</v>
      </c>
      <c r="C85" s="4"/>
      <c r="D85" s="4">
        <v>12302</v>
      </c>
      <c r="E85" s="4">
        <v>443873</v>
      </c>
      <c r="F85" s="4">
        <v>456175</v>
      </c>
      <c r="G85" s="4">
        <v>456175</v>
      </c>
    </row>
    <row r="86" spans="1:7" x14ac:dyDescent="0.75">
      <c r="A86">
        <v>4629</v>
      </c>
      <c r="B86" t="s">
        <v>208</v>
      </c>
      <c r="C86" s="4"/>
      <c r="D86" s="4">
        <v>0</v>
      </c>
      <c r="E86" s="4">
        <v>455637</v>
      </c>
      <c r="F86" s="4">
        <v>455637</v>
      </c>
      <c r="G86" s="4">
        <v>455637</v>
      </c>
    </row>
    <row r="87" spans="1:7" x14ac:dyDescent="0.75">
      <c r="A87">
        <v>3512</v>
      </c>
      <c r="B87" t="s">
        <v>263</v>
      </c>
      <c r="C87" s="4">
        <v>342182</v>
      </c>
      <c r="D87" s="4">
        <v>0</v>
      </c>
      <c r="E87" s="4">
        <v>91139</v>
      </c>
      <c r="F87" s="4">
        <v>91139</v>
      </c>
      <c r="G87" s="4">
        <v>433321</v>
      </c>
    </row>
    <row r="88" spans="1:7" x14ac:dyDescent="0.75">
      <c r="A88">
        <v>3721</v>
      </c>
      <c r="B88" t="s">
        <v>274</v>
      </c>
      <c r="C88" s="4">
        <v>231561</v>
      </c>
      <c r="D88" s="4">
        <v>22046</v>
      </c>
      <c r="E88" s="4">
        <v>169005</v>
      </c>
      <c r="F88" s="4">
        <v>191051</v>
      </c>
      <c r="G88" s="4">
        <v>422612</v>
      </c>
    </row>
    <row r="89" spans="1:7" x14ac:dyDescent="0.75">
      <c r="A89">
        <v>1913</v>
      </c>
      <c r="B89" t="s">
        <v>20</v>
      </c>
      <c r="C89" s="4"/>
      <c r="D89" s="4">
        <v>0</v>
      </c>
      <c r="E89" s="4">
        <v>371741</v>
      </c>
      <c r="F89" s="4">
        <v>371741</v>
      </c>
      <c r="G89" s="4">
        <v>371741</v>
      </c>
    </row>
    <row r="90" spans="1:7" x14ac:dyDescent="0.75">
      <c r="A90">
        <v>3817</v>
      </c>
      <c r="B90" t="s">
        <v>257</v>
      </c>
      <c r="C90" s="4">
        <v>270738</v>
      </c>
      <c r="D90" s="4">
        <v>12125</v>
      </c>
      <c r="E90" s="4">
        <v>56069</v>
      </c>
      <c r="F90" s="4">
        <v>68194</v>
      </c>
      <c r="G90" s="4">
        <v>338932</v>
      </c>
    </row>
    <row r="91" spans="1:7" x14ac:dyDescent="0.75">
      <c r="A91">
        <v>505</v>
      </c>
      <c r="B91" t="s">
        <v>136</v>
      </c>
      <c r="C91" s="4"/>
      <c r="D91" s="4">
        <v>41396</v>
      </c>
      <c r="E91" s="4">
        <v>289545</v>
      </c>
      <c r="F91" s="4">
        <v>330941</v>
      </c>
      <c r="G91" s="4">
        <v>330941</v>
      </c>
    </row>
    <row r="92" spans="1:7" x14ac:dyDescent="0.75">
      <c r="A92">
        <v>3929</v>
      </c>
      <c r="B92" t="s">
        <v>290</v>
      </c>
      <c r="C92" s="4">
        <v>321312</v>
      </c>
      <c r="D92" s="4"/>
      <c r="E92" s="4"/>
      <c r="F92" s="4"/>
      <c r="G92" s="4">
        <v>321312</v>
      </c>
    </row>
    <row r="93" spans="1:7" x14ac:dyDescent="0.75">
      <c r="A93">
        <v>4374</v>
      </c>
      <c r="B93" t="s">
        <v>282</v>
      </c>
      <c r="C93" s="4"/>
      <c r="D93" s="4">
        <v>311443</v>
      </c>
      <c r="E93" s="4">
        <v>21</v>
      </c>
      <c r="F93" s="4">
        <v>311464</v>
      </c>
      <c r="G93" s="4">
        <v>311464</v>
      </c>
    </row>
    <row r="94" spans="1:7" x14ac:dyDescent="0.75">
      <c r="A94">
        <v>1991</v>
      </c>
      <c r="B94" t="s">
        <v>99</v>
      </c>
      <c r="C94" s="4"/>
      <c r="D94" s="4">
        <v>0</v>
      </c>
      <c r="E94" s="4">
        <v>295136</v>
      </c>
      <c r="F94" s="4">
        <v>295136</v>
      </c>
      <c r="G94" s="4">
        <v>295136</v>
      </c>
    </row>
    <row r="95" spans="1:7" x14ac:dyDescent="0.75">
      <c r="A95">
        <v>3733</v>
      </c>
      <c r="B95" t="s">
        <v>287</v>
      </c>
      <c r="C95" s="4">
        <v>215091</v>
      </c>
      <c r="D95" s="4">
        <v>0</v>
      </c>
      <c r="E95" s="4">
        <v>45746</v>
      </c>
      <c r="F95" s="4">
        <v>45746</v>
      </c>
      <c r="G95" s="4">
        <v>260837</v>
      </c>
    </row>
    <row r="96" spans="1:7" x14ac:dyDescent="0.75">
      <c r="A96">
        <v>4727</v>
      </c>
      <c r="B96" t="s">
        <v>60</v>
      </c>
      <c r="C96" s="4"/>
      <c r="D96" s="4">
        <v>49817</v>
      </c>
      <c r="E96" s="4">
        <v>208355</v>
      </c>
      <c r="F96" s="4">
        <v>258172</v>
      </c>
      <c r="G96" s="4">
        <v>258172</v>
      </c>
    </row>
    <row r="97" spans="1:7" x14ac:dyDescent="0.75">
      <c r="A97">
        <v>4102</v>
      </c>
      <c r="B97" t="s">
        <v>237</v>
      </c>
      <c r="C97" s="4"/>
      <c r="D97" s="4">
        <v>0</v>
      </c>
      <c r="E97" s="4">
        <v>239613</v>
      </c>
      <c r="F97" s="4">
        <v>239613</v>
      </c>
      <c r="G97" s="4">
        <v>239613</v>
      </c>
    </row>
    <row r="98" spans="1:7" x14ac:dyDescent="0.75">
      <c r="A98">
        <v>99</v>
      </c>
      <c r="B98" t="s">
        <v>67</v>
      </c>
      <c r="C98" s="4"/>
      <c r="D98" s="4">
        <v>0</v>
      </c>
      <c r="E98" s="4">
        <v>238857</v>
      </c>
      <c r="F98" s="4">
        <v>238857</v>
      </c>
      <c r="G98" s="4">
        <v>238857</v>
      </c>
    </row>
    <row r="99" spans="1:7" x14ac:dyDescent="0.75">
      <c r="A99">
        <v>1912</v>
      </c>
      <c r="B99" t="s">
        <v>47</v>
      </c>
      <c r="C99" s="4"/>
      <c r="D99" s="4">
        <v>0</v>
      </c>
      <c r="E99" s="4">
        <v>229761</v>
      </c>
      <c r="F99" s="4">
        <v>229761</v>
      </c>
      <c r="G99" s="4">
        <v>229761</v>
      </c>
    </row>
    <row r="100" spans="1:7" x14ac:dyDescent="0.75">
      <c r="A100">
        <v>3782</v>
      </c>
      <c r="B100" t="s">
        <v>298</v>
      </c>
      <c r="C100" s="4">
        <v>204109</v>
      </c>
      <c r="D100" s="4">
        <v>0</v>
      </c>
      <c r="E100" s="4">
        <v>7496</v>
      </c>
      <c r="F100" s="4">
        <v>7496</v>
      </c>
      <c r="G100" s="4">
        <v>211605</v>
      </c>
    </row>
    <row r="101" spans="1:7" x14ac:dyDescent="0.75">
      <c r="A101">
        <v>3111</v>
      </c>
      <c r="B101" t="s">
        <v>294</v>
      </c>
      <c r="C101" s="4"/>
      <c r="D101" s="4">
        <v>0</v>
      </c>
      <c r="E101" s="4">
        <v>207476</v>
      </c>
      <c r="F101" s="4">
        <v>207476</v>
      </c>
      <c r="G101" s="4">
        <v>207476</v>
      </c>
    </row>
    <row r="102" spans="1:7" x14ac:dyDescent="0.75">
      <c r="A102">
        <v>3612</v>
      </c>
      <c r="B102" t="s">
        <v>301</v>
      </c>
      <c r="C102" s="4">
        <v>203967</v>
      </c>
      <c r="D102" s="4"/>
      <c r="E102" s="4"/>
      <c r="F102" s="4"/>
      <c r="G102" s="4">
        <v>203967</v>
      </c>
    </row>
    <row r="103" spans="1:7" x14ac:dyDescent="0.75">
      <c r="A103">
        <v>3007</v>
      </c>
      <c r="B103" t="s">
        <v>304</v>
      </c>
      <c r="C103" s="4"/>
      <c r="D103" s="4">
        <v>0</v>
      </c>
      <c r="E103" s="4">
        <v>178862</v>
      </c>
      <c r="F103" s="4">
        <v>178862</v>
      </c>
      <c r="G103" s="4">
        <v>178862</v>
      </c>
    </row>
    <row r="104" spans="1:7" x14ac:dyDescent="0.75">
      <c r="A104">
        <v>4707</v>
      </c>
      <c r="B104" t="s">
        <v>89</v>
      </c>
      <c r="C104" s="4"/>
      <c r="D104" s="4">
        <v>175285</v>
      </c>
      <c r="E104" s="4">
        <v>3290</v>
      </c>
      <c r="F104" s="4">
        <v>178575</v>
      </c>
      <c r="G104" s="4">
        <v>178575</v>
      </c>
    </row>
    <row r="105" spans="1:7" x14ac:dyDescent="0.75">
      <c r="A105">
        <v>4730</v>
      </c>
      <c r="B105" t="s">
        <v>176</v>
      </c>
      <c r="C105" s="4"/>
      <c r="D105" s="4">
        <v>177212</v>
      </c>
      <c r="E105" s="4">
        <v>1</v>
      </c>
      <c r="F105" s="4">
        <v>177213</v>
      </c>
      <c r="G105" s="4">
        <v>177213</v>
      </c>
    </row>
    <row r="106" spans="1:7" x14ac:dyDescent="0.75">
      <c r="A106">
        <v>3788</v>
      </c>
      <c r="B106" t="s">
        <v>299</v>
      </c>
      <c r="C106" s="4">
        <v>165711</v>
      </c>
      <c r="D106" s="4"/>
      <c r="E106" s="4"/>
      <c r="F106" s="4"/>
      <c r="G106" s="4">
        <v>165711</v>
      </c>
    </row>
    <row r="107" spans="1:7" x14ac:dyDescent="0.75">
      <c r="A107">
        <v>3760</v>
      </c>
      <c r="B107" t="s">
        <v>302</v>
      </c>
      <c r="C107" s="4">
        <v>143421</v>
      </c>
      <c r="D107" s="4"/>
      <c r="E107" s="4"/>
      <c r="F107" s="4"/>
      <c r="G107" s="4">
        <v>143421</v>
      </c>
    </row>
    <row r="108" spans="1:7" x14ac:dyDescent="0.75">
      <c r="A108">
        <v>3783</v>
      </c>
      <c r="B108" t="s">
        <v>288</v>
      </c>
      <c r="C108" s="4">
        <v>118391</v>
      </c>
      <c r="D108" s="4"/>
      <c r="E108" s="4"/>
      <c r="F108" s="4"/>
      <c r="G108" s="4">
        <v>118391</v>
      </c>
    </row>
    <row r="109" spans="1:7" x14ac:dyDescent="0.75">
      <c r="A109">
        <v>4421</v>
      </c>
      <c r="B109" t="s">
        <v>22</v>
      </c>
      <c r="C109" s="4"/>
      <c r="D109" s="4">
        <v>0</v>
      </c>
      <c r="E109" s="4">
        <v>100122</v>
      </c>
      <c r="F109" s="4">
        <v>100122</v>
      </c>
      <c r="G109" s="4">
        <v>100122</v>
      </c>
    </row>
    <row r="110" spans="1:7" x14ac:dyDescent="0.75">
      <c r="A110">
        <v>4820</v>
      </c>
      <c r="B110" t="s">
        <v>31</v>
      </c>
      <c r="C110" s="4"/>
      <c r="D110" s="4">
        <v>0</v>
      </c>
      <c r="E110" s="4">
        <v>87964</v>
      </c>
      <c r="F110" s="4">
        <v>87964</v>
      </c>
      <c r="G110" s="4">
        <v>87964</v>
      </c>
    </row>
    <row r="111" spans="1:7" x14ac:dyDescent="0.75">
      <c r="A111">
        <v>3105</v>
      </c>
      <c r="B111" t="s">
        <v>133</v>
      </c>
      <c r="C111" s="4"/>
      <c r="D111" s="4">
        <v>0</v>
      </c>
      <c r="E111" s="4">
        <v>85622</v>
      </c>
      <c r="F111" s="4">
        <v>85622</v>
      </c>
      <c r="G111" s="4">
        <v>85622</v>
      </c>
    </row>
    <row r="112" spans="1:7" x14ac:dyDescent="0.75">
      <c r="A112">
        <v>3795</v>
      </c>
      <c r="B112" t="s">
        <v>307</v>
      </c>
      <c r="C112" s="4">
        <v>51772</v>
      </c>
      <c r="D112" s="4">
        <v>0</v>
      </c>
      <c r="E112" s="4">
        <v>26455</v>
      </c>
      <c r="F112" s="4">
        <v>26455</v>
      </c>
      <c r="G112" s="4">
        <v>78227</v>
      </c>
    </row>
    <row r="113" spans="1:7" x14ac:dyDescent="0.75">
      <c r="A113">
        <v>738</v>
      </c>
      <c r="B113" t="s">
        <v>260</v>
      </c>
      <c r="C113" s="4"/>
      <c r="D113" s="4">
        <v>68742</v>
      </c>
      <c r="E113" s="4">
        <v>0</v>
      </c>
      <c r="F113" s="4">
        <v>68742</v>
      </c>
      <c r="G113" s="4">
        <v>68742</v>
      </c>
    </row>
    <row r="114" spans="1:7" x14ac:dyDescent="0.75">
      <c r="A114">
        <v>1983</v>
      </c>
      <c r="B114" t="s">
        <v>39</v>
      </c>
      <c r="C114" s="4"/>
      <c r="D114" s="4">
        <v>15773</v>
      </c>
      <c r="E114" s="4">
        <v>41038</v>
      </c>
      <c r="F114" s="4">
        <v>56811</v>
      </c>
      <c r="G114" s="4">
        <v>56811</v>
      </c>
    </row>
    <row r="115" spans="1:7" x14ac:dyDescent="0.75">
      <c r="A115">
        <v>2154</v>
      </c>
      <c r="B115" t="s">
        <v>314</v>
      </c>
      <c r="C115" s="4"/>
      <c r="D115" s="4">
        <v>0</v>
      </c>
      <c r="E115" s="4">
        <v>50717</v>
      </c>
      <c r="F115" s="4">
        <v>50717</v>
      </c>
      <c r="G115" s="4">
        <v>50717</v>
      </c>
    </row>
    <row r="116" spans="1:7" x14ac:dyDescent="0.75">
      <c r="A116">
        <v>3228</v>
      </c>
      <c r="B116" t="s">
        <v>281</v>
      </c>
      <c r="C116" s="4"/>
      <c r="D116" s="4">
        <v>9553</v>
      </c>
      <c r="E116" s="4">
        <v>33676</v>
      </c>
      <c r="F116" s="4">
        <v>43229</v>
      </c>
      <c r="G116" s="4">
        <v>43229</v>
      </c>
    </row>
    <row r="117" spans="1:7" x14ac:dyDescent="0.75">
      <c r="A117">
        <v>4857</v>
      </c>
      <c r="B117" t="s">
        <v>71</v>
      </c>
      <c r="C117" s="4"/>
      <c r="D117" s="4">
        <v>38862</v>
      </c>
      <c r="E117" s="4">
        <v>0</v>
      </c>
      <c r="F117" s="4">
        <v>38862</v>
      </c>
      <c r="G117" s="4">
        <v>38862</v>
      </c>
    </row>
    <row r="118" spans="1:7" x14ac:dyDescent="0.75">
      <c r="A118">
        <v>4823</v>
      </c>
      <c r="B118" t="s">
        <v>48</v>
      </c>
      <c r="C118" s="4"/>
      <c r="D118" s="4">
        <v>37258</v>
      </c>
      <c r="E118" s="4">
        <v>0</v>
      </c>
      <c r="F118" s="4">
        <v>37258</v>
      </c>
      <c r="G118" s="4">
        <v>37258</v>
      </c>
    </row>
    <row r="119" spans="1:7" x14ac:dyDescent="0.75">
      <c r="A119">
        <v>3516</v>
      </c>
      <c r="B119" t="s">
        <v>143</v>
      </c>
      <c r="C119" s="4"/>
      <c r="D119" s="4">
        <v>0</v>
      </c>
      <c r="E119" s="4">
        <v>33069</v>
      </c>
      <c r="F119" s="4">
        <v>33069</v>
      </c>
      <c r="G119" s="4">
        <v>33069</v>
      </c>
    </row>
    <row r="120" spans="1:7" x14ac:dyDescent="0.75">
      <c r="A120">
        <v>3843</v>
      </c>
      <c r="B120" t="s">
        <v>327</v>
      </c>
      <c r="C120" s="4">
        <v>28685</v>
      </c>
      <c r="D120" s="4"/>
      <c r="E120" s="4"/>
      <c r="F120" s="4"/>
      <c r="G120" s="4">
        <v>28685</v>
      </c>
    </row>
    <row r="121" spans="1:7" x14ac:dyDescent="0.75">
      <c r="A121">
        <v>4903</v>
      </c>
      <c r="B121" t="s">
        <v>328</v>
      </c>
      <c r="C121" s="4"/>
      <c r="D121" s="4">
        <v>27807</v>
      </c>
      <c r="E121" s="4">
        <v>0</v>
      </c>
      <c r="F121" s="4">
        <v>27807</v>
      </c>
      <c r="G121" s="4">
        <v>27807</v>
      </c>
    </row>
    <row r="122" spans="1:7" x14ac:dyDescent="0.75">
      <c r="A122">
        <v>3629</v>
      </c>
      <c r="B122" t="s">
        <v>124</v>
      </c>
      <c r="C122" s="4">
        <v>26720</v>
      </c>
      <c r="D122" s="4"/>
      <c r="E122" s="4"/>
      <c r="F122" s="4"/>
      <c r="G122" s="4">
        <v>26720</v>
      </c>
    </row>
    <row r="123" spans="1:7" x14ac:dyDescent="0.75">
      <c r="A123">
        <v>4885</v>
      </c>
      <c r="B123" t="s">
        <v>333</v>
      </c>
      <c r="C123" s="4"/>
      <c r="D123" s="4">
        <v>14602</v>
      </c>
      <c r="E123" s="4">
        <v>0</v>
      </c>
      <c r="F123" s="4">
        <v>14602</v>
      </c>
      <c r="G123" s="4">
        <v>14602</v>
      </c>
    </row>
    <row r="124" spans="1:7" x14ac:dyDescent="0.75">
      <c r="A124">
        <v>4410</v>
      </c>
      <c r="B124" t="s">
        <v>51</v>
      </c>
      <c r="C124" s="4"/>
      <c r="D124" s="4">
        <v>0</v>
      </c>
      <c r="E124" s="4">
        <v>9921</v>
      </c>
      <c r="F124" s="4">
        <v>9921</v>
      </c>
      <c r="G124" s="4">
        <v>9921</v>
      </c>
    </row>
    <row r="125" spans="1:7" x14ac:dyDescent="0.75">
      <c r="A125">
        <v>1989</v>
      </c>
      <c r="B125" t="s">
        <v>312</v>
      </c>
      <c r="C125" s="4"/>
      <c r="D125" s="4">
        <v>0</v>
      </c>
      <c r="E125" s="4">
        <v>2433</v>
      </c>
      <c r="F125" s="4">
        <v>2433</v>
      </c>
      <c r="G125" s="4">
        <v>2433</v>
      </c>
    </row>
    <row r="126" spans="1:7" x14ac:dyDescent="0.75">
      <c r="A126">
        <v>1992</v>
      </c>
      <c r="B126" t="s">
        <v>19</v>
      </c>
      <c r="C126" s="4"/>
      <c r="D126" s="4">
        <v>780</v>
      </c>
      <c r="E126" s="4">
        <v>21</v>
      </c>
      <c r="F126" s="4">
        <v>801</v>
      </c>
      <c r="G126" s="4">
        <v>801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90F8-DE50-4370-A692-981C7DC71EEC}">
  <dimension ref="A1:K261"/>
  <sheetViews>
    <sheetView workbookViewId="0">
      <selection activeCell="K4" sqref="K4"/>
    </sheetView>
  </sheetViews>
  <sheetFormatPr defaultRowHeight="14.75" x14ac:dyDescent="0.75"/>
  <cols>
    <col min="2" max="2" width="34.5" customWidth="1"/>
    <col min="3" max="3" width="14.1796875" customWidth="1"/>
    <col min="4" max="4" width="12.08984375" customWidth="1"/>
    <col min="5" max="5" width="11.08984375" customWidth="1"/>
    <col min="6" max="6" width="12.40625" customWidth="1"/>
    <col min="7" max="7" width="16.90625" customWidth="1"/>
    <col min="9" max="9" width="15.76953125" bestFit="1" customWidth="1"/>
    <col min="10" max="10" width="9.6796875" bestFit="1" customWidth="1"/>
    <col min="11" max="11" width="10.76953125" bestFit="1" customWidth="1"/>
  </cols>
  <sheetData>
    <row r="1" spans="1:11" x14ac:dyDescent="0.75">
      <c r="A1" s="2" t="s">
        <v>361</v>
      </c>
      <c r="B1" s="2" t="s">
        <v>510</v>
      </c>
      <c r="C1" s="2" t="s">
        <v>150</v>
      </c>
      <c r="D1" s="2" t="s">
        <v>149</v>
      </c>
      <c r="E1" s="2" t="s">
        <v>148</v>
      </c>
      <c r="F1" s="2" t="s">
        <v>365</v>
      </c>
      <c r="G1" s="2" t="s">
        <v>366</v>
      </c>
    </row>
    <row r="2" spans="1:11" x14ac:dyDescent="0.75">
      <c r="A2">
        <v>2253</v>
      </c>
      <c r="B2" t="s">
        <v>153</v>
      </c>
      <c r="C2" s="4">
        <v>75940355</v>
      </c>
      <c r="D2" s="4">
        <v>59047191</v>
      </c>
      <c r="E2" s="4">
        <v>19277065</v>
      </c>
      <c r="F2" s="4">
        <v>78324256</v>
      </c>
      <c r="G2" s="4">
        <v>154264611</v>
      </c>
      <c r="I2" s="4">
        <v>152976296</v>
      </c>
      <c r="J2" s="4">
        <f>G2-I2</f>
        <v>1288315</v>
      </c>
    </row>
    <row r="3" spans="1:11" x14ac:dyDescent="0.75">
      <c r="A3">
        <v>2251</v>
      </c>
      <c r="B3" t="s">
        <v>155</v>
      </c>
      <c r="C3" s="4">
        <v>29189964</v>
      </c>
      <c r="D3" s="4">
        <v>15308722</v>
      </c>
      <c r="E3" s="4">
        <v>9783225</v>
      </c>
      <c r="F3" s="4">
        <v>25091947</v>
      </c>
      <c r="G3" s="4">
        <v>54281911</v>
      </c>
    </row>
    <row r="4" spans="1:11" x14ac:dyDescent="0.75">
      <c r="A4">
        <v>2255</v>
      </c>
      <c r="B4" t="s">
        <v>158</v>
      </c>
      <c r="C4" s="4">
        <v>23220752</v>
      </c>
      <c r="D4" s="4">
        <v>15641368</v>
      </c>
      <c r="E4" s="4">
        <v>3589521</v>
      </c>
      <c r="F4" s="4">
        <v>19230889</v>
      </c>
      <c r="G4" s="4">
        <v>42451641</v>
      </c>
      <c r="I4" s="8">
        <f>SUM(G:G)</f>
        <v>1009392162</v>
      </c>
      <c r="J4">
        <v>965875627</v>
      </c>
      <c r="K4" s="9">
        <f>I4-J4</f>
        <v>43516535</v>
      </c>
    </row>
    <row r="5" spans="1:11" x14ac:dyDescent="0.75">
      <c r="A5">
        <v>5700</v>
      </c>
      <c r="B5" t="s">
        <v>157</v>
      </c>
      <c r="C5" s="4">
        <v>3818058</v>
      </c>
      <c r="D5" s="4">
        <v>30129060</v>
      </c>
      <c r="E5" s="4">
        <v>1134530</v>
      </c>
      <c r="F5" s="4">
        <v>31263590</v>
      </c>
      <c r="G5" s="4">
        <v>35081648</v>
      </c>
    </row>
    <row r="6" spans="1:11" x14ac:dyDescent="0.75">
      <c r="A6">
        <v>2252</v>
      </c>
      <c r="B6" t="s">
        <v>156</v>
      </c>
      <c r="C6" s="4">
        <v>20193128</v>
      </c>
      <c r="D6" s="4">
        <v>11506943</v>
      </c>
      <c r="E6" s="4">
        <v>1500025</v>
      </c>
      <c r="F6" s="4">
        <v>13006968</v>
      </c>
      <c r="G6" s="4">
        <v>33200096</v>
      </c>
    </row>
    <row r="7" spans="1:11" x14ac:dyDescent="0.75">
      <c r="A7">
        <v>3924</v>
      </c>
      <c r="B7" t="s">
        <v>111</v>
      </c>
      <c r="C7" s="4">
        <v>25878301</v>
      </c>
      <c r="D7" s="4">
        <v>5567113</v>
      </c>
      <c r="E7" s="4">
        <v>556712</v>
      </c>
      <c r="F7" s="4">
        <v>6123825</v>
      </c>
      <c r="G7" s="4">
        <v>32002126</v>
      </c>
    </row>
    <row r="8" spans="1:11" x14ac:dyDescent="0.75">
      <c r="A8">
        <v>2032</v>
      </c>
      <c r="B8" t="s">
        <v>29</v>
      </c>
      <c r="C8" s="4">
        <v>10907816</v>
      </c>
      <c r="D8" s="4">
        <v>11014304</v>
      </c>
      <c r="E8" s="4">
        <v>8345033</v>
      </c>
      <c r="F8" s="4">
        <v>19359337</v>
      </c>
      <c r="G8" s="4">
        <v>30267153</v>
      </c>
    </row>
    <row r="9" spans="1:11" x14ac:dyDescent="0.75">
      <c r="A9">
        <v>3743</v>
      </c>
      <c r="B9" t="s">
        <v>162</v>
      </c>
      <c r="C9" s="4">
        <v>27579671</v>
      </c>
      <c r="D9" s="4">
        <v>0</v>
      </c>
      <c r="E9" s="4">
        <v>617657</v>
      </c>
      <c r="F9" s="4">
        <v>617657</v>
      </c>
      <c r="G9" s="4">
        <v>28197328</v>
      </c>
    </row>
    <row r="10" spans="1:11" x14ac:dyDescent="0.75">
      <c r="A10">
        <v>2031</v>
      </c>
      <c r="B10" t="s">
        <v>152</v>
      </c>
      <c r="C10" s="4">
        <v>3237596</v>
      </c>
      <c r="D10" s="4">
        <v>11981809</v>
      </c>
      <c r="E10" s="4">
        <v>9783357</v>
      </c>
      <c r="F10" s="4">
        <v>21765166</v>
      </c>
      <c r="G10" s="4">
        <v>25002762</v>
      </c>
    </row>
    <row r="11" spans="1:11" x14ac:dyDescent="0.75">
      <c r="A11">
        <v>700</v>
      </c>
      <c r="B11" t="s">
        <v>24</v>
      </c>
      <c r="C11" s="4">
        <v>2705407</v>
      </c>
      <c r="D11" s="4">
        <v>15871664</v>
      </c>
      <c r="E11" s="4">
        <v>3943651</v>
      </c>
      <c r="F11" s="4">
        <v>19815315</v>
      </c>
      <c r="G11" s="4">
        <v>22520722</v>
      </c>
    </row>
    <row r="12" spans="1:11" x14ac:dyDescent="0.75">
      <c r="A12">
        <v>2363</v>
      </c>
      <c r="B12" t="s">
        <v>164</v>
      </c>
      <c r="C12" s="4">
        <v>19735127</v>
      </c>
      <c r="D12" s="4"/>
      <c r="E12" s="4"/>
      <c r="F12" s="4"/>
      <c r="G12" s="4">
        <v>19735127</v>
      </c>
    </row>
    <row r="13" spans="1:11" x14ac:dyDescent="0.75">
      <c r="A13">
        <v>4626</v>
      </c>
      <c r="B13" t="s">
        <v>167</v>
      </c>
      <c r="C13" s="4">
        <v>1452601</v>
      </c>
      <c r="D13" s="4">
        <v>15955549</v>
      </c>
      <c r="E13" s="4">
        <v>307640</v>
      </c>
      <c r="F13" s="4">
        <v>16263189</v>
      </c>
      <c r="G13" s="4">
        <v>17715790</v>
      </c>
    </row>
    <row r="14" spans="1:11" x14ac:dyDescent="0.75">
      <c r="A14">
        <v>4646</v>
      </c>
      <c r="B14" t="s">
        <v>53</v>
      </c>
      <c r="C14" s="4">
        <v>4656927</v>
      </c>
      <c r="D14" s="4">
        <v>9432512</v>
      </c>
      <c r="E14" s="4">
        <v>2021613</v>
      </c>
      <c r="F14" s="4">
        <v>11454125</v>
      </c>
      <c r="G14" s="4">
        <v>16111052</v>
      </c>
    </row>
    <row r="15" spans="1:11" x14ac:dyDescent="0.75">
      <c r="A15">
        <v>3926</v>
      </c>
      <c r="B15" t="s">
        <v>169</v>
      </c>
      <c r="C15" s="4">
        <v>11490110</v>
      </c>
      <c r="D15" s="4">
        <v>3838374</v>
      </c>
      <c r="E15" s="4">
        <v>0</v>
      </c>
      <c r="F15" s="4">
        <v>3838374</v>
      </c>
      <c r="G15" s="4">
        <v>15328484</v>
      </c>
    </row>
    <row r="16" spans="1:11" x14ac:dyDescent="0.75">
      <c r="A16">
        <v>2358</v>
      </c>
      <c r="B16" t="s">
        <v>168</v>
      </c>
      <c r="C16" s="4">
        <v>15091442</v>
      </c>
      <c r="D16" s="4"/>
      <c r="E16" s="4"/>
      <c r="F16" s="4"/>
      <c r="G16" s="4">
        <v>15091442</v>
      </c>
    </row>
    <row r="17" spans="1:7" x14ac:dyDescent="0.75">
      <c r="A17">
        <v>2306</v>
      </c>
      <c r="B17" t="s">
        <v>170</v>
      </c>
      <c r="C17" s="4">
        <v>13108861</v>
      </c>
      <c r="D17" s="4"/>
      <c r="E17" s="4"/>
      <c r="F17" s="4"/>
      <c r="G17" s="4">
        <v>13108861</v>
      </c>
    </row>
    <row r="18" spans="1:7" x14ac:dyDescent="0.75">
      <c r="A18">
        <v>4722</v>
      </c>
      <c r="B18" t="s">
        <v>165</v>
      </c>
      <c r="C18" s="4">
        <v>4359315</v>
      </c>
      <c r="D18" s="4">
        <v>4623059</v>
      </c>
      <c r="E18" s="4">
        <v>3502423</v>
      </c>
      <c r="F18" s="4">
        <v>8125482</v>
      </c>
      <c r="G18" s="4">
        <v>12484797</v>
      </c>
    </row>
    <row r="19" spans="1:7" x14ac:dyDescent="0.75">
      <c r="A19">
        <v>3217</v>
      </c>
      <c r="B19" t="s">
        <v>171</v>
      </c>
      <c r="C19" s="4">
        <v>10251421</v>
      </c>
      <c r="D19" s="4">
        <v>446996</v>
      </c>
      <c r="E19" s="4">
        <v>1485758</v>
      </c>
      <c r="F19" s="4">
        <v>1932754</v>
      </c>
      <c r="G19" s="4">
        <v>12184175</v>
      </c>
    </row>
    <row r="20" spans="1:7" x14ac:dyDescent="0.75">
      <c r="A20">
        <v>4622</v>
      </c>
      <c r="B20" t="s">
        <v>98</v>
      </c>
      <c r="C20" s="4">
        <v>860222</v>
      </c>
      <c r="D20" s="4">
        <v>10683185</v>
      </c>
      <c r="E20" s="4">
        <v>366017</v>
      </c>
      <c r="F20" s="4">
        <v>11049202</v>
      </c>
      <c r="G20" s="4">
        <v>11909424</v>
      </c>
    </row>
    <row r="21" spans="1:7" x14ac:dyDescent="0.75">
      <c r="A21">
        <v>2351</v>
      </c>
      <c r="B21" t="s">
        <v>173</v>
      </c>
      <c r="C21" s="4">
        <v>11630783</v>
      </c>
      <c r="D21" s="4"/>
      <c r="E21" s="4"/>
      <c r="F21" s="4"/>
      <c r="G21" s="4">
        <v>11630783</v>
      </c>
    </row>
    <row r="22" spans="1:7" x14ac:dyDescent="0.75">
      <c r="A22">
        <v>398</v>
      </c>
      <c r="B22" t="s">
        <v>154</v>
      </c>
      <c r="C22" s="4">
        <v>6027768</v>
      </c>
      <c r="D22" s="4">
        <v>1560095</v>
      </c>
      <c r="E22" s="4">
        <v>3879272</v>
      </c>
      <c r="F22" s="4">
        <v>5439367</v>
      </c>
      <c r="G22" s="4">
        <v>11467135</v>
      </c>
    </row>
    <row r="23" spans="1:7" x14ac:dyDescent="0.75">
      <c r="A23">
        <v>3204</v>
      </c>
      <c r="B23" t="s">
        <v>172</v>
      </c>
      <c r="C23" s="4">
        <v>7245286</v>
      </c>
      <c r="D23" s="4">
        <v>2661432</v>
      </c>
      <c r="E23" s="4">
        <v>1328890</v>
      </c>
      <c r="F23" s="4">
        <v>3990322</v>
      </c>
      <c r="G23" s="4">
        <v>11235608</v>
      </c>
    </row>
    <row r="24" spans="1:7" x14ac:dyDescent="0.75">
      <c r="A24">
        <v>2436</v>
      </c>
      <c r="B24" t="s">
        <v>93</v>
      </c>
      <c r="C24" s="4">
        <v>965100</v>
      </c>
      <c r="D24" s="4">
        <v>5257482</v>
      </c>
      <c r="E24" s="4">
        <v>4770631</v>
      </c>
      <c r="F24" s="4">
        <v>10028113</v>
      </c>
      <c r="G24" s="4">
        <v>10993213</v>
      </c>
    </row>
    <row r="25" spans="1:7" x14ac:dyDescent="0.75">
      <c r="A25">
        <v>2021</v>
      </c>
      <c r="B25" t="s">
        <v>49</v>
      </c>
      <c r="C25" s="4">
        <v>1912467</v>
      </c>
      <c r="D25" s="4">
        <v>1972391</v>
      </c>
      <c r="E25" s="4">
        <v>6714921</v>
      </c>
      <c r="F25" s="4">
        <v>8687312</v>
      </c>
      <c r="G25" s="4">
        <v>10599779</v>
      </c>
    </row>
    <row r="26" spans="1:7" x14ac:dyDescent="0.75">
      <c r="A26">
        <v>4110</v>
      </c>
      <c r="B26" t="s">
        <v>2</v>
      </c>
      <c r="C26" s="4">
        <v>243487</v>
      </c>
      <c r="D26" s="4">
        <v>8219099</v>
      </c>
      <c r="E26" s="4">
        <v>1912158</v>
      </c>
      <c r="F26" s="4">
        <v>10131257</v>
      </c>
      <c r="G26" s="4">
        <v>10374744</v>
      </c>
    </row>
    <row r="27" spans="1:7" x14ac:dyDescent="0.75">
      <c r="A27">
        <v>4421</v>
      </c>
      <c r="B27" t="s">
        <v>22</v>
      </c>
      <c r="C27" s="4">
        <v>9967000</v>
      </c>
      <c r="D27" s="4">
        <v>0</v>
      </c>
      <c r="E27" s="4">
        <v>100122</v>
      </c>
      <c r="F27" s="4">
        <v>100122</v>
      </c>
      <c r="G27" s="4">
        <v>10067122</v>
      </c>
    </row>
    <row r="28" spans="1:7" x14ac:dyDescent="0.75">
      <c r="A28">
        <v>4719</v>
      </c>
      <c r="B28" t="s">
        <v>14</v>
      </c>
      <c r="C28" s="4">
        <v>2039322</v>
      </c>
      <c r="D28" s="4">
        <v>6629103</v>
      </c>
      <c r="E28" s="4">
        <v>834778</v>
      </c>
      <c r="F28" s="4">
        <v>7463881</v>
      </c>
      <c r="G28" s="4">
        <v>9503203</v>
      </c>
    </row>
    <row r="29" spans="1:7" x14ac:dyDescent="0.75">
      <c r="A29">
        <v>3321</v>
      </c>
      <c r="B29" t="s">
        <v>175</v>
      </c>
      <c r="C29" s="4">
        <v>6991609</v>
      </c>
      <c r="D29" s="4">
        <v>83479</v>
      </c>
      <c r="E29" s="4">
        <v>2019768</v>
      </c>
      <c r="F29" s="4">
        <v>2103247</v>
      </c>
      <c r="G29" s="4">
        <v>9094856</v>
      </c>
    </row>
    <row r="30" spans="1:7" x14ac:dyDescent="0.75">
      <c r="A30">
        <v>4636</v>
      </c>
      <c r="B30" t="s">
        <v>66</v>
      </c>
      <c r="C30" s="4">
        <v>2059888</v>
      </c>
      <c r="D30" s="4">
        <v>6456271</v>
      </c>
      <c r="E30" s="4">
        <v>315268</v>
      </c>
      <c r="F30" s="4">
        <v>6771539</v>
      </c>
      <c r="G30" s="4">
        <v>8831427</v>
      </c>
    </row>
    <row r="31" spans="1:7" x14ac:dyDescent="0.75">
      <c r="A31">
        <v>3749</v>
      </c>
      <c r="B31" t="s">
        <v>174</v>
      </c>
      <c r="C31" s="4">
        <v>6306153</v>
      </c>
      <c r="D31" s="4">
        <v>0</v>
      </c>
      <c r="E31" s="4">
        <v>2157112</v>
      </c>
      <c r="F31" s="4">
        <v>2157112</v>
      </c>
      <c r="G31" s="4">
        <v>8463265</v>
      </c>
    </row>
    <row r="32" spans="1:7" x14ac:dyDescent="0.75">
      <c r="A32">
        <v>2319</v>
      </c>
      <c r="B32" t="s">
        <v>179</v>
      </c>
      <c r="C32" s="4">
        <v>7957320</v>
      </c>
      <c r="D32" s="4"/>
      <c r="E32" s="4"/>
      <c r="F32" s="4"/>
      <c r="G32" s="4">
        <v>7957320</v>
      </c>
    </row>
    <row r="33" spans="1:7" x14ac:dyDescent="0.75">
      <c r="A33">
        <v>3635</v>
      </c>
      <c r="B33" t="s">
        <v>117</v>
      </c>
      <c r="C33" s="4">
        <v>6997223</v>
      </c>
      <c r="D33" s="4">
        <v>128254</v>
      </c>
      <c r="E33" s="4">
        <v>20944</v>
      </c>
      <c r="F33" s="4">
        <v>149198</v>
      </c>
      <c r="G33" s="4">
        <v>7146421</v>
      </c>
    </row>
    <row r="34" spans="1:7" x14ac:dyDescent="0.75">
      <c r="A34">
        <v>2341</v>
      </c>
      <c r="B34" t="s">
        <v>184</v>
      </c>
      <c r="C34" s="4">
        <v>7114825</v>
      </c>
      <c r="D34" s="4"/>
      <c r="E34" s="4"/>
      <c r="F34" s="4"/>
      <c r="G34" s="4">
        <v>7114825</v>
      </c>
    </row>
    <row r="35" spans="1:7" x14ac:dyDescent="0.75">
      <c r="A35">
        <v>2302</v>
      </c>
      <c r="B35" t="s">
        <v>185</v>
      </c>
      <c r="C35" s="4">
        <v>6820793</v>
      </c>
      <c r="D35" s="4"/>
      <c r="E35" s="4"/>
      <c r="F35" s="4"/>
      <c r="G35" s="4">
        <v>6820793</v>
      </c>
    </row>
    <row r="36" spans="1:7" x14ac:dyDescent="0.75">
      <c r="A36">
        <v>3841</v>
      </c>
      <c r="B36" t="s">
        <v>189</v>
      </c>
      <c r="C36" s="4">
        <v>6268474</v>
      </c>
      <c r="D36" s="4">
        <v>0</v>
      </c>
      <c r="E36" s="4">
        <v>197752</v>
      </c>
      <c r="F36" s="4">
        <v>197752</v>
      </c>
      <c r="G36" s="4">
        <v>6466226</v>
      </c>
    </row>
    <row r="37" spans="1:7" x14ac:dyDescent="0.75">
      <c r="A37">
        <v>2416</v>
      </c>
      <c r="B37" t="s">
        <v>102</v>
      </c>
      <c r="C37" s="4">
        <v>344807</v>
      </c>
      <c r="D37" s="4">
        <v>5447036</v>
      </c>
      <c r="E37" s="4">
        <v>306832</v>
      </c>
      <c r="F37" s="4">
        <v>5753868</v>
      </c>
      <c r="G37" s="4">
        <v>6098675</v>
      </c>
    </row>
    <row r="38" spans="1:7" x14ac:dyDescent="0.75">
      <c r="A38">
        <v>2294</v>
      </c>
      <c r="B38" t="s">
        <v>178</v>
      </c>
      <c r="C38" s="4">
        <v>6050047</v>
      </c>
      <c r="D38" s="4"/>
      <c r="E38" s="4"/>
      <c r="F38" s="4"/>
      <c r="G38" s="4">
        <v>6050047</v>
      </c>
    </row>
    <row r="39" spans="1:7" x14ac:dyDescent="0.75">
      <c r="A39">
        <v>3928</v>
      </c>
      <c r="B39" t="s">
        <v>192</v>
      </c>
      <c r="C39" s="4">
        <v>4898048</v>
      </c>
      <c r="D39" s="4">
        <v>941594</v>
      </c>
      <c r="E39" s="4">
        <v>0</v>
      </c>
      <c r="F39" s="4">
        <v>941594</v>
      </c>
      <c r="G39" s="4">
        <v>5839642</v>
      </c>
    </row>
    <row r="40" spans="1:7" x14ac:dyDescent="0.75">
      <c r="A40">
        <v>2307</v>
      </c>
      <c r="B40" t="s">
        <v>193</v>
      </c>
      <c r="C40" s="4">
        <v>5751790</v>
      </c>
      <c r="D40" s="4"/>
      <c r="E40" s="4"/>
      <c r="F40" s="4"/>
      <c r="G40" s="4">
        <v>5751790</v>
      </c>
    </row>
    <row r="41" spans="1:7" x14ac:dyDescent="0.75">
      <c r="A41">
        <v>7711</v>
      </c>
      <c r="B41" t="s">
        <v>177</v>
      </c>
      <c r="C41" s="4">
        <v>5702794</v>
      </c>
      <c r="D41" s="4"/>
      <c r="E41" s="4"/>
      <c r="F41" s="4"/>
      <c r="G41" s="4">
        <v>5702794</v>
      </c>
    </row>
    <row r="42" spans="1:7" x14ac:dyDescent="0.75">
      <c r="A42">
        <v>2370</v>
      </c>
      <c r="B42" t="s">
        <v>186</v>
      </c>
      <c r="C42" s="4">
        <v>5516947</v>
      </c>
      <c r="D42" s="4"/>
      <c r="E42" s="4"/>
      <c r="F42" s="4"/>
      <c r="G42" s="4">
        <v>5516947</v>
      </c>
    </row>
    <row r="43" spans="1:7" x14ac:dyDescent="0.75">
      <c r="A43">
        <v>2333</v>
      </c>
      <c r="B43" t="s">
        <v>181</v>
      </c>
      <c r="C43" s="4">
        <v>5183320</v>
      </c>
      <c r="D43" s="4"/>
      <c r="E43" s="4"/>
      <c r="F43" s="4"/>
      <c r="G43" s="4">
        <v>5183320</v>
      </c>
    </row>
    <row r="44" spans="1:7" x14ac:dyDescent="0.75">
      <c r="A44">
        <v>2420</v>
      </c>
      <c r="B44" t="s">
        <v>180</v>
      </c>
      <c r="C44" s="4">
        <v>133372</v>
      </c>
      <c r="D44" s="4">
        <v>0</v>
      </c>
      <c r="E44" s="4">
        <v>4977353</v>
      </c>
      <c r="F44" s="4">
        <v>4977353</v>
      </c>
      <c r="G44" s="4">
        <v>5110725</v>
      </c>
    </row>
    <row r="45" spans="1:7" x14ac:dyDescent="0.75">
      <c r="A45">
        <v>550</v>
      </c>
      <c r="B45" t="s">
        <v>166</v>
      </c>
      <c r="C45" s="4">
        <v>1157474</v>
      </c>
      <c r="D45" s="4">
        <v>475193</v>
      </c>
      <c r="E45" s="4">
        <v>3318960</v>
      </c>
      <c r="F45" s="4">
        <v>3794153</v>
      </c>
      <c r="G45" s="4">
        <v>4951627</v>
      </c>
    </row>
    <row r="46" spans="1:7" x14ac:dyDescent="0.75">
      <c r="A46">
        <v>2368</v>
      </c>
      <c r="B46" t="s">
        <v>196</v>
      </c>
      <c r="C46" s="4">
        <v>4923153</v>
      </c>
      <c r="D46" s="4"/>
      <c r="E46" s="4"/>
      <c r="F46" s="4"/>
      <c r="G46" s="4">
        <v>4923153</v>
      </c>
    </row>
    <row r="47" spans="1:7" x14ac:dyDescent="0.75">
      <c r="A47">
        <v>2313</v>
      </c>
      <c r="B47" t="s">
        <v>195</v>
      </c>
      <c r="C47" s="4">
        <v>4550049</v>
      </c>
      <c r="D47" s="4"/>
      <c r="E47" s="4"/>
      <c r="F47" s="4"/>
      <c r="G47" s="4">
        <v>4550049</v>
      </c>
    </row>
    <row r="48" spans="1:7" x14ac:dyDescent="0.75">
      <c r="A48">
        <v>2320</v>
      </c>
      <c r="B48" t="s">
        <v>198</v>
      </c>
      <c r="C48" s="4">
        <v>4377319</v>
      </c>
      <c r="D48" s="4"/>
      <c r="E48" s="4"/>
      <c r="F48" s="4"/>
      <c r="G48" s="4">
        <v>4377319</v>
      </c>
    </row>
    <row r="49" spans="1:7" x14ac:dyDescent="0.75">
      <c r="A49">
        <v>2309</v>
      </c>
      <c r="B49" t="s">
        <v>182</v>
      </c>
      <c r="C49" s="4">
        <v>4343089</v>
      </c>
      <c r="D49" s="4"/>
      <c r="E49" s="4"/>
      <c r="F49" s="4"/>
      <c r="G49" s="4">
        <v>4343089</v>
      </c>
    </row>
    <row r="50" spans="1:7" x14ac:dyDescent="0.75">
      <c r="A50">
        <v>776</v>
      </c>
      <c r="B50" t="s">
        <v>5</v>
      </c>
      <c r="C50" s="4">
        <v>131625</v>
      </c>
      <c r="D50" s="4">
        <v>1402475</v>
      </c>
      <c r="E50" s="4">
        <v>2733649</v>
      </c>
      <c r="F50" s="4">
        <v>4136124</v>
      </c>
      <c r="G50" s="4">
        <v>4267749</v>
      </c>
    </row>
    <row r="51" spans="1:7" x14ac:dyDescent="0.75">
      <c r="A51">
        <v>3227</v>
      </c>
      <c r="B51" t="s">
        <v>201</v>
      </c>
      <c r="C51" s="4">
        <v>4155993</v>
      </c>
      <c r="D51" s="4">
        <v>0</v>
      </c>
      <c r="E51" s="4">
        <v>95322</v>
      </c>
      <c r="F51" s="4">
        <v>95322</v>
      </c>
      <c r="G51" s="4">
        <v>4251315</v>
      </c>
    </row>
    <row r="52" spans="1:7" x14ac:dyDescent="0.75">
      <c r="A52">
        <v>3619</v>
      </c>
      <c r="B52" t="s">
        <v>202</v>
      </c>
      <c r="C52" s="4">
        <v>4068742</v>
      </c>
      <c r="D52" s="4">
        <v>70893</v>
      </c>
      <c r="E52" s="4">
        <v>52360</v>
      </c>
      <c r="F52" s="4">
        <v>123253</v>
      </c>
      <c r="G52" s="4">
        <v>4191995</v>
      </c>
    </row>
    <row r="53" spans="1:7" x14ac:dyDescent="0.75">
      <c r="A53">
        <v>3803</v>
      </c>
      <c r="B53" t="s">
        <v>203</v>
      </c>
      <c r="C53" s="4">
        <v>4119579</v>
      </c>
      <c r="D53" s="4">
        <v>46000</v>
      </c>
      <c r="E53" s="4">
        <v>0</v>
      </c>
      <c r="F53" s="4">
        <v>46000</v>
      </c>
      <c r="G53" s="4">
        <v>4165579</v>
      </c>
    </row>
    <row r="54" spans="1:7" x14ac:dyDescent="0.75">
      <c r="A54">
        <v>2248</v>
      </c>
      <c r="B54" t="s">
        <v>159</v>
      </c>
      <c r="C54" s="4">
        <v>2010710</v>
      </c>
      <c r="D54" s="4">
        <v>698452</v>
      </c>
      <c r="E54" s="4">
        <v>1339973</v>
      </c>
      <c r="F54" s="4">
        <v>2038425</v>
      </c>
      <c r="G54" s="4">
        <v>4049135</v>
      </c>
    </row>
    <row r="55" spans="1:7" x14ac:dyDescent="0.75">
      <c r="A55">
        <v>2445</v>
      </c>
      <c r="B55" t="s">
        <v>190</v>
      </c>
      <c r="C55" s="4">
        <v>3997301</v>
      </c>
      <c r="D55" s="4"/>
      <c r="E55" s="4"/>
      <c r="F55" s="4"/>
      <c r="G55" s="4">
        <v>3997301</v>
      </c>
    </row>
    <row r="56" spans="1:7" x14ac:dyDescent="0.75">
      <c r="A56">
        <v>6109</v>
      </c>
      <c r="B56" t="s">
        <v>199</v>
      </c>
      <c r="C56" s="4">
        <v>3920281</v>
      </c>
      <c r="D56" s="4"/>
      <c r="E56" s="4"/>
      <c r="F56" s="4"/>
      <c r="G56" s="4">
        <v>3920281</v>
      </c>
    </row>
    <row r="57" spans="1:7" x14ac:dyDescent="0.75">
      <c r="A57">
        <v>2344</v>
      </c>
      <c r="B57" t="s">
        <v>205</v>
      </c>
      <c r="C57" s="4">
        <v>3808690</v>
      </c>
      <c r="D57" s="4"/>
      <c r="E57" s="4"/>
      <c r="F57" s="4"/>
      <c r="G57" s="4">
        <v>3808690</v>
      </c>
    </row>
    <row r="58" spans="1:7" x14ac:dyDescent="0.75">
      <c r="A58">
        <v>2312</v>
      </c>
      <c r="B58" t="s">
        <v>200</v>
      </c>
      <c r="C58" s="4">
        <v>3588608</v>
      </c>
      <c r="D58" s="4"/>
      <c r="E58" s="4"/>
      <c r="F58" s="4"/>
      <c r="G58" s="4">
        <v>3588608</v>
      </c>
    </row>
    <row r="59" spans="1:7" x14ac:dyDescent="0.75">
      <c r="A59">
        <v>4270</v>
      </c>
      <c r="B59" t="s">
        <v>194</v>
      </c>
      <c r="C59" s="4"/>
      <c r="D59" s="4">
        <v>1766603</v>
      </c>
      <c r="E59" s="4">
        <v>1769218</v>
      </c>
      <c r="F59" s="4">
        <v>3535821</v>
      </c>
      <c r="G59" s="4">
        <v>3535821</v>
      </c>
    </row>
    <row r="60" spans="1:7" x14ac:dyDescent="0.75">
      <c r="A60">
        <v>775</v>
      </c>
      <c r="B60" t="s">
        <v>11</v>
      </c>
      <c r="C60" s="4">
        <v>8114</v>
      </c>
      <c r="D60" s="4">
        <v>0</v>
      </c>
      <c r="E60" s="4">
        <v>3417632</v>
      </c>
      <c r="F60" s="4">
        <v>3417632</v>
      </c>
      <c r="G60" s="4">
        <v>3425746</v>
      </c>
    </row>
    <row r="61" spans="1:7" x14ac:dyDescent="0.75">
      <c r="A61">
        <v>4410</v>
      </c>
      <c r="B61" t="s">
        <v>51</v>
      </c>
      <c r="C61" s="4">
        <v>3242157</v>
      </c>
      <c r="D61" s="4">
        <v>0</v>
      </c>
      <c r="E61" s="4">
        <v>9921</v>
      </c>
      <c r="F61" s="4">
        <v>9921</v>
      </c>
      <c r="G61" s="4">
        <v>3252078</v>
      </c>
    </row>
    <row r="62" spans="1:7" x14ac:dyDescent="0.75">
      <c r="A62">
        <v>4120</v>
      </c>
      <c r="B62" t="s">
        <v>0</v>
      </c>
      <c r="C62" s="4">
        <v>12325</v>
      </c>
      <c r="D62" s="4">
        <v>1129855</v>
      </c>
      <c r="E62" s="4">
        <v>2106869</v>
      </c>
      <c r="F62" s="4">
        <v>3236724</v>
      </c>
      <c r="G62" s="4">
        <v>3249049</v>
      </c>
    </row>
    <row r="63" spans="1:7" x14ac:dyDescent="0.75">
      <c r="A63">
        <v>552</v>
      </c>
      <c r="B63" t="s">
        <v>161</v>
      </c>
      <c r="C63" s="4">
        <v>431733</v>
      </c>
      <c r="D63" s="4">
        <v>208542</v>
      </c>
      <c r="E63" s="4">
        <v>2601870</v>
      </c>
      <c r="F63" s="4">
        <v>2810412</v>
      </c>
      <c r="G63" s="4">
        <v>3242145</v>
      </c>
    </row>
    <row r="64" spans="1:7" x14ac:dyDescent="0.75">
      <c r="A64">
        <v>3627</v>
      </c>
      <c r="B64" t="s">
        <v>210</v>
      </c>
      <c r="C64" s="4">
        <v>2830178</v>
      </c>
      <c r="D64" s="4">
        <v>172870</v>
      </c>
      <c r="E64" s="4">
        <v>63659</v>
      </c>
      <c r="F64" s="4">
        <v>236529</v>
      </c>
      <c r="G64" s="4">
        <v>3066707</v>
      </c>
    </row>
    <row r="65" spans="1:7" x14ac:dyDescent="0.75">
      <c r="A65">
        <v>4629</v>
      </c>
      <c r="B65" t="s">
        <v>208</v>
      </c>
      <c r="C65" s="4">
        <v>2568073</v>
      </c>
      <c r="D65" s="4">
        <v>0</v>
      </c>
      <c r="E65" s="4">
        <v>455637</v>
      </c>
      <c r="F65" s="4">
        <v>455637</v>
      </c>
      <c r="G65" s="4">
        <v>3023710</v>
      </c>
    </row>
    <row r="66" spans="1:7" x14ac:dyDescent="0.75">
      <c r="A66">
        <v>2311</v>
      </c>
      <c r="B66" t="s">
        <v>212</v>
      </c>
      <c r="C66" s="4">
        <v>2966251</v>
      </c>
      <c r="D66" s="4"/>
      <c r="E66" s="4"/>
      <c r="F66" s="4"/>
      <c r="G66" s="4">
        <v>2966251</v>
      </c>
    </row>
    <row r="67" spans="1:7" x14ac:dyDescent="0.75">
      <c r="A67">
        <v>3213</v>
      </c>
      <c r="B67" t="s">
        <v>211</v>
      </c>
      <c r="C67" s="4">
        <v>949566</v>
      </c>
      <c r="D67" s="4">
        <v>1922546</v>
      </c>
      <c r="E67" s="4">
        <v>80431</v>
      </c>
      <c r="F67" s="4">
        <v>2002977</v>
      </c>
      <c r="G67" s="4">
        <v>2952543</v>
      </c>
    </row>
    <row r="68" spans="1:7" x14ac:dyDescent="0.75">
      <c r="A68">
        <v>2017</v>
      </c>
      <c r="B68" t="s">
        <v>17</v>
      </c>
      <c r="C68" s="4">
        <v>532309</v>
      </c>
      <c r="D68" s="4">
        <v>114189</v>
      </c>
      <c r="E68" s="4">
        <v>2287464</v>
      </c>
      <c r="F68" s="4">
        <v>2401653</v>
      </c>
      <c r="G68" s="4">
        <v>2933962</v>
      </c>
    </row>
    <row r="69" spans="1:7" x14ac:dyDescent="0.75">
      <c r="A69">
        <v>2288</v>
      </c>
      <c r="B69" t="s">
        <v>216</v>
      </c>
      <c r="C69" s="4">
        <v>2538998</v>
      </c>
      <c r="D69" s="4"/>
      <c r="E69" s="4"/>
      <c r="F69" s="4"/>
      <c r="G69" s="4">
        <v>2538998</v>
      </c>
    </row>
    <row r="70" spans="1:7" x14ac:dyDescent="0.75">
      <c r="A70">
        <v>3212</v>
      </c>
      <c r="B70" t="s">
        <v>218</v>
      </c>
      <c r="C70" s="4">
        <v>2494440</v>
      </c>
      <c r="D70" s="4">
        <v>0</v>
      </c>
      <c r="E70" s="4">
        <v>16500</v>
      </c>
      <c r="F70" s="4">
        <v>16500</v>
      </c>
      <c r="G70" s="4">
        <v>2510940</v>
      </c>
    </row>
    <row r="71" spans="1:7" x14ac:dyDescent="0.75">
      <c r="A71">
        <v>2417</v>
      </c>
      <c r="B71" t="s">
        <v>65</v>
      </c>
      <c r="C71" s="4">
        <v>291878</v>
      </c>
      <c r="D71" s="4">
        <v>1575639</v>
      </c>
      <c r="E71" s="4">
        <v>559149</v>
      </c>
      <c r="F71" s="4">
        <v>2134788</v>
      </c>
      <c r="G71" s="4">
        <v>2426666</v>
      </c>
    </row>
    <row r="72" spans="1:7" x14ac:dyDescent="0.75">
      <c r="A72">
        <v>2331</v>
      </c>
      <c r="B72" t="s">
        <v>213</v>
      </c>
      <c r="C72" s="4">
        <v>2402764</v>
      </c>
      <c r="D72" s="4"/>
      <c r="E72" s="4"/>
      <c r="F72" s="4"/>
      <c r="G72" s="4">
        <v>2402764</v>
      </c>
    </row>
    <row r="73" spans="1:7" x14ac:dyDescent="0.75">
      <c r="A73">
        <v>3617</v>
      </c>
      <c r="B73" t="s">
        <v>223</v>
      </c>
      <c r="C73" s="4">
        <v>2360344</v>
      </c>
      <c r="D73" s="4"/>
      <c r="E73" s="4"/>
      <c r="F73" s="4"/>
      <c r="G73" s="4">
        <v>2360344</v>
      </c>
    </row>
    <row r="74" spans="1:7" x14ac:dyDescent="0.75">
      <c r="A74">
        <v>766</v>
      </c>
      <c r="B74" t="s">
        <v>35</v>
      </c>
      <c r="C74" s="4"/>
      <c r="D74" s="4">
        <v>818320</v>
      </c>
      <c r="E74" s="4">
        <v>1497986</v>
      </c>
      <c r="F74" s="4">
        <v>2316306</v>
      </c>
      <c r="G74" s="4">
        <v>2316306</v>
      </c>
    </row>
    <row r="75" spans="1:7" x14ac:dyDescent="0.75">
      <c r="A75">
        <v>2437</v>
      </c>
      <c r="B75" t="s">
        <v>197</v>
      </c>
      <c r="C75" s="4">
        <v>293</v>
      </c>
      <c r="D75" s="4">
        <v>117571</v>
      </c>
      <c r="E75" s="4">
        <v>2181326</v>
      </c>
      <c r="F75" s="4">
        <v>2298897</v>
      </c>
      <c r="G75" s="4">
        <v>2299190</v>
      </c>
    </row>
    <row r="76" spans="1:7" x14ac:dyDescent="0.75">
      <c r="A76">
        <v>3756</v>
      </c>
      <c r="B76" t="s">
        <v>221</v>
      </c>
      <c r="C76" s="4">
        <v>1164738</v>
      </c>
      <c r="D76" s="4">
        <v>49614</v>
      </c>
      <c r="E76" s="4">
        <v>1059002</v>
      </c>
      <c r="F76" s="4">
        <v>1108616</v>
      </c>
      <c r="G76" s="4">
        <v>2273354</v>
      </c>
    </row>
    <row r="77" spans="1:7" x14ac:dyDescent="0.75">
      <c r="A77">
        <v>4659</v>
      </c>
      <c r="B77" t="s">
        <v>217</v>
      </c>
      <c r="C77" s="4">
        <v>42066</v>
      </c>
      <c r="D77" s="4">
        <v>2141419</v>
      </c>
      <c r="E77" s="4">
        <v>87884</v>
      </c>
      <c r="F77" s="4">
        <v>2229303</v>
      </c>
      <c r="G77" s="4">
        <v>2271369</v>
      </c>
    </row>
    <row r="78" spans="1:7" x14ac:dyDescent="0.75">
      <c r="A78">
        <v>2227</v>
      </c>
      <c r="B78" t="s">
        <v>214</v>
      </c>
      <c r="C78" s="4">
        <v>2263789</v>
      </c>
      <c r="D78" s="4"/>
      <c r="E78" s="4"/>
      <c r="F78" s="4"/>
      <c r="G78" s="4">
        <v>2263789</v>
      </c>
    </row>
    <row r="79" spans="1:7" x14ac:dyDescent="0.75">
      <c r="A79">
        <v>4405</v>
      </c>
      <c r="B79" t="s">
        <v>52</v>
      </c>
      <c r="C79" s="4">
        <v>2207364</v>
      </c>
      <c r="D79" s="4"/>
      <c r="E79" s="4"/>
      <c r="F79" s="4"/>
      <c r="G79" s="4">
        <v>2207364</v>
      </c>
    </row>
    <row r="80" spans="1:7" x14ac:dyDescent="0.75">
      <c r="A80">
        <v>2383</v>
      </c>
      <c r="B80" t="s">
        <v>206</v>
      </c>
      <c r="C80" s="4">
        <v>2180552</v>
      </c>
      <c r="D80" s="4"/>
      <c r="E80" s="4"/>
      <c r="F80" s="4"/>
      <c r="G80" s="4">
        <v>2180552</v>
      </c>
    </row>
    <row r="81" spans="1:7" x14ac:dyDescent="0.75">
      <c r="A81">
        <v>2314</v>
      </c>
      <c r="B81" t="s">
        <v>229</v>
      </c>
      <c r="C81" s="4">
        <v>2131488</v>
      </c>
      <c r="D81" s="4"/>
      <c r="E81" s="4"/>
      <c r="F81" s="4"/>
      <c r="G81" s="4">
        <v>2131488</v>
      </c>
    </row>
    <row r="82" spans="1:7" x14ac:dyDescent="0.75">
      <c r="A82">
        <v>2316</v>
      </c>
      <c r="B82" t="s">
        <v>228</v>
      </c>
      <c r="C82" s="4">
        <v>2110021</v>
      </c>
      <c r="D82" s="4"/>
      <c r="E82" s="4"/>
      <c r="F82" s="4"/>
      <c r="G82" s="4">
        <v>2110021</v>
      </c>
    </row>
    <row r="83" spans="1:7" x14ac:dyDescent="0.75">
      <c r="A83">
        <v>2439</v>
      </c>
      <c r="B83" t="s">
        <v>219</v>
      </c>
      <c r="C83" s="4">
        <v>2048314</v>
      </c>
      <c r="D83" s="4"/>
      <c r="E83" s="4"/>
      <c r="F83" s="4"/>
      <c r="G83" s="4">
        <v>2048314</v>
      </c>
    </row>
    <row r="84" spans="1:7" x14ac:dyDescent="0.75">
      <c r="A84">
        <v>3198</v>
      </c>
      <c r="B84" t="s">
        <v>226</v>
      </c>
      <c r="C84" s="4">
        <v>2015641</v>
      </c>
      <c r="D84" s="4">
        <v>0</v>
      </c>
      <c r="E84" s="4">
        <v>25107</v>
      </c>
      <c r="F84" s="4">
        <v>25107</v>
      </c>
      <c r="G84" s="4">
        <v>2040748</v>
      </c>
    </row>
    <row r="85" spans="1:7" x14ac:dyDescent="0.75">
      <c r="A85">
        <v>1995</v>
      </c>
      <c r="B85" t="s">
        <v>141</v>
      </c>
      <c r="C85" s="4">
        <v>38250</v>
      </c>
      <c r="D85" s="4">
        <v>2001264</v>
      </c>
      <c r="E85" s="4">
        <v>0</v>
      </c>
      <c r="F85" s="4">
        <v>2001264</v>
      </c>
      <c r="G85" s="4">
        <v>2039514</v>
      </c>
    </row>
    <row r="86" spans="1:7" x14ac:dyDescent="0.75">
      <c r="A86">
        <v>4400</v>
      </c>
      <c r="B86" t="s">
        <v>62</v>
      </c>
      <c r="C86" s="4">
        <v>2028196</v>
      </c>
      <c r="D86" s="4"/>
      <c r="E86" s="4"/>
      <c r="F86" s="4"/>
      <c r="G86" s="4">
        <v>2028196</v>
      </c>
    </row>
    <row r="87" spans="1:7" x14ac:dyDescent="0.75">
      <c r="A87">
        <v>2393</v>
      </c>
      <c r="B87" t="s">
        <v>116</v>
      </c>
      <c r="C87" s="4">
        <v>73358</v>
      </c>
      <c r="D87" s="4">
        <v>1011068</v>
      </c>
      <c r="E87" s="4">
        <v>926458</v>
      </c>
      <c r="F87" s="4">
        <v>1937526</v>
      </c>
      <c r="G87" s="4">
        <v>2010884</v>
      </c>
    </row>
    <row r="88" spans="1:7" x14ac:dyDescent="0.75">
      <c r="A88">
        <v>2372</v>
      </c>
      <c r="B88" t="s">
        <v>225</v>
      </c>
      <c r="C88" s="4">
        <v>2000379</v>
      </c>
      <c r="D88" s="4"/>
      <c r="E88" s="4"/>
      <c r="F88" s="4"/>
      <c r="G88" s="4">
        <v>2000379</v>
      </c>
    </row>
    <row r="89" spans="1:7" x14ac:dyDescent="0.75">
      <c r="A89">
        <v>2329</v>
      </c>
      <c r="B89" t="s">
        <v>230</v>
      </c>
      <c r="C89" s="4">
        <v>1968536</v>
      </c>
      <c r="D89" s="4"/>
      <c r="E89" s="4"/>
      <c r="F89" s="4"/>
      <c r="G89" s="4">
        <v>1968536</v>
      </c>
    </row>
    <row r="90" spans="1:7" x14ac:dyDescent="0.75">
      <c r="A90">
        <v>4431</v>
      </c>
      <c r="B90" t="s">
        <v>61</v>
      </c>
      <c r="C90" s="4">
        <v>1967341</v>
      </c>
      <c r="D90" s="4"/>
      <c r="E90" s="4"/>
      <c r="F90" s="4"/>
      <c r="G90" s="4">
        <v>1967341</v>
      </c>
    </row>
    <row r="91" spans="1:7" x14ac:dyDescent="0.75">
      <c r="A91">
        <v>2160</v>
      </c>
      <c r="B91" t="s">
        <v>90</v>
      </c>
      <c r="C91" s="4">
        <v>572</v>
      </c>
      <c r="D91" s="4">
        <v>1793</v>
      </c>
      <c r="E91" s="4">
        <v>1947997</v>
      </c>
      <c r="F91" s="4">
        <v>1949790</v>
      </c>
      <c r="G91" s="4">
        <v>1950362</v>
      </c>
    </row>
    <row r="92" spans="1:7" x14ac:dyDescent="0.75">
      <c r="A92">
        <v>2030</v>
      </c>
      <c r="B92" t="s">
        <v>231</v>
      </c>
      <c r="C92" s="4">
        <v>1946950</v>
      </c>
      <c r="D92" s="4"/>
      <c r="E92" s="4"/>
      <c r="F92" s="4"/>
      <c r="G92" s="4">
        <v>1946950</v>
      </c>
    </row>
    <row r="93" spans="1:7" x14ac:dyDescent="0.75">
      <c r="A93">
        <v>2428</v>
      </c>
      <c r="B93" t="s">
        <v>94</v>
      </c>
      <c r="C93" s="4">
        <v>452538</v>
      </c>
      <c r="D93" s="4">
        <v>1459851</v>
      </c>
      <c r="E93" s="4">
        <v>1</v>
      </c>
      <c r="F93" s="4">
        <v>1459852</v>
      </c>
      <c r="G93" s="4">
        <v>1912390</v>
      </c>
    </row>
    <row r="94" spans="1:7" x14ac:dyDescent="0.75">
      <c r="A94">
        <v>2151</v>
      </c>
      <c r="B94" t="s">
        <v>142</v>
      </c>
      <c r="C94" s="4"/>
      <c r="D94" s="4">
        <v>11023</v>
      </c>
      <c r="E94" s="4">
        <v>1779784</v>
      </c>
      <c r="F94" s="4">
        <v>1790807</v>
      </c>
      <c r="G94" s="4">
        <v>1790807</v>
      </c>
    </row>
    <row r="95" spans="1:7" x14ac:dyDescent="0.75">
      <c r="A95">
        <v>4335</v>
      </c>
      <c r="B95" t="s">
        <v>222</v>
      </c>
      <c r="C95" s="4">
        <v>526043</v>
      </c>
      <c r="D95" s="4">
        <v>85098</v>
      </c>
      <c r="E95" s="4">
        <v>1088472</v>
      </c>
      <c r="F95" s="4">
        <v>1173570</v>
      </c>
      <c r="G95" s="4">
        <v>1699613</v>
      </c>
    </row>
    <row r="96" spans="1:7" x14ac:dyDescent="0.75">
      <c r="A96">
        <v>149</v>
      </c>
      <c r="B96" t="s">
        <v>42</v>
      </c>
      <c r="C96" s="4">
        <v>152752</v>
      </c>
      <c r="D96" s="4">
        <v>512372</v>
      </c>
      <c r="E96" s="4">
        <v>1021821</v>
      </c>
      <c r="F96" s="4">
        <v>1534193</v>
      </c>
      <c r="G96" s="4">
        <v>1686945</v>
      </c>
    </row>
    <row r="97" spans="1:7" x14ac:dyDescent="0.75">
      <c r="A97">
        <v>4340</v>
      </c>
      <c r="B97" t="s">
        <v>236</v>
      </c>
      <c r="C97" s="4">
        <v>43286</v>
      </c>
      <c r="D97" s="4">
        <v>206463</v>
      </c>
      <c r="E97" s="4">
        <v>1423389</v>
      </c>
      <c r="F97" s="4">
        <v>1629852</v>
      </c>
      <c r="G97" s="4">
        <v>1673138</v>
      </c>
    </row>
    <row r="98" spans="1:7" x14ac:dyDescent="0.75">
      <c r="A98">
        <v>4709</v>
      </c>
      <c r="B98" t="s">
        <v>235</v>
      </c>
      <c r="C98" s="4">
        <v>32135</v>
      </c>
      <c r="D98" s="4">
        <v>1618115</v>
      </c>
      <c r="E98" s="4">
        <v>0</v>
      </c>
      <c r="F98" s="4">
        <v>1618115</v>
      </c>
      <c r="G98" s="4">
        <v>1650250</v>
      </c>
    </row>
    <row r="99" spans="1:7" x14ac:dyDescent="0.75">
      <c r="A99">
        <v>2438</v>
      </c>
      <c r="B99" t="s">
        <v>209</v>
      </c>
      <c r="C99" s="4">
        <v>1638902</v>
      </c>
      <c r="D99" s="4"/>
      <c r="E99" s="4"/>
      <c r="F99" s="4"/>
      <c r="G99" s="4">
        <v>1638902</v>
      </c>
    </row>
    <row r="100" spans="1:7" x14ac:dyDescent="0.75">
      <c r="A100">
        <v>3778</v>
      </c>
      <c r="B100" t="s">
        <v>227</v>
      </c>
      <c r="C100" s="4">
        <v>1257383</v>
      </c>
      <c r="D100" s="4">
        <v>0</v>
      </c>
      <c r="E100" s="4">
        <v>318310</v>
      </c>
      <c r="F100" s="4">
        <v>318310</v>
      </c>
      <c r="G100" s="4">
        <v>1575693</v>
      </c>
    </row>
    <row r="101" spans="1:7" x14ac:dyDescent="0.75">
      <c r="A101">
        <v>4351</v>
      </c>
      <c r="B101" t="s">
        <v>119</v>
      </c>
      <c r="C101" s="4"/>
      <c r="D101" s="4">
        <v>823750</v>
      </c>
      <c r="E101" s="4">
        <v>745731</v>
      </c>
      <c r="F101" s="4">
        <v>1569481</v>
      </c>
      <c r="G101" s="4">
        <v>1569481</v>
      </c>
    </row>
    <row r="102" spans="1:7" x14ac:dyDescent="0.75">
      <c r="A102">
        <v>3219</v>
      </c>
      <c r="B102" t="s">
        <v>240</v>
      </c>
      <c r="C102" s="4">
        <v>1118432</v>
      </c>
      <c r="D102" s="4">
        <v>66842</v>
      </c>
      <c r="E102" s="4">
        <v>365161</v>
      </c>
      <c r="F102" s="4">
        <v>432003</v>
      </c>
      <c r="G102" s="4">
        <v>1550435</v>
      </c>
    </row>
    <row r="103" spans="1:7" x14ac:dyDescent="0.75">
      <c r="A103">
        <v>2365</v>
      </c>
      <c r="B103" t="s">
        <v>241</v>
      </c>
      <c r="C103" s="4">
        <v>1520634</v>
      </c>
      <c r="D103" s="4"/>
      <c r="E103" s="4"/>
      <c r="F103" s="4"/>
      <c r="G103" s="4">
        <v>1520634</v>
      </c>
    </row>
    <row r="104" spans="1:7" x14ac:dyDescent="0.75">
      <c r="A104">
        <v>2342</v>
      </c>
      <c r="B104" t="s">
        <v>242</v>
      </c>
      <c r="C104" s="4">
        <v>1491246</v>
      </c>
      <c r="D104" s="4"/>
      <c r="E104" s="4"/>
      <c r="F104" s="4"/>
      <c r="G104" s="4">
        <v>1491246</v>
      </c>
    </row>
    <row r="105" spans="1:7" x14ac:dyDescent="0.75">
      <c r="A105">
        <v>2371</v>
      </c>
      <c r="B105" t="s">
        <v>238</v>
      </c>
      <c r="C105" s="4">
        <v>1461279</v>
      </c>
      <c r="D105" s="4"/>
      <c r="E105" s="4"/>
      <c r="F105" s="4"/>
      <c r="G105" s="4">
        <v>1461279</v>
      </c>
    </row>
    <row r="106" spans="1:7" x14ac:dyDescent="0.75">
      <c r="A106">
        <v>1911</v>
      </c>
      <c r="B106" t="s">
        <v>26</v>
      </c>
      <c r="C106" s="4"/>
      <c r="D106" s="4">
        <v>15061</v>
      </c>
      <c r="E106" s="4">
        <v>1439431</v>
      </c>
      <c r="F106" s="4">
        <v>1454492</v>
      </c>
      <c r="G106" s="4">
        <v>1454492</v>
      </c>
    </row>
    <row r="107" spans="1:7" x14ac:dyDescent="0.75">
      <c r="A107">
        <v>203</v>
      </c>
      <c r="B107" t="s">
        <v>126</v>
      </c>
      <c r="C107" s="4">
        <v>114883</v>
      </c>
      <c r="D107" s="4">
        <v>216468</v>
      </c>
      <c r="E107" s="4">
        <v>1119990</v>
      </c>
      <c r="F107" s="4">
        <v>1336458</v>
      </c>
      <c r="G107" s="4">
        <v>1451341</v>
      </c>
    </row>
    <row r="108" spans="1:7" x14ac:dyDescent="0.75">
      <c r="A108">
        <v>2259</v>
      </c>
      <c r="B108" t="s">
        <v>243</v>
      </c>
      <c r="C108" s="4">
        <v>1449171</v>
      </c>
      <c r="D108" s="4"/>
      <c r="E108" s="4"/>
      <c r="F108" s="4"/>
      <c r="G108" s="4">
        <v>1449171</v>
      </c>
    </row>
    <row r="109" spans="1:7" x14ac:dyDescent="0.75">
      <c r="A109">
        <v>2263</v>
      </c>
      <c r="B109" t="s">
        <v>239</v>
      </c>
      <c r="C109" s="4">
        <v>1409786</v>
      </c>
      <c r="D109" s="4"/>
      <c r="E109" s="4"/>
      <c r="F109" s="4"/>
      <c r="G109" s="4">
        <v>1409786</v>
      </c>
    </row>
    <row r="110" spans="1:7" x14ac:dyDescent="0.75">
      <c r="A110">
        <v>2304</v>
      </c>
      <c r="B110" t="s">
        <v>245</v>
      </c>
      <c r="C110" s="4">
        <v>1255276</v>
      </c>
      <c r="D110" s="4"/>
      <c r="E110" s="4"/>
      <c r="F110" s="4"/>
      <c r="G110" s="4">
        <v>1255276</v>
      </c>
    </row>
    <row r="111" spans="1:7" x14ac:dyDescent="0.75">
      <c r="A111">
        <v>4998</v>
      </c>
      <c r="B111" t="s">
        <v>95</v>
      </c>
      <c r="C111" s="4">
        <v>1239531</v>
      </c>
      <c r="D111" s="4">
        <v>0</v>
      </c>
      <c r="E111" s="4">
        <v>1862</v>
      </c>
      <c r="F111" s="4">
        <v>1862</v>
      </c>
      <c r="G111" s="4">
        <v>1241393</v>
      </c>
    </row>
    <row r="112" spans="1:7" x14ac:dyDescent="0.75">
      <c r="A112">
        <v>3500</v>
      </c>
      <c r="B112" t="s">
        <v>248</v>
      </c>
      <c r="C112" s="4">
        <v>1213237</v>
      </c>
      <c r="D112" s="4">
        <v>0</v>
      </c>
      <c r="E112" s="4">
        <v>8818</v>
      </c>
      <c r="F112" s="4">
        <v>8818</v>
      </c>
      <c r="G112" s="4">
        <v>1222055</v>
      </c>
    </row>
    <row r="113" spans="1:7" x14ac:dyDescent="0.75">
      <c r="A113">
        <v>2385</v>
      </c>
      <c r="B113" t="s">
        <v>244</v>
      </c>
      <c r="C113" s="4">
        <v>1212377</v>
      </c>
      <c r="D113" s="4"/>
      <c r="E113" s="4"/>
      <c r="F113" s="4"/>
      <c r="G113" s="4">
        <v>1212377</v>
      </c>
    </row>
    <row r="114" spans="1:7" x14ac:dyDescent="0.75">
      <c r="A114">
        <v>7712</v>
      </c>
      <c r="B114" t="s">
        <v>246</v>
      </c>
      <c r="C114" s="4">
        <v>1208650</v>
      </c>
      <c r="D114" s="4"/>
      <c r="E114" s="4"/>
      <c r="F114" s="4"/>
      <c r="G114" s="4">
        <v>1208650</v>
      </c>
    </row>
    <row r="115" spans="1:7" x14ac:dyDescent="0.75">
      <c r="A115">
        <v>4458</v>
      </c>
      <c r="B115" t="s">
        <v>187</v>
      </c>
      <c r="C115" s="4">
        <v>86420</v>
      </c>
      <c r="D115" s="4">
        <v>60533</v>
      </c>
      <c r="E115" s="4">
        <v>1058248</v>
      </c>
      <c r="F115" s="4">
        <v>1118781</v>
      </c>
      <c r="G115" s="4">
        <v>1205201</v>
      </c>
    </row>
    <row r="116" spans="1:7" x14ac:dyDescent="0.75">
      <c r="A116">
        <v>2441</v>
      </c>
      <c r="B116" t="s">
        <v>64</v>
      </c>
      <c r="C116" s="4">
        <v>44630</v>
      </c>
      <c r="D116" s="4">
        <v>770450</v>
      </c>
      <c r="E116" s="4">
        <v>329438</v>
      </c>
      <c r="F116" s="4">
        <v>1099888</v>
      </c>
      <c r="G116" s="4">
        <v>1144518</v>
      </c>
    </row>
    <row r="117" spans="1:7" x14ac:dyDescent="0.75">
      <c r="A117">
        <v>1913</v>
      </c>
      <c r="B117" t="s">
        <v>20</v>
      </c>
      <c r="C117" s="4">
        <v>709656</v>
      </c>
      <c r="D117" s="4">
        <v>25</v>
      </c>
      <c r="E117" s="4">
        <v>371741</v>
      </c>
      <c r="F117" s="4">
        <v>371766</v>
      </c>
      <c r="G117" s="4">
        <v>1081422</v>
      </c>
    </row>
    <row r="118" spans="1:7" x14ac:dyDescent="0.75">
      <c r="A118">
        <v>555</v>
      </c>
      <c r="B118" t="s">
        <v>37</v>
      </c>
      <c r="C118" s="4"/>
      <c r="D118" s="4">
        <v>307060</v>
      </c>
      <c r="E118" s="4">
        <v>755704</v>
      </c>
      <c r="F118" s="4">
        <v>1062764</v>
      </c>
      <c r="G118" s="4">
        <v>1062764</v>
      </c>
    </row>
    <row r="119" spans="1:7" x14ac:dyDescent="0.75">
      <c r="A119">
        <v>2353</v>
      </c>
      <c r="B119" t="s">
        <v>251</v>
      </c>
      <c r="C119" s="4">
        <v>1039387</v>
      </c>
      <c r="D119" s="4"/>
      <c r="E119" s="4"/>
      <c r="F119" s="4"/>
      <c r="G119" s="4">
        <v>1039387</v>
      </c>
    </row>
    <row r="120" spans="1:7" x14ac:dyDescent="0.75">
      <c r="A120">
        <v>1506</v>
      </c>
      <c r="B120" t="s">
        <v>183</v>
      </c>
      <c r="C120" s="4">
        <v>72474</v>
      </c>
      <c r="D120" s="4">
        <v>257597</v>
      </c>
      <c r="E120" s="4">
        <v>668279</v>
      </c>
      <c r="F120" s="4">
        <v>925876</v>
      </c>
      <c r="G120" s="4">
        <v>998350</v>
      </c>
    </row>
    <row r="121" spans="1:7" x14ac:dyDescent="0.75">
      <c r="A121">
        <v>759</v>
      </c>
      <c r="B121" t="s">
        <v>110</v>
      </c>
      <c r="C121" s="4">
        <v>360591</v>
      </c>
      <c r="D121" s="4">
        <v>0</v>
      </c>
      <c r="E121" s="4">
        <v>627696</v>
      </c>
      <c r="F121" s="4">
        <v>627696</v>
      </c>
      <c r="G121" s="4">
        <v>988287</v>
      </c>
    </row>
    <row r="122" spans="1:7" x14ac:dyDescent="0.75">
      <c r="A122">
        <v>2228</v>
      </c>
      <c r="B122" t="s">
        <v>255</v>
      </c>
      <c r="C122" s="4">
        <v>986236</v>
      </c>
      <c r="D122" s="4"/>
      <c r="E122" s="4"/>
      <c r="F122" s="4"/>
      <c r="G122" s="4">
        <v>986236</v>
      </c>
    </row>
    <row r="123" spans="1:7" x14ac:dyDescent="0.75">
      <c r="A123">
        <v>6112</v>
      </c>
      <c r="B123" t="s">
        <v>256</v>
      </c>
      <c r="C123" s="4">
        <v>978563</v>
      </c>
      <c r="D123" s="4"/>
      <c r="E123" s="4"/>
      <c r="F123" s="4"/>
      <c r="G123" s="4">
        <v>978563</v>
      </c>
    </row>
    <row r="124" spans="1:7" x14ac:dyDescent="0.75">
      <c r="A124">
        <v>2308</v>
      </c>
      <c r="B124" t="s">
        <v>249</v>
      </c>
      <c r="C124" s="4">
        <v>966828</v>
      </c>
      <c r="D124" s="4"/>
      <c r="E124" s="4"/>
      <c r="F124" s="4"/>
      <c r="G124" s="4">
        <v>966828</v>
      </c>
    </row>
    <row r="125" spans="1:7" x14ac:dyDescent="0.75">
      <c r="A125">
        <v>2446</v>
      </c>
      <c r="B125" t="s">
        <v>253</v>
      </c>
      <c r="C125" s="4">
        <v>958785</v>
      </c>
      <c r="D125" s="4"/>
      <c r="E125" s="4"/>
      <c r="F125" s="4"/>
      <c r="G125" s="4">
        <v>958785</v>
      </c>
    </row>
    <row r="126" spans="1:7" x14ac:dyDescent="0.75">
      <c r="A126">
        <v>4727</v>
      </c>
      <c r="B126" t="s">
        <v>60</v>
      </c>
      <c r="C126" s="4">
        <v>684638</v>
      </c>
      <c r="D126" s="4">
        <v>51852</v>
      </c>
      <c r="E126" s="4">
        <v>214418</v>
      </c>
      <c r="F126" s="4">
        <v>266270</v>
      </c>
      <c r="G126" s="4">
        <v>950908</v>
      </c>
    </row>
    <row r="127" spans="1:7" x14ac:dyDescent="0.75">
      <c r="A127">
        <v>3700</v>
      </c>
      <c r="B127" t="s">
        <v>258</v>
      </c>
      <c r="C127" s="4">
        <v>666082</v>
      </c>
      <c r="D127" s="4">
        <v>0</v>
      </c>
      <c r="E127" s="4">
        <v>279732</v>
      </c>
      <c r="F127" s="4">
        <v>279732</v>
      </c>
      <c r="G127" s="4">
        <v>945814</v>
      </c>
    </row>
    <row r="128" spans="1:7" x14ac:dyDescent="0.75">
      <c r="A128">
        <v>3235</v>
      </c>
      <c r="B128" t="s">
        <v>261</v>
      </c>
      <c r="C128" s="4">
        <v>769775</v>
      </c>
      <c r="D128" s="4">
        <v>28109</v>
      </c>
      <c r="E128" s="4">
        <v>98767</v>
      </c>
      <c r="F128" s="4">
        <v>126876</v>
      </c>
      <c r="G128" s="4">
        <v>896651</v>
      </c>
    </row>
    <row r="129" spans="1:7" x14ac:dyDescent="0.75">
      <c r="A129">
        <v>2362</v>
      </c>
      <c r="B129" t="s">
        <v>259</v>
      </c>
      <c r="C129" s="4">
        <v>886537</v>
      </c>
      <c r="D129" s="4"/>
      <c r="E129" s="4"/>
      <c r="F129" s="4"/>
      <c r="G129" s="4">
        <v>886537</v>
      </c>
    </row>
    <row r="130" spans="1:7" x14ac:dyDescent="0.75">
      <c r="A130">
        <v>2318</v>
      </c>
      <c r="B130" t="s">
        <v>262</v>
      </c>
      <c r="C130" s="4">
        <v>872447</v>
      </c>
      <c r="D130" s="4"/>
      <c r="E130" s="4"/>
      <c r="F130" s="4"/>
      <c r="G130" s="4">
        <v>872447</v>
      </c>
    </row>
    <row r="131" spans="1:7" x14ac:dyDescent="0.75">
      <c r="A131">
        <v>3817</v>
      </c>
      <c r="B131" t="s">
        <v>257</v>
      </c>
      <c r="C131" s="4">
        <v>794881</v>
      </c>
      <c r="D131" s="4">
        <v>12125</v>
      </c>
      <c r="E131" s="4">
        <v>56069</v>
      </c>
      <c r="F131" s="4">
        <v>68194</v>
      </c>
      <c r="G131" s="4">
        <v>863075</v>
      </c>
    </row>
    <row r="132" spans="1:7" x14ac:dyDescent="0.75">
      <c r="A132">
        <v>3512</v>
      </c>
      <c r="B132" t="s">
        <v>263</v>
      </c>
      <c r="C132" s="4">
        <v>649550</v>
      </c>
      <c r="D132" s="4">
        <v>0</v>
      </c>
      <c r="E132" s="4">
        <v>189580</v>
      </c>
      <c r="F132" s="4">
        <v>189580</v>
      </c>
      <c r="G132" s="4">
        <v>839130</v>
      </c>
    </row>
    <row r="133" spans="1:7" x14ac:dyDescent="0.75">
      <c r="A133">
        <v>2343</v>
      </c>
      <c r="B133" t="s">
        <v>265</v>
      </c>
      <c r="C133" s="4">
        <v>827417</v>
      </c>
      <c r="D133" s="4"/>
      <c r="E133" s="4"/>
      <c r="F133" s="4"/>
      <c r="G133" s="4">
        <v>827417</v>
      </c>
    </row>
    <row r="134" spans="1:7" x14ac:dyDescent="0.75">
      <c r="A134">
        <v>4344</v>
      </c>
      <c r="B134" t="s">
        <v>13</v>
      </c>
      <c r="C134" s="4">
        <v>94121</v>
      </c>
      <c r="D134" s="4">
        <v>712536</v>
      </c>
      <c r="E134" s="4">
        <v>4833</v>
      </c>
      <c r="F134" s="4">
        <v>717369</v>
      </c>
      <c r="G134" s="4">
        <v>811490</v>
      </c>
    </row>
    <row r="135" spans="1:7" x14ac:dyDescent="0.75">
      <c r="A135">
        <v>4823</v>
      </c>
      <c r="B135" t="s">
        <v>48</v>
      </c>
      <c r="C135" s="4">
        <v>770967</v>
      </c>
      <c r="D135" s="4">
        <v>37258</v>
      </c>
      <c r="E135" s="4">
        <v>0</v>
      </c>
      <c r="F135" s="4">
        <v>37258</v>
      </c>
      <c r="G135" s="4">
        <v>808225</v>
      </c>
    </row>
    <row r="136" spans="1:7" x14ac:dyDescent="0.75">
      <c r="A136">
        <v>3230</v>
      </c>
      <c r="B136" t="s">
        <v>144</v>
      </c>
      <c r="C136" s="4">
        <v>518631</v>
      </c>
      <c r="D136" s="4">
        <v>0</v>
      </c>
      <c r="E136" s="4">
        <v>262925</v>
      </c>
      <c r="F136" s="4">
        <v>262925</v>
      </c>
      <c r="G136" s="4">
        <v>781556</v>
      </c>
    </row>
    <row r="137" spans="1:7" x14ac:dyDescent="0.75">
      <c r="A137">
        <v>2265</v>
      </c>
      <c r="B137" t="s">
        <v>264</v>
      </c>
      <c r="C137" s="4">
        <v>777209</v>
      </c>
      <c r="D137" s="4"/>
      <c r="E137" s="4"/>
      <c r="F137" s="4"/>
      <c r="G137" s="4">
        <v>777209</v>
      </c>
    </row>
    <row r="138" spans="1:7" x14ac:dyDescent="0.75">
      <c r="A138">
        <v>4240</v>
      </c>
      <c r="B138" t="s">
        <v>250</v>
      </c>
      <c r="C138" s="4"/>
      <c r="D138" s="4">
        <v>23644</v>
      </c>
      <c r="E138" s="4">
        <v>740063</v>
      </c>
      <c r="F138" s="4">
        <v>763707</v>
      </c>
      <c r="G138" s="4">
        <v>763707</v>
      </c>
    </row>
    <row r="139" spans="1:7" x14ac:dyDescent="0.75">
      <c r="A139">
        <v>3221</v>
      </c>
      <c r="B139" t="s">
        <v>267</v>
      </c>
      <c r="C139" s="4">
        <v>645855</v>
      </c>
      <c r="D139" s="4">
        <v>0</v>
      </c>
      <c r="E139" s="4">
        <v>117832</v>
      </c>
      <c r="F139" s="4">
        <v>117832</v>
      </c>
      <c r="G139" s="4">
        <v>763687</v>
      </c>
    </row>
    <row r="140" spans="1:7" x14ac:dyDescent="0.75">
      <c r="A140">
        <v>4713</v>
      </c>
      <c r="B140" t="s">
        <v>254</v>
      </c>
      <c r="C140" s="4"/>
      <c r="D140" s="4">
        <v>749845</v>
      </c>
      <c r="E140" s="4">
        <v>2656</v>
      </c>
      <c r="F140" s="4">
        <v>752501</v>
      </c>
      <c r="G140" s="4">
        <v>752501</v>
      </c>
    </row>
    <row r="141" spans="1:7" x14ac:dyDescent="0.75">
      <c r="A141">
        <v>1983</v>
      </c>
      <c r="B141" t="s">
        <v>39</v>
      </c>
      <c r="C141" s="4">
        <v>656786</v>
      </c>
      <c r="D141" s="4">
        <v>15773</v>
      </c>
      <c r="E141" s="4">
        <v>54869</v>
      </c>
      <c r="F141" s="4">
        <v>70642</v>
      </c>
      <c r="G141" s="4">
        <v>727428</v>
      </c>
    </row>
    <row r="142" spans="1:7" x14ac:dyDescent="0.75">
      <c r="A142">
        <v>2408</v>
      </c>
      <c r="B142" t="s">
        <v>58</v>
      </c>
      <c r="C142" s="4">
        <v>144744</v>
      </c>
      <c r="D142" s="4">
        <v>0</v>
      </c>
      <c r="E142" s="4">
        <v>577548</v>
      </c>
      <c r="F142" s="4">
        <v>577548</v>
      </c>
      <c r="G142" s="4">
        <v>722292</v>
      </c>
    </row>
    <row r="143" spans="1:7" x14ac:dyDescent="0.75">
      <c r="A143">
        <v>3726</v>
      </c>
      <c r="B143" t="s">
        <v>268</v>
      </c>
      <c r="C143" s="4">
        <v>609087</v>
      </c>
      <c r="D143" s="4">
        <v>0</v>
      </c>
      <c r="E143" s="4">
        <v>111132</v>
      </c>
      <c r="F143" s="4">
        <v>111132</v>
      </c>
      <c r="G143" s="4">
        <v>720219</v>
      </c>
    </row>
    <row r="144" spans="1:7" x14ac:dyDescent="0.75">
      <c r="A144">
        <v>737</v>
      </c>
      <c r="B144" t="s">
        <v>125</v>
      </c>
      <c r="C144" s="4">
        <v>701436</v>
      </c>
      <c r="D144" s="4"/>
      <c r="E144" s="4"/>
      <c r="F144" s="4"/>
      <c r="G144" s="4">
        <v>701436</v>
      </c>
    </row>
    <row r="145" spans="1:7" x14ac:dyDescent="0.75">
      <c r="A145">
        <v>2440</v>
      </c>
      <c r="B145" t="s">
        <v>45</v>
      </c>
      <c r="C145" s="4">
        <v>77238</v>
      </c>
      <c r="D145" s="4">
        <v>0</v>
      </c>
      <c r="E145" s="4">
        <v>597840</v>
      </c>
      <c r="F145" s="4">
        <v>597840</v>
      </c>
      <c r="G145" s="4">
        <v>675078</v>
      </c>
    </row>
    <row r="146" spans="1:7" x14ac:dyDescent="0.75">
      <c r="A146">
        <v>2360</v>
      </c>
      <c r="B146" t="s">
        <v>270</v>
      </c>
      <c r="C146" s="4">
        <v>653604</v>
      </c>
      <c r="D146" s="4"/>
      <c r="E146" s="4"/>
      <c r="F146" s="4"/>
      <c r="G146" s="4">
        <v>653604</v>
      </c>
    </row>
    <row r="147" spans="1:7" x14ac:dyDescent="0.75">
      <c r="A147">
        <v>6111</v>
      </c>
      <c r="B147" t="s">
        <v>271</v>
      </c>
      <c r="C147" s="4">
        <v>645372</v>
      </c>
      <c r="D147" s="4"/>
      <c r="E147" s="4"/>
      <c r="F147" s="4"/>
      <c r="G147" s="4">
        <v>645372</v>
      </c>
    </row>
    <row r="148" spans="1:7" x14ac:dyDescent="0.75">
      <c r="A148">
        <v>3721</v>
      </c>
      <c r="B148" t="s">
        <v>274</v>
      </c>
      <c r="C148" s="4">
        <v>399896</v>
      </c>
      <c r="D148" s="4">
        <v>22046</v>
      </c>
      <c r="E148" s="4">
        <v>169005</v>
      </c>
      <c r="F148" s="4">
        <v>191051</v>
      </c>
      <c r="G148" s="4">
        <v>590947</v>
      </c>
    </row>
    <row r="149" spans="1:7" x14ac:dyDescent="0.75">
      <c r="A149">
        <v>783</v>
      </c>
      <c r="B149" t="s">
        <v>122</v>
      </c>
      <c r="C149" s="4">
        <v>294</v>
      </c>
      <c r="D149" s="4">
        <v>362842</v>
      </c>
      <c r="E149" s="4">
        <v>223380</v>
      </c>
      <c r="F149" s="4">
        <v>586222</v>
      </c>
      <c r="G149" s="4">
        <v>586516</v>
      </c>
    </row>
    <row r="150" spans="1:7" x14ac:dyDescent="0.75">
      <c r="A150">
        <v>2398</v>
      </c>
      <c r="B150" t="s">
        <v>224</v>
      </c>
      <c r="C150" s="4">
        <v>581563</v>
      </c>
      <c r="D150" s="4"/>
      <c r="E150" s="4"/>
      <c r="F150" s="4"/>
      <c r="G150" s="4">
        <v>581563</v>
      </c>
    </row>
    <row r="151" spans="1:7" x14ac:dyDescent="0.75">
      <c r="A151">
        <v>4827</v>
      </c>
      <c r="B151" t="s">
        <v>50</v>
      </c>
      <c r="C151" s="4">
        <v>574689</v>
      </c>
      <c r="D151" s="4"/>
      <c r="E151" s="4"/>
      <c r="F151" s="4"/>
      <c r="G151" s="4">
        <v>574689</v>
      </c>
    </row>
    <row r="152" spans="1:7" x14ac:dyDescent="0.75">
      <c r="A152">
        <v>78</v>
      </c>
      <c r="B152" t="s">
        <v>247</v>
      </c>
      <c r="C152" s="4"/>
      <c r="D152" s="4">
        <v>0</v>
      </c>
      <c r="E152" s="4">
        <v>555706</v>
      </c>
      <c r="F152" s="4">
        <v>555706</v>
      </c>
      <c r="G152" s="4">
        <v>555706</v>
      </c>
    </row>
    <row r="153" spans="1:7" x14ac:dyDescent="0.75">
      <c r="A153">
        <v>2297</v>
      </c>
      <c r="B153" t="s">
        <v>277</v>
      </c>
      <c r="C153" s="4">
        <v>551144</v>
      </c>
      <c r="D153" s="4"/>
      <c r="E153" s="4"/>
      <c r="F153" s="4"/>
      <c r="G153" s="4">
        <v>551144</v>
      </c>
    </row>
    <row r="154" spans="1:7" x14ac:dyDescent="0.75">
      <c r="A154">
        <v>2399</v>
      </c>
      <c r="B154" t="s">
        <v>232</v>
      </c>
      <c r="C154" s="4">
        <v>530167</v>
      </c>
      <c r="D154" s="4"/>
      <c r="E154" s="4"/>
      <c r="F154" s="4"/>
      <c r="G154" s="4">
        <v>530167</v>
      </c>
    </row>
    <row r="155" spans="1:7" x14ac:dyDescent="0.75">
      <c r="A155">
        <v>2303</v>
      </c>
      <c r="B155" t="s">
        <v>275</v>
      </c>
      <c r="C155" s="4">
        <v>530123</v>
      </c>
      <c r="D155" s="4"/>
      <c r="E155" s="4"/>
      <c r="F155" s="4"/>
      <c r="G155" s="4">
        <v>530123</v>
      </c>
    </row>
    <row r="156" spans="1:7" x14ac:dyDescent="0.75">
      <c r="A156">
        <v>6110</v>
      </c>
      <c r="B156" t="s">
        <v>276</v>
      </c>
      <c r="C156" s="4">
        <v>526941</v>
      </c>
      <c r="D156" s="4"/>
      <c r="E156" s="4"/>
      <c r="F156" s="4"/>
      <c r="G156" s="4">
        <v>526941</v>
      </c>
    </row>
    <row r="157" spans="1:7" x14ac:dyDescent="0.75">
      <c r="A157">
        <v>272</v>
      </c>
      <c r="B157" t="s">
        <v>234</v>
      </c>
      <c r="C157" s="4">
        <v>524626</v>
      </c>
      <c r="D157" s="4"/>
      <c r="E157" s="4"/>
      <c r="F157" s="4"/>
      <c r="G157" s="4">
        <v>524626</v>
      </c>
    </row>
    <row r="158" spans="1:7" x14ac:dyDescent="0.75">
      <c r="A158">
        <v>4824</v>
      </c>
      <c r="B158" t="s">
        <v>63</v>
      </c>
      <c r="C158" s="4">
        <v>519436</v>
      </c>
      <c r="D158" s="4">
        <v>0</v>
      </c>
      <c r="E158" s="4">
        <v>276</v>
      </c>
      <c r="F158" s="4">
        <v>276</v>
      </c>
      <c r="G158" s="4">
        <v>519712</v>
      </c>
    </row>
    <row r="159" spans="1:7" x14ac:dyDescent="0.75">
      <c r="A159">
        <v>1990</v>
      </c>
      <c r="B159" t="s">
        <v>278</v>
      </c>
      <c r="C159" s="4">
        <v>510805</v>
      </c>
      <c r="D159" s="4"/>
      <c r="E159" s="4"/>
      <c r="F159" s="4"/>
      <c r="G159" s="4">
        <v>510805</v>
      </c>
    </row>
    <row r="160" spans="1:7" x14ac:dyDescent="0.75">
      <c r="A160">
        <v>4826</v>
      </c>
      <c r="B160" t="s">
        <v>56</v>
      </c>
      <c r="C160" s="4">
        <v>469701</v>
      </c>
      <c r="D160" s="4"/>
      <c r="E160" s="4"/>
      <c r="F160" s="4"/>
      <c r="G160" s="4">
        <v>469701</v>
      </c>
    </row>
    <row r="161" spans="1:7" x14ac:dyDescent="0.75">
      <c r="A161">
        <v>6103</v>
      </c>
      <c r="B161" t="s">
        <v>279</v>
      </c>
      <c r="C161" s="4">
        <v>469279</v>
      </c>
      <c r="D161" s="4"/>
      <c r="E161" s="4"/>
      <c r="F161" s="4"/>
      <c r="G161" s="4">
        <v>469279</v>
      </c>
    </row>
    <row r="162" spans="1:7" x14ac:dyDescent="0.75">
      <c r="A162">
        <v>3228</v>
      </c>
      <c r="B162" t="s">
        <v>281</v>
      </c>
      <c r="C162" s="4">
        <v>369415</v>
      </c>
      <c r="D162" s="4">
        <v>9553</v>
      </c>
      <c r="E162" s="4">
        <v>80205</v>
      </c>
      <c r="F162" s="4">
        <v>89758</v>
      </c>
      <c r="G162" s="4">
        <v>459173</v>
      </c>
    </row>
    <row r="163" spans="1:7" x14ac:dyDescent="0.75">
      <c r="A163">
        <v>77</v>
      </c>
      <c r="B163" t="s">
        <v>101</v>
      </c>
      <c r="C163" s="4"/>
      <c r="D163" s="4">
        <v>12302</v>
      </c>
      <c r="E163" s="4">
        <v>443873</v>
      </c>
      <c r="F163" s="4">
        <v>456175</v>
      </c>
      <c r="G163" s="4">
        <v>456175</v>
      </c>
    </row>
    <row r="164" spans="1:7" x14ac:dyDescent="0.75">
      <c r="A164">
        <v>1910</v>
      </c>
      <c r="B164" t="s">
        <v>188</v>
      </c>
      <c r="C164" s="4">
        <v>456093</v>
      </c>
      <c r="D164" s="4"/>
      <c r="E164" s="4"/>
      <c r="F164" s="4"/>
      <c r="G164" s="4">
        <v>456093</v>
      </c>
    </row>
    <row r="165" spans="1:7" x14ac:dyDescent="0.75">
      <c r="A165">
        <v>1981</v>
      </c>
      <c r="B165" t="s">
        <v>285</v>
      </c>
      <c r="C165" s="4">
        <v>431157</v>
      </c>
      <c r="D165" s="4"/>
      <c r="E165" s="4"/>
      <c r="F165" s="4"/>
      <c r="G165" s="4">
        <v>431157</v>
      </c>
    </row>
    <row r="166" spans="1:7" x14ac:dyDescent="0.75">
      <c r="A166">
        <v>2369</v>
      </c>
      <c r="B166" t="s">
        <v>284</v>
      </c>
      <c r="C166" s="4">
        <v>426993</v>
      </c>
      <c r="D166" s="4"/>
      <c r="E166" s="4"/>
      <c r="F166" s="4"/>
      <c r="G166" s="4">
        <v>426993</v>
      </c>
    </row>
    <row r="167" spans="1:7" x14ac:dyDescent="0.75">
      <c r="A167">
        <v>505</v>
      </c>
      <c r="B167" t="s">
        <v>136</v>
      </c>
      <c r="C167" s="4">
        <v>82966</v>
      </c>
      <c r="D167" s="4">
        <v>41396</v>
      </c>
      <c r="E167" s="4">
        <v>289545</v>
      </c>
      <c r="F167" s="4">
        <v>330941</v>
      </c>
      <c r="G167" s="4">
        <v>413907</v>
      </c>
    </row>
    <row r="168" spans="1:7" x14ac:dyDescent="0.75">
      <c r="A168">
        <v>522</v>
      </c>
      <c r="B168" t="s">
        <v>215</v>
      </c>
      <c r="C168" s="4">
        <v>385422</v>
      </c>
      <c r="D168" s="4"/>
      <c r="E168" s="4"/>
      <c r="F168" s="4"/>
      <c r="G168" s="4">
        <v>385422</v>
      </c>
    </row>
    <row r="169" spans="1:7" x14ac:dyDescent="0.75">
      <c r="A169">
        <v>3733</v>
      </c>
      <c r="B169" t="s">
        <v>287</v>
      </c>
      <c r="C169" s="4">
        <v>318433</v>
      </c>
      <c r="D169" s="4">
        <v>0</v>
      </c>
      <c r="E169" s="4">
        <v>45746</v>
      </c>
      <c r="F169" s="4">
        <v>45746</v>
      </c>
      <c r="G169" s="4">
        <v>364179</v>
      </c>
    </row>
    <row r="170" spans="1:7" x14ac:dyDescent="0.75">
      <c r="A170">
        <v>4374</v>
      </c>
      <c r="B170" t="s">
        <v>282</v>
      </c>
      <c r="C170" s="4">
        <v>50818</v>
      </c>
      <c r="D170" s="4">
        <v>311443</v>
      </c>
      <c r="E170" s="4">
        <v>21</v>
      </c>
      <c r="F170" s="4">
        <v>311464</v>
      </c>
      <c r="G170" s="4">
        <v>362282</v>
      </c>
    </row>
    <row r="171" spans="1:7" x14ac:dyDescent="0.75">
      <c r="A171">
        <v>2224</v>
      </c>
      <c r="B171" t="s">
        <v>233</v>
      </c>
      <c r="C171" s="4">
        <v>352930</v>
      </c>
      <c r="D171" s="4"/>
      <c r="E171" s="4"/>
      <c r="F171" s="4"/>
      <c r="G171" s="4">
        <v>352930</v>
      </c>
    </row>
    <row r="172" spans="1:7" x14ac:dyDescent="0.75">
      <c r="A172">
        <v>2336</v>
      </c>
      <c r="B172" t="s">
        <v>289</v>
      </c>
      <c r="C172" s="4">
        <v>352481</v>
      </c>
      <c r="D172" s="4"/>
      <c r="E172" s="4"/>
      <c r="F172" s="4"/>
      <c r="G172" s="4">
        <v>352481</v>
      </c>
    </row>
    <row r="173" spans="1:7" x14ac:dyDescent="0.75">
      <c r="A173">
        <v>1991</v>
      </c>
      <c r="B173" t="s">
        <v>99</v>
      </c>
      <c r="C173" s="4">
        <v>56333</v>
      </c>
      <c r="D173" s="4">
        <v>0</v>
      </c>
      <c r="E173" s="4">
        <v>295136</v>
      </c>
      <c r="F173" s="4">
        <v>295136</v>
      </c>
      <c r="G173" s="4">
        <v>351469</v>
      </c>
    </row>
    <row r="174" spans="1:7" x14ac:dyDescent="0.75">
      <c r="A174">
        <v>7710</v>
      </c>
      <c r="B174" t="s">
        <v>280</v>
      </c>
      <c r="C174" s="4">
        <v>328737</v>
      </c>
      <c r="D174" s="4"/>
      <c r="E174" s="4"/>
      <c r="F174" s="4"/>
      <c r="G174" s="4">
        <v>328737</v>
      </c>
    </row>
    <row r="175" spans="1:7" x14ac:dyDescent="0.75">
      <c r="A175">
        <v>3929</v>
      </c>
      <c r="B175" t="s">
        <v>290</v>
      </c>
      <c r="C175" s="4">
        <v>321312</v>
      </c>
      <c r="D175" s="4"/>
      <c r="E175" s="4"/>
      <c r="F175" s="4"/>
      <c r="G175" s="4">
        <v>321312</v>
      </c>
    </row>
    <row r="176" spans="1:7" x14ac:dyDescent="0.75">
      <c r="A176">
        <v>1912</v>
      </c>
      <c r="B176" t="s">
        <v>47</v>
      </c>
      <c r="C176" s="4">
        <v>75113</v>
      </c>
      <c r="D176" s="4">
        <v>0</v>
      </c>
      <c r="E176" s="4">
        <v>229761</v>
      </c>
      <c r="F176" s="4">
        <v>229761</v>
      </c>
      <c r="G176" s="4">
        <v>304874</v>
      </c>
    </row>
    <row r="177" spans="1:7" x14ac:dyDescent="0.75">
      <c r="A177">
        <v>4711</v>
      </c>
      <c r="B177" t="s">
        <v>291</v>
      </c>
      <c r="C177" s="4">
        <v>302328</v>
      </c>
      <c r="D177" s="4"/>
      <c r="E177" s="4"/>
      <c r="F177" s="4"/>
      <c r="G177" s="4">
        <v>302328</v>
      </c>
    </row>
    <row r="178" spans="1:7" x14ac:dyDescent="0.75">
      <c r="A178">
        <v>738</v>
      </c>
      <c r="B178" t="s">
        <v>260</v>
      </c>
      <c r="C178" s="4">
        <v>187609</v>
      </c>
      <c r="D178" s="4">
        <v>68742</v>
      </c>
      <c r="E178" s="4">
        <v>0</v>
      </c>
      <c r="F178" s="4">
        <v>68742</v>
      </c>
      <c r="G178" s="4">
        <v>256351</v>
      </c>
    </row>
    <row r="179" spans="1:7" x14ac:dyDescent="0.75">
      <c r="A179">
        <v>4707</v>
      </c>
      <c r="B179" t="s">
        <v>89</v>
      </c>
      <c r="C179" s="4"/>
      <c r="D179" s="4">
        <v>248148</v>
      </c>
      <c r="E179" s="4">
        <v>3290</v>
      </c>
      <c r="F179" s="4">
        <v>251438</v>
      </c>
      <c r="G179" s="4">
        <v>251438</v>
      </c>
    </row>
    <row r="180" spans="1:7" x14ac:dyDescent="0.75">
      <c r="A180">
        <v>2270</v>
      </c>
      <c r="B180" t="s">
        <v>269</v>
      </c>
      <c r="C180" s="4">
        <v>242216</v>
      </c>
      <c r="D180" s="4"/>
      <c r="E180" s="4"/>
      <c r="F180" s="4"/>
      <c r="G180" s="4">
        <v>242216</v>
      </c>
    </row>
    <row r="181" spans="1:7" x14ac:dyDescent="0.75">
      <c r="A181">
        <v>4102</v>
      </c>
      <c r="B181" t="s">
        <v>237</v>
      </c>
      <c r="C181" s="4">
        <v>2500</v>
      </c>
      <c r="D181" s="4">
        <v>0</v>
      </c>
      <c r="E181" s="4">
        <v>239613</v>
      </c>
      <c r="F181" s="4">
        <v>239613</v>
      </c>
      <c r="G181" s="4">
        <v>242113</v>
      </c>
    </row>
    <row r="182" spans="1:7" x14ac:dyDescent="0.75">
      <c r="A182">
        <v>3111</v>
      </c>
      <c r="B182" t="s">
        <v>294</v>
      </c>
      <c r="C182" s="4"/>
      <c r="D182" s="4">
        <v>0</v>
      </c>
      <c r="E182" s="4">
        <v>241626</v>
      </c>
      <c r="F182" s="4">
        <v>241626</v>
      </c>
      <c r="G182" s="4">
        <v>241626</v>
      </c>
    </row>
    <row r="183" spans="1:7" x14ac:dyDescent="0.75">
      <c r="A183">
        <v>99</v>
      </c>
      <c r="B183" t="s">
        <v>67</v>
      </c>
      <c r="C183" s="4">
        <v>294</v>
      </c>
      <c r="D183" s="4">
        <v>0</v>
      </c>
      <c r="E183" s="4">
        <v>238857</v>
      </c>
      <c r="F183" s="4">
        <v>238857</v>
      </c>
      <c r="G183" s="4">
        <v>239151</v>
      </c>
    </row>
    <row r="184" spans="1:7" x14ac:dyDescent="0.75">
      <c r="A184">
        <v>3782</v>
      </c>
      <c r="B184" t="s">
        <v>298</v>
      </c>
      <c r="C184" s="4">
        <v>222502</v>
      </c>
      <c r="D184" s="4">
        <v>0</v>
      </c>
      <c r="E184" s="4">
        <v>7496</v>
      </c>
      <c r="F184" s="4">
        <v>7496</v>
      </c>
      <c r="G184" s="4">
        <v>229998</v>
      </c>
    </row>
    <row r="185" spans="1:7" x14ac:dyDescent="0.75">
      <c r="A185">
        <v>3788</v>
      </c>
      <c r="B185" t="s">
        <v>299</v>
      </c>
      <c r="C185" s="4">
        <v>222622</v>
      </c>
      <c r="D185" s="4"/>
      <c r="E185" s="4"/>
      <c r="F185" s="4"/>
      <c r="G185" s="4">
        <v>222622</v>
      </c>
    </row>
    <row r="186" spans="1:7" x14ac:dyDescent="0.75">
      <c r="A186">
        <v>4730</v>
      </c>
      <c r="B186" t="s">
        <v>176</v>
      </c>
      <c r="C186" s="4"/>
      <c r="D186" s="4">
        <v>218549</v>
      </c>
      <c r="E186" s="4">
        <v>1</v>
      </c>
      <c r="F186" s="4">
        <v>218550</v>
      </c>
      <c r="G186" s="4">
        <v>218550</v>
      </c>
    </row>
    <row r="187" spans="1:7" x14ac:dyDescent="0.75">
      <c r="A187">
        <v>231</v>
      </c>
      <c r="B187" t="s">
        <v>297</v>
      </c>
      <c r="C187" s="4">
        <v>213424</v>
      </c>
      <c r="D187" s="4"/>
      <c r="E187" s="4"/>
      <c r="F187" s="4"/>
      <c r="G187" s="4">
        <v>213424</v>
      </c>
    </row>
    <row r="188" spans="1:7" x14ac:dyDescent="0.75">
      <c r="A188">
        <v>2382</v>
      </c>
      <c r="B188" t="s">
        <v>300</v>
      </c>
      <c r="C188" s="4">
        <v>210692</v>
      </c>
      <c r="D188" s="4"/>
      <c r="E188" s="4"/>
      <c r="F188" s="4"/>
      <c r="G188" s="4">
        <v>210692</v>
      </c>
    </row>
    <row r="189" spans="1:7" x14ac:dyDescent="0.75">
      <c r="A189">
        <v>2284</v>
      </c>
      <c r="B189" t="s">
        <v>296</v>
      </c>
      <c r="C189" s="4">
        <v>209633</v>
      </c>
      <c r="D189" s="4"/>
      <c r="E189" s="4"/>
      <c r="F189" s="4"/>
      <c r="G189" s="4">
        <v>209633</v>
      </c>
    </row>
    <row r="190" spans="1:7" x14ac:dyDescent="0.75">
      <c r="A190">
        <v>4939</v>
      </c>
      <c r="B190" t="s">
        <v>59</v>
      </c>
      <c r="C190" s="4">
        <v>204746</v>
      </c>
      <c r="D190" s="4"/>
      <c r="E190" s="4"/>
      <c r="F190" s="4"/>
      <c r="G190" s="4">
        <v>204746</v>
      </c>
    </row>
    <row r="191" spans="1:7" x14ac:dyDescent="0.75">
      <c r="A191">
        <v>3612</v>
      </c>
      <c r="B191" t="s">
        <v>301</v>
      </c>
      <c r="C191" s="4">
        <v>203967</v>
      </c>
      <c r="D191" s="4"/>
      <c r="E191" s="4"/>
      <c r="F191" s="4"/>
      <c r="G191" s="4">
        <v>203967</v>
      </c>
    </row>
    <row r="192" spans="1:7" x14ac:dyDescent="0.75">
      <c r="A192">
        <v>3760</v>
      </c>
      <c r="B192" t="s">
        <v>302</v>
      </c>
      <c r="C192" s="4">
        <v>194145</v>
      </c>
      <c r="D192" s="4"/>
      <c r="E192" s="4"/>
      <c r="F192" s="4"/>
      <c r="G192" s="4">
        <v>194145</v>
      </c>
    </row>
    <row r="193" spans="1:7" x14ac:dyDescent="0.75">
      <c r="A193">
        <v>2354</v>
      </c>
      <c r="B193" t="s">
        <v>303</v>
      </c>
      <c r="C193" s="4">
        <v>188168</v>
      </c>
      <c r="D193" s="4"/>
      <c r="E193" s="4"/>
      <c r="F193" s="4"/>
      <c r="G193" s="4">
        <v>188168</v>
      </c>
    </row>
    <row r="194" spans="1:7" x14ac:dyDescent="0.75">
      <c r="A194">
        <v>3007</v>
      </c>
      <c r="B194" t="s">
        <v>304</v>
      </c>
      <c r="C194" s="4"/>
      <c r="D194" s="4">
        <v>0</v>
      </c>
      <c r="E194" s="4">
        <v>178862</v>
      </c>
      <c r="F194" s="4">
        <v>178862</v>
      </c>
      <c r="G194" s="4">
        <v>178862</v>
      </c>
    </row>
    <row r="195" spans="1:7" x14ac:dyDescent="0.75">
      <c r="A195">
        <v>2427</v>
      </c>
      <c r="B195" t="s">
        <v>204</v>
      </c>
      <c r="C195" s="4">
        <v>174267</v>
      </c>
      <c r="D195" s="4"/>
      <c r="E195" s="4"/>
      <c r="F195" s="4"/>
      <c r="G195" s="4">
        <v>174267</v>
      </c>
    </row>
    <row r="196" spans="1:7" x14ac:dyDescent="0.75">
      <c r="A196">
        <v>4453</v>
      </c>
      <c r="B196" t="s">
        <v>79</v>
      </c>
      <c r="C196" s="4">
        <v>173758</v>
      </c>
      <c r="D196" s="4"/>
      <c r="E196" s="4"/>
      <c r="F196" s="4"/>
      <c r="G196" s="4">
        <v>173758</v>
      </c>
    </row>
    <row r="197" spans="1:7" x14ac:dyDescent="0.75">
      <c r="A197">
        <v>2087</v>
      </c>
      <c r="B197" t="s">
        <v>292</v>
      </c>
      <c r="C197" s="4">
        <v>173021</v>
      </c>
      <c r="D197" s="4"/>
      <c r="E197" s="4"/>
      <c r="F197" s="4"/>
      <c r="G197" s="4">
        <v>173021</v>
      </c>
    </row>
    <row r="198" spans="1:7" x14ac:dyDescent="0.75">
      <c r="A198">
        <v>2225</v>
      </c>
      <c r="B198" t="s">
        <v>286</v>
      </c>
      <c r="C198" s="4">
        <v>170026</v>
      </c>
      <c r="D198" s="4"/>
      <c r="E198" s="4"/>
      <c r="F198" s="4"/>
      <c r="G198" s="4">
        <v>170026</v>
      </c>
    </row>
    <row r="199" spans="1:7" x14ac:dyDescent="0.75">
      <c r="A199">
        <v>4610</v>
      </c>
      <c r="B199" t="s">
        <v>273</v>
      </c>
      <c r="C199" s="4">
        <v>166754</v>
      </c>
      <c r="D199" s="4"/>
      <c r="E199" s="4"/>
      <c r="F199" s="4"/>
      <c r="G199" s="4">
        <v>166754</v>
      </c>
    </row>
    <row r="200" spans="1:7" x14ac:dyDescent="0.75">
      <c r="A200">
        <v>4820</v>
      </c>
      <c r="B200" t="s">
        <v>31</v>
      </c>
      <c r="C200" s="4">
        <v>66028</v>
      </c>
      <c r="D200" s="4">
        <v>0</v>
      </c>
      <c r="E200" s="4">
        <v>87964</v>
      </c>
      <c r="F200" s="4">
        <v>87964</v>
      </c>
      <c r="G200" s="4">
        <v>153992</v>
      </c>
    </row>
    <row r="201" spans="1:7" x14ac:dyDescent="0.75">
      <c r="A201">
        <v>4857</v>
      </c>
      <c r="B201" t="s">
        <v>71</v>
      </c>
      <c r="C201" s="4">
        <v>108987</v>
      </c>
      <c r="D201" s="4">
        <v>38862</v>
      </c>
      <c r="E201" s="4">
        <v>0</v>
      </c>
      <c r="F201" s="4">
        <v>38862</v>
      </c>
      <c r="G201" s="4">
        <v>147849</v>
      </c>
    </row>
    <row r="202" spans="1:7" x14ac:dyDescent="0.75">
      <c r="A202">
        <v>3783</v>
      </c>
      <c r="B202" t="s">
        <v>288</v>
      </c>
      <c r="C202" s="4">
        <v>140791</v>
      </c>
      <c r="D202" s="4"/>
      <c r="E202" s="4"/>
      <c r="F202" s="4"/>
      <c r="G202" s="4">
        <v>140791</v>
      </c>
    </row>
    <row r="203" spans="1:7" x14ac:dyDescent="0.75">
      <c r="A203">
        <v>2402</v>
      </c>
      <c r="B203" t="s">
        <v>220</v>
      </c>
      <c r="C203" s="4">
        <v>112164</v>
      </c>
      <c r="D203" s="4"/>
      <c r="E203" s="4"/>
      <c r="F203" s="4"/>
      <c r="G203" s="4">
        <v>112164</v>
      </c>
    </row>
    <row r="204" spans="1:7" x14ac:dyDescent="0.75">
      <c r="A204">
        <v>3795</v>
      </c>
      <c r="B204" t="s">
        <v>307</v>
      </c>
      <c r="C204" s="4">
        <v>71720</v>
      </c>
      <c r="D204" s="4">
        <v>0</v>
      </c>
      <c r="E204" s="4">
        <v>31696</v>
      </c>
      <c r="F204" s="4">
        <v>31696</v>
      </c>
      <c r="G204" s="4">
        <v>103416</v>
      </c>
    </row>
    <row r="205" spans="1:7" x14ac:dyDescent="0.75">
      <c r="A205">
        <v>2392</v>
      </c>
      <c r="B205" t="s">
        <v>308</v>
      </c>
      <c r="C205" s="4">
        <v>102780</v>
      </c>
      <c r="D205" s="4"/>
      <c r="E205" s="4"/>
      <c r="F205" s="4"/>
      <c r="G205" s="4">
        <v>102780</v>
      </c>
    </row>
    <row r="206" spans="1:7" x14ac:dyDescent="0.75">
      <c r="A206">
        <v>3105</v>
      </c>
      <c r="B206" t="s">
        <v>133</v>
      </c>
      <c r="C206" s="4"/>
      <c r="D206" s="4">
        <v>0</v>
      </c>
      <c r="E206" s="4">
        <v>88157</v>
      </c>
      <c r="F206" s="4">
        <v>88157</v>
      </c>
      <c r="G206" s="4">
        <v>88157</v>
      </c>
    </row>
    <row r="207" spans="1:7" x14ac:dyDescent="0.75">
      <c r="A207">
        <v>2257</v>
      </c>
      <c r="B207" t="s">
        <v>295</v>
      </c>
      <c r="C207" s="4">
        <v>78674</v>
      </c>
      <c r="D207" s="4"/>
      <c r="E207" s="4"/>
      <c r="F207" s="4"/>
      <c r="G207" s="4">
        <v>78674</v>
      </c>
    </row>
    <row r="208" spans="1:7" x14ac:dyDescent="0.75">
      <c r="A208">
        <v>4415</v>
      </c>
      <c r="B208" t="s">
        <v>88</v>
      </c>
      <c r="C208" s="4">
        <v>78659</v>
      </c>
      <c r="D208" s="4"/>
      <c r="E208" s="4"/>
      <c r="F208" s="4"/>
      <c r="G208" s="4">
        <v>78659</v>
      </c>
    </row>
    <row r="209" spans="1:7" x14ac:dyDescent="0.75">
      <c r="A209">
        <v>5005</v>
      </c>
      <c r="B209" t="s">
        <v>70</v>
      </c>
      <c r="C209" s="4">
        <v>75098</v>
      </c>
      <c r="D209" s="4"/>
      <c r="E209" s="4"/>
      <c r="F209" s="4"/>
      <c r="G209" s="4">
        <v>75098</v>
      </c>
    </row>
    <row r="210" spans="1:7" x14ac:dyDescent="0.75">
      <c r="A210">
        <v>98</v>
      </c>
      <c r="B210" t="s">
        <v>283</v>
      </c>
      <c r="C210" s="4">
        <v>66527</v>
      </c>
      <c r="D210" s="4"/>
      <c r="E210" s="4"/>
      <c r="F210" s="4"/>
      <c r="G210" s="4">
        <v>66527</v>
      </c>
    </row>
    <row r="211" spans="1:7" x14ac:dyDescent="0.75">
      <c r="A211">
        <v>3637</v>
      </c>
      <c r="B211" t="s">
        <v>311</v>
      </c>
      <c r="C211" s="4">
        <v>62146</v>
      </c>
      <c r="D211" s="4"/>
      <c r="E211" s="4"/>
      <c r="F211" s="4"/>
      <c r="G211" s="4">
        <v>62146</v>
      </c>
    </row>
    <row r="212" spans="1:7" x14ac:dyDescent="0.75">
      <c r="A212">
        <v>2223</v>
      </c>
      <c r="B212" t="s">
        <v>320</v>
      </c>
      <c r="C212" s="4">
        <v>59695</v>
      </c>
      <c r="D212" s="4"/>
      <c r="E212" s="4"/>
      <c r="F212" s="4"/>
      <c r="G212" s="4">
        <v>59695</v>
      </c>
    </row>
    <row r="213" spans="1:7" x14ac:dyDescent="0.75">
      <c r="A213">
        <v>3516</v>
      </c>
      <c r="B213" t="s">
        <v>143</v>
      </c>
      <c r="C213" s="4"/>
      <c r="D213" s="4">
        <v>0</v>
      </c>
      <c r="E213" s="4">
        <v>58150</v>
      </c>
      <c r="F213" s="4">
        <v>58150</v>
      </c>
      <c r="G213" s="4">
        <v>58150</v>
      </c>
    </row>
    <row r="214" spans="1:7" x14ac:dyDescent="0.75">
      <c r="A214">
        <v>2154</v>
      </c>
      <c r="B214" t="s">
        <v>314</v>
      </c>
      <c r="C214" s="4"/>
      <c r="D214" s="4">
        <v>0</v>
      </c>
      <c r="E214" s="4">
        <v>50717</v>
      </c>
      <c r="F214" s="4">
        <v>50717</v>
      </c>
      <c r="G214" s="4">
        <v>50717</v>
      </c>
    </row>
    <row r="215" spans="1:7" x14ac:dyDescent="0.75">
      <c r="A215">
        <v>498</v>
      </c>
      <c r="B215" t="s">
        <v>322</v>
      </c>
      <c r="C215" s="4">
        <v>49877</v>
      </c>
      <c r="D215" s="4"/>
      <c r="E215" s="4"/>
      <c r="F215" s="4"/>
      <c r="G215" s="4">
        <v>49877</v>
      </c>
    </row>
    <row r="216" spans="1:7" x14ac:dyDescent="0.75">
      <c r="A216">
        <v>4799</v>
      </c>
      <c r="B216" t="s">
        <v>73</v>
      </c>
      <c r="C216" s="4">
        <v>49116</v>
      </c>
      <c r="D216" s="4"/>
      <c r="E216" s="4"/>
      <c r="F216" s="4"/>
      <c r="G216" s="4">
        <v>49116</v>
      </c>
    </row>
    <row r="217" spans="1:7" x14ac:dyDescent="0.75">
      <c r="A217">
        <v>4906</v>
      </c>
      <c r="B217" t="s">
        <v>69</v>
      </c>
      <c r="C217" s="4">
        <v>47743</v>
      </c>
      <c r="D217" s="4"/>
      <c r="E217" s="4"/>
      <c r="F217" s="4"/>
      <c r="G217" s="4">
        <v>47743</v>
      </c>
    </row>
    <row r="218" spans="1:7" x14ac:dyDescent="0.75">
      <c r="A218">
        <v>4905</v>
      </c>
      <c r="B218" t="s">
        <v>77</v>
      </c>
      <c r="C218" s="4">
        <v>41268</v>
      </c>
      <c r="D218" s="4"/>
      <c r="E218" s="4"/>
      <c r="F218" s="4"/>
      <c r="G218" s="4">
        <v>41268</v>
      </c>
    </row>
    <row r="219" spans="1:7" x14ac:dyDescent="0.75">
      <c r="A219">
        <v>4916</v>
      </c>
      <c r="B219" t="s">
        <v>74</v>
      </c>
      <c r="C219" s="4">
        <v>37088</v>
      </c>
      <c r="D219" s="4"/>
      <c r="E219" s="4"/>
      <c r="F219" s="4"/>
      <c r="G219" s="4">
        <v>37088</v>
      </c>
    </row>
    <row r="220" spans="1:7" x14ac:dyDescent="0.75">
      <c r="A220">
        <v>3629</v>
      </c>
      <c r="B220" t="s">
        <v>124</v>
      </c>
      <c r="C220" s="4">
        <v>35675</v>
      </c>
      <c r="D220" s="4"/>
      <c r="E220" s="4"/>
      <c r="F220" s="4"/>
      <c r="G220" s="4">
        <v>35675</v>
      </c>
    </row>
    <row r="221" spans="1:7" x14ac:dyDescent="0.75">
      <c r="A221">
        <v>2264</v>
      </c>
      <c r="B221" t="s">
        <v>326</v>
      </c>
      <c r="C221" s="4">
        <v>35192</v>
      </c>
      <c r="D221" s="4"/>
      <c r="E221" s="4"/>
      <c r="F221" s="4"/>
      <c r="G221" s="4">
        <v>35192</v>
      </c>
    </row>
    <row r="222" spans="1:7" x14ac:dyDescent="0.75">
      <c r="A222">
        <v>3843</v>
      </c>
      <c r="B222" t="s">
        <v>327</v>
      </c>
      <c r="C222" s="4">
        <v>28685</v>
      </c>
      <c r="D222" s="4"/>
      <c r="E222" s="4"/>
      <c r="F222" s="4"/>
      <c r="G222" s="4">
        <v>28685</v>
      </c>
    </row>
    <row r="223" spans="1:7" x14ac:dyDescent="0.75">
      <c r="A223">
        <v>4903</v>
      </c>
      <c r="B223" t="s">
        <v>328</v>
      </c>
      <c r="C223" s="4"/>
      <c r="D223" s="4">
        <v>27807</v>
      </c>
      <c r="E223" s="4">
        <v>0</v>
      </c>
      <c r="F223" s="4">
        <v>27807</v>
      </c>
      <c r="G223" s="4">
        <v>27807</v>
      </c>
    </row>
    <row r="224" spans="1:7" x14ac:dyDescent="0.75">
      <c r="A224">
        <v>2447</v>
      </c>
      <c r="B224" t="s">
        <v>330</v>
      </c>
      <c r="C224" s="4">
        <v>25829</v>
      </c>
      <c r="D224" s="4"/>
      <c r="E224" s="4"/>
      <c r="F224" s="4"/>
      <c r="G224" s="4">
        <v>25829</v>
      </c>
    </row>
    <row r="225" spans="1:7" x14ac:dyDescent="0.75">
      <c r="A225">
        <v>2412</v>
      </c>
      <c r="B225" t="s">
        <v>313</v>
      </c>
      <c r="C225" s="4">
        <v>23960</v>
      </c>
      <c r="D225" s="4"/>
      <c r="E225" s="4"/>
      <c r="F225" s="4"/>
      <c r="G225" s="4">
        <v>23960</v>
      </c>
    </row>
    <row r="226" spans="1:7" x14ac:dyDescent="0.75">
      <c r="A226">
        <v>4798</v>
      </c>
      <c r="B226" t="s">
        <v>75</v>
      </c>
      <c r="C226" s="4">
        <v>19954</v>
      </c>
      <c r="D226" s="4"/>
      <c r="E226" s="4"/>
      <c r="F226" s="4"/>
      <c r="G226" s="4">
        <v>19954</v>
      </c>
    </row>
    <row r="227" spans="1:7" x14ac:dyDescent="0.75">
      <c r="A227">
        <v>4875</v>
      </c>
      <c r="B227" t="s">
        <v>80</v>
      </c>
      <c r="C227" s="4">
        <v>19246</v>
      </c>
      <c r="D227" s="4"/>
      <c r="E227" s="4"/>
      <c r="F227" s="4"/>
      <c r="G227" s="4">
        <v>19246</v>
      </c>
    </row>
    <row r="228" spans="1:7" x14ac:dyDescent="0.75">
      <c r="A228">
        <v>4795</v>
      </c>
      <c r="B228" t="s">
        <v>76</v>
      </c>
      <c r="C228" s="4">
        <v>17669</v>
      </c>
      <c r="D228" s="4"/>
      <c r="E228" s="4"/>
      <c r="F228" s="4"/>
      <c r="G228" s="4">
        <v>17669</v>
      </c>
    </row>
    <row r="229" spans="1:7" x14ac:dyDescent="0.75">
      <c r="A229">
        <v>4904</v>
      </c>
      <c r="B229" t="s">
        <v>81</v>
      </c>
      <c r="C229" s="4">
        <v>16106</v>
      </c>
      <c r="D229" s="4"/>
      <c r="E229" s="4"/>
      <c r="F229" s="4"/>
      <c r="G229" s="4">
        <v>16106</v>
      </c>
    </row>
    <row r="230" spans="1:7" x14ac:dyDescent="0.75">
      <c r="A230">
        <v>5004</v>
      </c>
      <c r="B230" t="s">
        <v>78</v>
      </c>
      <c r="C230" s="4">
        <v>15848</v>
      </c>
      <c r="D230" s="4"/>
      <c r="E230" s="4"/>
      <c r="F230" s="4"/>
      <c r="G230" s="4">
        <v>15848</v>
      </c>
    </row>
    <row r="231" spans="1:7" x14ac:dyDescent="0.75">
      <c r="A231">
        <v>4885</v>
      </c>
      <c r="B231" t="s">
        <v>333</v>
      </c>
      <c r="C231" s="4"/>
      <c r="D231" s="4">
        <v>14602</v>
      </c>
      <c r="E231" s="4">
        <v>0</v>
      </c>
      <c r="F231" s="4">
        <v>14602</v>
      </c>
      <c r="G231" s="4">
        <v>14602</v>
      </c>
    </row>
    <row r="232" spans="1:7" x14ac:dyDescent="0.75">
      <c r="A232">
        <v>4816</v>
      </c>
      <c r="B232" t="s">
        <v>85</v>
      </c>
      <c r="C232" s="4">
        <v>14215</v>
      </c>
      <c r="D232" s="4"/>
      <c r="E232" s="4"/>
      <c r="F232" s="4"/>
      <c r="G232" s="4">
        <v>14215</v>
      </c>
    </row>
    <row r="233" spans="1:7" x14ac:dyDescent="0.75">
      <c r="A233">
        <v>324</v>
      </c>
      <c r="B233" t="s">
        <v>140</v>
      </c>
      <c r="C233" s="4">
        <v>12042</v>
      </c>
      <c r="D233" s="4"/>
      <c r="E233" s="4"/>
      <c r="F233" s="4"/>
      <c r="G233" s="4">
        <v>12042</v>
      </c>
    </row>
    <row r="234" spans="1:7" x14ac:dyDescent="0.75">
      <c r="A234">
        <v>93</v>
      </c>
      <c r="B234" t="s">
        <v>335</v>
      </c>
      <c r="C234" s="4">
        <v>9761</v>
      </c>
      <c r="D234" s="4"/>
      <c r="E234" s="4"/>
      <c r="F234" s="4"/>
      <c r="G234" s="4">
        <v>9761</v>
      </c>
    </row>
    <row r="235" spans="1:7" x14ac:dyDescent="0.75">
      <c r="A235">
        <v>4736</v>
      </c>
      <c r="B235" t="s">
        <v>92</v>
      </c>
      <c r="C235" s="4">
        <v>5445</v>
      </c>
      <c r="D235" s="4">
        <v>0</v>
      </c>
      <c r="E235" s="4">
        <v>4069</v>
      </c>
      <c r="F235" s="4">
        <v>4069</v>
      </c>
      <c r="G235" s="4">
        <v>9514</v>
      </c>
    </row>
    <row r="236" spans="1:7" x14ac:dyDescent="0.75">
      <c r="A236">
        <v>4988</v>
      </c>
      <c r="B236" t="s">
        <v>84</v>
      </c>
      <c r="C236" s="4">
        <v>8963</v>
      </c>
      <c r="D236" s="4"/>
      <c r="E236" s="4"/>
      <c r="F236" s="4"/>
      <c r="G236" s="4">
        <v>8963</v>
      </c>
    </row>
    <row r="237" spans="1:7" x14ac:dyDescent="0.75">
      <c r="A237">
        <v>4797</v>
      </c>
      <c r="B237" t="s">
        <v>83</v>
      </c>
      <c r="C237" s="4">
        <v>6265</v>
      </c>
      <c r="D237" s="4"/>
      <c r="E237" s="4"/>
      <c r="F237" s="4"/>
      <c r="G237" s="4">
        <v>6265</v>
      </c>
    </row>
    <row r="238" spans="1:7" x14ac:dyDescent="0.75">
      <c r="A238">
        <v>3745</v>
      </c>
      <c r="B238" t="s">
        <v>332</v>
      </c>
      <c r="C238" s="4">
        <v>5392</v>
      </c>
      <c r="D238" s="4"/>
      <c r="E238" s="4"/>
      <c r="F238" s="4"/>
      <c r="G238" s="4">
        <v>5392</v>
      </c>
    </row>
    <row r="239" spans="1:7" x14ac:dyDescent="0.75">
      <c r="A239">
        <v>3200</v>
      </c>
      <c r="B239" t="s">
        <v>338</v>
      </c>
      <c r="C239" s="4">
        <v>5119</v>
      </c>
      <c r="D239" s="4"/>
      <c r="E239" s="4"/>
      <c r="F239" s="4"/>
      <c r="G239" s="4">
        <v>5119</v>
      </c>
    </row>
    <row r="240" spans="1:7" x14ac:dyDescent="0.75">
      <c r="A240">
        <v>3750</v>
      </c>
      <c r="B240" t="s">
        <v>342</v>
      </c>
      <c r="C240" s="4">
        <v>4232</v>
      </c>
      <c r="D240" s="4"/>
      <c r="E240" s="4"/>
      <c r="F240" s="4"/>
      <c r="G240" s="4">
        <v>4232</v>
      </c>
    </row>
    <row r="241" spans="1:7" x14ac:dyDescent="0.75">
      <c r="A241">
        <v>4151</v>
      </c>
      <c r="B241" t="s">
        <v>44</v>
      </c>
      <c r="C241" s="4">
        <v>3800</v>
      </c>
      <c r="D241" s="4"/>
      <c r="E241" s="4"/>
      <c r="F241" s="4"/>
      <c r="G241" s="4">
        <v>3800</v>
      </c>
    </row>
    <row r="242" spans="1:7" x14ac:dyDescent="0.75">
      <c r="A242">
        <v>2373</v>
      </c>
      <c r="B242" t="s">
        <v>310</v>
      </c>
      <c r="C242" s="4">
        <v>2880</v>
      </c>
      <c r="D242" s="4"/>
      <c r="E242" s="4"/>
      <c r="F242" s="4"/>
      <c r="G242" s="4">
        <v>2880</v>
      </c>
    </row>
    <row r="243" spans="1:7" x14ac:dyDescent="0.75">
      <c r="A243">
        <v>1992</v>
      </c>
      <c r="B243" t="s">
        <v>19</v>
      </c>
      <c r="C243" s="4"/>
      <c r="D243" s="4">
        <v>2425</v>
      </c>
      <c r="E243" s="4">
        <v>21</v>
      </c>
      <c r="F243" s="4">
        <v>2446</v>
      </c>
      <c r="G243" s="4">
        <v>2446</v>
      </c>
    </row>
    <row r="244" spans="1:7" x14ac:dyDescent="0.75">
      <c r="A244">
        <v>1989</v>
      </c>
      <c r="B244" t="s">
        <v>312</v>
      </c>
      <c r="C244" s="4"/>
      <c r="D244" s="4">
        <v>0</v>
      </c>
      <c r="E244" s="4">
        <v>2433</v>
      </c>
      <c r="F244" s="4">
        <v>2433</v>
      </c>
      <c r="G244" s="4">
        <v>2433</v>
      </c>
    </row>
    <row r="245" spans="1:7" x14ac:dyDescent="0.75">
      <c r="A245">
        <v>4986</v>
      </c>
      <c r="B245" t="s">
        <v>97</v>
      </c>
      <c r="C245" s="4">
        <v>2291</v>
      </c>
      <c r="D245" s="4"/>
      <c r="E245" s="4"/>
      <c r="F245" s="4"/>
      <c r="G245" s="4">
        <v>2291</v>
      </c>
    </row>
    <row r="246" spans="1:7" x14ac:dyDescent="0.75">
      <c r="A246">
        <v>5001</v>
      </c>
      <c r="B246" t="s">
        <v>96</v>
      </c>
      <c r="C246" s="4">
        <v>2073</v>
      </c>
      <c r="D246" s="4"/>
      <c r="E246" s="4"/>
      <c r="F246" s="4"/>
      <c r="G246" s="4">
        <v>2073</v>
      </c>
    </row>
    <row r="247" spans="1:7" x14ac:dyDescent="0.75">
      <c r="A247">
        <v>3784</v>
      </c>
      <c r="B247" t="s">
        <v>347</v>
      </c>
      <c r="C247" s="4">
        <v>1540</v>
      </c>
      <c r="D247" s="4"/>
      <c r="E247" s="4"/>
      <c r="F247" s="4"/>
      <c r="G247" s="4">
        <v>1540</v>
      </c>
    </row>
    <row r="248" spans="1:7" x14ac:dyDescent="0.75">
      <c r="A248">
        <v>4878</v>
      </c>
      <c r="B248" t="s">
        <v>100</v>
      </c>
      <c r="C248" s="4">
        <v>1476</v>
      </c>
      <c r="D248" s="4"/>
      <c r="E248" s="4"/>
      <c r="F248" s="4"/>
      <c r="G248" s="4">
        <v>1476</v>
      </c>
    </row>
    <row r="249" spans="1:7" x14ac:dyDescent="0.75">
      <c r="A249">
        <v>3787</v>
      </c>
      <c r="B249" t="s">
        <v>348</v>
      </c>
      <c r="C249" s="4">
        <v>1444</v>
      </c>
      <c r="D249" s="4"/>
      <c r="E249" s="4"/>
      <c r="F249" s="4"/>
      <c r="G249" s="4">
        <v>1444</v>
      </c>
    </row>
    <row r="250" spans="1:7" x14ac:dyDescent="0.75">
      <c r="A250">
        <v>3754</v>
      </c>
      <c r="B250" t="s">
        <v>349</v>
      </c>
      <c r="C250" s="4">
        <v>1440</v>
      </c>
      <c r="D250" s="4"/>
      <c r="E250" s="4"/>
      <c r="F250" s="4"/>
      <c r="G250" s="4">
        <v>1440</v>
      </c>
    </row>
    <row r="251" spans="1:7" x14ac:dyDescent="0.75">
      <c r="A251">
        <v>2361</v>
      </c>
      <c r="B251" t="s">
        <v>351</v>
      </c>
      <c r="C251" s="4">
        <v>1000</v>
      </c>
      <c r="D251" s="4"/>
      <c r="E251" s="4"/>
      <c r="F251" s="4"/>
      <c r="G251" s="4">
        <v>1000</v>
      </c>
    </row>
    <row r="252" spans="1:7" x14ac:dyDescent="0.75">
      <c r="A252">
        <v>3767</v>
      </c>
      <c r="B252" t="s">
        <v>354</v>
      </c>
      <c r="C252" s="4">
        <v>680</v>
      </c>
      <c r="D252" s="4"/>
      <c r="E252" s="4"/>
      <c r="F252" s="4"/>
      <c r="G252" s="4">
        <v>680</v>
      </c>
    </row>
    <row r="253" spans="1:7" x14ac:dyDescent="0.75">
      <c r="A253">
        <v>2502</v>
      </c>
      <c r="B253" t="s">
        <v>352</v>
      </c>
      <c r="C253" s="4">
        <v>638</v>
      </c>
      <c r="D253" s="4"/>
      <c r="E253" s="4"/>
      <c r="F253" s="4"/>
      <c r="G253" s="4">
        <v>638</v>
      </c>
    </row>
    <row r="254" spans="1:7" x14ac:dyDescent="0.75">
      <c r="A254">
        <v>2443</v>
      </c>
      <c r="B254" t="s">
        <v>191</v>
      </c>
      <c r="C254" s="4"/>
      <c r="D254" s="4">
        <v>551</v>
      </c>
      <c r="E254" s="4">
        <v>0</v>
      </c>
      <c r="F254" s="4">
        <v>551</v>
      </c>
      <c r="G254" s="4">
        <v>551</v>
      </c>
    </row>
    <row r="255" spans="1:7" x14ac:dyDescent="0.75">
      <c r="A255">
        <v>2359</v>
      </c>
      <c r="B255" t="s">
        <v>272</v>
      </c>
      <c r="C255" s="4">
        <v>200</v>
      </c>
      <c r="D255" s="4"/>
      <c r="E255" s="4"/>
      <c r="F255" s="4"/>
      <c r="G255" s="4">
        <v>200</v>
      </c>
    </row>
    <row r="256" spans="1:7" x14ac:dyDescent="0.75">
      <c r="A256">
        <v>3712</v>
      </c>
      <c r="B256" t="s">
        <v>356</v>
      </c>
      <c r="C256" s="4">
        <v>200</v>
      </c>
      <c r="D256" s="4"/>
      <c r="E256" s="4"/>
      <c r="F256" s="4"/>
      <c r="G256" s="4">
        <v>200</v>
      </c>
    </row>
    <row r="257" spans="1:7" x14ac:dyDescent="0.75">
      <c r="A257">
        <v>3650</v>
      </c>
      <c r="B257" t="s">
        <v>336</v>
      </c>
      <c r="C257" s="4">
        <v>150</v>
      </c>
      <c r="D257" s="4"/>
      <c r="E257" s="4"/>
      <c r="F257" s="4"/>
      <c r="G257" s="4">
        <v>150</v>
      </c>
    </row>
    <row r="258" spans="1:7" x14ac:dyDescent="0.75">
      <c r="A258">
        <v>2397</v>
      </c>
      <c r="B258" t="s">
        <v>305</v>
      </c>
      <c r="C258" s="4">
        <v>140</v>
      </c>
      <c r="D258" s="4"/>
      <c r="E258" s="4"/>
      <c r="F258" s="4"/>
      <c r="G258" s="4">
        <v>140</v>
      </c>
    </row>
    <row r="259" spans="1:7" x14ac:dyDescent="0.75">
      <c r="A259">
        <v>4926</v>
      </c>
      <c r="B259" t="s">
        <v>114</v>
      </c>
      <c r="C259" s="4">
        <v>119</v>
      </c>
      <c r="D259" s="4"/>
      <c r="E259" s="4"/>
      <c r="F259" s="4"/>
      <c r="G259" s="4">
        <v>119</v>
      </c>
    </row>
    <row r="260" spans="1:7" x14ac:dyDescent="0.75">
      <c r="A260">
        <v>3716</v>
      </c>
      <c r="B260" t="s">
        <v>358</v>
      </c>
      <c r="C260" s="4">
        <v>100</v>
      </c>
      <c r="D260" s="4"/>
      <c r="E260" s="4"/>
      <c r="F260" s="4"/>
      <c r="G260" s="4">
        <v>100</v>
      </c>
    </row>
    <row r="261" spans="1:7" x14ac:dyDescent="0.75">
      <c r="A261">
        <v>3703</v>
      </c>
      <c r="B261" t="s">
        <v>360</v>
      </c>
      <c r="C261" s="4">
        <v>60</v>
      </c>
      <c r="D261" s="4"/>
      <c r="E261" s="4"/>
      <c r="F261" s="4"/>
      <c r="G261" s="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Ports</vt:lpstr>
      <vt:lpstr>Ports by Commodity</vt:lpstr>
      <vt:lpstr>By Port TEUs</vt:lpstr>
      <vt:lpstr>Ports by ICST</vt:lpstr>
      <vt:lpstr>Dry Bulk NON BARGE</vt:lpstr>
      <vt:lpstr>Dry Bulk</vt:lpstr>
    </vt:vector>
  </TitlesOfParts>
  <Company>US Army Corp of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Bonanno, Justin B CIV USARMY CEIWR (USA)</dc:creator>
  <cp:lastModifiedBy>Joey Comeaux</cp:lastModifiedBy>
  <dcterms:created xsi:type="dcterms:W3CDTF">2023-10-30T14:04:12Z</dcterms:created>
  <dcterms:modified xsi:type="dcterms:W3CDTF">2026-01-24T04:38:50Z</dcterms:modified>
</cp:coreProperties>
</file>